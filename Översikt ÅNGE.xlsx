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45992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45992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45992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45992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45992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45992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45992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45992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45992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45992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45992</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45992</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45992</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45992</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45992</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45992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45992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45992</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45992</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45992</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45992</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39496-2024</t>
        </is>
      </c>
      <c r="B43" s="1" t="n">
        <v>45551</v>
      </c>
      <c r="C43" s="1" t="n">
        <v>45992</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25323-2023</t>
        </is>
      </c>
      <c r="B44" s="1" t="n">
        <v>45086</v>
      </c>
      <c r="C44" s="1" t="n">
        <v>45992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45992</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45992</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45992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45992</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45992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45992</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45992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45992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45992</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45992</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45992</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45992</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45992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45992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45992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45992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45992</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45992</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45992</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45992</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45992</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45992</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45992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45992</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45402-2025</t>
        </is>
      </c>
      <c r="B72" s="1" t="n">
        <v>45922.4278587963</v>
      </c>
      <c r="C72" s="1" t="n">
        <v>45992</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45992</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26363-2023</t>
        </is>
      </c>
      <c r="B74" s="1" t="n">
        <v>45091</v>
      </c>
      <c r="C74" s="1" t="n">
        <v>45992</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45992</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45992</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27955-2021</t>
        </is>
      </c>
      <c r="B77" s="1" t="n">
        <v>44354</v>
      </c>
      <c r="C77" s="1" t="n">
        <v>45992</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45992</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45992</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45992</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45992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45992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29880-2025</t>
        </is>
      </c>
      <c r="B83" s="1" t="n">
        <v>45826.36510416667</v>
      </c>
      <c r="C83" s="1" t="n">
        <v>45992</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29880-2025 artfynd.xlsx", "A 29880-2025")</f>
        <v/>
      </c>
      <c r="T83">
        <f>HYPERLINK("https://klasma.github.io/Logging_2260/kartor/A 29880-2025 karta.png", "A 29880-2025")</f>
        <v/>
      </c>
      <c r="V83">
        <f>HYPERLINK("https://klasma.github.io/Logging_2260/klagomål/A 29880-2025 FSC-klagomål.docx", "A 29880-2025")</f>
        <v/>
      </c>
      <c r="W83">
        <f>HYPERLINK("https://klasma.github.io/Logging_2260/klagomålsmail/A 29880-2025 FSC-klagomål mail.docx", "A 29880-2025")</f>
        <v/>
      </c>
      <c r="X83">
        <f>HYPERLINK("https://klasma.github.io/Logging_2260/tillsyn/A 29880-2025 tillsynsbegäran.docx", "A 29880-2025")</f>
        <v/>
      </c>
      <c r="Y83">
        <f>HYPERLINK("https://klasma.github.io/Logging_2260/tillsynsmail/A 29880-2025 tillsynsbegäran mail.docx", "A 29880-2025")</f>
        <v/>
      </c>
      <c r="Z83">
        <f>HYPERLINK("https://klasma.github.io/Logging_2260/fåglar/A 29880-2025 prioriterade fågelarter.docx", "A 29880-2025")</f>
        <v/>
      </c>
    </row>
    <row r="84" ht="15" customHeight="1">
      <c r="A84" t="inlineStr">
        <is>
          <t>A 43520-2025</t>
        </is>
      </c>
      <c r="B84" s="1" t="n">
        <v>45911.57364583333</v>
      </c>
      <c r="C84" s="1" t="n">
        <v>45992</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51065-2024</t>
        </is>
      </c>
      <c r="B85" s="1" t="n">
        <v>45603</v>
      </c>
      <c r="C85" s="1" t="n">
        <v>45992</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26958-2024</t>
        </is>
      </c>
      <c r="B86" s="1" t="n">
        <v>45470</v>
      </c>
      <c r="C86" s="1" t="n">
        <v>45992</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46375-2025</t>
        </is>
      </c>
      <c r="B87" s="1" t="n">
        <v>45925.51097222222</v>
      </c>
      <c r="C87" s="1" t="n">
        <v>45992</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38322-2025</t>
        </is>
      </c>
      <c r="B88" s="1" t="n">
        <v>45883.49003472222</v>
      </c>
      <c r="C88" s="1" t="n">
        <v>45992</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45992</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47102-2025</t>
        </is>
      </c>
      <c r="B90" s="1" t="n">
        <v>45929</v>
      </c>
      <c r="C90" s="1" t="n">
        <v>45992</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45992</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27914-2024</t>
        </is>
      </c>
      <c r="B92" s="1" t="n">
        <v>45475</v>
      </c>
      <c r="C92" s="1" t="n">
        <v>45992</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45992</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45992</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23601-2025</t>
        </is>
      </c>
      <c r="B95" s="1" t="n">
        <v>45792</v>
      </c>
      <c r="C95" s="1" t="n">
        <v>45992</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24796-2024</t>
        </is>
      </c>
      <c r="B96" s="1" t="n">
        <v>45460</v>
      </c>
      <c r="C96" s="1" t="n">
        <v>45992</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45992</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45992</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54095-2025</t>
        </is>
      </c>
      <c r="B99" s="1" t="n">
        <v>45964.40685185185</v>
      </c>
      <c r="C99" s="1" t="n">
        <v>45992</v>
      </c>
      <c r="D99" t="inlineStr">
        <is>
          <t>VÄSTERNORRLANDS LÄN</t>
        </is>
      </c>
      <c r="E99" t="inlineStr">
        <is>
          <t>ÅNGE</t>
        </is>
      </c>
      <c r="F99" t="inlineStr">
        <is>
          <t>SCA</t>
        </is>
      </c>
      <c r="G99" t="n">
        <v>14.1</v>
      </c>
      <c r="H99" t="n">
        <v>1</v>
      </c>
      <c r="I99" t="n">
        <v>1</v>
      </c>
      <c r="J99" t="n">
        <v>2</v>
      </c>
      <c r="K99" t="n">
        <v>1</v>
      </c>
      <c r="L99" t="n">
        <v>0</v>
      </c>
      <c r="M99" t="n">
        <v>0</v>
      </c>
      <c r="N99" t="n">
        <v>0</v>
      </c>
      <c r="O99" t="n">
        <v>3</v>
      </c>
      <c r="P99" t="n">
        <v>1</v>
      </c>
      <c r="Q99" t="n">
        <v>4</v>
      </c>
      <c r="R99" s="2" t="inlineStr">
        <is>
          <t>Knärot
Mörk kolflarnlav
Vedtrappmossa
Skarp dropptaggsvamp</t>
        </is>
      </c>
      <c r="S99">
        <f>HYPERLINK("https://klasma.github.io/Logging_2260/artfynd/A 54095-2025 artfynd.xlsx", "A 54095-2025")</f>
        <v/>
      </c>
      <c r="T99">
        <f>HYPERLINK("https://klasma.github.io/Logging_2260/kartor/A 54095-2025 karta.png", "A 54095-2025")</f>
        <v/>
      </c>
      <c r="U99">
        <f>HYPERLINK("https://klasma.github.io/Logging_2260/knärot/A 54095-2025 karta knärot.png", "A 54095-2025")</f>
        <v/>
      </c>
      <c r="V99">
        <f>HYPERLINK("https://klasma.github.io/Logging_2260/klagomål/A 54095-2025 FSC-klagomål.docx", "A 54095-2025")</f>
        <v/>
      </c>
      <c r="W99">
        <f>HYPERLINK("https://klasma.github.io/Logging_2260/klagomålsmail/A 54095-2025 FSC-klagomål mail.docx", "A 54095-2025")</f>
        <v/>
      </c>
      <c r="X99">
        <f>HYPERLINK("https://klasma.github.io/Logging_2260/tillsyn/A 54095-2025 tillsynsbegäran.docx", "A 54095-2025")</f>
        <v/>
      </c>
      <c r="Y99">
        <f>HYPERLINK("https://klasma.github.io/Logging_2260/tillsynsmail/A 54095-2025 tillsynsbegäran mail.docx", "A 54095-2025")</f>
        <v/>
      </c>
    </row>
    <row r="100" ht="15" customHeight="1">
      <c r="A100" t="inlineStr">
        <is>
          <t>A 26953-2024</t>
        </is>
      </c>
      <c r="B100" s="1" t="n">
        <v>45470</v>
      </c>
      <c r="C100" s="1" t="n">
        <v>45992</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38713-2025</t>
        </is>
      </c>
      <c r="B101" s="1" t="n">
        <v>45886.34479166667</v>
      </c>
      <c r="C101" s="1" t="n">
        <v>45992</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44558-2024</t>
        </is>
      </c>
      <c r="B102" s="1" t="n">
        <v>45574.47001157407</v>
      </c>
      <c r="C102" s="1" t="n">
        <v>45992</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45992</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45992</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39176-2024</t>
        </is>
      </c>
      <c r="B105" s="1" t="n">
        <v>45548</v>
      </c>
      <c r="C105" s="1" t="n">
        <v>45992</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11029-2025</t>
        </is>
      </c>
      <c r="B106" s="1" t="n">
        <v>45723</v>
      </c>
      <c r="C106" s="1" t="n">
        <v>45992</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45992</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45992</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45992</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45992</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39179-2024</t>
        </is>
      </c>
      <c r="B111" s="1" t="n">
        <v>45548.65703703704</v>
      </c>
      <c r="C111" s="1" t="n">
        <v>45992</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38664-2025</t>
        </is>
      </c>
      <c r="B112" s="1" t="n">
        <v>45884.61503472222</v>
      </c>
      <c r="C112" s="1" t="n">
        <v>45992</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22996-2023</t>
        </is>
      </c>
      <c r="B113" s="1" t="n">
        <v>45072</v>
      </c>
      <c r="C113" s="1" t="n">
        <v>45992</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39029-2025</t>
        </is>
      </c>
      <c r="B114" s="1" t="n">
        <v>45888.40684027778</v>
      </c>
      <c r="C114" s="1" t="n">
        <v>45992</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26679-2025</t>
        </is>
      </c>
      <c r="B115" s="1" t="n">
        <v>45810</v>
      </c>
      <c r="C115" s="1" t="n">
        <v>45992</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45992</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41868-2025</t>
        </is>
      </c>
      <c r="B117" s="1" t="n">
        <v>45903.34429398148</v>
      </c>
      <c r="C117" s="1" t="n">
        <v>45992</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31212-2025</t>
        </is>
      </c>
      <c r="B118" s="1" t="n">
        <v>45832.71978009259</v>
      </c>
      <c r="C118" s="1" t="n">
        <v>45992</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43319-2025</t>
        </is>
      </c>
      <c r="B119" s="1" t="n">
        <v>45910.65681712963</v>
      </c>
      <c r="C119" s="1" t="n">
        <v>45992</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47617-2024</t>
        </is>
      </c>
      <c r="B120" s="1" t="n">
        <v>45588.32125</v>
      </c>
      <c r="C120" s="1" t="n">
        <v>45992</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33806-2025</t>
        </is>
      </c>
      <c r="B121" s="1" t="n">
        <v>45842.44865740741</v>
      </c>
      <c r="C121" s="1" t="n">
        <v>45992</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43880-2025</t>
        </is>
      </c>
      <c r="B122" s="1" t="n">
        <v>45912</v>
      </c>
      <c r="C122" s="1" t="n">
        <v>45992</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53710-2025</t>
        </is>
      </c>
      <c r="B123" s="1" t="n">
        <v>45960.6153125</v>
      </c>
      <c r="C123" s="1" t="n">
        <v>45992</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37184-2025</t>
        </is>
      </c>
      <c r="B124" s="1" t="n">
        <v>45875.63591435185</v>
      </c>
      <c r="C124" s="1" t="n">
        <v>45992</v>
      </c>
      <c r="D124" t="inlineStr">
        <is>
          <t>VÄSTERNORRLANDS LÄN</t>
        </is>
      </c>
      <c r="E124" t="inlineStr">
        <is>
          <t>ÅNGE</t>
        </is>
      </c>
      <c r="F124" t="inlineStr">
        <is>
          <t>SCA</t>
        </is>
      </c>
      <c r="G124" t="n">
        <v>2.5</v>
      </c>
      <c r="H124" t="n">
        <v>0</v>
      </c>
      <c r="I124" t="n">
        <v>0</v>
      </c>
      <c r="J124" t="n">
        <v>3</v>
      </c>
      <c r="K124" t="n">
        <v>0</v>
      </c>
      <c r="L124" t="n">
        <v>0</v>
      </c>
      <c r="M124" t="n">
        <v>0</v>
      </c>
      <c r="N124" t="n">
        <v>0</v>
      </c>
      <c r="O124" t="n">
        <v>3</v>
      </c>
      <c r="P124" t="n">
        <v>0</v>
      </c>
      <c r="Q124" t="n">
        <v>3</v>
      </c>
      <c r="R124" s="2" t="inlineStr">
        <is>
          <t>Granticka
Lunglav
Rosenticka</t>
        </is>
      </c>
      <c r="S124">
        <f>HYPERLINK("https://klasma.github.io/Logging_2260/artfynd/A 37184-2025 artfynd.xlsx", "A 37184-2025")</f>
        <v/>
      </c>
      <c r="T124">
        <f>HYPERLINK("https://klasma.github.io/Logging_2260/kartor/A 37184-2025 karta.png", "A 37184-2025")</f>
        <v/>
      </c>
      <c r="V124">
        <f>HYPERLINK("https://klasma.github.io/Logging_2260/klagomål/A 37184-2025 FSC-klagomål.docx", "A 37184-2025")</f>
        <v/>
      </c>
      <c r="W124">
        <f>HYPERLINK("https://klasma.github.io/Logging_2260/klagomålsmail/A 37184-2025 FSC-klagomål mail.docx", "A 37184-2025")</f>
        <v/>
      </c>
      <c r="X124">
        <f>HYPERLINK("https://klasma.github.io/Logging_2260/tillsyn/A 37184-2025 tillsynsbegäran.docx", "A 37184-2025")</f>
        <v/>
      </c>
      <c r="Y124">
        <f>HYPERLINK("https://klasma.github.io/Logging_2260/tillsynsmail/A 37184-2025 tillsynsbegäran mail.docx", "A 37184-2025")</f>
        <v/>
      </c>
    </row>
    <row r="125" ht="15" customHeight="1">
      <c r="A125" t="inlineStr">
        <is>
          <t>A 46417-2025</t>
        </is>
      </c>
      <c r="B125" s="1" t="n">
        <v>45925.59454861111</v>
      </c>
      <c r="C125" s="1" t="n">
        <v>45992</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38238-2025</t>
        </is>
      </c>
      <c r="B126" s="1" t="n">
        <v>45883.36497685185</v>
      </c>
      <c r="C126" s="1" t="n">
        <v>45992</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7533-2023</t>
        </is>
      </c>
      <c r="B127" s="1" t="n">
        <v>44971</v>
      </c>
      <c r="C127" s="1" t="n">
        <v>45992</v>
      </c>
      <c r="D127" t="inlineStr">
        <is>
          <t>VÄSTERNORRLANDS LÄN</t>
        </is>
      </c>
      <c r="E127" t="inlineStr">
        <is>
          <t>ÅNGE</t>
        </is>
      </c>
      <c r="F127" t="inlineStr">
        <is>
          <t>SCA</t>
        </is>
      </c>
      <c r="G127" t="n">
        <v>15.7</v>
      </c>
      <c r="H127" t="n">
        <v>2</v>
      </c>
      <c r="I127" t="n">
        <v>0</v>
      </c>
      <c r="J127" t="n">
        <v>1</v>
      </c>
      <c r="K127" t="n">
        <v>1</v>
      </c>
      <c r="L127" t="n">
        <v>0</v>
      </c>
      <c r="M127" t="n">
        <v>0</v>
      </c>
      <c r="N127" t="n">
        <v>0</v>
      </c>
      <c r="O127" t="n">
        <v>2</v>
      </c>
      <c r="P127" t="n">
        <v>1</v>
      </c>
      <c r="Q127" t="n">
        <v>3</v>
      </c>
      <c r="R127" s="2" t="inlineStr">
        <is>
          <t>Doftticka
Lunglav
Blåsippa</t>
        </is>
      </c>
      <c r="S127">
        <f>HYPERLINK("https://klasma.github.io/Logging_2260/artfynd/A 7533-2023 artfynd.xlsx", "A 7533-2023")</f>
        <v/>
      </c>
      <c r="T127">
        <f>HYPERLINK("https://klasma.github.io/Logging_2260/kartor/A 7533-2023 karta.png", "A 7533-2023")</f>
        <v/>
      </c>
      <c r="V127">
        <f>HYPERLINK("https://klasma.github.io/Logging_2260/klagomål/A 7533-2023 FSC-klagomål.docx", "A 7533-2023")</f>
        <v/>
      </c>
      <c r="W127">
        <f>HYPERLINK("https://klasma.github.io/Logging_2260/klagomålsmail/A 7533-2023 FSC-klagomål mail.docx", "A 7533-2023")</f>
        <v/>
      </c>
      <c r="X127">
        <f>HYPERLINK("https://klasma.github.io/Logging_2260/tillsyn/A 7533-2023 tillsynsbegäran.docx", "A 7533-2023")</f>
        <v/>
      </c>
      <c r="Y127">
        <f>HYPERLINK("https://klasma.github.io/Logging_2260/tillsynsmail/A 7533-2023 tillsynsbegäran mail.docx", "A 7533-2023")</f>
        <v/>
      </c>
    </row>
    <row r="128" ht="15" customHeight="1">
      <c r="A128" t="inlineStr">
        <is>
          <t>A 49530-2025</t>
        </is>
      </c>
      <c r="B128" s="1" t="n">
        <v>45939.40700231482</v>
      </c>
      <c r="C128" s="1" t="n">
        <v>45992</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45992</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39708-2024</t>
        </is>
      </c>
      <c r="B130" s="1" t="n">
        <v>45552.59408564815</v>
      </c>
      <c r="C130" s="1" t="n">
        <v>45992</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29691-2024</t>
        </is>
      </c>
      <c r="B131" s="1" t="n">
        <v>45484.9446875</v>
      </c>
      <c r="C131" s="1" t="n">
        <v>45992</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39181-2024</t>
        </is>
      </c>
      <c r="B132" s="1" t="n">
        <v>45548</v>
      </c>
      <c r="C132" s="1" t="n">
        <v>45992</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24795-2024</t>
        </is>
      </c>
      <c r="B133" s="1" t="n">
        <v>45460.95252314815</v>
      </c>
      <c r="C133" s="1" t="n">
        <v>45992</v>
      </c>
      <c r="D133" t="inlineStr">
        <is>
          <t>VÄSTERNORRLANDS LÄN</t>
        </is>
      </c>
      <c r="E133" t="inlineStr">
        <is>
          <t>ÅNGE</t>
        </is>
      </c>
      <c r="F133" t="inlineStr">
        <is>
          <t>SCA</t>
        </is>
      </c>
      <c r="G133" t="n">
        <v>2.2</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28274-2023</t>
        </is>
      </c>
      <c r="B134" s="1" t="n">
        <v>45099</v>
      </c>
      <c r="C134" s="1" t="n">
        <v>45992</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21267-2025</t>
        </is>
      </c>
      <c r="B135" s="1" t="n">
        <v>45779</v>
      </c>
      <c r="C135" s="1" t="n">
        <v>45992</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23754-2025</t>
        </is>
      </c>
      <c r="B136" s="1" t="n">
        <v>45793.45782407407</v>
      </c>
      <c r="C136" s="1" t="n">
        <v>45992</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45992</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36635-2021</t>
        </is>
      </c>
      <c r="B138" s="1" t="n">
        <v>44391</v>
      </c>
      <c r="C138" s="1" t="n">
        <v>45992</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45992</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45992</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45992</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45992</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45992</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45992</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55591-2021</t>
        </is>
      </c>
      <c r="B145" s="1" t="n">
        <v>44475</v>
      </c>
      <c r="C145" s="1" t="n">
        <v>45992</v>
      </c>
      <c r="D145" t="inlineStr">
        <is>
          <t>VÄSTERNORRLANDS LÄN</t>
        </is>
      </c>
      <c r="E145" t="inlineStr">
        <is>
          <t>ÅNGE</t>
        </is>
      </c>
      <c r="G145" t="n">
        <v>3.6</v>
      </c>
      <c r="H145" t="n">
        <v>0</v>
      </c>
      <c r="I145" t="n">
        <v>0</v>
      </c>
      <c r="J145" t="n">
        <v>2</v>
      </c>
      <c r="K145" t="n">
        <v>0</v>
      </c>
      <c r="L145" t="n">
        <v>0</v>
      </c>
      <c r="M145" t="n">
        <v>0</v>
      </c>
      <c r="N145" t="n">
        <v>0</v>
      </c>
      <c r="O145" t="n">
        <v>2</v>
      </c>
      <c r="P145" t="n">
        <v>0</v>
      </c>
      <c r="Q145" t="n">
        <v>2</v>
      </c>
      <c r="R145" s="2" t="inlineStr">
        <is>
          <t>Kolflarnlav
Skrovlig taggsvamp</t>
        </is>
      </c>
      <c r="S145">
        <f>HYPERLINK("https://klasma.github.io/Logging_2260/artfynd/A 55591-2021 artfynd.xlsx", "A 55591-2021")</f>
        <v/>
      </c>
      <c r="T145">
        <f>HYPERLINK("https://klasma.github.io/Logging_2260/kartor/A 55591-2021 karta.png", "A 55591-2021")</f>
        <v/>
      </c>
      <c r="V145">
        <f>HYPERLINK("https://klasma.github.io/Logging_2260/klagomål/A 55591-2021 FSC-klagomål.docx", "A 55591-2021")</f>
        <v/>
      </c>
      <c r="W145">
        <f>HYPERLINK("https://klasma.github.io/Logging_2260/klagomålsmail/A 55591-2021 FSC-klagomål mail.docx", "A 55591-2021")</f>
        <v/>
      </c>
      <c r="X145">
        <f>HYPERLINK("https://klasma.github.io/Logging_2260/tillsyn/A 55591-2021 tillsynsbegäran.docx", "A 55591-2021")</f>
        <v/>
      </c>
      <c r="Y145">
        <f>HYPERLINK("https://klasma.github.io/Logging_2260/tillsynsmail/A 55591-2021 tillsynsbegäran mail.docx", "A 55591-2021")</f>
        <v/>
      </c>
    </row>
    <row r="146" ht="15" customHeight="1">
      <c r="A146" t="inlineStr">
        <is>
          <t>A 18081-2025</t>
        </is>
      </c>
      <c r="B146" s="1" t="n">
        <v>45761.51086805556</v>
      </c>
      <c r="C146" s="1" t="n">
        <v>45992</v>
      </c>
      <c r="D146" t="inlineStr">
        <is>
          <t>VÄSTERNORRLANDS LÄN</t>
        </is>
      </c>
      <c r="E146" t="inlineStr">
        <is>
          <t>ÅNGE</t>
        </is>
      </c>
      <c r="F146" t="inlineStr">
        <is>
          <t>SCA</t>
        </is>
      </c>
      <c r="G146" t="n">
        <v>2.6</v>
      </c>
      <c r="H146" t="n">
        <v>1</v>
      </c>
      <c r="I146" t="n">
        <v>1</v>
      </c>
      <c r="J146" t="n">
        <v>0</v>
      </c>
      <c r="K146" t="n">
        <v>1</v>
      </c>
      <c r="L146" t="n">
        <v>0</v>
      </c>
      <c r="M146" t="n">
        <v>0</v>
      </c>
      <c r="N146" t="n">
        <v>0</v>
      </c>
      <c r="O146" t="n">
        <v>1</v>
      </c>
      <c r="P146" t="n">
        <v>1</v>
      </c>
      <c r="Q146" t="n">
        <v>2</v>
      </c>
      <c r="R146" s="2" t="inlineStr">
        <is>
          <t>Knärot
Dropptaggsvamp</t>
        </is>
      </c>
      <c r="S146">
        <f>HYPERLINK("https://klasma.github.io/Logging_2260/artfynd/A 18081-2025 artfynd.xlsx", "A 18081-2025")</f>
        <v/>
      </c>
      <c r="T146">
        <f>HYPERLINK("https://klasma.github.io/Logging_2260/kartor/A 18081-2025 karta.png", "A 18081-2025")</f>
        <v/>
      </c>
      <c r="U146">
        <f>HYPERLINK("https://klasma.github.io/Logging_2260/knärot/A 18081-2025 karta knärot.png", "A 18081-2025")</f>
        <v/>
      </c>
      <c r="V146">
        <f>HYPERLINK("https://klasma.github.io/Logging_2260/klagomål/A 18081-2025 FSC-klagomål.docx", "A 18081-2025")</f>
        <v/>
      </c>
      <c r="W146">
        <f>HYPERLINK("https://klasma.github.io/Logging_2260/klagomålsmail/A 18081-2025 FSC-klagomål mail.docx", "A 18081-2025")</f>
        <v/>
      </c>
      <c r="X146">
        <f>HYPERLINK("https://klasma.github.io/Logging_2260/tillsyn/A 18081-2025 tillsynsbegäran.docx", "A 18081-2025")</f>
        <v/>
      </c>
      <c r="Y146">
        <f>HYPERLINK("https://klasma.github.io/Logging_2260/tillsynsmail/A 18081-2025 tillsynsbegäran mail.docx", "A 18081-2025")</f>
        <v/>
      </c>
    </row>
    <row r="147" ht="15" customHeight="1">
      <c r="A147" t="inlineStr">
        <is>
          <t>A 57597-2022</t>
        </is>
      </c>
      <c r="B147" s="1" t="n">
        <v>44896.97878472223</v>
      </c>
      <c r="C147" s="1" t="n">
        <v>45992</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24176-2025</t>
        </is>
      </c>
      <c r="B148" s="1" t="n">
        <v>45796.69832175926</v>
      </c>
      <c r="C148" s="1" t="n">
        <v>45992</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62861-2021</t>
        </is>
      </c>
      <c r="B149" s="1" t="n">
        <v>44503</v>
      </c>
      <c r="C149" s="1" t="n">
        <v>45992</v>
      </c>
      <c r="D149" t="inlineStr">
        <is>
          <t>VÄSTERNORRLANDS LÄN</t>
        </is>
      </c>
      <c r="E149" t="inlineStr">
        <is>
          <t>ÅNGE</t>
        </is>
      </c>
      <c r="F149" t="inlineStr">
        <is>
          <t>Övriga statliga verk och myndigheter</t>
        </is>
      </c>
      <c r="G149" t="n">
        <v>12.1</v>
      </c>
      <c r="H149" t="n">
        <v>1</v>
      </c>
      <c r="I149" t="n">
        <v>0</v>
      </c>
      <c r="J149" t="n">
        <v>1</v>
      </c>
      <c r="K149" t="n">
        <v>1</v>
      </c>
      <c r="L149" t="n">
        <v>0</v>
      </c>
      <c r="M149" t="n">
        <v>0</v>
      </c>
      <c r="N149" t="n">
        <v>0</v>
      </c>
      <c r="O149" t="n">
        <v>2</v>
      </c>
      <c r="P149" t="n">
        <v>1</v>
      </c>
      <c r="Q149" t="n">
        <v>2</v>
      </c>
      <c r="R149" s="2" t="inlineStr">
        <is>
          <t>Knärot
Rosenticka</t>
        </is>
      </c>
      <c r="S149">
        <f>HYPERLINK("https://klasma.github.io/Logging_2260/artfynd/A 62861-2021 artfynd.xlsx", "A 62861-2021")</f>
        <v/>
      </c>
      <c r="T149">
        <f>HYPERLINK("https://klasma.github.io/Logging_2260/kartor/A 62861-2021 karta.png", "A 62861-2021")</f>
        <v/>
      </c>
      <c r="U149">
        <f>HYPERLINK("https://klasma.github.io/Logging_2260/knärot/A 62861-2021 karta knärot.png", "A 62861-2021")</f>
        <v/>
      </c>
      <c r="V149">
        <f>HYPERLINK("https://klasma.github.io/Logging_2260/klagomål/A 62861-2021 FSC-klagomål.docx", "A 62861-2021")</f>
        <v/>
      </c>
      <c r="W149">
        <f>HYPERLINK("https://klasma.github.io/Logging_2260/klagomålsmail/A 62861-2021 FSC-klagomål mail.docx", "A 62861-2021")</f>
        <v/>
      </c>
      <c r="X149">
        <f>HYPERLINK("https://klasma.github.io/Logging_2260/tillsyn/A 62861-2021 tillsynsbegäran.docx", "A 62861-2021")</f>
        <v/>
      </c>
      <c r="Y149">
        <f>HYPERLINK("https://klasma.github.io/Logging_2260/tillsynsmail/A 62861-2021 tillsynsbegäran mail.docx", "A 62861-2021")</f>
        <v/>
      </c>
    </row>
    <row r="150" ht="15" customHeight="1">
      <c r="A150" t="inlineStr">
        <is>
          <t>A 25034-2024</t>
        </is>
      </c>
      <c r="B150" s="1" t="n">
        <v>45461.96458333333</v>
      </c>
      <c r="C150" s="1" t="n">
        <v>45992</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Rosenticka
Ullticka</t>
        </is>
      </c>
      <c r="S150">
        <f>HYPERLINK("https://klasma.github.io/Logging_2260/artfynd/A 25034-2024 artfynd.xlsx", "A 25034-2024")</f>
        <v/>
      </c>
      <c r="T150">
        <f>HYPERLINK("https://klasma.github.io/Logging_2260/kartor/A 25034-2024 karta.png", "A 25034-2024")</f>
        <v/>
      </c>
      <c r="V150">
        <f>HYPERLINK("https://klasma.github.io/Logging_2260/klagomål/A 25034-2024 FSC-klagomål.docx", "A 25034-2024")</f>
        <v/>
      </c>
      <c r="W150">
        <f>HYPERLINK("https://klasma.github.io/Logging_2260/klagomålsmail/A 25034-2024 FSC-klagomål mail.docx", "A 25034-2024")</f>
        <v/>
      </c>
      <c r="X150">
        <f>HYPERLINK("https://klasma.github.io/Logging_2260/tillsyn/A 25034-2024 tillsynsbegäran.docx", "A 25034-2024")</f>
        <v/>
      </c>
      <c r="Y150">
        <f>HYPERLINK("https://klasma.github.io/Logging_2260/tillsynsmail/A 25034-2024 tillsynsbegäran mail.docx", "A 25034-2024")</f>
        <v/>
      </c>
    </row>
    <row r="151" ht="15" customHeight="1">
      <c r="A151" t="inlineStr">
        <is>
          <t>A 48374-2024</t>
        </is>
      </c>
      <c r="B151" s="1" t="n">
        <v>45590.58028935185</v>
      </c>
      <c r="C151" s="1" t="n">
        <v>45992</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26906-2025</t>
        </is>
      </c>
      <c r="B152" s="1" t="n">
        <v>45811.34552083333</v>
      </c>
      <c r="C152" s="1" t="n">
        <v>45992</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55178-2024</t>
        </is>
      </c>
      <c r="B153" s="1" t="n">
        <v>45621</v>
      </c>
      <c r="C153" s="1" t="n">
        <v>45992</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42864-2025</t>
        </is>
      </c>
      <c r="B154" s="1" t="n">
        <v>45908</v>
      </c>
      <c r="C154" s="1" t="n">
        <v>45992</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49871-2024</t>
        </is>
      </c>
      <c r="B155" s="1" t="n">
        <v>45597.4903125</v>
      </c>
      <c r="C155" s="1" t="n">
        <v>45992</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43721-2025</t>
        </is>
      </c>
      <c r="B156" s="1" t="n">
        <v>45912.42800925926</v>
      </c>
      <c r="C156" s="1" t="n">
        <v>45992</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26020-2024</t>
        </is>
      </c>
      <c r="B157" s="1" t="n">
        <v>45467.9603125</v>
      </c>
      <c r="C157" s="1" t="n">
        <v>45992</v>
      </c>
      <c r="D157" t="inlineStr">
        <is>
          <t>VÄSTERNORRLANDS LÄN</t>
        </is>
      </c>
      <c r="E157" t="inlineStr">
        <is>
          <t>ÅNGE</t>
        </is>
      </c>
      <c r="F157" t="inlineStr">
        <is>
          <t>SCA</t>
        </is>
      </c>
      <c r="G157" t="n">
        <v>4.8</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26020-2024 artfynd.xlsx", "A 26020-2024")</f>
        <v/>
      </c>
      <c r="T157">
        <f>HYPERLINK("https://klasma.github.io/Logging_2260/kartor/A 26020-2024 karta.png", "A 26020-2024")</f>
        <v/>
      </c>
      <c r="V157">
        <f>HYPERLINK("https://klasma.github.io/Logging_2260/klagomål/A 26020-2024 FSC-klagomål.docx", "A 26020-2024")</f>
        <v/>
      </c>
      <c r="W157">
        <f>HYPERLINK("https://klasma.github.io/Logging_2260/klagomålsmail/A 26020-2024 FSC-klagomål mail.docx", "A 26020-2024")</f>
        <v/>
      </c>
      <c r="X157">
        <f>HYPERLINK("https://klasma.github.io/Logging_2260/tillsyn/A 26020-2024 tillsynsbegäran.docx", "A 26020-2024")</f>
        <v/>
      </c>
      <c r="Y157">
        <f>HYPERLINK("https://klasma.github.io/Logging_2260/tillsynsmail/A 26020-2024 tillsynsbegäran mail.docx", "A 26020-2024")</f>
        <v/>
      </c>
    </row>
    <row r="158" ht="15" customHeight="1">
      <c r="A158" t="inlineStr">
        <is>
          <t>A 36414-2025</t>
        </is>
      </c>
      <c r="B158" s="1" t="n">
        <v>45868.69246527777</v>
      </c>
      <c r="C158" s="1" t="n">
        <v>45992</v>
      </c>
      <c r="D158" t="inlineStr">
        <is>
          <t>VÄSTERNORRLANDS LÄN</t>
        </is>
      </c>
      <c r="E158" t="inlineStr">
        <is>
          <t>ÅNGE</t>
        </is>
      </c>
      <c r="G158" t="n">
        <v>5.4</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36414-2025 artfynd.xlsx", "A 36414-2025")</f>
        <v/>
      </c>
      <c r="T158">
        <f>HYPERLINK("https://klasma.github.io/Logging_2260/kartor/A 36414-2025 karta.png", "A 36414-2025")</f>
        <v/>
      </c>
      <c r="V158">
        <f>HYPERLINK("https://klasma.github.io/Logging_2260/klagomål/A 36414-2025 FSC-klagomål.docx", "A 36414-2025")</f>
        <v/>
      </c>
      <c r="W158">
        <f>HYPERLINK("https://klasma.github.io/Logging_2260/klagomålsmail/A 36414-2025 FSC-klagomål mail.docx", "A 36414-2025")</f>
        <v/>
      </c>
      <c r="X158">
        <f>HYPERLINK("https://klasma.github.io/Logging_2260/tillsyn/A 36414-2025 tillsynsbegäran.docx", "A 36414-2025")</f>
        <v/>
      </c>
      <c r="Y158">
        <f>HYPERLINK("https://klasma.github.io/Logging_2260/tillsynsmail/A 36414-2025 tillsynsbegäran mail.docx", "A 36414-2025")</f>
        <v/>
      </c>
    </row>
    <row r="159" ht="15" customHeight="1">
      <c r="A159" t="inlineStr">
        <is>
          <t>A 54625-2025</t>
        </is>
      </c>
      <c r="B159" s="1" t="n">
        <v>45966.34552083333</v>
      </c>
      <c r="C159" s="1" t="n">
        <v>45992</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8324-2025</t>
        </is>
      </c>
      <c r="B160" s="1" t="n">
        <v>45708.63621527778</v>
      </c>
      <c r="C160" s="1" t="n">
        <v>45992</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37800-2025</t>
        </is>
      </c>
      <c r="B161" s="1" t="n">
        <v>45881.34420138889</v>
      </c>
      <c r="C161" s="1" t="n">
        <v>45992</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45992</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48695-2024</t>
        </is>
      </c>
      <c r="B163" s="1" t="n">
        <v>45593.5109837963</v>
      </c>
      <c r="C163" s="1" t="n">
        <v>45992</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4873-2025</t>
        </is>
      </c>
      <c r="B164" s="1" t="n">
        <v>45688.67633101852</v>
      </c>
      <c r="C164" s="1" t="n">
        <v>45992</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57089-2024</t>
        </is>
      </c>
      <c r="B165" s="1" t="n">
        <v>45629.35665509259</v>
      </c>
      <c r="C165" s="1" t="n">
        <v>45992</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47719-2024</t>
        </is>
      </c>
      <c r="B166" s="1" t="n">
        <v>45588.48996527777</v>
      </c>
      <c r="C166" s="1" t="n">
        <v>45992</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29325-2023</t>
        </is>
      </c>
      <c r="B167" s="1" t="n">
        <v>45105</v>
      </c>
      <c r="C167" s="1" t="n">
        <v>45992</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57594-2022</t>
        </is>
      </c>
      <c r="B168" s="1" t="n">
        <v>44896.97854166666</v>
      </c>
      <c r="C168" s="1" t="n">
        <v>45992</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4093-2025</t>
        </is>
      </c>
      <c r="B169" s="1" t="n">
        <v>45684.67762731481</v>
      </c>
      <c r="C169" s="1" t="n">
        <v>45992</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31493-2024</t>
        </is>
      </c>
      <c r="B170" s="1" t="n">
        <v>45505</v>
      </c>
      <c r="C170" s="1" t="n">
        <v>45992</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165-2025</t>
        </is>
      </c>
      <c r="B171" s="1" t="n">
        <v>45659</v>
      </c>
      <c r="C171" s="1" t="n">
        <v>45992</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17861-2023</t>
        </is>
      </c>
      <c r="B172" s="1" t="n">
        <v>45037.94171296297</v>
      </c>
      <c r="C172" s="1" t="n">
        <v>45992</v>
      </c>
      <c r="D172" t="inlineStr">
        <is>
          <t>VÄSTERNORRLANDS LÄN</t>
        </is>
      </c>
      <c r="E172" t="inlineStr">
        <is>
          <t>ÅNGE</t>
        </is>
      </c>
      <c r="F172" t="inlineStr">
        <is>
          <t>SCA</t>
        </is>
      </c>
      <c r="G172" t="n">
        <v>1.1</v>
      </c>
      <c r="H172" t="n">
        <v>0</v>
      </c>
      <c r="I172" t="n">
        <v>1</v>
      </c>
      <c r="J172" t="n">
        <v>1</v>
      </c>
      <c r="K172" t="n">
        <v>0</v>
      </c>
      <c r="L172" t="n">
        <v>0</v>
      </c>
      <c r="M172" t="n">
        <v>0</v>
      </c>
      <c r="N172" t="n">
        <v>0</v>
      </c>
      <c r="O172" t="n">
        <v>1</v>
      </c>
      <c r="P172" t="n">
        <v>0</v>
      </c>
      <c r="Q172" t="n">
        <v>2</v>
      </c>
      <c r="R172" s="2" t="inlineStr">
        <is>
          <t>Skrovlig taggsvamp
Dropptaggsvamp</t>
        </is>
      </c>
      <c r="S172">
        <f>HYPERLINK("https://klasma.github.io/Logging_2260/artfynd/A 17861-2023 artfynd.xlsx", "A 17861-2023")</f>
        <v/>
      </c>
      <c r="T172">
        <f>HYPERLINK("https://klasma.github.io/Logging_2260/kartor/A 17861-2023 karta.png", "A 17861-2023")</f>
        <v/>
      </c>
      <c r="V172">
        <f>HYPERLINK("https://klasma.github.io/Logging_2260/klagomål/A 17861-2023 FSC-klagomål.docx", "A 17861-2023")</f>
        <v/>
      </c>
      <c r="W172">
        <f>HYPERLINK("https://klasma.github.io/Logging_2260/klagomålsmail/A 17861-2023 FSC-klagomål mail.docx", "A 17861-2023")</f>
        <v/>
      </c>
      <c r="X172">
        <f>HYPERLINK("https://klasma.github.io/Logging_2260/tillsyn/A 17861-2023 tillsynsbegäran.docx", "A 17861-2023")</f>
        <v/>
      </c>
      <c r="Y172">
        <f>HYPERLINK("https://klasma.github.io/Logging_2260/tillsynsmail/A 17861-2023 tillsynsbegäran mail.docx", "A 17861-2023")</f>
        <v/>
      </c>
    </row>
    <row r="173" ht="15" customHeight="1">
      <c r="A173" t="inlineStr">
        <is>
          <t>A 32659-2024</t>
        </is>
      </c>
      <c r="B173" s="1" t="n">
        <v>45513</v>
      </c>
      <c r="C173" s="1" t="n">
        <v>45992</v>
      </c>
      <c r="D173" t="inlineStr">
        <is>
          <t>VÄSTERNORRLANDS LÄN</t>
        </is>
      </c>
      <c r="E173" t="inlineStr">
        <is>
          <t>ÅNGE</t>
        </is>
      </c>
      <c r="F173" t="inlineStr">
        <is>
          <t>SCA</t>
        </is>
      </c>
      <c r="G173" t="n">
        <v>6.9</v>
      </c>
      <c r="H173" t="n">
        <v>0</v>
      </c>
      <c r="I173" t="n">
        <v>0</v>
      </c>
      <c r="J173" t="n">
        <v>2</v>
      </c>
      <c r="K173" t="n">
        <v>0</v>
      </c>
      <c r="L173" t="n">
        <v>0</v>
      </c>
      <c r="M173" t="n">
        <v>0</v>
      </c>
      <c r="N173" t="n">
        <v>0</v>
      </c>
      <c r="O173" t="n">
        <v>2</v>
      </c>
      <c r="P173" t="n">
        <v>0</v>
      </c>
      <c r="Q173" t="n">
        <v>2</v>
      </c>
      <c r="R173" s="2" t="inlineStr">
        <is>
          <t>Lunglav
Stjärntagging</t>
        </is>
      </c>
      <c r="S173">
        <f>HYPERLINK("https://klasma.github.io/Logging_2260/artfynd/A 32659-2024 artfynd.xlsx", "A 32659-2024")</f>
        <v/>
      </c>
      <c r="T173">
        <f>HYPERLINK("https://klasma.github.io/Logging_2260/kartor/A 32659-2024 karta.png", "A 32659-2024")</f>
        <v/>
      </c>
      <c r="V173">
        <f>HYPERLINK("https://klasma.github.io/Logging_2260/klagomål/A 32659-2024 FSC-klagomål.docx", "A 32659-2024")</f>
        <v/>
      </c>
      <c r="W173">
        <f>HYPERLINK("https://klasma.github.io/Logging_2260/klagomålsmail/A 32659-2024 FSC-klagomål mail.docx", "A 32659-2024")</f>
        <v/>
      </c>
      <c r="X173">
        <f>HYPERLINK("https://klasma.github.io/Logging_2260/tillsyn/A 32659-2024 tillsynsbegäran.docx", "A 32659-2024")</f>
        <v/>
      </c>
      <c r="Y173">
        <f>HYPERLINK("https://klasma.github.io/Logging_2260/tillsynsmail/A 32659-2024 tillsynsbegäran mail.docx", "A 32659-2024")</f>
        <v/>
      </c>
    </row>
    <row r="174" ht="15" customHeight="1">
      <c r="A174" t="inlineStr">
        <is>
          <t>A 21453-2025</t>
        </is>
      </c>
      <c r="B174" s="1" t="n">
        <v>45782.55311342593</v>
      </c>
      <c r="C174" s="1" t="n">
        <v>45992</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20367-2022</t>
        </is>
      </c>
      <c r="B175" s="1" t="n">
        <v>44699</v>
      </c>
      <c r="C175" s="1" t="n">
        <v>45992</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45992</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61479-2021</t>
        </is>
      </c>
      <c r="B177" s="1" t="n">
        <v>44500</v>
      </c>
      <c r="C177" s="1" t="n">
        <v>45992</v>
      </c>
      <c r="D177" t="inlineStr">
        <is>
          <t>VÄSTERNORRLANDS LÄN</t>
        </is>
      </c>
      <c r="E177" t="inlineStr">
        <is>
          <t>ÅNGE</t>
        </is>
      </c>
      <c r="F177" t="inlineStr">
        <is>
          <t>SCA</t>
        </is>
      </c>
      <c r="G177" t="n">
        <v>7.2</v>
      </c>
      <c r="H177" t="n">
        <v>1</v>
      </c>
      <c r="I177" t="n">
        <v>0</v>
      </c>
      <c r="J177" t="n">
        <v>0</v>
      </c>
      <c r="K177" t="n">
        <v>1</v>
      </c>
      <c r="L177" t="n">
        <v>0</v>
      </c>
      <c r="M177" t="n">
        <v>0</v>
      </c>
      <c r="N177" t="n">
        <v>0</v>
      </c>
      <c r="O177" t="n">
        <v>1</v>
      </c>
      <c r="P177" t="n">
        <v>1</v>
      </c>
      <c r="Q177" t="n">
        <v>1</v>
      </c>
      <c r="R177" s="2" t="inlineStr">
        <is>
          <t>Knärot</t>
        </is>
      </c>
      <c r="S177">
        <f>HYPERLINK("https://klasma.github.io/Logging_2260/artfynd/A 61479-2021 artfynd.xlsx", "A 61479-2021")</f>
        <v/>
      </c>
      <c r="T177">
        <f>HYPERLINK("https://klasma.github.io/Logging_2260/kartor/A 61479-2021 karta.png", "A 61479-2021")</f>
        <v/>
      </c>
      <c r="U177">
        <f>HYPERLINK("https://klasma.github.io/Logging_2260/knärot/A 61479-2021 karta knärot.png", "A 61479-2021")</f>
        <v/>
      </c>
      <c r="V177">
        <f>HYPERLINK("https://klasma.github.io/Logging_2260/klagomål/A 61479-2021 FSC-klagomål.docx", "A 61479-2021")</f>
        <v/>
      </c>
      <c r="W177">
        <f>HYPERLINK("https://klasma.github.io/Logging_2260/klagomålsmail/A 61479-2021 FSC-klagomål mail.docx", "A 61479-2021")</f>
        <v/>
      </c>
      <c r="X177">
        <f>HYPERLINK("https://klasma.github.io/Logging_2260/tillsyn/A 61479-2021 tillsynsbegäran.docx", "A 61479-2021")</f>
        <v/>
      </c>
      <c r="Y177">
        <f>HYPERLINK("https://klasma.github.io/Logging_2260/tillsynsmail/A 61479-2021 tillsynsbegäran mail.docx", "A 61479-2021")</f>
        <v/>
      </c>
    </row>
    <row r="178" ht="15" customHeight="1">
      <c r="A178" t="inlineStr">
        <is>
          <t>A 31578-2021</t>
        </is>
      </c>
      <c r="B178" s="1" t="n">
        <v>44369</v>
      </c>
      <c r="C178" s="1" t="n">
        <v>45992</v>
      </c>
      <c r="D178" t="inlineStr">
        <is>
          <t>VÄSTERNORRLANDS LÄN</t>
        </is>
      </c>
      <c r="E178" t="inlineStr">
        <is>
          <t>ÅNGE</t>
        </is>
      </c>
      <c r="G178" t="n">
        <v>25.8</v>
      </c>
      <c r="H178" t="n">
        <v>1</v>
      </c>
      <c r="I178" t="n">
        <v>0</v>
      </c>
      <c r="J178" t="n">
        <v>0</v>
      </c>
      <c r="K178" t="n">
        <v>1</v>
      </c>
      <c r="L178" t="n">
        <v>0</v>
      </c>
      <c r="M178" t="n">
        <v>0</v>
      </c>
      <c r="N178" t="n">
        <v>0</v>
      </c>
      <c r="O178" t="n">
        <v>1</v>
      </c>
      <c r="P178" t="n">
        <v>1</v>
      </c>
      <c r="Q178" t="n">
        <v>1</v>
      </c>
      <c r="R178" s="2" t="inlineStr">
        <is>
          <t>Knärot</t>
        </is>
      </c>
      <c r="S178">
        <f>HYPERLINK("https://klasma.github.io/Logging_2260/artfynd/A 31578-2021 artfynd.xlsx", "A 31578-2021")</f>
        <v/>
      </c>
      <c r="T178">
        <f>HYPERLINK("https://klasma.github.io/Logging_2260/kartor/A 31578-2021 karta.png", "A 31578-2021")</f>
        <v/>
      </c>
      <c r="U178">
        <f>HYPERLINK("https://klasma.github.io/Logging_2260/knärot/A 31578-2021 karta knärot.png", "A 31578-2021")</f>
        <v/>
      </c>
      <c r="V178">
        <f>HYPERLINK("https://klasma.github.io/Logging_2260/klagomål/A 31578-2021 FSC-klagomål.docx", "A 31578-2021")</f>
        <v/>
      </c>
      <c r="W178">
        <f>HYPERLINK("https://klasma.github.io/Logging_2260/klagomålsmail/A 31578-2021 FSC-klagomål mail.docx", "A 31578-2021")</f>
        <v/>
      </c>
      <c r="X178">
        <f>HYPERLINK("https://klasma.github.io/Logging_2260/tillsyn/A 31578-2021 tillsynsbegäran.docx", "A 31578-2021")</f>
        <v/>
      </c>
      <c r="Y178">
        <f>HYPERLINK("https://klasma.github.io/Logging_2260/tillsynsmail/A 31578-2021 tillsynsbegäran mail.docx", "A 31578-2021")</f>
        <v/>
      </c>
    </row>
    <row r="179" ht="15" customHeight="1">
      <c r="A179" t="inlineStr">
        <is>
          <t>A 35018-2021</t>
        </is>
      </c>
      <c r="B179" s="1" t="n">
        <v>44383.69549768518</v>
      </c>
      <c r="C179" s="1" t="n">
        <v>45992</v>
      </c>
      <c r="D179" t="inlineStr">
        <is>
          <t>VÄSTERNORRLANDS LÄN</t>
        </is>
      </c>
      <c r="E179" t="inlineStr">
        <is>
          <t>ÅNGE</t>
        </is>
      </c>
      <c r="F179" t="inlineStr">
        <is>
          <t>Sveaskog</t>
        </is>
      </c>
      <c r="G179" t="n">
        <v>9.5</v>
      </c>
      <c r="H179" t="n">
        <v>1</v>
      </c>
      <c r="I179" t="n">
        <v>0</v>
      </c>
      <c r="J179" t="n">
        <v>1</v>
      </c>
      <c r="K179" t="n">
        <v>0</v>
      </c>
      <c r="L179" t="n">
        <v>0</v>
      </c>
      <c r="M179" t="n">
        <v>0</v>
      </c>
      <c r="N179" t="n">
        <v>0</v>
      </c>
      <c r="O179" t="n">
        <v>1</v>
      </c>
      <c r="P179" t="n">
        <v>0</v>
      </c>
      <c r="Q179" t="n">
        <v>1</v>
      </c>
      <c r="R179" s="2" t="inlineStr">
        <is>
          <t>Utter</t>
        </is>
      </c>
      <c r="S179">
        <f>HYPERLINK("https://klasma.github.io/Logging_2260/artfynd/A 35018-2021 artfynd.xlsx", "A 35018-2021")</f>
        <v/>
      </c>
      <c r="T179">
        <f>HYPERLINK("https://klasma.github.io/Logging_2260/kartor/A 35018-2021 karta.png", "A 35018-2021")</f>
        <v/>
      </c>
      <c r="V179">
        <f>HYPERLINK("https://klasma.github.io/Logging_2260/klagomål/A 35018-2021 FSC-klagomål.docx", "A 35018-2021")</f>
        <v/>
      </c>
      <c r="W179">
        <f>HYPERLINK("https://klasma.github.io/Logging_2260/klagomålsmail/A 35018-2021 FSC-klagomål mail.docx", "A 35018-2021")</f>
        <v/>
      </c>
      <c r="X179">
        <f>HYPERLINK("https://klasma.github.io/Logging_2260/tillsyn/A 35018-2021 tillsynsbegäran.docx", "A 35018-2021")</f>
        <v/>
      </c>
      <c r="Y179">
        <f>HYPERLINK("https://klasma.github.io/Logging_2260/tillsynsmail/A 35018-2021 tillsynsbegäran mail.docx", "A 35018-2021")</f>
        <v/>
      </c>
    </row>
    <row r="180" ht="15" customHeight="1">
      <c r="A180" t="inlineStr">
        <is>
          <t>A 5558-2021</t>
        </is>
      </c>
      <c r="B180" s="1" t="n">
        <v>44230</v>
      </c>
      <c r="C180" s="1" t="n">
        <v>45992</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71366-2021</t>
        </is>
      </c>
      <c r="B181" s="1" t="n">
        <v>44539</v>
      </c>
      <c r="C181" s="1" t="n">
        <v>45992</v>
      </c>
      <c r="D181" t="inlineStr">
        <is>
          <t>VÄSTERNORRLANDS LÄN</t>
        </is>
      </c>
      <c r="E181" t="inlineStr">
        <is>
          <t>ÅNGE</t>
        </is>
      </c>
      <c r="F181" t="inlineStr">
        <is>
          <t>SCA</t>
        </is>
      </c>
      <c r="G181" t="n">
        <v>2.3</v>
      </c>
      <c r="H181" t="n">
        <v>1</v>
      </c>
      <c r="I181" t="n">
        <v>0</v>
      </c>
      <c r="J181" t="n">
        <v>0</v>
      </c>
      <c r="K181" t="n">
        <v>1</v>
      </c>
      <c r="L181" t="n">
        <v>0</v>
      </c>
      <c r="M181" t="n">
        <v>0</v>
      </c>
      <c r="N181" t="n">
        <v>0</v>
      </c>
      <c r="O181" t="n">
        <v>1</v>
      </c>
      <c r="P181" t="n">
        <v>1</v>
      </c>
      <c r="Q181" t="n">
        <v>1</v>
      </c>
      <c r="R181" s="2" t="inlineStr">
        <is>
          <t>Knärot</t>
        </is>
      </c>
      <c r="S181">
        <f>HYPERLINK("https://klasma.github.io/Logging_2260/artfynd/A 71366-2021 artfynd.xlsx", "A 71366-2021")</f>
        <v/>
      </c>
      <c r="T181">
        <f>HYPERLINK("https://klasma.github.io/Logging_2260/kartor/A 71366-2021 karta.png", "A 71366-2021")</f>
        <v/>
      </c>
      <c r="U181">
        <f>HYPERLINK("https://klasma.github.io/Logging_2260/knärot/A 71366-2021 karta knärot.png", "A 71366-2021")</f>
        <v/>
      </c>
      <c r="V181">
        <f>HYPERLINK("https://klasma.github.io/Logging_2260/klagomål/A 71366-2021 FSC-klagomål.docx", "A 71366-2021")</f>
        <v/>
      </c>
      <c r="W181">
        <f>HYPERLINK("https://klasma.github.io/Logging_2260/klagomålsmail/A 71366-2021 FSC-klagomål mail.docx", "A 71366-2021")</f>
        <v/>
      </c>
      <c r="X181">
        <f>HYPERLINK("https://klasma.github.io/Logging_2260/tillsyn/A 71366-2021 tillsynsbegäran.docx", "A 71366-2021")</f>
        <v/>
      </c>
      <c r="Y181">
        <f>HYPERLINK("https://klasma.github.io/Logging_2260/tillsynsmail/A 71366-2021 tillsynsbegäran mail.docx", "A 71366-2021")</f>
        <v/>
      </c>
    </row>
    <row r="182" ht="15" customHeight="1">
      <c r="A182" t="inlineStr">
        <is>
          <t>A 32457-2024</t>
        </is>
      </c>
      <c r="B182" s="1" t="n">
        <v>45512</v>
      </c>
      <c r="C182" s="1" t="n">
        <v>45992</v>
      </c>
      <c r="D182" t="inlineStr">
        <is>
          <t>VÄSTERNORRLANDS LÄN</t>
        </is>
      </c>
      <c r="E182" t="inlineStr">
        <is>
          <t>ÅNGE</t>
        </is>
      </c>
      <c r="F182" t="inlineStr">
        <is>
          <t>SCA</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HYPERLINK("https://klasma.github.io/Logging_2260/artfynd/A 32457-2024 artfynd.xlsx", "A 32457-2024")</f>
        <v/>
      </c>
      <c r="T182">
        <f>HYPERLINK("https://klasma.github.io/Logging_2260/kartor/A 32457-2024 karta.png", "A 32457-2024")</f>
        <v/>
      </c>
      <c r="V182">
        <f>HYPERLINK("https://klasma.github.io/Logging_2260/klagomål/A 32457-2024 FSC-klagomål.docx", "A 32457-2024")</f>
        <v/>
      </c>
      <c r="W182">
        <f>HYPERLINK("https://klasma.github.io/Logging_2260/klagomålsmail/A 32457-2024 FSC-klagomål mail.docx", "A 32457-2024")</f>
        <v/>
      </c>
      <c r="X182">
        <f>HYPERLINK("https://klasma.github.io/Logging_2260/tillsyn/A 32457-2024 tillsynsbegäran.docx", "A 32457-2024")</f>
        <v/>
      </c>
      <c r="Y182">
        <f>HYPERLINK("https://klasma.github.io/Logging_2260/tillsynsmail/A 32457-2024 tillsynsbegäran mail.docx", "A 32457-2024")</f>
        <v/>
      </c>
    </row>
    <row r="183" ht="15" customHeight="1">
      <c r="A183" t="inlineStr">
        <is>
          <t>A 30774-2024</t>
        </is>
      </c>
      <c r="B183" s="1" t="n">
        <v>45496.949375</v>
      </c>
      <c r="C183" s="1" t="n">
        <v>45992</v>
      </c>
      <c r="D183" t="inlineStr">
        <is>
          <t>VÄSTERNORRLANDS LÄN</t>
        </is>
      </c>
      <c r="E183" t="inlineStr">
        <is>
          <t>ÅNGE</t>
        </is>
      </c>
      <c r="F183" t="inlineStr">
        <is>
          <t>SCA</t>
        </is>
      </c>
      <c r="G183" t="n">
        <v>2.2</v>
      </c>
      <c r="H183" t="n">
        <v>1</v>
      </c>
      <c r="I183" t="n">
        <v>0</v>
      </c>
      <c r="J183" t="n">
        <v>0</v>
      </c>
      <c r="K183" t="n">
        <v>0</v>
      </c>
      <c r="L183" t="n">
        <v>0</v>
      </c>
      <c r="M183" t="n">
        <v>0</v>
      </c>
      <c r="N183" t="n">
        <v>0</v>
      </c>
      <c r="O183" t="n">
        <v>0</v>
      </c>
      <c r="P183" t="n">
        <v>0</v>
      </c>
      <c r="Q183" t="n">
        <v>1</v>
      </c>
      <c r="R183" s="2" t="inlineStr">
        <is>
          <t>Tjäder</t>
        </is>
      </c>
      <c r="S183">
        <f>HYPERLINK("https://klasma.github.io/Logging_2260/artfynd/A 30774-2024 artfynd.xlsx", "A 30774-2024")</f>
        <v/>
      </c>
      <c r="T183">
        <f>HYPERLINK("https://klasma.github.io/Logging_2260/kartor/A 30774-2024 karta.png", "A 30774-2024")</f>
        <v/>
      </c>
      <c r="V183">
        <f>HYPERLINK("https://klasma.github.io/Logging_2260/klagomål/A 30774-2024 FSC-klagomål.docx", "A 30774-2024")</f>
        <v/>
      </c>
      <c r="W183">
        <f>HYPERLINK("https://klasma.github.io/Logging_2260/klagomålsmail/A 30774-2024 FSC-klagomål mail.docx", "A 30774-2024")</f>
        <v/>
      </c>
      <c r="X183">
        <f>HYPERLINK("https://klasma.github.io/Logging_2260/tillsyn/A 30774-2024 tillsynsbegäran.docx", "A 30774-2024")</f>
        <v/>
      </c>
      <c r="Y183">
        <f>HYPERLINK("https://klasma.github.io/Logging_2260/tillsynsmail/A 30774-2024 tillsynsbegäran mail.docx", "A 30774-2024")</f>
        <v/>
      </c>
      <c r="Z183">
        <f>HYPERLINK("https://klasma.github.io/Logging_2260/fåglar/A 30774-2024 prioriterade fågelarter.docx", "A 30774-2024")</f>
        <v/>
      </c>
    </row>
    <row r="184" ht="15" customHeight="1">
      <c r="A184" t="inlineStr">
        <is>
          <t>A 39933-2022</t>
        </is>
      </c>
      <c r="B184" s="1" t="n">
        <v>44819</v>
      </c>
      <c r="C184" s="1" t="n">
        <v>45992</v>
      </c>
      <c r="D184" t="inlineStr">
        <is>
          <t>VÄSTERNORRLANDS LÄN</t>
        </is>
      </c>
      <c r="E184" t="inlineStr">
        <is>
          <t>ÅNGE</t>
        </is>
      </c>
      <c r="F184" t="inlineStr">
        <is>
          <t>SCA</t>
        </is>
      </c>
      <c r="G184" t="n">
        <v>13.8</v>
      </c>
      <c r="H184" t="n">
        <v>1</v>
      </c>
      <c r="I184" t="n">
        <v>0</v>
      </c>
      <c r="J184" t="n">
        <v>0</v>
      </c>
      <c r="K184" t="n">
        <v>1</v>
      </c>
      <c r="L184" t="n">
        <v>0</v>
      </c>
      <c r="M184" t="n">
        <v>0</v>
      </c>
      <c r="N184" t="n">
        <v>0</v>
      </c>
      <c r="O184" t="n">
        <v>1</v>
      </c>
      <c r="P184" t="n">
        <v>1</v>
      </c>
      <c r="Q184" t="n">
        <v>1</v>
      </c>
      <c r="R184" s="2" t="inlineStr">
        <is>
          <t>Knärot</t>
        </is>
      </c>
      <c r="S184">
        <f>HYPERLINK("https://klasma.github.io/Logging_2260/artfynd/A 39933-2022 artfynd.xlsx", "A 39933-2022")</f>
        <v/>
      </c>
      <c r="T184">
        <f>HYPERLINK("https://klasma.github.io/Logging_2260/kartor/A 39933-2022 karta.png", "A 39933-2022")</f>
        <v/>
      </c>
      <c r="U184">
        <f>HYPERLINK("https://klasma.github.io/Logging_2260/knärot/A 39933-2022 karta knärot.png", "A 39933-2022")</f>
        <v/>
      </c>
      <c r="V184">
        <f>HYPERLINK("https://klasma.github.io/Logging_2260/klagomål/A 39933-2022 FSC-klagomål.docx", "A 39933-2022")</f>
        <v/>
      </c>
      <c r="W184">
        <f>HYPERLINK("https://klasma.github.io/Logging_2260/klagomålsmail/A 39933-2022 FSC-klagomål mail.docx", "A 39933-2022")</f>
        <v/>
      </c>
      <c r="X184">
        <f>HYPERLINK("https://klasma.github.io/Logging_2260/tillsyn/A 39933-2022 tillsynsbegäran.docx", "A 39933-2022")</f>
        <v/>
      </c>
      <c r="Y184">
        <f>HYPERLINK("https://klasma.github.io/Logging_2260/tillsynsmail/A 39933-2022 tillsynsbegäran mail.docx", "A 39933-2022")</f>
        <v/>
      </c>
    </row>
    <row r="185" ht="15" customHeight="1">
      <c r="A185" t="inlineStr">
        <is>
          <t>A 54386-2024</t>
        </is>
      </c>
      <c r="B185" s="1" t="n">
        <v>45617.44822916666</v>
      </c>
      <c r="C185" s="1" t="n">
        <v>45992</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38606-2024</t>
        </is>
      </c>
      <c r="B186" s="1" t="n">
        <v>45546.67804398148</v>
      </c>
      <c r="C186" s="1" t="n">
        <v>45992</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42524-2025</t>
        </is>
      </c>
      <c r="B187" s="1" t="n">
        <v>45905.55262731481</v>
      </c>
      <c r="C187" s="1" t="n">
        <v>45992</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HYPERLINK("https://klasma.github.io/Logging_2260/artfynd/A 42524-2025 artfynd.xlsx", "A 42524-2025")</f>
        <v/>
      </c>
      <c r="T187">
        <f>HYPERLINK("https://klasma.github.io/Logging_2260/kartor/A 42524-2025 karta.png", "A 42524-2025")</f>
        <v/>
      </c>
      <c r="V187">
        <f>HYPERLINK("https://klasma.github.io/Logging_2260/klagomål/A 42524-2025 FSC-klagomål.docx", "A 42524-2025")</f>
        <v/>
      </c>
      <c r="W187">
        <f>HYPERLINK("https://klasma.github.io/Logging_2260/klagomålsmail/A 42524-2025 FSC-klagomål mail.docx", "A 42524-2025")</f>
        <v/>
      </c>
      <c r="X187">
        <f>HYPERLINK("https://klasma.github.io/Logging_2260/tillsyn/A 42524-2025 tillsynsbegäran.docx", "A 42524-2025")</f>
        <v/>
      </c>
      <c r="Y187">
        <f>HYPERLINK("https://klasma.github.io/Logging_2260/tillsynsmail/A 42524-2025 tillsynsbegäran mail.docx", "A 42524-2025")</f>
        <v/>
      </c>
    </row>
    <row r="188" ht="15" customHeight="1">
      <c r="A188" t="inlineStr">
        <is>
          <t>A 27025-2025</t>
        </is>
      </c>
      <c r="B188" s="1" t="n">
        <v>45811</v>
      </c>
      <c r="C188" s="1" t="n">
        <v>45992</v>
      </c>
      <c r="D188" t="inlineStr">
        <is>
          <t>VÄSTERNORRLANDS LÄN</t>
        </is>
      </c>
      <c r="E188" t="inlineStr">
        <is>
          <t>ÅNGE</t>
        </is>
      </c>
      <c r="G188" t="n">
        <v>25.5</v>
      </c>
      <c r="H188" t="n">
        <v>0</v>
      </c>
      <c r="I188" t="n">
        <v>0</v>
      </c>
      <c r="J188" t="n">
        <v>1</v>
      </c>
      <c r="K188" t="n">
        <v>0</v>
      </c>
      <c r="L188" t="n">
        <v>0</v>
      </c>
      <c r="M188" t="n">
        <v>0</v>
      </c>
      <c r="N188" t="n">
        <v>0</v>
      </c>
      <c r="O188" t="n">
        <v>1</v>
      </c>
      <c r="P188" t="n">
        <v>0</v>
      </c>
      <c r="Q188" t="n">
        <v>1</v>
      </c>
      <c r="R188" s="2" t="inlineStr">
        <is>
          <t>Garnlav</t>
        </is>
      </c>
      <c r="S188">
        <f>HYPERLINK("https://klasma.github.io/Logging_2260/artfynd/A 27025-2025 artfynd.xlsx", "A 27025-2025")</f>
        <v/>
      </c>
      <c r="T188">
        <f>HYPERLINK("https://klasma.github.io/Logging_2260/kartor/A 27025-2025 karta.png", "A 27025-2025")</f>
        <v/>
      </c>
      <c r="U188">
        <f>HYPERLINK("https://klasma.github.io/Logging_2260/knärot/A 27025-2025 karta knärot.png", "A 27025-2025")</f>
        <v/>
      </c>
      <c r="V188">
        <f>HYPERLINK("https://klasma.github.io/Logging_2260/klagomål/A 27025-2025 FSC-klagomål.docx", "A 27025-2025")</f>
        <v/>
      </c>
      <c r="W188">
        <f>HYPERLINK("https://klasma.github.io/Logging_2260/klagomålsmail/A 27025-2025 FSC-klagomål mail.docx", "A 27025-2025")</f>
        <v/>
      </c>
      <c r="X188">
        <f>HYPERLINK("https://klasma.github.io/Logging_2260/tillsyn/A 27025-2025 tillsynsbegäran.docx", "A 27025-2025")</f>
        <v/>
      </c>
      <c r="Y188">
        <f>HYPERLINK("https://klasma.github.io/Logging_2260/tillsynsmail/A 27025-2025 tillsynsbegäran mail.docx", "A 27025-2025")</f>
        <v/>
      </c>
    </row>
    <row r="189" ht="15" customHeight="1">
      <c r="A189" t="inlineStr">
        <is>
          <t>A 43590-2025</t>
        </is>
      </c>
      <c r="B189" s="1" t="n">
        <v>45911.65665509259</v>
      </c>
      <c r="C189" s="1" t="n">
        <v>45992</v>
      </c>
      <c r="D189" t="inlineStr">
        <is>
          <t>VÄSTERNORRLANDS LÄN</t>
        </is>
      </c>
      <c r="E189" t="inlineStr">
        <is>
          <t>ÅNGE</t>
        </is>
      </c>
      <c r="F189" t="inlineStr">
        <is>
          <t>SCA</t>
        </is>
      </c>
      <c r="G189" t="n">
        <v>2.9</v>
      </c>
      <c r="H189" t="n">
        <v>0</v>
      </c>
      <c r="I189" t="n">
        <v>0</v>
      </c>
      <c r="J189" t="n">
        <v>1</v>
      </c>
      <c r="K189" t="n">
        <v>0</v>
      </c>
      <c r="L189" t="n">
        <v>0</v>
      </c>
      <c r="M189" t="n">
        <v>0</v>
      </c>
      <c r="N189" t="n">
        <v>0</v>
      </c>
      <c r="O189" t="n">
        <v>1</v>
      </c>
      <c r="P189" t="n">
        <v>0</v>
      </c>
      <c r="Q189" t="n">
        <v>1</v>
      </c>
      <c r="R189" s="2" t="inlineStr">
        <is>
          <t>Granticka</t>
        </is>
      </c>
      <c r="S189">
        <f>HYPERLINK("https://klasma.github.io/Logging_2260/artfynd/A 43590-2025 artfynd.xlsx", "A 43590-2025")</f>
        <v/>
      </c>
      <c r="T189">
        <f>HYPERLINK("https://klasma.github.io/Logging_2260/kartor/A 43590-2025 karta.png", "A 43590-2025")</f>
        <v/>
      </c>
      <c r="V189">
        <f>HYPERLINK("https://klasma.github.io/Logging_2260/klagomål/A 43590-2025 FSC-klagomål.docx", "A 43590-2025")</f>
        <v/>
      </c>
      <c r="W189">
        <f>HYPERLINK("https://klasma.github.io/Logging_2260/klagomålsmail/A 43590-2025 FSC-klagomål mail.docx", "A 43590-2025")</f>
        <v/>
      </c>
      <c r="X189">
        <f>HYPERLINK("https://klasma.github.io/Logging_2260/tillsyn/A 43590-2025 tillsynsbegäran.docx", "A 43590-2025")</f>
        <v/>
      </c>
      <c r="Y189">
        <f>HYPERLINK("https://klasma.github.io/Logging_2260/tillsynsmail/A 43590-2025 tillsynsbegäran mail.docx", "A 43590-2025")</f>
        <v/>
      </c>
    </row>
    <row r="190" ht="15" customHeight="1">
      <c r="A190" t="inlineStr">
        <is>
          <t>A 64510-2023</t>
        </is>
      </c>
      <c r="B190" s="1" t="n">
        <v>45281</v>
      </c>
      <c r="C190" s="1" t="n">
        <v>45992</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24798-2024</t>
        </is>
      </c>
      <c r="B191" s="1" t="n">
        <v>45460.95277777778</v>
      </c>
      <c r="C191" s="1" t="n">
        <v>45992</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45992</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27308-2024</t>
        </is>
      </c>
      <c r="B193" s="1" t="n">
        <v>45471</v>
      </c>
      <c r="C193" s="1" t="n">
        <v>45992</v>
      </c>
      <c r="D193" t="inlineStr">
        <is>
          <t>VÄSTERNORRLANDS LÄN</t>
        </is>
      </c>
      <c r="E193" t="inlineStr">
        <is>
          <t>ÅNGE</t>
        </is>
      </c>
      <c r="F193" t="inlineStr">
        <is>
          <t>SCA</t>
        </is>
      </c>
      <c r="G193" t="n">
        <v>15.9</v>
      </c>
      <c r="H193" t="n">
        <v>0</v>
      </c>
      <c r="I193" t="n">
        <v>0</v>
      </c>
      <c r="J193" t="n">
        <v>1</v>
      </c>
      <c r="K193" t="n">
        <v>0</v>
      </c>
      <c r="L193" t="n">
        <v>0</v>
      </c>
      <c r="M193" t="n">
        <v>0</v>
      </c>
      <c r="N193" t="n">
        <v>0</v>
      </c>
      <c r="O193" t="n">
        <v>1</v>
      </c>
      <c r="P193" t="n">
        <v>0</v>
      </c>
      <c r="Q193" t="n">
        <v>1</v>
      </c>
      <c r="R193" s="2" t="inlineStr">
        <is>
          <t>Lunglav</t>
        </is>
      </c>
      <c r="S193">
        <f>HYPERLINK("https://klasma.github.io/Logging_2260/artfynd/A 27308-2024 artfynd.xlsx", "A 27308-2024")</f>
        <v/>
      </c>
      <c r="T193">
        <f>HYPERLINK("https://klasma.github.io/Logging_2260/kartor/A 27308-2024 karta.png", "A 27308-2024")</f>
        <v/>
      </c>
      <c r="V193">
        <f>HYPERLINK("https://klasma.github.io/Logging_2260/klagomål/A 27308-2024 FSC-klagomål.docx", "A 27308-2024")</f>
        <v/>
      </c>
      <c r="W193">
        <f>HYPERLINK("https://klasma.github.io/Logging_2260/klagomålsmail/A 27308-2024 FSC-klagomål mail.docx", "A 27308-2024")</f>
        <v/>
      </c>
      <c r="X193">
        <f>HYPERLINK("https://klasma.github.io/Logging_2260/tillsyn/A 27308-2024 tillsynsbegäran.docx", "A 27308-2024")</f>
        <v/>
      </c>
      <c r="Y193">
        <f>HYPERLINK("https://klasma.github.io/Logging_2260/tillsynsmail/A 27308-2024 tillsynsbegäran mail.docx", "A 27308-2024")</f>
        <v/>
      </c>
    </row>
    <row r="194" ht="15" customHeight="1">
      <c r="A194" t="inlineStr">
        <is>
          <t>A 35648-2025</t>
        </is>
      </c>
      <c r="B194" s="1" t="n">
        <v>45859.51670138889</v>
      </c>
      <c r="C194" s="1" t="n">
        <v>45992</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35839-2025</t>
        </is>
      </c>
      <c r="B195" s="1" t="n">
        <v>45861.53943287037</v>
      </c>
      <c r="C195" s="1" t="n">
        <v>45992</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38603-2024</t>
        </is>
      </c>
      <c r="B196" s="1" t="n">
        <v>45546</v>
      </c>
      <c r="C196" s="1" t="n">
        <v>45992</v>
      </c>
      <c r="D196" t="inlineStr">
        <is>
          <t>VÄSTERNORRLANDS LÄN</t>
        </is>
      </c>
      <c r="E196" t="inlineStr">
        <is>
          <t>ÅNGE</t>
        </is>
      </c>
      <c r="F196" t="inlineStr">
        <is>
          <t>SCA</t>
        </is>
      </c>
      <c r="G196" t="n">
        <v>5.6</v>
      </c>
      <c r="H196" t="n">
        <v>0</v>
      </c>
      <c r="I196" t="n">
        <v>0</v>
      </c>
      <c r="J196" t="n">
        <v>0</v>
      </c>
      <c r="K196" t="n">
        <v>1</v>
      </c>
      <c r="L196" t="n">
        <v>0</v>
      </c>
      <c r="M196" t="n">
        <v>0</v>
      </c>
      <c r="N196" t="n">
        <v>0</v>
      </c>
      <c r="O196" t="n">
        <v>1</v>
      </c>
      <c r="P196" t="n">
        <v>1</v>
      </c>
      <c r="Q196" t="n">
        <v>1</v>
      </c>
      <c r="R196" s="2" t="inlineStr">
        <is>
          <t>Rynkskinn</t>
        </is>
      </c>
      <c r="S196">
        <f>HYPERLINK("https://klasma.github.io/Logging_2260/artfynd/A 38603-2024 artfynd.xlsx", "A 38603-2024")</f>
        <v/>
      </c>
      <c r="T196">
        <f>HYPERLINK("https://klasma.github.io/Logging_2260/kartor/A 38603-2024 karta.png", "A 38603-2024")</f>
        <v/>
      </c>
      <c r="V196">
        <f>HYPERLINK("https://klasma.github.io/Logging_2260/klagomål/A 38603-2024 FSC-klagomål.docx", "A 38603-2024")</f>
        <v/>
      </c>
      <c r="W196">
        <f>HYPERLINK("https://klasma.github.io/Logging_2260/klagomålsmail/A 38603-2024 FSC-klagomål mail.docx", "A 38603-2024")</f>
        <v/>
      </c>
      <c r="X196">
        <f>HYPERLINK("https://klasma.github.io/Logging_2260/tillsyn/A 38603-2024 tillsynsbegäran.docx", "A 38603-2024")</f>
        <v/>
      </c>
      <c r="Y196">
        <f>HYPERLINK("https://klasma.github.io/Logging_2260/tillsynsmail/A 38603-2024 tillsynsbegäran mail.docx", "A 38603-2024")</f>
        <v/>
      </c>
    </row>
    <row r="197" ht="15" customHeight="1">
      <c r="A197" t="inlineStr">
        <is>
          <t>A 34696-2024</t>
        </is>
      </c>
      <c r="B197" s="1" t="n">
        <v>45526</v>
      </c>
      <c r="C197" s="1" t="n">
        <v>45992</v>
      </c>
      <c r="D197" t="inlineStr">
        <is>
          <t>VÄSTERNORRLANDS LÄN</t>
        </is>
      </c>
      <c r="E197" t="inlineStr">
        <is>
          <t>ÅNGE</t>
        </is>
      </c>
      <c r="G197" t="n">
        <v>3.6</v>
      </c>
      <c r="H197" t="n">
        <v>1</v>
      </c>
      <c r="I197" t="n">
        <v>0</v>
      </c>
      <c r="J197" t="n">
        <v>0</v>
      </c>
      <c r="K197" t="n">
        <v>0</v>
      </c>
      <c r="L197" t="n">
        <v>0</v>
      </c>
      <c r="M197" t="n">
        <v>0</v>
      </c>
      <c r="N197" t="n">
        <v>0</v>
      </c>
      <c r="O197" t="n">
        <v>0</v>
      </c>
      <c r="P197" t="n">
        <v>0</v>
      </c>
      <c r="Q197" t="n">
        <v>1</v>
      </c>
      <c r="R197" s="2" t="inlineStr">
        <is>
          <t>Revlummer</t>
        </is>
      </c>
      <c r="S197">
        <f>HYPERLINK("https://klasma.github.io/Logging_2260/artfynd/A 34696-2024 artfynd.xlsx", "A 34696-2024")</f>
        <v/>
      </c>
      <c r="T197">
        <f>HYPERLINK("https://klasma.github.io/Logging_2260/kartor/A 34696-2024 karta.png", "A 34696-2024")</f>
        <v/>
      </c>
      <c r="V197">
        <f>HYPERLINK("https://klasma.github.io/Logging_2260/klagomål/A 34696-2024 FSC-klagomål.docx", "A 34696-2024")</f>
        <v/>
      </c>
      <c r="W197">
        <f>HYPERLINK("https://klasma.github.io/Logging_2260/klagomålsmail/A 34696-2024 FSC-klagomål mail.docx", "A 34696-2024")</f>
        <v/>
      </c>
      <c r="X197">
        <f>HYPERLINK("https://klasma.github.io/Logging_2260/tillsyn/A 34696-2024 tillsynsbegäran.docx", "A 34696-2024")</f>
        <v/>
      </c>
      <c r="Y197">
        <f>HYPERLINK("https://klasma.github.io/Logging_2260/tillsynsmail/A 34696-2024 tillsynsbegäran mail.docx", "A 34696-2024")</f>
        <v/>
      </c>
    </row>
    <row r="198" ht="15" customHeight="1">
      <c r="A198" t="inlineStr">
        <is>
          <t>A 29327-2023</t>
        </is>
      </c>
      <c r="B198" s="1" t="n">
        <v>45105.94349537037</v>
      </c>
      <c r="C198" s="1" t="n">
        <v>45992</v>
      </c>
      <c r="D198" t="inlineStr">
        <is>
          <t>VÄSTERNORRLANDS LÄN</t>
        </is>
      </c>
      <c r="E198" t="inlineStr">
        <is>
          <t>ÅNGE</t>
        </is>
      </c>
      <c r="G198" t="n">
        <v>7.8</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29327-2023 artfynd.xlsx", "A 29327-2023")</f>
        <v/>
      </c>
      <c r="T198">
        <f>HYPERLINK("https://klasma.github.io/Logging_2260/kartor/A 29327-2023 karta.png", "A 29327-2023")</f>
        <v/>
      </c>
      <c r="V198">
        <f>HYPERLINK("https://klasma.github.io/Logging_2260/klagomål/A 29327-2023 FSC-klagomål.docx", "A 29327-2023")</f>
        <v/>
      </c>
      <c r="W198">
        <f>HYPERLINK("https://klasma.github.io/Logging_2260/klagomålsmail/A 29327-2023 FSC-klagomål mail.docx", "A 29327-2023")</f>
        <v/>
      </c>
      <c r="X198">
        <f>HYPERLINK("https://klasma.github.io/Logging_2260/tillsyn/A 29327-2023 tillsynsbegäran.docx", "A 29327-2023")</f>
        <v/>
      </c>
      <c r="Y198">
        <f>HYPERLINK("https://klasma.github.io/Logging_2260/tillsynsmail/A 29327-2023 tillsynsbegäran mail.docx", "A 29327-2023")</f>
        <v/>
      </c>
    </row>
    <row r="199" ht="15" customHeight="1">
      <c r="A199" t="inlineStr">
        <is>
          <t>A 46094-2025</t>
        </is>
      </c>
      <c r="B199" s="1" t="n">
        <v>45924</v>
      </c>
      <c r="C199" s="1" t="n">
        <v>45992</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31878-2024</t>
        </is>
      </c>
      <c r="B200" s="1" t="n">
        <v>45509</v>
      </c>
      <c r="C200" s="1" t="n">
        <v>45992</v>
      </c>
      <c r="D200" t="inlineStr">
        <is>
          <t>VÄSTERNORRLANDS LÄN</t>
        </is>
      </c>
      <c r="E200" t="inlineStr">
        <is>
          <t>ÅNGE</t>
        </is>
      </c>
      <c r="F200" t="inlineStr">
        <is>
          <t>SCA</t>
        </is>
      </c>
      <c r="G200" t="n">
        <v>5.1</v>
      </c>
      <c r="H200" t="n">
        <v>0</v>
      </c>
      <c r="I200" t="n">
        <v>1</v>
      </c>
      <c r="J200" t="n">
        <v>0</v>
      </c>
      <c r="K200" t="n">
        <v>0</v>
      </c>
      <c r="L200" t="n">
        <v>0</v>
      </c>
      <c r="M200" t="n">
        <v>0</v>
      </c>
      <c r="N200" t="n">
        <v>0</v>
      </c>
      <c r="O200" t="n">
        <v>0</v>
      </c>
      <c r="P200" t="n">
        <v>0</v>
      </c>
      <c r="Q200" t="n">
        <v>1</v>
      </c>
      <c r="R200" s="2" t="inlineStr">
        <is>
          <t>Grönpyrola</t>
        </is>
      </c>
      <c r="S200">
        <f>HYPERLINK("https://klasma.github.io/Logging_2260/artfynd/A 31878-2024 artfynd.xlsx", "A 31878-2024")</f>
        <v/>
      </c>
      <c r="T200">
        <f>HYPERLINK("https://klasma.github.io/Logging_2260/kartor/A 31878-2024 karta.png", "A 31878-2024")</f>
        <v/>
      </c>
      <c r="V200">
        <f>HYPERLINK("https://klasma.github.io/Logging_2260/klagomål/A 31878-2024 FSC-klagomål.docx", "A 31878-2024")</f>
        <v/>
      </c>
      <c r="W200">
        <f>HYPERLINK("https://klasma.github.io/Logging_2260/klagomålsmail/A 31878-2024 FSC-klagomål mail.docx", "A 31878-2024")</f>
        <v/>
      </c>
      <c r="X200">
        <f>HYPERLINK("https://klasma.github.io/Logging_2260/tillsyn/A 31878-2024 tillsynsbegäran.docx", "A 31878-2024")</f>
        <v/>
      </c>
      <c r="Y200">
        <f>HYPERLINK("https://klasma.github.io/Logging_2260/tillsynsmail/A 31878-2024 tillsynsbegäran mail.docx", "A 31878-2024")</f>
        <v/>
      </c>
    </row>
    <row r="201" ht="15" customHeight="1">
      <c r="A201" t="inlineStr">
        <is>
          <t>A 63983-2020</t>
        </is>
      </c>
      <c r="B201" s="1" t="n">
        <v>44167</v>
      </c>
      <c r="C201" s="1" t="n">
        <v>45992</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37432-2025</t>
        </is>
      </c>
      <c r="B202" s="1" t="n">
        <v>45877.51106481482</v>
      </c>
      <c r="C202" s="1" t="n">
        <v>45992</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25705-2024</t>
        </is>
      </c>
      <c r="B203" s="1" t="n">
        <v>45463.9428587963</v>
      </c>
      <c r="C203" s="1" t="n">
        <v>45992</v>
      </c>
      <c r="D203" t="inlineStr">
        <is>
          <t>VÄSTERNORRLANDS LÄN</t>
        </is>
      </c>
      <c r="E203" t="inlineStr">
        <is>
          <t>ÅNGE</t>
        </is>
      </c>
      <c r="F203" t="inlineStr">
        <is>
          <t>SCA</t>
        </is>
      </c>
      <c r="G203" t="n">
        <v>10.6</v>
      </c>
      <c r="H203" t="n">
        <v>1</v>
      </c>
      <c r="I203" t="n">
        <v>1</v>
      </c>
      <c r="J203" t="n">
        <v>0</v>
      </c>
      <c r="K203" t="n">
        <v>0</v>
      </c>
      <c r="L203" t="n">
        <v>0</v>
      </c>
      <c r="M203" t="n">
        <v>0</v>
      </c>
      <c r="N203" t="n">
        <v>0</v>
      </c>
      <c r="O203" t="n">
        <v>0</v>
      </c>
      <c r="P203" t="n">
        <v>0</v>
      </c>
      <c r="Q203" t="n">
        <v>1</v>
      </c>
      <c r="R203" s="2" t="inlineStr">
        <is>
          <t>Korallrot</t>
        </is>
      </c>
      <c r="S203">
        <f>HYPERLINK("https://klasma.github.io/Logging_2260/artfynd/A 25705-2024 artfynd.xlsx", "A 25705-2024")</f>
        <v/>
      </c>
      <c r="T203">
        <f>HYPERLINK("https://klasma.github.io/Logging_2260/kartor/A 25705-2024 karta.png", "A 25705-2024")</f>
        <v/>
      </c>
      <c r="V203">
        <f>HYPERLINK("https://klasma.github.io/Logging_2260/klagomål/A 25705-2024 FSC-klagomål.docx", "A 25705-2024")</f>
        <v/>
      </c>
      <c r="W203">
        <f>HYPERLINK("https://klasma.github.io/Logging_2260/klagomålsmail/A 25705-2024 FSC-klagomål mail.docx", "A 25705-2024")</f>
        <v/>
      </c>
      <c r="X203">
        <f>HYPERLINK("https://klasma.github.io/Logging_2260/tillsyn/A 25705-2024 tillsynsbegäran.docx", "A 25705-2024")</f>
        <v/>
      </c>
      <c r="Y203">
        <f>HYPERLINK("https://klasma.github.io/Logging_2260/tillsynsmail/A 25705-2024 tillsynsbegäran mail.docx", "A 25705-2024")</f>
        <v/>
      </c>
    </row>
    <row r="204" ht="15" customHeight="1">
      <c r="A204" t="inlineStr">
        <is>
          <t>A 20192-2025</t>
        </is>
      </c>
      <c r="B204" s="1" t="n">
        <v>45772.60177083333</v>
      </c>
      <c r="C204" s="1" t="n">
        <v>45992</v>
      </c>
      <c r="D204" t="inlineStr">
        <is>
          <t>VÄSTERNORRLANDS LÄN</t>
        </is>
      </c>
      <c r="E204" t="inlineStr">
        <is>
          <t>ÅNGE</t>
        </is>
      </c>
      <c r="F204" t="inlineStr">
        <is>
          <t>Sveaskog</t>
        </is>
      </c>
      <c r="G204" t="n">
        <v>8.800000000000001</v>
      </c>
      <c r="H204" t="n">
        <v>1</v>
      </c>
      <c r="I204" t="n">
        <v>0</v>
      </c>
      <c r="J204" t="n">
        <v>0</v>
      </c>
      <c r="K204" t="n">
        <v>0</v>
      </c>
      <c r="L204" t="n">
        <v>0</v>
      </c>
      <c r="M204" t="n">
        <v>0</v>
      </c>
      <c r="N204" t="n">
        <v>0</v>
      </c>
      <c r="O204" t="n">
        <v>0</v>
      </c>
      <c r="P204" t="n">
        <v>0</v>
      </c>
      <c r="Q204" t="n">
        <v>1</v>
      </c>
      <c r="R204" s="2" t="inlineStr">
        <is>
          <t>Blåsippa</t>
        </is>
      </c>
      <c r="S204">
        <f>HYPERLINK("https://klasma.github.io/Logging_2260/artfynd/A 20192-2025 artfynd.xlsx", "A 20192-2025")</f>
        <v/>
      </c>
      <c r="T204">
        <f>HYPERLINK("https://klasma.github.io/Logging_2260/kartor/A 20192-2025 karta.png", "A 20192-2025")</f>
        <v/>
      </c>
      <c r="V204">
        <f>HYPERLINK("https://klasma.github.io/Logging_2260/klagomål/A 20192-2025 FSC-klagomål.docx", "A 20192-2025")</f>
        <v/>
      </c>
      <c r="W204">
        <f>HYPERLINK("https://klasma.github.io/Logging_2260/klagomålsmail/A 20192-2025 FSC-klagomål mail.docx", "A 20192-2025")</f>
        <v/>
      </c>
      <c r="X204">
        <f>HYPERLINK("https://klasma.github.io/Logging_2260/tillsyn/A 20192-2025 tillsynsbegäran.docx", "A 20192-2025")</f>
        <v/>
      </c>
      <c r="Y204">
        <f>HYPERLINK("https://klasma.github.io/Logging_2260/tillsynsmail/A 20192-2025 tillsynsbegäran mail.docx", "A 20192-2025")</f>
        <v/>
      </c>
    </row>
    <row r="205" ht="15" customHeight="1">
      <c r="A205" t="inlineStr">
        <is>
          <t>A 39638-2024</t>
        </is>
      </c>
      <c r="B205" s="1" t="n">
        <v>45552</v>
      </c>
      <c r="C205" s="1" t="n">
        <v>45992</v>
      </c>
      <c r="D205" t="inlineStr">
        <is>
          <t>VÄSTERNORRLANDS LÄN</t>
        </is>
      </c>
      <c r="E205" t="inlineStr">
        <is>
          <t>ÅNGE</t>
        </is>
      </c>
      <c r="G205" t="n">
        <v>3</v>
      </c>
      <c r="H205" t="n">
        <v>1</v>
      </c>
      <c r="I205" t="n">
        <v>0</v>
      </c>
      <c r="J205" t="n">
        <v>0</v>
      </c>
      <c r="K205" t="n">
        <v>0</v>
      </c>
      <c r="L205" t="n">
        <v>0</v>
      </c>
      <c r="M205" t="n">
        <v>0</v>
      </c>
      <c r="N205" t="n">
        <v>0</v>
      </c>
      <c r="O205" t="n">
        <v>0</v>
      </c>
      <c r="P205" t="n">
        <v>0</v>
      </c>
      <c r="Q205" t="n">
        <v>1</v>
      </c>
      <c r="R205" s="2" t="inlineStr">
        <is>
          <t>Tjäder</t>
        </is>
      </c>
      <c r="S205">
        <f>HYPERLINK("https://klasma.github.io/Logging_2260/artfynd/A 39638-2024 artfynd.xlsx", "A 39638-2024")</f>
        <v/>
      </c>
      <c r="T205">
        <f>HYPERLINK("https://klasma.github.io/Logging_2260/kartor/A 39638-2024 karta.png", "A 39638-2024")</f>
        <v/>
      </c>
      <c r="V205">
        <f>HYPERLINK("https://klasma.github.io/Logging_2260/klagomål/A 39638-2024 FSC-klagomål.docx", "A 39638-2024")</f>
        <v/>
      </c>
      <c r="W205">
        <f>HYPERLINK("https://klasma.github.io/Logging_2260/klagomålsmail/A 39638-2024 FSC-klagomål mail.docx", "A 39638-2024")</f>
        <v/>
      </c>
      <c r="X205">
        <f>HYPERLINK("https://klasma.github.io/Logging_2260/tillsyn/A 39638-2024 tillsynsbegäran.docx", "A 39638-2024")</f>
        <v/>
      </c>
      <c r="Y205">
        <f>HYPERLINK("https://klasma.github.io/Logging_2260/tillsynsmail/A 39638-2024 tillsynsbegäran mail.docx", "A 39638-2024")</f>
        <v/>
      </c>
      <c r="Z205">
        <f>HYPERLINK("https://klasma.github.io/Logging_2260/fåglar/A 39638-2024 prioriterade fågelarter.docx", "A 39638-2024")</f>
        <v/>
      </c>
    </row>
    <row r="206" ht="15" customHeight="1">
      <c r="A206" t="inlineStr">
        <is>
          <t>A 57272-2024</t>
        </is>
      </c>
      <c r="B206" s="1" t="n">
        <v>45629.57380787037</v>
      </c>
      <c r="C206" s="1" t="n">
        <v>45992</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47857-2025</t>
        </is>
      </c>
      <c r="B207" s="1" t="n">
        <v>45932.4068287037</v>
      </c>
      <c r="C207" s="1" t="n">
        <v>45992</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45992</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53683-2025</t>
        </is>
      </c>
      <c r="B209" s="1" t="n">
        <v>45960</v>
      </c>
      <c r="C209" s="1" t="n">
        <v>45992</v>
      </c>
      <c r="D209" t="inlineStr">
        <is>
          <t>VÄSTERNORRLANDS LÄN</t>
        </is>
      </c>
      <c r="E209" t="inlineStr">
        <is>
          <t>ÅNGE</t>
        </is>
      </c>
      <c r="F209" t="inlineStr">
        <is>
          <t>SCA</t>
        </is>
      </c>
      <c r="G209" t="n">
        <v>3.6</v>
      </c>
      <c r="H209" t="n">
        <v>0</v>
      </c>
      <c r="I209" t="n">
        <v>1</v>
      </c>
      <c r="J209" t="n">
        <v>0</v>
      </c>
      <c r="K209" t="n">
        <v>0</v>
      </c>
      <c r="L209" t="n">
        <v>0</v>
      </c>
      <c r="M209" t="n">
        <v>0</v>
      </c>
      <c r="N209" t="n">
        <v>0</v>
      </c>
      <c r="O209" t="n">
        <v>0</v>
      </c>
      <c r="P209" t="n">
        <v>0</v>
      </c>
      <c r="Q209" t="n">
        <v>1</v>
      </c>
      <c r="R209" s="2" t="inlineStr">
        <is>
          <t>Ögonpyrola</t>
        </is>
      </c>
      <c r="S209">
        <f>HYPERLINK("https://klasma.github.io/Logging_2260/artfynd/A 53683-2025 artfynd.xlsx", "A 53683-2025")</f>
        <v/>
      </c>
      <c r="T209">
        <f>HYPERLINK("https://klasma.github.io/Logging_2260/kartor/A 53683-2025 karta.png", "A 53683-2025")</f>
        <v/>
      </c>
      <c r="U209">
        <f>HYPERLINK("https://klasma.github.io/Logging_2260/knärot/A 53683-2025 karta knärot.png", "A 53683-2025")</f>
        <v/>
      </c>
      <c r="V209">
        <f>HYPERLINK("https://klasma.github.io/Logging_2260/klagomål/A 53683-2025 FSC-klagomål.docx", "A 53683-2025")</f>
        <v/>
      </c>
      <c r="W209">
        <f>HYPERLINK("https://klasma.github.io/Logging_2260/klagomålsmail/A 53683-2025 FSC-klagomål mail.docx", "A 53683-2025")</f>
        <v/>
      </c>
      <c r="X209">
        <f>HYPERLINK("https://klasma.github.io/Logging_2260/tillsyn/A 53683-2025 tillsynsbegäran.docx", "A 53683-2025")</f>
        <v/>
      </c>
      <c r="Y209">
        <f>HYPERLINK("https://klasma.github.io/Logging_2260/tillsynsmail/A 53683-2025 tillsynsbegäran mail.docx", "A 53683-2025")</f>
        <v/>
      </c>
    </row>
    <row r="210" ht="15" customHeight="1">
      <c r="A210" t="inlineStr">
        <is>
          <t>A 1449-2025</t>
        </is>
      </c>
      <c r="B210" s="1" t="n">
        <v>45670.27537037037</v>
      </c>
      <c r="C210" s="1" t="n">
        <v>45992</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4351-2024</t>
        </is>
      </c>
      <c r="B211" s="1" t="n">
        <v>45324</v>
      </c>
      <c r="C211" s="1" t="n">
        <v>45992</v>
      </c>
      <c r="D211" t="inlineStr">
        <is>
          <t>VÄSTERNORRLANDS LÄN</t>
        </is>
      </c>
      <c r="E211" t="inlineStr">
        <is>
          <t>ÅNGE</t>
        </is>
      </c>
      <c r="F211" t="inlineStr">
        <is>
          <t>SCA</t>
        </is>
      </c>
      <c r="G211" t="n">
        <v>0.5</v>
      </c>
      <c r="H211" t="n">
        <v>0</v>
      </c>
      <c r="I211" t="n">
        <v>0</v>
      </c>
      <c r="J211" t="n">
        <v>1</v>
      </c>
      <c r="K211" t="n">
        <v>0</v>
      </c>
      <c r="L211" t="n">
        <v>0</v>
      </c>
      <c r="M211" t="n">
        <v>0</v>
      </c>
      <c r="N211" t="n">
        <v>0</v>
      </c>
      <c r="O211" t="n">
        <v>1</v>
      </c>
      <c r="P211" t="n">
        <v>0</v>
      </c>
      <c r="Q211" t="n">
        <v>1</v>
      </c>
      <c r="R211" s="2" t="inlineStr">
        <is>
          <t>Garnlav</t>
        </is>
      </c>
      <c r="S211">
        <f>HYPERLINK("https://klasma.github.io/Logging_2260/artfynd/A 4351-2024 artfynd.xlsx", "A 4351-2024")</f>
        <v/>
      </c>
      <c r="T211">
        <f>HYPERLINK("https://klasma.github.io/Logging_2260/kartor/A 4351-2024 karta.png", "A 4351-2024")</f>
        <v/>
      </c>
      <c r="V211">
        <f>HYPERLINK("https://klasma.github.io/Logging_2260/klagomål/A 4351-2024 FSC-klagomål.docx", "A 4351-2024")</f>
        <v/>
      </c>
      <c r="W211">
        <f>HYPERLINK("https://klasma.github.io/Logging_2260/klagomålsmail/A 4351-2024 FSC-klagomål mail.docx", "A 4351-2024")</f>
        <v/>
      </c>
      <c r="X211">
        <f>HYPERLINK("https://klasma.github.io/Logging_2260/tillsyn/A 4351-2024 tillsynsbegäran.docx", "A 4351-2024")</f>
        <v/>
      </c>
      <c r="Y211">
        <f>HYPERLINK("https://klasma.github.io/Logging_2260/tillsynsmail/A 4351-2024 tillsynsbegäran mail.docx", "A 4351-2024")</f>
        <v/>
      </c>
    </row>
    <row r="212" ht="15" customHeight="1">
      <c r="A212" t="inlineStr">
        <is>
          <t>A 58534-2025</t>
        </is>
      </c>
      <c r="B212" s="1" t="n">
        <v>45985.80396990741</v>
      </c>
      <c r="C212" s="1" t="n">
        <v>45992</v>
      </c>
      <c r="D212" t="inlineStr">
        <is>
          <t>VÄSTERNORRLANDS LÄN</t>
        </is>
      </c>
      <c r="E212" t="inlineStr">
        <is>
          <t>ÅNGE</t>
        </is>
      </c>
      <c r="F212" t="inlineStr">
        <is>
          <t>Holmen skog AB</t>
        </is>
      </c>
      <c r="G212" t="n">
        <v>2.2</v>
      </c>
      <c r="H212" t="n">
        <v>0</v>
      </c>
      <c r="I212" t="n">
        <v>0</v>
      </c>
      <c r="J212" t="n">
        <v>1</v>
      </c>
      <c r="K212" t="n">
        <v>0</v>
      </c>
      <c r="L212" t="n">
        <v>0</v>
      </c>
      <c r="M212" t="n">
        <v>0</v>
      </c>
      <c r="N212" t="n">
        <v>0</v>
      </c>
      <c r="O212" t="n">
        <v>1</v>
      </c>
      <c r="P212" t="n">
        <v>0</v>
      </c>
      <c r="Q212" t="n">
        <v>1</v>
      </c>
      <c r="R212" s="2" t="inlineStr">
        <is>
          <t>Ullticka</t>
        </is>
      </c>
      <c r="S212">
        <f>HYPERLINK("https://klasma.github.io/Logging_2260/artfynd/A 58534-2025 artfynd.xlsx", "A 58534-2025")</f>
        <v/>
      </c>
      <c r="T212">
        <f>HYPERLINK("https://klasma.github.io/Logging_2260/kartor/A 58534-2025 karta.png", "A 58534-2025")</f>
        <v/>
      </c>
      <c r="V212">
        <f>HYPERLINK("https://klasma.github.io/Logging_2260/klagomål/A 58534-2025 FSC-klagomål.docx", "A 58534-2025")</f>
        <v/>
      </c>
      <c r="W212">
        <f>HYPERLINK("https://klasma.github.io/Logging_2260/klagomålsmail/A 58534-2025 FSC-klagomål mail.docx", "A 58534-2025")</f>
        <v/>
      </c>
      <c r="X212">
        <f>HYPERLINK("https://klasma.github.io/Logging_2260/tillsyn/A 58534-2025 tillsynsbegäran.docx", "A 58534-2025")</f>
        <v/>
      </c>
      <c r="Y212">
        <f>HYPERLINK("https://klasma.github.io/Logging_2260/tillsynsmail/A 58534-2025 tillsynsbegäran mail.docx", "A 58534-2025")</f>
        <v/>
      </c>
    </row>
    <row r="213" ht="15" customHeight="1">
      <c r="A213" t="inlineStr">
        <is>
          <t>A 40214-2024</t>
        </is>
      </c>
      <c r="B213" s="1" t="n">
        <v>45554.59460648148</v>
      </c>
      <c r="C213" s="1" t="n">
        <v>45992</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52424-2023</t>
        </is>
      </c>
      <c r="B214" s="1" t="n">
        <v>45217</v>
      </c>
      <c r="C214" s="1" t="n">
        <v>45992</v>
      </c>
      <c r="D214" t="inlineStr">
        <is>
          <t>VÄSTERNORRLANDS LÄN</t>
        </is>
      </c>
      <c r="E214" t="inlineStr">
        <is>
          <t>ÅNGE</t>
        </is>
      </c>
      <c r="F214" t="inlineStr">
        <is>
          <t>SCA</t>
        </is>
      </c>
      <c r="G214" t="n">
        <v>3.8</v>
      </c>
      <c r="H214" t="n">
        <v>1</v>
      </c>
      <c r="I214" t="n">
        <v>0</v>
      </c>
      <c r="J214" t="n">
        <v>0</v>
      </c>
      <c r="K214" t="n">
        <v>0</v>
      </c>
      <c r="L214" t="n">
        <v>0</v>
      </c>
      <c r="M214" t="n">
        <v>0</v>
      </c>
      <c r="N214" t="n">
        <v>0</v>
      </c>
      <c r="O214" t="n">
        <v>0</v>
      </c>
      <c r="P214" t="n">
        <v>0</v>
      </c>
      <c r="Q214" t="n">
        <v>1</v>
      </c>
      <c r="R214" s="2" t="inlineStr">
        <is>
          <t>Revlummer</t>
        </is>
      </c>
      <c r="S214">
        <f>HYPERLINK("https://klasma.github.io/Logging_2260/artfynd/A 52424-2023 artfynd.xlsx", "A 52424-2023")</f>
        <v/>
      </c>
      <c r="T214">
        <f>HYPERLINK("https://klasma.github.io/Logging_2260/kartor/A 52424-2023 karta.png", "A 52424-2023")</f>
        <v/>
      </c>
      <c r="V214">
        <f>HYPERLINK("https://klasma.github.io/Logging_2260/klagomål/A 52424-2023 FSC-klagomål.docx", "A 52424-2023")</f>
        <v/>
      </c>
      <c r="W214">
        <f>HYPERLINK("https://klasma.github.io/Logging_2260/klagomålsmail/A 52424-2023 FSC-klagomål mail.docx", "A 52424-2023")</f>
        <v/>
      </c>
      <c r="X214">
        <f>HYPERLINK("https://klasma.github.io/Logging_2260/tillsyn/A 52424-2023 tillsynsbegäran.docx", "A 52424-2023")</f>
        <v/>
      </c>
      <c r="Y214">
        <f>HYPERLINK("https://klasma.github.io/Logging_2260/tillsynsmail/A 52424-2023 tillsynsbegäran mail.docx", "A 52424-2023")</f>
        <v/>
      </c>
    </row>
    <row r="215" ht="15" customHeight="1">
      <c r="A215" t="inlineStr">
        <is>
          <t>A 31544-2024</t>
        </is>
      </c>
      <c r="B215" s="1" t="n">
        <v>45505</v>
      </c>
      <c r="C215" s="1" t="n">
        <v>45992</v>
      </c>
      <c r="D215" t="inlineStr">
        <is>
          <t>VÄSTERNORRLANDS LÄN</t>
        </is>
      </c>
      <c r="E215" t="inlineStr">
        <is>
          <t>ÅNGE</t>
        </is>
      </c>
      <c r="F215" t="inlineStr">
        <is>
          <t>SCA</t>
        </is>
      </c>
      <c r="G215" t="n">
        <v>3.5</v>
      </c>
      <c r="H215" t="n">
        <v>0</v>
      </c>
      <c r="I215" t="n">
        <v>0</v>
      </c>
      <c r="J215" t="n">
        <v>1</v>
      </c>
      <c r="K215" t="n">
        <v>0</v>
      </c>
      <c r="L215" t="n">
        <v>0</v>
      </c>
      <c r="M215" t="n">
        <v>0</v>
      </c>
      <c r="N215" t="n">
        <v>0</v>
      </c>
      <c r="O215" t="n">
        <v>1</v>
      </c>
      <c r="P215" t="n">
        <v>0</v>
      </c>
      <c r="Q215" t="n">
        <v>1</v>
      </c>
      <c r="R215" s="2" t="inlineStr">
        <is>
          <t>Granticka</t>
        </is>
      </c>
      <c r="S215">
        <f>HYPERLINK("https://klasma.github.io/Logging_2260/artfynd/A 31544-2024 artfynd.xlsx", "A 31544-2024")</f>
        <v/>
      </c>
      <c r="T215">
        <f>HYPERLINK("https://klasma.github.io/Logging_2260/kartor/A 31544-2024 karta.png", "A 31544-2024")</f>
        <v/>
      </c>
      <c r="V215">
        <f>HYPERLINK("https://klasma.github.io/Logging_2260/klagomål/A 31544-2024 FSC-klagomål.docx", "A 31544-2024")</f>
        <v/>
      </c>
      <c r="W215">
        <f>HYPERLINK("https://klasma.github.io/Logging_2260/klagomålsmail/A 31544-2024 FSC-klagomål mail.docx", "A 31544-2024")</f>
        <v/>
      </c>
      <c r="X215">
        <f>HYPERLINK("https://klasma.github.io/Logging_2260/tillsyn/A 31544-2024 tillsynsbegäran.docx", "A 31544-2024")</f>
        <v/>
      </c>
      <c r="Y215">
        <f>HYPERLINK("https://klasma.github.io/Logging_2260/tillsynsmail/A 31544-2024 tillsynsbegäran mail.docx", "A 31544-2024")</f>
        <v/>
      </c>
    </row>
    <row r="216" ht="15" customHeight="1">
      <c r="A216" t="inlineStr">
        <is>
          <t>A 56091-2024</t>
        </is>
      </c>
      <c r="B216" s="1" t="n">
        <v>45624.40678240741</v>
      </c>
      <c r="C216" s="1" t="n">
        <v>45992</v>
      </c>
      <c r="D216" t="inlineStr">
        <is>
          <t>VÄSTERNORRLANDS LÄN</t>
        </is>
      </c>
      <c r="E216" t="inlineStr">
        <is>
          <t>ÅNGE</t>
        </is>
      </c>
      <c r="F216" t="inlineStr">
        <is>
          <t>SCA</t>
        </is>
      </c>
      <c r="G216" t="n">
        <v>2.5</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56091-2024 artfynd.xlsx", "A 56091-2024")</f>
        <v/>
      </c>
      <c r="T216">
        <f>HYPERLINK("https://klasma.github.io/Logging_2260/kartor/A 56091-2024 karta.png", "A 56091-2024")</f>
        <v/>
      </c>
      <c r="V216">
        <f>HYPERLINK("https://klasma.github.io/Logging_2260/klagomål/A 56091-2024 FSC-klagomål.docx", "A 56091-2024")</f>
        <v/>
      </c>
      <c r="W216">
        <f>HYPERLINK("https://klasma.github.io/Logging_2260/klagomålsmail/A 56091-2024 FSC-klagomål mail.docx", "A 56091-2024")</f>
        <v/>
      </c>
      <c r="X216">
        <f>HYPERLINK("https://klasma.github.io/Logging_2260/tillsyn/A 56091-2024 tillsynsbegäran.docx", "A 56091-2024")</f>
        <v/>
      </c>
      <c r="Y216">
        <f>HYPERLINK("https://klasma.github.io/Logging_2260/tillsynsmail/A 56091-2024 tillsynsbegäran mail.docx", "A 56091-2024")</f>
        <v/>
      </c>
    </row>
    <row r="217" ht="15" customHeight="1">
      <c r="A217" t="inlineStr">
        <is>
          <t>A 13934-2024</t>
        </is>
      </c>
      <c r="B217" s="1" t="n">
        <v>45391</v>
      </c>
      <c r="C217" s="1" t="n">
        <v>45992</v>
      </c>
      <c r="D217" t="inlineStr">
        <is>
          <t>VÄSTERNORRLANDS LÄN</t>
        </is>
      </c>
      <c r="E217" t="inlineStr">
        <is>
          <t>ÅNGE</t>
        </is>
      </c>
      <c r="F217" t="inlineStr">
        <is>
          <t>SCA</t>
        </is>
      </c>
      <c r="G217" t="n">
        <v>5.8</v>
      </c>
      <c r="H217" t="n">
        <v>0</v>
      </c>
      <c r="I217" t="n">
        <v>0</v>
      </c>
      <c r="J217" t="n">
        <v>1</v>
      </c>
      <c r="K217" t="n">
        <v>0</v>
      </c>
      <c r="L217" t="n">
        <v>0</v>
      </c>
      <c r="M217" t="n">
        <v>0</v>
      </c>
      <c r="N217" t="n">
        <v>0</v>
      </c>
      <c r="O217" t="n">
        <v>1</v>
      </c>
      <c r="P217" t="n">
        <v>0</v>
      </c>
      <c r="Q217" t="n">
        <v>1</v>
      </c>
      <c r="R217" s="2" t="inlineStr">
        <is>
          <t>Ullticka</t>
        </is>
      </c>
      <c r="S217">
        <f>HYPERLINK("https://klasma.github.io/Logging_2260/artfynd/A 13934-2024 artfynd.xlsx", "A 13934-2024")</f>
        <v/>
      </c>
      <c r="T217">
        <f>HYPERLINK("https://klasma.github.io/Logging_2260/kartor/A 13934-2024 karta.png", "A 13934-2024")</f>
        <v/>
      </c>
      <c r="V217">
        <f>HYPERLINK("https://klasma.github.io/Logging_2260/klagomål/A 13934-2024 FSC-klagomål.docx", "A 13934-2024")</f>
        <v/>
      </c>
      <c r="W217">
        <f>HYPERLINK("https://klasma.github.io/Logging_2260/klagomålsmail/A 13934-2024 FSC-klagomål mail.docx", "A 13934-2024")</f>
        <v/>
      </c>
      <c r="X217">
        <f>HYPERLINK("https://klasma.github.io/Logging_2260/tillsyn/A 13934-2024 tillsynsbegäran.docx", "A 13934-2024")</f>
        <v/>
      </c>
      <c r="Y217">
        <f>HYPERLINK("https://klasma.github.io/Logging_2260/tillsynsmail/A 13934-2024 tillsynsbegäran mail.docx", "A 13934-2024")</f>
        <v/>
      </c>
    </row>
    <row r="218" ht="15" customHeight="1">
      <c r="A218" t="inlineStr">
        <is>
          <t>A 43171-2024</t>
        </is>
      </c>
      <c r="B218" s="1" t="n">
        <v>45567</v>
      </c>
      <c r="C218" s="1" t="n">
        <v>45992</v>
      </c>
      <c r="D218" t="inlineStr">
        <is>
          <t>VÄSTERNORRLANDS LÄN</t>
        </is>
      </c>
      <c r="E218" t="inlineStr">
        <is>
          <t>ÅNGE</t>
        </is>
      </c>
      <c r="F218" t="inlineStr">
        <is>
          <t>SCA</t>
        </is>
      </c>
      <c r="G218" t="n">
        <v>3.4</v>
      </c>
      <c r="H218" t="n">
        <v>0</v>
      </c>
      <c r="I218" t="n">
        <v>0</v>
      </c>
      <c r="J218" t="n">
        <v>1</v>
      </c>
      <c r="K218" t="n">
        <v>0</v>
      </c>
      <c r="L218" t="n">
        <v>0</v>
      </c>
      <c r="M218" t="n">
        <v>0</v>
      </c>
      <c r="N218" t="n">
        <v>0</v>
      </c>
      <c r="O218" t="n">
        <v>1</v>
      </c>
      <c r="P218" t="n">
        <v>0</v>
      </c>
      <c r="Q218" t="n">
        <v>1</v>
      </c>
      <c r="R218" s="2" t="inlineStr">
        <is>
          <t>Rosenticka</t>
        </is>
      </c>
      <c r="S218">
        <f>HYPERLINK("https://klasma.github.io/Logging_2260/artfynd/A 43171-2024 artfynd.xlsx", "A 43171-2024")</f>
        <v/>
      </c>
      <c r="T218">
        <f>HYPERLINK("https://klasma.github.io/Logging_2260/kartor/A 43171-2024 karta.png", "A 43171-2024")</f>
        <v/>
      </c>
      <c r="V218">
        <f>HYPERLINK("https://klasma.github.io/Logging_2260/klagomål/A 43171-2024 FSC-klagomål.docx", "A 43171-2024")</f>
        <v/>
      </c>
      <c r="W218">
        <f>HYPERLINK("https://klasma.github.io/Logging_2260/klagomålsmail/A 43171-2024 FSC-klagomål mail.docx", "A 43171-2024")</f>
        <v/>
      </c>
      <c r="X218">
        <f>HYPERLINK("https://klasma.github.io/Logging_2260/tillsyn/A 43171-2024 tillsynsbegäran.docx", "A 43171-2024")</f>
        <v/>
      </c>
      <c r="Y218">
        <f>HYPERLINK("https://klasma.github.io/Logging_2260/tillsynsmail/A 43171-2024 tillsynsbegäran mail.docx", "A 43171-2024")</f>
        <v/>
      </c>
    </row>
    <row r="219" ht="15" customHeight="1">
      <c r="A219" t="inlineStr">
        <is>
          <t>A 55015-2023</t>
        </is>
      </c>
      <c r="B219" s="1" t="n">
        <v>45237.32185185186</v>
      </c>
      <c r="C219" s="1" t="n">
        <v>45992</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45992</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31510-2024</t>
        </is>
      </c>
      <c r="B221" s="1" t="n">
        <v>45505</v>
      </c>
      <c r="C221" s="1" t="n">
        <v>45992</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37914-2024</t>
        </is>
      </c>
      <c r="B222" s="1" t="n">
        <v>45544</v>
      </c>
      <c r="C222" s="1" t="n">
        <v>45992</v>
      </c>
      <c r="D222" t="inlineStr">
        <is>
          <t>VÄSTERNORRLANDS LÄN</t>
        </is>
      </c>
      <c r="E222" t="inlineStr">
        <is>
          <t>ÅNGE</t>
        </is>
      </c>
      <c r="F222" t="inlineStr">
        <is>
          <t>SCA</t>
        </is>
      </c>
      <c r="G222" t="n">
        <v>9</v>
      </c>
      <c r="H222" t="n">
        <v>0</v>
      </c>
      <c r="I222" t="n">
        <v>0</v>
      </c>
      <c r="J222" t="n">
        <v>1</v>
      </c>
      <c r="K222" t="n">
        <v>0</v>
      </c>
      <c r="L222" t="n">
        <v>0</v>
      </c>
      <c r="M222" t="n">
        <v>0</v>
      </c>
      <c r="N222" t="n">
        <v>0</v>
      </c>
      <c r="O222" t="n">
        <v>1</v>
      </c>
      <c r="P222" t="n">
        <v>0</v>
      </c>
      <c r="Q222" t="n">
        <v>1</v>
      </c>
      <c r="R222" s="2" t="inlineStr">
        <is>
          <t>Granticka</t>
        </is>
      </c>
      <c r="S222">
        <f>HYPERLINK("https://klasma.github.io/Logging_2260/artfynd/A 37914-2024 artfynd.xlsx", "A 37914-2024")</f>
        <v/>
      </c>
      <c r="T222">
        <f>HYPERLINK("https://klasma.github.io/Logging_2260/kartor/A 37914-2024 karta.png", "A 37914-2024")</f>
        <v/>
      </c>
      <c r="V222">
        <f>HYPERLINK("https://klasma.github.io/Logging_2260/klagomål/A 37914-2024 FSC-klagomål.docx", "A 37914-2024")</f>
        <v/>
      </c>
      <c r="W222">
        <f>HYPERLINK("https://klasma.github.io/Logging_2260/klagomålsmail/A 37914-2024 FSC-klagomål mail.docx", "A 37914-2024")</f>
        <v/>
      </c>
      <c r="X222">
        <f>HYPERLINK("https://klasma.github.io/Logging_2260/tillsyn/A 37914-2024 tillsynsbegäran.docx", "A 37914-2024")</f>
        <v/>
      </c>
      <c r="Y222">
        <f>HYPERLINK("https://klasma.github.io/Logging_2260/tillsynsmail/A 37914-2024 tillsynsbegäran mail.docx", "A 37914-2024")</f>
        <v/>
      </c>
    </row>
    <row r="223" ht="15" customHeight="1">
      <c r="A223" t="inlineStr">
        <is>
          <t>A 54751-2021</t>
        </is>
      </c>
      <c r="B223" s="1" t="n">
        <v>44473</v>
      </c>
      <c r="C223" s="1" t="n">
        <v>45992</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39180-2024</t>
        </is>
      </c>
      <c r="B224" s="1" t="n">
        <v>45548.6571412037</v>
      </c>
      <c r="C224" s="1" t="n">
        <v>45992</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23490-2025</t>
        </is>
      </c>
      <c r="B225" s="1" t="n">
        <v>45792.46907407408</v>
      </c>
      <c r="C225" s="1" t="n">
        <v>45992</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8057-2021</t>
        </is>
      </c>
      <c r="B226" s="1" t="n">
        <v>44238</v>
      </c>
      <c r="C226" s="1" t="n">
        <v>45992</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45992</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45992</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21740-2022</t>
        </is>
      </c>
      <c r="B229" s="1" t="n">
        <v>44708.37472222222</v>
      </c>
      <c r="C229" s="1" t="n">
        <v>45992</v>
      </c>
      <c r="D229" t="inlineStr">
        <is>
          <t>VÄSTERNORRLANDS LÄN</t>
        </is>
      </c>
      <c r="E229" t="inlineStr">
        <is>
          <t>ÅNGE</t>
        </is>
      </c>
      <c r="G229" t="n">
        <v>2</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45992</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45992</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38432-2021</t>
        </is>
      </c>
      <c r="B232" s="1" t="n">
        <v>44406</v>
      </c>
      <c r="C232" s="1" t="n">
        <v>45992</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45992</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45992</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45992</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45992</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45992</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45992</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45992</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45992</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45992</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45992</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45992</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45992</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45992</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46350-2022</t>
        </is>
      </c>
      <c r="B246" s="1" t="n">
        <v>44847.95120370371</v>
      </c>
      <c r="C246" s="1" t="n">
        <v>45992</v>
      </c>
      <c r="D246" t="inlineStr">
        <is>
          <t>VÄSTERNORRLANDS LÄN</t>
        </is>
      </c>
      <c r="E246" t="inlineStr">
        <is>
          <t>ÅNGE</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45992</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45992</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45992</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45992</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45992</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45992</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45992</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45992</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47282-2022</t>
        </is>
      </c>
      <c r="B255" s="1" t="n">
        <v>44852.95091435185</v>
      </c>
      <c r="C255" s="1" t="n">
        <v>45992</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45992</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45992</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45992</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45992</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45992</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45992</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52705-2021</t>
        </is>
      </c>
      <c r="B262" s="1" t="n">
        <v>44466</v>
      </c>
      <c r="C262" s="1" t="n">
        <v>45992</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52726-2021</t>
        </is>
      </c>
      <c r="B263" s="1" t="n">
        <v>44466</v>
      </c>
      <c r="C263" s="1" t="n">
        <v>45992</v>
      </c>
      <c r="D263" t="inlineStr">
        <is>
          <t>VÄSTERNORRLANDS LÄN</t>
        </is>
      </c>
      <c r="E263" t="inlineStr">
        <is>
          <t>ÅNGE</t>
        </is>
      </c>
      <c r="F263" t="inlineStr">
        <is>
          <t>SCA</t>
        </is>
      </c>
      <c r="G263" t="n">
        <v>9.5</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45992</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45992</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45992</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45992</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45992</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45992</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45992</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45992</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45992</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45992</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45992</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45992</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45992</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45992</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45992</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45992</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45992</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45992</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45992</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45992</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45992</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45992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45992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45992</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45992</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45992</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45992</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45992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45992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45992</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45992</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45992</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45992</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45992</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45992</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45992</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45992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45992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45992</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45992</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45992</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45992</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45992</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45992</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45992</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45992</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45992</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45992</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45992</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45992</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45992</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45992</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45992</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45992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45992</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45992</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45992</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45992</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45992</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45992</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45992</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45992</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45992</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45992</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45992</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45992</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45992</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45992</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45992</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45992</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45992</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32328-2021</t>
        </is>
      </c>
      <c r="B335" s="1" t="n">
        <v>44371.55924768518</v>
      </c>
      <c r="C335" s="1" t="n">
        <v>45992</v>
      </c>
      <c r="D335" t="inlineStr">
        <is>
          <t>VÄSTERNORRLANDS LÄN</t>
        </is>
      </c>
      <c r="E335" t="inlineStr">
        <is>
          <t>ÅNGE</t>
        </is>
      </c>
      <c r="G335" t="n">
        <v>0.9</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45992</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45992</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45992</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45992</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45992</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45992</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45992</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45992</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45992</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45992</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45992</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45992</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45992</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45992</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45992</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45992</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45992</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45992</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45992</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57418-2021</t>
        </is>
      </c>
      <c r="B355" s="1" t="n">
        <v>44483</v>
      </c>
      <c r="C355" s="1" t="n">
        <v>45992</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45992</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45992</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45992</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45992</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45992</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45992</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45992</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45992</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45992</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45992</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45992</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2327-2021</t>
        </is>
      </c>
      <c r="B367" s="1" t="n">
        <v>44214</v>
      </c>
      <c r="C367" s="1" t="n">
        <v>45992</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45992</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45992</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45992</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45992</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45992</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45992</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45992</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45992</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45992</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45992</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45992</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45992</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45992</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45992</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45992</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45992</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45992</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45992</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45992</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45992</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45992</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45992</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45992</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45992</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45992</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45992</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45992</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45992</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17009-2023</t>
        </is>
      </c>
      <c r="B396" s="1" t="n">
        <v>45033.9455787037</v>
      </c>
      <c r="C396" s="1" t="n">
        <v>45992</v>
      </c>
      <c r="D396" t="inlineStr">
        <is>
          <t>VÄSTERNORRLANDS LÄN</t>
        </is>
      </c>
      <c r="E396" t="inlineStr">
        <is>
          <t>ÅNGE</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45992</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24324-2022</t>
        </is>
      </c>
      <c r="B398" s="1" t="n">
        <v>44725.945</v>
      </c>
      <c r="C398" s="1" t="n">
        <v>45992</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24325-2022</t>
        </is>
      </c>
      <c r="B399" s="1" t="n">
        <v>44725.94506944445</v>
      </c>
      <c r="C399" s="1" t="n">
        <v>45992</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45992</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45992</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45992</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37382-2021</t>
        </is>
      </c>
      <c r="B403" s="1" t="n">
        <v>44397</v>
      </c>
      <c r="C403" s="1" t="n">
        <v>45992</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45992</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45992</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45992</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27002-2023</t>
        </is>
      </c>
      <c r="B407" s="1" t="n">
        <v>45093</v>
      </c>
      <c r="C407" s="1" t="n">
        <v>45992</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54946-2021</t>
        </is>
      </c>
      <c r="B408" s="1" t="n">
        <v>44474.46466435185</v>
      </c>
      <c r="C408" s="1" t="n">
        <v>45992</v>
      </c>
      <c r="D408" t="inlineStr">
        <is>
          <t>VÄSTERNORRLANDS LÄN</t>
        </is>
      </c>
      <c r="E408" t="inlineStr">
        <is>
          <t>ÅNGE</t>
        </is>
      </c>
      <c r="G408" t="n">
        <v>5.4</v>
      </c>
      <c r="H408" t="n">
        <v>0</v>
      </c>
      <c r="I408" t="n">
        <v>0</v>
      </c>
      <c r="J408" t="n">
        <v>0</v>
      </c>
      <c r="K408" t="n">
        <v>0</v>
      </c>
      <c r="L408" t="n">
        <v>0</v>
      </c>
      <c r="M408" t="n">
        <v>0</v>
      </c>
      <c r="N408" t="n">
        <v>0</v>
      </c>
      <c r="O408" t="n">
        <v>0</v>
      </c>
      <c r="P408" t="n">
        <v>0</v>
      </c>
      <c r="Q408" t="n">
        <v>0</v>
      </c>
      <c r="R408" s="2" t="inlineStr"/>
    </row>
    <row r="409" ht="15" customHeight="1">
      <c r="A409" t="inlineStr">
        <is>
          <t>A 38960-2021</t>
        </is>
      </c>
      <c r="B409" s="1" t="n">
        <v>44411</v>
      </c>
      <c r="C409" s="1" t="n">
        <v>45992</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45992</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45992</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45992</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30273-2023</t>
        </is>
      </c>
      <c r="B413" s="1" t="n">
        <v>45099</v>
      </c>
      <c r="C413" s="1" t="n">
        <v>45992</v>
      </c>
      <c r="D413" t="inlineStr">
        <is>
          <t>VÄSTERNORRLANDS LÄN</t>
        </is>
      </c>
      <c r="E413" t="inlineStr">
        <is>
          <t>ÅNGE</t>
        </is>
      </c>
      <c r="G413" t="n">
        <v>3.9</v>
      </c>
      <c r="H413" t="n">
        <v>0</v>
      </c>
      <c r="I413" t="n">
        <v>0</v>
      </c>
      <c r="J413" t="n">
        <v>0</v>
      </c>
      <c r="K413" t="n">
        <v>0</v>
      </c>
      <c r="L413" t="n">
        <v>0</v>
      </c>
      <c r="M413" t="n">
        <v>0</v>
      </c>
      <c r="N413" t="n">
        <v>0</v>
      </c>
      <c r="O413" t="n">
        <v>0</v>
      </c>
      <c r="P413" t="n">
        <v>0</v>
      </c>
      <c r="Q413" t="n">
        <v>0</v>
      </c>
      <c r="R413" s="2" t="inlineStr"/>
    </row>
    <row r="414" ht="15" customHeight="1">
      <c r="A414" t="inlineStr">
        <is>
          <t>A 29048-2021</t>
        </is>
      </c>
      <c r="B414" s="1" t="n">
        <v>44358</v>
      </c>
      <c r="C414" s="1" t="n">
        <v>45992</v>
      </c>
      <c r="D414" t="inlineStr">
        <is>
          <t>VÄSTERNORRLANDS LÄN</t>
        </is>
      </c>
      <c r="E414" t="inlineStr">
        <is>
          <t>ÅNGE</t>
        </is>
      </c>
      <c r="G414" t="n">
        <v>2.5</v>
      </c>
      <c r="H414" t="n">
        <v>0</v>
      </c>
      <c r="I414" t="n">
        <v>0</v>
      </c>
      <c r="J414" t="n">
        <v>0</v>
      </c>
      <c r="K414" t="n">
        <v>0</v>
      </c>
      <c r="L414" t="n">
        <v>0</v>
      </c>
      <c r="M414" t="n">
        <v>0</v>
      </c>
      <c r="N414" t="n">
        <v>0</v>
      </c>
      <c r="O414" t="n">
        <v>0</v>
      </c>
      <c r="P414" t="n">
        <v>0</v>
      </c>
      <c r="Q414" t="n">
        <v>0</v>
      </c>
      <c r="R414" s="2" t="inlineStr"/>
    </row>
    <row r="415" ht="15" customHeight="1">
      <c r="A415" t="inlineStr">
        <is>
          <t>A 14889-2022</t>
        </is>
      </c>
      <c r="B415" s="1" t="n">
        <v>44656</v>
      </c>
      <c r="C415" s="1" t="n">
        <v>45992</v>
      </c>
      <c r="D415" t="inlineStr">
        <is>
          <t>VÄSTERNORRLANDS LÄN</t>
        </is>
      </c>
      <c r="E415" t="inlineStr">
        <is>
          <t>ÅNGE</t>
        </is>
      </c>
      <c r="G415" t="n">
        <v>14</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45992</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45992</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17044-2023</t>
        </is>
      </c>
      <c r="B418" s="1" t="n">
        <v>45034</v>
      </c>
      <c r="C418" s="1" t="n">
        <v>45992</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45992</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51024-2024</t>
        </is>
      </c>
      <c r="B420" s="1" t="n">
        <v>45603.4141087963</v>
      </c>
      <c r="C420" s="1" t="n">
        <v>45992</v>
      </c>
      <c r="D420" t="inlineStr">
        <is>
          <t>VÄSTERNORRLANDS LÄN</t>
        </is>
      </c>
      <c r="E420" t="inlineStr">
        <is>
          <t>ÅNGE</t>
        </is>
      </c>
      <c r="G420" t="n">
        <v>8.9</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45992</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45992</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45992</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23035-2024</t>
        </is>
      </c>
      <c r="B424" s="1" t="n">
        <v>45450.39016203704</v>
      </c>
      <c r="C424" s="1" t="n">
        <v>45992</v>
      </c>
      <c r="D424" t="inlineStr">
        <is>
          <t>VÄSTERNORRLANDS LÄN</t>
        </is>
      </c>
      <c r="E424" t="inlineStr">
        <is>
          <t>ÅNGE</t>
        </is>
      </c>
      <c r="G424" t="n">
        <v>12.1</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45992</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45992</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45992</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31325-2022</t>
        </is>
      </c>
      <c r="B428" s="1" t="n">
        <v>44774.41421296296</v>
      </c>
      <c r="C428" s="1" t="n">
        <v>45992</v>
      </c>
      <c r="D428" t="inlineStr">
        <is>
          <t>VÄSTERNORRLANDS LÄN</t>
        </is>
      </c>
      <c r="E428" t="inlineStr">
        <is>
          <t>ÅNGE</t>
        </is>
      </c>
      <c r="G428" t="n">
        <v>6.3</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45992</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24232-2024</t>
        </is>
      </c>
      <c r="B430" s="1" t="n">
        <v>45457.34686342593</v>
      </c>
      <c r="C430" s="1" t="n">
        <v>45992</v>
      </c>
      <c r="D430" t="inlineStr">
        <is>
          <t>VÄSTERNORRLANDS LÄN</t>
        </is>
      </c>
      <c r="E430" t="inlineStr">
        <is>
          <t>ÅNGE</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22411-2023</t>
        </is>
      </c>
      <c r="B431" s="1" t="n">
        <v>45070</v>
      </c>
      <c r="C431" s="1" t="n">
        <v>45992</v>
      </c>
      <c r="D431" t="inlineStr">
        <is>
          <t>VÄSTERNORRLANDS LÄN</t>
        </is>
      </c>
      <c r="E431" t="inlineStr">
        <is>
          <t>ÅNGE</t>
        </is>
      </c>
      <c r="G431" t="n">
        <v>2.8</v>
      </c>
      <c r="H431" t="n">
        <v>0</v>
      </c>
      <c r="I431" t="n">
        <v>0</v>
      </c>
      <c r="J431" t="n">
        <v>0</v>
      </c>
      <c r="K431" t="n">
        <v>0</v>
      </c>
      <c r="L431" t="n">
        <v>0</v>
      </c>
      <c r="M431" t="n">
        <v>0</v>
      </c>
      <c r="N431" t="n">
        <v>0</v>
      </c>
      <c r="O431" t="n">
        <v>0</v>
      </c>
      <c r="P431" t="n">
        <v>0</v>
      </c>
      <c r="Q431" t="n">
        <v>0</v>
      </c>
      <c r="R431" s="2" t="inlineStr"/>
    </row>
    <row r="432" ht="15" customHeight="1">
      <c r="A432" t="inlineStr">
        <is>
          <t>A 11529-2023</t>
        </is>
      </c>
      <c r="B432" s="1" t="n">
        <v>44993</v>
      </c>
      <c r="C432" s="1" t="n">
        <v>45992</v>
      </c>
      <c r="D432" t="inlineStr">
        <is>
          <t>VÄSTERNORRLANDS LÄN</t>
        </is>
      </c>
      <c r="E432" t="inlineStr">
        <is>
          <t>ÅNGE</t>
        </is>
      </c>
      <c r="G432" t="n">
        <v>8.9</v>
      </c>
      <c r="H432" t="n">
        <v>0</v>
      </c>
      <c r="I432" t="n">
        <v>0</v>
      </c>
      <c r="J432" t="n">
        <v>0</v>
      </c>
      <c r="K432" t="n">
        <v>0</v>
      </c>
      <c r="L432" t="n">
        <v>0</v>
      </c>
      <c r="M432" t="n">
        <v>0</v>
      </c>
      <c r="N432" t="n">
        <v>0</v>
      </c>
      <c r="O432" t="n">
        <v>0</v>
      </c>
      <c r="P432" t="n">
        <v>0</v>
      </c>
      <c r="Q432" t="n">
        <v>0</v>
      </c>
      <c r="R432" s="2" t="inlineStr"/>
    </row>
    <row r="433" ht="15" customHeight="1">
      <c r="A433" t="inlineStr">
        <is>
          <t>A 16606-2023</t>
        </is>
      </c>
      <c r="B433" s="1" t="n">
        <v>45030.3990625</v>
      </c>
      <c r="C433" s="1" t="n">
        <v>45992</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45992</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9382-2025</t>
        </is>
      </c>
      <c r="B435" s="1" t="n">
        <v>45715.34425925926</v>
      </c>
      <c r="C435" s="1" t="n">
        <v>45992</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15778-2025</t>
        </is>
      </c>
      <c r="B436" s="1" t="n">
        <v>45748.60030092593</v>
      </c>
      <c r="C436" s="1" t="n">
        <v>45992</v>
      </c>
      <c r="D436" t="inlineStr">
        <is>
          <t>VÄSTERNORRLANDS LÄN</t>
        </is>
      </c>
      <c r="E436" t="inlineStr">
        <is>
          <t>ÅNGE</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56434-2021</t>
        </is>
      </c>
      <c r="B437" s="1" t="n">
        <v>44477</v>
      </c>
      <c r="C437" s="1" t="n">
        <v>45992</v>
      </c>
      <c r="D437" t="inlineStr">
        <is>
          <t>VÄSTERNORRLANDS LÄN</t>
        </is>
      </c>
      <c r="E437" t="inlineStr">
        <is>
          <t>ÅNGE</t>
        </is>
      </c>
      <c r="G437" t="n">
        <v>2.7</v>
      </c>
      <c r="H437" t="n">
        <v>0</v>
      </c>
      <c r="I437" t="n">
        <v>0</v>
      </c>
      <c r="J437" t="n">
        <v>0</v>
      </c>
      <c r="K437" t="n">
        <v>0</v>
      </c>
      <c r="L437" t="n">
        <v>0</v>
      </c>
      <c r="M437" t="n">
        <v>0</v>
      </c>
      <c r="N437" t="n">
        <v>0</v>
      </c>
      <c r="O437" t="n">
        <v>0</v>
      </c>
      <c r="P437" t="n">
        <v>0</v>
      </c>
      <c r="Q437" t="n">
        <v>0</v>
      </c>
      <c r="R437" s="2" t="inlineStr"/>
    </row>
    <row r="438" ht="15" customHeight="1">
      <c r="A438" t="inlineStr">
        <is>
          <t>A 39764-2024</t>
        </is>
      </c>
      <c r="B438" s="1" t="n">
        <v>45552.7190162037</v>
      </c>
      <c r="C438" s="1" t="n">
        <v>45992</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18067-2025</t>
        </is>
      </c>
      <c r="B439" s="1" t="n">
        <v>45761.49016203704</v>
      </c>
      <c r="C439" s="1" t="n">
        <v>45992</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11396-2024</t>
        </is>
      </c>
      <c r="B440" s="1" t="n">
        <v>45372</v>
      </c>
      <c r="C440" s="1" t="n">
        <v>45992</v>
      </c>
      <c r="D440" t="inlineStr">
        <is>
          <t>VÄSTERNORRLANDS LÄN</t>
        </is>
      </c>
      <c r="E440" t="inlineStr">
        <is>
          <t>ÅNGE</t>
        </is>
      </c>
      <c r="G440" t="n">
        <v>2.2</v>
      </c>
      <c r="H440" t="n">
        <v>0</v>
      </c>
      <c r="I440" t="n">
        <v>0</v>
      </c>
      <c r="J440" t="n">
        <v>0</v>
      </c>
      <c r="K440" t="n">
        <v>0</v>
      </c>
      <c r="L440" t="n">
        <v>0</v>
      </c>
      <c r="M440" t="n">
        <v>0</v>
      </c>
      <c r="N440" t="n">
        <v>0</v>
      </c>
      <c r="O440" t="n">
        <v>0</v>
      </c>
      <c r="P440" t="n">
        <v>0</v>
      </c>
      <c r="Q440" t="n">
        <v>0</v>
      </c>
      <c r="R440" s="2" t="inlineStr"/>
    </row>
    <row r="441" ht="15" customHeight="1">
      <c r="A441" t="inlineStr">
        <is>
          <t>A 29462-2024</t>
        </is>
      </c>
      <c r="B441" s="1" t="n">
        <v>45483.96979166667</v>
      </c>
      <c r="C441" s="1" t="n">
        <v>45992</v>
      </c>
      <c r="D441" t="inlineStr">
        <is>
          <t>VÄSTERNORRLANDS LÄN</t>
        </is>
      </c>
      <c r="E441" t="inlineStr">
        <is>
          <t>ÅNGE</t>
        </is>
      </c>
      <c r="F441" t="inlineStr">
        <is>
          <t>SCA</t>
        </is>
      </c>
      <c r="G441" t="n">
        <v>8.4</v>
      </c>
      <c r="H441" t="n">
        <v>0</v>
      </c>
      <c r="I441" t="n">
        <v>0</v>
      </c>
      <c r="J441" t="n">
        <v>0</v>
      </c>
      <c r="K441" t="n">
        <v>0</v>
      </c>
      <c r="L441" t="n">
        <v>0</v>
      </c>
      <c r="M441" t="n">
        <v>0</v>
      </c>
      <c r="N441" t="n">
        <v>0</v>
      </c>
      <c r="O441" t="n">
        <v>0</v>
      </c>
      <c r="P441" t="n">
        <v>0</v>
      </c>
      <c r="Q441" t="n">
        <v>0</v>
      </c>
      <c r="R441" s="2" t="inlineStr"/>
    </row>
    <row r="442" ht="15" customHeight="1">
      <c r="A442" t="inlineStr">
        <is>
          <t>A 41355-2024</t>
        </is>
      </c>
      <c r="B442" s="1" t="n">
        <v>45559.69833333333</v>
      </c>
      <c r="C442" s="1" t="n">
        <v>45992</v>
      </c>
      <c r="D442" t="inlineStr">
        <is>
          <t>VÄSTERNORRLANDS LÄN</t>
        </is>
      </c>
      <c r="E442" t="inlineStr">
        <is>
          <t>ÅNGE</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29270-2024</t>
        </is>
      </c>
      <c r="B443" s="1" t="n">
        <v>45482.94979166667</v>
      </c>
      <c r="C443" s="1" t="n">
        <v>45992</v>
      </c>
      <c r="D443" t="inlineStr">
        <is>
          <t>VÄSTERNORRLANDS LÄN</t>
        </is>
      </c>
      <c r="E443" t="inlineStr">
        <is>
          <t>ÅNGE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28506-2024</t>
        </is>
      </c>
      <c r="B444" s="1" t="n">
        <v>45477.9475</v>
      </c>
      <c r="C444" s="1" t="n">
        <v>45992</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732-2023</t>
        </is>
      </c>
      <c r="B445" s="1" t="n">
        <v>44931.29981481482</v>
      </c>
      <c r="C445" s="1" t="n">
        <v>45992</v>
      </c>
      <c r="D445" t="inlineStr">
        <is>
          <t>VÄSTERNORRLANDS LÄN</t>
        </is>
      </c>
      <c r="E445" t="inlineStr">
        <is>
          <t>ÅNGE</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55177-2024</t>
        </is>
      </c>
      <c r="B446" s="1" t="n">
        <v>45621.53179398148</v>
      </c>
      <c r="C446" s="1" t="n">
        <v>45992</v>
      </c>
      <c r="D446" t="inlineStr">
        <is>
          <t>VÄSTERNORRLANDS LÄN</t>
        </is>
      </c>
      <c r="E446" t="inlineStr">
        <is>
          <t>ÅNGE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45992</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45992</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45992</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34861-2024</t>
        </is>
      </c>
      <c r="B450" s="1" t="n">
        <v>45527.339375</v>
      </c>
      <c r="C450" s="1" t="n">
        <v>45992</v>
      </c>
      <c r="D450" t="inlineStr">
        <is>
          <t>VÄSTERNORRLANDS LÄN</t>
        </is>
      </c>
      <c r="E450" t="inlineStr">
        <is>
          <t>ÅNGE</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24209-2025</t>
        </is>
      </c>
      <c r="B451" s="1" t="n">
        <v>45797.3446875</v>
      </c>
      <c r="C451" s="1" t="n">
        <v>45992</v>
      </c>
      <c r="D451" t="inlineStr">
        <is>
          <t>VÄSTERNORRLANDS LÄN</t>
        </is>
      </c>
      <c r="E451" t="inlineStr">
        <is>
          <t>ÅNGE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10781-2024</t>
        </is>
      </c>
      <c r="B452" s="1" t="n">
        <v>45369.59635416666</v>
      </c>
      <c r="C452" s="1" t="n">
        <v>45992</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23975-2025</t>
        </is>
      </c>
      <c r="B453" s="1" t="n">
        <v>45796.38614583333</v>
      </c>
      <c r="C453" s="1" t="n">
        <v>45992</v>
      </c>
      <c r="D453" t="inlineStr">
        <is>
          <t>VÄSTERNORRLANDS LÄN</t>
        </is>
      </c>
      <c r="E453" t="inlineStr">
        <is>
          <t>ÅNGE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23976-2025</t>
        </is>
      </c>
      <c r="B454" s="1" t="n">
        <v>45796.38625</v>
      </c>
      <c r="C454" s="1" t="n">
        <v>45992</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57516-2023</t>
        </is>
      </c>
      <c r="B455" s="1" t="n">
        <v>45246.44665509259</v>
      </c>
      <c r="C455" s="1" t="n">
        <v>45992</v>
      </c>
      <c r="D455" t="inlineStr">
        <is>
          <t>VÄSTERNORRLANDS LÄN</t>
        </is>
      </c>
      <c r="E455" t="inlineStr">
        <is>
          <t>ÅNGE</t>
        </is>
      </c>
      <c r="G455" t="n">
        <v>2.2</v>
      </c>
      <c r="H455" t="n">
        <v>0</v>
      </c>
      <c r="I455" t="n">
        <v>0</v>
      </c>
      <c r="J455" t="n">
        <v>0</v>
      </c>
      <c r="K455" t="n">
        <v>0</v>
      </c>
      <c r="L455" t="n">
        <v>0</v>
      </c>
      <c r="M455" t="n">
        <v>0</v>
      </c>
      <c r="N455" t="n">
        <v>0</v>
      </c>
      <c r="O455" t="n">
        <v>0</v>
      </c>
      <c r="P455" t="n">
        <v>0</v>
      </c>
      <c r="Q455" t="n">
        <v>0</v>
      </c>
      <c r="R455" s="2" t="inlineStr"/>
    </row>
    <row r="456" ht="15" customHeight="1">
      <c r="A456" t="inlineStr">
        <is>
          <t>A 26641-2024</t>
        </is>
      </c>
      <c r="B456" s="1" t="n">
        <v>45469.92836805555</v>
      </c>
      <c r="C456" s="1" t="n">
        <v>45992</v>
      </c>
      <c r="D456" t="inlineStr">
        <is>
          <t>VÄSTERNORRLANDS LÄN</t>
        </is>
      </c>
      <c r="E456" t="inlineStr">
        <is>
          <t>ÅNGE</t>
        </is>
      </c>
      <c r="G456" t="n">
        <v>4.5</v>
      </c>
      <c r="H456" t="n">
        <v>0</v>
      </c>
      <c r="I456" t="n">
        <v>0</v>
      </c>
      <c r="J456" t="n">
        <v>0</v>
      </c>
      <c r="K456" t="n">
        <v>0</v>
      </c>
      <c r="L456" t="n">
        <v>0</v>
      </c>
      <c r="M456" t="n">
        <v>0</v>
      </c>
      <c r="N456" t="n">
        <v>0</v>
      </c>
      <c r="O456" t="n">
        <v>0</v>
      </c>
      <c r="P456" t="n">
        <v>0</v>
      </c>
      <c r="Q456" t="n">
        <v>0</v>
      </c>
      <c r="R456" s="2" t="inlineStr"/>
    </row>
    <row r="457" ht="15" customHeight="1">
      <c r="A457" t="inlineStr">
        <is>
          <t>A 37992-2024</t>
        </is>
      </c>
      <c r="B457" s="1" t="n">
        <v>45544.59524305556</v>
      </c>
      <c r="C457" s="1" t="n">
        <v>45992</v>
      </c>
      <c r="D457" t="inlineStr">
        <is>
          <t>VÄSTERNORRLANDS LÄN</t>
        </is>
      </c>
      <c r="E457" t="inlineStr">
        <is>
          <t>ÅNGE</t>
        </is>
      </c>
      <c r="G457" t="n">
        <v>3.9</v>
      </c>
      <c r="H457" t="n">
        <v>0</v>
      </c>
      <c r="I457" t="n">
        <v>0</v>
      </c>
      <c r="J457" t="n">
        <v>0</v>
      </c>
      <c r="K457" t="n">
        <v>0</v>
      </c>
      <c r="L457" t="n">
        <v>0</v>
      </c>
      <c r="M457" t="n">
        <v>0</v>
      </c>
      <c r="N457" t="n">
        <v>0</v>
      </c>
      <c r="O457" t="n">
        <v>0</v>
      </c>
      <c r="P457" t="n">
        <v>0</v>
      </c>
      <c r="Q457" t="n">
        <v>0</v>
      </c>
      <c r="R457" s="2" t="inlineStr"/>
    </row>
    <row r="458" ht="15" customHeight="1">
      <c r="A458" t="inlineStr">
        <is>
          <t>A 61461-2023</t>
        </is>
      </c>
      <c r="B458" s="1" t="n">
        <v>45264.9261574074</v>
      </c>
      <c r="C458" s="1" t="n">
        <v>45992</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39005-2024</t>
        </is>
      </c>
      <c r="B459" s="1" t="n">
        <v>45548.42743055556</v>
      </c>
      <c r="C459" s="1" t="n">
        <v>45992</v>
      </c>
      <c r="D459" t="inlineStr">
        <is>
          <t>VÄSTERNORRLANDS LÄN</t>
        </is>
      </c>
      <c r="E459" t="inlineStr">
        <is>
          <t>ÅNGE</t>
        </is>
      </c>
      <c r="F459" t="inlineStr">
        <is>
          <t>SCA</t>
        </is>
      </c>
      <c r="G459" t="n">
        <v>2.6</v>
      </c>
      <c r="H459" t="n">
        <v>0</v>
      </c>
      <c r="I459" t="n">
        <v>0</v>
      </c>
      <c r="J459" t="n">
        <v>0</v>
      </c>
      <c r="K459" t="n">
        <v>0</v>
      </c>
      <c r="L459" t="n">
        <v>0</v>
      </c>
      <c r="M459" t="n">
        <v>0</v>
      </c>
      <c r="N459" t="n">
        <v>0</v>
      </c>
      <c r="O459" t="n">
        <v>0</v>
      </c>
      <c r="P459" t="n">
        <v>0</v>
      </c>
      <c r="Q459" t="n">
        <v>0</v>
      </c>
      <c r="R459" s="2" t="inlineStr"/>
      <c r="U459">
        <f>HYPERLINK("https://klasma.github.io/Logging_2260/knärot/A 39005-2024 karta knärot.png", "A 39005-2024")</f>
        <v/>
      </c>
      <c r="V459">
        <f>HYPERLINK("https://klasma.github.io/Logging_2260/klagomål/A 39005-2024 FSC-klagomål.docx", "A 39005-2024")</f>
        <v/>
      </c>
      <c r="W459">
        <f>HYPERLINK("https://klasma.github.io/Logging_2260/klagomålsmail/A 39005-2024 FSC-klagomål mail.docx", "A 39005-2024")</f>
        <v/>
      </c>
      <c r="X459">
        <f>HYPERLINK("https://klasma.github.io/Logging_2260/tillsyn/A 39005-2024 tillsynsbegäran.docx", "A 39005-2024")</f>
        <v/>
      </c>
      <c r="Y459">
        <f>HYPERLINK("https://klasma.github.io/Logging_2260/tillsynsmail/A 39005-2024 tillsynsbegäran mail.docx", "A 39005-2024")</f>
        <v/>
      </c>
    </row>
    <row r="460" ht="15" customHeight="1">
      <c r="A460" t="inlineStr">
        <is>
          <t>A 57593-2022</t>
        </is>
      </c>
      <c r="B460" s="1" t="n">
        <v>44896.97847222222</v>
      </c>
      <c r="C460" s="1" t="n">
        <v>45992</v>
      </c>
      <c r="D460" t="inlineStr">
        <is>
          <t>VÄSTERNORRLANDS LÄN</t>
        </is>
      </c>
      <c r="E460" t="inlineStr">
        <is>
          <t>ÅNGE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57596-2022</t>
        </is>
      </c>
      <c r="B461" s="1" t="n">
        <v>44896.97871527778</v>
      </c>
      <c r="C461" s="1" t="n">
        <v>45992</v>
      </c>
      <c r="D461" t="inlineStr">
        <is>
          <t>VÄSTERNORRLANDS LÄN</t>
        </is>
      </c>
      <c r="E461" t="inlineStr">
        <is>
          <t>ÅNGE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57598-2022</t>
        </is>
      </c>
      <c r="B462" s="1" t="n">
        <v>44896</v>
      </c>
      <c r="C462" s="1" t="n">
        <v>45992</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24207-2025</t>
        </is>
      </c>
      <c r="B463" s="1" t="n">
        <v>45797.34439814815</v>
      </c>
      <c r="C463" s="1" t="n">
        <v>45992</v>
      </c>
      <c r="D463" t="inlineStr">
        <is>
          <t>VÄSTERNORRLANDS LÄN</t>
        </is>
      </c>
      <c r="E463" t="inlineStr">
        <is>
          <t>ÅNGE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45992</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43145-2024</t>
        </is>
      </c>
      <c r="B465" s="1" t="n">
        <v>45567.63030092593</v>
      </c>
      <c r="C465" s="1" t="n">
        <v>45992</v>
      </c>
      <c r="D465" t="inlineStr">
        <is>
          <t>VÄSTERNORRLANDS LÄN</t>
        </is>
      </c>
      <c r="E465" t="inlineStr">
        <is>
          <t>ÅNGE</t>
        </is>
      </c>
      <c r="G465" t="n">
        <v>1.4</v>
      </c>
      <c r="H465" t="n">
        <v>0</v>
      </c>
      <c r="I465" t="n">
        <v>0</v>
      </c>
      <c r="J465" t="n">
        <v>0</v>
      </c>
      <c r="K465" t="n">
        <v>0</v>
      </c>
      <c r="L465" t="n">
        <v>0</v>
      </c>
      <c r="M465" t="n">
        <v>0</v>
      </c>
      <c r="N465" t="n">
        <v>0</v>
      </c>
      <c r="O465" t="n">
        <v>0</v>
      </c>
      <c r="P465" t="n">
        <v>0</v>
      </c>
      <c r="Q465" t="n">
        <v>0</v>
      </c>
      <c r="R465" s="2" t="inlineStr"/>
    </row>
    <row r="466" ht="15" customHeight="1">
      <c r="A466" t="inlineStr">
        <is>
          <t>A 10558-2023</t>
        </is>
      </c>
      <c r="B466" s="1" t="n">
        <v>44987.94438657408</v>
      </c>
      <c r="C466" s="1" t="n">
        <v>45992</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23917-2025</t>
        </is>
      </c>
      <c r="B467" s="1" t="n">
        <v>45795.34481481482</v>
      </c>
      <c r="C467" s="1" t="n">
        <v>45992</v>
      </c>
      <c r="D467" t="inlineStr">
        <is>
          <t>VÄSTERNORRLANDS LÄN</t>
        </is>
      </c>
      <c r="E467" t="inlineStr">
        <is>
          <t>ÅNGE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23921-2025</t>
        </is>
      </c>
      <c r="B468" s="1" t="n">
        <v>45795.34513888889</v>
      </c>
      <c r="C468" s="1" t="n">
        <v>45992</v>
      </c>
      <c r="D468" t="inlineStr">
        <is>
          <t>VÄSTERNORRLANDS LÄN</t>
        </is>
      </c>
      <c r="E468" t="inlineStr">
        <is>
          <t>ÅNGE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44158-2024</t>
        </is>
      </c>
      <c r="B469" s="1" t="n">
        <v>45572</v>
      </c>
      <c r="C469" s="1" t="n">
        <v>45992</v>
      </c>
      <c r="D469" t="inlineStr">
        <is>
          <t>VÄSTERNORRLANDS LÄN</t>
        </is>
      </c>
      <c r="E469" t="inlineStr">
        <is>
          <t>ÅNGE</t>
        </is>
      </c>
      <c r="G469" t="n">
        <v>2.6</v>
      </c>
      <c r="H469" t="n">
        <v>0</v>
      </c>
      <c r="I469" t="n">
        <v>0</v>
      </c>
      <c r="J469" t="n">
        <v>0</v>
      </c>
      <c r="K469" t="n">
        <v>0</v>
      </c>
      <c r="L469" t="n">
        <v>0</v>
      </c>
      <c r="M469" t="n">
        <v>0</v>
      </c>
      <c r="N469" t="n">
        <v>0</v>
      </c>
      <c r="O469" t="n">
        <v>0</v>
      </c>
      <c r="P469" t="n">
        <v>0</v>
      </c>
      <c r="Q469" t="n">
        <v>0</v>
      </c>
      <c r="R469" s="2" t="inlineStr"/>
    </row>
    <row r="470" ht="15" customHeight="1">
      <c r="A470" t="inlineStr">
        <is>
          <t>A 24232-2025</t>
        </is>
      </c>
      <c r="B470" s="1" t="n">
        <v>45797.37846064815</v>
      </c>
      <c r="C470" s="1" t="n">
        <v>45992</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3352-2021</t>
        </is>
      </c>
      <c r="B471" s="1" t="n">
        <v>44217</v>
      </c>
      <c r="C471" s="1" t="n">
        <v>45992</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56188-2024</t>
        </is>
      </c>
      <c r="B472" s="1" t="n">
        <v>45624.57800925926</v>
      </c>
      <c r="C472" s="1" t="n">
        <v>45992</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38693-2025</t>
        </is>
      </c>
      <c r="B473" s="1" t="n">
        <v>45884.69829861111</v>
      </c>
      <c r="C473" s="1" t="n">
        <v>45992</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45992</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38711-2025</t>
        </is>
      </c>
      <c r="B475" s="1" t="n">
        <v>45886.34450231482</v>
      </c>
      <c r="C475" s="1" t="n">
        <v>45992</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38715-2025</t>
        </is>
      </c>
      <c r="B476" s="1" t="n">
        <v>45886.34501157407</v>
      </c>
      <c r="C476" s="1" t="n">
        <v>45992</v>
      </c>
      <c r="D476" t="inlineStr">
        <is>
          <t>VÄSTERNORRLANDS LÄN</t>
        </is>
      </c>
      <c r="E476" t="inlineStr">
        <is>
          <t>ÅNGE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27951-2021</t>
        </is>
      </c>
      <c r="B477" s="1" t="n">
        <v>44354</v>
      </c>
      <c r="C477" s="1" t="n">
        <v>45992</v>
      </c>
      <c r="D477" t="inlineStr">
        <is>
          <t>VÄSTERNORRLANDS LÄN</t>
        </is>
      </c>
      <c r="E477" t="inlineStr">
        <is>
          <t>ÅNGE</t>
        </is>
      </c>
      <c r="G477" t="n">
        <v>3</v>
      </c>
      <c r="H477" t="n">
        <v>0</v>
      </c>
      <c r="I477" t="n">
        <v>0</v>
      </c>
      <c r="J477" t="n">
        <v>0</v>
      </c>
      <c r="K477" t="n">
        <v>0</v>
      </c>
      <c r="L477" t="n">
        <v>0</v>
      </c>
      <c r="M477" t="n">
        <v>0</v>
      </c>
      <c r="N477" t="n">
        <v>0</v>
      </c>
      <c r="O477" t="n">
        <v>0</v>
      </c>
      <c r="P477" t="n">
        <v>0</v>
      </c>
      <c r="Q477" t="n">
        <v>0</v>
      </c>
      <c r="R477" s="2" t="inlineStr"/>
    </row>
    <row r="478" ht="15" customHeight="1">
      <c r="A478" t="inlineStr">
        <is>
          <t>A 24458-2025</t>
        </is>
      </c>
      <c r="B478" s="1" t="n">
        <v>45798.34476851852</v>
      </c>
      <c r="C478" s="1" t="n">
        <v>45992</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41829-2021</t>
        </is>
      </c>
      <c r="B479" s="1" t="n">
        <v>44425.92202546296</v>
      </c>
      <c r="C479" s="1" t="n">
        <v>45992</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45992</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46775-2024</t>
        </is>
      </c>
      <c r="B481" s="1" t="n">
        <v>45583.49711805556</v>
      </c>
      <c r="C481" s="1" t="n">
        <v>45992</v>
      </c>
      <c r="D481" t="inlineStr">
        <is>
          <t>VÄSTERNORRLANDS LÄN</t>
        </is>
      </c>
      <c r="E481" t="inlineStr">
        <is>
          <t>ÅNGE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46780-2024</t>
        </is>
      </c>
      <c r="B482" s="1" t="n">
        <v>45583.51076388889</v>
      </c>
      <c r="C482" s="1" t="n">
        <v>45992</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25903-2022</t>
        </is>
      </c>
      <c r="B483" s="1" t="n">
        <v>44733</v>
      </c>
      <c r="C483" s="1" t="n">
        <v>45992</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27853-2024</t>
        </is>
      </c>
      <c r="B484" s="1" t="n">
        <v>45475</v>
      </c>
      <c r="C484" s="1" t="n">
        <v>45992</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1103-2023</t>
        </is>
      </c>
      <c r="B485" s="1" t="n">
        <v>44929</v>
      </c>
      <c r="C485" s="1" t="n">
        <v>45992</v>
      </c>
      <c r="D485" t="inlineStr">
        <is>
          <t>VÄSTERNORRLANDS LÄN</t>
        </is>
      </c>
      <c r="E485" t="inlineStr">
        <is>
          <t>ÅNGE</t>
        </is>
      </c>
      <c r="G485" t="n">
        <v>7.3</v>
      </c>
      <c r="H485" t="n">
        <v>0</v>
      </c>
      <c r="I485" t="n">
        <v>0</v>
      </c>
      <c r="J485" t="n">
        <v>0</v>
      </c>
      <c r="K485" t="n">
        <v>0</v>
      </c>
      <c r="L485" t="n">
        <v>0</v>
      </c>
      <c r="M485" t="n">
        <v>0</v>
      </c>
      <c r="N485" t="n">
        <v>0</v>
      </c>
      <c r="O485" t="n">
        <v>0</v>
      </c>
      <c r="P485" t="n">
        <v>0</v>
      </c>
      <c r="Q485" t="n">
        <v>0</v>
      </c>
      <c r="R485" s="2" t="inlineStr"/>
    </row>
    <row r="486" ht="15" customHeight="1">
      <c r="A486" t="inlineStr">
        <is>
          <t>A 38686-2025</t>
        </is>
      </c>
      <c r="B486" s="1" t="n">
        <v>45884.65658564815</v>
      </c>
      <c r="C486" s="1" t="n">
        <v>45992</v>
      </c>
      <c r="D486" t="inlineStr">
        <is>
          <t>VÄSTERNORRLANDS LÄN</t>
        </is>
      </c>
      <c r="E486" t="inlineStr">
        <is>
          <t>ÅNGE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24847-2025</t>
        </is>
      </c>
      <c r="B487" s="1" t="n">
        <v>45799.46907407408</v>
      </c>
      <c r="C487" s="1" t="n">
        <v>45992</v>
      </c>
      <c r="D487" t="inlineStr">
        <is>
          <t>VÄSTERNORRLANDS LÄN</t>
        </is>
      </c>
      <c r="E487" t="inlineStr">
        <is>
          <t>ÅNGE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25017-2025</t>
        </is>
      </c>
      <c r="B488" s="1" t="n">
        <v>45799.63791666667</v>
      </c>
      <c r="C488" s="1" t="n">
        <v>45992</v>
      </c>
      <c r="D488" t="inlineStr">
        <is>
          <t>VÄSTERNORRLANDS LÄN</t>
        </is>
      </c>
      <c r="E488" t="inlineStr">
        <is>
          <t>ÅNGE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2140-2023</t>
        </is>
      </c>
      <c r="B489" s="1" t="n">
        <v>44940</v>
      </c>
      <c r="C489" s="1" t="n">
        <v>45992</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47488-2023</t>
        </is>
      </c>
      <c r="B490" s="1" t="n">
        <v>45202.94168981481</v>
      </c>
      <c r="C490" s="1" t="n">
        <v>45992</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30054-2024</t>
        </is>
      </c>
      <c r="B491" s="1" t="n">
        <v>45488.94758101852</v>
      </c>
      <c r="C491" s="1" t="n">
        <v>45992</v>
      </c>
      <c r="D491" t="inlineStr">
        <is>
          <t>VÄSTERNORRLANDS LÄN</t>
        </is>
      </c>
      <c r="E491" t="inlineStr">
        <is>
          <t>ÅNGE</t>
        </is>
      </c>
      <c r="F491" t="inlineStr">
        <is>
          <t>SCA</t>
        </is>
      </c>
      <c r="G491" t="n">
        <v>11.7</v>
      </c>
      <c r="H491" t="n">
        <v>0</v>
      </c>
      <c r="I491" t="n">
        <v>0</v>
      </c>
      <c r="J491" t="n">
        <v>0</v>
      </c>
      <c r="K491" t="n">
        <v>0</v>
      </c>
      <c r="L491" t="n">
        <v>0</v>
      </c>
      <c r="M491" t="n">
        <v>0</v>
      </c>
      <c r="N491" t="n">
        <v>0</v>
      </c>
      <c r="O491" t="n">
        <v>0</v>
      </c>
      <c r="P491" t="n">
        <v>0</v>
      </c>
      <c r="Q491" t="n">
        <v>0</v>
      </c>
      <c r="R491" s="2" t="inlineStr"/>
    </row>
    <row r="492" ht="15" customHeight="1">
      <c r="A492" t="inlineStr">
        <is>
          <t>A 34754-2024</t>
        </is>
      </c>
      <c r="B492" s="1" t="n">
        <v>45526</v>
      </c>
      <c r="C492" s="1" t="n">
        <v>45992</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24852-2025</t>
        </is>
      </c>
      <c r="B493" s="1" t="n">
        <v>45799.46975694445</v>
      </c>
      <c r="C493" s="1" t="n">
        <v>45992</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3362-2023</t>
        </is>
      </c>
      <c r="B494" s="1" t="n">
        <v>44945</v>
      </c>
      <c r="C494" s="1" t="n">
        <v>45992</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43622-2023</t>
        </is>
      </c>
      <c r="B495" s="1" t="n">
        <v>45184.70777777778</v>
      </c>
      <c r="C495" s="1" t="n">
        <v>45992</v>
      </c>
      <c r="D495" t="inlineStr">
        <is>
          <t>VÄSTERNORRLANDS LÄN</t>
        </is>
      </c>
      <c r="E495" t="inlineStr">
        <is>
          <t>ÅNGE</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59600-2024</t>
        </is>
      </c>
      <c r="B496" s="1" t="n">
        <v>45638.71763888889</v>
      </c>
      <c r="C496" s="1" t="n">
        <v>45992</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25067-2025</t>
        </is>
      </c>
      <c r="B497" s="1" t="n">
        <v>45799.71908564815</v>
      </c>
      <c r="C497" s="1" t="n">
        <v>45992</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29390-2021</t>
        </is>
      </c>
      <c r="B498" s="1" t="n">
        <v>44361</v>
      </c>
      <c r="C498" s="1" t="n">
        <v>45992</v>
      </c>
      <c r="D498" t="inlineStr">
        <is>
          <t>VÄSTERNORRLANDS LÄN</t>
        </is>
      </c>
      <c r="E498" t="inlineStr">
        <is>
          <t>ÅNGE</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52685-2024</t>
        </is>
      </c>
      <c r="B499" s="1" t="n">
        <v>45610</v>
      </c>
      <c r="C499" s="1" t="n">
        <v>45992</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36877-2024</t>
        </is>
      </c>
      <c r="B500" s="1" t="n">
        <v>45538.59418981482</v>
      </c>
      <c r="C500" s="1" t="n">
        <v>45992</v>
      </c>
      <c r="D500" t="inlineStr">
        <is>
          <t>VÄSTERNORRLANDS LÄN</t>
        </is>
      </c>
      <c r="E500" t="inlineStr">
        <is>
          <t>ÅNGE</t>
        </is>
      </c>
      <c r="G500" t="n">
        <v>3.3</v>
      </c>
      <c r="H500" t="n">
        <v>0</v>
      </c>
      <c r="I500" t="n">
        <v>0</v>
      </c>
      <c r="J500" t="n">
        <v>0</v>
      </c>
      <c r="K500" t="n">
        <v>0</v>
      </c>
      <c r="L500" t="n">
        <v>0</v>
      </c>
      <c r="M500" t="n">
        <v>0</v>
      </c>
      <c r="N500" t="n">
        <v>0</v>
      </c>
      <c r="O500" t="n">
        <v>0</v>
      </c>
      <c r="P500" t="n">
        <v>0</v>
      </c>
      <c r="Q500" t="n">
        <v>0</v>
      </c>
      <c r="R500" s="2" t="inlineStr"/>
    </row>
    <row r="501" ht="15" customHeight="1">
      <c r="A501" t="inlineStr">
        <is>
          <t>A 25352-2025</t>
        </is>
      </c>
      <c r="B501" s="1" t="n">
        <v>45800.61552083334</v>
      </c>
      <c r="C501" s="1" t="n">
        <v>45992</v>
      </c>
      <c r="D501" t="inlineStr">
        <is>
          <t>VÄSTERNORRLANDS LÄN</t>
        </is>
      </c>
      <c r="E501" t="inlineStr">
        <is>
          <t>ÅNGE</t>
        </is>
      </c>
      <c r="F501" t="inlineStr">
        <is>
          <t>SCA</t>
        </is>
      </c>
      <c r="G501" t="n">
        <v>6.3</v>
      </c>
      <c r="H501" t="n">
        <v>0</v>
      </c>
      <c r="I501" t="n">
        <v>0</v>
      </c>
      <c r="J501" t="n">
        <v>0</v>
      </c>
      <c r="K501" t="n">
        <v>0</v>
      </c>
      <c r="L501" t="n">
        <v>0</v>
      </c>
      <c r="M501" t="n">
        <v>0</v>
      </c>
      <c r="N501" t="n">
        <v>0</v>
      </c>
      <c r="O501" t="n">
        <v>0</v>
      </c>
      <c r="P501" t="n">
        <v>0</v>
      </c>
      <c r="Q501" t="n">
        <v>0</v>
      </c>
      <c r="R501" s="2" t="inlineStr"/>
    </row>
    <row r="502" ht="15" customHeight="1">
      <c r="A502" t="inlineStr">
        <is>
          <t>A 36466-2024</t>
        </is>
      </c>
      <c r="B502" s="1" t="n">
        <v>45537.35872685185</v>
      </c>
      <c r="C502" s="1" t="n">
        <v>45992</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53651-2023</t>
        </is>
      </c>
      <c r="B503" s="1" t="n">
        <v>45230.60815972222</v>
      </c>
      <c r="C503" s="1" t="n">
        <v>45992</v>
      </c>
      <c r="D503" t="inlineStr">
        <is>
          <t>VÄSTERNORRLANDS LÄN</t>
        </is>
      </c>
      <c r="E503" t="inlineStr">
        <is>
          <t>ÅNGE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54720-2024</t>
        </is>
      </c>
      <c r="B504" s="1" t="n">
        <v>45618.43715277778</v>
      </c>
      <c r="C504" s="1" t="n">
        <v>45992</v>
      </c>
      <c r="D504" t="inlineStr">
        <is>
          <t>VÄSTERNORRLANDS LÄN</t>
        </is>
      </c>
      <c r="E504" t="inlineStr">
        <is>
          <t>ÅNGE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35650-2024</t>
        </is>
      </c>
      <c r="B505" s="1" t="n">
        <v>45532.34123842593</v>
      </c>
      <c r="C505" s="1" t="n">
        <v>45992</v>
      </c>
      <c r="D505" t="inlineStr">
        <is>
          <t>VÄSTERNORRLANDS LÄN</t>
        </is>
      </c>
      <c r="E505" t="inlineStr">
        <is>
          <t>ÅNGE</t>
        </is>
      </c>
      <c r="G505" t="n">
        <v>3.8</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45992</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19709-2025</t>
        </is>
      </c>
      <c r="B507" s="1" t="n">
        <v>45771.34263888889</v>
      </c>
      <c r="C507" s="1" t="n">
        <v>45992</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25532-2025</t>
        </is>
      </c>
      <c r="B508" s="1" t="n">
        <v>45803.4065162037</v>
      </c>
      <c r="C508" s="1" t="n">
        <v>45992</v>
      </c>
      <c r="D508" t="inlineStr">
        <is>
          <t>VÄSTERNORRLANDS LÄN</t>
        </is>
      </c>
      <c r="E508" t="inlineStr">
        <is>
          <t>ÅNGE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25499-2025</t>
        </is>
      </c>
      <c r="B509" s="1" t="n">
        <v>45803.344375</v>
      </c>
      <c r="C509" s="1" t="n">
        <v>45992</v>
      </c>
      <c r="D509" t="inlineStr">
        <is>
          <t>VÄSTERNORRLANDS LÄN</t>
        </is>
      </c>
      <c r="E509" t="inlineStr">
        <is>
          <t>ÅNGE</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25274-2025</t>
        </is>
      </c>
      <c r="B510" s="1" t="n">
        <v>45800.55276620371</v>
      </c>
      <c r="C510" s="1" t="n">
        <v>45992</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11531-2023</t>
        </is>
      </c>
      <c r="B511" s="1" t="n">
        <v>44993.77038194444</v>
      </c>
      <c r="C511" s="1" t="n">
        <v>45992</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11532-2023</t>
        </is>
      </c>
      <c r="B512" s="1" t="n">
        <v>44993.77212962963</v>
      </c>
      <c r="C512" s="1" t="n">
        <v>45992</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25241-2025</t>
        </is>
      </c>
      <c r="B513" s="1" t="n">
        <v>45800.49053240741</v>
      </c>
      <c r="C513" s="1" t="n">
        <v>45992</v>
      </c>
      <c r="D513" t="inlineStr">
        <is>
          <t>VÄSTERNORRLANDS LÄN</t>
        </is>
      </c>
      <c r="E513" t="inlineStr">
        <is>
          <t>ÅNGE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45459-2022</t>
        </is>
      </c>
      <c r="B514" s="1" t="n">
        <v>44845</v>
      </c>
      <c r="C514" s="1" t="n">
        <v>45992</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41758-2024</t>
        </is>
      </c>
      <c r="B515" s="1" t="n">
        <v>45561.34478009259</v>
      </c>
      <c r="C515" s="1" t="n">
        <v>45992</v>
      </c>
      <c r="D515" t="inlineStr">
        <is>
          <t>VÄSTERNORRLANDS LÄN</t>
        </is>
      </c>
      <c r="E515" t="inlineStr">
        <is>
          <t>ÅNGE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9759-2024</t>
        </is>
      </c>
      <c r="B516" s="1" t="n">
        <v>45362</v>
      </c>
      <c r="C516" s="1" t="n">
        <v>45992</v>
      </c>
      <c r="D516" t="inlineStr">
        <is>
          <t>VÄSTERNORRLANDS LÄN</t>
        </is>
      </c>
      <c r="E516" t="inlineStr">
        <is>
          <t>ÅNGE</t>
        </is>
      </c>
      <c r="G516" t="n">
        <v>2.5</v>
      </c>
      <c r="H516" t="n">
        <v>0</v>
      </c>
      <c r="I516" t="n">
        <v>0</v>
      </c>
      <c r="J516" t="n">
        <v>0</v>
      </c>
      <c r="K516" t="n">
        <v>0</v>
      </c>
      <c r="L516" t="n">
        <v>0</v>
      </c>
      <c r="M516" t="n">
        <v>0</v>
      </c>
      <c r="N516" t="n">
        <v>0</v>
      </c>
      <c r="O516" t="n">
        <v>0</v>
      </c>
      <c r="P516" t="n">
        <v>0</v>
      </c>
      <c r="Q516" t="n">
        <v>0</v>
      </c>
      <c r="R516" s="2" t="inlineStr"/>
    </row>
    <row r="517" ht="15" customHeight="1">
      <c r="A517" t="inlineStr">
        <is>
          <t>A 55328-2023</t>
        </is>
      </c>
      <c r="B517" s="1" t="n">
        <v>45237</v>
      </c>
      <c r="C517" s="1" t="n">
        <v>45992</v>
      </c>
      <c r="D517" t="inlineStr">
        <is>
          <t>VÄSTERNORRLANDS LÄN</t>
        </is>
      </c>
      <c r="E517" t="inlineStr">
        <is>
          <t>ÅNGE</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31863-2024</t>
        </is>
      </c>
      <c r="B518" s="1" t="n">
        <v>45509.74121527778</v>
      </c>
      <c r="C518" s="1" t="n">
        <v>45992</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25273-2025</t>
        </is>
      </c>
      <c r="B519" s="1" t="n">
        <v>45800.55253472222</v>
      </c>
      <c r="C519" s="1" t="n">
        <v>45992</v>
      </c>
      <c r="D519" t="inlineStr">
        <is>
          <t>VÄSTERNORRLANDS LÄN</t>
        </is>
      </c>
      <c r="E519" t="inlineStr">
        <is>
          <t>ÅNGE</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25332-2025</t>
        </is>
      </c>
      <c r="B520" s="1" t="n">
        <v>45800.59418981482</v>
      </c>
      <c r="C520" s="1" t="n">
        <v>45992</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5369-2022</t>
        </is>
      </c>
      <c r="B521" s="1" t="n">
        <v>44594.92113425926</v>
      </c>
      <c r="C521" s="1" t="n">
        <v>45992</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213-2024</t>
        </is>
      </c>
      <c r="B522" s="1" t="n">
        <v>45293</v>
      </c>
      <c r="C522" s="1" t="n">
        <v>45992</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25772-2025</t>
        </is>
      </c>
      <c r="B523" s="1" t="n">
        <v>45804.34520833333</v>
      </c>
      <c r="C523" s="1" t="n">
        <v>45992</v>
      </c>
      <c r="D523" t="inlineStr">
        <is>
          <t>VÄSTERNORRLANDS LÄN</t>
        </is>
      </c>
      <c r="E523" t="inlineStr">
        <is>
          <t>ÅNGE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21262-2025</t>
        </is>
      </c>
      <c r="B524" s="1" t="n">
        <v>45779</v>
      </c>
      <c r="C524" s="1" t="n">
        <v>45992</v>
      </c>
      <c r="D524" t="inlineStr">
        <is>
          <t>VÄSTERNORRLANDS LÄN</t>
        </is>
      </c>
      <c r="E524" t="inlineStr">
        <is>
          <t>ÅNGE</t>
        </is>
      </c>
      <c r="F524" t="inlineStr">
        <is>
          <t>Sveaskog</t>
        </is>
      </c>
      <c r="G524" t="n">
        <v>9</v>
      </c>
      <c r="H524" t="n">
        <v>0</v>
      </c>
      <c r="I524" t="n">
        <v>0</v>
      </c>
      <c r="J524" t="n">
        <v>0</v>
      </c>
      <c r="K524" t="n">
        <v>0</v>
      </c>
      <c r="L524" t="n">
        <v>0</v>
      </c>
      <c r="M524" t="n">
        <v>0</v>
      </c>
      <c r="N524" t="n">
        <v>0</v>
      </c>
      <c r="O524" t="n">
        <v>0</v>
      </c>
      <c r="P524" t="n">
        <v>0</v>
      </c>
      <c r="Q524" t="n">
        <v>0</v>
      </c>
      <c r="R524" s="2" t="inlineStr"/>
    </row>
    <row r="525" ht="15" customHeight="1">
      <c r="A525" t="inlineStr">
        <is>
          <t>A 15863-2022</t>
        </is>
      </c>
      <c r="B525" s="1" t="n">
        <v>44664</v>
      </c>
      <c r="C525" s="1" t="n">
        <v>45992</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45992</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45992</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25810-2025</t>
        </is>
      </c>
      <c r="B528" s="1" t="n">
        <v>45804.42083333333</v>
      </c>
      <c r="C528" s="1" t="n">
        <v>45992</v>
      </c>
      <c r="D528" t="inlineStr">
        <is>
          <t>VÄSTERNORRLANDS LÄN</t>
        </is>
      </c>
      <c r="E528" t="inlineStr">
        <is>
          <t>ÅNGE</t>
        </is>
      </c>
      <c r="G528" t="n">
        <v>6.2</v>
      </c>
      <c r="H528" t="n">
        <v>0</v>
      </c>
      <c r="I528" t="n">
        <v>0</v>
      </c>
      <c r="J528" t="n">
        <v>0</v>
      </c>
      <c r="K528" t="n">
        <v>0</v>
      </c>
      <c r="L528" t="n">
        <v>0</v>
      </c>
      <c r="M528" t="n">
        <v>0</v>
      </c>
      <c r="N528" t="n">
        <v>0</v>
      </c>
      <c r="O528" t="n">
        <v>0</v>
      </c>
      <c r="P528" t="n">
        <v>0</v>
      </c>
      <c r="Q528" t="n">
        <v>0</v>
      </c>
      <c r="R528" s="2" t="inlineStr"/>
    </row>
    <row r="529" ht="15" customHeight="1">
      <c r="A529" t="inlineStr">
        <is>
          <t>A 4872-2025</t>
        </is>
      </c>
      <c r="B529" s="1" t="n">
        <v>45688.67619212963</v>
      </c>
      <c r="C529" s="1" t="n">
        <v>45992</v>
      </c>
      <c r="D529" t="inlineStr">
        <is>
          <t>VÄSTERNORRLANDS LÄN</t>
        </is>
      </c>
      <c r="E529" t="inlineStr">
        <is>
          <t>ÅNGE</t>
        </is>
      </c>
      <c r="F529" t="inlineStr">
        <is>
          <t>SCA</t>
        </is>
      </c>
      <c r="G529" t="n">
        <v>31.3</v>
      </c>
      <c r="H529" t="n">
        <v>0</v>
      </c>
      <c r="I529" t="n">
        <v>0</v>
      </c>
      <c r="J529" t="n">
        <v>0</v>
      </c>
      <c r="K529" t="n">
        <v>0</v>
      </c>
      <c r="L529" t="n">
        <v>0</v>
      </c>
      <c r="M529" t="n">
        <v>0</v>
      </c>
      <c r="N529" t="n">
        <v>0</v>
      </c>
      <c r="O529" t="n">
        <v>0</v>
      </c>
      <c r="P529" t="n">
        <v>0</v>
      </c>
      <c r="Q529" t="n">
        <v>0</v>
      </c>
      <c r="R529" s="2" t="inlineStr"/>
      <c r="U529">
        <f>HYPERLINK("https://klasma.github.io/Logging_2260/knärot/A 4872-2025 karta knärot.png", "A 4872-2025")</f>
        <v/>
      </c>
      <c r="V529">
        <f>HYPERLINK("https://klasma.github.io/Logging_2260/klagomål/A 4872-2025 FSC-klagomål.docx", "A 4872-2025")</f>
        <v/>
      </c>
      <c r="W529">
        <f>HYPERLINK("https://klasma.github.io/Logging_2260/klagomålsmail/A 4872-2025 FSC-klagomål mail.docx", "A 4872-2025")</f>
        <v/>
      </c>
      <c r="X529">
        <f>HYPERLINK("https://klasma.github.io/Logging_2260/tillsyn/A 4872-2025 tillsynsbegäran.docx", "A 4872-2025")</f>
        <v/>
      </c>
      <c r="Y529">
        <f>HYPERLINK("https://klasma.github.io/Logging_2260/tillsynsmail/A 4872-2025 tillsynsbegäran mail.docx", "A 4872-2025")</f>
        <v/>
      </c>
    </row>
    <row r="530" ht="15" customHeight="1">
      <c r="A530" t="inlineStr">
        <is>
          <t>A 35426-2024</t>
        </is>
      </c>
      <c r="B530" s="1" t="n">
        <v>45531</v>
      </c>
      <c r="C530" s="1" t="n">
        <v>45992</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35488-2024</t>
        </is>
      </c>
      <c r="B531" s="1" t="n">
        <v>45531</v>
      </c>
      <c r="C531" s="1" t="n">
        <v>45992</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3347-2024</t>
        </is>
      </c>
      <c r="B532" s="1" t="n">
        <v>45317</v>
      </c>
      <c r="C532" s="1" t="n">
        <v>45992</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31563-2024</t>
        </is>
      </c>
      <c r="B533" s="1" t="n">
        <v>45505</v>
      </c>
      <c r="C533" s="1" t="n">
        <v>45992</v>
      </c>
      <c r="D533" t="inlineStr">
        <is>
          <t>VÄSTERNORRLANDS LÄN</t>
        </is>
      </c>
      <c r="E533" t="inlineStr">
        <is>
          <t>ÅNGE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26193-2025</t>
        </is>
      </c>
      <c r="B534" s="1" t="n">
        <v>45805.48922453704</v>
      </c>
      <c r="C534" s="1" t="n">
        <v>45992</v>
      </c>
      <c r="D534" t="inlineStr">
        <is>
          <t>VÄSTERNORRLANDS LÄN</t>
        </is>
      </c>
      <c r="E534" t="inlineStr">
        <is>
          <t>ÅNGE</t>
        </is>
      </c>
      <c r="G534" t="n">
        <v>2.3</v>
      </c>
      <c r="H534" t="n">
        <v>0</v>
      </c>
      <c r="I534" t="n">
        <v>0</v>
      </c>
      <c r="J534" t="n">
        <v>0</v>
      </c>
      <c r="K534" t="n">
        <v>0</v>
      </c>
      <c r="L534" t="n">
        <v>0</v>
      </c>
      <c r="M534" t="n">
        <v>0</v>
      </c>
      <c r="N534" t="n">
        <v>0</v>
      </c>
      <c r="O534" t="n">
        <v>0</v>
      </c>
      <c r="P534" t="n">
        <v>0</v>
      </c>
      <c r="Q534" t="n">
        <v>0</v>
      </c>
      <c r="R534" s="2" t="inlineStr"/>
    </row>
    <row r="535" ht="15" customHeight="1">
      <c r="A535" t="inlineStr">
        <is>
          <t>A 32051-2025</t>
        </is>
      </c>
      <c r="B535" s="1" t="n">
        <v>45835.44185185185</v>
      </c>
      <c r="C535" s="1" t="n">
        <v>45992</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26365-2025</t>
        </is>
      </c>
      <c r="B536" s="1" t="n">
        <v>45806.34412037037</v>
      </c>
      <c r="C536" s="1" t="n">
        <v>45992</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26389-2025</t>
        </is>
      </c>
      <c r="B537" s="1" t="n">
        <v>45806.51078703703</v>
      </c>
      <c r="C537" s="1" t="n">
        <v>45992</v>
      </c>
      <c r="D537" t="inlineStr">
        <is>
          <t>VÄSTERNORRLANDS LÄN</t>
        </is>
      </c>
      <c r="E537" t="inlineStr">
        <is>
          <t>ÅNGE</t>
        </is>
      </c>
      <c r="F537" t="inlineStr">
        <is>
          <t>SCA</t>
        </is>
      </c>
      <c r="G537" t="n">
        <v>11.9</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45992</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26366-2025</t>
        </is>
      </c>
      <c r="B539" s="1" t="n">
        <v>45806.34424768519</v>
      </c>
      <c r="C539" s="1" t="n">
        <v>45992</v>
      </c>
      <c r="D539" t="inlineStr">
        <is>
          <t>VÄSTERNORRLANDS LÄN</t>
        </is>
      </c>
      <c r="E539" t="inlineStr">
        <is>
          <t>ÅNGE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39768-2025</t>
        </is>
      </c>
      <c r="B540" s="1" t="n">
        <v>45891.44842592593</v>
      </c>
      <c r="C540" s="1" t="n">
        <v>45992</v>
      </c>
      <c r="D540" t="inlineStr">
        <is>
          <t>VÄSTERNORRLANDS LÄN</t>
        </is>
      </c>
      <c r="E540" t="inlineStr">
        <is>
          <t>ÅNGE</t>
        </is>
      </c>
      <c r="G540" t="n">
        <v>10.4</v>
      </c>
      <c r="H540" t="n">
        <v>0</v>
      </c>
      <c r="I540" t="n">
        <v>0</v>
      </c>
      <c r="J540" t="n">
        <v>0</v>
      </c>
      <c r="K540" t="n">
        <v>0</v>
      </c>
      <c r="L540" t="n">
        <v>0</v>
      </c>
      <c r="M540" t="n">
        <v>0</v>
      </c>
      <c r="N540" t="n">
        <v>0</v>
      </c>
      <c r="O540" t="n">
        <v>0</v>
      </c>
      <c r="P540" t="n">
        <v>0</v>
      </c>
      <c r="Q540" t="n">
        <v>0</v>
      </c>
      <c r="R540" s="2" t="inlineStr"/>
    </row>
    <row r="541" ht="15" customHeight="1">
      <c r="A541" t="inlineStr">
        <is>
          <t>A 26734-2025</t>
        </is>
      </c>
      <c r="B541" s="1" t="n">
        <v>45810.51087962963</v>
      </c>
      <c r="C541" s="1" t="n">
        <v>45992</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39729-2025</t>
        </is>
      </c>
      <c r="B542" s="1" t="n">
        <v>45891</v>
      </c>
      <c r="C542" s="1" t="n">
        <v>45992</v>
      </c>
      <c r="D542" t="inlineStr">
        <is>
          <t>VÄSTERNORRLANDS LÄN</t>
        </is>
      </c>
      <c r="E542" t="inlineStr">
        <is>
          <t>ÅNGE</t>
        </is>
      </c>
      <c r="G542" t="n">
        <v>2.3</v>
      </c>
      <c r="H542" t="n">
        <v>0</v>
      </c>
      <c r="I542" t="n">
        <v>0</v>
      </c>
      <c r="J542" t="n">
        <v>0</v>
      </c>
      <c r="K542" t="n">
        <v>0</v>
      </c>
      <c r="L542" t="n">
        <v>0</v>
      </c>
      <c r="M542" t="n">
        <v>0</v>
      </c>
      <c r="N542" t="n">
        <v>0</v>
      </c>
      <c r="O542" t="n">
        <v>0</v>
      </c>
      <c r="P542" t="n">
        <v>0</v>
      </c>
      <c r="Q542" t="n">
        <v>0</v>
      </c>
      <c r="R542" s="2" t="inlineStr"/>
    </row>
    <row r="543" ht="15" customHeight="1">
      <c r="A543" t="inlineStr">
        <is>
          <t>A 741-2024</t>
        </is>
      </c>
      <c r="B543" s="1" t="n">
        <v>45300.46591435185</v>
      </c>
      <c r="C543" s="1" t="n">
        <v>45992</v>
      </c>
      <c r="D543" t="inlineStr">
        <is>
          <t>VÄSTERNORRLANDS LÄN</t>
        </is>
      </c>
      <c r="E543" t="inlineStr">
        <is>
          <t>ÅNGE</t>
        </is>
      </c>
      <c r="G543" t="n">
        <v>8</v>
      </c>
      <c r="H543" t="n">
        <v>0</v>
      </c>
      <c r="I543" t="n">
        <v>0</v>
      </c>
      <c r="J543" t="n">
        <v>0</v>
      </c>
      <c r="K543" t="n">
        <v>0</v>
      </c>
      <c r="L543" t="n">
        <v>0</v>
      </c>
      <c r="M543" t="n">
        <v>0</v>
      </c>
      <c r="N543" t="n">
        <v>0</v>
      </c>
      <c r="O543" t="n">
        <v>0</v>
      </c>
      <c r="P543" t="n">
        <v>0</v>
      </c>
      <c r="Q543" t="n">
        <v>0</v>
      </c>
      <c r="R543" s="2" t="inlineStr"/>
    </row>
    <row r="544" ht="15" customHeight="1">
      <c r="A544" t="inlineStr">
        <is>
          <t>A 48369-2024</t>
        </is>
      </c>
      <c r="B544" s="1" t="n">
        <v>45590.57960648148</v>
      </c>
      <c r="C544" s="1" t="n">
        <v>45992</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45992</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16524-2025</t>
        </is>
      </c>
      <c r="B546" s="1" t="n">
        <v>45751.64310185185</v>
      </c>
      <c r="C546" s="1" t="n">
        <v>45992</v>
      </c>
      <c r="D546" t="inlineStr">
        <is>
          <t>VÄSTERNORRLANDS LÄN</t>
        </is>
      </c>
      <c r="E546" t="inlineStr">
        <is>
          <t>ÅNGE</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52683-2024</t>
        </is>
      </c>
      <c r="B547" s="1" t="n">
        <v>45610</v>
      </c>
      <c r="C547" s="1" t="n">
        <v>45992</v>
      </c>
      <c r="D547" t="inlineStr">
        <is>
          <t>VÄSTERNORRLANDS LÄN</t>
        </is>
      </c>
      <c r="E547" t="inlineStr">
        <is>
          <t>ÅNGE</t>
        </is>
      </c>
      <c r="G547" t="n">
        <v>1.8</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45992</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40790-2023</t>
        </is>
      </c>
      <c r="B549" s="1" t="n">
        <v>45170.95814814815</v>
      </c>
      <c r="C549" s="1" t="n">
        <v>45992</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16450-2025</t>
        </is>
      </c>
      <c r="B550" s="1" t="n">
        <v>45751.51081018519</v>
      </c>
      <c r="C550" s="1" t="n">
        <v>45992</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38002-2024</t>
        </is>
      </c>
      <c r="B551" s="1" t="n">
        <v>45544.61484953704</v>
      </c>
      <c r="C551" s="1" t="n">
        <v>45992</v>
      </c>
      <c r="D551" t="inlineStr">
        <is>
          <t>VÄSTERNORRLANDS LÄN</t>
        </is>
      </c>
      <c r="E551" t="inlineStr">
        <is>
          <t>ÅNGE</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60514-2024</t>
        </is>
      </c>
      <c r="B552" s="1" t="n">
        <v>45643.67474537037</v>
      </c>
      <c r="C552" s="1" t="n">
        <v>45992</v>
      </c>
      <c r="D552" t="inlineStr">
        <is>
          <t>VÄSTERNORRLANDS LÄN</t>
        </is>
      </c>
      <c r="E552" t="inlineStr">
        <is>
          <t>ÅNGE</t>
        </is>
      </c>
      <c r="G552" t="n">
        <v>2.4</v>
      </c>
      <c r="H552" t="n">
        <v>0</v>
      </c>
      <c r="I552" t="n">
        <v>0</v>
      </c>
      <c r="J552" t="n">
        <v>0</v>
      </c>
      <c r="K552" t="n">
        <v>0</v>
      </c>
      <c r="L552" t="n">
        <v>0</v>
      </c>
      <c r="M552" t="n">
        <v>0</v>
      </c>
      <c r="N552" t="n">
        <v>0</v>
      </c>
      <c r="O552" t="n">
        <v>0</v>
      </c>
      <c r="P552" t="n">
        <v>0</v>
      </c>
      <c r="Q552" t="n">
        <v>0</v>
      </c>
      <c r="R552" s="2" t="inlineStr"/>
    </row>
    <row r="553" ht="15" customHeight="1">
      <c r="A553" t="inlineStr">
        <is>
          <t>A 6684-2024</t>
        </is>
      </c>
      <c r="B553" s="1" t="n">
        <v>45341.92555555556</v>
      </c>
      <c r="C553" s="1" t="n">
        <v>45992</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6691-2024</t>
        </is>
      </c>
      <c r="B554" s="1" t="n">
        <v>45341</v>
      </c>
      <c r="C554" s="1" t="n">
        <v>45992</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5931-2025</t>
        </is>
      </c>
      <c r="B555" s="1" t="n">
        <v>45695.44827546296</v>
      </c>
      <c r="C555" s="1" t="n">
        <v>45992</v>
      </c>
      <c r="D555" t="inlineStr">
        <is>
          <t>VÄSTERNORRLANDS LÄN</t>
        </is>
      </c>
      <c r="E555" t="inlineStr">
        <is>
          <t>ÅNGE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26608-2025</t>
        </is>
      </c>
      <c r="B556" s="1" t="n">
        <v>45809.98600694445</v>
      </c>
      <c r="C556" s="1" t="n">
        <v>45992</v>
      </c>
      <c r="D556" t="inlineStr">
        <is>
          <t>VÄSTERNORRLANDS LÄN</t>
        </is>
      </c>
      <c r="E556" t="inlineStr">
        <is>
          <t>ÅNGE</t>
        </is>
      </c>
      <c r="G556" t="n">
        <v>4.5</v>
      </c>
      <c r="H556" t="n">
        <v>0</v>
      </c>
      <c r="I556" t="n">
        <v>0</v>
      </c>
      <c r="J556" t="n">
        <v>0</v>
      </c>
      <c r="K556" t="n">
        <v>0</v>
      </c>
      <c r="L556" t="n">
        <v>0</v>
      </c>
      <c r="M556" t="n">
        <v>0</v>
      </c>
      <c r="N556" t="n">
        <v>0</v>
      </c>
      <c r="O556" t="n">
        <v>0</v>
      </c>
      <c r="P556" t="n">
        <v>0</v>
      </c>
      <c r="Q556" t="n">
        <v>0</v>
      </c>
      <c r="R556" s="2" t="inlineStr"/>
    </row>
    <row r="557" ht="15" customHeight="1">
      <c r="A557" t="inlineStr">
        <is>
          <t>A 33720-2025</t>
        </is>
      </c>
      <c r="B557" s="1" t="n">
        <v>45841.90605324074</v>
      </c>
      <c r="C557" s="1" t="n">
        <v>45992</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27023-2025</t>
        </is>
      </c>
      <c r="B558" s="1" t="n">
        <v>45811.57342592593</v>
      </c>
      <c r="C558" s="1" t="n">
        <v>45992</v>
      </c>
      <c r="D558" t="inlineStr">
        <is>
          <t>VÄSTERNORRLANDS LÄN</t>
        </is>
      </c>
      <c r="E558" t="inlineStr">
        <is>
          <t>ÅNGE</t>
        </is>
      </c>
      <c r="G558" t="n">
        <v>0.3</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45992</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42242-2023</t>
        </is>
      </c>
      <c r="B560" s="1" t="n">
        <v>45180.35025462963</v>
      </c>
      <c r="C560" s="1" t="n">
        <v>45992</v>
      </c>
      <c r="D560" t="inlineStr">
        <is>
          <t>VÄSTERNORRLANDS LÄN</t>
        </is>
      </c>
      <c r="E560" t="inlineStr">
        <is>
          <t>ÅNGE</t>
        </is>
      </c>
      <c r="G560" t="n">
        <v>5.7</v>
      </c>
      <c r="H560" t="n">
        <v>0</v>
      </c>
      <c r="I560" t="n">
        <v>0</v>
      </c>
      <c r="J560" t="n">
        <v>0</v>
      </c>
      <c r="K560" t="n">
        <v>0</v>
      </c>
      <c r="L560" t="n">
        <v>0</v>
      </c>
      <c r="M560" t="n">
        <v>0</v>
      </c>
      <c r="N560" t="n">
        <v>0</v>
      </c>
      <c r="O560" t="n">
        <v>0</v>
      </c>
      <c r="P560" t="n">
        <v>0</v>
      </c>
      <c r="Q560" t="n">
        <v>0</v>
      </c>
      <c r="R560" s="2" t="inlineStr"/>
    </row>
    <row r="561" ht="15" customHeight="1">
      <c r="A561" t="inlineStr">
        <is>
          <t>A 56874-2024</t>
        </is>
      </c>
      <c r="B561" s="1" t="n">
        <v>45628</v>
      </c>
      <c r="C561" s="1" t="n">
        <v>45992</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58087-2024</t>
        </is>
      </c>
      <c r="B562" s="1" t="n">
        <v>45632.34502314815</v>
      </c>
      <c r="C562" s="1" t="n">
        <v>45992</v>
      </c>
      <c r="D562" t="inlineStr">
        <is>
          <t>VÄSTERNORRLANDS LÄN</t>
        </is>
      </c>
      <c r="E562" t="inlineStr">
        <is>
          <t>ÅNGE</t>
        </is>
      </c>
      <c r="G562" t="n">
        <v>2.6</v>
      </c>
      <c r="H562" t="n">
        <v>0</v>
      </c>
      <c r="I562" t="n">
        <v>0</v>
      </c>
      <c r="J562" t="n">
        <v>0</v>
      </c>
      <c r="K562" t="n">
        <v>0</v>
      </c>
      <c r="L562" t="n">
        <v>0</v>
      </c>
      <c r="M562" t="n">
        <v>0</v>
      </c>
      <c r="N562" t="n">
        <v>0</v>
      </c>
      <c r="O562" t="n">
        <v>0</v>
      </c>
      <c r="P562" t="n">
        <v>0</v>
      </c>
      <c r="Q562" t="n">
        <v>0</v>
      </c>
      <c r="R562" s="2" t="inlineStr"/>
    </row>
    <row r="563" ht="15" customHeight="1">
      <c r="A563" t="inlineStr">
        <is>
          <t>A 35578-2025</t>
        </is>
      </c>
      <c r="B563" s="1" t="n">
        <v>45856.67797453704</v>
      </c>
      <c r="C563" s="1" t="n">
        <v>45992</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25973-2022</t>
        </is>
      </c>
      <c r="B564" s="1" t="n">
        <v>44734</v>
      </c>
      <c r="C564" s="1" t="n">
        <v>45992</v>
      </c>
      <c r="D564" t="inlineStr">
        <is>
          <t>VÄSTERNORRLANDS LÄN</t>
        </is>
      </c>
      <c r="E564" t="inlineStr">
        <is>
          <t>ÅNGE</t>
        </is>
      </c>
      <c r="G564" t="n">
        <v>4.1</v>
      </c>
      <c r="H564" t="n">
        <v>0</v>
      </c>
      <c r="I564" t="n">
        <v>0</v>
      </c>
      <c r="J564" t="n">
        <v>0</v>
      </c>
      <c r="K564" t="n">
        <v>0</v>
      </c>
      <c r="L564" t="n">
        <v>0</v>
      </c>
      <c r="M564" t="n">
        <v>0</v>
      </c>
      <c r="N564" t="n">
        <v>0</v>
      </c>
      <c r="O564" t="n">
        <v>0</v>
      </c>
      <c r="P564" t="n">
        <v>0</v>
      </c>
      <c r="Q564" t="n">
        <v>0</v>
      </c>
      <c r="R564" s="2" t="inlineStr"/>
    </row>
    <row r="565" ht="15" customHeight="1">
      <c r="A565" t="inlineStr">
        <is>
          <t>A 21200-2024</t>
        </is>
      </c>
      <c r="B565" s="1" t="n">
        <v>45440</v>
      </c>
      <c r="C565" s="1" t="n">
        <v>45992</v>
      </c>
      <c r="D565" t="inlineStr">
        <is>
          <t>VÄSTERNORRLANDS LÄN</t>
        </is>
      </c>
      <c r="E565" t="inlineStr">
        <is>
          <t>ÅNGE</t>
        </is>
      </c>
      <c r="G565" t="n">
        <v>1.1</v>
      </c>
      <c r="H565" t="n">
        <v>0</v>
      </c>
      <c r="I565" t="n">
        <v>0</v>
      </c>
      <c r="J565" t="n">
        <v>0</v>
      </c>
      <c r="K565" t="n">
        <v>0</v>
      </c>
      <c r="L565" t="n">
        <v>0</v>
      </c>
      <c r="M565" t="n">
        <v>0</v>
      </c>
      <c r="N565" t="n">
        <v>0</v>
      </c>
      <c r="O565" t="n">
        <v>0</v>
      </c>
      <c r="P565" t="n">
        <v>0</v>
      </c>
      <c r="Q565" t="n">
        <v>0</v>
      </c>
      <c r="R565" s="2" t="inlineStr"/>
    </row>
    <row r="566" ht="15" customHeight="1">
      <c r="A566" t="inlineStr">
        <is>
          <t>A 10017-2025</t>
        </is>
      </c>
      <c r="B566" s="1" t="n">
        <v>45719.46957175926</v>
      </c>
      <c r="C566" s="1" t="n">
        <v>45992</v>
      </c>
      <c r="D566" t="inlineStr">
        <is>
          <t>VÄSTERNORRLANDS LÄN</t>
        </is>
      </c>
      <c r="E566" t="inlineStr">
        <is>
          <t>ÅNGE</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27164-2025</t>
        </is>
      </c>
      <c r="B567" s="1" t="n">
        <v>45812.34430555555</v>
      </c>
      <c r="C567" s="1" t="n">
        <v>45992</v>
      </c>
      <c r="D567" t="inlineStr">
        <is>
          <t>VÄSTERNORRLANDS LÄN</t>
        </is>
      </c>
      <c r="E567" t="inlineStr">
        <is>
          <t>ÅNGE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1127-2023</t>
        </is>
      </c>
      <c r="B568" s="1" t="n">
        <v>44929</v>
      </c>
      <c r="C568" s="1" t="n">
        <v>45992</v>
      </c>
      <c r="D568" t="inlineStr">
        <is>
          <t>VÄSTERNORRLANDS LÄN</t>
        </is>
      </c>
      <c r="E568" t="inlineStr">
        <is>
          <t>ÅNGE</t>
        </is>
      </c>
      <c r="G568" t="n">
        <v>10.5</v>
      </c>
      <c r="H568" t="n">
        <v>0</v>
      </c>
      <c r="I568" t="n">
        <v>0</v>
      </c>
      <c r="J568" t="n">
        <v>0</v>
      </c>
      <c r="K568" t="n">
        <v>0</v>
      </c>
      <c r="L568" t="n">
        <v>0</v>
      </c>
      <c r="M568" t="n">
        <v>0</v>
      </c>
      <c r="N568" t="n">
        <v>0</v>
      </c>
      <c r="O568" t="n">
        <v>0</v>
      </c>
      <c r="P568" t="n">
        <v>0</v>
      </c>
      <c r="Q568" t="n">
        <v>0</v>
      </c>
      <c r="R568" s="2" t="inlineStr"/>
    </row>
    <row r="569" ht="15" customHeight="1">
      <c r="A569" t="inlineStr">
        <is>
          <t>A 27606-2025</t>
        </is>
      </c>
      <c r="B569" s="1" t="n">
        <v>45813.53200231482</v>
      </c>
      <c r="C569" s="1" t="n">
        <v>45992</v>
      </c>
      <c r="D569" t="inlineStr">
        <is>
          <t>VÄSTERNORRLANDS LÄN</t>
        </is>
      </c>
      <c r="E569" t="inlineStr">
        <is>
          <t>ÅNGE</t>
        </is>
      </c>
      <c r="F569" t="inlineStr">
        <is>
          <t>SCA</t>
        </is>
      </c>
      <c r="G569" t="n">
        <v>6.3</v>
      </c>
      <c r="H569" t="n">
        <v>0</v>
      </c>
      <c r="I569" t="n">
        <v>0</v>
      </c>
      <c r="J569" t="n">
        <v>0</v>
      </c>
      <c r="K569" t="n">
        <v>0</v>
      </c>
      <c r="L569" t="n">
        <v>0</v>
      </c>
      <c r="M569" t="n">
        <v>0</v>
      </c>
      <c r="N569" t="n">
        <v>0</v>
      </c>
      <c r="O569" t="n">
        <v>0</v>
      </c>
      <c r="P569" t="n">
        <v>0</v>
      </c>
      <c r="Q569" t="n">
        <v>0</v>
      </c>
      <c r="R569" s="2" t="inlineStr"/>
    </row>
    <row r="570" ht="15" customHeight="1">
      <c r="A570" t="inlineStr">
        <is>
          <t>A 22755-2023</t>
        </is>
      </c>
      <c r="B570" s="1" t="n">
        <v>45071.94127314815</v>
      </c>
      <c r="C570" s="1" t="n">
        <v>45992</v>
      </c>
      <c r="D570" t="inlineStr">
        <is>
          <t>VÄSTERNORRLANDS LÄN</t>
        </is>
      </c>
      <c r="E570" t="inlineStr">
        <is>
          <t>ÅNGE</t>
        </is>
      </c>
      <c r="F570" t="inlineStr">
        <is>
          <t>SCA</t>
        </is>
      </c>
      <c r="G570" t="n">
        <v>12.6</v>
      </c>
      <c r="H570" t="n">
        <v>0</v>
      </c>
      <c r="I570" t="n">
        <v>0</v>
      </c>
      <c r="J570" t="n">
        <v>0</v>
      </c>
      <c r="K570" t="n">
        <v>0</v>
      </c>
      <c r="L570" t="n">
        <v>0</v>
      </c>
      <c r="M570" t="n">
        <v>0</v>
      </c>
      <c r="N570" t="n">
        <v>0</v>
      </c>
      <c r="O570" t="n">
        <v>0</v>
      </c>
      <c r="P570" t="n">
        <v>0</v>
      </c>
      <c r="Q570" t="n">
        <v>0</v>
      </c>
      <c r="R570" s="2" t="inlineStr"/>
    </row>
    <row r="571" ht="15" customHeight="1">
      <c r="A571" t="inlineStr">
        <is>
          <t>A 40818-2025</t>
        </is>
      </c>
      <c r="B571" s="1" t="n">
        <v>45897.48881944444</v>
      </c>
      <c r="C571" s="1" t="n">
        <v>45992</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40830-2025</t>
        </is>
      </c>
      <c r="B572" s="1" t="n">
        <v>45897.51079861111</v>
      </c>
      <c r="C572" s="1" t="n">
        <v>45992</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33750-2024</t>
        </is>
      </c>
      <c r="B573" s="1" t="n">
        <v>45520.56475694444</v>
      </c>
      <c r="C573" s="1" t="n">
        <v>45992</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4727-2023</t>
        </is>
      </c>
      <c r="B574" s="1" t="n">
        <v>44953</v>
      </c>
      <c r="C574" s="1" t="n">
        <v>45992</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27639-2025</t>
        </is>
      </c>
      <c r="B575" s="1" t="n">
        <v>45813</v>
      </c>
      <c r="C575" s="1" t="n">
        <v>45992</v>
      </c>
      <c r="D575" t="inlineStr">
        <is>
          <t>VÄSTERNORRLANDS LÄN</t>
        </is>
      </c>
      <c r="E575" t="inlineStr">
        <is>
          <t>ÅNGE</t>
        </is>
      </c>
      <c r="G575" t="n">
        <v>22.9</v>
      </c>
      <c r="H575" t="n">
        <v>0</v>
      </c>
      <c r="I575" t="n">
        <v>0</v>
      </c>
      <c r="J575" t="n">
        <v>0</v>
      </c>
      <c r="K575" t="n">
        <v>0</v>
      </c>
      <c r="L575" t="n">
        <v>0</v>
      </c>
      <c r="M575" t="n">
        <v>0</v>
      </c>
      <c r="N575" t="n">
        <v>0</v>
      </c>
      <c r="O575" t="n">
        <v>0</v>
      </c>
      <c r="P575" t="n">
        <v>0</v>
      </c>
      <c r="Q575" t="n">
        <v>0</v>
      </c>
      <c r="R575" s="2" t="inlineStr"/>
    </row>
    <row r="576" ht="15" customHeight="1">
      <c r="A576" t="inlineStr">
        <is>
          <t>A 27572-2025</t>
        </is>
      </c>
      <c r="B576" s="1" t="n">
        <v>45813.49049768518</v>
      </c>
      <c r="C576" s="1" t="n">
        <v>45992</v>
      </c>
      <c r="D576" t="inlineStr">
        <is>
          <t>VÄSTERNORRLANDS LÄN</t>
        </is>
      </c>
      <c r="E576" t="inlineStr">
        <is>
          <t>ÅNGE</t>
        </is>
      </c>
      <c r="F576" t="inlineStr">
        <is>
          <t>SCA</t>
        </is>
      </c>
      <c r="G576" t="n">
        <v>14.3</v>
      </c>
      <c r="H576" t="n">
        <v>0</v>
      </c>
      <c r="I576" t="n">
        <v>0</v>
      </c>
      <c r="J576" t="n">
        <v>0</v>
      </c>
      <c r="K576" t="n">
        <v>0</v>
      </c>
      <c r="L576" t="n">
        <v>0</v>
      </c>
      <c r="M576" t="n">
        <v>0</v>
      </c>
      <c r="N576" t="n">
        <v>0</v>
      </c>
      <c r="O576" t="n">
        <v>0</v>
      </c>
      <c r="P576" t="n">
        <v>0</v>
      </c>
      <c r="Q576" t="n">
        <v>0</v>
      </c>
      <c r="R576" s="2" t="inlineStr"/>
    </row>
    <row r="577" ht="15" customHeight="1">
      <c r="A577" t="inlineStr">
        <is>
          <t>A 27165-2025</t>
        </is>
      </c>
      <c r="B577" s="1" t="n">
        <v>45812.34440972222</v>
      </c>
      <c r="C577" s="1" t="n">
        <v>45992</v>
      </c>
      <c r="D577" t="inlineStr">
        <is>
          <t>VÄSTERNORRLANDS LÄN</t>
        </is>
      </c>
      <c r="E577" t="inlineStr">
        <is>
          <t>ÅNGE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45992</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42881-2023</t>
        </is>
      </c>
      <c r="B579" s="1" t="n">
        <v>45182.45256944445</v>
      </c>
      <c r="C579" s="1" t="n">
        <v>45992</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45992</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45992</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40898-2025</t>
        </is>
      </c>
      <c r="B582" s="1" t="n">
        <v>45897.61503472222</v>
      </c>
      <c r="C582" s="1" t="n">
        <v>45992</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40899-2025</t>
        </is>
      </c>
      <c r="B583" s="1" t="n">
        <v>45897.61528935185</v>
      </c>
      <c r="C583" s="1" t="n">
        <v>45992</v>
      </c>
      <c r="D583" t="inlineStr">
        <is>
          <t>VÄSTERNORRLANDS LÄN</t>
        </is>
      </c>
      <c r="E583" t="inlineStr">
        <is>
          <t>ÅNGE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30474-2024</t>
        </is>
      </c>
      <c r="B584" s="1" t="n">
        <v>45491</v>
      </c>
      <c r="C584" s="1" t="n">
        <v>45992</v>
      </c>
      <c r="D584" t="inlineStr">
        <is>
          <t>VÄSTERNORRLANDS LÄN</t>
        </is>
      </c>
      <c r="E584" t="inlineStr">
        <is>
          <t>ÅNGE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30475-2024</t>
        </is>
      </c>
      <c r="B585" s="1" t="n">
        <v>45491</v>
      </c>
      <c r="C585" s="1" t="n">
        <v>45992</v>
      </c>
      <c r="D585" t="inlineStr">
        <is>
          <t>VÄSTERNORRLANDS LÄN</t>
        </is>
      </c>
      <c r="E585" t="inlineStr">
        <is>
          <t>ÅNGE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47243-2024</t>
        </is>
      </c>
      <c r="B586" s="1" t="n">
        <v>45586.6987962963</v>
      </c>
      <c r="C586" s="1" t="n">
        <v>45992</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41179-2025</t>
        </is>
      </c>
      <c r="B587" s="1" t="n">
        <v>45898.55277777778</v>
      </c>
      <c r="C587" s="1" t="n">
        <v>45992</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41173-2025</t>
        </is>
      </c>
      <c r="B588" s="1" t="n">
        <v>45898</v>
      </c>
      <c r="C588" s="1" t="n">
        <v>45992</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42043-2024</t>
        </is>
      </c>
      <c r="B589" s="1" t="n">
        <v>45561</v>
      </c>
      <c r="C589" s="1" t="n">
        <v>45992</v>
      </c>
      <c r="D589" t="inlineStr">
        <is>
          <t>VÄSTERNORRLANDS LÄN</t>
        </is>
      </c>
      <c r="E589" t="inlineStr">
        <is>
          <t>ÅNGE</t>
        </is>
      </c>
      <c r="G589" t="n">
        <v>3.1</v>
      </c>
      <c r="H589" t="n">
        <v>0</v>
      </c>
      <c r="I589" t="n">
        <v>0</v>
      </c>
      <c r="J589" t="n">
        <v>0</v>
      </c>
      <c r="K589" t="n">
        <v>0</v>
      </c>
      <c r="L589" t="n">
        <v>0</v>
      </c>
      <c r="M589" t="n">
        <v>0</v>
      </c>
      <c r="N589" t="n">
        <v>0</v>
      </c>
      <c r="O589" t="n">
        <v>0</v>
      </c>
      <c r="P589" t="n">
        <v>0</v>
      </c>
      <c r="Q589" t="n">
        <v>0</v>
      </c>
      <c r="R589" s="2" t="inlineStr"/>
    </row>
    <row r="590" ht="15" customHeight="1">
      <c r="A590" t="inlineStr">
        <is>
          <t>A 42046-2024</t>
        </is>
      </c>
      <c r="B590" s="1" t="n">
        <v>45561.83422453704</v>
      </c>
      <c r="C590" s="1" t="n">
        <v>45992</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28085-2025</t>
        </is>
      </c>
      <c r="B591" s="1" t="n">
        <v>45817.71924768519</v>
      </c>
      <c r="C591" s="1" t="n">
        <v>45992</v>
      </c>
      <c r="D591" t="inlineStr">
        <is>
          <t>VÄSTERNORRLANDS LÄN</t>
        </is>
      </c>
      <c r="E591" t="inlineStr">
        <is>
          <t>ÅNGE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41355-2025</t>
        </is>
      </c>
      <c r="B592" s="1" t="n">
        <v>45900.34425925926</v>
      </c>
      <c r="C592" s="1" t="n">
        <v>45992</v>
      </c>
      <c r="D592" t="inlineStr">
        <is>
          <t>VÄSTERNORRLANDS LÄN</t>
        </is>
      </c>
      <c r="E592" t="inlineStr">
        <is>
          <t>ÅNGE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28070-2025</t>
        </is>
      </c>
      <c r="B593" s="1" t="n">
        <v>45817.67739583334</v>
      </c>
      <c r="C593" s="1" t="n">
        <v>45992</v>
      </c>
      <c r="D593" t="inlineStr">
        <is>
          <t>VÄSTERNORRLANDS LÄN</t>
        </is>
      </c>
      <c r="E593" t="inlineStr">
        <is>
          <t>ÅNGE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55664-2023</t>
        </is>
      </c>
      <c r="B594" s="1" t="n">
        <v>45238.96748842593</v>
      </c>
      <c r="C594" s="1" t="n">
        <v>45992</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57595-2022</t>
        </is>
      </c>
      <c r="B595" s="1" t="n">
        <v>44896.97862268519</v>
      </c>
      <c r="C595" s="1" t="n">
        <v>45992</v>
      </c>
      <c r="D595" t="inlineStr">
        <is>
          <t>VÄSTERNORRLANDS LÄN</t>
        </is>
      </c>
      <c r="E595" t="inlineStr">
        <is>
          <t>ÅNGE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30747-2024</t>
        </is>
      </c>
      <c r="B596" s="1" t="n">
        <v>45496</v>
      </c>
      <c r="C596" s="1" t="n">
        <v>45992</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58939-2021</t>
        </is>
      </c>
      <c r="B597" s="1" t="n">
        <v>44489</v>
      </c>
      <c r="C597" s="1" t="n">
        <v>45992</v>
      </c>
      <c r="D597" t="inlineStr">
        <is>
          <t>VÄSTERNORRLANDS LÄN</t>
        </is>
      </c>
      <c r="E597" t="inlineStr">
        <is>
          <t>ÅNGE</t>
        </is>
      </c>
      <c r="G597" t="n">
        <v>2.5</v>
      </c>
      <c r="H597" t="n">
        <v>0</v>
      </c>
      <c r="I597" t="n">
        <v>0</v>
      </c>
      <c r="J597" t="n">
        <v>0</v>
      </c>
      <c r="K597" t="n">
        <v>0</v>
      </c>
      <c r="L597" t="n">
        <v>0</v>
      </c>
      <c r="M597" t="n">
        <v>0</v>
      </c>
      <c r="N597" t="n">
        <v>0</v>
      </c>
      <c r="O597" t="n">
        <v>0</v>
      </c>
      <c r="P597" t="n">
        <v>0</v>
      </c>
      <c r="Q597" t="n">
        <v>0</v>
      </c>
      <c r="R597" s="2" t="inlineStr"/>
    </row>
    <row r="598" ht="15" customHeight="1">
      <c r="A598" t="inlineStr">
        <is>
          <t>A 58639-2023</t>
        </is>
      </c>
      <c r="B598" s="1" t="n">
        <v>45251</v>
      </c>
      <c r="C598" s="1" t="n">
        <v>45992</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28143-2025</t>
        </is>
      </c>
      <c r="B599" s="1" t="n">
        <v>45818.34546296296</v>
      </c>
      <c r="C599" s="1" t="n">
        <v>45992</v>
      </c>
      <c r="D599" t="inlineStr">
        <is>
          <t>VÄSTERNORRLANDS LÄN</t>
        </is>
      </c>
      <c r="E599" t="inlineStr">
        <is>
          <t>ÅNGE</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28404-2025</t>
        </is>
      </c>
      <c r="B600" s="1" t="n">
        <v>45819.34532407407</v>
      </c>
      <c r="C600" s="1" t="n">
        <v>45992</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45992</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28896-2025</t>
        </is>
      </c>
      <c r="B602" s="1" t="n">
        <v>45820.63584490741</v>
      </c>
      <c r="C602" s="1" t="n">
        <v>45992</v>
      </c>
      <c r="D602" t="inlineStr">
        <is>
          <t>VÄSTERNORRLANDS LÄN</t>
        </is>
      </c>
      <c r="E602" t="inlineStr">
        <is>
          <t>ÅNGE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44635-2024</t>
        </is>
      </c>
      <c r="B603" s="1" t="n">
        <v>45574.51488425926</v>
      </c>
      <c r="C603" s="1" t="n">
        <v>45992</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28814-2025</t>
        </is>
      </c>
      <c r="B604" s="1" t="n">
        <v>45820.52846064815</v>
      </c>
      <c r="C604" s="1" t="n">
        <v>45992</v>
      </c>
      <c r="D604" t="inlineStr">
        <is>
          <t>VÄSTERNORRLANDS LÄN</t>
        </is>
      </c>
      <c r="E604" t="inlineStr">
        <is>
          <t>ÅNGE</t>
        </is>
      </c>
      <c r="G604" t="n">
        <v>2.6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45992</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41870-2025</t>
        </is>
      </c>
      <c r="B606" s="1" t="n">
        <v>45903.3446412037</v>
      </c>
      <c r="C606" s="1" t="n">
        <v>45992</v>
      </c>
      <c r="D606" t="inlineStr">
        <is>
          <t>VÄSTERNORRLANDS LÄN</t>
        </is>
      </c>
      <c r="E606" t="inlineStr">
        <is>
          <t>ÅNGE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28717-2025</t>
        </is>
      </c>
      <c r="B607" s="1" t="n">
        <v>45820</v>
      </c>
      <c r="C607" s="1" t="n">
        <v>45992</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43066-2022</t>
        </is>
      </c>
      <c r="B608" s="1" t="n">
        <v>44833</v>
      </c>
      <c r="C608" s="1" t="n">
        <v>45992</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28819-2025</t>
        </is>
      </c>
      <c r="B609" s="1" t="n">
        <v>45820.53758101852</v>
      </c>
      <c r="C609" s="1" t="n">
        <v>45992</v>
      </c>
      <c r="D609" t="inlineStr">
        <is>
          <t>VÄSTERNORRLANDS LÄN</t>
        </is>
      </c>
      <c r="E609" t="inlineStr">
        <is>
          <t>ÅNGE</t>
        </is>
      </c>
      <c r="G609" t="n">
        <v>2.9</v>
      </c>
      <c r="H609" t="n">
        <v>0</v>
      </c>
      <c r="I609" t="n">
        <v>0</v>
      </c>
      <c r="J609" t="n">
        <v>0</v>
      </c>
      <c r="K609" t="n">
        <v>0</v>
      </c>
      <c r="L609" t="n">
        <v>0</v>
      </c>
      <c r="M609" t="n">
        <v>0</v>
      </c>
      <c r="N609" t="n">
        <v>0</v>
      </c>
      <c r="O609" t="n">
        <v>0</v>
      </c>
      <c r="P609" t="n">
        <v>0</v>
      </c>
      <c r="Q609" t="n">
        <v>0</v>
      </c>
      <c r="R609" s="2" t="inlineStr"/>
    </row>
    <row r="610" ht="15" customHeight="1">
      <c r="A610" t="inlineStr">
        <is>
          <t>A 28845-2025</t>
        </is>
      </c>
      <c r="B610" s="1" t="n">
        <v>45820.57324074074</v>
      </c>
      <c r="C610" s="1" t="n">
        <v>45992</v>
      </c>
      <c r="D610" t="inlineStr">
        <is>
          <t>VÄSTERNORRLANDS LÄN</t>
        </is>
      </c>
      <c r="E610" t="inlineStr">
        <is>
          <t>ÅNGE</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29786-2025</t>
        </is>
      </c>
      <c r="B611" s="1" t="n">
        <v>45825.65663194445</v>
      </c>
      <c r="C611" s="1" t="n">
        <v>45992</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54346-2023</t>
        </is>
      </c>
      <c r="B612" s="1" t="n">
        <v>45232.96087962963</v>
      </c>
      <c r="C612" s="1" t="n">
        <v>45992</v>
      </c>
      <c r="D612" t="inlineStr">
        <is>
          <t>VÄSTERNORRLANDS LÄN</t>
        </is>
      </c>
      <c r="E612" t="inlineStr">
        <is>
          <t>ÅNGE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29350-2025</t>
        </is>
      </c>
      <c r="B613" s="1" t="n">
        <v>45824.53206018519</v>
      </c>
      <c r="C613" s="1" t="n">
        <v>45992</v>
      </c>
      <c r="D613" t="inlineStr">
        <is>
          <t>VÄSTERNORRLANDS LÄN</t>
        </is>
      </c>
      <c r="E613" t="inlineStr">
        <is>
          <t>ÅNGE</t>
        </is>
      </c>
      <c r="G613" t="n">
        <v>8.6</v>
      </c>
      <c r="H613" t="n">
        <v>0</v>
      </c>
      <c r="I613" t="n">
        <v>0</v>
      </c>
      <c r="J613" t="n">
        <v>0</v>
      </c>
      <c r="K613" t="n">
        <v>0</v>
      </c>
      <c r="L613" t="n">
        <v>0</v>
      </c>
      <c r="M613" t="n">
        <v>0</v>
      </c>
      <c r="N613" t="n">
        <v>0</v>
      </c>
      <c r="O613" t="n">
        <v>0</v>
      </c>
      <c r="P613" t="n">
        <v>0</v>
      </c>
      <c r="Q613" t="n">
        <v>0</v>
      </c>
      <c r="R613" s="2" t="inlineStr"/>
    </row>
    <row r="614" ht="15" customHeight="1">
      <c r="A614" t="inlineStr">
        <is>
          <t>A 63530-2023</t>
        </is>
      </c>
      <c r="B614" s="1" t="n">
        <v>45274</v>
      </c>
      <c r="C614" s="1" t="n">
        <v>45992</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45992</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3249-2024</t>
        </is>
      </c>
      <c r="B616" s="1" t="n">
        <v>45316</v>
      </c>
      <c r="C616" s="1" t="n">
        <v>45992</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58275-2022</t>
        </is>
      </c>
      <c r="B617" s="1" t="n">
        <v>44901.47865740741</v>
      </c>
      <c r="C617" s="1" t="n">
        <v>45992</v>
      </c>
      <c r="D617" t="inlineStr">
        <is>
          <t>VÄSTERNORRLANDS LÄN</t>
        </is>
      </c>
      <c r="E617" t="inlineStr">
        <is>
          <t>ÅNGE</t>
        </is>
      </c>
      <c r="G617" t="n">
        <v>1</v>
      </c>
      <c r="H617" t="n">
        <v>0</v>
      </c>
      <c r="I617" t="n">
        <v>0</v>
      </c>
      <c r="J617" t="n">
        <v>0</v>
      </c>
      <c r="K617" t="n">
        <v>0</v>
      </c>
      <c r="L617" t="n">
        <v>0</v>
      </c>
      <c r="M617" t="n">
        <v>0</v>
      </c>
      <c r="N617" t="n">
        <v>0</v>
      </c>
      <c r="O617" t="n">
        <v>0</v>
      </c>
      <c r="P617" t="n">
        <v>0</v>
      </c>
      <c r="Q617" t="n">
        <v>0</v>
      </c>
      <c r="R617" s="2" t="inlineStr"/>
    </row>
    <row r="618" ht="15" customHeight="1">
      <c r="A618" t="inlineStr">
        <is>
          <t>A 42948-2024</t>
        </is>
      </c>
      <c r="B618" s="1" t="n">
        <v>45567.36628472222</v>
      </c>
      <c r="C618" s="1" t="n">
        <v>45992</v>
      </c>
      <c r="D618" t="inlineStr">
        <is>
          <t>VÄSTERNORRLANDS LÄN</t>
        </is>
      </c>
      <c r="E618" t="inlineStr">
        <is>
          <t>ÅNGE</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42953-2024</t>
        </is>
      </c>
      <c r="B619" s="1" t="n">
        <v>45567</v>
      </c>
      <c r="C619" s="1" t="n">
        <v>45992</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42968-2024</t>
        </is>
      </c>
      <c r="B620" s="1" t="n">
        <v>45567</v>
      </c>
      <c r="C620" s="1" t="n">
        <v>45992</v>
      </c>
      <c r="D620" t="inlineStr">
        <is>
          <t>VÄSTERNORRLANDS LÄN</t>
        </is>
      </c>
      <c r="E620" t="inlineStr">
        <is>
          <t>ÅNGE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21456-2025</t>
        </is>
      </c>
      <c r="B621" s="1" t="n">
        <v>45782.55342592593</v>
      </c>
      <c r="C621" s="1" t="n">
        <v>45992</v>
      </c>
      <c r="D621" t="inlineStr">
        <is>
          <t>VÄSTERNORRLANDS LÄN</t>
        </is>
      </c>
      <c r="E621" t="inlineStr">
        <is>
          <t>ÅNGE</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42589-2025</t>
        </is>
      </c>
      <c r="B622" s="1" t="n">
        <v>45905.63585648148</v>
      </c>
      <c r="C622" s="1" t="n">
        <v>45992</v>
      </c>
      <c r="D622" t="inlineStr">
        <is>
          <t>VÄSTERNORRLANDS LÄN</t>
        </is>
      </c>
      <c r="E622" t="inlineStr">
        <is>
          <t>ÅNGE</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45992</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14673-2025</t>
        </is>
      </c>
      <c r="B624" s="1" t="n">
        <v>45742.55309027778</v>
      </c>
      <c r="C624" s="1" t="n">
        <v>45992</v>
      </c>
      <c r="D624" t="inlineStr">
        <is>
          <t>VÄSTERNORRLANDS LÄN</t>
        </is>
      </c>
      <c r="E624" t="inlineStr">
        <is>
          <t>ÅNGE</t>
        </is>
      </c>
      <c r="G624" t="n">
        <v>2.5</v>
      </c>
      <c r="H624" t="n">
        <v>0</v>
      </c>
      <c r="I624" t="n">
        <v>0</v>
      </c>
      <c r="J624" t="n">
        <v>0</v>
      </c>
      <c r="K624" t="n">
        <v>0</v>
      </c>
      <c r="L624" t="n">
        <v>0</v>
      </c>
      <c r="M624" t="n">
        <v>0</v>
      </c>
      <c r="N624" t="n">
        <v>0</v>
      </c>
      <c r="O624" t="n">
        <v>0</v>
      </c>
      <c r="P624" t="n">
        <v>0</v>
      </c>
      <c r="Q624" t="n">
        <v>0</v>
      </c>
      <c r="R624" s="2" t="inlineStr"/>
    </row>
    <row r="625" ht="15" customHeight="1">
      <c r="A625" t="inlineStr">
        <is>
          <t>A 16191-2023</t>
        </is>
      </c>
      <c r="B625" s="1" t="n">
        <v>45027.94111111111</v>
      </c>
      <c r="C625" s="1" t="n">
        <v>45992</v>
      </c>
      <c r="D625" t="inlineStr">
        <is>
          <t>VÄSTERNORRLANDS LÄN</t>
        </is>
      </c>
      <c r="E625" t="inlineStr">
        <is>
          <t>ÅNGE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29560-2025</t>
        </is>
      </c>
      <c r="B626" s="1" t="n">
        <v>45825.36497685185</v>
      </c>
      <c r="C626" s="1" t="n">
        <v>45992</v>
      </c>
      <c r="D626" t="inlineStr">
        <is>
          <t>VÄSTERNORRLANDS LÄN</t>
        </is>
      </c>
      <c r="E626" t="inlineStr">
        <is>
          <t>ÅNGE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35498-2022</t>
        </is>
      </c>
      <c r="B627" s="1" t="n">
        <v>44798.94810185185</v>
      </c>
      <c r="C627" s="1" t="n">
        <v>45992</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2299-2025</t>
        </is>
      </c>
      <c r="B628" s="1" t="n">
        <v>45673.59516203704</v>
      </c>
      <c r="C628" s="1" t="n">
        <v>45992</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31457-2024</t>
        </is>
      </c>
      <c r="B629" s="1" t="n">
        <v>45505</v>
      </c>
      <c r="C629" s="1" t="n">
        <v>45992</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54771-2023</t>
        </is>
      </c>
      <c r="B630" s="1" t="n">
        <v>45229</v>
      </c>
      <c r="C630" s="1" t="n">
        <v>45992</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42786-2025</t>
        </is>
      </c>
      <c r="B631" s="1" t="n">
        <v>45908.51097222222</v>
      </c>
      <c r="C631" s="1" t="n">
        <v>45992</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42863-2025</t>
        </is>
      </c>
      <c r="B632" s="1" t="n">
        <v>45908.61527777778</v>
      </c>
      <c r="C632" s="1" t="n">
        <v>45992</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26011-2024</t>
        </is>
      </c>
      <c r="B633" s="1" t="n">
        <v>45467.95828703704</v>
      </c>
      <c r="C633" s="1" t="n">
        <v>45992</v>
      </c>
      <c r="D633" t="inlineStr">
        <is>
          <t>VÄSTERNORRLANDS LÄN</t>
        </is>
      </c>
      <c r="E633" t="inlineStr">
        <is>
          <t>ÅNGE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26014-2024</t>
        </is>
      </c>
      <c r="B634" s="1" t="n">
        <v>45467.95862268518</v>
      </c>
      <c r="C634" s="1" t="n">
        <v>45992</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51370-2025</t>
        </is>
      </c>
      <c r="B635" s="1" t="n">
        <v>45950.44818287037</v>
      </c>
      <c r="C635" s="1" t="n">
        <v>45992</v>
      </c>
      <c r="D635" t="inlineStr">
        <is>
          <t>VÄSTERNORRLANDS LÄN</t>
        </is>
      </c>
      <c r="E635" t="inlineStr">
        <is>
          <t>ÅNGE</t>
        </is>
      </c>
      <c r="G635" t="n">
        <v>0.9</v>
      </c>
      <c r="H635" t="n">
        <v>0</v>
      </c>
      <c r="I635" t="n">
        <v>0</v>
      </c>
      <c r="J635" t="n">
        <v>0</v>
      </c>
      <c r="K635" t="n">
        <v>0</v>
      </c>
      <c r="L635" t="n">
        <v>0</v>
      </c>
      <c r="M635" t="n">
        <v>0</v>
      </c>
      <c r="N635" t="n">
        <v>0</v>
      </c>
      <c r="O635" t="n">
        <v>0</v>
      </c>
      <c r="P635" t="n">
        <v>0</v>
      </c>
      <c r="Q635" t="n">
        <v>0</v>
      </c>
      <c r="R635" s="2" t="inlineStr"/>
    </row>
    <row r="636" ht="15" customHeight="1">
      <c r="A636" t="inlineStr">
        <is>
          <t>A 3629-2023</t>
        </is>
      </c>
      <c r="B636" s="1" t="n">
        <v>44950</v>
      </c>
      <c r="C636" s="1" t="n">
        <v>45992</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3631-2023</t>
        </is>
      </c>
      <c r="B637" s="1" t="n">
        <v>44950</v>
      </c>
      <c r="C637" s="1" t="n">
        <v>45992</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42785-2025</t>
        </is>
      </c>
      <c r="B638" s="1" t="n">
        <v>45908.51083333333</v>
      </c>
      <c r="C638" s="1" t="n">
        <v>45992</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42889-2025</t>
        </is>
      </c>
      <c r="B639" s="1" t="n">
        <v>45908.65546296296</v>
      </c>
      <c r="C639" s="1" t="n">
        <v>45992</v>
      </c>
      <c r="D639" t="inlineStr">
        <is>
          <t>VÄSTERNORRLANDS LÄN</t>
        </is>
      </c>
      <c r="E639" t="inlineStr">
        <is>
          <t>ÅNGE</t>
        </is>
      </c>
      <c r="G639" t="n">
        <v>11.9</v>
      </c>
      <c r="H639" t="n">
        <v>0</v>
      </c>
      <c r="I639" t="n">
        <v>0</v>
      </c>
      <c r="J639" t="n">
        <v>0</v>
      </c>
      <c r="K639" t="n">
        <v>0</v>
      </c>
      <c r="L639" t="n">
        <v>0</v>
      </c>
      <c r="M639" t="n">
        <v>0</v>
      </c>
      <c r="N639" t="n">
        <v>0</v>
      </c>
      <c r="O639" t="n">
        <v>0</v>
      </c>
      <c r="P639" t="n">
        <v>0</v>
      </c>
      <c r="Q639" t="n">
        <v>0</v>
      </c>
      <c r="R639" s="2" t="inlineStr"/>
    </row>
    <row r="640" ht="15" customHeight="1">
      <c r="A640" t="inlineStr">
        <is>
          <t>A 29862-2025</t>
        </is>
      </c>
      <c r="B640" s="1" t="n">
        <v>45826.3465625</v>
      </c>
      <c r="C640" s="1" t="n">
        <v>45992</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29882-2025</t>
        </is>
      </c>
      <c r="B641" s="1" t="n">
        <v>45826.36548611111</v>
      </c>
      <c r="C641" s="1" t="n">
        <v>45992</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29916-2025</t>
        </is>
      </c>
      <c r="B642" s="1" t="n">
        <v>45826.41822916667</v>
      </c>
      <c r="C642" s="1" t="n">
        <v>45992</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45992</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17703-2025</t>
        </is>
      </c>
      <c r="B644" s="1" t="n">
        <v>45758.4275462963</v>
      </c>
      <c r="C644" s="1" t="n">
        <v>45992</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45992</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30475-2025</t>
        </is>
      </c>
      <c r="B646" s="1" t="n">
        <v>45828.34444444445</v>
      </c>
      <c r="C646" s="1" t="n">
        <v>45992</v>
      </c>
      <c r="D646" t="inlineStr">
        <is>
          <t>VÄSTERNORRLANDS LÄN</t>
        </is>
      </c>
      <c r="E646" t="inlineStr">
        <is>
          <t>ÅNGE</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45992</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28779-2023</t>
        </is>
      </c>
      <c r="B648" s="1" t="n">
        <v>45104.34314814815</v>
      </c>
      <c r="C648" s="1" t="n">
        <v>45992</v>
      </c>
      <c r="D648" t="inlineStr">
        <is>
          <t>VÄSTERNORRLANDS LÄN</t>
        </is>
      </c>
      <c r="E648" t="inlineStr">
        <is>
          <t>ÅNGE</t>
        </is>
      </c>
      <c r="G648" t="n">
        <v>1.3</v>
      </c>
      <c r="H648" t="n">
        <v>0</v>
      </c>
      <c r="I648" t="n">
        <v>0</v>
      </c>
      <c r="J648" t="n">
        <v>0</v>
      </c>
      <c r="K648" t="n">
        <v>0</v>
      </c>
      <c r="L648" t="n">
        <v>0</v>
      </c>
      <c r="M648" t="n">
        <v>0</v>
      </c>
      <c r="N648" t="n">
        <v>0</v>
      </c>
      <c r="O648" t="n">
        <v>0</v>
      </c>
      <c r="P648" t="n">
        <v>0</v>
      </c>
      <c r="Q648" t="n">
        <v>0</v>
      </c>
      <c r="R648" s="2" t="inlineStr"/>
    </row>
    <row r="649" ht="15" customHeight="1">
      <c r="A649" t="inlineStr">
        <is>
          <t>A 42880-2025</t>
        </is>
      </c>
      <c r="B649" s="1" t="n">
        <v>45908.63599537037</v>
      </c>
      <c r="C649" s="1" t="n">
        <v>45992</v>
      </c>
      <c r="D649" t="inlineStr">
        <is>
          <t>VÄSTERNORRLANDS LÄN</t>
        </is>
      </c>
      <c r="E649" t="inlineStr">
        <is>
          <t>ÅNGE</t>
        </is>
      </c>
      <c r="G649" t="n">
        <v>4.3</v>
      </c>
      <c r="H649" t="n">
        <v>0</v>
      </c>
      <c r="I649" t="n">
        <v>0</v>
      </c>
      <c r="J649" t="n">
        <v>0</v>
      </c>
      <c r="K649" t="n">
        <v>0</v>
      </c>
      <c r="L649" t="n">
        <v>0</v>
      </c>
      <c r="M649" t="n">
        <v>0</v>
      </c>
      <c r="N649" t="n">
        <v>0</v>
      </c>
      <c r="O649" t="n">
        <v>0</v>
      </c>
      <c r="P649" t="n">
        <v>0</v>
      </c>
      <c r="Q649" t="n">
        <v>0</v>
      </c>
      <c r="R649" s="2" t="inlineStr"/>
    </row>
    <row r="650" ht="15" customHeight="1">
      <c r="A650" t="inlineStr">
        <is>
          <t>A 25311-2023</t>
        </is>
      </c>
      <c r="B650" s="1" t="n">
        <v>45086.93869212963</v>
      </c>
      <c r="C650" s="1" t="n">
        <v>45992</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53858-2024</t>
        </is>
      </c>
      <c r="B651" s="1" t="n">
        <v>45615</v>
      </c>
      <c r="C651" s="1" t="n">
        <v>45992</v>
      </c>
      <c r="D651" t="inlineStr">
        <is>
          <t>VÄSTERNORRLANDS LÄN</t>
        </is>
      </c>
      <c r="E651" t="inlineStr">
        <is>
          <t>ÅNGE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3-2025</t>
        </is>
      </c>
      <c r="B652" s="1" t="n">
        <v>45658.49819444444</v>
      </c>
      <c r="C652" s="1" t="n">
        <v>45992</v>
      </c>
      <c r="D652" t="inlineStr">
        <is>
          <t>VÄSTERNORRLANDS LÄN</t>
        </is>
      </c>
      <c r="E652" t="inlineStr">
        <is>
          <t>ÅNGE</t>
        </is>
      </c>
      <c r="G652" t="n">
        <v>2</v>
      </c>
      <c r="H652" t="n">
        <v>0</v>
      </c>
      <c r="I652" t="n">
        <v>0</v>
      </c>
      <c r="J652" t="n">
        <v>0</v>
      </c>
      <c r="K652" t="n">
        <v>0</v>
      </c>
      <c r="L652" t="n">
        <v>0</v>
      </c>
      <c r="M652" t="n">
        <v>0</v>
      </c>
      <c r="N652" t="n">
        <v>0</v>
      </c>
      <c r="O652" t="n">
        <v>0</v>
      </c>
      <c r="P652" t="n">
        <v>0</v>
      </c>
      <c r="Q652" t="n">
        <v>0</v>
      </c>
      <c r="R652" s="2" t="inlineStr"/>
    </row>
    <row r="653" ht="15" customHeight="1">
      <c r="A653" t="inlineStr">
        <is>
          <t>A 30618-2025</t>
        </is>
      </c>
      <c r="B653" s="1" t="n">
        <v>45831.46909722222</v>
      </c>
      <c r="C653" s="1" t="n">
        <v>45992</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28873-2024</t>
        </is>
      </c>
      <c r="B654" s="1" t="n">
        <v>45478.94766203704</v>
      </c>
      <c r="C654" s="1" t="n">
        <v>45992</v>
      </c>
      <c r="D654" t="inlineStr">
        <is>
          <t>VÄSTERNORRLANDS LÄN</t>
        </is>
      </c>
      <c r="E654" t="inlineStr">
        <is>
          <t>ÅNGE</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30598-2025</t>
        </is>
      </c>
      <c r="B655" s="1" t="n">
        <v>45831.44834490741</v>
      </c>
      <c r="C655" s="1" t="n">
        <v>45992</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51389-2025</t>
        </is>
      </c>
      <c r="B656" s="1" t="n">
        <v>45950.46767361111</v>
      </c>
      <c r="C656" s="1" t="n">
        <v>45992</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27682-2023</t>
        </is>
      </c>
      <c r="B657" s="1" t="n">
        <v>45097.93758101852</v>
      </c>
      <c r="C657" s="1" t="n">
        <v>45992</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51813-2025</t>
        </is>
      </c>
      <c r="B658" s="1" t="n">
        <v>45951.83082175926</v>
      </c>
      <c r="C658" s="1" t="n">
        <v>45992</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50612-2024</t>
        </is>
      </c>
      <c r="B659" s="1" t="n">
        <v>45601</v>
      </c>
      <c r="C659" s="1" t="n">
        <v>45992</v>
      </c>
      <c r="D659" t="inlineStr">
        <is>
          <t>VÄSTERNORRLANDS LÄN</t>
        </is>
      </c>
      <c r="E659" t="inlineStr">
        <is>
          <t>ÅNGE</t>
        </is>
      </c>
      <c r="G659" t="n">
        <v>1.9</v>
      </c>
      <c r="H659" t="n">
        <v>0</v>
      </c>
      <c r="I659" t="n">
        <v>0</v>
      </c>
      <c r="J659" t="n">
        <v>0</v>
      </c>
      <c r="K659" t="n">
        <v>0</v>
      </c>
      <c r="L659" t="n">
        <v>0</v>
      </c>
      <c r="M659" t="n">
        <v>0</v>
      </c>
      <c r="N659" t="n">
        <v>0</v>
      </c>
      <c r="O659" t="n">
        <v>0</v>
      </c>
      <c r="P659" t="n">
        <v>0</v>
      </c>
      <c r="Q659" t="n">
        <v>0</v>
      </c>
      <c r="R659" s="2" t="inlineStr"/>
    </row>
    <row r="660" ht="15" customHeight="1">
      <c r="A660" t="inlineStr">
        <is>
          <t>A 51393-2025</t>
        </is>
      </c>
      <c r="B660" s="1" t="n">
        <v>45950.46957175926</v>
      </c>
      <c r="C660" s="1" t="n">
        <v>45992</v>
      </c>
      <c r="D660" t="inlineStr">
        <is>
          <t>VÄSTERNORRLANDS LÄN</t>
        </is>
      </c>
      <c r="E660" t="inlineStr">
        <is>
          <t>ÅNGE</t>
        </is>
      </c>
      <c r="F660" t="inlineStr">
        <is>
          <t>SCA</t>
        </is>
      </c>
      <c r="G660" t="n">
        <v>17.9</v>
      </c>
      <c r="H660" t="n">
        <v>0</v>
      </c>
      <c r="I660" t="n">
        <v>0</v>
      </c>
      <c r="J660" t="n">
        <v>0</v>
      </c>
      <c r="K660" t="n">
        <v>0</v>
      </c>
      <c r="L660" t="n">
        <v>0</v>
      </c>
      <c r="M660" t="n">
        <v>0</v>
      </c>
      <c r="N660" t="n">
        <v>0</v>
      </c>
      <c r="O660" t="n">
        <v>0</v>
      </c>
      <c r="P660" t="n">
        <v>0</v>
      </c>
      <c r="Q660" t="n">
        <v>0</v>
      </c>
      <c r="R660" s="2" t="inlineStr"/>
    </row>
    <row r="661" ht="15" customHeight="1">
      <c r="A661" t="inlineStr">
        <is>
          <t>A 30892-2025</t>
        </is>
      </c>
      <c r="B661" s="1" t="n">
        <v>45832.34663194444</v>
      </c>
      <c r="C661" s="1" t="n">
        <v>45992</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31188-2025</t>
        </is>
      </c>
      <c r="B662" s="1" t="n">
        <v>45832.67842592593</v>
      </c>
      <c r="C662" s="1" t="n">
        <v>45992</v>
      </c>
      <c r="D662" t="inlineStr">
        <is>
          <t>VÄSTERNORRLANDS LÄN</t>
        </is>
      </c>
      <c r="E662" t="inlineStr">
        <is>
          <t>ÅNGE</t>
        </is>
      </c>
      <c r="F662" t="inlineStr">
        <is>
          <t>SCA</t>
        </is>
      </c>
      <c r="G662" t="n">
        <v>14.9</v>
      </c>
      <c r="H662" t="n">
        <v>0</v>
      </c>
      <c r="I662" t="n">
        <v>0</v>
      </c>
      <c r="J662" t="n">
        <v>0</v>
      </c>
      <c r="K662" t="n">
        <v>0</v>
      </c>
      <c r="L662" t="n">
        <v>0</v>
      </c>
      <c r="M662" t="n">
        <v>0</v>
      </c>
      <c r="N662" t="n">
        <v>0</v>
      </c>
      <c r="O662" t="n">
        <v>0</v>
      </c>
      <c r="P662" t="n">
        <v>0</v>
      </c>
      <c r="Q662" t="n">
        <v>0</v>
      </c>
      <c r="R662" s="2" t="inlineStr"/>
    </row>
    <row r="663" ht="15" customHeight="1">
      <c r="A663" t="inlineStr">
        <is>
          <t>A 31452-2025</t>
        </is>
      </c>
      <c r="B663" s="1" t="n">
        <v>45833.53179398148</v>
      </c>
      <c r="C663" s="1" t="n">
        <v>45992</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31544-2025</t>
        </is>
      </c>
      <c r="B664" s="1" t="n">
        <v>45833.63597222222</v>
      </c>
      <c r="C664" s="1" t="n">
        <v>45992</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43091-2025</t>
        </is>
      </c>
      <c r="B665" s="1" t="n">
        <v>45909.62511574074</v>
      </c>
      <c r="C665" s="1" t="n">
        <v>45992</v>
      </c>
      <c r="D665" t="inlineStr">
        <is>
          <t>VÄSTERNORRLANDS LÄN</t>
        </is>
      </c>
      <c r="E665" t="inlineStr">
        <is>
          <t>ÅNGE</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31042-2025</t>
        </is>
      </c>
      <c r="B666" s="1" t="n">
        <v>45832.55267361111</v>
      </c>
      <c r="C666" s="1" t="n">
        <v>45992</v>
      </c>
      <c r="D666" t="inlineStr">
        <is>
          <t>VÄSTERNORRLANDS LÄN</t>
        </is>
      </c>
      <c r="E666" t="inlineStr">
        <is>
          <t>ÅNGE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51382-2025</t>
        </is>
      </c>
      <c r="B667" s="1" t="n">
        <v>45950.46019675926</v>
      </c>
      <c r="C667" s="1" t="n">
        <v>45992</v>
      </c>
      <c r="D667" t="inlineStr">
        <is>
          <t>VÄSTERNORRLANDS LÄN</t>
        </is>
      </c>
      <c r="E667" t="inlineStr">
        <is>
          <t>ÅNGE</t>
        </is>
      </c>
      <c r="G667" t="n">
        <v>3</v>
      </c>
      <c r="H667" t="n">
        <v>0</v>
      </c>
      <c r="I667" t="n">
        <v>0</v>
      </c>
      <c r="J667" t="n">
        <v>0</v>
      </c>
      <c r="K667" t="n">
        <v>0</v>
      </c>
      <c r="L667" t="n">
        <v>0</v>
      </c>
      <c r="M667" t="n">
        <v>0</v>
      </c>
      <c r="N667" t="n">
        <v>0</v>
      </c>
      <c r="O667" t="n">
        <v>0</v>
      </c>
      <c r="P667" t="n">
        <v>0</v>
      </c>
      <c r="Q667" t="n">
        <v>0</v>
      </c>
      <c r="R667" s="2" t="inlineStr"/>
    </row>
    <row r="668" ht="15" customHeight="1">
      <c r="A668" t="inlineStr">
        <is>
          <t>A 31275-2025</t>
        </is>
      </c>
      <c r="B668" s="1" t="n">
        <v>45833.34459490741</v>
      </c>
      <c r="C668" s="1" t="n">
        <v>45992</v>
      </c>
      <c r="D668" t="inlineStr">
        <is>
          <t>VÄSTERNORRLANDS LÄN</t>
        </is>
      </c>
      <c r="E668" t="inlineStr">
        <is>
          <t>ÅNGE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56699-2023</t>
        </is>
      </c>
      <c r="B669" s="1" t="n">
        <v>45243</v>
      </c>
      <c r="C669" s="1" t="n">
        <v>45992</v>
      </c>
      <c r="D669" t="inlineStr">
        <is>
          <t>VÄSTERNORRLANDS LÄN</t>
        </is>
      </c>
      <c r="E669" t="inlineStr">
        <is>
          <t>ÅNGE</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31135-2025</t>
        </is>
      </c>
      <c r="B670" s="1" t="n">
        <v>45832.63581018519</v>
      </c>
      <c r="C670" s="1" t="n">
        <v>45992</v>
      </c>
      <c r="D670" t="inlineStr">
        <is>
          <t>VÄSTERNORRLANDS LÄN</t>
        </is>
      </c>
      <c r="E670" t="inlineStr">
        <is>
          <t>ÅNGE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30888-2025</t>
        </is>
      </c>
      <c r="B671" s="1" t="n">
        <v>45832.34606481482</v>
      </c>
      <c r="C671" s="1" t="n">
        <v>45992</v>
      </c>
      <c r="D671" t="inlineStr">
        <is>
          <t>VÄSTERNORRLANDS LÄN</t>
        </is>
      </c>
      <c r="E671" t="inlineStr">
        <is>
          <t>ÅNGE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30875-2025</t>
        </is>
      </c>
      <c r="B672" s="1" t="n">
        <v>45832.34447916667</v>
      </c>
      <c r="C672" s="1" t="n">
        <v>45992</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31211-2025</t>
        </is>
      </c>
      <c r="B673" s="1" t="n">
        <v>45832.71938657408</v>
      </c>
      <c r="C673" s="1" t="n">
        <v>45992</v>
      </c>
      <c r="D673" t="inlineStr">
        <is>
          <t>VÄSTERNORRLANDS LÄN</t>
        </is>
      </c>
      <c r="E673" t="inlineStr">
        <is>
          <t>ÅNGE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30751-2024</t>
        </is>
      </c>
      <c r="B674" s="1" t="n">
        <v>45496.69339120371</v>
      </c>
      <c r="C674" s="1" t="n">
        <v>45992</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31484-2025</t>
        </is>
      </c>
      <c r="B675" s="1" t="n">
        <v>45833.57418981481</v>
      </c>
      <c r="C675" s="1" t="n">
        <v>45992</v>
      </c>
      <c r="D675" t="inlineStr">
        <is>
          <t>VÄSTERNORRLANDS LÄN</t>
        </is>
      </c>
      <c r="E675" t="inlineStr">
        <is>
          <t>ÅNGE</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30877-2025</t>
        </is>
      </c>
      <c r="B676" s="1" t="n">
        <v>45832.34478009259</v>
      </c>
      <c r="C676" s="1" t="n">
        <v>45992</v>
      </c>
      <c r="D676" t="inlineStr">
        <is>
          <t>VÄSTERNORRLANDS LÄN</t>
        </is>
      </c>
      <c r="E676" t="inlineStr">
        <is>
          <t>ÅNGE</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55324-2023</t>
        </is>
      </c>
      <c r="B677" s="1" t="n">
        <v>45237.9734837963</v>
      </c>
      <c r="C677" s="1" t="n">
        <v>45992</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31139-2025</t>
        </is>
      </c>
      <c r="B678" s="1" t="n">
        <v>45832.63633101852</v>
      </c>
      <c r="C678" s="1" t="n">
        <v>45992</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45992</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51416-2025</t>
        </is>
      </c>
      <c r="B680" s="1" t="n">
        <v>45950.51097222222</v>
      </c>
      <c r="C680" s="1" t="n">
        <v>45992</v>
      </c>
      <c r="D680" t="inlineStr">
        <is>
          <t>VÄSTERNORRLANDS LÄN</t>
        </is>
      </c>
      <c r="E680" t="inlineStr">
        <is>
          <t>ÅNGE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42730-2025</t>
        </is>
      </c>
      <c r="B681" s="1" t="n">
        <v>45908.40666666667</v>
      </c>
      <c r="C681" s="1" t="n">
        <v>45992</v>
      </c>
      <c r="D681" t="inlineStr">
        <is>
          <t>VÄSTERNORRLANDS LÄN</t>
        </is>
      </c>
      <c r="E681" t="inlineStr">
        <is>
          <t>ÅNGE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52060-2025</t>
        </is>
      </c>
      <c r="B682" s="1" t="n">
        <v>45952.63641203703</v>
      </c>
      <c r="C682" s="1" t="n">
        <v>45992</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45992</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52335-2025</t>
        </is>
      </c>
      <c r="B684" s="1" t="n">
        <v>45953.68591435185</v>
      </c>
      <c r="C684" s="1" t="n">
        <v>45992</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31646-2025</t>
        </is>
      </c>
      <c r="B685" s="1" t="n">
        <v>45834.34563657407</v>
      </c>
      <c r="C685" s="1" t="n">
        <v>45992</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31642-2025</t>
        </is>
      </c>
      <c r="B686" s="1" t="n">
        <v>45834.34474537037</v>
      </c>
      <c r="C686" s="1" t="n">
        <v>45992</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43237-2025</t>
        </is>
      </c>
      <c r="B687" s="1" t="n">
        <v>45910.51670138889</v>
      </c>
      <c r="C687" s="1" t="n">
        <v>45992</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43250-2025</t>
        </is>
      </c>
      <c r="B688" s="1" t="n">
        <v>45910.5525462963</v>
      </c>
      <c r="C688" s="1" t="n">
        <v>45992</v>
      </c>
      <c r="D688" t="inlineStr">
        <is>
          <t>VÄSTERNORRLANDS LÄN</t>
        </is>
      </c>
      <c r="E688" t="inlineStr">
        <is>
          <t>ÅNGE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32025-2025</t>
        </is>
      </c>
      <c r="B689" s="1" t="n">
        <v>45835.40721064815</v>
      </c>
      <c r="C689" s="1" t="n">
        <v>45992</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52306-2025</t>
        </is>
      </c>
      <c r="B690" s="1" t="n">
        <v>45953.63600694444</v>
      </c>
      <c r="C690" s="1" t="n">
        <v>45992</v>
      </c>
      <c r="D690" t="inlineStr">
        <is>
          <t>VÄSTERNORRLANDS LÄN</t>
        </is>
      </c>
      <c r="E690" t="inlineStr">
        <is>
          <t>ÅNGE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32024-2025</t>
        </is>
      </c>
      <c r="B691" s="1" t="n">
        <v>45835.40706018519</v>
      </c>
      <c r="C691" s="1" t="n">
        <v>45992</v>
      </c>
      <c r="D691" t="inlineStr">
        <is>
          <t>VÄSTERNORRLANDS LÄN</t>
        </is>
      </c>
      <c r="E691" t="inlineStr">
        <is>
          <t>ÅNGE</t>
        </is>
      </c>
      <c r="F691" t="inlineStr">
        <is>
          <t>SCA</t>
        </is>
      </c>
      <c r="G691" t="n">
        <v>12.3</v>
      </c>
      <c r="H691" t="n">
        <v>0</v>
      </c>
      <c r="I691" t="n">
        <v>0</v>
      </c>
      <c r="J691" t="n">
        <v>0</v>
      </c>
      <c r="K691" t="n">
        <v>0</v>
      </c>
      <c r="L691" t="n">
        <v>0</v>
      </c>
      <c r="M691" t="n">
        <v>0</v>
      </c>
      <c r="N691" t="n">
        <v>0</v>
      </c>
      <c r="O691" t="n">
        <v>0</v>
      </c>
      <c r="P691" t="n">
        <v>0</v>
      </c>
      <c r="Q691" t="n">
        <v>0</v>
      </c>
      <c r="R691" s="2" t="inlineStr"/>
    </row>
    <row r="692" ht="15" customHeight="1">
      <c r="A692" t="inlineStr">
        <is>
          <t>A 25680-2023</t>
        </is>
      </c>
      <c r="B692" s="1" t="n">
        <v>45089</v>
      </c>
      <c r="C692" s="1" t="n">
        <v>45992</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43252-2025</t>
        </is>
      </c>
      <c r="B693" s="1" t="n">
        <v>45910.55292824074</v>
      </c>
      <c r="C693" s="1" t="n">
        <v>45992</v>
      </c>
      <c r="D693" t="inlineStr">
        <is>
          <t>VÄSTERNORRLANDS LÄN</t>
        </is>
      </c>
      <c r="E693" t="inlineStr">
        <is>
          <t>ÅNGE</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26092-2025</t>
        </is>
      </c>
      <c r="B694" s="1" t="n">
        <v>45805</v>
      </c>
      <c r="C694" s="1" t="n">
        <v>45992</v>
      </c>
      <c r="D694" t="inlineStr">
        <is>
          <t>VÄSTERNORRLANDS LÄN</t>
        </is>
      </c>
      <c r="E694" t="inlineStr">
        <is>
          <t>ÅNGE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43415-2025</t>
        </is>
      </c>
      <c r="B695" s="1" t="n">
        <v>45911.40662037037</v>
      </c>
      <c r="C695" s="1" t="n">
        <v>45992</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43386-2025</t>
        </is>
      </c>
      <c r="B696" s="1" t="n">
        <v>45911.36520833334</v>
      </c>
      <c r="C696" s="1" t="n">
        <v>45992</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52283-2025</t>
        </is>
      </c>
      <c r="B697" s="1" t="n">
        <v>45953.57346064815</v>
      </c>
      <c r="C697" s="1" t="n">
        <v>45992</v>
      </c>
      <c r="D697" t="inlineStr">
        <is>
          <t>VÄSTERNORRLANDS LÄN</t>
        </is>
      </c>
      <c r="E697" t="inlineStr">
        <is>
          <t>ÅNGE</t>
        </is>
      </c>
      <c r="G697" t="n">
        <v>8.9</v>
      </c>
      <c r="H697" t="n">
        <v>0</v>
      </c>
      <c r="I697" t="n">
        <v>0</v>
      </c>
      <c r="J697" t="n">
        <v>0</v>
      </c>
      <c r="K697" t="n">
        <v>0</v>
      </c>
      <c r="L697" t="n">
        <v>0</v>
      </c>
      <c r="M697" t="n">
        <v>0</v>
      </c>
      <c r="N697" t="n">
        <v>0</v>
      </c>
      <c r="O697" t="n">
        <v>0</v>
      </c>
      <c r="P697" t="n">
        <v>0</v>
      </c>
      <c r="Q697" t="n">
        <v>0</v>
      </c>
      <c r="R697" s="2" t="inlineStr"/>
    </row>
    <row r="698" ht="15" customHeight="1">
      <c r="A698" t="inlineStr">
        <is>
          <t>A 31666-2025</t>
        </is>
      </c>
      <c r="B698" s="1" t="n">
        <v>45834.36519675926</v>
      </c>
      <c r="C698" s="1" t="n">
        <v>45992</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18542-2022</t>
        </is>
      </c>
      <c r="B699" s="1" t="n">
        <v>44686</v>
      </c>
      <c r="C699" s="1" t="n">
        <v>45992</v>
      </c>
      <c r="D699" t="inlineStr">
        <is>
          <t>VÄSTERNORRLANDS LÄN</t>
        </is>
      </c>
      <c r="E699" t="inlineStr">
        <is>
          <t>ÅNGE</t>
        </is>
      </c>
      <c r="G699" t="n">
        <v>0.2</v>
      </c>
      <c r="H699" t="n">
        <v>0</v>
      </c>
      <c r="I699" t="n">
        <v>0</v>
      </c>
      <c r="J699" t="n">
        <v>0</v>
      </c>
      <c r="K699" t="n">
        <v>0</v>
      </c>
      <c r="L699" t="n">
        <v>0</v>
      </c>
      <c r="M699" t="n">
        <v>0</v>
      </c>
      <c r="N699" t="n">
        <v>0</v>
      </c>
      <c r="O699" t="n">
        <v>0</v>
      </c>
      <c r="P699" t="n">
        <v>0</v>
      </c>
      <c r="Q699" t="n">
        <v>0</v>
      </c>
      <c r="R699" s="2" t="inlineStr"/>
    </row>
    <row r="700" ht="15" customHeight="1">
      <c r="A700" t="inlineStr">
        <is>
          <t>A 55007-2022</t>
        </is>
      </c>
      <c r="B700" s="1" t="n">
        <v>44881</v>
      </c>
      <c r="C700" s="1" t="n">
        <v>45992</v>
      </c>
      <c r="D700" t="inlineStr">
        <is>
          <t>VÄSTERNORRLANDS LÄN</t>
        </is>
      </c>
      <c r="E700" t="inlineStr">
        <is>
          <t>ÅNGE</t>
        </is>
      </c>
      <c r="G700" t="n">
        <v>2</v>
      </c>
      <c r="H700" t="n">
        <v>0</v>
      </c>
      <c r="I700" t="n">
        <v>0</v>
      </c>
      <c r="J700" t="n">
        <v>0</v>
      </c>
      <c r="K700" t="n">
        <v>0</v>
      </c>
      <c r="L700" t="n">
        <v>0</v>
      </c>
      <c r="M700" t="n">
        <v>0</v>
      </c>
      <c r="N700" t="n">
        <v>0</v>
      </c>
      <c r="O700" t="n">
        <v>0</v>
      </c>
      <c r="P700" t="n">
        <v>0</v>
      </c>
      <c r="Q700" t="n">
        <v>0</v>
      </c>
      <c r="R700" s="2" t="inlineStr"/>
    </row>
    <row r="701" ht="15" customHeight="1">
      <c r="A701" t="inlineStr">
        <is>
          <t>A 63607-2021</t>
        </is>
      </c>
      <c r="B701" s="1" t="n">
        <v>44508.94650462963</v>
      </c>
      <c r="C701" s="1" t="n">
        <v>45992</v>
      </c>
      <c r="D701" t="inlineStr">
        <is>
          <t>VÄSTERNORRLANDS LÄN</t>
        </is>
      </c>
      <c r="E701" t="inlineStr">
        <is>
          <t>ÅNGE</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41222-2024</t>
        </is>
      </c>
      <c r="B702" s="1" t="n">
        <v>45559.55306712963</v>
      </c>
      <c r="C702" s="1" t="n">
        <v>45992</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13706-2023</t>
        </is>
      </c>
      <c r="B703" s="1" t="n">
        <v>45006</v>
      </c>
      <c r="C703" s="1" t="n">
        <v>45992</v>
      </c>
      <c r="D703" t="inlineStr">
        <is>
          <t>VÄSTERNORRLANDS LÄN</t>
        </is>
      </c>
      <c r="E703" t="inlineStr">
        <is>
          <t>ÅNGE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43385-2025</t>
        </is>
      </c>
      <c r="B704" s="1" t="n">
        <v>45911.36508101852</v>
      </c>
      <c r="C704" s="1" t="n">
        <v>45992</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43546-2025</t>
        </is>
      </c>
      <c r="B705" s="1" t="n">
        <v>45911.6153125</v>
      </c>
      <c r="C705" s="1" t="n">
        <v>45992</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43389-2025</t>
        </is>
      </c>
      <c r="B706" s="1" t="n">
        <v>45911.36560185185</v>
      </c>
      <c r="C706" s="1" t="n">
        <v>45992</v>
      </c>
      <c r="D706" t="inlineStr">
        <is>
          <t>VÄSTERNORRLANDS LÄN</t>
        </is>
      </c>
      <c r="E706" t="inlineStr">
        <is>
          <t>ÅNGE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36342-2024</t>
        </is>
      </c>
      <c r="B707" s="1" t="n">
        <v>45534.64315972223</v>
      </c>
      <c r="C707" s="1" t="n">
        <v>45992</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43221-2025</t>
        </is>
      </c>
      <c r="B708" s="1" t="n">
        <v>45910.47981481482</v>
      </c>
      <c r="C708" s="1" t="n">
        <v>45992</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52121-2025</t>
        </is>
      </c>
      <c r="B709" s="1" t="n">
        <v>45952.71921296296</v>
      </c>
      <c r="C709" s="1" t="n">
        <v>45992</v>
      </c>
      <c r="D709" t="inlineStr">
        <is>
          <t>VÄSTERNORRLANDS LÄN</t>
        </is>
      </c>
      <c r="E709" t="inlineStr">
        <is>
          <t>ÅNGE</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51857-2025</t>
        </is>
      </c>
      <c r="B710" s="1" t="n">
        <v>45952.36506944444</v>
      </c>
      <c r="C710" s="1" t="n">
        <v>45992</v>
      </c>
      <c r="D710" t="inlineStr">
        <is>
          <t>VÄSTERNORRLANDS LÄN</t>
        </is>
      </c>
      <c r="E710" t="inlineStr">
        <is>
          <t>ÅNGE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17749-2025</t>
        </is>
      </c>
      <c r="B711" s="1" t="n">
        <v>45758.48380787037</v>
      </c>
      <c r="C711" s="1" t="n">
        <v>45992</v>
      </c>
      <c r="D711" t="inlineStr">
        <is>
          <t>VÄSTERNORRLANDS LÄN</t>
        </is>
      </c>
      <c r="E711" t="inlineStr">
        <is>
          <t>ÅNGE</t>
        </is>
      </c>
      <c r="G711" t="n">
        <v>7.3</v>
      </c>
      <c r="H711" t="n">
        <v>0</v>
      </c>
      <c r="I711" t="n">
        <v>0</v>
      </c>
      <c r="J711" t="n">
        <v>0</v>
      </c>
      <c r="K711" t="n">
        <v>0</v>
      </c>
      <c r="L711" t="n">
        <v>0</v>
      </c>
      <c r="M711" t="n">
        <v>0</v>
      </c>
      <c r="N711" t="n">
        <v>0</v>
      </c>
      <c r="O711" t="n">
        <v>0</v>
      </c>
      <c r="P711" t="n">
        <v>0</v>
      </c>
      <c r="Q711" t="n">
        <v>0</v>
      </c>
      <c r="R711" s="2" t="inlineStr"/>
    </row>
    <row r="712" ht="15" customHeight="1">
      <c r="A712" t="inlineStr">
        <is>
          <t>A 43265-2025</t>
        </is>
      </c>
      <c r="B712" s="1" t="n">
        <v>45910.57377314815</v>
      </c>
      <c r="C712" s="1" t="n">
        <v>45992</v>
      </c>
      <c r="D712" t="inlineStr">
        <is>
          <t>VÄSTERNORRLANDS LÄN</t>
        </is>
      </c>
      <c r="E712" t="inlineStr">
        <is>
          <t>ÅNGE</t>
        </is>
      </c>
      <c r="F712" t="inlineStr">
        <is>
          <t>SCA</t>
        </is>
      </c>
      <c r="G712" t="n">
        <v>7</v>
      </c>
      <c r="H712" t="n">
        <v>0</v>
      </c>
      <c r="I712" t="n">
        <v>0</v>
      </c>
      <c r="J712" t="n">
        <v>0</v>
      </c>
      <c r="K712" t="n">
        <v>0</v>
      </c>
      <c r="L712" t="n">
        <v>0</v>
      </c>
      <c r="M712" t="n">
        <v>0</v>
      </c>
      <c r="N712" t="n">
        <v>0</v>
      </c>
      <c r="O712" t="n">
        <v>0</v>
      </c>
      <c r="P712" t="n">
        <v>0</v>
      </c>
      <c r="Q712" t="n">
        <v>0</v>
      </c>
      <c r="R712" s="2" t="inlineStr"/>
    </row>
    <row r="713" ht="15" customHeight="1">
      <c r="A713" t="inlineStr">
        <is>
          <t>A 53856-2024</t>
        </is>
      </c>
      <c r="B713" s="1" t="n">
        <v>45615</v>
      </c>
      <c r="C713" s="1" t="n">
        <v>45992</v>
      </c>
      <c r="D713" t="inlineStr">
        <is>
          <t>VÄSTERNORRLANDS LÄN</t>
        </is>
      </c>
      <c r="E713" t="inlineStr">
        <is>
          <t>ÅNGE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32847-2025</t>
        </is>
      </c>
      <c r="B714" s="1" t="n">
        <v>45839.57354166666</v>
      </c>
      <c r="C714" s="1" t="n">
        <v>45992</v>
      </c>
      <c r="D714" t="inlineStr">
        <is>
          <t>VÄSTERNORRLANDS LÄN</t>
        </is>
      </c>
      <c r="E714" t="inlineStr">
        <is>
          <t>ÅNGE</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53013-2025</t>
        </is>
      </c>
      <c r="B715" s="1" t="n">
        <v>45957.81732638889</v>
      </c>
      <c r="C715" s="1" t="n">
        <v>45992</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41781-2024</t>
        </is>
      </c>
      <c r="B716" s="1" t="n">
        <v>45561.34938657407</v>
      </c>
      <c r="C716" s="1" t="n">
        <v>45992</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52642-2025</t>
        </is>
      </c>
      <c r="B717" s="1" t="n">
        <v>45955.34576388889</v>
      </c>
      <c r="C717" s="1" t="n">
        <v>45992</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3330-2025</t>
        </is>
      </c>
      <c r="B718" s="1" t="n">
        <v>45679.70041666667</v>
      </c>
      <c r="C718" s="1" t="n">
        <v>45992</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38272-2024</t>
        </is>
      </c>
      <c r="B719" s="1" t="n">
        <v>45545.60392361111</v>
      </c>
      <c r="C719" s="1" t="n">
        <v>45992</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44165-2025</t>
        </is>
      </c>
      <c r="B720" s="1" t="n">
        <v>45915.59840277778</v>
      </c>
      <c r="C720" s="1" t="n">
        <v>45992</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45992</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51054-2024</t>
        </is>
      </c>
      <c r="B722" s="1" t="n">
        <v>45603</v>
      </c>
      <c r="C722" s="1" t="n">
        <v>45992</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41831-2021</t>
        </is>
      </c>
      <c r="B723" s="1" t="n">
        <v>44425.92212962963</v>
      </c>
      <c r="C723" s="1" t="n">
        <v>45992</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52392-2025</t>
        </is>
      </c>
      <c r="B724" s="1" t="n">
        <v>45954.34424768519</v>
      </c>
      <c r="C724" s="1" t="n">
        <v>45992</v>
      </c>
      <c r="D724" t="inlineStr">
        <is>
          <t>VÄSTERNORRLANDS LÄN</t>
        </is>
      </c>
      <c r="E724" t="inlineStr">
        <is>
          <t>ÅNGE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34031-2025</t>
        </is>
      </c>
      <c r="B725" s="1" t="n">
        <v>45845.36508101852</v>
      </c>
      <c r="C725" s="1" t="n">
        <v>45992</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52858-2025</t>
        </is>
      </c>
      <c r="B726" s="1" t="n">
        <v>45957.50284722223</v>
      </c>
      <c r="C726" s="1" t="n">
        <v>45992</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32922-2024</t>
        </is>
      </c>
      <c r="B727" s="1" t="n">
        <v>45516.95263888889</v>
      </c>
      <c r="C727" s="1" t="n">
        <v>45992</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52411-2025</t>
        </is>
      </c>
      <c r="B728" s="1" t="n">
        <v>45954.36518518518</v>
      </c>
      <c r="C728" s="1" t="n">
        <v>45992</v>
      </c>
      <c r="D728" t="inlineStr">
        <is>
          <t>VÄSTERNORRLANDS LÄN</t>
        </is>
      </c>
      <c r="E728" t="inlineStr">
        <is>
          <t>ÅNGE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33738-2025</t>
        </is>
      </c>
      <c r="B729" s="1" t="n">
        <v>45842.33795138889</v>
      </c>
      <c r="C729" s="1" t="n">
        <v>45992</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10282-2025</t>
        </is>
      </c>
      <c r="B730" s="1" t="n">
        <v>45720.40659722222</v>
      </c>
      <c r="C730" s="1" t="n">
        <v>45992</v>
      </c>
      <c r="D730" t="inlineStr">
        <is>
          <t>VÄSTERNORRLANDS LÄN</t>
        </is>
      </c>
      <c r="E730" t="inlineStr">
        <is>
          <t>ÅNGE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43707-2025</t>
        </is>
      </c>
      <c r="B731" s="1" t="n">
        <v>45912.40668981482</v>
      </c>
      <c r="C731" s="1" t="n">
        <v>45992</v>
      </c>
      <c r="D731" t="inlineStr">
        <is>
          <t>VÄSTERNORRLANDS LÄN</t>
        </is>
      </c>
      <c r="E731" t="inlineStr">
        <is>
          <t>ÅNGE</t>
        </is>
      </c>
      <c r="F731" t="inlineStr">
        <is>
          <t>SCA</t>
        </is>
      </c>
      <c r="G731" t="n">
        <v>12.5</v>
      </c>
      <c r="H731" t="n">
        <v>0</v>
      </c>
      <c r="I731" t="n">
        <v>0</v>
      </c>
      <c r="J731" t="n">
        <v>0</v>
      </c>
      <c r="K731" t="n">
        <v>0</v>
      </c>
      <c r="L731" t="n">
        <v>0</v>
      </c>
      <c r="M731" t="n">
        <v>0</v>
      </c>
      <c r="N731" t="n">
        <v>0</v>
      </c>
      <c r="O731" t="n">
        <v>0</v>
      </c>
      <c r="P731" t="n">
        <v>0</v>
      </c>
      <c r="Q731" t="n">
        <v>0</v>
      </c>
      <c r="R731" s="2" t="inlineStr"/>
      <c r="U731">
        <f>HYPERLINK("https://klasma.github.io/Logging_2260/knärot/A 43707-2025 karta knärot.png", "A 43707-2025")</f>
        <v/>
      </c>
      <c r="V731">
        <f>HYPERLINK("https://klasma.github.io/Logging_2260/klagomål/A 43707-2025 FSC-klagomål.docx", "A 43707-2025")</f>
        <v/>
      </c>
      <c r="W731">
        <f>HYPERLINK("https://klasma.github.io/Logging_2260/klagomålsmail/A 43707-2025 FSC-klagomål mail.docx", "A 43707-2025")</f>
        <v/>
      </c>
      <c r="X731">
        <f>HYPERLINK("https://klasma.github.io/Logging_2260/tillsyn/A 43707-2025 tillsynsbegäran.docx", "A 43707-2025")</f>
        <v/>
      </c>
      <c r="Y731">
        <f>HYPERLINK("https://klasma.github.io/Logging_2260/tillsynsmail/A 43707-2025 tillsynsbegäran mail.docx", "A 43707-2025")</f>
        <v/>
      </c>
    </row>
    <row r="732" ht="15" customHeight="1">
      <c r="A732" t="inlineStr">
        <is>
          <t>A 33782-2025</t>
        </is>
      </c>
      <c r="B732" s="1" t="n">
        <v>45842.40678240741</v>
      </c>
      <c r="C732" s="1" t="n">
        <v>45992</v>
      </c>
      <c r="D732" t="inlineStr">
        <is>
          <t>VÄSTERNORRLANDS LÄN</t>
        </is>
      </c>
      <c r="E732" t="inlineStr">
        <is>
          <t>ÅNGE</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53012-2025</t>
        </is>
      </c>
      <c r="B733" s="1" t="n">
        <v>45957.80320601852</v>
      </c>
      <c r="C733" s="1" t="n">
        <v>45992</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34019-2025</t>
        </is>
      </c>
      <c r="B734" s="1" t="n">
        <v>45845.34416666667</v>
      </c>
      <c r="C734" s="1" t="n">
        <v>45992</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51055-2023</t>
        </is>
      </c>
      <c r="B735" s="1" t="n">
        <v>45218</v>
      </c>
      <c r="C735" s="1" t="n">
        <v>45992</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33717-2025</t>
        </is>
      </c>
      <c r="B736" s="1" t="n">
        <v>45841.89357638889</v>
      </c>
      <c r="C736" s="1" t="n">
        <v>45992</v>
      </c>
      <c r="D736" t="inlineStr">
        <is>
          <t>VÄSTERNORRLANDS LÄN</t>
        </is>
      </c>
      <c r="E736" t="inlineStr">
        <is>
          <t>ÅNGE</t>
        </is>
      </c>
      <c r="G736" t="n">
        <v>14.3</v>
      </c>
      <c r="H736" t="n">
        <v>0</v>
      </c>
      <c r="I736" t="n">
        <v>0</v>
      </c>
      <c r="J736" t="n">
        <v>0</v>
      </c>
      <c r="K736" t="n">
        <v>0</v>
      </c>
      <c r="L736" t="n">
        <v>0</v>
      </c>
      <c r="M736" t="n">
        <v>0</v>
      </c>
      <c r="N736" t="n">
        <v>0</v>
      </c>
      <c r="O736" t="n">
        <v>0</v>
      </c>
      <c r="P736" t="n">
        <v>0</v>
      </c>
      <c r="Q736" t="n">
        <v>0</v>
      </c>
      <c r="R736" s="2" t="inlineStr"/>
    </row>
    <row r="737" ht="15" customHeight="1">
      <c r="A737" t="inlineStr">
        <is>
          <t>A 5455-2023</t>
        </is>
      </c>
      <c r="B737" s="1" t="n">
        <v>44959.93983796296</v>
      </c>
      <c r="C737" s="1" t="n">
        <v>45992</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43775-2022</t>
        </is>
      </c>
      <c r="B738" s="1" t="n">
        <v>44837.95053240741</v>
      </c>
      <c r="C738" s="1" t="n">
        <v>45992</v>
      </c>
      <c r="D738" t="inlineStr">
        <is>
          <t>VÄSTERNORRLANDS LÄN</t>
        </is>
      </c>
      <c r="E738" t="inlineStr">
        <is>
          <t>ÅNGE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53033-2025</t>
        </is>
      </c>
      <c r="B739" s="1" t="n">
        <v>45958.34479166667</v>
      </c>
      <c r="C739" s="1" t="n">
        <v>45992</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16915-2024</t>
        </is>
      </c>
      <c r="B740" s="1" t="n">
        <v>45411.65185185185</v>
      </c>
      <c r="C740" s="1" t="n">
        <v>45992</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24552-2023</t>
        </is>
      </c>
      <c r="B741" s="1" t="n">
        <v>45082.94226851852</v>
      </c>
      <c r="C741" s="1" t="n">
        <v>45992</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57560-2023</t>
        </is>
      </c>
      <c r="B742" s="1" t="n">
        <v>45243</v>
      </c>
      <c r="C742" s="1" t="n">
        <v>45992</v>
      </c>
      <c r="D742" t="inlineStr">
        <is>
          <t>VÄSTERNORRLANDS LÄN</t>
        </is>
      </c>
      <c r="E742" t="inlineStr">
        <is>
          <t>ÅNGE</t>
        </is>
      </c>
      <c r="G742" t="n">
        <v>7.4</v>
      </c>
      <c r="H742" t="n">
        <v>0</v>
      </c>
      <c r="I742" t="n">
        <v>0</v>
      </c>
      <c r="J742" t="n">
        <v>0</v>
      </c>
      <c r="K742" t="n">
        <v>0</v>
      </c>
      <c r="L742" t="n">
        <v>0</v>
      </c>
      <c r="M742" t="n">
        <v>0</v>
      </c>
      <c r="N742" t="n">
        <v>0</v>
      </c>
      <c r="O742" t="n">
        <v>0</v>
      </c>
      <c r="P742" t="n">
        <v>0</v>
      </c>
      <c r="Q742" t="n">
        <v>0</v>
      </c>
      <c r="R742" s="2" t="inlineStr"/>
    </row>
    <row r="743" ht="15" customHeight="1">
      <c r="A743" t="inlineStr">
        <is>
          <t>A 57568-2023</t>
        </is>
      </c>
      <c r="B743" s="1" t="n">
        <v>45246.50484953704</v>
      </c>
      <c r="C743" s="1" t="n">
        <v>45992</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16576-2023</t>
        </is>
      </c>
      <c r="B744" s="1" t="n">
        <v>45029.94251157407</v>
      </c>
      <c r="C744" s="1" t="n">
        <v>45992</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34591-2025</t>
        </is>
      </c>
      <c r="B745" s="1" t="n">
        <v>45847.62920138889</v>
      </c>
      <c r="C745" s="1" t="n">
        <v>45992</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34593-2025</t>
        </is>
      </c>
      <c r="B746" s="1" t="n">
        <v>45847.6316087963</v>
      </c>
      <c r="C746" s="1" t="n">
        <v>45992</v>
      </c>
      <c r="D746" t="inlineStr">
        <is>
          <t>VÄSTERNORRLANDS LÄN</t>
        </is>
      </c>
      <c r="E746" t="inlineStr">
        <is>
          <t>ÅNGE</t>
        </is>
      </c>
      <c r="G746" t="n">
        <v>5.3</v>
      </c>
      <c r="H746" t="n">
        <v>0</v>
      </c>
      <c r="I746" t="n">
        <v>0</v>
      </c>
      <c r="J746" t="n">
        <v>0</v>
      </c>
      <c r="K746" t="n">
        <v>0</v>
      </c>
      <c r="L746" t="n">
        <v>0</v>
      </c>
      <c r="M746" t="n">
        <v>0</v>
      </c>
      <c r="N746" t="n">
        <v>0</v>
      </c>
      <c r="O746" t="n">
        <v>0</v>
      </c>
      <c r="P746" t="n">
        <v>0</v>
      </c>
      <c r="Q746" t="n">
        <v>0</v>
      </c>
      <c r="R746" s="2" t="inlineStr"/>
    </row>
    <row r="747" ht="15" customHeight="1">
      <c r="A747" t="inlineStr">
        <is>
          <t>A 4359-2025</t>
        </is>
      </c>
      <c r="B747" s="1" t="n">
        <v>45686.33072916666</v>
      </c>
      <c r="C747" s="1" t="n">
        <v>45992</v>
      </c>
      <c r="D747" t="inlineStr">
        <is>
          <t>VÄSTERNORRLANDS LÄN</t>
        </is>
      </c>
      <c r="E747" t="inlineStr">
        <is>
          <t>ÅNGE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53381-2025</t>
        </is>
      </c>
      <c r="B748" s="1" t="n">
        <v>45959.53690972222</v>
      </c>
      <c r="C748" s="1" t="n">
        <v>45992</v>
      </c>
      <c r="D748" t="inlineStr">
        <is>
          <t>VÄSTERNORRLANDS LÄN</t>
        </is>
      </c>
      <c r="E748" t="inlineStr">
        <is>
          <t>ÅNGE</t>
        </is>
      </c>
      <c r="G748" t="n">
        <v>9.6</v>
      </c>
      <c r="H748" t="n">
        <v>0</v>
      </c>
      <c r="I748" t="n">
        <v>0</v>
      </c>
      <c r="J748" t="n">
        <v>0</v>
      </c>
      <c r="K748" t="n">
        <v>0</v>
      </c>
      <c r="L748" t="n">
        <v>0</v>
      </c>
      <c r="M748" t="n">
        <v>0</v>
      </c>
      <c r="N748" t="n">
        <v>0</v>
      </c>
      <c r="O748" t="n">
        <v>0</v>
      </c>
      <c r="P748" t="n">
        <v>0</v>
      </c>
      <c r="Q748" t="n">
        <v>0</v>
      </c>
      <c r="R748" s="2" t="inlineStr"/>
    </row>
    <row r="749" ht="15" customHeight="1">
      <c r="A749" t="inlineStr">
        <is>
          <t>A 34785-2025</t>
        </is>
      </c>
      <c r="B749" s="1" t="n">
        <v>45848.67771990741</v>
      </c>
      <c r="C749" s="1" t="n">
        <v>45992</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24797-2024</t>
        </is>
      </c>
      <c r="B750" s="1" t="n">
        <v>45460.95269675926</v>
      </c>
      <c r="C750" s="1" t="n">
        <v>45992</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32069-2023</t>
        </is>
      </c>
      <c r="B751" s="1" t="n">
        <v>45107</v>
      </c>
      <c r="C751" s="1" t="n">
        <v>45992</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26013-2024</t>
        </is>
      </c>
      <c r="B752" s="1" t="n">
        <v>45467</v>
      </c>
      <c r="C752" s="1" t="n">
        <v>45992</v>
      </c>
      <c r="D752" t="inlineStr">
        <is>
          <t>VÄSTERNORRLANDS LÄN</t>
        </is>
      </c>
      <c r="E752" t="inlineStr">
        <is>
          <t>ÅNGE</t>
        </is>
      </c>
      <c r="F752" t="inlineStr">
        <is>
          <t>SCA</t>
        </is>
      </c>
      <c r="G752" t="n">
        <v>6.8</v>
      </c>
      <c r="H752" t="n">
        <v>0</v>
      </c>
      <c r="I752" t="n">
        <v>0</v>
      </c>
      <c r="J752" t="n">
        <v>0</v>
      </c>
      <c r="K752" t="n">
        <v>0</v>
      </c>
      <c r="L752" t="n">
        <v>0</v>
      </c>
      <c r="M752" t="n">
        <v>0</v>
      </c>
      <c r="N752" t="n">
        <v>0</v>
      </c>
      <c r="O752" t="n">
        <v>0</v>
      </c>
      <c r="P752" t="n">
        <v>0</v>
      </c>
      <c r="Q752" t="n">
        <v>0</v>
      </c>
      <c r="R752" s="2" t="inlineStr"/>
    </row>
    <row r="753" ht="15" customHeight="1">
      <c r="A753" t="inlineStr">
        <is>
          <t>A 35143-2025</t>
        </is>
      </c>
      <c r="B753" s="1" t="n">
        <v>45852.65660879629</v>
      </c>
      <c r="C753" s="1" t="n">
        <v>45992</v>
      </c>
      <c r="D753" t="inlineStr">
        <is>
          <t>VÄSTERNORRLANDS LÄN</t>
        </is>
      </c>
      <c r="E753" t="inlineStr">
        <is>
          <t>ÅNGE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53221-2025</t>
        </is>
      </c>
      <c r="B754" s="1" t="n">
        <v>45958.60331018519</v>
      </c>
      <c r="C754" s="1" t="n">
        <v>45992</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35061-2025</t>
        </is>
      </c>
      <c r="B755" s="1" t="n">
        <v>45852</v>
      </c>
      <c r="C755" s="1" t="n">
        <v>45992</v>
      </c>
      <c r="D755" t="inlineStr">
        <is>
          <t>VÄSTERNORRLANDS LÄN</t>
        </is>
      </c>
      <c r="E755" t="inlineStr">
        <is>
          <t>ÅNGE</t>
        </is>
      </c>
      <c r="F755" t="inlineStr">
        <is>
          <t>SCA</t>
        </is>
      </c>
      <c r="G755" t="n">
        <v>5.6</v>
      </c>
      <c r="H755" t="n">
        <v>0</v>
      </c>
      <c r="I755" t="n">
        <v>0</v>
      </c>
      <c r="J755" t="n">
        <v>0</v>
      </c>
      <c r="K755" t="n">
        <v>0</v>
      </c>
      <c r="L755" t="n">
        <v>0</v>
      </c>
      <c r="M755" t="n">
        <v>0</v>
      </c>
      <c r="N755" t="n">
        <v>0</v>
      </c>
      <c r="O755" t="n">
        <v>0</v>
      </c>
      <c r="P755" t="n">
        <v>0</v>
      </c>
      <c r="Q755" t="n">
        <v>0</v>
      </c>
      <c r="R755" s="2" t="inlineStr"/>
    </row>
    <row r="756" ht="15" customHeight="1">
      <c r="A756" t="inlineStr">
        <is>
          <t>A 44919-2025</t>
        </is>
      </c>
      <c r="B756" s="1" t="n">
        <v>45918.55246527777</v>
      </c>
      <c r="C756" s="1" t="n">
        <v>45992</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44935-2025</t>
        </is>
      </c>
      <c r="B757" s="1" t="n">
        <v>45918.57392361111</v>
      </c>
      <c r="C757" s="1" t="n">
        <v>45992</v>
      </c>
      <c r="D757" t="inlineStr">
        <is>
          <t>VÄSTERNORRLANDS LÄN</t>
        </is>
      </c>
      <c r="E757" t="inlineStr">
        <is>
          <t>ÅNGE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53713-2025</t>
        </is>
      </c>
      <c r="B758" s="1" t="n">
        <v>45960.61568287037</v>
      </c>
      <c r="C758" s="1" t="n">
        <v>45992</v>
      </c>
      <c r="D758" t="inlineStr">
        <is>
          <t>VÄSTERNORRLANDS LÄN</t>
        </is>
      </c>
      <c r="E758" t="inlineStr">
        <is>
          <t>ÅNGE</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53984-2025</t>
        </is>
      </c>
      <c r="B759" s="1" t="n">
        <v>45961.5734837963</v>
      </c>
      <c r="C759" s="1" t="n">
        <v>45992</v>
      </c>
      <c r="D759" t="inlineStr">
        <is>
          <t>VÄSTERNORRLANDS LÄN</t>
        </is>
      </c>
      <c r="E759" t="inlineStr">
        <is>
          <t>ÅNGE</t>
        </is>
      </c>
      <c r="F759" t="inlineStr">
        <is>
          <t>SCA</t>
        </is>
      </c>
      <c r="G759" t="n">
        <v>14.8</v>
      </c>
      <c r="H759" t="n">
        <v>0</v>
      </c>
      <c r="I759" t="n">
        <v>0</v>
      </c>
      <c r="J759" t="n">
        <v>0</v>
      </c>
      <c r="K759" t="n">
        <v>0</v>
      </c>
      <c r="L759" t="n">
        <v>0</v>
      </c>
      <c r="M759" t="n">
        <v>0</v>
      </c>
      <c r="N759" t="n">
        <v>0</v>
      </c>
      <c r="O759" t="n">
        <v>0</v>
      </c>
      <c r="P759" t="n">
        <v>0</v>
      </c>
      <c r="Q759" t="n">
        <v>0</v>
      </c>
      <c r="R759" s="2" t="inlineStr"/>
    </row>
    <row r="760" ht="15" customHeight="1">
      <c r="A760" t="inlineStr">
        <is>
          <t>A 34629-2025</t>
        </is>
      </c>
      <c r="B760" s="1" t="n">
        <v>45847.93006944445</v>
      </c>
      <c r="C760" s="1" t="n">
        <v>45992</v>
      </c>
      <c r="D760" t="inlineStr">
        <is>
          <t>VÄSTERNORRLANDS LÄN</t>
        </is>
      </c>
      <c r="E760" t="inlineStr">
        <is>
          <t>ÅNGE</t>
        </is>
      </c>
      <c r="G760" t="n">
        <v>0.2</v>
      </c>
      <c r="H760" t="n">
        <v>0</v>
      </c>
      <c r="I760" t="n">
        <v>0</v>
      </c>
      <c r="J760" t="n">
        <v>0</v>
      </c>
      <c r="K760" t="n">
        <v>0</v>
      </c>
      <c r="L760" t="n">
        <v>0</v>
      </c>
      <c r="M760" t="n">
        <v>0</v>
      </c>
      <c r="N760" t="n">
        <v>0</v>
      </c>
      <c r="O760" t="n">
        <v>0</v>
      </c>
      <c r="P760" t="n">
        <v>0</v>
      </c>
      <c r="Q760" t="n">
        <v>0</v>
      </c>
      <c r="R760" s="2" t="inlineStr"/>
    </row>
    <row r="761" ht="15" customHeight="1">
      <c r="A761" t="inlineStr">
        <is>
          <t>A 35432-2025</t>
        </is>
      </c>
      <c r="B761" s="1" t="n">
        <v>45855.44831018519</v>
      </c>
      <c r="C761" s="1" t="n">
        <v>45992</v>
      </c>
      <c r="D761" t="inlineStr">
        <is>
          <t>VÄSTERNORRLANDS LÄN</t>
        </is>
      </c>
      <c r="E761" t="inlineStr">
        <is>
          <t>ÅNGE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16903-2024</t>
        </is>
      </c>
      <c r="B762" s="1" t="n">
        <v>45411.63106481481</v>
      </c>
      <c r="C762" s="1" t="n">
        <v>45992</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35497-2025</t>
        </is>
      </c>
      <c r="B763" s="1" t="n">
        <v>45856.29752314815</v>
      </c>
      <c r="C763" s="1" t="n">
        <v>45992</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32439-2024</t>
        </is>
      </c>
      <c r="B764" s="1" t="n">
        <v>45512</v>
      </c>
      <c r="C764" s="1" t="n">
        <v>45992</v>
      </c>
      <c r="D764" t="inlineStr">
        <is>
          <t>VÄSTERNORRLANDS LÄN</t>
        </is>
      </c>
      <c r="E764" t="inlineStr">
        <is>
          <t>ÅNGE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35577-2025</t>
        </is>
      </c>
      <c r="B765" s="1" t="n">
        <v>45856.67762731481</v>
      </c>
      <c r="C765" s="1" t="n">
        <v>45992</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53985-2025</t>
        </is>
      </c>
      <c r="B766" s="1" t="n">
        <v>45961.57366898148</v>
      </c>
      <c r="C766" s="1" t="n">
        <v>45992</v>
      </c>
      <c r="D766" t="inlineStr">
        <is>
          <t>VÄSTERNORRLANDS LÄN</t>
        </is>
      </c>
      <c r="E766" t="inlineStr">
        <is>
          <t>ÅNGE</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16572-2023</t>
        </is>
      </c>
      <c r="B767" s="1" t="n">
        <v>45029.94224537037</v>
      </c>
      <c r="C767" s="1" t="n">
        <v>45992</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35548-2025</t>
        </is>
      </c>
      <c r="B768" s="1" t="n">
        <v>45856.48995370371</v>
      </c>
      <c r="C768" s="1" t="n">
        <v>45992</v>
      </c>
      <c r="D768" t="inlineStr">
        <is>
          <t>VÄSTERNORRLANDS LÄN</t>
        </is>
      </c>
      <c r="E768" t="inlineStr">
        <is>
          <t>ÅNGE</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35575-2025</t>
        </is>
      </c>
      <c r="B769" s="1" t="n">
        <v>45856.63591435185</v>
      </c>
      <c r="C769" s="1" t="n">
        <v>45992</v>
      </c>
      <c r="D769" t="inlineStr">
        <is>
          <t>VÄSTERNORRLANDS LÄN</t>
        </is>
      </c>
      <c r="E769" t="inlineStr">
        <is>
          <t>ÅNGE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53509-2025</t>
        </is>
      </c>
      <c r="B770" s="1" t="n">
        <v>45960.34506944445</v>
      </c>
      <c r="C770" s="1" t="n">
        <v>45992</v>
      </c>
      <c r="D770" t="inlineStr">
        <is>
          <t>VÄSTERNORRLANDS LÄN</t>
        </is>
      </c>
      <c r="E770" t="inlineStr">
        <is>
          <t>ÅNGE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35503-2025</t>
        </is>
      </c>
      <c r="B771" s="1" t="n">
        <v>45856</v>
      </c>
      <c r="C771" s="1" t="n">
        <v>45992</v>
      </c>
      <c r="D771" t="inlineStr">
        <is>
          <t>VÄSTERNORRLANDS LÄN</t>
        </is>
      </c>
      <c r="E771" t="inlineStr">
        <is>
          <t>ÅNGE</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35540-2025</t>
        </is>
      </c>
      <c r="B772" s="1" t="n">
        <v>45856.46912037037</v>
      </c>
      <c r="C772" s="1" t="n">
        <v>45992</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3256-2024</t>
        </is>
      </c>
      <c r="B773" s="1" t="n">
        <v>45316</v>
      </c>
      <c r="C773" s="1" t="n">
        <v>45992</v>
      </c>
      <c r="D773" t="inlineStr">
        <is>
          <t>VÄSTERNORRLANDS LÄN</t>
        </is>
      </c>
      <c r="E773" t="inlineStr">
        <is>
          <t>ÅNGE</t>
        </is>
      </c>
      <c r="G773" t="n">
        <v>3.7</v>
      </c>
      <c r="H773" t="n">
        <v>0</v>
      </c>
      <c r="I773" t="n">
        <v>0</v>
      </c>
      <c r="J773" t="n">
        <v>0</v>
      </c>
      <c r="K773" t="n">
        <v>0</v>
      </c>
      <c r="L773" t="n">
        <v>0</v>
      </c>
      <c r="M773" t="n">
        <v>0</v>
      </c>
      <c r="N773" t="n">
        <v>0</v>
      </c>
      <c r="O773" t="n">
        <v>0</v>
      </c>
      <c r="P773" t="n">
        <v>0</v>
      </c>
      <c r="Q773" t="n">
        <v>0</v>
      </c>
      <c r="R773" s="2" t="inlineStr"/>
    </row>
    <row r="774" ht="15" customHeight="1">
      <c r="A774" t="inlineStr">
        <is>
          <t>A 49487-2024</t>
        </is>
      </c>
      <c r="B774" s="1" t="n">
        <v>45596.35813657408</v>
      </c>
      <c r="C774" s="1" t="n">
        <v>45992</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35838-2025</t>
        </is>
      </c>
      <c r="B775" s="1" t="n">
        <v>45861.53829861111</v>
      </c>
      <c r="C775" s="1" t="n">
        <v>45992</v>
      </c>
      <c r="D775" t="inlineStr">
        <is>
          <t>VÄSTERNORRLANDS LÄN</t>
        </is>
      </c>
      <c r="E775" t="inlineStr">
        <is>
          <t>ÅNGE</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30683-2024</t>
        </is>
      </c>
      <c r="B776" s="1" t="n">
        <v>45495</v>
      </c>
      <c r="C776" s="1" t="n">
        <v>45992</v>
      </c>
      <c r="D776" t="inlineStr">
        <is>
          <t>VÄSTERNORRLANDS LÄN</t>
        </is>
      </c>
      <c r="E776" t="inlineStr">
        <is>
          <t>ÅNGE</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35781-2025</t>
        </is>
      </c>
      <c r="B777" s="1" t="n">
        <v>45860.70613425926</v>
      </c>
      <c r="C777" s="1" t="n">
        <v>45992</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45992</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35827-2025</t>
        </is>
      </c>
      <c r="B779" s="1" t="n">
        <v>45861.49017361111</v>
      </c>
      <c r="C779" s="1" t="n">
        <v>45992</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35690-2025</t>
        </is>
      </c>
      <c r="B780" s="1" t="n">
        <v>45860.34421296296</v>
      </c>
      <c r="C780" s="1" t="n">
        <v>45992</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35766-2025</t>
        </is>
      </c>
      <c r="B781" s="1" t="n">
        <v>45860.63077546296</v>
      </c>
      <c r="C781" s="1" t="n">
        <v>45992</v>
      </c>
      <c r="D781" t="inlineStr">
        <is>
          <t>VÄSTERNORRLANDS LÄN</t>
        </is>
      </c>
      <c r="E781" t="inlineStr">
        <is>
          <t>ÅNGE</t>
        </is>
      </c>
      <c r="G781" t="n">
        <v>10.7</v>
      </c>
      <c r="H781" t="n">
        <v>0</v>
      </c>
      <c r="I781" t="n">
        <v>0</v>
      </c>
      <c r="J781" t="n">
        <v>0</v>
      </c>
      <c r="K781" t="n">
        <v>0</v>
      </c>
      <c r="L781" t="n">
        <v>0</v>
      </c>
      <c r="M781" t="n">
        <v>0</v>
      </c>
      <c r="N781" t="n">
        <v>0</v>
      </c>
      <c r="O781" t="n">
        <v>0</v>
      </c>
      <c r="P781" t="n">
        <v>0</v>
      </c>
      <c r="Q781" t="n">
        <v>0</v>
      </c>
      <c r="R781" s="2" t="inlineStr"/>
    </row>
    <row r="782" ht="15" customHeight="1">
      <c r="A782" t="inlineStr">
        <is>
          <t>A 45403-2025</t>
        </is>
      </c>
      <c r="B782" s="1" t="n">
        <v>45922.42803240741</v>
      </c>
      <c r="C782" s="1" t="n">
        <v>45992</v>
      </c>
      <c r="D782" t="inlineStr">
        <is>
          <t>VÄSTERNORRLANDS LÄN</t>
        </is>
      </c>
      <c r="E782" t="inlineStr">
        <is>
          <t>ÅNGE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57287-2022</t>
        </is>
      </c>
      <c r="B783" s="1" t="n">
        <v>44895.95</v>
      </c>
      <c r="C783" s="1" t="n">
        <v>45992</v>
      </c>
      <c r="D783" t="inlineStr">
        <is>
          <t>VÄSTERNORRLANDS LÄN</t>
        </is>
      </c>
      <c r="E783" t="inlineStr">
        <is>
          <t>ÅNGE</t>
        </is>
      </c>
      <c r="F783" t="inlineStr">
        <is>
          <t>SCA</t>
        </is>
      </c>
      <c r="G783" t="n">
        <v>4.8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45992</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1090-2023</t>
        </is>
      </c>
      <c r="B785" s="1" t="n">
        <v>44929</v>
      </c>
      <c r="C785" s="1" t="n">
        <v>45992</v>
      </c>
      <c r="D785" t="inlineStr">
        <is>
          <t>VÄSTERNORRLANDS LÄN</t>
        </is>
      </c>
      <c r="E785" t="inlineStr">
        <is>
          <t>ÅNGE</t>
        </is>
      </c>
      <c r="G785" t="n">
        <v>0.7</v>
      </c>
      <c r="H785" t="n">
        <v>0</v>
      </c>
      <c r="I785" t="n">
        <v>0</v>
      </c>
      <c r="J785" t="n">
        <v>0</v>
      </c>
      <c r="K785" t="n">
        <v>0</v>
      </c>
      <c r="L785" t="n">
        <v>0</v>
      </c>
      <c r="M785" t="n">
        <v>0</v>
      </c>
      <c r="N785" t="n">
        <v>0</v>
      </c>
      <c r="O785" t="n">
        <v>0</v>
      </c>
      <c r="P785" t="n">
        <v>0</v>
      </c>
      <c r="Q785" t="n">
        <v>0</v>
      </c>
      <c r="R785" s="2" t="inlineStr"/>
    </row>
    <row r="786" ht="15" customHeight="1">
      <c r="A786" t="inlineStr">
        <is>
          <t>A 1116-2023</t>
        </is>
      </c>
      <c r="B786" s="1" t="n">
        <v>44929</v>
      </c>
      <c r="C786" s="1" t="n">
        <v>45992</v>
      </c>
      <c r="D786" t="inlineStr">
        <is>
          <t>VÄSTERNORRLANDS LÄN</t>
        </is>
      </c>
      <c r="E786" t="inlineStr">
        <is>
          <t>ÅNGE</t>
        </is>
      </c>
      <c r="G786" t="n">
        <v>17.2</v>
      </c>
      <c r="H786" t="n">
        <v>0</v>
      </c>
      <c r="I786" t="n">
        <v>0</v>
      </c>
      <c r="J786" t="n">
        <v>0</v>
      </c>
      <c r="K786" t="n">
        <v>0</v>
      </c>
      <c r="L786" t="n">
        <v>0</v>
      </c>
      <c r="M786" t="n">
        <v>0</v>
      </c>
      <c r="N786" t="n">
        <v>0</v>
      </c>
      <c r="O786" t="n">
        <v>0</v>
      </c>
      <c r="P786" t="n">
        <v>0</v>
      </c>
      <c r="Q786" t="n">
        <v>0</v>
      </c>
      <c r="R786" s="2" t="inlineStr"/>
    </row>
    <row r="787" ht="15" customHeight="1">
      <c r="A787" t="inlineStr">
        <is>
          <t>A 51609-2023</t>
        </is>
      </c>
      <c r="B787" s="1" t="n">
        <v>45215</v>
      </c>
      <c r="C787" s="1" t="n">
        <v>45992</v>
      </c>
      <c r="D787" t="inlineStr">
        <is>
          <t>VÄSTERNORRLANDS LÄN</t>
        </is>
      </c>
      <c r="E787" t="inlineStr">
        <is>
          <t>ÅNGE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27661-2024</t>
        </is>
      </c>
      <c r="B788" s="1" t="n">
        <v>45474.95365740741</v>
      </c>
      <c r="C788" s="1" t="n">
        <v>45992</v>
      </c>
      <c r="D788" t="inlineStr">
        <is>
          <t>VÄSTERNORRLANDS LÄN</t>
        </is>
      </c>
      <c r="E788" t="inlineStr">
        <is>
          <t>ÅNGE</t>
        </is>
      </c>
      <c r="F788" t="inlineStr">
        <is>
          <t>SCA</t>
        </is>
      </c>
      <c r="G788" t="n">
        <v>19.1</v>
      </c>
      <c r="H788" t="n">
        <v>0</v>
      </c>
      <c r="I788" t="n">
        <v>0</v>
      </c>
      <c r="J788" t="n">
        <v>0</v>
      </c>
      <c r="K788" t="n">
        <v>0</v>
      </c>
      <c r="L788" t="n">
        <v>0</v>
      </c>
      <c r="M788" t="n">
        <v>0</v>
      </c>
      <c r="N788" t="n">
        <v>0</v>
      </c>
      <c r="O788" t="n">
        <v>0</v>
      </c>
      <c r="P788" t="n">
        <v>0</v>
      </c>
      <c r="Q788" t="n">
        <v>0</v>
      </c>
      <c r="R788" s="2" t="inlineStr"/>
    </row>
    <row r="789" ht="15" customHeight="1">
      <c r="A789" t="inlineStr">
        <is>
          <t>A 27668-2024</t>
        </is>
      </c>
      <c r="B789" s="1" t="n">
        <v>45474.95435185185</v>
      </c>
      <c r="C789" s="1" t="n">
        <v>45992</v>
      </c>
      <c r="D789" t="inlineStr">
        <is>
          <t>VÄSTERNORRLANDS LÄN</t>
        </is>
      </c>
      <c r="E789" t="inlineStr">
        <is>
          <t>ÅNGE</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36237-2025</t>
        </is>
      </c>
      <c r="B790" s="1" t="n">
        <v>45867.55263888889</v>
      </c>
      <c r="C790" s="1" t="n">
        <v>45992</v>
      </c>
      <c r="D790" t="inlineStr">
        <is>
          <t>VÄSTERNORRLANDS LÄN</t>
        </is>
      </c>
      <c r="E790" t="inlineStr">
        <is>
          <t>ÅNGE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36240-2025</t>
        </is>
      </c>
      <c r="B791" s="1" t="n">
        <v>45867.55298611111</v>
      </c>
      <c r="C791" s="1" t="n">
        <v>45992</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12021-2022</t>
        </is>
      </c>
      <c r="B792" s="1" t="n">
        <v>44635</v>
      </c>
      <c r="C792" s="1" t="n">
        <v>45992</v>
      </c>
      <c r="D792" t="inlineStr">
        <is>
          <t>VÄSTERNORRLANDS LÄN</t>
        </is>
      </c>
      <c r="E792" t="inlineStr">
        <is>
          <t>ÅNGE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36210-2025</t>
        </is>
      </c>
      <c r="B793" s="1" t="n">
        <v>45867.46930555555</v>
      </c>
      <c r="C793" s="1" t="n">
        <v>45992</v>
      </c>
      <c r="D793" t="inlineStr">
        <is>
          <t>VÄSTERNORRLANDS LÄN</t>
        </is>
      </c>
      <c r="E793" t="inlineStr">
        <is>
          <t>ÅNGE</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36236-2025</t>
        </is>
      </c>
      <c r="B794" s="1" t="n">
        <v>45867.55245370371</v>
      </c>
      <c r="C794" s="1" t="n">
        <v>45992</v>
      </c>
      <c r="D794" t="inlineStr">
        <is>
          <t>VÄSTERNORRLANDS LÄN</t>
        </is>
      </c>
      <c r="E794" t="inlineStr">
        <is>
          <t>ÅNGE</t>
        </is>
      </c>
      <c r="G794" t="n">
        <v>0.9</v>
      </c>
      <c r="H794" t="n">
        <v>0</v>
      </c>
      <c r="I794" t="n">
        <v>0</v>
      </c>
      <c r="J794" t="n">
        <v>0</v>
      </c>
      <c r="K794" t="n">
        <v>0</v>
      </c>
      <c r="L794" t="n">
        <v>0</v>
      </c>
      <c r="M794" t="n">
        <v>0</v>
      </c>
      <c r="N794" t="n">
        <v>0</v>
      </c>
      <c r="O794" t="n">
        <v>0</v>
      </c>
      <c r="P794" t="n">
        <v>0</v>
      </c>
      <c r="Q794" t="n">
        <v>0</v>
      </c>
      <c r="R794" s="2" t="inlineStr"/>
    </row>
    <row r="795" ht="15" customHeight="1">
      <c r="A795" t="inlineStr">
        <is>
          <t>A 35399-2024</t>
        </is>
      </c>
      <c r="B795" s="1" t="n">
        <v>45531.40438657408</v>
      </c>
      <c r="C795" s="1" t="n">
        <v>45992</v>
      </c>
      <c r="D795" t="inlineStr">
        <is>
          <t>VÄSTERNORRLANDS LÄN</t>
        </is>
      </c>
      <c r="E795" t="inlineStr">
        <is>
          <t>ÅNGE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54357-2025</t>
        </is>
      </c>
      <c r="B796" s="1" t="n">
        <v>45965.3858912037</v>
      </c>
      <c r="C796" s="1" t="n">
        <v>45992</v>
      </c>
      <c r="D796" t="inlineStr">
        <is>
          <t>VÄSTERNORRLANDS LÄN</t>
        </is>
      </c>
      <c r="E796" t="inlineStr">
        <is>
          <t>ÅNGE</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36248-2025</t>
        </is>
      </c>
      <c r="B797" s="1" t="n">
        <v>45867.57326388889</v>
      </c>
      <c r="C797" s="1" t="n">
        <v>45992</v>
      </c>
      <c r="D797" t="inlineStr">
        <is>
          <t>VÄSTERNORRLANDS LÄN</t>
        </is>
      </c>
      <c r="E797" t="inlineStr">
        <is>
          <t>ÅNGE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45992</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45401-2025</t>
        </is>
      </c>
      <c r="B799" s="1" t="n">
        <v>45922.42767361111</v>
      </c>
      <c r="C799" s="1" t="n">
        <v>45992</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36205-2025</t>
        </is>
      </c>
      <c r="B800" s="1" t="n">
        <v>45867.44855324074</v>
      </c>
      <c r="C800" s="1" t="n">
        <v>45992</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36491-2025</t>
        </is>
      </c>
      <c r="B801" s="1" t="n">
        <v>45869.53173611111</v>
      </c>
      <c r="C801" s="1" t="n">
        <v>45992</v>
      </c>
      <c r="D801" t="inlineStr">
        <is>
          <t>VÄSTERNORRLANDS LÄN</t>
        </is>
      </c>
      <c r="E801" t="inlineStr">
        <is>
          <t>ÅNGE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45404-2025</t>
        </is>
      </c>
      <c r="B802" s="1" t="n">
        <v>45922.42820601852</v>
      </c>
      <c r="C802" s="1" t="n">
        <v>45992</v>
      </c>
      <c r="D802" t="inlineStr">
        <is>
          <t>VÄSTERNORRLANDS LÄN</t>
        </is>
      </c>
      <c r="E802" t="inlineStr">
        <is>
          <t>ÅNGE</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36336-2025</t>
        </is>
      </c>
      <c r="B803" s="1" t="n">
        <v>45868.44751157407</v>
      </c>
      <c r="C803" s="1" t="n">
        <v>45992</v>
      </c>
      <c r="D803" t="inlineStr">
        <is>
          <t>VÄSTERNORRLANDS LÄN</t>
        </is>
      </c>
      <c r="E803" t="inlineStr">
        <is>
          <t>ÅNGE</t>
        </is>
      </c>
      <c r="G803" t="n">
        <v>7.3</v>
      </c>
      <c r="H803" t="n">
        <v>0</v>
      </c>
      <c r="I803" t="n">
        <v>0</v>
      </c>
      <c r="J803" t="n">
        <v>0</v>
      </c>
      <c r="K803" t="n">
        <v>0</v>
      </c>
      <c r="L803" t="n">
        <v>0</v>
      </c>
      <c r="M803" t="n">
        <v>0</v>
      </c>
      <c r="N803" t="n">
        <v>0</v>
      </c>
      <c r="O803" t="n">
        <v>0</v>
      </c>
      <c r="P803" t="n">
        <v>0</v>
      </c>
      <c r="Q803" t="n">
        <v>0</v>
      </c>
      <c r="R803" s="2" t="inlineStr"/>
    </row>
    <row r="804" ht="15" customHeight="1">
      <c r="A804" t="inlineStr">
        <is>
          <t>A 36457-2025</t>
        </is>
      </c>
      <c r="B804" s="1" t="n">
        <v>45869.44842592593</v>
      </c>
      <c r="C804" s="1" t="n">
        <v>45992</v>
      </c>
      <c r="D804" t="inlineStr">
        <is>
          <t>VÄSTERNORRLANDS LÄN</t>
        </is>
      </c>
      <c r="E804" t="inlineStr">
        <is>
          <t>ÅNGE</t>
        </is>
      </c>
      <c r="F804" t="inlineStr">
        <is>
          <t>SCA</t>
        </is>
      </c>
      <c r="G804" t="n">
        <v>6.3</v>
      </c>
      <c r="H804" t="n">
        <v>0</v>
      </c>
      <c r="I804" t="n">
        <v>0</v>
      </c>
      <c r="J804" t="n">
        <v>0</v>
      </c>
      <c r="K804" t="n">
        <v>0</v>
      </c>
      <c r="L804" t="n">
        <v>0</v>
      </c>
      <c r="M804" t="n">
        <v>0</v>
      </c>
      <c r="N804" t="n">
        <v>0</v>
      </c>
      <c r="O804" t="n">
        <v>0</v>
      </c>
      <c r="P804" t="n">
        <v>0</v>
      </c>
      <c r="Q804" t="n">
        <v>0</v>
      </c>
      <c r="R804" s="2" t="inlineStr"/>
    </row>
    <row r="805" ht="15" customHeight="1">
      <c r="A805" t="inlineStr">
        <is>
          <t>A 54346-2025</t>
        </is>
      </c>
      <c r="B805" s="1" t="n">
        <v>45965.36525462963</v>
      </c>
      <c r="C805" s="1" t="n">
        <v>45992</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45660-2025</t>
        </is>
      </c>
      <c r="B806" s="1" t="n">
        <v>45923.34494212963</v>
      </c>
      <c r="C806" s="1" t="n">
        <v>45992</v>
      </c>
      <c r="D806" t="inlineStr">
        <is>
          <t>VÄSTERNORRLANDS LÄN</t>
        </is>
      </c>
      <c r="E806" t="inlineStr">
        <is>
          <t>ÅNGE</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34815-2024</t>
        </is>
      </c>
      <c r="B807" s="1" t="n">
        <v>45526.70732638889</v>
      </c>
      <c r="C807" s="1" t="n">
        <v>45992</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45875-2025</t>
        </is>
      </c>
      <c r="B808" s="1" t="n">
        <v>45923.65690972222</v>
      </c>
      <c r="C808" s="1" t="n">
        <v>45992</v>
      </c>
      <c r="D808" t="inlineStr">
        <is>
          <t>VÄSTERNORRLANDS LÄN</t>
        </is>
      </c>
      <c r="E808" t="inlineStr">
        <is>
          <t>ÅNGE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45659-2025</t>
        </is>
      </c>
      <c r="B809" s="1" t="n">
        <v>45923.34471064815</v>
      </c>
      <c r="C809" s="1" t="n">
        <v>45992</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3977-2025</t>
        </is>
      </c>
      <c r="B810" s="1" t="n">
        <v>45684</v>
      </c>
      <c r="C810" s="1" t="n">
        <v>45992</v>
      </c>
      <c r="D810" t="inlineStr">
        <is>
          <t>VÄSTERNORRLANDS LÄN</t>
        </is>
      </c>
      <c r="E810" t="inlineStr">
        <is>
          <t>ÅNGE</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54680-2025</t>
        </is>
      </c>
      <c r="B811" s="1" t="n">
        <v>45966.42751157407</v>
      </c>
      <c r="C811" s="1" t="n">
        <v>45992</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36723-2025</t>
        </is>
      </c>
      <c r="B812" s="1" t="n">
        <v>45873.47770833333</v>
      </c>
      <c r="C812" s="1" t="n">
        <v>45992</v>
      </c>
      <c r="D812" t="inlineStr">
        <is>
          <t>VÄSTERNORRLANDS LÄN</t>
        </is>
      </c>
      <c r="E812" t="inlineStr">
        <is>
          <t>ÅNGE</t>
        </is>
      </c>
      <c r="G812" t="n">
        <v>2.8</v>
      </c>
      <c r="H812" t="n">
        <v>0</v>
      </c>
      <c r="I812" t="n">
        <v>0</v>
      </c>
      <c r="J812" t="n">
        <v>0</v>
      </c>
      <c r="K812" t="n">
        <v>0</v>
      </c>
      <c r="L812" t="n">
        <v>0</v>
      </c>
      <c r="M812" t="n">
        <v>0</v>
      </c>
      <c r="N812" t="n">
        <v>0</v>
      </c>
      <c r="O812" t="n">
        <v>0</v>
      </c>
      <c r="P812" t="n">
        <v>0</v>
      </c>
      <c r="Q812" t="n">
        <v>0</v>
      </c>
      <c r="R812" s="2" t="inlineStr"/>
    </row>
    <row r="813" ht="15" customHeight="1">
      <c r="A813" t="inlineStr">
        <is>
          <t>A 36674-2025</t>
        </is>
      </c>
      <c r="B813" s="1" t="n">
        <v>45873.3930787037</v>
      </c>
      <c r="C813" s="1" t="n">
        <v>45992</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55045-2025</t>
        </is>
      </c>
      <c r="B814" s="1" t="n">
        <v>45967.66068287037</v>
      </c>
      <c r="C814" s="1" t="n">
        <v>45992</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58613-2023</t>
        </is>
      </c>
      <c r="B815" s="1" t="n">
        <v>45251.50709490741</v>
      </c>
      <c r="C815" s="1" t="n">
        <v>45992</v>
      </c>
      <c r="D815" t="inlineStr">
        <is>
          <t>VÄSTERNORRLANDS LÄN</t>
        </is>
      </c>
      <c r="E815" t="inlineStr">
        <is>
          <t>ÅNGE</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36740-2025</t>
        </is>
      </c>
      <c r="B816" s="1" t="n">
        <v>45873.53237268519</v>
      </c>
      <c r="C816" s="1" t="n">
        <v>45992</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55038-2025</t>
        </is>
      </c>
      <c r="B817" s="1" t="n">
        <v>45967.65527777778</v>
      </c>
      <c r="C817" s="1" t="n">
        <v>45992</v>
      </c>
      <c r="D817" t="inlineStr">
        <is>
          <t>VÄSTERNORRLANDS LÄN</t>
        </is>
      </c>
      <c r="E817" t="inlineStr">
        <is>
          <t>ÅNGE</t>
        </is>
      </c>
      <c r="G817" t="n">
        <v>4.5</v>
      </c>
      <c r="H817" t="n">
        <v>0</v>
      </c>
      <c r="I817" t="n">
        <v>0</v>
      </c>
      <c r="J817" t="n">
        <v>0</v>
      </c>
      <c r="K817" t="n">
        <v>0</v>
      </c>
      <c r="L817" t="n">
        <v>0</v>
      </c>
      <c r="M817" t="n">
        <v>0</v>
      </c>
      <c r="N817" t="n">
        <v>0</v>
      </c>
      <c r="O817" t="n">
        <v>0</v>
      </c>
      <c r="P817" t="n">
        <v>0</v>
      </c>
      <c r="Q817" t="n">
        <v>0</v>
      </c>
      <c r="R817" s="2" t="inlineStr"/>
    </row>
    <row r="818" ht="15" customHeight="1">
      <c r="A818" t="inlineStr">
        <is>
          <t>A 31864-2024</t>
        </is>
      </c>
      <c r="B818" s="1" t="n">
        <v>45509.74791666667</v>
      </c>
      <c r="C818" s="1" t="n">
        <v>45992</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54925-2025</t>
        </is>
      </c>
      <c r="B819" s="1" t="n">
        <v>45967.40699074074</v>
      </c>
      <c r="C819" s="1" t="n">
        <v>45992</v>
      </c>
      <c r="D819" t="inlineStr">
        <is>
          <t>VÄSTERNORRLANDS LÄN</t>
        </is>
      </c>
      <c r="E819" t="inlineStr">
        <is>
          <t>ÅNGE</t>
        </is>
      </c>
      <c r="G819" t="n">
        <v>2.6</v>
      </c>
      <c r="H819" t="n">
        <v>0</v>
      </c>
      <c r="I819" t="n">
        <v>0</v>
      </c>
      <c r="J819" t="n">
        <v>0</v>
      </c>
      <c r="K819" t="n">
        <v>0</v>
      </c>
      <c r="L819" t="n">
        <v>0</v>
      </c>
      <c r="M819" t="n">
        <v>0</v>
      </c>
      <c r="N819" t="n">
        <v>0</v>
      </c>
      <c r="O819" t="n">
        <v>0</v>
      </c>
      <c r="P819" t="n">
        <v>0</v>
      </c>
      <c r="Q819" t="n">
        <v>0</v>
      </c>
      <c r="R819" s="2" t="inlineStr"/>
    </row>
    <row r="820" ht="15" customHeight="1">
      <c r="A820" t="inlineStr">
        <is>
          <t>A 54705-2025</t>
        </is>
      </c>
      <c r="B820" s="1" t="n">
        <v>45966.4853125</v>
      </c>
      <c r="C820" s="1" t="n">
        <v>45992</v>
      </c>
      <c r="D820" t="inlineStr">
        <is>
          <t>VÄSTERNORRLANDS LÄN</t>
        </is>
      </c>
      <c r="E820" t="inlineStr">
        <is>
          <t>ÅNGE</t>
        </is>
      </c>
      <c r="G820" t="n">
        <v>4.5</v>
      </c>
      <c r="H820" t="n">
        <v>0</v>
      </c>
      <c r="I820" t="n">
        <v>0</v>
      </c>
      <c r="J820" t="n">
        <v>0</v>
      </c>
      <c r="K820" t="n">
        <v>0</v>
      </c>
      <c r="L820" t="n">
        <v>0</v>
      </c>
      <c r="M820" t="n">
        <v>0</v>
      </c>
      <c r="N820" t="n">
        <v>0</v>
      </c>
      <c r="O820" t="n">
        <v>0</v>
      </c>
      <c r="P820" t="n">
        <v>0</v>
      </c>
      <c r="Q820" t="n">
        <v>0</v>
      </c>
      <c r="R820" s="2" t="inlineStr"/>
    </row>
    <row r="821" ht="15" customHeight="1">
      <c r="A821" t="inlineStr">
        <is>
          <t>A 54715-2025</t>
        </is>
      </c>
      <c r="B821" s="1" t="n">
        <v>45966.50961805556</v>
      </c>
      <c r="C821" s="1" t="n">
        <v>45992</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46419-2025</t>
        </is>
      </c>
      <c r="B822" s="1" t="n">
        <v>45925.5949537037</v>
      </c>
      <c r="C822" s="1" t="n">
        <v>45992</v>
      </c>
      <c r="D822" t="inlineStr">
        <is>
          <t>VÄSTERNORRLANDS LÄN</t>
        </is>
      </c>
      <c r="E822" t="inlineStr">
        <is>
          <t>ÅNGE</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54926-2025</t>
        </is>
      </c>
      <c r="B823" s="1" t="n">
        <v>45967.40707175926</v>
      </c>
      <c r="C823" s="1" t="n">
        <v>45992</v>
      </c>
      <c r="D823" t="inlineStr">
        <is>
          <t>VÄSTERNORRLANDS LÄN</t>
        </is>
      </c>
      <c r="E823" t="inlineStr">
        <is>
          <t>ÅNGE</t>
        </is>
      </c>
      <c r="G823" t="n">
        <v>3.1</v>
      </c>
      <c r="H823" t="n">
        <v>0</v>
      </c>
      <c r="I823" t="n">
        <v>0</v>
      </c>
      <c r="J823" t="n">
        <v>0</v>
      </c>
      <c r="K823" t="n">
        <v>0</v>
      </c>
      <c r="L823" t="n">
        <v>0</v>
      </c>
      <c r="M823" t="n">
        <v>0</v>
      </c>
      <c r="N823" t="n">
        <v>0</v>
      </c>
      <c r="O823" t="n">
        <v>0</v>
      </c>
      <c r="P823" t="n">
        <v>0</v>
      </c>
      <c r="Q823" t="n">
        <v>0</v>
      </c>
      <c r="R823" s="2" t="inlineStr"/>
    </row>
    <row r="824" ht="15" customHeight="1">
      <c r="A824" t="inlineStr">
        <is>
          <t>A 54819-2025</t>
        </is>
      </c>
      <c r="B824" s="1" t="n">
        <v>45966.65709490741</v>
      </c>
      <c r="C824" s="1" t="n">
        <v>45992</v>
      </c>
      <c r="D824" t="inlineStr">
        <is>
          <t>VÄSTERNORRLANDS LÄN</t>
        </is>
      </c>
      <c r="E824" t="inlineStr">
        <is>
          <t>ÅNGE</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53512-2023</t>
        </is>
      </c>
      <c r="B825" s="1" t="n">
        <v>45230</v>
      </c>
      <c r="C825" s="1" t="n">
        <v>45992</v>
      </c>
      <c r="D825" t="inlineStr">
        <is>
          <t>VÄSTERNORRLANDS LÄN</t>
        </is>
      </c>
      <c r="E825" t="inlineStr">
        <is>
          <t>ÅNGE</t>
        </is>
      </c>
      <c r="F825" t="inlineStr">
        <is>
          <t>Holmen skog AB</t>
        </is>
      </c>
      <c r="G825" t="n">
        <v>3</v>
      </c>
      <c r="H825" t="n">
        <v>0</v>
      </c>
      <c r="I825" t="n">
        <v>0</v>
      </c>
      <c r="J825" t="n">
        <v>0</v>
      </c>
      <c r="K825" t="n">
        <v>0</v>
      </c>
      <c r="L825" t="n">
        <v>0</v>
      </c>
      <c r="M825" t="n">
        <v>0</v>
      </c>
      <c r="N825" t="n">
        <v>0</v>
      </c>
      <c r="O825" t="n">
        <v>0</v>
      </c>
      <c r="P825" t="n">
        <v>0</v>
      </c>
      <c r="Q825" t="n">
        <v>0</v>
      </c>
      <c r="R825" s="2" t="inlineStr"/>
    </row>
    <row r="826" ht="15" customHeight="1">
      <c r="A826" t="inlineStr">
        <is>
          <t>A 37558-2023</t>
        </is>
      </c>
      <c r="B826" s="1" t="n">
        <v>45159.34511574074</v>
      </c>
      <c r="C826" s="1" t="n">
        <v>45992</v>
      </c>
      <c r="D826" t="inlineStr">
        <is>
          <t>VÄSTERNORRLANDS LÄN</t>
        </is>
      </c>
      <c r="E826" t="inlineStr">
        <is>
          <t>ÅNGE</t>
        </is>
      </c>
      <c r="F826" t="inlineStr">
        <is>
          <t>Kyrkan</t>
        </is>
      </c>
      <c r="G826" t="n">
        <v>5.6</v>
      </c>
      <c r="H826" t="n">
        <v>0</v>
      </c>
      <c r="I826" t="n">
        <v>0</v>
      </c>
      <c r="J826" t="n">
        <v>0</v>
      </c>
      <c r="K826" t="n">
        <v>0</v>
      </c>
      <c r="L826" t="n">
        <v>0</v>
      </c>
      <c r="M826" t="n">
        <v>0</v>
      </c>
      <c r="N826" t="n">
        <v>0</v>
      </c>
      <c r="O826" t="n">
        <v>0</v>
      </c>
      <c r="P826" t="n">
        <v>0</v>
      </c>
      <c r="Q826" t="n">
        <v>0</v>
      </c>
      <c r="R826" s="2" t="inlineStr"/>
    </row>
    <row r="827" ht="15" customHeight="1">
      <c r="A827" t="inlineStr">
        <is>
          <t>A 36456-2025</t>
        </is>
      </c>
      <c r="B827" s="1" t="n">
        <v>45869.44827546296</v>
      </c>
      <c r="C827" s="1" t="n">
        <v>45992</v>
      </c>
      <c r="D827" t="inlineStr">
        <is>
          <t>VÄSTERNORRLANDS LÄN</t>
        </is>
      </c>
      <c r="E827" t="inlineStr">
        <is>
          <t>ÅNGE</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45992</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46111-2025</t>
        </is>
      </c>
      <c r="B829" s="1" t="n">
        <v>45924.56684027778</v>
      </c>
      <c r="C829" s="1" t="n">
        <v>45992</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37045-2025</t>
        </is>
      </c>
      <c r="B830" s="1" t="n">
        <v>45875.34451388889</v>
      </c>
      <c r="C830" s="1" t="n">
        <v>45992</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37047-2025</t>
        </is>
      </c>
      <c r="B831" s="1" t="n">
        <v>45875.34489583333</v>
      </c>
      <c r="C831" s="1" t="n">
        <v>45992</v>
      </c>
      <c r="D831" t="inlineStr">
        <is>
          <t>VÄSTERNORRLANDS LÄN</t>
        </is>
      </c>
      <c r="E831" t="inlineStr">
        <is>
          <t>ÅNGE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58774-2023</t>
        </is>
      </c>
      <c r="B832" s="1" t="n">
        <v>45251</v>
      </c>
      <c r="C832" s="1" t="n">
        <v>45992</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21089-2024</t>
        </is>
      </c>
      <c r="B833" s="1" t="n">
        <v>45439.94987268518</v>
      </c>
      <c r="C833" s="1" t="n">
        <v>45992</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21151-2024</t>
        </is>
      </c>
      <c r="B834" s="1" t="n">
        <v>45440</v>
      </c>
      <c r="C834" s="1" t="n">
        <v>45992</v>
      </c>
      <c r="D834" t="inlineStr">
        <is>
          <t>VÄSTERNORRLANDS LÄN</t>
        </is>
      </c>
      <c r="E834" t="inlineStr">
        <is>
          <t>ÅNGE</t>
        </is>
      </c>
      <c r="G834" t="n">
        <v>3.7</v>
      </c>
      <c r="H834" t="n">
        <v>0</v>
      </c>
      <c r="I834" t="n">
        <v>0</v>
      </c>
      <c r="J834" t="n">
        <v>0</v>
      </c>
      <c r="K834" t="n">
        <v>0</v>
      </c>
      <c r="L834" t="n">
        <v>0</v>
      </c>
      <c r="M834" t="n">
        <v>0</v>
      </c>
      <c r="N834" t="n">
        <v>0</v>
      </c>
      <c r="O834" t="n">
        <v>0</v>
      </c>
      <c r="P834" t="n">
        <v>0</v>
      </c>
      <c r="Q834" t="n">
        <v>0</v>
      </c>
      <c r="R834" s="2" t="inlineStr"/>
    </row>
    <row r="835" ht="15" customHeight="1">
      <c r="A835" t="inlineStr">
        <is>
          <t>A 37108-2025</t>
        </is>
      </c>
      <c r="B835" s="1" t="n">
        <v>45875</v>
      </c>
      <c r="C835" s="1" t="n">
        <v>45992</v>
      </c>
      <c r="D835" t="inlineStr">
        <is>
          <t>VÄSTERNORRLANDS LÄN</t>
        </is>
      </c>
      <c r="E835" t="inlineStr">
        <is>
          <t>ÅNGE</t>
        </is>
      </c>
      <c r="G835" t="n">
        <v>4</v>
      </c>
      <c r="H835" t="n">
        <v>0</v>
      </c>
      <c r="I835" t="n">
        <v>0</v>
      </c>
      <c r="J835" t="n">
        <v>0</v>
      </c>
      <c r="K835" t="n">
        <v>0</v>
      </c>
      <c r="L835" t="n">
        <v>0</v>
      </c>
      <c r="M835" t="n">
        <v>0</v>
      </c>
      <c r="N835" t="n">
        <v>0</v>
      </c>
      <c r="O835" t="n">
        <v>0</v>
      </c>
      <c r="P835" t="n">
        <v>0</v>
      </c>
      <c r="Q835" t="n">
        <v>0</v>
      </c>
      <c r="R835" s="2" t="inlineStr"/>
    </row>
    <row r="836" ht="15" customHeight="1">
      <c r="A836" t="inlineStr">
        <is>
          <t>A 46267-2025</t>
        </is>
      </c>
      <c r="B836" s="1" t="n">
        <v>45925.36578703704</v>
      </c>
      <c r="C836" s="1" t="n">
        <v>45992</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17923-2025</t>
        </is>
      </c>
      <c r="B837" s="1" t="n">
        <v>45759.34415509259</v>
      </c>
      <c r="C837" s="1" t="n">
        <v>45992</v>
      </c>
      <c r="D837" t="inlineStr">
        <is>
          <t>VÄSTERNORRLANDS LÄN</t>
        </is>
      </c>
      <c r="E837" t="inlineStr">
        <is>
          <t>ÅNGE</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45992</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54702-2025</t>
        </is>
      </c>
      <c r="B839" s="1" t="n">
        <v>45966.4828587963</v>
      </c>
      <c r="C839" s="1" t="n">
        <v>45992</v>
      </c>
      <c r="D839" t="inlineStr">
        <is>
          <t>VÄSTERNORRLANDS LÄN</t>
        </is>
      </c>
      <c r="E839" t="inlineStr">
        <is>
          <t>ÅNGE</t>
        </is>
      </c>
      <c r="G839" t="n">
        <v>12.3</v>
      </c>
      <c r="H839" t="n">
        <v>0</v>
      </c>
      <c r="I839" t="n">
        <v>0</v>
      </c>
      <c r="J839" t="n">
        <v>0</v>
      </c>
      <c r="K839" t="n">
        <v>0</v>
      </c>
      <c r="L839" t="n">
        <v>0</v>
      </c>
      <c r="M839" t="n">
        <v>0</v>
      </c>
      <c r="N839" t="n">
        <v>0</v>
      </c>
      <c r="O839" t="n">
        <v>0</v>
      </c>
      <c r="P839" t="n">
        <v>0</v>
      </c>
      <c r="Q839" t="n">
        <v>0</v>
      </c>
      <c r="R839" s="2" t="inlineStr"/>
    </row>
    <row r="840" ht="15" customHeight="1">
      <c r="A840" t="inlineStr">
        <is>
          <t>A 54710-2025</t>
        </is>
      </c>
      <c r="B840" s="1" t="n">
        <v>45966.49515046296</v>
      </c>
      <c r="C840" s="1" t="n">
        <v>45992</v>
      </c>
      <c r="D840" t="inlineStr">
        <is>
          <t>VÄSTERNORRLANDS LÄN</t>
        </is>
      </c>
      <c r="E840" t="inlineStr">
        <is>
          <t>ÅNGE</t>
        </is>
      </c>
      <c r="G840" t="n">
        <v>1.7</v>
      </c>
      <c r="H840" t="n">
        <v>0</v>
      </c>
      <c r="I840" t="n">
        <v>0</v>
      </c>
      <c r="J840" t="n">
        <v>0</v>
      </c>
      <c r="K840" t="n">
        <v>0</v>
      </c>
      <c r="L840" t="n">
        <v>0</v>
      </c>
      <c r="M840" t="n">
        <v>0</v>
      </c>
      <c r="N840" t="n">
        <v>0</v>
      </c>
      <c r="O840" t="n">
        <v>0</v>
      </c>
      <c r="P840" t="n">
        <v>0</v>
      </c>
      <c r="Q840" t="n">
        <v>0</v>
      </c>
      <c r="R840" s="2" t="inlineStr"/>
    </row>
    <row r="841" ht="15" customHeight="1">
      <c r="A841" t="inlineStr">
        <is>
          <t>A 46416-2025</t>
        </is>
      </c>
      <c r="B841" s="1" t="n">
        <v>45925.594375</v>
      </c>
      <c r="C841" s="1" t="n">
        <v>45992</v>
      </c>
      <c r="D841" t="inlineStr">
        <is>
          <t>VÄSTERNORRLANDS LÄN</t>
        </is>
      </c>
      <c r="E841" t="inlineStr">
        <is>
          <t>ÅNGE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36249-2025</t>
        </is>
      </c>
      <c r="B842" s="1" t="n">
        <v>45867</v>
      </c>
      <c r="C842" s="1" t="n">
        <v>45992</v>
      </c>
      <c r="D842" t="inlineStr">
        <is>
          <t>VÄSTERNORRLANDS LÄN</t>
        </is>
      </c>
      <c r="E842" t="inlineStr">
        <is>
          <t>ÅNGE</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37177-2025</t>
        </is>
      </c>
      <c r="B843" s="1" t="n">
        <v>45875.61539351852</v>
      </c>
      <c r="C843" s="1" t="n">
        <v>45992</v>
      </c>
      <c r="D843" t="inlineStr">
        <is>
          <t>VÄSTERNORRLANDS LÄN</t>
        </is>
      </c>
      <c r="E843" t="inlineStr">
        <is>
          <t>ÅNGE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54713-2025</t>
        </is>
      </c>
      <c r="B844" s="1" t="n">
        <v>45966.50446759259</v>
      </c>
      <c r="C844" s="1" t="n">
        <v>45992</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55049-2025</t>
        </is>
      </c>
      <c r="B845" s="1" t="n">
        <v>45967.66614583333</v>
      </c>
      <c r="C845" s="1" t="n">
        <v>45992</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37275-2025</t>
        </is>
      </c>
      <c r="B846" s="1" t="n">
        <v>45876.49003472222</v>
      </c>
      <c r="C846" s="1" t="n">
        <v>45992</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37303-2025</t>
        </is>
      </c>
      <c r="B847" s="1" t="n">
        <v>45876.59445601852</v>
      </c>
      <c r="C847" s="1" t="n">
        <v>45992</v>
      </c>
      <c r="D847" t="inlineStr">
        <is>
          <t>VÄSTERNORRLANDS LÄN</t>
        </is>
      </c>
      <c r="E847" t="inlineStr">
        <is>
          <t>ÅNGE</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45992</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46109-2025</t>
        </is>
      </c>
      <c r="B849" s="1" t="n">
        <v>45924.5596412037</v>
      </c>
      <c r="C849" s="1" t="n">
        <v>45992</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45970-2025</t>
        </is>
      </c>
      <c r="B850" s="1" t="n">
        <v>45924.36519675926</v>
      </c>
      <c r="C850" s="1" t="n">
        <v>45992</v>
      </c>
      <c r="D850" t="inlineStr">
        <is>
          <t>VÄSTERNORRLANDS LÄN</t>
        </is>
      </c>
      <c r="E850" t="inlineStr">
        <is>
          <t>ÅNGE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37233-2025</t>
        </is>
      </c>
      <c r="B851" s="1" t="n">
        <v>45876.34474537037</v>
      </c>
      <c r="C851" s="1" t="n">
        <v>45992</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60363-2024</t>
        </is>
      </c>
      <c r="B852" s="1" t="n">
        <v>45643</v>
      </c>
      <c r="C852" s="1" t="n">
        <v>45992</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15369-2024</t>
        </is>
      </c>
      <c r="B853" s="1" t="n">
        <v>45400.92290509259</v>
      </c>
      <c r="C853" s="1" t="n">
        <v>45992</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26010-2024</t>
        </is>
      </c>
      <c r="B854" s="1" t="n">
        <v>45467.95819444444</v>
      </c>
      <c r="C854" s="1" t="n">
        <v>45992</v>
      </c>
      <c r="D854" t="inlineStr">
        <is>
          <t>VÄSTERNORRLANDS LÄN</t>
        </is>
      </c>
      <c r="E854" t="inlineStr">
        <is>
          <t>ÅNGE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37384-2025</t>
        </is>
      </c>
      <c r="B855" s="1" t="n">
        <v>45877.3859837963</v>
      </c>
      <c r="C855" s="1" t="n">
        <v>45992</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54197-2025</t>
        </is>
      </c>
      <c r="B856" s="1" t="n">
        <v>45964</v>
      </c>
      <c r="C856" s="1" t="n">
        <v>45992</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52785-2024</t>
        </is>
      </c>
      <c r="B857" s="1" t="n">
        <v>45610.55273148148</v>
      </c>
      <c r="C857" s="1" t="n">
        <v>45992</v>
      </c>
      <c r="D857" t="inlineStr">
        <is>
          <t>VÄSTERNORRLANDS LÄN</t>
        </is>
      </c>
      <c r="E857" t="inlineStr">
        <is>
          <t>ÅNGE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52786-2024</t>
        </is>
      </c>
      <c r="B858" s="1" t="n">
        <v>45610.55283564814</v>
      </c>
      <c r="C858" s="1" t="n">
        <v>45992</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46254-2023</t>
        </is>
      </c>
      <c r="B859" s="1" t="n">
        <v>45196</v>
      </c>
      <c r="C859" s="1" t="n">
        <v>45992</v>
      </c>
      <c r="D859" t="inlineStr">
        <is>
          <t>VÄSTERNORRLANDS LÄN</t>
        </is>
      </c>
      <c r="E859" t="inlineStr">
        <is>
          <t>ÅNGE</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46262-2023</t>
        </is>
      </c>
      <c r="B860" s="1" t="n">
        <v>45196.93855324074</v>
      </c>
      <c r="C860" s="1" t="n">
        <v>45992</v>
      </c>
      <c r="D860" t="inlineStr">
        <is>
          <t>VÄSTERNORRLANDS LÄN</t>
        </is>
      </c>
      <c r="E860" t="inlineStr">
        <is>
          <t>ÅNGE</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37371-2025</t>
        </is>
      </c>
      <c r="B861" s="1" t="n">
        <v>45877.34472222222</v>
      </c>
      <c r="C861" s="1" t="n">
        <v>45992</v>
      </c>
      <c r="D861" t="inlineStr">
        <is>
          <t>VÄSTERNORRLANDS LÄN</t>
        </is>
      </c>
      <c r="E861" t="inlineStr">
        <is>
          <t>ÅNGE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46933-2025</t>
        </is>
      </c>
      <c r="B862" s="1" t="n">
        <v>45929.44645833333</v>
      </c>
      <c r="C862" s="1" t="n">
        <v>45992</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37383-2025</t>
        </is>
      </c>
      <c r="B863" s="1" t="n">
        <v>45877.38581018519</v>
      </c>
      <c r="C863" s="1" t="n">
        <v>45992</v>
      </c>
      <c r="D863" t="inlineStr">
        <is>
          <t>VÄSTERNORRLANDS LÄN</t>
        </is>
      </c>
      <c r="E863" t="inlineStr">
        <is>
          <t>ÅNGE</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37719-2025</t>
        </is>
      </c>
      <c r="B864" s="1" t="n">
        <v>45880.61505787037</v>
      </c>
      <c r="C864" s="1" t="n">
        <v>45992</v>
      </c>
      <c r="D864" t="inlineStr">
        <is>
          <t>VÄSTERNORRLANDS LÄN</t>
        </is>
      </c>
      <c r="E864" t="inlineStr">
        <is>
          <t>ÅNGE</t>
        </is>
      </c>
      <c r="G864" t="n">
        <v>1.7</v>
      </c>
      <c r="H864" t="n">
        <v>0</v>
      </c>
      <c r="I864" t="n">
        <v>0</v>
      </c>
      <c r="J864" t="n">
        <v>0</v>
      </c>
      <c r="K864" t="n">
        <v>0</v>
      </c>
      <c r="L864" t="n">
        <v>0</v>
      </c>
      <c r="M864" t="n">
        <v>0</v>
      </c>
      <c r="N864" t="n">
        <v>0</v>
      </c>
      <c r="O864" t="n">
        <v>0</v>
      </c>
      <c r="P864" t="n">
        <v>0</v>
      </c>
      <c r="Q864" t="n">
        <v>0</v>
      </c>
      <c r="R864" s="2" t="inlineStr"/>
    </row>
    <row r="865" ht="15" customHeight="1">
      <c r="A865" t="inlineStr">
        <is>
          <t>A 55556-2025</t>
        </is>
      </c>
      <c r="B865" s="1" t="n">
        <v>45971.64694444444</v>
      </c>
      <c r="C865" s="1" t="n">
        <v>45992</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48725-2024</t>
        </is>
      </c>
      <c r="B866" s="1" t="n">
        <v>45593.55793981482</v>
      </c>
      <c r="C866" s="1" t="n">
        <v>45992</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46897-2025</t>
        </is>
      </c>
      <c r="B867" s="1" t="n">
        <v>45929.38597222222</v>
      </c>
      <c r="C867" s="1" t="n">
        <v>45992</v>
      </c>
      <c r="D867" t="inlineStr">
        <is>
          <t>VÄSTERNORRLANDS LÄN</t>
        </is>
      </c>
      <c r="E867" t="inlineStr">
        <is>
          <t>ÅNGE</t>
        </is>
      </c>
      <c r="G867" t="n">
        <v>10.6</v>
      </c>
      <c r="H867" t="n">
        <v>0</v>
      </c>
      <c r="I867" t="n">
        <v>0</v>
      </c>
      <c r="J867" t="n">
        <v>0</v>
      </c>
      <c r="K867" t="n">
        <v>0</v>
      </c>
      <c r="L867" t="n">
        <v>0</v>
      </c>
      <c r="M867" t="n">
        <v>0</v>
      </c>
      <c r="N867" t="n">
        <v>0</v>
      </c>
      <c r="O867" t="n">
        <v>0</v>
      </c>
      <c r="P867" t="n">
        <v>0</v>
      </c>
      <c r="Q867" t="n">
        <v>0</v>
      </c>
      <c r="R867" s="2" t="inlineStr"/>
    </row>
    <row r="868" ht="15" customHeight="1">
      <c r="A868" t="inlineStr">
        <is>
          <t>A 37663-2025</t>
        </is>
      </c>
      <c r="B868" s="1" t="n">
        <v>45880.51079861111</v>
      </c>
      <c r="C868" s="1" t="n">
        <v>45992</v>
      </c>
      <c r="D868" t="inlineStr">
        <is>
          <t>VÄSTERNORRLANDS LÄN</t>
        </is>
      </c>
      <c r="E868" t="inlineStr">
        <is>
          <t>ÅNGE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37723-2025</t>
        </is>
      </c>
      <c r="B869" s="1" t="n">
        <v>45880.61528935185</v>
      </c>
      <c r="C869" s="1" t="n">
        <v>45992</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34726-2024</t>
        </is>
      </c>
      <c r="B870" s="1" t="n">
        <v>45526.5733912037</v>
      </c>
      <c r="C870" s="1" t="n">
        <v>45992</v>
      </c>
      <c r="D870" t="inlineStr">
        <is>
          <t>VÄSTERNORRLANDS LÄN</t>
        </is>
      </c>
      <c r="E870" t="inlineStr">
        <is>
          <t>ÅNGE</t>
        </is>
      </c>
      <c r="G870" t="n">
        <v>1.9</v>
      </c>
      <c r="H870" t="n">
        <v>0</v>
      </c>
      <c r="I870" t="n">
        <v>0</v>
      </c>
      <c r="J870" t="n">
        <v>0</v>
      </c>
      <c r="K870" t="n">
        <v>0</v>
      </c>
      <c r="L870" t="n">
        <v>0</v>
      </c>
      <c r="M870" t="n">
        <v>0</v>
      </c>
      <c r="N870" t="n">
        <v>0</v>
      </c>
      <c r="O870" t="n">
        <v>0</v>
      </c>
      <c r="P870" t="n">
        <v>0</v>
      </c>
      <c r="Q870" t="n">
        <v>0</v>
      </c>
      <c r="R870" s="2" t="inlineStr"/>
    </row>
    <row r="871" ht="15" customHeight="1">
      <c r="A871" t="inlineStr">
        <is>
          <t>A 39619-2024</t>
        </is>
      </c>
      <c r="B871" s="1" t="n">
        <v>45552</v>
      </c>
      <c r="C871" s="1" t="n">
        <v>45992</v>
      </c>
      <c r="D871" t="inlineStr">
        <is>
          <t>VÄSTERNORRLANDS LÄN</t>
        </is>
      </c>
      <c r="E871" t="inlineStr">
        <is>
          <t>ÅNGE</t>
        </is>
      </c>
      <c r="G871" t="n">
        <v>0.5</v>
      </c>
      <c r="H871" t="n">
        <v>0</v>
      </c>
      <c r="I871" t="n">
        <v>0</v>
      </c>
      <c r="J871" t="n">
        <v>0</v>
      </c>
      <c r="K871" t="n">
        <v>0</v>
      </c>
      <c r="L871" t="n">
        <v>0</v>
      </c>
      <c r="M871" t="n">
        <v>0</v>
      </c>
      <c r="N871" t="n">
        <v>0</v>
      </c>
      <c r="O871" t="n">
        <v>0</v>
      </c>
      <c r="P871" t="n">
        <v>0</v>
      </c>
      <c r="Q871" t="n">
        <v>0</v>
      </c>
      <c r="R871" s="2" t="inlineStr"/>
    </row>
    <row r="872" ht="15" customHeight="1">
      <c r="A872" t="inlineStr">
        <is>
          <t>A 37051-2021</t>
        </is>
      </c>
      <c r="B872" s="1" t="n">
        <v>44393</v>
      </c>
      <c r="C872" s="1" t="n">
        <v>45992</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5613-2024</t>
        </is>
      </c>
      <c r="B873" s="1" t="n">
        <v>45334</v>
      </c>
      <c r="C873" s="1" t="n">
        <v>45992</v>
      </c>
      <c r="D873" t="inlineStr">
        <is>
          <t>VÄSTERNORRLANDS LÄN</t>
        </is>
      </c>
      <c r="E873" t="inlineStr">
        <is>
          <t>ÅNGE</t>
        </is>
      </c>
      <c r="G873" t="n">
        <v>0.4</v>
      </c>
      <c r="H873" t="n">
        <v>0</v>
      </c>
      <c r="I873" t="n">
        <v>0</v>
      </c>
      <c r="J873" t="n">
        <v>0</v>
      </c>
      <c r="K873" t="n">
        <v>0</v>
      </c>
      <c r="L873" t="n">
        <v>0</v>
      </c>
      <c r="M873" t="n">
        <v>0</v>
      </c>
      <c r="N873" t="n">
        <v>0</v>
      </c>
      <c r="O873" t="n">
        <v>0</v>
      </c>
      <c r="P873" t="n">
        <v>0</v>
      </c>
      <c r="Q873" t="n">
        <v>0</v>
      </c>
      <c r="R873" s="2" t="inlineStr"/>
    </row>
    <row r="874" ht="15" customHeight="1">
      <c r="A874" t="inlineStr">
        <is>
          <t>A 61928-2021</t>
        </is>
      </c>
      <c r="B874" s="1" t="n">
        <v>44502.38475694445</v>
      </c>
      <c r="C874" s="1" t="n">
        <v>45992</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5367-2022</t>
        </is>
      </c>
      <c r="B875" s="1" t="n">
        <v>44594.92111111111</v>
      </c>
      <c r="C875" s="1" t="n">
        <v>45992</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54429-2024</t>
        </is>
      </c>
      <c r="B876" s="1" t="n">
        <v>45617.49087962963</v>
      </c>
      <c r="C876" s="1" t="n">
        <v>45992</v>
      </c>
      <c r="D876" t="inlineStr">
        <is>
          <t>VÄSTERNORRLANDS LÄN</t>
        </is>
      </c>
      <c r="E876" t="inlineStr">
        <is>
          <t>ÅNGE</t>
        </is>
      </c>
      <c r="G876" t="n">
        <v>0.6</v>
      </c>
      <c r="H876" t="n">
        <v>0</v>
      </c>
      <c r="I876" t="n">
        <v>0</v>
      </c>
      <c r="J876" t="n">
        <v>0</v>
      </c>
      <c r="K876" t="n">
        <v>0</v>
      </c>
      <c r="L876" t="n">
        <v>0</v>
      </c>
      <c r="M876" t="n">
        <v>0</v>
      </c>
      <c r="N876" t="n">
        <v>0</v>
      </c>
      <c r="O876" t="n">
        <v>0</v>
      </c>
      <c r="P876" t="n">
        <v>0</v>
      </c>
      <c r="Q876" t="n">
        <v>0</v>
      </c>
      <c r="R876" s="2" t="inlineStr"/>
    </row>
    <row r="877" ht="15" customHeight="1">
      <c r="A877" t="inlineStr">
        <is>
          <t>A 20110-2023</t>
        </is>
      </c>
      <c r="B877" s="1" t="n">
        <v>45051</v>
      </c>
      <c r="C877" s="1" t="n">
        <v>45992</v>
      </c>
      <c r="D877" t="inlineStr">
        <is>
          <t>VÄSTERNORRLANDS LÄN</t>
        </is>
      </c>
      <c r="E877" t="inlineStr">
        <is>
          <t>ÅNGE</t>
        </is>
      </c>
      <c r="G877" t="n">
        <v>2.5</v>
      </c>
      <c r="H877" t="n">
        <v>0</v>
      </c>
      <c r="I877" t="n">
        <v>0</v>
      </c>
      <c r="J877" t="n">
        <v>0</v>
      </c>
      <c r="K877" t="n">
        <v>0</v>
      </c>
      <c r="L877" t="n">
        <v>0</v>
      </c>
      <c r="M877" t="n">
        <v>0</v>
      </c>
      <c r="N877" t="n">
        <v>0</v>
      </c>
      <c r="O877" t="n">
        <v>0</v>
      </c>
      <c r="P877" t="n">
        <v>0</v>
      </c>
      <c r="Q877" t="n">
        <v>0</v>
      </c>
      <c r="R877" s="2" t="inlineStr"/>
    </row>
    <row r="878" ht="15" customHeight="1">
      <c r="A878" t="inlineStr">
        <is>
          <t>A 38078-2025</t>
        </is>
      </c>
      <c r="B878" s="1" t="n">
        <v>45882.46918981482</v>
      </c>
      <c r="C878" s="1" t="n">
        <v>45992</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24293-2023</t>
        </is>
      </c>
      <c r="B879" s="1" t="n">
        <v>45079.92756944444</v>
      </c>
      <c r="C879" s="1" t="n">
        <v>45992</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361-2025</t>
        </is>
      </c>
      <c r="B880" s="1" t="n">
        <v>45660</v>
      </c>
      <c r="C880" s="1" t="n">
        <v>45992</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39985-2023</t>
        </is>
      </c>
      <c r="B881" s="1" t="n">
        <v>45168</v>
      </c>
      <c r="C881" s="1" t="n">
        <v>45992</v>
      </c>
      <c r="D881" t="inlineStr">
        <is>
          <t>VÄSTERNORRLANDS LÄN</t>
        </is>
      </c>
      <c r="E881" t="inlineStr">
        <is>
          <t>ÅNGE</t>
        </is>
      </c>
      <c r="G881" t="n">
        <v>0.1</v>
      </c>
      <c r="H881" t="n">
        <v>0</v>
      </c>
      <c r="I881" t="n">
        <v>0</v>
      </c>
      <c r="J881" t="n">
        <v>0</v>
      </c>
      <c r="K881" t="n">
        <v>0</v>
      </c>
      <c r="L881" t="n">
        <v>0</v>
      </c>
      <c r="M881" t="n">
        <v>0</v>
      </c>
      <c r="N881" t="n">
        <v>0</v>
      </c>
      <c r="O881" t="n">
        <v>0</v>
      </c>
      <c r="P881" t="n">
        <v>0</v>
      </c>
      <c r="Q881" t="n">
        <v>0</v>
      </c>
      <c r="R881" s="2" t="inlineStr"/>
    </row>
    <row r="882" ht="15" customHeight="1">
      <c r="A882" t="inlineStr">
        <is>
          <t>A 38332-2025</t>
        </is>
      </c>
      <c r="B882" s="1" t="n">
        <v>45883.49151620371</v>
      </c>
      <c r="C882" s="1" t="n">
        <v>45992</v>
      </c>
      <c r="D882" t="inlineStr">
        <is>
          <t>VÄSTERNORRLANDS LÄN</t>
        </is>
      </c>
      <c r="E882" t="inlineStr">
        <is>
          <t>ÅNGE</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38386-2025</t>
        </is>
      </c>
      <c r="B883" s="1" t="n">
        <v>45883.57430555556</v>
      </c>
      <c r="C883" s="1" t="n">
        <v>45992</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38283-2025</t>
        </is>
      </c>
      <c r="B884" s="1" t="n">
        <v>45883.42740740741</v>
      </c>
      <c r="C884" s="1" t="n">
        <v>45992</v>
      </c>
      <c r="D884" t="inlineStr">
        <is>
          <t>VÄSTERNORRLANDS LÄN</t>
        </is>
      </c>
      <c r="E884" t="inlineStr">
        <is>
          <t>ÅNGE</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49945-2023</t>
        </is>
      </c>
      <c r="B885" s="1" t="n">
        <v>45215.3625462963</v>
      </c>
      <c r="C885" s="1" t="n">
        <v>45992</v>
      </c>
      <c r="D885" t="inlineStr">
        <is>
          <t>VÄSTERNORRLANDS LÄN</t>
        </is>
      </c>
      <c r="E885" t="inlineStr">
        <is>
          <t>ÅNGE</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1420-2023</t>
        </is>
      </c>
      <c r="B886" s="1" t="n">
        <v>44936.92762731481</v>
      </c>
      <c r="C886" s="1" t="n">
        <v>45992</v>
      </c>
      <c r="D886" t="inlineStr">
        <is>
          <t>VÄSTERNORRLANDS LÄN</t>
        </is>
      </c>
      <c r="E886" t="inlineStr">
        <is>
          <t>ÅNGE</t>
        </is>
      </c>
      <c r="G886" t="n">
        <v>3.7</v>
      </c>
      <c r="H886" t="n">
        <v>0</v>
      </c>
      <c r="I886" t="n">
        <v>0</v>
      </c>
      <c r="J886" t="n">
        <v>0</v>
      </c>
      <c r="K886" t="n">
        <v>0</v>
      </c>
      <c r="L886" t="n">
        <v>0</v>
      </c>
      <c r="M886" t="n">
        <v>0</v>
      </c>
      <c r="N886" t="n">
        <v>0</v>
      </c>
      <c r="O886" t="n">
        <v>0</v>
      </c>
      <c r="P886" t="n">
        <v>0</v>
      </c>
      <c r="Q886" t="n">
        <v>0</v>
      </c>
      <c r="R886" s="2" t="inlineStr"/>
    </row>
    <row r="887" ht="15" customHeight="1">
      <c r="A887" t="inlineStr">
        <is>
          <t>A 34691-2024</t>
        </is>
      </c>
      <c r="B887" s="1" t="n">
        <v>45526.54516203704</v>
      </c>
      <c r="C887" s="1" t="n">
        <v>45992</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37919-2025</t>
        </is>
      </c>
      <c r="B888" s="1" t="n">
        <v>45881.57478009259</v>
      </c>
      <c r="C888" s="1" t="n">
        <v>45992</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55160-2025</t>
        </is>
      </c>
      <c r="B889" s="1" t="n">
        <v>45968.46930555555</v>
      </c>
      <c r="C889" s="1" t="n">
        <v>45992</v>
      </c>
      <c r="D889" t="inlineStr">
        <is>
          <t>VÄSTERNORRLANDS LÄN</t>
        </is>
      </c>
      <c r="E889" t="inlineStr">
        <is>
          <t>ÅNGE</t>
        </is>
      </c>
      <c r="G889" t="n">
        <v>6.8</v>
      </c>
      <c r="H889" t="n">
        <v>0</v>
      </c>
      <c r="I889" t="n">
        <v>0</v>
      </c>
      <c r="J889" t="n">
        <v>0</v>
      </c>
      <c r="K889" t="n">
        <v>0</v>
      </c>
      <c r="L889" t="n">
        <v>0</v>
      </c>
      <c r="M889" t="n">
        <v>0</v>
      </c>
      <c r="N889" t="n">
        <v>0</v>
      </c>
      <c r="O889" t="n">
        <v>0</v>
      </c>
      <c r="P889" t="n">
        <v>0</v>
      </c>
      <c r="Q889" t="n">
        <v>0</v>
      </c>
      <c r="R889" s="2" t="inlineStr"/>
    </row>
    <row r="890" ht="15" customHeight="1">
      <c r="A890" t="inlineStr">
        <is>
          <t>A 15791-2025</t>
        </is>
      </c>
      <c r="B890" s="1" t="n">
        <v>45748.631875</v>
      </c>
      <c r="C890" s="1" t="n">
        <v>45992</v>
      </c>
      <c r="D890" t="inlineStr">
        <is>
          <t>VÄSTERNORRLANDS LÄN</t>
        </is>
      </c>
      <c r="E890" t="inlineStr">
        <is>
          <t>ÅNGE</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54585-2024</t>
        </is>
      </c>
      <c r="B891" s="1" t="n">
        <v>45617.65762731482</v>
      </c>
      <c r="C891" s="1" t="n">
        <v>45992</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37802-2025</t>
        </is>
      </c>
      <c r="B892" s="1" t="n">
        <v>45881.34447916667</v>
      </c>
      <c r="C892" s="1" t="n">
        <v>45992</v>
      </c>
      <c r="D892" t="inlineStr">
        <is>
          <t>VÄSTERNORRLANDS LÄN</t>
        </is>
      </c>
      <c r="E892" t="inlineStr">
        <is>
          <t>ÅNGE</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38273-2025</t>
        </is>
      </c>
      <c r="B893" s="1" t="n">
        <v>45883.40740740741</v>
      </c>
      <c r="C893" s="1" t="n">
        <v>45992</v>
      </c>
      <c r="D893" t="inlineStr">
        <is>
          <t>VÄSTERNORRLANDS LÄN</t>
        </is>
      </c>
      <c r="E893" t="inlineStr">
        <is>
          <t>ÅNGE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17452-2025</t>
        </is>
      </c>
      <c r="B894" s="1" t="n">
        <v>45757.44842592593</v>
      </c>
      <c r="C894" s="1" t="n">
        <v>45992</v>
      </c>
      <c r="D894" t="inlineStr">
        <is>
          <t>VÄSTERNORRLANDS LÄN</t>
        </is>
      </c>
      <c r="E894" t="inlineStr">
        <is>
          <t>ÅNGE</t>
        </is>
      </c>
      <c r="F894" t="inlineStr">
        <is>
          <t>SCA</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46829-2025</t>
        </is>
      </c>
      <c r="B895" s="1" t="n">
        <v>45927.34513888889</v>
      </c>
      <c r="C895" s="1" t="n">
        <v>45992</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47118-2025</t>
        </is>
      </c>
      <c r="B896" s="1" t="n">
        <v>45929.67770833334</v>
      </c>
      <c r="C896" s="1" t="n">
        <v>45992</v>
      </c>
      <c r="D896" t="inlineStr">
        <is>
          <t>VÄSTERNORRLANDS LÄN</t>
        </is>
      </c>
      <c r="E896" t="inlineStr">
        <is>
          <t>ÅNGE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3966-2025</t>
        </is>
      </c>
      <c r="B897" s="1" t="n">
        <v>45684.51072916666</v>
      </c>
      <c r="C897" s="1" t="n">
        <v>45992</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57526-2024</t>
        </is>
      </c>
      <c r="B898" s="1" t="n">
        <v>45630</v>
      </c>
      <c r="C898" s="1" t="n">
        <v>45992</v>
      </c>
      <c r="D898" t="inlineStr">
        <is>
          <t>VÄSTERNORRLANDS LÄN</t>
        </is>
      </c>
      <c r="E898" t="inlineStr">
        <is>
          <t>ÅNGE</t>
        </is>
      </c>
      <c r="G898" t="n">
        <v>3.2</v>
      </c>
      <c r="H898" t="n">
        <v>0</v>
      </c>
      <c r="I898" t="n">
        <v>0</v>
      </c>
      <c r="J898" t="n">
        <v>0</v>
      </c>
      <c r="K898" t="n">
        <v>0</v>
      </c>
      <c r="L898" t="n">
        <v>0</v>
      </c>
      <c r="M898" t="n">
        <v>0</v>
      </c>
      <c r="N898" t="n">
        <v>0</v>
      </c>
      <c r="O898" t="n">
        <v>0</v>
      </c>
      <c r="P898" t="n">
        <v>0</v>
      </c>
      <c r="Q898" t="n">
        <v>0</v>
      </c>
      <c r="R898" s="2" t="inlineStr"/>
    </row>
    <row r="899" ht="15" customHeight="1">
      <c r="A899" t="inlineStr">
        <is>
          <t>A 47305-2025</t>
        </is>
      </c>
      <c r="B899" s="1" t="n">
        <v>45930</v>
      </c>
      <c r="C899" s="1" t="n">
        <v>45992</v>
      </c>
      <c r="D899" t="inlineStr">
        <is>
          <t>VÄSTERNORRLANDS LÄN</t>
        </is>
      </c>
      <c r="E899" t="inlineStr">
        <is>
          <t>ÅNGE</t>
        </is>
      </c>
      <c r="G899" t="n">
        <v>10.9</v>
      </c>
      <c r="H899" t="n">
        <v>0</v>
      </c>
      <c r="I899" t="n">
        <v>0</v>
      </c>
      <c r="J899" t="n">
        <v>0</v>
      </c>
      <c r="K899" t="n">
        <v>0</v>
      </c>
      <c r="L899" t="n">
        <v>0</v>
      </c>
      <c r="M899" t="n">
        <v>0</v>
      </c>
      <c r="N899" t="n">
        <v>0</v>
      </c>
      <c r="O899" t="n">
        <v>0</v>
      </c>
      <c r="P899" t="n">
        <v>0</v>
      </c>
      <c r="Q899" t="n">
        <v>0</v>
      </c>
      <c r="R899" s="2" t="inlineStr"/>
    </row>
    <row r="900" ht="15" customHeight="1">
      <c r="A900" t="inlineStr">
        <is>
          <t>A 5999-2025</t>
        </is>
      </c>
      <c r="B900" s="1" t="n">
        <v>45695</v>
      </c>
      <c r="C900" s="1" t="n">
        <v>45992</v>
      </c>
      <c r="D900" t="inlineStr">
        <is>
          <t>VÄSTERNORRLANDS LÄN</t>
        </is>
      </c>
      <c r="E900" t="inlineStr">
        <is>
          <t>ÅNGE</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35593-2024</t>
        </is>
      </c>
      <c r="B901" s="1" t="n">
        <v>45531</v>
      </c>
      <c r="C901" s="1" t="n">
        <v>45992</v>
      </c>
      <c r="D901" t="inlineStr">
        <is>
          <t>VÄSTERNORRLANDS LÄN</t>
        </is>
      </c>
      <c r="E901" t="inlineStr">
        <is>
          <t>ÅNGE</t>
        </is>
      </c>
      <c r="G901" t="n">
        <v>17.6</v>
      </c>
      <c r="H901" t="n">
        <v>0</v>
      </c>
      <c r="I901" t="n">
        <v>0</v>
      </c>
      <c r="J901" t="n">
        <v>0</v>
      </c>
      <c r="K901" t="n">
        <v>0</v>
      </c>
      <c r="L901" t="n">
        <v>0</v>
      </c>
      <c r="M901" t="n">
        <v>0</v>
      </c>
      <c r="N901" t="n">
        <v>0</v>
      </c>
      <c r="O901" t="n">
        <v>0</v>
      </c>
      <c r="P901" t="n">
        <v>0</v>
      </c>
      <c r="Q901" t="n">
        <v>0</v>
      </c>
      <c r="R901" s="2" t="inlineStr"/>
    </row>
    <row r="902" ht="15" customHeight="1">
      <c r="A902" t="inlineStr">
        <is>
          <t>A 47752-2025</t>
        </is>
      </c>
      <c r="B902" s="1" t="n">
        <v>45931.66358796296</v>
      </c>
      <c r="C902" s="1" t="n">
        <v>45992</v>
      </c>
      <c r="D902" t="inlineStr">
        <is>
          <t>VÄSTERNORRLANDS LÄN</t>
        </is>
      </c>
      <c r="E902" t="inlineStr">
        <is>
          <t>ÅNGE</t>
        </is>
      </c>
      <c r="G902" t="n">
        <v>3.9</v>
      </c>
      <c r="H902" t="n">
        <v>0</v>
      </c>
      <c r="I902" t="n">
        <v>0</v>
      </c>
      <c r="J902" t="n">
        <v>0</v>
      </c>
      <c r="K902" t="n">
        <v>0</v>
      </c>
      <c r="L902" t="n">
        <v>0</v>
      </c>
      <c r="M902" t="n">
        <v>0</v>
      </c>
      <c r="N902" t="n">
        <v>0</v>
      </c>
      <c r="O902" t="n">
        <v>0</v>
      </c>
      <c r="P902" t="n">
        <v>0</v>
      </c>
      <c r="Q902" t="n">
        <v>0</v>
      </c>
      <c r="R902" s="2" t="inlineStr"/>
    </row>
    <row r="903" ht="15" customHeight="1">
      <c r="A903" t="inlineStr">
        <is>
          <t>A 56077-2025</t>
        </is>
      </c>
      <c r="B903" s="1" t="n">
        <v>45973.65759259259</v>
      </c>
      <c r="C903" s="1" t="n">
        <v>45992</v>
      </c>
      <c r="D903" t="inlineStr">
        <is>
          <t>VÄSTERNORRLANDS LÄN</t>
        </is>
      </c>
      <c r="E903" t="inlineStr">
        <is>
          <t>ÅNGE</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36786-2024</t>
        </is>
      </c>
      <c r="B904" s="1" t="n">
        <v>45538</v>
      </c>
      <c r="C904" s="1" t="n">
        <v>45992</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47440-2025</t>
        </is>
      </c>
      <c r="B905" s="1" t="n">
        <v>45930.63766203704</v>
      </c>
      <c r="C905" s="1" t="n">
        <v>45992</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47488-2025</t>
        </is>
      </c>
      <c r="B906" s="1" t="n">
        <v>45930.69890046296</v>
      </c>
      <c r="C906" s="1" t="n">
        <v>45992</v>
      </c>
      <c r="D906" t="inlineStr">
        <is>
          <t>VÄSTERNORRLANDS LÄN</t>
        </is>
      </c>
      <c r="E906" t="inlineStr">
        <is>
          <t>ÅNGE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47196-2025</t>
        </is>
      </c>
      <c r="B907" s="1" t="n">
        <v>45930.34520833333</v>
      </c>
      <c r="C907" s="1" t="n">
        <v>45992</v>
      </c>
      <c r="D907" t="inlineStr">
        <is>
          <t>VÄSTERNORRLANDS LÄN</t>
        </is>
      </c>
      <c r="E907" t="inlineStr">
        <is>
          <t>ÅNGE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55816-2025</t>
        </is>
      </c>
      <c r="B908" s="1" t="n">
        <v>45972.69851851852</v>
      </c>
      <c r="C908" s="1" t="n">
        <v>45992</v>
      </c>
      <c r="D908" t="inlineStr">
        <is>
          <t>VÄSTERNORRLANDS LÄN</t>
        </is>
      </c>
      <c r="E908" t="inlineStr">
        <is>
          <t>ÅNGE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47377-2025</t>
        </is>
      </c>
      <c r="B909" s="1" t="n">
        <v>45930.59469907408</v>
      </c>
      <c r="C909" s="1" t="n">
        <v>45992</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6487-2021</t>
        </is>
      </c>
      <c r="B910" s="1" t="n">
        <v>44235</v>
      </c>
      <c r="C910" s="1" t="n">
        <v>45992</v>
      </c>
      <c r="D910" t="inlineStr">
        <is>
          <t>VÄSTERNORRLANDS LÄN</t>
        </is>
      </c>
      <c r="E910" t="inlineStr">
        <is>
          <t>ÅNGE</t>
        </is>
      </c>
      <c r="G910" t="n">
        <v>2.1</v>
      </c>
      <c r="H910" t="n">
        <v>0</v>
      </c>
      <c r="I910" t="n">
        <v>0</v>
      </c>
      <c r="J910" t="n">
        <v>0</v>
      </c>
      <c r="K910" t="n">
        <v>0</v>
      </c>
      <c r="L910" t="n">
        <v>0</v>
      </c>
      <c r="M910" t="n">
        <v>0</v>
      </c>
      <c r="N910" t="n">
        <v>0</v>
      </c>
      <c r="O910" t="n">
        <v>0</v>
      </c>
      <c r="P910" t="n">
        <v>0</v>
      </c>
      <c r="Q910" t="n">
        <v>0</v>
      </c>
      <c r="R910" s="2" t="inlineStr"/>
    </row>
    <row r="911" ht="15" customHeight="1">
      <c r="A911" t="inlineStr">
        <is>
          <t>A 54908-2021</t>
        </is>
      </c>
      <c r="B911" s="1" t="n">
        <v>44474.39769675926</v>
      </c>
      <c r="C911" s="1" t="n">
        <v>45992</v>
      </c>
      <c r="D911" t="inlineStr">
        <is>
          <t>VÄSTERNORRLANDS LÄN</t>
        </is>
      </c>
      <c r="E911" t="inlineStr">
        <is>
          <t>ÅNGE</t>
        </is>
      </c>
      <c r="G911" t="n">
        <v>7.8</v>
      </c>
      <c r="H911" t="n">
        <v>0</v>
      </c>
      <c r="I911" t="n">
        <v>0</v>
      </c>
      <c r="J911" t="n">
        <v>0</v>
      </c>
      <c r="K911" t="n">
        <v>0</v>
      </c>
      <c r="L911" t="n">
        <v>0</v>
      </c>
      <c r="M911" t="n">
        <v>0</v>
      </c>
      <c r="N911" t="n">
        <v>0</v>
      </c>
      <c r="O911" t="n">
        <v>0</v>
      </c>
      <c r="P911" t="n">
        <v>0</v>
      </c>
      <c r="Q911" t="n">
        <v>0</v>
      </c>
      <c r="R911" s="2" t="inlineStr"/>
    </row>
    <row r="912" ht="15" customHeight="1">
      <c r="A912" t="inlineStr">
        <is>
          <t>A 20716-2025</t>
        </is>
      </c>
      <c r="B912" s="1" t="n">
        <v>45776.49026620371</v>
      </c>
      <c r="C912" s="1" t="n">
        <v>45992</v>
      </c>
      <c r="D912" t="inlineStr">
        <is>
          <t>VÄSTERNORRLANDS LÄN</t>
        </is>
      </c>
      <c r="E912" t="inlineStr">
        <is>
          <t>ÅNGE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45933-2023</t>
        </is>
      </c>
      <c r="B913" s="1" t="n">
        <v>45195</v>
      </c>
      <c r="C913" s="1" t="n">
        <v>45992</v>
      </c>
      <c r="D913" t="inlineStr">
        <is>
          <t>VÄSTERNORRLANDS LÄN</t>
        </is>
      </c>
      <c r="E913" t="inlineStr">
        <is>
          <t>ÅNGE</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48234-2025</t>
        </is>
      </c>
      <c r="B914" s="1" t="n">
        <v>45933.53211805555</v>
      </c>
      <c r="C914" s="1" t="n">
        <v>45992</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48235-2025</t>
        </is>
      </c>
      <c r="B915" s="1" t="n">
        <v>45933.5321412037</v>
      </c>
      <c r="C915" s="1" t="n">
        <v>45992</v>
      </c>
      <c r="D915" t="inlineStr">
        <is>
          <t>VÄSTERNORRLANDS LÄN</t>
        </is>
      </c>
      <c r="E915" t="inlineStr">
        <is>
          <t>ÅNGE</t>
        </is>
      </c>
      <c r="G915" t="n">
        <v>3.1</v>
      </c>
      <c r="H915" t="n">
        <v>0</v>
      </c>
      <c r="I915" t="n">
        <v>0</v>
      </c>
      <c r="J915" t="n">
        <v>0</v>
      </c>
      <c r="K915" t="n">
        <v>0</v>
      </c>
      <c r="L915" t="n">
        <v>0</v>
      </c>
      <c r="M915" t="n">
        <v>0</v>
      </c>
      <c r="N915" t="n">
        <v>0</v>
      </c>
      <c r="O915" t="n">
        <v>0</v>
      </c>
      <c r="P915" t="n">
        <v>0</v>
      </c>
      <c r="Q915" t="n">
        <v>0</v>
      </c>
      <c r="R915" s="2" t="inlineStr"/>
    </row>
    <row r="916" ht="15" customHeight="1">
      <c r="A916" t="inlineStr">
        <is>
          <t>A 56423-2025</t>
        </is>
      </c>
      <c r="B916" s="1" t="n">
        <v>45975.34528935186</v>
      </c>
      <c r="C916" s="1" t="n">
        <v>45992</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c r="U916">
        <f>HYPERLINK("https://klasma.github.io/Logging_2260/knärot/A 56423-2025 karta knärot.png", "A 56423-2025")</f>
        <v/>
      </c>
      <c r="V916">
        <f>HYPERLINK("https://klasma.github.io/Logging_2260/klagomål/A 56423-2025 FSC-klagomål.docx", "A 56423-2025")</f>
        <v/>
      </c>
      <c r="W916">
        <f>HYPERLINK("https://klasma.github.io/Logging_2260/klagomålsmail/A 56423-2025 FSC-klagomål mail.docx", "A 56423-2025")</f>
        <v/>
      </c>
      <c r="X916">
        <f>HYPERLINK("https://klasma.github.io/Logging_2260/tillsyn/A 56423-2025 tillsynsbegäran.docx", "A 56423-2025")</f>
        <v/>
      </c>
      <c r="Y916">
        <f>HYPERLINK("https://klasma.github.io/Logging_2260/tillsynsmail/A 56423-2025 tillsynsbegäran mail.docx", "A 56423-2025")</f>
        <v/>
      </c>
    </row>
    <row r="917" ht="15" customHeight="1">
      <c r="A917" t="inlineStr">
        <is>
          <t>A 46015-2024</t>
        </is>
      </c>
      <c r="B917" s="1" t="n">
        <v>45580.67760416667</v>
      </c>
      <c r="C917" s="1" t="n">
        <v>45992</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44636-2024</t>
        </is>
      </c>
      <c r="B918" s="1" t="n">
        <v>45574.51491898148</v>
      </c>
      <c r="C918" s="1" t="n">
        <v>45992</v>
      </c>
      <c r="D918" t="inlineStr">
        <is>
          <t>VÄSTERNORRLANDS LÄN</t>
        </is>
      </c>
      <c r="E918" t="inlineStr">
        <is>
          <t>ÅNGE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44979-2023</t>
        </is>
      </c>
      <c r="B919" s="1" t="n">
        <v>45190.95752314815</v>
      </c>
      <c r="C919" s="1" t="n">
        <v>45992</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1582-2025</t>
        </is>
      </c>
      <c r="B920" s="1" t="n">
        <v>45670</v>
      </c>
      <c r="C920" s="1" t="n">
        <v>45992</v>
      </c>
      <c r="D920" t="inlineStr">
        <is>
          <t>VÄSTERNORRLANDS LÄN</t>
        </is>
      </c>
      <c r="E920" t="inlineStr">
        <is>
          <t>ÅNGE</t>
        </is>
      </c>
      <c r="G920" t="n">
        <v>7.3</v>
      </c>
      <c r="H920" t="n">
        <v>0</v>
      </c>
      <c r="I920" t="n">
        <v>0</v>
      </c>
      <c r="J920" t="n">
        <v>0</v>
      </c>
      <c r="K920" t="n">
        <v>0</v>
      </c>
      <c r="L920" t="n">
        <v>0</v>
      </c>
      <c r="M920" t="n">
        <v>0</v>
      </c>
      <c r="N920" t="n">
        <v>0</v>
      </c>
      <c r="O920" t="n">
        <v>0</v>
      </c>
      <c r="P920" t="n">
        <v>0</v>
      </c>
      <c r="Q920" t="n">
        <v>0</v>
      </c>
      <c r="R920" s="2" t="inlineStr"/>
      <c r="U920">
        <f>HYPERLINK("https://klasma.github.io/Logging_2260/knärot/A 1582-2025 karta knärot.png", "A 1582-2025")</f>
        <v/>
      </c>
      <c r="V920">
        <f>HYPERLINK("https://klasma.github.io/Logging_2260/klagomål/A 1582-2025 FSC-klagomål.docx", "A 1582-2025")</f>
        <v/>
      </c>
      <c r="W920">
        <f>HYPERLINK("https://klasma.github.io/Logging_2260/klagomålsmail/A 1582-2025 FSC-klagomål mail.docx", "A 1582-2025")</f>
        <v/>
      </c>
      <c r="X920">
        <f>HYPERLINK("https://klasma.github.io/Logging_2260/tillsyn/A 1582-2025 tillsynsbegäran.docx", "A 1582-2025")</f>
        <v/>
      </c>
      <c r="Y920">
        <f>HYPERLINK("https://klasma.github.io/Logging_2260/tillsynsmail/A 1582-2025 tillsynsbegäran mail.docx", "A 1582-2025")</f>
        <v/>
      </c>
    </row>
    <row r="921" ht="15" customHeight="1">
      <c r="A921" t="inlineStr">
        <is>
          <t>A 25377-2024</t>
        </is>
      </c>
      <c r="B921" s="1" t="n">
        <v>45462.96211805556</v>
      </c>
      <c r="C921" s="1" t="n">
        <v>45992</v>
      </c>
      <c r="D921" t="inlineStr">
        <is>
          <t>VÄSTERNORRLANDS LÄN</t>
        </is>
      </c>
      <c r="E921" t="inlineStr">
        <is>
          <t>ÅNGE</t>
        </is>
      </c>
      <c r="F921" t="inlineStr">
        <is>
          <t>SCA</t>
        </is>
      </c>
      <c r="G921" t="n">
        <v>20.7</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45992</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56666-2025</t>
        </is>
      </c>
      <c r="B923" s="1" t="n">
        <v>45975.67747685185</v>
      </c>
      <c r="C923" s="1" t="n">
        <v>45992</v>
      </c>
      <c r="D923" t="inlineStr">
        <is>
          <t>VÄSTERNORRLANDS LÄN</t>
        </is>
      </c>
      <c r="E923" t="inlineStr">
        <is>
          <t>ÅNGE</t>
        </is>
      </c>
      <c r="G923" t="n">
        <v>5.2</v>
      </c>
      <c r="H923" t="n">
        <v>0</v>
      </c>
      <c r="I923" t="n">
        <v>0</v>
      </c>
      <c r="J923" t="n">
        <v>0</v>
      </c>
      <c r="K923" t="n">
        <v>0</v>
      </c>
      <c r="L923" t="n">
        <v>0</v>
      </c>
      <c r="M923" t="n">
        <v>0</v>
      </c>
      <c r="N923" t="n">
        <v>0</v>
      </c>
      <c r="O923" t="n">
        <v>0</v>
      </c>
      <c r="P923" t="n">
        <v>0</v>
      </c>
      <c r="Q923" t="n">
        <v>0</v>
      </c>
      <c r="R923" s="2" t="inlineStr"/>
    </row>
    <row r="924" ht="15" customHeight="1">
      <c r="A924" t="inlineStr">
        <is>
          <t>A 39975-2023</t>
        </is>
      </c>
      <c r="B924" s="1" t="n">
        <v>45168.58844907407</v>
      </c>
      <c r="C924" s="1" t="n">
        <v>45992</v>
      </c>
      <c r="D924" t="inlineStr">
        <is>
          <t>VÄSTERNORRLANDS LÄN</t>
        </is>
      </c>
      <c r="E924" t="inlineStr">
        <is>
          <t>ÅNGE</t>
        </is>
      </c>
      <c r="G924" t="n">
        <v>2.2</v>
      </c>
      <c r="H924" t="n">
        <v>0</v>
      </c>
      <c r="I924" t="n">
        <v>0</v>
      </c>
      <c r="J924" t="n">
        <v>0</v>
      </c>
      <c r="K924" t="n">
        <v>0</v>
      </c>
      <c r="L924" t="n">
        <v>0</v>
      </c>
      <c r="M924" t="n">
        <v>0</v>
      </c>
      <c r="N924" t="n">
        <v>0</v>
      </c>
      <c r="O924" t="n">
        <v>0</v>
      </c>
      <c r="P924" t="n">
        <v>0</v>
      </c>
      <c r="Q924" t="n">
        <v>0</v>
      </c>
      <c r="R924" s="2" t="inlineStr"/>
    </row>
    <row r="925" ht="15" customHeight="1">
      <c r="A925" t="inlineStr">
        <is>
          <t>A 53970-2021</t>
        </is>
      </c>
      <c r="B925" s="1" t="n">
        <v>44469</v>
      </c>
      <c r="C925" s="1" t="n">
        <v>45992</v>
      </c>
      <c r="D925" t="inlineStr">
        <is>
          <t>VÄSTERNORRLANDS LÄN</t>
        </is>
      </c>
      <c r="E925" t="inlineStr">
        <is>
          <t>ÅNGE</t>
        </is>
      </c>
      <c r="G925" t="n">
        <v>3.4</v>
      </c>
      <c r="H925" t="n">
        <v>0</v>
      </c>
      <c r="I925" t="n">
        <v>0</v>
      </c>
      <c r="J925" t="n">
        <v>0</v>
      </c>
      <c r="K925" t="n">
        <v>0</v>
      </c>
      <c r="L925" t="n">
        <v>0</v>
      </c>
      <c r="M925" t="n">
        <v>0</v>
      </c>
      <c r="N925" t="n">
        <v>0</v>
      </c>
      <c r="O925" t="n">
        <v>0</v>
      </c>
      <c r="P925" t="n">
        <v>0</v>
      </c>
      <c r="Q925" t="n">
        <v>0</v>
      </c>
      <c r="R925" s="2" t="inlineStr"/>
    </row>
    <row r="926" ht="15" customHeight="1">
      <c r="A926" t="inlineStr">
        <is>
          <t>A 56419-2025</t>
        </is>
      </c>
      <c r="B926" s="1" t="n">
        <v>45975.34445601852</v>
      </c>
      <c r="C926" s="1" t="n">
        <v>45992</v>
      </c>
      <c r="D926" t="inlineStr">
        <is>
          <t>VÄSTERNORRLANDS LÄN</t>
        </is>
      </c>
      <c r="E926" t="inlineStr">
        <is>
          <t>ÅNGE</t>
        </is>
      </c>
      <c r="F926" t="inlineStr">
        <is>
          <t>SCA</t>
        </is>
      </c>
      <c r="G926" t="n">
        <v>21.4</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45992</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33062-2022</t>
        </is>
      </c>
      <c r="B928" s="1" t="n">
        <v>44785</v>
      </c>
      <c r="C928" s="1" t="n">
        <v>45992</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48055-2025</t>
        </is>
      </c>
      <c r="B929" s="1" t="n">
        <v>45932.67922453704</v>
      </c>
      <c r="C929" s="1" t="n">
        <v>45992</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48069-2025</t>
        </is>
      </c>
      <c r="B930" s="1" t="n">
        <v>45932.69865740741</v>
      </c>
      <c r="C930" s="1" t="n">
        <v>45992</v>
      </c>
      <c r="D930" t="inlineStr">
        <is>
          <t>VÄSTERNORRLANDS LÄN</t>
        </is>
      </c>
      <c r="E930" t="inlineStr">
        <is>
          <t>ÅNGE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30347-2024</t>
        </is>
      </c>
      <c r="B931" s="1" t="n">
        <v>45490.95515046296</v>
      </c>
      <c r="C931" s="1" t="n">
        <v>45992</v>
      </c>
      <c r="D931" t="inlineStr">
        <is>
          <t>VÄSTERNORRLANDS LÄN</t>
        </is>
      </c>
      <c r="E931" t="inlineStr">
        <is>
          <t>ÅNGE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45128-2022</t>
        </is>
      </c>
      <c r="B932" s="1" t="n">
        <v>44844.3146412037</v>
      </c>
      <c r="C932" s="1" t="n">
        <v>45992</v>
      </c>
      <c r="D932" t="inlineStr">
        <is>
          <t>VÄSTERNORRLANDS LÄN</t>
        </is>
      </c>
      <c r="E932" t="inlineStr">
        <is>
          <t>ÅNGE</t>
        </is>
      </c>
      <c r="G932" t="n">
        <v>4.1</v>
      </c>
      <c r="H932" t="n">
        <v>0</v>
      </c>
      <c r="I932" t="n">
        <v>0</v>
      </c>
      <c r="J932" t="n">
        <v>0</v>
      </c>
      <c r="K932" t="n">
        <v>0</v>
      </c>
      <c r="L932" t="n">
        <v>0</v>
      </c>
      <c r="M932" t="n">
        <v>0</v>
      </c>
      <c r="N932" t="n">
        <v>0</v>
      </c>
      <c r="O932" t="n">
        <v>0</v>
      </c>
      <c r="P932" t="n">
        <v>0</v>
      </c>
      <c r="Q932" t="n">
        <v>0</v>
      </c>
      <c r="R932" s="2" t="inlineStr"/>
    </row>
    <row r="933" ht="15" customHeight="1">
      <c r="A933" t="inlineStr">
        <is>
          <t>A 42040-2024</t>
        </is>
      </c>
      <c r="B933" s="1" t="n">
        <v>45561.80983796297</v>
      </c>
      <c r="C933" s="1" t="n">
        <v>45992</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48679-2025</t>
        </is>
      </c>
      <c r="B934" s="1" t="n">
        <v>45936.59196759259</v>
      </c>
      <c r="C934" s="1" t="n">
        <v>45992</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56741-2025</t>
        </is>
      </c>
      <c r="B935" s="1" t="n">
        <v>45978.34726851852</v>
      </c>
      <c r="C935" s="1" t="n">
        <v>45992</v>
      </c>
      <c r="D935" t="inlineStr">
        <is>
          <t>VÄSTERNORRLANDS LÄN</t>
        </is>
      </c>
      <c r="E935" t="inlineStr">
        <is>
          <t>ÅNGE</t>
        </is>
      </c>
      <c r="G935" t="n">
        <v>11.4</v>
      </c>
      <c r="H935" t="n">
        <v>0</v>
      </c>
      <c r="I935" t="n">
        <v>0</v>
      </c>
      <c r="J935" t="n">
        <v>0</v>
      </c>
      <c r="K935" t="n">
        <v>0</v>
      </c>
      <c r="L935" t="n">
        <v>0</v>
      </c>
      <c r="M935" t="n">
        <v>0</v>
      </c>
      <c r="N935" t="n">
        <v>0</v>
      </c>
      <c r="O935" t="n">
        <v>0</v>
      </c>
      <c r="P935" t="n">
        <v>0</v>
      </c>
      <c r="Q935" t="n">
        <v>0</v>
      </c>
      <c r="R935" s="2" t="inlineStr"/>
    </row>
    <row r="936" ht="15" customHeight="1">
      <c r="A936" t="inlineStr">
        <is>
          <t>A 5433-2024</t>
        </is>
      </c>
      <c r="B936" s="1" t="n">
        <v>45331</v>
      </c>
      <c r="C936" s="1" t="n">
        <v>45992</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5456-2024</t>
        </is>
      </c>
      <c r="B937" s="1" t="n">
        <v>45331</v>
      </c>
      <c r="C937" s="1" t="n">
        <v>45992</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3357-2024</t>
        </is>
      </c>
      <c r="B938" s="1" t="n">
        <v>45317</v>
      </c>
      <c r="C938" s="1" t="n">
        <v>45992</v>
      </c>
      <c r="D938" t="inlineStr">
        <is>
          <t>VÄSTERNORRLANDS LÄN</t>
        </is>
      </c>
      <c r="E938" t="inlineStr">
        <is>
          <t>ÅNGE</t>
        </is>
      </c>
      <c r="G938" t="n">
        <v>8</v>
      </c>
      <c r="H938" t="n">
        <v>0</v>
      </c>
      <c r="I938" t="n">
        <v>0</v>
      </c>
      <c r="J938" t="n">
        <v>0</v>
      </c>
      <c r="K938" t="n">
        <v>0</v>
      </c>
      <c r="L938" t="n">
        <v>0</v>
      </c>
      <c r="M938" t="n">
        <v>0</v>
      </c>
      <c r="N938" t="n">
        <v>0</v>
      </c>
      <c r="O938" t="n">
        <v>0</v>
      </c>
      <c r="P938" t="n">
        <v>0</v>
      </c>
      <c r="Q938" t="n">
        <v>0</v>
      </c>
      <c r="R938" s="2" t="inlineStr"/>
    </row>
    <row r="939" ht="15" customHeight="1">
      <c r="A939" t="inlineStr">
        <is>
          <t>A 4095-2023</t>
        </is>
      </c>
      <c r="B939" s="1" t="n">
        <v>44952</v>
      </c>
      <c r="C939" s="1" t="n">
        <v>45992</v>
      </c>
      <c r="D939" t="inlineStr">
        <is>
          <t>VÄSTERNORRLANDS LÄN</t>
        </is>
      </c>
      <c r="E939" t="inlineStr">
        <is>
          <t>ÅNGE</t>
        </is>
      </c>
      <c r="G939" t="n">
        <v>13.4</v>
      </c>
      <c r="H939" t="n">
        <v>0</v>
      </c>
      <c r="I939" t="n">
        <v>0</v>
      </c>
      <c r="J939" t="n">
        <v>0</v>
      </c>
      <c r="K939" t="n">
        <v>0</v>
      </c>
      <c r="L939" t="n">
        <v>0</v>
      </c>
      <c r="M939" t="n">
        <v>0</v>
      </c>
      <c r="N939" t="n">
        <v>0</v>
      </c>
      <c r="O939" t="n">
        <v>0</v>
      </c>
      <c r="P939" t="n">
        <v>0</v>
      </c>
      <c r="Q939" t="n">
        <v>0</v>
      </c>
      <c r="R939" s="2" t="inlineStr"/>
    </row>
    <row r="940" ht="15" customHeight="1">
      <c r="A940" t="inlineStr">
        <is>
          <t>A 22752-2023</t>
        </is>
      </c>
      <c r="B940" s="1" t="n">
        <v>45071.94104166667</v>
      </c>
      <c r="C940" s="1" t="n">
        <v>45992</v>
      </c>
      <c r="D940" t="inlineStr">
        <is>
          <t>VÄSTERNORRLANDS LÄN</t>
        </is>
      </c>
      <c r="E940" t="inlineStr">
        <is>
          <t>ÅNGE</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11032-2025</t>
        </is>
      </c>
      <c r="B941" s="1" t="n">
        <v>45723.47601851852</v>
      </c>
      <c r="C941" s="1" t="n">
        <v>45992</v>
      </c>
      <c r="D941" t="inlineStr">
        <is>
          <t>VÄSTERNORRLANDS LÄN</t>
        </is>
      </c>
      <c r="E941" t="inlineStr">
        <is>
          <t>ÅNGE</t>
        </is>
      </c>
      <c r="G941" t="n">
        <v>4.4</v>
      </c>
      <c r="H941" t="n">
        <v>0</v>
      </c>
      <c r="I941" t="n">
        <v>0</v>
      </c>
      <c r="J941" t="n">
        <v>0</v>
      </c>
      <c r="K941" t="n">
        <v>0</v>
      </c>
      <c r="L941" t="n">
        <v>0</v>
      </c>
      <c r="M941" t="n">
        <v>0</v>
      </c>
      <c r="N941" t="n">
        <v>0</v>
      </c>
      <c r="O941" t="n">
        <v>0</v>
      </c>
      <c r="P941" t="n">
        <v>0</v>
      </c>
      <c r="Q941" t="n">
        <v>0</v>
      </c>
      <c r="R941" s="2" t="inlineStr"/>
    </row>
    <row r="942" ht="15" customHeight="1">
      <c r="A942" t="inlineStr">
        <is>
          <t>A 57022-2025</t>
        </is>
      </c>
      <c r="B942" s="1" t="n">
        <v>45978.88921296296</v>
      </c>
      <c r="C942" s="1" t="n">
        <v>45992</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60779-2024</t>
        </is>
      </c>
      <c r="B943" s="1" t="n">
        <v>45644</v>
      </c>
      <c r="C943" s="1" t="n">
        <v>45992</v>
      </c>
      <c r="D943" t="inlineStr">
        <is>
          <t>VÄSTERNORRLANDS LÄN</t>
        </is>
      </c>
      <c r="E943" t="inlineStr">
        <is>
          <t>ÅNGE</t>
        </is>
      </c>
      <c r="G943" t="n">
        <v>3.1</v>
      </c>
      <c r="H943" t="n">
        <v>0</v>
      </c>
      <c r="I943" t="n">
        <v>0</v>
      </c>
      <c r="J943" t="n">
        <v>0</v>
      </c>
      <c r="K943" t="n">
        <v>0</v>
      </c>
      <c r="L943" t="n">
        <v>0</v>
      </c>
      <c r="M943" t="n">
        <v>0</v>
      </c>
      <c r="N943" t="n">
        <v>0</v>
      </c>
      <c r="O943" t="n">
        <v>0</v>
      </c>
      <c r="P943" t="n">
        <v>0</v>
      </c>
      <c r="Q943" t="n">
        <v>0</v>
      </c>
      <c r="R943" s="2" t="inlineStr"/>
    </row>
    <row r="944" ht="15" customHeight="1">
      <c r="A944" t="inlineStr">
        <is>
          <t>A 57081-2025</t>
        </is>
      </c>
      <c r="B944" s="1" t="n">
        <v>45979.40826388889</v>
      </c>
      <c r="C944" s="1" t="n">
        <v>45992</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49562-2025</t>
        </is>
      </c>
      <c r="B945" s="1" t="n">
        <v>45939.46524305556</v>
      </c>
      <c r="C945" s="1" t="n">
        <v>45992</v>
      </c>
      <c r="D945" t="inlineStr">
        <is>
          <t>VÄSTERNORRLANDS LÄN</t>
        </is>
      </c>
      <c r="E945" t="inlineStr">
        <is>
          <t>ÅNGE</t>
        </is>
      </c>
      <c r="G945" t="n">
        <v>4.4</v>
      </c>
      <c r="H945" t="n">
        <v>0</v>
      </c>
      <c r="I945" t="n">
        <v>0</v>
      </c>
      <c r="J945" t="n">
        <v>0</v>
      </c>
      <c r="K945" t="n">
        <v>0</v>
      </c>
      <c r="L945" t="n">
        <v>0</v>
      </c>
      <c r="M945" t="n">
        <v>0</v>
      </c>
      <c r="N945" t="n">
        <v>0</v>
      </c>
      <c r="O945" t="n">
        <v>0</v>
      </c>
      <c r="P945" t="n">
        <v>0</v>
      </c>
      <c r="Q945" t="n">
        <v>0</v>
      </c>
      <c r="R945" s="2" t="inlineStr"/>
    </row>
    <row r="946" ht="15" customHeight="1">
      <c r="A946" t="inlineStr">
        <is>
          <t>A 50651-2021</t>
        </is>
      </c>
      <c r="B946" s="1" t="n">
        <v>44459</v>
      </c>
      <c r="C946" s="1" t="n">
        <v>45992</v>
      </c>
      <c r="D946" t="inlineStr">
        <is>
          <t>VÄSTERNORRLANDS LÄN</t>
        </is>
      </c>
      <c r="E946" t="inlineStr">
        <is>
          <t>ÅNGE</t>
        </is>
      </c>
      <c r="G946" t="n">
        <v>20.6</v>
      </c>
      <c r="H946" t="n">
        <v>0</v>
      </c>
      <c r="I946" t="n">
        <v>0</v>
      </c>
      <c r="J946" t="n">
        <v>0</v>
      </c>
      <c r="K946" t="n">
        <v>0</v>
      </c>
      <c r="L946" t="n">
        <v>0</v>
      </c>
      <c r="M946" t="n">
        <v>0</v>
      </c>
      <c r="N946" t="n">
        <v>0</v>
      </c>
      <c r="O946" t="n">
        <v>0</v>
      </c>
      <c r="P946" t="n">
        <v>0</v>
      </c>
      <c r="Q946" t="n">
        <v>0</v>
      </c>
      <c r="R946" s="2" t="inlineStr"/>
    </row>
    <row r="947" ht="15" customHeight="1">
      <c r="A947" t="inlineStr">
        <is>
          <t>A 60003-2023</t>
        </is>
      </c>
      <c r="B947" s="1" t="n">
        <v>45257</v>
      </c>
      <c r="C947" s="1" t="n">
        <v>45992</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4876-2023</t>
        </is>
      </c>
      <c r="B948" s="1" t="n">
        <v>44957.94023148148</v>
      </c>
      <c r="C948" s="1" t="n">
        <v>45992</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55751-2024</t>
        </is>
      </c>
      <c r="B949" s="1" t="n">
        <v>45623.34409722222</v>
      </c>
      <c r="C949" s="1" t="n">
        <v>45992</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57591-2022</t>
        </is>
      </c>
      <c r="B950" s="1" t="n">
        <v>44896.97834490741</v>
      </c>
      <c r="C950" s="1" t="n">
        <v>45992</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25034-2023</t>
        </is>
      </c>
      <c r="B951" s="1" t="n">
        <v>45085</v>
      </c>
      <c r="C951" s="1" t="n">
        <v>45992</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13875-2022</t>
        </is>
      </c>
      <c r="B952" s="1" t="n">
        <v>44649</v>
      </c>
      <c r="C952" s="1" t="n">
        <v>45992</v>
      </c>
      <c r="D952" t="inlineStr">
        <is>
          <t>VÄSTERNORRLANDS LÄN</t>
        </is>
      </c>
      <c r="E952" t="inlineStr">
        <is>
          <t>ÅNGE</t>
        </is>
      </c>
      <c r="G952" t="n">
        <v>1.3</v>
      </c>
      <c r="H952" t="n">
        <v>0</v>
      </c>
      <c r="I952" t="n">
        <v>0</v>
      </c>
      <c r="J952" t="n">
        <v>0</v>
      </c>
      <c r="K952" t="n">
        <v>0</v>
      </c>
      <c r="L952" t="n">
        <v>0</v>
      </c>
      <c r="M952" t="n">
        <v>0</v>
      </c>
      <c r="N952" t="n">
        <v>0</v>
      </c>
      <c r="O952" t="n">
        <v>0</v>
      </c>
      <c r="P952" t="n">
        <v>0</v>
      </c>
      <c r="Q952" t="n">
        <v>0</v>
      </c>
      <c r="R952" s="2" t="inlineStr"/>
    </row>
    <row r="953" ht="15" customHeight="1">
      <c r="A953" t="inlineStr">
        <is>
          <t>A 49377-2025</t>
        </is>
      </c>
      <c r="B953" s="1" t="n">
        <v>45938.63626157407</v>
      </c>
      <c r="C953" s="1" t="n">
        <v>45992</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9605-2025</t>
        </is>
      </c>
      <c r="B954" s="1" t="n">
        <v>45715.65657407408</v>
      </c>
      <c r="C954" s="1" t="n">
        <v>45992</v>
      </c>
      <c r="D954" t="inlineStr">
        <is>
          <t>VÄSTERNORRLANDS LÄN</t>
        </is>
      </c>
      <c r="E954" t="inlineStr">
        <is>
          <t>ÅNGE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16563-2025</t>
        </is>
      </c>
      <c r="B955" s="1" t="n">
        <v>45752.34430555555</v>
      </c>
      <c r="C955" s="1" t="n">
        <v>45992</v>
      </c>
      <c r="D955" t="inlineStr">
        <is>
          <t>VÄSTERNORRLANDS LÄN</t>
        </is>
      </c>
      <c r="E955" t="inlineStr">
        <is>
          <t>ÅNGE</t>
        </is>
      </c>
      <c r="F955" t="inlineStr">
        <is>
          <t>SCA</t>
        </is>
      </c>
      <c r="G955" t="n">
        <v>24.7</v>
      </c>
      <c r="H955" t="n">
        <v>0</v>
      </c>
      <c r="I955" t="n">
        <v>0</v>
      </c>
      <c r="J955" t="n">
        <v>0</v>
      </c>
      <c r="K955" t="n">
        <v>0</v>
      </c>
      <c r="L955" t="n">
        <v>0</v>
      </c>
      <c r="M955" t="n">
        <v>0</v>
      </c>
      <c r="N955" t="n">
        <v>0</v>
      </c>
      <c r="O955" t="n">
        <v>0</v>
      </c>
      <c r="P955" t="n">
        <v>0</v>
      </c>
      <c r="Q955" t="n">
        <v>0</v>
      </c>
      <c r="R955" s="2" t="inlineStr"/>
    </row>
    <row r="956" ht="15" customHeight="1">
      <c r="A956" t="inlineStr">
        <is>
          <t>A 49156-2025</t>
        </is>
      </c>
      <c r="B956" s="1" t="n">
        <v>45938.3458912037</v>
      </c>
      <c r="C956" s="1" t="n">
        <v>45992</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57302-2025</t>
        </is>
      </c>
      <c r="B957" s="1" t="n">
        <v>45979.87184027778</v>
      </c>
      <c r="C957" s="1" t="n">
        <v>45992</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57371-2025</t>
        </is>
      </c>
      <c r="B958" s="1" t="n">
        <v>45980.38586805556</v>
      </c>
      <c r="C958" s="1" t="n">
        <v>45992</v>
      </c>
      <c r="D958" t="inlineStr">
        <is>
          <t>VÄSTERNORRLANDS LÄN</t>
        </is>
      </c>
      <c r="E958" t="inlineStr">
        <is>
          <t>ÅNGE</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42881-2024</t>
        </is>
      </c>
      <c r="B959" s="1" t="n">
        <v>45566.70916666667</v>
      </c>
      <c r="C959" s="1" t="n">
        <v>45992</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54316-2024</t>
        </is>
      </c>
      <c r="B960" s="1" t="n">
        <v>45617.34443287037</v>
      </c>
      <c r="C960" s="1" t="n">
        <v>45992</v>
      </c>
      <c r="D960" t="inlineStr">
        <is>
          <t>VÄSTERNORRLANDS LÄN</t>
        </is>
      </c>
      <c r="E960" t="inlineStr">
        <is>
          <t>ÅNGE</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17718-2025</t>
        </is>
      </c>
      <c r="B961" s="1" t="n">
        <v>45758.44815972223</v>
      </c>
      <c r="C961" s="1" t="n">
        <v>45992</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57283-2025</t>
        </is>
      </c>
      <c r="B962" s="1" t="n">
        <v>45979.71918981482</v>
      </c>
      <c r="C962" s="1" t="n">
        <v>45992</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8650-2024</t>
        </is>
      </c>
      <c r="B963" s="1" t="n">
        <v>45356</v>
      </c>
      <c r="C963" s="1" t="n">
        <v>45992</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49179-2025</t>
        </is>
      </c>
      <c r="B964" s="1" t="n">
        <v>45938.38579861111</v>
      </c>
      <c r="C964" s="1" t="n">
        <v>45992</v>
      </c>
      <c r="D964" t="inlineStr">
        <is>
          <t>VÄSTERNORRLANDS LÄN</t>
        </is>
      </c>
      <c r="E964" t="inlineStr">
        <is>
          <t>ÅNGE</t>
        </is>
      </c>
      <c r="G964" t="n">
        <v>2.3</v>
      </c>
      <c r="H964" t="n">
        <v>0</v>
      </c>
      <c r="I964" t="n">
        <v>0</v>
      </c>
      <c r="J964" t="n">
        <v>0</v>
      </c>
      <c r="K964" t="n">
        <v>0</v>
      </c>
      <c r="L964" t="n">
        <v>0</v>
      </c>
      <c r="M964" t="n">
        <v>0</v>
      </c>
      <c r="N964" t="n">
        <v>0</v>
      </c>
      <c r="O964" t="n">
        <v>0</v>
      </c>
      <c r="P964" t="n">
        <v>0</v>
      </c>
      <c r="Q964" t="n">
        <v>0</v>
      </c>
      <c r="R964" s="2" t="inlineStr"/>
    </row>
    <row r="965" ht="15" customHeight="1">
      <c r="A965" t="inlineStr">
        <is>
          <t>A 49669-2025</t>
        </is>
      </c>
      <c r="B965" s="1" t="n">
        <v>45939.63710648148</v>
      </c>
      <c r="C965" s="1" t="n">
        <v>45992</v>
      </c>
      <c r="D965" t="inlineStr">
        <is>
          <t>VÄSTERNORRLANDS LÄN</t>
        </is>
      </c>
      <c r="E965" t="inlineStr">
        <is>
          <t>ÅNGE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18112-2025</t>
        </is>
      </c>
      <c r="B966" s="1" t="n">
        <v>45761.57350694444</v>
      </c>
      <c r="C966" s="1" t="n">
        <v>45992</v>
      </c>
      <c r="D966" t="inlineStr">
        <is>
          <t>VÄSTERNORRLANDS LÄN</t>
        </is>
      </c>
      <c r="E966" t="inlineStr">
        <is>
          <t>ÅNGE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49603-2025</t>
        </is>
      </c>
      <c r="B967" s="1" t="n">
        <v>45939.5484375</v>
      </c>
      <c r="C967" s="1" t="n">
        <v>45992</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57457-2025</t>
        </is>
      </c>
      <c r="B968" s="1" t="n">
        <v>45980.53001157408</v>
      </c>
      <c r="C968" s="1" t="n">
        <v>45992</v>
      </c>
      <c r="D968" t="inlineStr">
        <is>
          <t>VÄSTERNORRLANDS LÄN</t>
        </is>
      </c>
      <c r="E968" t="inlineStr">
        <is>
          <t>ÅNGE</t>
        </is>
      </c>
      <c r="G968" t="n">
        <v>2.4</v>
      </c>
      <c r="H968" t="n">
        <v>0</v>
      </c>
      <c r="I968" t="n">
        <v>0</v>
      </c>
      <c r="J968" t="n">
        <v>0</v>
      </c>
      <c r="K968" t="n">
        <v>0</v>
      </c>
      <c r="L968" t="n">
        <v>0</v>
      </c>
      <c r="M968" t="n">
        <v>0</v>
      </c>
      <c r="N968" t="n">
        <v>0</v>
      </c>
      <c r="O968" t="n">
        <v>0</v>
      </c>
      <c r="P968" t="n">
        <v>0</v>
      </c>
      <c r="Q968" t="n">
        <v>0</v>
      </c>
      <c r="R968" s="2" t="inlineStr"/>
    </row>
    <row r="969" ht="15" customHeight="1">
      <c r="A969" t="inlineStr">
        <is>
          <t>A 45631-2021</t>
        </is>
      </c>
      <c r="B969" s="1" t="n">
        <v>44440.98045138889</v>
      </c>
      <c r="C969" s="1" t="n">
        <v>45992</v>
      </c>
      <c r="D969" t="inlineStr">
        <is>
          <t>VÄSTERNORRLANDS LÄN</t>
        </is>
      </c>
      <c r="E969" t="inlineStr">
        <is>
          <t>ÅNGE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49381-2025</t>
        </is>
      </c>
      <c r="B970" s="1" t="n">
        <v>45938.63694444444</v>
      </c>
      <c r="C970" s="1" t="n">
        <v>45992</v>
      </c>
      <c r="D970" t="inlineStr">
        <is>
          <t>VÄSTERNORRLANDS LÄN</t>
        </is>
      </c>
      <c r="E970" t="inlineStr">
        <is>
          <t>ÅNGE</t>
        </is>
      </c>
      <c r="F970" t="inlineStr">
        <is>
          <t>SCA</t>
        </is>
      </c>
      <c r="G970" t="n">
        <v>20.6</v>
      </c>
      <c r="H970" t="n">
        <v>0</v>
      </c>
      <c r="I970" t="n">
        <v>0</v>
      </c>
      <c r="J970" t="n">
        <v>0</v>
      </c>
      <c r="K970" t="n">
        <v>0</v>
      </c>
      <c r="L970" t="n">
        <v>0</v>
      </c>
      <c r="M970" t="n">
        <v>0</v>
      </c>
      <c r="N970" t="n">
        <v>0</v>
      </c>
      <c r="O970" t="n">
        <v>0</v>
      </c>
      <c r="P970" t="n">
        <v>0</v>
      </c>
      <c r="Q970" t="n">
        <v>0</v>
      </c>
      <c r="R970" s="2" t="inlineStr"/>
    </row>
    <row r="971" ht="15" customHeight="1">
      <c r="A971" t="inlineStr">
        <is>
          <t>A 10878-2024</t>
        </is>
      </c>
      <c r="B971" s="1" t="n">
        <v>45370</v>
      </c>
      <c r="C971" s="1" t="n">
        <v>45992</v>
      </c>
      <c r="D971" t="inlineStr">
        <is>
          <t>VÄSTERNORRLANDS LÄN</t>
        </is>
      </c>
      <c r="E971" t="inlineStr">
        <is>
          <t>ÅNGE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45992</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4006-2022</t>
        </is>
      </c>
      <c r="B973" s="1" t="n">
        <v>44587.92019675926</v>
      </c>
      <c r="C973" s="1" t="n">
        <v>45992</v>
      </c>
      <c r="D973" t="inlineStr">
        <is>
          <t>VÄSTERNORRLANDS LÄN</t>
        </is>
      </c>
      <c r="E973" t="inlineStr">
        <is>
          <t>ÅNGE</t>
        </is>
      </c>
      <c r="G973" t="n">
        <v>5</v>
      </c>
      <c r="H973" t="n">
        <v>0</v>
      </c>
      <c r="I973" t="n">
        <v>0</v>
      </c>
      <c r="J973" t="n">
        <v>0</v>
      </c>
      <c r="K973" t="n">
        <v>0</v>
      </c>
      <c r="L973" t="n">
        <v>0</v>
      </c>
      <c r="M973" t="n">
        <v>0</v>
      </c>
      <c r="N973" t="n">
        <v>0</v>
      </c>
      <c r="O973" t="n">
        <v>0</v>
      </c>
      <c r="P973" t="n">
        <v>0</v>
      </c>
      <c r="Q973" t="n">
        <v>0</v>
      </c>
      <c r="R973" s="2" t="inlineStr"/>
    </row>
    <row r="974" ht="15" customHeight="1">
      <c r="A974" t="inlineStr">
        <is>
          <t>A 49476-2025</t>
        </is>
      </c>
      <c r="B974" s="1" t="n">
        <v>45939.34506944445</v>
      </c>
      <c r="C974" s="1" t="n">
        <v>45992</v>
      </c>
      <c r="D974" t="inlineStr">
        <is>
          <t>VÄSTERNORRLANDS LÄN</t>
        </is>
      </c>
      <c r="E974" t="inlineStr">
        <is>
          <t>ÅNGE</t>
        </is>
      </c>
      <c r="F974" t="inlineStr">
        <is>
          <t>SCA</t>
        </is>
      </c>
      <c r="G974" t="n">
        <v>11.4</v>
      </c>
      <c r="H974" t="n">
        <v>0</v>
      </c>
      <c r="I974" t="n">
        <v>0</v>
      </c>
      <c r="J974" t="n">
        <v>0</v>
      </c>
      <c r="K974" t="n">
        <v>0</v>
      </c>
      <c r="L974" t="n">
        <v>0</v>
      </c>
      <c r="M974" t="n">
        <v>0</v>
      </c>
      <c r="N974" t="n">
        <v>0</v>
      </c>
      <c r="O974" t="n">
        <v>0</v>
      </c>
      <c r="P974" t="n">
        <v>0</v>
      </c>
      <c r="Q974" t="n">
        <v>0</v>
      </c>
      <c r="R974" s="2" t="inlineStr"/>
    </row>
    <row r="975" ht="15" customHeight="1">
      <c r="A975" t="inlineStr">
        <is>
          <t>A 61781-2023</t>
        </is>
      </c>
      <c r="B975" s="1" t="n">
        <v>45265.95708333333</v>
      </c>
      <c r="C975" s="1" t="n">
        <v>45992</v>
      </c>
      <c r="D975" t="inlineStr">
        <is>
          <t>VÄSTERNORRLANDS LÄN</t>
        </is>
      </c>
      <c r="E975" t="inlineStr">
        <is>
          <t>ÅNGE</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57615-2025</t>
        </is>
      </c>
      <c r="B976" s="1" t="n">
        <v>45981.34431712963</v>
      </c>
      <c r="C976" s="1" t="n">
        <v>45992</v>
      </c>
      <c r="D976" t="inlineStr">
        <is>
          <t>VÄSTERNORRLANDS LÄN</t>
        </is>
      </c>
      <c r="E976" t="inlineStr">
        <is>
          <t>ÅNGE</t>
        </is>
      </c>
      <c r="G976" t="n">
        <v>3.4</v>
      </c>
      <c r="H976" t="n">
        <v>0</v>
      </c>
      <c r="I976" t="n">
        <v>0</v>
      </c>
      <c r="J976" t="n">
        <v>0</v>
      </c>
      <c r="K976" t="n">
        <v>0</v>
      </c>
      <c r="L976" t="n">
        <v>0</v>
      </c>
      <c r="M976" t="n">
        <v>0</v>
      </c>
      <c r="N976" t="n">
        <v>0</v>
      </c>
      <c r="O976" t="n">
        <v>0</v>
      </c>
      <c r="P976" t="n">
        <v>0</v>
      </c>
      <c r="Q976" t="n">
        <v>0</v>
      </c>
      <c r="R976" s="2" t="inlineStr"/>
    </row>
    <row r="977" ht="15" customHeight="1">
      <c r="A977" t="inlineStr">
        <is>
          <t>A 49600-2025</t>
        </is>
      </c>
      <c r="B977" s="1" t="n">
        <v>45939.54434027777</v>
      </c>
      <c r="C977" s="1" t="n">
        <v>45992</v>
      </c>
      <c r="D977" t="inlineStr">
        <is>
          <t>VÄSTERNORRLANDS LÄN</t>
        </is>
      </c>
      <c r="E977" t="inlineStr">
        <is>
          <t>ÅNGE</t>
        </is>
      </c>
      <c r="G977" t="n">
        <v>1.4</v>
      </c>
      <c r="H977" t="n">
        <v>0</v>
      </c>
      <c r="I977" t="n">
        <v>0</v>
      </c>
      <c r="J977" t="n">
        <v>0</v>
      </c>
      <c r="K977" t="n">
        <v>0</v>
      </c>
      <c r="L977" t="n">
        <v>0</v>
      </c>
      <c r="M977" t="n">
        <v>0</v>
      </c>
      <c r="N977" t="n">
        <v>0</v>
      </c>
      <c r="O977" t="n">
        <v>0</v>
      </c>
      <c r="P977" t="n">
        <v>0</v>
      </c>
      <c r="Q977" t="n">
        <v>0</v>
      </c>
      <c r="R977" s="2" t="inlineStr"/>
    </row>
    <row r="978" ht="15" customHeight="1">
      <c r="A978" t="inlineStr">
        <is>
          <t>A 17744-2025</t>
        </is>
      </c>
      <c r="B978" s="1" t="n">
        <v>45758</v>
      </c>
      <c r="C978" s="1" t="n">
        <v>45992</v>
      </c>
      <c r="D978" t="inlineStr">
        <is>
          <t>VÄSTERNORRLANDS LÄN</t>
        </is>
      </c>
      <c r="E978" t="inlineStr">
        <is>
          <t>ÅNGE</t>
        </is>
      </c>
      <c r="G978" t="n">
        <v>5</v>
      </c>
      <c r="H978" t="n">
        <v>0</v>
      </c>
      <c r="I978" t="n">
        <v>0</v>
      </c>
      <c r="J978" t="n">
        <v>0</v>
      </c>
      <c r="K978" t="n">
        <v>0</v>
      </c>
      <c r="L978" t="n">
        <v>0</v>
      </c>
      <c r="M978" t="n">
        <v>0</v>
      </c>
      <c r="N978" t="n">
        <v>0</v>
      </c>
      <c r="O978" t="n">
        <v>0</v>
      </c>
      <c r="P978" t="n">
        <v>0</v>
      </c>
      <c r="Q978" t="n">
        <v>0</v>
      </c>
      <c r="R978" s="2" t="inlineStr"/>
    </row>
    <row r="979" ht="15" customHeight="1">
      <c r="A979" t="inlineStr">
        <is>
          <t>A 56849-2025</t>
        </is>
      </c>
      <c r="B979" s="1" t="n">
        <v>45978.48989583334</v>
      </c>
      <c r="C979" s="1" t="n">
        <v>45992</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58366-2025</t>
        </is>
      </c>
      <c r="B980" s="1" t="n">
        <v>45985.52600694444</v>
      </c>
      <c r="C980" s="1" t="n">
        <v>45992</v>
      </c>
      <c r="D980" t="inlineStr">
        <is>
          <t>VÄSTERNORRLANDS LÄN</t>
        </is>
      </c>
      <c r="E980" t="inlineStr">
        <is>
          <t>ÅNGE</t>
        </is>
      </c>
      <c r="G980" t="n">
        <v>2</v>
      </c>
      <c r="H980" t="n">
        <v>0</v>
      </c>
      <c r="I980" t="n">
        <v>0</v>
      </c>
      <c r="J980" t="n">
        <v>0</v>
      </c>
      <c r="K980" t="n">
        <v>0</v>
      </c>
      <c r="L980" t="n">
        <v>0</v>
      </c>
      <c r="M980" t="n">
        <v>0</v>
      </c>
      <c r="N980" t="n">
        <v>0</v>
      </c>
      <c r="O980" t="n">
        <v>0</v>
      </c>
      <c r="P980" t="n">
        <v>0</v>
      </c>
      <c r="Q980" t="n">
        <v>0</v>
      </c>
      <c r="R980" s="2" t="inlineStr"/>
    </row>
    <row r="981" ht="15" customHeight="1">
      <c r="A981" t="inlineStr">
        <is>
          <t>A 33783-2024</t>
        </is>
      </c>
      <c r="B981" s="1" t="n">
        <v>45520</v>
      </c>
      <c r="C981" s="1" t="n">
        <v>45992</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63170-2023</t>
        </is>
      </c>
      <c r="B982" s="1" t="n">
        <v>45273.57087962963</v>
      </c>
      <c r="C982" s="1" t="n">
        <v>45992</v>
      </c>
      <c r="D982" t="inlineStr">
        <is>
          <t>VÄSTERNORRLANDS LÄN</t>
        </is>
      </c>
      <c r="E982" t="inlineStr">
        <is>
          <t>ÅNGE</t>
        </is>
      </c>
      <c r="F982" t="inlineStr">
        <is>
          <t>Holmen skog AB</t>
        </is>
      </c>
      <c r="G982" t="n">
        <v>4.1</v>
      </c>
      <c r="H982" t="n">
        <v>0</v>
      </c>
      <c r="I982" t="n">
        <v>0</v>
      </c>
      <c r="J982" t="n">
        <v>0</v>
      </c>
      <c r="K982" t="n">
        <v>0</v>
      </c>
      <c r="L982" t="n">
        <v>0</v>
      </c>
      <c r="M982" t="n">
        <v>0</v>
      </c>
      <c r="N982" t="n">
        <v>0</v>
      </c>
      <c r="O982" t="n">
        <v>0</v>
      </c>
      <c r="P982" t="n">
        <v>0</v>
      </c>
      <c r="Q982" t="n">
        <v>0</v>
      </c>
      <c r="R982" s="2" t="inlineStr"/>
    </row>
    <row r="983" ht="15" customHeight="1">
      <c r="A983" t="inlineStr">
        <is>
          <t>A 50009-2025</t>
        </is>
      </c>
      <c r="B983" s="1" t="n">
        <v>45943.34527777778</v>
      </c>
      <c r="C983" s="1" t="n">
        <v>45992</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58439-2025</t>
        </is>
      </c>
      <c r="B984" s="1" t="n">
        <v>45985.61518518518</v>
      </c>
      <c r="C984" s="1" t="n">
        <v>45992</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58268-2025</t>
        </is>
      </c>
      <c r="B985" s="1" t="n">
        <v>45985.42450231482</v>
      </c>
      <c r="C985" s="1" t="n">
        <v>45992</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47792-2022</t>
        </is>
      </c>
      <c r="B986" s="1" t="n">
        <v>44854.95238425926</v>
      </c>
      <c r="C986" s="1" t="n">
        <v>45992</v>
      </c>
      <c r="D986" t="inlineStr">
        <is>
          <t>VÄSTERNORRLANDS LÄN</t>
        </is>
      </c>
      <c r="E986" t="inlineStr">
        <is>
          <t>ÅNGE</t>
        </is>
      </c>
      <c r="F986" t="inlineStr">
        <is>
          <t>SCA</t>
        </is>
      </c>
      <c r="G986" t="n">
        <v>10.9</v>
      </c>
      <c r="H986" t="n">
        <v>0</v>
      </c>
      <c r="I986" t="n">
        <v>0</v>
      </c>
      <c r="J986" t="n">
        <v>0</v>
      </c>
      <c r="K986" t="n">
        <v>0</v>
      </c>
      <c r="L986" t="n">
        <v>0</v>
      </c>
      <c r="M986" t="n">
        <v>0</v>
      </c>
      <c r="N986" t="n">
        <v>0</v>
      </c>
      <c r="O986" t="n">
        <v>0</v>
      </c>
      <c r="P986" t="n">
        <v>0</v>
      </c>
      <c r="Q986" t="n">
        <v>0</v>
      </c>
      <c r="R986" s="2" t="inlineStr"/>
    </row>
    <row r="987" ht="15" customHeight="1">
      <c r="A987" t="inlineStr">
        <is>
          <t>A 58240-2025</t>
        </is>
      </c>
      <c r="B987" s="1" t="n">
        <v>45985.38796296297</v>
      </c>
      <c r="C987" s="1" t="n">
        <v>45992</v>
      </c>
      <c r="D987" t="inlineStr">
        <is>
          <t>VÄSTERNORRLANDS LÄN</t>
        </is>
      </c>
      <c r="E987" t="inlineStr">
        <is>
          <t>ÅNGE</t>
        </is>
      </c>
      <c r="G987" t="n">
        <v>1.8</v>
      </c>
      <c r="H987" t="n">
        <v>0</v>
      </c>
      <c r="I987" t="n">
        <v>0</v>
      </c>
      <c r="J987" t="n">
        <v>0</v>
      </c>
      <c r="K987" t="n">
        <v>0</v>
      </c>
      <c r="L987" t="n">
        <v>0</v>
      </c>
      <c r="M987" t="n">
        <v>0</v>
      </c>
      <c r="N987" t="n">
        <v>0</v>
      </c>
      <c r="O987" t="n">
        <v>0</v>
      </c>
      <c r="P987" t="n">
        <v>0</v>
      </c>
      <c r="Q987" t="n">
        <v>0</v>
      </c>
      <c r="R987" s="2" t="inlineStr"/>
    </row>
    <row r="988" ht="15" customHeight="1">
      <c r="A988" t="inlineStr">
        <is>
          <t>A 57991-2025</t>
        </is>
      </c>
      <c r="B988" s="1" t="n">
        <v>45982.42438657407</v>
      </c>
      <c r="C988" s="1" t="n">
        <v>45992</v>
      </c>
      <c r="D988" t="inlineStr">
        <is>
          <t>VÄSTERNORRLANDS LÄN</t>
        </is>
      </c>
      <c r="E988" t="inlineStr">
        <is>
          <t>ÅNGE</t>
        </is>
      </c>
      <c r="G988" t="n">
        <v>3.2</v>
      </c>
      <c r="H988" t="n">
        <v>0</v>
      </c>
      <c r="I988" t="n">
        <v>0</v>
      </c>
      <c r="J988" t="n">
        <v>0</v>
      </c>
      <c r="K988" t="n">
        <v>0</v>
      </c>
      <c r="L988" t="n">
        <v>0</v>
      </c>
      <c r="M988" t="n">
        <v>0</v>
      </c>
      <c r="N988" t="n">
        <v>0</v>
      </c>
      <c r="O988" t="n">
        <v>0</v>
      </c>
      <c r="P988" t="n">
        <v>0</v>
      </c>
      <c r="Q988" t="n">
        <v>0</v>
      </c>
      <c r="R988" s="2" t="inlineStr"/>
    </row>
    <row r="989" ht="15" customHeight="1">
      <c r="A989" t="inlineStr">
        <is>
          <t>A 1975-2025</t>
        </is>
      </c>
      <c r="B989" s="1" t="n">
        <v>45672.39332175926</v>
      </c>
      <c r="C989" s="1" t="n">
        <v>45992</v>
      </c>
      <c r="D989" t="inlineStr">
        <is>
          <t>VÄSTERNORRLANDS LÄN</t>
        </is>
      </c>
      <c r="E989" t="inlineStr">
        <is>
          <t>ÅNGE</t>
        </is>
      </c>
      <c r="G989" t="n">
        <v>6.2</v>
      </c>
      <c r="H989" t="n">
        <v>0</v>
      </c>
      <c r="I989" t="n">
        <v>0</v>
      </c>
      <c r="J989" t="n">
        <v>0</v>
      </c>
      <c r="K989" t="n">
        <v>0</v>
      </c>
      <c r="L989" t="n">
        <v>0</v>
      </c>
      <c r="M989" t="n">
        <v>0</v>
      </c>
      <c r="N989" t="n">
        <v>0</v>
      </c>
      <c r="O989" t="n">
        <v>0</v>
      </c>
      <c r="P989" t="n">
        <v>0</v>
      </c>
      <c r="Q989" t="n">
        <v>0</v>
      </c>
      <c r="R989" s="2" t="inlineStr"/>
    </row>
    <row r="990" ht="15" customHeight="1">
      <c r="A990" t="inlineStr">
        <is>
          <t>A 58406-2025</t>
        </is>
      </c>
      <c r="B990" s="1" t="n">
        <v>45985.56913194444</v>
      </c>
      <c r="C990" s="1" t="n">
        <v>45992</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15404-2025</t>
        </is>
      </c>
      <c r="B991" s="1" t="n">
        <v>45747.44665509259</v>
      </c>
      <c r="C991" s="1" t="n">
        <v>45992</v>
      </c>
      <c r="D991" t="inlineStr">
        <is>
          <t>VÄSTERNORRLANDS LÄN</t>
        </is>
      </c>
      <c r="E991" t="inlineStr">
        <is>
          <t>ÅNGE</t>
        </is>
      </c>
      <c r="G991" t="n">
        <v>11.8</v>
      </c>
      <c r="H991" t="n">
        <v>0</v>
      </c>
      <c r="I991" t="n">
        <v>0</v>
      </c>
      <c r="J991" t="n">
        <v>0</v>
      </c>
      <c r="K991" t="n">
        <v>0</v>
      </c>
      <c r="L991" t="n">
        <v>0</v>
      </c>
      <c r="M991" t="n">
        <v>0</v>
      </c>
      <c r="N991" t="n">
        <v>0</v>
      </c>
      <c r="O991" t="n">
        <v>0</v>
      </c>
      <c r="P991" t="n">
        <v>0</v>
      </c>
      <c r="Q991" t="n">
        <v>0</v>
      </c>
      <c r="R991" s="2" t="inlineStr"/>
    </row>
    <row r="992" ht="15" customHeight="1">
      <c r="A992" t="inlineStr">
        <is>
          <t>A 58524-2025</t>
        </is>
      </c>
      <c r="B992" s="1" t="n">
        <v>45985.7190162037</v>
      </c>
      <c r="C992" s="1" t="n">
        <v>45992</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58536-2025</t>
        </is>
      </c>
      <c r="B993" s="1" t="n">
        <v>45985.83274305556</v>
      </c>
      <c r="C993" s="1" t="n">
        <v>45992</v>
      </c>
      <c r="D993" t="inlineStr">
        <is>
          <t>VÄSTERNORRLANDS LÄN</t>
        </is>
      </c>
      <c r="E993" t="inlineStr">
        <is>
          <t>ÅNGE</t>
        </is>
      </c>
      <c r="G993" t="n">
        <v>2</v>
      </c>
      <c r="H993" t="n">
        <v>0</v>
      </c>
      <c r="I993" t="n">
        <v>0</v>
      </c>
      <c r="J993" t="n">
        <v>0</v>
      </c>
      <c r="K993" t="n">
        <v>0</v>
      </c>
      <c r="L993" t="n">
        <v>0</v>
      </c>
      <c r="M993" t="n">
        <v>0</v>
      </c>
      <c r="N993" t="n">
        <v>0</v>
      </c>
      <c r="O993" t="n">
        <v>0</v>
      </c>
      <c r="P993" t="n">
        <v>0</v>
      </c>
      <c r="Q993" t="n">
        <v>0</v>
      </c>
      <c r="R993" s="2" t="inlineStr"/>
    </row>
    <row r="994" ht="15" customHeight="1">
      <c r="A994" t="inlineStr">
        <is>
          <t>A 38099-2024</t>
        </is>
      </c>
      <c r="B994" s="1" t="n">
        <v>45545.35920138889</v>
      </c>
      <c r="C994" s="1" t="n">
        <v>45992</v>
      </c>
      <c r="D994" t="inlineStr">
        <is>
          <t>VÄSTERNORRLANDS LÄN</t>
        </is>
      </c>
      <c r="E994" t="inlineStr">
        <is>
          <t>ÅNGE</t>
        </is>
      </c>
      <c r="F994" t="inlineStr">
        <is>
          <t>Holmen skog AB</t>
        </is>
      </c>
      <c r="G994" t="n">
        <v>3.7</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45992</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57950-2025</t>
        </is>
      </c>
      <c r="B996" s="1" t="n">
        <v>45982.34473379629</v>
      </c>
      <c r="C996" s="1" t="n">
        <v>45992</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57960-2025</t>
        </is>
      </c>
      <c r="B997" s="1" t="n">
        <v>45982.36494212963</v>
      </c>
      <c r="C997" s="1" t="n">
        <v>45992</v>
      </c>
      <c r="D997" t="inlineStr">
        <is>
          <t>VÄSTERNORRLANDS LÄN</t>
        </is>
      </c>
      <c r="E997" t="inlineStr">
        <is>
          <t>ÅNGE</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1403-2025</t>
        </is>
      </c>
      <c r="B998" s="1" t="n">
        <v>45667.70548611111</v>
      </c>
      <c r="C998" s="1" t="n">
        <v>45992</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58048-2025</t>
        </is>
      </c>
      <c r="B999" s="1" t="n">
        <v>45982.5109837963</v>
      </c>
      <c r="C999" s="1" t="n">
        <v>45992</v>
      </c>
      <c r="D999" t="inlineStr">
        <is>
          <t>VÄSTERNORRLANDS LÄN</t>
        </is>
      </c>
      <c r="E999" t="inlineStr">
        <is>
          <t>ÅNGE</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50001-2025</t>
        </is>
      </c>
      <c r="B1000" s="1" t="n">
        <v>45943.34421296296</v>
      </c>
      <c r="C1000" s="1" t="n">
        <v>45992</v>
      </c>
      <c r="D1000" t="inlineStr">
        <is>
          <t>VÄSTERNORRLANDS LÄN</t>
        </is>
      </c>
      <c r="E1000" t="inlineStr">
        <is>
          <t>ÅNGE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50008-2025</t>
        </is>
      </c>
      <c r="B1001" s="1" t="n">
        <v>45943.34515046296</v>
      </c>
      <c r="C1001" s="1" t="n">
        <v>45992</v>
      </c>
      <c r="D1001" t="inlineStr">
        <is>
          <t>VÄSTERNORRLANDS LÄN</t>
        </is>
      </c>
      <c r="E1001" t="inlineStr">
        <is>
          <t>ÅNGE</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58486-2025</t>
        </is>
      </c>
      <c r="B1002" s="1" t="n">
        <v>45985.65660879629</v>
      </c>
      <c r="C1002" s="1" t="n">
        <v>45992</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60365-2024</t>
        </is>
      </c>
      <c r="B1003" s="1" t="n">
        <v>45643</v>
      </c>
      <c r="C1003" s="1" t="n">
        <v>45992</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58270-2025</t>
        </is>
      </c>
      <c r="B1004" s="1" t="n">
        <v>45985.42633101852</v>
      </c>
      <c r="C1004" s="1" t="n">
        <v>45992</v>
      </c>
      <c r="D1004" t="inlineStr">
        <is>
          <t>VÄSTERNORRLANDS LÄN</t>
        </is>
      </c>
      <c r="E1004" t="inlineStr">
        <is>
          <t>ÅNGE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57961-2025</t>
        </is>
      </c>
      <c r="B1005" s="1" t="n">
        <v>45982.36502314815</v>
      </c>
      <c r="C1005" s="1" t="n">
        <v>45992</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20393-2022</t>
        </is>
      </c>
      <c r="B1006" s="1" t="n">
        <v>44699</v>
      </c>
      <c r="C1006" s="1" t="n">
        <v>45992</v>
      </c>
      <c r="D1006" t="inlineStr">
        <is>
          <t>VÄSTERNORRLANDS LÄN</t>
        </is>
      </c>
      <c r="E1006" t="inlineStr">
        <is>
          <t>ÅNGE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58388-2025</t>
        </is>
      </c>
      <c r="B1007" s="1" t="n">
        <v>45985.54685185185</v>
      </c>
      <c r="C1007" s="1" t="n">
        <v>45992</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25320-2023</t>
        </is>
      </c>
      <c r="B1008" s="1" t="n">
        <v>45086.93929398148</v>
      </c>
      <c r="C1008" s="1" t="n">
        <v>45992</v>
      </c>
      <c r="D1008" t="inlineStr">
        <is>
          <t>VÄSTERNORRLANDS LÄN</t>
        </is>
      </c>
      <c r="E1008" t="inlineStr">
        <is>
          <t>ÅNGE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59626-2022</t>
        </is>
      </c>
      <c r="B1009" s="1" t="n">
        <v>44907.92354166666</v>
      </c>
      <c r="C1009" s="1" t="n">
        <v>45992</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58242-2025</t>
        </is>
      </c>
      <c r="B1010" s="1" t="n">
        <v>45985.38802083334</v>
      </c>
      <c r="C1010" s="1" t="n">
        <v>45992</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34852-2023</t>
        </is>
      </c>
      <c r="B1011" s="1" t="n">
        <v>45141</v>
      </c>
      <c r="C1011" s="1" t="n">
        <v>45992</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15032-2025</t>
        </is>
      </c>
      <c r="B1012" s="1" t="n">
        <v>45743.67748842593</v>
      </c>
      <c r="C1012" s="1" t="n">
        <v>45992</v>
      </c>
      <c r="D1012" t="inlineStr">
        <is>
          <t>VÄSTERNORRLANDS LÄN</t>
        </is>
      </c>
      <c r="E1012" t="inlineStr">
        <is>
          <t>ÅNGE</t>
        </is>
      </c>
      <c r="F1012" t="inlineStr">
        <is>
          <t>SCA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58588-2025</t>
        </is>
      </c>
      <c r="B1013" s="1" t="n">
        <v>45986.4065625</v>
      </c>
      <c r="C1013" s="1" t="n">
        <v>45992</v>
      </c>
      <c r="D1013" t="inlineStr">
        <is>
          <t>VÄSTERNORRLANDS LÄN</t>
        </is>
      </c>
      <c r="E1013" t="inlineStr">
        <is>
          <t>ÅNGE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58605-2025</t>
        </is>
      </c>
      <c r="B1014" s="1" t="n">
        <v>45986</v>
      </c>
      <c r="C1014" s="1" t="n">
        <v>45992</v>
      </c>
      <c r="D1014" t="inlineStr">
        <is>
          <t>VÄSTERNORRLANDS LÄN</t>
        </is>
      </c>
      <c r="E1014" t="inlineStr">
        <is>
          <t>ÅNGE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44415-2021</t>
        </is>
      </c>
      <c r="B1015" s="1" t="n">
        <v>44435</v>
      </c>
      <c r="C1015" s="1" t="n">
        <v>45992</v>
      </c>
      <c r="D1015" t="inlineStr">
        <is>
          <t>VÄSTERNORRLANDS LÄN</t>
        </is>
      </c>
      <c r="E1015" t="inlineStr">
        <is>
          <t>ÅNGE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50291-2025</t>
        </is>
      </c>
      <c r="B1016" s="1" t="n">
        <v>45944.40677083333</v>
      </c>
      <c r="C1016" s="1" t="n">
        <v>45992</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58750-2025</t>
        </is>
      </c>
      <c r="B1017" s="1" t="n">
        <v>45986.64064814815</v>
      </c>
      <c r="C1017" s="1" t="n">
        <v>45992</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40788-2024</t>
        </is>
      </c>
      <c r="B1018" s="1" t="n">
        <v>45558.50974537037</v>
      </c>
      <c r="C1018" s="1" t="n">
        <v>45992</v>
      </c>
      <c r="D1018" t="inlineStr">
        <is>
          <t>VÄSTERNORRLANDS LÄN</t>
        </is>
      </c>
      <c r="E1018" t="inlineStr">
        <is>
          <t>ÅNGE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27306-2024</t>
        </is>
      </c>
      <c r="B1019" s="1" t="n">
        <v>45471.94454861111</v>
      </c>
      <c r="C1019" s="1" t="n">
        <v>45992</v>
      </c>
      <c r="D1019" t="inlineStr">
        <is>
          <t>VÄSTERNORRLANDS LÄN</t>
        </is>
      </c>
      <c r="E1019" t="inlineStr">
        <is>
          <t>ÅNGE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58585-2025</t>
        </is>
      </c>
      <c r="B1020" s="1" t="n">
        <v>45986.39733796296</v>
      </c>
      <c r="C1020" s="1" t="n">
        <v>45992</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58890-2025</t>
        </is>
      </c>
      <c r="B1021" s="1" t="n">
        <v>45987.49006944444</v>
      </c>
      <c r="C1021" s="1" t="n">
        <v>45992</v>
      </c>
      <c r="D1021" t="inlineStr">
        <is>
          <t>VÄSTERNORRLANDS LÄN</t>
        </is>
      </c>
      <c r="E1021" t="inlineStr">
        <is>
          <t>ÅNGE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59818-2024</t>
        </is>
      </c>
      <c r="B1022" s="1" t="n">
        <v>45639.63572916666</v>
      </c>
      <c r="C1022" s="1" t="n">
        <v>45992</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50460-2025</t>
        </is>
      </c>
      <c r="B1023" s="1" t="n">
        <v>45945.345</v>
      </c>
      <c r="C1023" s="1" t="n">
        <v>45992</v>
      </c>
      <c r="D1023" t="inlineStr">
        <is>
          <t>VÄSTERNORRLANDS LÄN</t>
        </is>
      </c>
      <c r="E1023" t="inlineStr">
        <is>
          <t>ÅNGE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16978-2024</t>
        </is>
      </c>
      <c r="B1024" s="1" t="n">
        <v>45412.02416666667</v>
      </c>
      <c r="C1024" s="1" t="n">
        <v>45992</v>
      </c>
      <c r="D1024" t="inlineStr">
        <is>
          <t>VÄSTERNORRLANDS LÄN</t>
        </is>
      </c>
      <c r="E1024" t="inlineStr">
        <is>
          <t>ÅNGE</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44895.94991898148</v>
      </c>
      <c r="C1025" s="1" t="n">
        <v>45992</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50571-2025</t>
        </is>
      </c>
      <c r="B1026" s="1" t="n">
        <v>45945.57443287037</v>
      </c>
      <c r="C1026" s="1" t="n">
        <v>45992</v>
      </c>
      <c r="D1026" t="inlineStr">
        <is>
          <t>VÄSTERNORRLANDS LÄN</t>
        </is>
      </c>
      <c r="E1026" t="inlineStr">
        <is>
          <t>ÅNGE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54707-2025</t>
        </is>
      </c>
      <c r="B1027" s="1" t="n">
        <v>45966</v>
      </c>
      <c r="C1027" s="1" t="n">
        <v>45992</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58823-2025</t>
        </is>
      </c>
      <c r="B1028" s="1" t="n">
        <v>45987.3453125</v>
      </c>
      <c r="C1028" s="1" t="n">
        <v>45992</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58892-2025</t>
        </is>
      </c>
      <c r="B1029" s="1" t="n">
        <v>45987.49056712963</v>
      </c>
      <c r="C1029" s="1" t="n">
        <v>45992</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65149-2020</t>
        </is>
      </c>
      <c r="B1030" s="1" t="n">
        <v>44172</v>
      </c>
      <c r="C1030" s="1" t="n">
        <v>45992</v>
      </c>
      <c r="D1030" t="inlineStr">
        <is>
          <t>VÄSTERNORRLANDS LÄN</t>
        </is>
      </c>
      <c r="E1030" t="inlineStr">
        <is>
          <t>ÅNGE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58906-2025</t>
        </is>
      </c>
      <c r="B1031" s="1" t="n">
        <v>45987.51087962963</v>
      </c>
      <c r="C1031" s="1" t="n">
        <v>45992</v>
      </c>
      <c r="D1031" t="inlineStr">
        <is>
          <t>VÄSTERNORRLANDS LÄN</t>
        </is>
      </c>
      <c r="E1031" t="inlineStr">
        <is>
          <t>ÅNGE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58907-2025</t>
        </is>
      </c>
      <c r="B1032" s="1" t="n">
        <v>45987.51108796296</v>
      </c>
      <c r="C1032" s="1" t="n">
        <v>45992</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53999-2025</t>
        </is>
      </c>
      <c r="B1033" s="1" t="n">
        <v>45961</v>
      </c>
      <c r="C1033" s="1" t="n">
        <v>45992</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58639-2025</t>
        </is>
      </c>
      <c r="B1034" s="1" t="n">
        <v>45986.49042824074</v>
      </c>
      <c r="C1034" s="1" t="n">
        <v>45992</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58599-2025</t>
        </is>
      </c>
      <c r="B1035" s="1" t="n">
        <v>45986.42644675926</v>
      </c>
      <c r="C1035" s="1" t="n">
        <v>45992</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41766-2024</t>
        </is>
      </c>
      <c r="B1036" s="1" t="n">
        <v>45561.34594907407</v>
      </c>
      <c r="C1036" s="1" t="n">
        <v>45992</v>
      </c>
      <c r="D1036" t="inlineStr">
        <is>
          <t>VÄSTERNORRLANDS LÄN</t>
        </is>
      </c>
      <c r="E1036" t="inlineStr">
        <is>
          <t>ÅNGE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39178-2024</t>
        </is>
      </c>
      <c r="B1037" s="1" t="n">
        <v>45548.65692129629</v>
      </c>
      <c r="C1037" s="1" t="n">
        <v>45992</v>
      </c>
      <c r="D1037" t="inlineStr">
        <is>
          <t>VÄSTERNORRLANDS LÄN</t>
        </is>
      </c>
      <c r="E1037" t="inlineStr">
        <is>
          <t>ÅNGE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51383-2022</t>
        </is>
      </c>
      <c r="B1038" s="1" t="n">
        <v>44866</v>
      </c>
      <c r="C1038" s="1" t="n">
        <v>45992</v>
      </c>
      <c r="D1038" t="inlineStr">
        <is>
          <t>VÄSTERNORRLANDS LÄN</t>
        </is>
      </c>
      <c r="E1038" t="inlineStr">
        <is>
          <t>ÅNGE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44869.43277777778</v>
      </c>
      <c r="C1039" s="1" t="n">
        <v>45992</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4236-2025</t>
        </is>
      </c>
      <c r="B1040" s="1" t="n">
        <v>45685.56534722223</v>
      </c>
      <c r="C1040" s="1" t="n">
        <v>45992</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2415-2024</t>
        </is>
      </c>
      <c r="B1041" s="1" t="n">
        <v>45310</v>
      </c>
      <c r="C1041" s="1" t="n">
        <v>45992</v>
      </c>
      <c r="D1041" t="inlineStr">
        <is>
          <t>VÄSTERNORRLANDS LÄN</t>
        </is>
      </c>
      <c r="E1041" t="inlineStr">
        <is>
          <t>ÅNGE</t>
        </is>
      </c>
      <c r="F1041" t="inlineStr">
        <is>
          <t>Kyrkan</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4361-2024</t>
        </is>
      </c>
      <c r="B1042" s="1" t="n">
        <v>45325.65047453704</v>
      </c>
      <c r="C1042" s="1" t="n">
        <v>45992</v>
      </c>
      <c r="D1042" t="inlineStr">
        <is>
          <t>VÄSTERNORRLANDS LÄN</t>
        </is>
      </c>
      <c r="E1042" t="inlineStr">
        <is>
          <t>ÅNGE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26490-2024</t>
        </is>
      </c>
      <c r="B1043" s="1" t="n">
        <v>45469</v>
      </c>
      <c r="C1043" s="1" t="n">
        <v>45992</v>
      </c>
      <c r="D1043" t="inlineStr">
        <is>
          <t>VÄSTERNORRLANDS LÄN</t>
        </is>
      </c>
      <c r="E1043" t="inlineStr">
        <is>
          <t>ÅNGE</t>
        </is>
      </c>
      <c r="F1043" t="inlineStr">
        <is>
          <t>Sveaskog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47779-2023</t>
        </is>
      </c>
      <c r="B1044" s="1" t="n">
        <v>45203.92232638889</v>
      </c>
      <c r="C1044" s="1" t="n">
        <v>45992</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50767-2025</t>
        </is>
      </c>
      <c r="B1045" s="1" t="n">
        <v>45946</v>
      </c>
      <c r="C1045" s="1" t="n">
        <v>45992</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38246-2024</t>
        </is>
      </c>
      <c r="B1046" s="1" t="n">
        <v>45545.57327546296</v>
      </c>
      <c r="C1046" s="1" t="n">
        <v>45992</v>
      </c>
      <c r="D1046" t="inlineStr">
        <is>
          <t>VÄSTERNORRLANDS LÄN</t>
        </is>
      </c>
      <c r="E1046" t="inlineStr">
        <is>
          <t>ÅNGE</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50769-2025</t>
        </is>
      </c>
      <c r="B1047" s="1" t="n">
        <v>45946.44864583333</v>
      </c>
      <c r="C1047" s="1" t="n">
        <v>45992</v>
      </c>
      <c r="D1047" t="inlineStr">
        <is>
          <t>VÄSTERNORRLANDS LÄN</t>
        </is>
      </c>
      <c r="E1047" t="inlineStr">
        <is>
          <t>ÅNGE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64946-2023</t>
        </is>
      </c>
      <c r="B1048" s="1" t="n">
        <v>45282.94678240741</v>
      </c>
      <c r="C1048" s="1" t="n">
        <v>45992</v>
      </c>
      <c r="D1048" t="inlineStr">
        <is>
          <t>VÄSTERNORRLANDS LÄN</t>
        </is>
      </c>
      <c r="E1048" t="inlineStr">
        <is>
          <t>ÅNGE</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59065-2025</t>
        </is>
      </c>
      <c r="B1049" s="1" t="n">
        <v>45988.40780092592</v>
      </c>
      <c r="C1049" s="1" t="n">
        <v>45992</v>
      </c>
      <c r="D1049" t="inlineStr">
        <is>
          <t>VÄSTERNORRLANDS LÄN</t>
        </is>
      </c>
      <c r="E1049" t="inlineStr">
        <is>
          <t>ÅNGE</t>
        </is>
      </c>
      <c r="F1049" t="inlineStr">
        <is>
          <t>SCA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61585-2022</t>
        </is>
      </c>
      <c r="B1050" s="1" t="n">
        <v>44916.63380787037</v>
      </c>
      <c r="C1050" s="1" t="n">
        <v>45992</v>
      </c>
      <c r="D1050" t="inlineStr">
        <is>
          <t>VÄSTERNORRLANDS LÄN</t>
        </is>
      </c>
      <c r="E1050" t="inlineStr">
        <is>
          <t>ÅNGE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16365-2023</t>
        </is>
      </c>
      <c r="B1051" s="1" t="n">
        <v>45028</v>
      </c>
      <c r="C1051" s="1" t="n">
        <v>45992</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69790-2021</t>
        </is>
      </c>
      <c r="B1052" s="1" t="n">
        <v>44532.605625</v>
      </c>
      <c r="C1052" s="1" t="n">
        <v>45992</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53209-2024</t>
        </is>
      </c>
      <c r="B1053" s="1" t="n">
        <v>45612.51079861111</v>
      </c>
      <c r="C1053" s="1" t="n">
        <v>45992</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3574-2025</t>
        </is>
      </c>
      <c r="B1054" s="1" t="n">
        <v>45680.71916666667</v>
      </c>
      <c r="C1054" s="1" t="n">
        <v>45992</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30803-2022</t>
        </is>
      </c>
      <c r="B1055" s="1" t="n">
        <v>44764</v>
      </c>
      <c r="C1055" s="1" t="n">
        <v>45992</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59062-2025</t>
        </is>
      </c>
      <c r="B1056" s="1" t="n">
        <v>45988.40723379629</v>
      </c>
      <c r="C1056" s="1" t="n">
        <v>45992</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51109-2025</t>
        </is>
      </c>
      <c r="B1057" s="1" t="n">
        <v>45947.50263888889</v>
      </c>
      <c r="C1057" s="1" t="n">
        <v>45992</v>
      </c>
      <c r="D1057" t="inlineStr">
        <is>
          <t>VÄSTERNORRLANDS LÄN</t>
        </is>
      </c>
      <c r="E1057" t="inlineStr">
        <is>
          <t>ÅNGE</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59319-2025</t>
        </is>
      </c>
      <c r="B1058" s="1" t="n">
        <v>45989.33283564815</v>
      </c>
      <c r="C1058" s="1" t="n">
        <v>45992</v>
      </c>
      <c r="D1058" t="inlineStr">
        <is>
          <t>VÄSTERNORRLANDS LÄN</t>
        </is>
      </c>
      <c r="E1058" t="inlineStr">
        <is>
          <t>ÅNGE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59331-2025</t>
        </is>
      </c>
      <c r="B1059" s="1" t="n">
        <v>45989.35978009259</v>
      </c>
      <c r="C1059" s="1" t="n">
        <v>45992</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59063-2025</t>
        </is>
      </c>
      <c r="B1060" s="1" t="n">
        <v>45988.40734953704</v>
      </c>
      <c r="C1060" s="1" t="n">
        <v>45992</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59064-2025</t>
        </is>
      </c>
      <c r="B1061" s="1" t="n">
        <v>45988.40768518519</v>
      </c>
      <c r="C1061" s="1" t="n">
        <v>45992</v>
      </c>
      <c r="D1061" t="inlineStr">
        <is>
          <t>VÄSTERNORRLANDS LÄN</t>
        </is>
      </c>
      <c r="E1061" t="inlineStr">
        <is>
          <t>ÅNGE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59259-2025</t>
        </is>
      </c>
      <c r="B1062" s="1" t="n">
        <v>45988.65748842592</v>
      </c>
      <c r="C1062" s="1" t="n">
        <v>45992</v>
      </c>
      <c r="D1062" t="inlineStr">
        <is>
          <t>VÄSTERNORRLANDS LÄN</t>
        </is>
      </c>
      <c r="E1062" t="inlineStr">
        <is>
          <t>ÅNGE</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34750-2023</t>
        </is>
      </c>
      <c r="B1063" s="1" t="n">
        <v>45139</v>
      </c>
      <c r="C1063" s="1" t="n">
        <v>45992</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44180-2023</t>
        </is>
      </c>
      <c r="B1064" s="1" t="n">
        <v>45183</v>
      </c>
      <c r="C1064" s="1" t="n">
        <v>45992</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14888-2022</t>
        </is>
      </c>
      <c r="B1065" s="1" t="n">
        <v>44656</v>
      </c>
      <c r="C1065" s="1" t="n">
        <v>45992</v>
      </c>
      <c r="D1065" t="inlineStr">
        <is>
          <t>VÄSTERNORRLANDS LÄN</t>
        </is>
      </c>
      <c r="E1065" t="inlineStr">
        <is>
          <t>ÅNGE</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22990-2024</t>
        </is>
      </c>
      <c r="B1066" s="1" t="n">
        <v>45449.94548611111</v>
      </c>
      <c r="C1066" s="1" t="n">
        <v>45992</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27260-2023</t>
        </is>
      </c>
      <c r="B1067" s="1" t="n">
        <v>45092</v>
      </c>
      <c r="C1067" s="1" t="n">
        <v>45992</v>
      </c>
      <c r="D1067" t="inlineStr">
        <is>
          <t>VÄSTERNORRLANDS LÄN</t>
        </is>
      </c>
      <c r="E1067" t="inlineStr">
        <is>
          <t>ÅNGE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58637-2023</t>
        </is>
      </c>
      <c r="B1068" s="1" t="n">
        <v>45251</v>
      </c>
      <c r="C1068" s="1" t="n">
        <v>45992</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30753-2024</t>
        </is>
      </c>
      <c r="B1069" s="1" t="n">
        <v>45496</v>
      </c>
      <c r="C1069" s="1" t="n">
        <v>45992</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30754-2024</t>
        </is>
      </c>
      <c r="B1070" s="1" t="n">
        <v>45496</v>
      </c>
      <c r="C1070" s="1" t="n">
        <v>45992</v>
      </c>
      <c r="D1070" t="inlineStr">
        <is>
          <t>VÄSTERNORRLANDS LÄN</t>
        </is>
      </c>
      <c r="E1070" t="inlineStr">
        <is>
          <t>ÅNGE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57271-2024</t>
        </is>
      </c>
      <c r="B1071" s="1" t="n">
        <v>45629.57364583333</v>
      </c>
      <c r="C1071" s="1" t="n">
        <v>45992</v>
      </c>
      <c r="D1071" t="inlineStr">
        <is>
          <t>VÄSTERNORRLANDS LÄN</t>
        </is>
      </c>
      <c r="E1071" t="inlineStr">
        <is>
          <t>ÅNGE</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9480-2022</t>
        </is>
      </c>
      <c r="B1072" s="1" t="n">
        <v>44616</v>
      </c>
      <c r="C1072" s="1" t="n">
        <v>45992</v>
      </c>
      <c r="D1072" t="inlineStr">
        <is>
          <t>VÄSTERNORRLANDS LÄN</t>
        </is>
      </c>
      <c r="E1072" t="inlineStr">
        <is>
          <t>ÅNGE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37503-2023</t>
        </is>
      </c>
      <c r="B1073" s="1" t="n">
        <v>45157.5796875</v>
      </c>
      <c r="C1073" s="1" t="n">
        <v>45992</v>
      </c>
      <c r="D1073" t="inlineStr">
        <is>
          <t>VÄSTERNORRLANDS LÄN</t>
        </is>
      </c>
      <c r="E1073" t="inlineStr">
        <is>
          <t>ÅNGE</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51124-2024</t>
        </is>
      </c>
      <c r="B1074" s="1" t="n">
        <v>45603.50716435185</v>
      </c>
      <c r="C1074" s="1" t="n">
        <v>45992</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51377-2024</t>
        </is>
      </c>
      <c r="B1075" s="1" t="n">
        <v>45604.38142361111</v>
      </c>
      <c r="C1075" s="1" t="n">
        <v>45992</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44876-2024</t>
        </is>
      </c>
      <c r="B1076" s="1" t="n">
        <v>45575.34474537037</v>
      </c>
      <c r="C1076" s="1" t="n">
        <v>45992</v>
      </c>
      <c r="D1076" t="inlineStr">
        <is>
          <t>VÄSTERNORRLANDS LÄN</t>
        </is>
      </c>
      <c r="E1076" t="inlineStr">
        <is>
          <t>ÅNGE</t>
        </is>
      </c>
      <c r="F1076" t="inlineStr">
        <is>
          <t>SCA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20229-2022</t>
        </is>
      </c>
      <c r="B1077" s="1" t="n">
        <v>44698.61150462963</v>
      </c>
      <c r="C1077" s="1" t="n">
        <v>45992</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14097-2022</t>
        </is>
      </c>
      <c r="B1078" s="1" t="n">
        <v>44651</v>
      </c>
      <c r="C1078" s="1" t="n">
        <v>45992</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32901-2023</t>
        </is>
      </c>
      <c r="B1079" s="1" t="n">
        <v>45124.95063657407</v>
      </c>
      <c r="C1079" s="1" t="n">
        <v>45992</v>
      </c>
      <c r="D1079" t="inlineStr">
        <is>
          <t>VÄSTERNORRLANDS LÄN</t>
        </is>
      </c>
      <c r="E1079" t="inlineStr">
        <is>
          <t>ÅNGE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15603-2024</t>
        </is>
      </c>
      <c r="B1080" s="1" t="n">
        <v>45401.92501157407</v>
      </c>
      <c r="C1080" s="1" t="n">
        <v>45992</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11310-2023</t>
        </is>
      </c>
      <c r="B1081" s="1" t="n">
        <v>44993.01190972222</v>
      </c>
      <c r="C1081" s="1" t="n">
        <v>45992</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21409-2022</t>
        </is>
      </c>
      <c r="B1082" s="1" t="n">
        <v>44705.9406712963</v>
      </c>
      <c r="C1082" s="1" t="n">
        <v>45992</v>
      </c>
      <c r="D1082" t="inlineStr">
        <is>
          <t>VÄSTERNORRLANDS LÄN</t>
        </is>
      </c>
      <c r="E1082" t="inlineStr">
        <is>
          <t>ÅNGE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48632-2023</t>
        </is>
      </c>
      <c r="B1083" s="1" t="n">
        <v>45208.57944444445</v>
      </c>
      <c r="C1083" s="1" t="n">
        <v>45992</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20761-2024</t>
        </is>
      </c>
      <c r="B1084" s="1" t="n">
        <v>45436</v>
      </c>
      <c r="C1084" s="1" t="n">
        <v>45992</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6619-2025</t>
        </is>
      </c>
      <c r="B1085" s="1" t="n">
        <v>45700.36541666667</v>
      </c>
      <c r="C1085" s="1" t="n">
        <v>45992</v>
      </c>
      <c r="D1085" t="inlineStr">
        <is>
          <t>VÄSTERNORRLANDS LÄN</t>
        </is>
      </c>
      <c r="E1085" t="inlineStr">
        <is>
          <t>ÅNGE</t>
        </is>
      </c>
      <c r="F1085" t="inlineStr">
        <is>
          <t>SCA</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10339-2025</t>
        </is>
      </c>
      <c r="B1086" s="1" t="n">
        <v>45720</v>
      </c>
      <c r="C1086" s="1" t="n">
        <v>45992</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12581-2024</t>
        </is>
      </c>
      <c r="B1087" s="1" t="n">
        <v>45379</v>
      </c>
      <c r="C1087" s="1" t="n">
        <v>45992</v>
      </c>
      <c r="D1087" t="inlineStr">
        <is>
          <t>VÄSTERNORRLANDS LÄN</t>
        </is>
      </c>
      <c r="E1087" t="inlineStr">
        <is>
          <t>ÅNGE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55558-2024</t>
        </is>
      </c>
      <c r="B1088" s="1" t="n">
        <v>45622.52586805556</v>
      </c>
      <c r="C1088" s="1" t="n">
        <v>45992</v>
      </c>
      <c r="D1088" t="inlineStr">
        <is>
          <t>VÄSTERNORRLANDS LÄN</t>
        </is>
      </c>
      <c r="E1088" t="inlineStr">
        <is>
          <t>ÅNGE</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52665-2024</t>
        </is>
      </c>
      <c r="B1089" s="1" t="n">
        <v>45610.36549768518</v>
      </c>
      <c r="C1089" s="1" t="n">
        <v>45992</v>
      </c>
      <c r="D1089" t="inlineStr">
        <is>
          <t>VÄSTERNORRLANDS LÄN</t>
        </is>
      </c>
      <c r="E1089" t="inlineStr">
        <is>
          <t>ÅNGE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20338-2025</t>
        </is>
      </c>
      <c r="B1090" s="1" t="n">
        <v>45775</v>
      </c>
      <c r="C1090" s="1" t="n">
        <v>45992</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14751-2025</t>
        </is>
      </c>
      <c r="B1091" s="1" t="n">
        <v>45742.65863425926</v>
      </c>
      <c r="C1091" s="1" t="n">
        <v>45992</v>
      </c>
      <c r="D1091" t="inlineStr">
        <is>
          <t>VÄSTERNORRLANDS LÄN</t>
        </is>
      </c>
      <c r="E1091" t="inlineStr">
        <is>
          <t>ÅNGE</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54342-2023</t>
        </is>
      </c>
      <c r="B1092" s="1" t="n">
        <v>45232</v>
      </c>
      <c r="C1092" s="1" t="n">
        <v>45992</v>
      </c>
      <c r="D1092" t="inlineStr">
        <is>
          <t>VÄSTERNORRLANDS LÄN</t>
        </is>
      </c>
      <c r="E1092" t="inlineStr">
        <is>
          <t>ÅNGE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34091-2022</t>
        </is>
      </c>
      <c r="B1093" s="1" t="n">
        <v>44791</v>
      </c>
      <c r="C1093" s="1" t="n">
        <v>45992</v>
      </c>
      <c r="D1093" t="inlineStr">
        <is>
          <t>VÄSTERNORRLANDS LÄN</t>
        </is>
      </c>
      <c r="E1093" t="inlineStr">
        <is>
          <t>ÅNGE</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19066-2024</t>
        </is>
      </c>
      <c r="B1094" s="1" t="n">
        <v>45427</v>
      </c>
      <c r="C1094" s="1" t="n">
        <v>45992</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14976-2025</t>
        </is>
      </c>
      <c r="B1095" s="1" t="n">
        <v>45743</v>
      </c>
      <c r="C1095" s="1" t="n">
        <v>45992</v>
      </c>
      <c r="D1095" t="inlineStr">
        <is>
          <t>VÄSTERNORRLANDS LÄN</t>
        </is>
      </c>
      <c r="E1095" t="inlineStr">
        <is>
          <t>ÅNGE</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8070-2022</t>
        </is>
      </c>
      <c r="B1096" s="1" t="n">
        <v>44609.48665509259</v>
      </c>
      <c r="C1096" s="1" t="n">
        <v>45992</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52805-2024</t>
        </is>
      </c>
      <c r="B1097" s="1" t="n">
        <v>45610.57344907407</v>
      </c>
      <c r="C1097" s="1" t="n">
        <v>45992</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4651-2022</t>
        </is>
      </c>
      <c r="B1098" s="1" t="n">
        <v>44592</v>
      </c>
      <c r="C1098" s="1" t="n">
        <v>45992</v>
      </c>
      <c r="D1098" t="inlineStr">
        <is>
          <t>VÄSTERNORRLANDS LÄN</t>
        </is>
      </c>
      <c r="E1098" t="inlineStr">
        <is>
          <t>ÅNGE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19342-2024</t>
        </is>
      </c>
      <c r="B1099" s="1" t="n">
        <v>45428</v>
      </c>
      <c r="C1099" s="1" t="n">
        <v>45992</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24977-2021</t>
        </is>
      </c>
      <c r="B1100" s="1" t="n">
        <v>44341.51386574074</v>
      </c>
      <c r="C1100" s="1" t="n">
        <v>45992</v>
      </c>
      <c r="D1100" t="inlineStr">
        <is>
          <t>VÄSTERNORRLANDS LÄN</t>
        </is>
      </c>
      <c r="E1100" t="inlineStr">
        <is>
          <t>ÅNGE</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5246-2025</t>
        </is>
      </c>
      <c r="B1101" s="1" t="n">
        <v>45692.34427083333</v>
      </c>
      <c r="C1101" s="1" t="n">
        <v>45992</v>
      </c>
      <c r="D1101" t="inlineStr">
        <is>
          <t>VÄSTERNORRLANDS LÄN</t>
        </is>
      </c>
      <c r="E1101" t="inlineStr">
        <is>
          <t>ÅNGE</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16973-2025</t>
        </is>
      </c>
      <c r="B1102" s="1" t="n">
        <v>45755.46967592592</v>
      </c>
      <c r="C1102" s="1" t="n">
        <v>45992</v>
      </c>
      <c r="D1102" t="inlineStr">
        <is>
          <t>VÄSTERNORRLANDS LÄN</t>
        </is>
      </c>
      <c r="E1102" t="inlineStr">
        <is>
          <t>ÅNGE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34679-2024</t>
        </is>
      </c>
      <c r="B1103" s="1" t="n">
        <v>45526</v>
      </c>
      <c r="C1103" s="1" t="n">
        <v>45992</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43096-2023</t>
        </is>
      </c>
      <c r="B1104" s="1" t="n">
        <v>45182</v>
      </c>
      <c r="C1104" s="1" t="n">
        <v>45992</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60296-2021</t>
        </is>
      </c>
      <c r="B1105" s="1" t="n">
        <v>44495</v>
      </c>
      <c r="C1105" s="1" t="n">
        <v>45992</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25023-2022</t>
        </is>
      </c>
      <c r="B1106" s="1" t="n">
        <v>44728</v>
      </c>
      <c r="C1106" s="1" t="n">
        <v>45992</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31545-2024</t>
        </is>
      </c>
      <c r="B1107" s="1" t="n">
        <v>45505</v>
      </c>
      <c r="C1107" s="1" t="n">
        <v>45992</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5197-2025</t>
        </is>
      </c>
      <c r="B1108" s="1" t="n">
        <v>45691.65701388889</v>
      </c>
      <c r="C1108" s="1" t="n">
        <v>45992</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50179-2024</t>
        </is>
      </c>
      <c r="B1109" s="1" t="n">
        <v>45600</v>
      </c>
      <c r="C1109" s="1" t="n">
        <v>45992</v>
      </c>
      <c r="D1109" t="inlineStr">
        <is>
          <t>VÄSTERNORRLANDS LÄN</t>
        </is>
      </c>
      <c r="E1109" t="inlineStr">
        <is>
          <t>ÅNGE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44565-2024</t>
        </is>
      </c>
      <c r="B1110" s="1" t="n">
        <v>45574.47518518518</v>
      </c>
      <c r="C1110" s="1" t="n">
        <v>45992</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40755-2023</t>
        </is>
      </c>
      <c r="B1111" s="1" t="n">
        <v>45170</v>
      </c>
      <c r="C1111" s="1" t="n">
        <v>45992</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31696-2022</t>
        </is>
      </c>
      <c r="B1112" s="1" t="n">
        <v>44776</v>
      </c>
      <c r="C1112" s="1" t="n">
        <v>45992</v>
      </c>
      <c r="D1112" t="inlineStr">
        <is>
          <t>VÄSTERNORRLANDS LÄN</t>
        </is>
      </c>
      <c r="E1112" t="inlineStr">
        <is>
          <t>ÅNGE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10084-2023</t>
        </is>
      </c>
      <c r="B1113" s="1" t="n">
        <v>44985.94465277778</v>
      </c>
      <c r="C1113" s="1" t="n">
        <v>45992</v>
      </c>
      <c r="D1113" t="inlineStr">
        <is>
          <t>VÄSTERNORRLANDS LÄN</t>
        </is>
      </c>
      <c r="E1113" t="inlineStr">
        <is>
          <t>ÅNGE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37038-2024</t>
        </is>
      </c>
      <c r="B1114" s="1" t="n">
        <v>45539.40881944444</v>
      </c>
      <c r="C1114" s="1" t="n">
        <v>45992</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45992</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17668-2023</t>
        </is>
      </c>
      <c r="B1116" s="1" t="n">
        <v>45036</v>
      </c>
      <c r="C1116" s="1" t="n">
        <v>45992</v>
      </c>
      <c r="D1116" t="inlineStr">
        <is>
          <t>VÄSTERNORRLANDS LÄN</t>
        </is>
      </c>
      <c r="E1116" t="inlineStr">
        <is>
          <t>ÅNGE</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41284-2024</t>
        </is>
      </c>
      <c r="B1117" s="1" t="n">
        <v>45559.59520833333</v>
      </c>
      <c r="C1117" s="1" t="n">
        <v>45992</v>
      </c>
      <c r="D1117" t="inlineStr">
        <is>
          <t>VÄSTERNORRLANDS LÄN</t>
        </is>
      </c>
      <c r="E1117" t="inlineStr">
        <is>
          <t>ÅNGE</t>
        </is>
      </c>
      <c r="F1117" t="inlineStr">
        <is>
          <t>SCA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39682-2024</t>
        </is>
      </c>
      <c r="B1118" s="1" t="n">
        <v>45552</v>
      </c>
      <c r="C1118" s="1" t="n">
        <v>45992</v>
      </c>
      <c r="D1118" t="inlineStr">
        <is>
          <t>VÄSTERNORRLANDS LÄN</t>
        </is>
      </c>
      <c r="E1118" t="inlineStr">
        <is>
          <t>ÅNGE</t>
        </is>
      </c>
      <c r="G1118" t="n">
        <v>35.4</v>
      </c>
      <c r="H1118" t="n">
        <v>0</v>
      </c>
      <c r="I1118" t="n">
        <v>0</v>
      </c>
      <c r="J1118" t="n">
        <v>0</v>
      </c>
      <c r="K1118" t="n">
        <v>0</v>
      </c>
      <c r="L1118" t="n">
        <v>0</v>
      </c>
      <c r="M1118" t="n">
        <v>0</v>
      </c>
      <c r="N1118" t="n">
        <v>0</v>
      </c>
      <c r="O1118" t="n">
        <v>0</v>
      </c>
      <c r="P1118" t="n">
        <v>0</v>
      </c>
      <c r="Q1118" t="n">
        <v>0</v>
      </c>
      <c r="R1118" s="2" t="inlineStr"/>
    </row>
    <row r="1119" ht="15" customHeight="1">
      <c r="A1119" t="inlineStr">
        <is>
          <t>A 19798-2025</t>
        </is>
      </c>
      <c r="B1119" s="1" t="n">
        <v>45771.44824074074</v>
      </c>
      <c r="C1119" s="1" t="n">
        <v>45992</v>
      </c>
      <c r="D1119" t="inlineStr">
        <is>
          <t>VÄSTERNORRLANDS LÄN</t>
        </is>
      </c>
      <c r="E1119" t="inlineStr">
        <is>
          <t>ÅNGE</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45992</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3133-2024</t>
        </is>
      </c>
      <c r="B1121" s="1" t="n">
        <v>45316.55885416667</v>
      </c>
      <c r="C1121" s="1" t="n">
        <v>45992</v>
      </c>
      <c r="D1121" t="inlineStr">
        <is>
          <t>VÄSTERNORRLANDS LÄN</t>
        </is>
      </c>
      <c r="E1121" t="inlineStr">
        <is>
          <t>ÅNGE</t>
        </is>
      </c>
      <c r="F1121" t="inlineStr">
        <is>
          <t>Holmen skog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56569-2024</t>
        </is>
      </c>
      <c r="B1122" s="1" t="n">
        <v>45625</v>
      </c>
      <c r="C1122" s="1" t="n">
        <v>45992</v>
      </c>
      <c r="D1122" t="inlineStr">
        <is>
          <t>VÄSTERNORRLANDS LÄN</t>
        </is>
      </c>
      <c r="E1122" t="inlineStr">
        <is>
          <t>ÅNGE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53663-2022</t>
        </is>
      </c>
      <c r="B1123" s="1" t="n">
        <v>44879</v>
      </c>
      <c r="C1123" s="1" t="n">
        <v>45992</v>
      </c>
      <c r="D1123" t="inlineStr">
        <is>
          <t>VÄSTERNORRLANDS LÄN</t>
        </is>
      </c>
      <c r="E1123" t="inlineStr">
        <is>
          <t>ÅNGE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10089-2023</t>
        </is>
      </c>
      <c r="B1124" s="1" t="n">
        <v>44985</v>
      </c>
      <c r="C1124" s="1" t="n">
        <v>45992</v>
      </c>
      <c r="D1124" t="inlineStr">
        <is>
          <t>VÄSTERNORRLANDS LÄN</t>
        </is>
      </c>
      <c r="E1124" t="inlineStr">
        <is>
          <t>ÅNGE</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10090-2023</t>
        </is>
      </c>
      <c r="B1125" s="1" t="n">
        <v>44985.94511574074</v>
      </c>
      <c r="C1125" s="1" t="n">
        <v>45992</v>
      </c>
      <c r="D1125" t="inlineStr">
        <is>
          <t>VÄSTERNORRLANDS LÄN</t>
        </is>
      </c>
      <c r="E1125" t="inlineStr">
        <is>
          <t>ÅNGE</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19997-2023</t>
        </is>
      </c>
      <c r="B1126" s="1" t="n">
        <v>45054</v>
      </c>
      <c r="C1126" s="1" t="n">
        <v>45992</v>
      </c>
      <c r="D1126" t="inlineStr">
        <is>
          <t>VÄSTERNORRLANDS LÄN</t>
        </is>
      </c>
      <c r="E1126" t="inlineStr">
        <is>
          <t>ÅNGE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38284-2022</t>
        </is>
      </c>
      <c r="B1127" s="1" t="n">
        <v>44812.55149305556</v>
      </c>
      <c r="C1127" s="1" t="n">
        <v>45992</v>
      </c>
      <c r="D1127" t="inlineStr">
        <is>
          <t>VÄSTERNORRLANDS LÄN</t>
        </is>
      </c>
      <c r="E1127" t="inlineStr">
        <is>
          <t>ÅNGE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5393-2025</t>
        </is>
      </c>
      <c r="B1128" s="1" t="n">
        <v>45692.63574074074</v>
      </c>
      <c r="C1128" s="1" t="n">
        <v>45992</v>
      </c>
      <c r="D1128" t="inlineStr">
        <is>
          <t>VÄSTERNORRLANDS LÄN</t>
        </is>
      </c>
      <c r="E1128" t="inlineStr">
        <is>
          <t>ÅNGE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57529-2024</t>
        </is>
      </c>
      <c r="B1129" s="1" t="n">
        <v>45630</v>
      </c>
      <c r="C1129" s="1" t="n">
        <v>45992</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44938.58025462963</v>
      </c>
      <c r="C1130" s="1" t="n">
        <v>45992</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32776-2022</t>
        </is>
      </c>
      <c r="B1131" s="1" t="n">
        <v>44783.94607638889</v>
      </c>
      <c r="C1131" s="1" t="n">
        <v>45992</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25779-2023</t>
        </is>
      </c>
      <c r="B1132" s="1" t="n">
        <v>45090.47439814815</v>
      </c>
      <c r="C1132" s="1" t="n">
        <v>45992</v>
      </c>
      <c r="D1132" t="inlineStr">
        <is>
          <t>VÄSTERNORRLANDS LÄN</t>
        </is>
      </c>
      <c r="E1132" t="inlineStr">
        <is>
          <t>ÅNGE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23225-2024</t>
        </is>
      </c>
      <c r="B1133" s="1" t="n">
        <v>45452.9490162037</v>
      </c>
      <c r="C1133" s="1" t="n">
        <v>45992</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29696-2024</t>
        </is>
      </c>
      <c r="B1134" s="1" t="n">
        <v>45484.94524305555</v>
      </c>
      <c r="C1134" s="1" t="n">
        <v>45992</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6462-2024</t>
        </is>
      </c>
      <c r="B1135" s="1" t="n">
        <v>45338</v>
      </c>
      <c r="C1135" s="1" t="n">
        <v>45992</v>
      </c>
      <c r="D1135" t="inlineStr">
        <is>
          <t>VÄSTERNORRLANDS LÄN</t>
        </is>
      </c>
      <c r="E1135" t="inlineStr">
        <is>
          <t>ÅNGE</t>
        </is>
      </c>
      <c r="F1135" t="inlineStr">
        <is>
          <t>Kyrkan</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26018-2024</t>
        </is>
      </c>
      <c r="B1136" s="1" t="n">
        <v>45467.95998842592</v>
      </c>
      <c r="C1136" s="1" t="n">
        <v>45992</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26021-2024</t>
        </is>
      </c>
      <c r="B1137" s="1" t="n">
        <v>45467</v>
      </c>
      <c r="C1137" s="1" t="n">
        <v>45992</v>
      </c>
      <c r="D1137" t="inlineStr">
        <is>
          <t>VÄSTERNORRLANDS LÄN</t>
        </is>
      </c>
      <c r="E1137" t="inlineStr">
        <is>
          <t>ÅNGE</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29673-2024</t>
        </is>
      </c>
      <c r="B1138" s="1" t="n">
        <v>45484.94210648148</v>
      </c>
      <c r="C1138" s="1" t="n">
        <v>45992</v>
      </c>
      <c r="D1138" t="inlineStr">
        <is>
          <t>VÄSTERNORRLANDS LÄN</t>
        </is>
      </c>
      <c r="E1138" t="inlineStr">
        <is>
          <t>ÅNGE</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48690-2024</t>
        </is>
      </c>
      <c r="B1139" s="1" t="n">
        <v>45593.50704861111</v>
      </c>
      <c r="C1139" s="1" t="n">
        <v>45992</v>
      </c>
      <c r="D1139" t="inlineStr">
        <is>
          <t>VÄSTERNORRLANDS LÄN</t>
        </is>
      </c>
      <c r="E1139" t="inlineStr">
        <is>
          <t>ÅNGE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11399-2025</t>
        </is>
      </c>
      <c r="B1140" s="1" t="n">
        <v>45726.57364583333</v>
      </c>
      <c r="C1140" s="1" t="n">
        <v>45992</v>
      </c>
      <c r="D1140" t="inlineStr">
        <is>
          <t>VÄSTERNORRLANDS LÄN</t>
        </is>
      </c>
      <c r="E1140" t="inlineStr">
        <is>
          <t>ÅNGE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39021-2024</t>
        </is>
      </c>
      <c r="B1141" s="1" t="n">
        <v>45548</v>
      </c>
      <c r="C1141" s="1" t="n">
        <v>45992</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27915-2024</t>
        </is>
      </c>
      <c r="B1142" s="1" t="n">
        <v>45475</v>
      </c>
      <c r="C1142" s="1" t="n">
        <v>45992</v>
      </c>
      <c r="D1142" t="inlineStr">
        <is>
          <t>VÄSTERNORRLANDS LÄN</t>
        </is>
      </c>
      <c r="E1142" t="inlineStr">
        <is>
          <t>ÅNGE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2433-2024</t>
        </is>
      </c>
      <c r="B1143" s="1" t="n">
        <v>45310</v>
      </c>
      <c r="C1143" s="1" t="n">
        <v>45992</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57846-2022</t>
        </is>
      </c>
      <c r="B1144" s="1" t="n">
        <v>44897.95008101852</v>
      </c>
      <c r="C1144" s="1" t="n">
        <v>45992</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46249-2024</t>
        </is>
      </c>
      <c r="B1145" s="1" t="n">
        <v>45581.59409722222</v>
      </c>
      <c r="C1145" s="1" t="n">
        <v>45992</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8868-2023</t>
        </is>
      </c>
      <c r="B1146" s="1" t="n">
        <v>44978</v>
      </c>
      <c r="C1146" s="1" t="n">
        <v>45992</v>
      </c>
      <c r="D1146" t="inlineStr">
        <is>
          <t>VÄSTERNORRLANDS LÄN</t>
        </is>
      </c>
      <c r="E1146" t="inlineStr">
        <is>
          <t>ÅNGE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65229-2021</t>
        </is>
      </c>
      <c r="B1147" s="1" t="n">
        <v>44515</v>
      </c>
      <c r="C1147" s="1" t="n">
        <v>45992</v>
      </c>
      <c r="D1147" t="inlineStr">
        <is>
          <t>VÄSTERNORRLANDS LÄN</t>
        </is>
      </c>
      <c r="E1147" t="inlineStr">
        <is>
          <t>ÅNGE</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57291-2022</t>
        </is>
      </c>
      <c r="B1148" s="1" t="n">
        <v>44895</v>
      </c>
      <c r="C1148" s="1" t="n">
        <v>45992</v>
      </c>
      <c r="D1148" t="inlineStr">
        <is>
          <t>VÄSTERNORRLANDS LÄN</t>
        </is>
      </c>
      <c r="E1148" t="inlineStr">
        <is>
          <t>ÅNGE</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4883-2023</t>
        </is>
      </c>
      <c r="B1149" s="1" t="n">
        <v>44957</v>
      </c>
      <c r="C1149" s="1" t="n">
        <v>45992</v>
      </c>
      <c r="D1149" t="inlineStr">
        <is>
          <t>VÄSTERNORRLANDS LÄN</t>
        </is>
      </c>
      <c r="E1149" t="inlineStr">
        <is>
          <t>ÅNGE</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64945-2023</t>
        </is>
      </c>
      <c r="B1150" s="1" t="n">
        <v>45282.94668981482</v>
      </c>
      <c r="C1150" s="1" t="n">
        <v>45992</v>
      </c>
      <c r="D1150" t="inlineStr">
        <is>
          <t>VÄSTERNORRLANDS LÄN</t>
        </is>
      </c>
      <c r="E1150" t="inlineStr">
        <is>
          <t>ÅNGE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26951-2024</t>
        </is>
      </c>
      <c r="B1151" s="1" t="n">
        <v>45470.96991898148</v>
      </c>
      <c r="C1151" s="1" t="n">
        <v>45992</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26952-2024</t>
        </is>
      </c>
      <c r="B1152" s="1" t="n">
        <v>45470</v>
      </c>
      <c r="C1152" s="1" t="n">
        <v>45992</v>
      </c>
      <c r="D1152" t="inlineStr">
        <is>
          <t>VÄSTERNORRLANDS LÄN</t>
        </is>
      </c>
      <c r="E1152" t="inlineStr">
        <is>
          <t>ÅNGE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56399-2022</t>
        </is>
      </c>
      <c r="B1153" s="1" t="n">
        <v>44890</v>
      </c>
      <c r="C1153" s="1" t="n">
        <v>45992</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23058-2024</t>
        </is>
      </c>
      <c r="B1154" s="1" t="n">
        <v>45450.44020833333</v>
      </c>
      <c r="C1154" s="1" t="n">
        <v>45992</v>
      </c>
      <c r="D1154" t="inlineStr">
        <is>
          <t>VÄSTERNORRLANDS LÄN</t>
        </is>
      </c>
      <c r="E1154" t="inlineStr">
        <is>
          <t>ÅNGE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35979-2023</t>
        </is>
      </c>
      <c r="B1155" s="1" t="n">
        <v>45148</v>
      </c>
      <c r="C1155" s="1" t="n">
        <v>45992</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3986-2025</t>
        </is>
      </c>
      <c r="B1156" s="1" t="n">
        <v>45684.55262731481</v>
      </c>
      <c r="C1156" s="1" t="n">
        <v>45992</v>
      </c>
      <c r="D1156" t="inlineStr">
        <is>
          <t>VÄSTERNORRLANDS LÄN</t>
        </is>
      </c>
      <c r="E1156" t="inlineStr">
        <is>
          <t>ÅNGE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50674-2024</t>
        </is>
      </c>
      <c r="B1157" s="1" t="n">
        <v>45601.85402777778</v>
      </c>
      <c r="C1157" s="1" t="n">
        <v>45992</v>
      </c>
      <c r="D1157" t="inlineStr">
        <is>
          <t>VÄSTERNORRLANDS LÄN</t>
        </is>
      </c>
      <c r="E1157" t="inlineStr">
        <is>
          <t>ÅNGE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3322-2025</t>
        </is>
      </c>
      <c r="B1158" s="1" t="n">
        <v>45679.6989699074</v>
      </c>
      <c r="C1158" s="1" t="n">
        <v>45992</v>
      </c>
      <c r="D1158" t="inlineStr">
        <is>
          <t>VÄSTERNORRLANDS LÄN</t>
        </is>
      </c>
      <c r="E1158" t="inlineStr">
        <is>
          <t>ÅNGE</t>
        </is>
      </c>
      <c r="F1158" t="inlineStr">
        <is>
          <t>SCA</t>
        </is>
      </c>
      <c r="G1158" t="n">
        <v>11.1</v>
      </c>
      <c r="H1158" t="n">
        <v>0</v>
      </c>
      <c r="I1158" t="n">
        <v>0</v>
      </c>
      <c r="J1158" t="n">
        <v>0</v>
      </c>
      <c r="K1158" t="n">
        <v>0</v>
      </c>
      <c r="L1158" t="n">
        <v>0</v>
      </c>
      <c r="M1158" t="n">
        <v>0</v>
      </c>
      <c r="N1158" t="n">
        <v>0</v>
      </c>
      <c r="O1158" t="n">
        <v>0</v>
      </c>
      <c r="P1158" t="n">
        <v>0</v>
      </c>
      <c r="Q1158" t="n">
        <v>0</v>
      </c>
      <c r="R1158" s="2" t="inlineStr"/>
    </row>
    <row r="1159" ht="15" customHeight="1">
      <c r="A1159" t="inlineStr">
        <is>
          <t>A 3327-2025</t>
        </is>
      </c>
      <c r="B1159" s="1" t="n">
        <v>45679.69967592593</v>
      </c>
      <c r="C1159" s="1" t="n">
        <v>45992</v>
      </c>
      <c r="D1159" t="inlineStr">
        <is>
          <t>VÄSTERNORRLANDS LÄN</t>
        </is>
      </c>
      <c r="E1159" t="inlineStr">
        <is>
          <t>ÅNGE</t>
        </is>
      </c>
      <c r="F1159" t="inlineStr">
        <is>
          <t>SCA</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31729-2024</t>
        </is>
      </c>
      <c r="B1160" s="1" t="n">
        <v>45509.35844907408</v>
      </c>
      <c r="C1160" s="1" t="n">
        <v>45992</v>
      </c>
      <c r="D1160" t="inlineStr">
        <is>
          <t>VÄSTERNORRLANDS LÄN</t>
        </is>
      </c>
      <c r="E1160" t="inlineStr">
        <is>
          <t>ÅNGE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4071-2025</t>
        </is>
      </c>
      <c r="B1161" s="1" t="n">
        <v>45684.63579861111</v>
      </c>
      <c r="C1161" s="1" t="n">
        <v>45992</v>
      </c>
      <c r="D1161" t="inlineStr">
        <is>
          <t>VÄSTERNORRLANDS LÄN</t>
        </is>
      </c>
      <c r="E1161" t="inlineStr">
        <is>
          <t>ÅNGE</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45992</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45992</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18668-2023</t>
        </is>
      </c>
      <c r="B1164" s="1" t="n">
        <v>45043.57108796296</v>
      </c>
      <c r="C1164" s="1" t="n">
        <v>45992</v>
      </c>
      <c r="D1164" t="inlineStr">
        <is>
          <t>VÄSTERNORRLANDS LÄN</t>
        </is>
      </c>
      <c r="E1164" t="inlineStr">
        <is>
          <t>ÅNGE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1964-2022</t>
        </is>
      </c>
      <c r="B1165" s="1" t="n">
        <v>44575.5050462963</v>
      </c>
      <c r="C1165" s="1" t="n">
        <v>45992</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18880-2024</t>
        </is>
      </c>
      <c r="B1166" s="1" t="n">
        <v>45426</v>
      </c>
      <c r="C1166" s="1" t="n">
        <v>45992</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48787-2024</t>
        </is>
      </c>
      <c r="B1167" s="1" t="n">
        <v>45593.63888888889</v>
      </c>
      <c r="C1167" s="1" t="n">
        <v>45992</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1886-2024</t>
        </is>
      </c>
      <c r="B1168" s="1" t="n">
        <v>45307.96335648148</v>
      </c>
      <c r="C1168" s="1" t="n">
        <v>45992</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41370-2023</t>
        </is>
      </c>
      <c r="B1169" s="1" t="n">
        <v>45174.85951388889</v>
      </c>
      <c r="C1169" s="1" t="n">
        <v>45992</v>
      </c>
      <c r="D1169" t="inlineStr">
        <is>
          <t>VÄSTERNORRLANDS LÄN</t>
        </is>
      </c>
      <c r="E1169" t="inlineStr">
        <is>
          <t>ÅNGE</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30235-2024</t>
        </is>
      </c>
      <c r="B1170" s="1" t="n">
        <v>45490.49040509259</v>
      </c>
      <c r="C1170" s="1" t="n">
        <v>45992</v>
      </c>
      <c r="D1170" t="inlineStr">
        <is>
          <t>VÄSTERNORRLANDS LÄN</t>
        </is>
      </c>
      <c r="E1170" t="inlineStr">
        <is>
          <t>ÅNGE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60817-2024</t>
        </is>
      </c>
      <c r="B1171" s="1" t="n">
        <v>45644</v>
      </c>
      <c r="C1171" s="1" t="n">
        <v>45992</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18456-2024</t>
        </is>
      </c>
      <c r="B1172" s="1" t="n">
        <v>45425.46831018518</v>
      </c>
      <c r="C1172" s="1" t="n">
        <v>45992</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25047-2023</t>
        </is>
      </c>
      <c r="B1173" s="1" t="n">
        <v>45085.94569444445</v>
      </c>
      <c r="C1173" s="1" t="n">
        <v>45992</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57815-2024</t>
        </is>
      </c>
      <c r="B1174" s="1" t="n">
        <v>45631.37068287037</v>
      </c>
      <c r="C1174" s="1" t="n">
        <v>45992</v>
      </c>
      <c r="D1174" t="inlineStr">
        <is>
          <t>VÄSTERNORRLANDS LÄN</t>
        </is>
      </c>
      <c r="E1174" t="inlineStr">
        <is>
          <t>ÅNGE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42044-2024</t>
        </is>
      </c>
      <c r="B1175" s="1" t="n">
        <v>45561</v>
      </c>
      <c r="C1175" s="1" t="n">
        <v>45992</v>
      </c>
      <c r="D1175" t="inlineStr">
        <is>
          <t>VÄSTERNORRLANDS LÄN</t>
        </is>
      </c>
      <c r="E1175" t="inlineStr">
        <is>
          <t>ÅNGE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42090-2024</t>
        </is>
      </c>
      <c r="B1176" s="1" t="n">
        <v>45562</v>
      </c>
      <c r="C1176" s="1" t="n">
        <v>45992</v>
      </c>
      <c r="D1176" t="inlineStr">
        <is>
          <t>VÄSTERNORRLANDS LÄN</t>
        </is>
      </c>
      <c r="E1176" t="inlineStr">
        <is>
          <t>ÅNGE</t>
        </is>
      </c>
      <c r="F1176" t="inlineStr">
        <is>
          <t>SCA</t>
        </is>
      </c>
      <c r="G1176" t="n">
        <v>20.2</v>
      </c>
      <c r="H1176" t="n">
        <v>0</v>
      </c>
      <c r="I1176" t="n">
        <v>0</v>
      </c>
      <c r="J1176" t="n">
        <v>0</v>
      </c>
      <c r="K1176" t="n">
        <v>0</v>
      </c>
      <c r="L1176" t="n">
        <v>0</v>
      </c>
      <c r="M1176" t="n">
        <v>0</v>
      </c>
      <c r="N1176" t="n">
        <v>0</v>
      </c>
      <c r="O1176" t="n">
        <v>0</v>
      </c>
      <c r="P1176" t="n">
        <v>0</v>
      </c>
      <c r="Q1176" t="n">
        <v>0</v>
      </c>
      <c r="R1176" s="2" t="inlineStr"/>
    </row>
    <row r="1177" ht="15" customHeight="1">
      <c r="A1177" t="inlineStr">
        <is>
          <t>A 11764-2024</t>
        </is>
      </c>
      <c r="B1177" s="1" t="n">
        <v>45373.94837962963</v>
      </c>
      <c r="C1177" s="1" t="n">
        <v>45992</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25035-2023</t>
        </is>
      </c>
      <c r="B1178" s="1" t="n">
        <v>45085</v>
      </c>
      <c r="C1178" s="1" t="n">
        <v>45992</v>
      </c>
      <c r="D1178" t="inlineStr">
        <is>
          <t>VÄSTERNORRLANDS LÄN</t>
        </is>
      </c>
      <c r="E1178" t="inlineStr">
        <is>
          <t>ÅNGE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10195-2024</t>
        </is>
      </c>
      <c r="B1179" s="1" t="n">
        <v>45364</v>
      </c>
      <c r="C1179" s="1" t="n">
        <v>45992</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42488-2024</t>
        </is>
      </c>
      <c r="B1180" s="1" t="n">
        <v>45565.49420138889</v>
      </c>
      <c r="C1180" s="1" t="n">
        <v>45992</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42529-2024</t>
        </is>
      </c>
      <c r="B1181" s="1" t="n">
        <v>45565.57324074074</v>
      </c>
      <c r="C1181" s="1" t="n">
        <v>45992</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9211-2023</t>
        </is>
      </c>
      <c r="B1182" s="1" t="n">
        <v>44980</v>
      </c>
      <c r="C1182" s="1" t="n">
        <v>45992</v>
      </c>
      <c r="D1182" t="inlineStr">
        <is>
          <t>VÄSTERNORRLANDS LÄN</t>
        </is>
      </c>
      <c r="E1182" t="inlineStr">
        <is>
          <t>ÅNGE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29193-2024</t>
        </is>
      </c>
      <c r="B1183" s="1" t="n">
        <v>45482.56510416666</v>
      </c>
      <c r="C1183" s="1" t="n">
        <v>45992</v>
      </c>
      <c r="D1183" t="inlineStr">
        <is>
          <t>VÄSTERNORRLANDS LÄN</t>
        </is>
      </c>
      <c r="E1183" t="inlineStr">
        <is>
          <t>ÅNGE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3023-2023</t>
        </is>
      </c>
      <c r="B1184" s="1" t="n">
        <v>44945</v>
      </c>
      <c r="C1184" s="1" t="n">
        <v>45992</v>
      </c>
      <c r="D1184" t="inlineStr">
        <is>
          <t>VÄSTERNORRLANDS LÄN</t>
        </is>
      </c>
      <c r="E1184" t="inlineStr">
        <is>
          <t>ÅNGE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3025-2023</t>
        </is>
      </c>
      <c r="B1185" s="1" t="n">
        <v>44945</v>
      </c>
      <c r="C1185" s="1" t="n">
        <v>45992</v>
      </c>
      <c r="D1185" t="inlineStr">
        <is>
          <t>VÄSTERNORRLANDS LÄN</t>
        </is>
      </c>
      <c r="E1185" t="inlineStr">
        <is>
          <t>ÅNGE</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56232-2024</t>
        </is>
      </c>
      <c r="B1186" s="1" t="n">
        <v>45624</v>
      </c>
      <c r="C1186" s="1" t="n">
        <v>45992</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16853-2023</t>
        </is>
      </c>
      <c r="B1187" s="1" t="n">
        <v>45033</v>
      </c>
      <c r="C1187" s="1" t="n">
        <v>45992</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7528-2023</t>
        </is>
      </c>
      <c r="B1188" s="1" t="n">
        <v>44971.97662037037</v>
      </c>
      <c r="C1188" s="1" t="n">
        <v>45992</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53988-2024</t>
        </is>
      </c>
      <c r="B1189" s="1" t="n">
        <v>45616.34408564815</v>
      </c>
      <c r="C1189" s="1" t="n">
        <v>45992</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54002-2024</t>
        </is>
      </c>
      <c r="B1190" s="1" t="n">
        <v>45616.36491898148</v>
      </c>
      <c r="C1190" s="1" t="n">
        <v>45992</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54059-2024</t>
        </is>
      </c>
      <c r="B1191" s="1" t="n">
        <v>45616.46943287037</v>
      </c>
      <c r="C1191" s="1" t="n">
        <v>45992</v>
      </c>
      <c r="D1191" t="inlineStr">
        <is>
          <t>VÄSTERNORRLANDS LÄN</t>
        </is>
      </c>
      <c r="E1191" t="inlineStr">
        <is>
          <t>ÅNGE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50235-2021</t>
        </is>
      </c>
      <c r="B1192" s="1" t="n">
        <v>44457</v>
      </c>
      <c r="C1192" s="1" t="n">
        <v>45992</v>
      </c>
      <c r="D1192" t="inlineStr">
        <is>
          <t>VÄSTERNORRLANDS LÄN</t>
        </is>
      </c>
      <c r="E1192" t="inlineStr">
        <is>
          <t>ÅNGE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44600-2024</t>
        </is>
      </c>
      <c r="B1193" s="1" t="n">
        <v>45574.51113425926</v>
      </c>
      <c r="C1193" s="1" t="n">
        <v>45992</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12806-2025</t>
        </is>
      </c>
      <c r="B1194" s="1" t="n">
        <v>45733.61518518518</v>
      </c>
      <c r="C1194" s="1" t="n">
        <v>45992</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45890-2021</t>
        </is>
      </c>
      <c r="B1195" s="1" t="n">
        <v>44441</v>
      </c>
      <c r="C1195" s="1" t="n">
        <v>45992</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1869-2022</t>
        </is>
      </c>
      <c r="B1196" s="1" t="n">
        <v>44574</v>
      </c>
      <c r="C1196" s="1" t="n">
        <v>45992</v>
      </c>
      <c r="D1196" t="inlineStr">
        <is>
          <t>VÄSTERNORRLANDS LÄN</t>
        </is>
      </c>
      <c r="E1196" t="inlineStr">
        <is>
          <t>ÅNGE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48988-2021</t>
        </is>
      </c>
      <c r="B1197" s="1" t="n">
        <v>44453.43</v>
      </c>
      <c r="C1197" s="1" t="n">
        <v>45992</v>
      </c>
      <c r="D1197" t="inlineStr">
        <is>
          <t>VÄSTERNORRLANDS LÄN</t>
        </is>
      </c>
      <c r="E1197" t="inlineStr">
        <is>
          <t>ÅNGE</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60812-2024</t>
        </is>
      </c>
      <c r="B1198" s="1" t="n">
        <v>45644</v>
      </c>
      <c r="C1198" s="1" t="n">
        <v>45992</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54611-2023</t>
        </is>
      </c>
      <c r="B1199" s="1" t="n">
        <v>45233</v>
      </c>
      <c r="C1199" s="1" t="n">
        <v>45992</v>
      </c>
      <c r="D1199" t="inlineStr">
        <is>
          <t>VÄSTERNORRLANDS LÄN</t>
        </is>
      </c>
      <c r="E1199" t="inlineStr">
        <is>
          <t>ÅNGE</t>
        </is>
      </c>
      <c r="F1199" t="inlineStr">
        <is>
          <t>SCA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49187-2024</t>
        </is>
      </c>
      <c r="B1200" s="1" t="n">
        <v>45595.34490740741</v>
      </c>
      <c r="C1200" s="1" t="n">
        <v>45992</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51810-2023</t>
        </is>
      </c>
      <c r="B1201" s="1" t="n">
        <v>45222.96583333334</v>
      </c>
      <c r="C1201" s="1" t="n">
        <v>45992</v>
      </c>
      <c r="D1201" t="inlineStr">
        <is>
          <t>VÄSTERNORRLANDS LÄN</t>
        </is>
      </c>
      <c r="E1201" t="inlineStr">
        <is>
          <t>ÅNGE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5520-2022</t>
        </is>
      </c>
      <c r="B1202" s="1" t="n">
        <v>44595</v>
      </c>
      <c r="C1202" s="1" t="n">
        <v>45992</v>
      </c>
      <c r="D1202" t="inlineStr">
        <is>
          <t>VÄSTERNORRLANDS LÄN</t>
        </is>
      </c>
      <c r="E1202" t="inlineStr">
        <is>
          <t>ÅNGE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58469-2023</t>
        </is>
      </c>
      <c r="B1203" s="1" t="n">
        <v>45250</v>
      </c>
      <c r="C1203" s="1" t="n">
        <v>45992</v>
      </c>
      <c r="D1203" t="inlineStr">
        <is>
          <t>VÄSTERNORRLANDS LÄN</t>
        </is>
      </c>
      <c r="E1203" t="inlineStr">
        <is>
          <t>ÅNGE</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31177-2024</t>
        </is>
      </c>
      <c r="B1204" s="1" t="n">
        <v>45503</v>
      </c>
      <c r="C1204" s="1" t="n">
        <v>45992</v>
      </c>
      <c r="D1204" t="inlineStr">
        <is>
          <t>VÄSTERNORRLANDS LÄN</t>
        </is>
      </c>
      <c r="E1204" t="inlineStr">
        <is>
          <t>ÅNGE</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29063-2023</t>
        </is>
      </c>
      <c r="B1205" s="1" t="n">
        <v>45104.94068287037</v>
      </c>
      <c r="C1205" s="1" t="n">
        <v>45992</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59412-2024</t>
        </is>
      </c>
      <c r="B1206" s="1" t="n">
        <v>45638</v>
      </c>
      <c r="C1206" s="1" t="n">
        <v>45992</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9567-2024</t>
        </is>
      </c>
      <c r="B1207" s="1" t="n">
        <v>45360.03635416667</v>
      </c>
      <c r="C1207" s="1" t="n">
        <v>45992</v>
      </c>
      <c r="D1207" t="inlineStr">
        <is>
          <t>VÄSTERNORRLANDS LÄN</t>
        </is>
      </c>
      <c r="E1207" t="inlineStr">
        <is>
          <t>ÅNGE</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22988-2024</t>
        </is>
      </c>
      <c r="B1208" s="1" t="n">
        <v>45449.94530092592</v>
      </c>
      <c r="C1208" s="1" t="n">
        <v>45992</v>
      </c>
      <c r="D1208" t="inlineStr">
        <is>
          <t>VÄSTERNORRLANDS LÄN</t>
        </is>
      </c>
      <c r="E1208" t="inlineStr">
        <is>
          <t>ÅNGE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56908-2021</t>
        </is>
      </c>
      <c r="B1209" s="1" t="n">
        <v>44481.93844907408</v>
      </c>
      <c r="C1209" s="1" t="n">
        <v>45992</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17210-2022</t>
        </is>
      </c>
      <c r="B1210" s="1" t="n">
        <v>44677.92701388889</v>
      </c>
      <c r="C1210" s="1" t="n">
        <v>45992</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56574-2024</t>
        </is>
      </c>
      <c r="B1211" s="1" t="n">
        <v>45625.59616898148</v>
      </c>
      <c r="C1211" s="1" t="n">
        <v>45992</v>
      </c>
      <c r="D1211" t="inlineStr">
        <is>
          <t>VÄSTERNORRLANDS LÄN</t>
        </is>
      </c>
      <c r="E1211" t="inlineStr">
        <is>
          <t>ÅNGE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31568-2024</t>
        </is>
      </c>
      <c r="B1212" s="1" t="n">
        <v>45505.96721064814</v>
      </c>
      <c r="C1212" s="1" t="n">
        <v>45992</v>
      </c>
      <c r="D1212" t="inlineStr">
        <is>
          <t>VÄSTERNORRLANDS LÄN</t>
        </is>
      </c>
      <c r="E1212" t="inlineStr">
        <is>
          <t>ÅNGE</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27468-2024</t>
        </is>
      </c>
      <c r="B1213" s="1" t="n">
        <v>45474</v>
      </c>
      <c r="C1213" s="1" t="n">
        <v>45992</v>
      </c>
      <c r="D1213" t="inlineStr">
        <is>
          <t>VÄSTERNORRLANDS LÄN</t>
        </is>
      </c>
      <c r="E1213" t="inlineStr">
        <is>
          <t>ÅNGE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12123-2024</t>
        </is>
      </c>
      <c r="B1214" s="1" t="n">
        <v>45377</v>
      </c>
      <c r="C1214" s="1" t="n">
        <v>45992</v>
      </c>
      <c r="D1214" t="inlineStr">
        <is>
          <t>VÄSTERNORRLANDS LÄN</t>
        </is>
      </c>
      <c r="E1214" t="inlineStr">
        <is>
          <t>ÅNGE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11299-2023</t>
        </is>
      </c>
      <c r="B1215" s="1" t="n">
        <v>44993.01074074074</v>
      </c>
      <c r="C1215" s="1" t="n">
        <v>45992</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11309-2023</t>
        </is>
      </c>
      <c r="B1216" s="1" t="n">
        <v>44993.0118287037</v>
      </c>
      <c r="C1216" s="1" t="n">
        <v>45992</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45932-2023</t>
        </is>
      </c>
      <c r="B1217" s="1" t="n">
        <v>45195</v>
      </c>
      <c r="C1217" s="1" t="n">
        <v>45992</v>
      </c>
      <c r="D1217" t="inlineStr">
        <is>
          <t>VÄSTERNORRLANDS LÄN</t>
        </is>
      </c>
      <c r="E1217" t="inlineStr">
        <is>
          <t>ÅNGE</t>
        </is>
      </c>
      <c r="F1217" t="inlineStr">
        <is>
          <t>SCA</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8648-2025</t>
        </is>
      </c>
      <c r="B1218" s="1" t="n">
        <v>45712.34501157407</v>
      </c>
      <c r="C1218" s="1" t="n">
        <v>45992</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24541-2023</t>
        </is>
      </c>
      <c r="B1219" s="1" t="n">
        <v>45082.94135416667</v>
      </c>
      <c r="C1219" s="1" t="n">
        <v>45992</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51131-2022</t>
        </is>
      </c>
      <c r="B1220" s="1" t="n">
        <v>44868</v>
      </c>
      <c r="C1220" s="1" t="n">
        <v>45992</v>
      </c>
      <c r="D1220" t="inlineStr">
        <is>
          <t>VÄSTERNORRLANDS LÄN</t>
        </is>
      </c>
      <c r="E1220" t="inlineStr">
        <is>
          <t>ÅNGE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33631-2024</t>
        </is>
      </c>
      <c r="B1221" s="1" t="n">
        <v>45520</v>
      </c>
      <c r="C1221" s="1" t="n">
        <v>45992</v>
      </c>
      <c r="D1221" t="inlineStr">
        <is>
          <t>VÄSTERNORRLANDS LÄN</t>
        </is>
      </c>
      <c r="E1221" t="inlineStr">
        <is>
          <t>ÅNGE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63522-2021</t>
        </is>
      </c>
      <c r="B1222" s="1" t="n">
        <v>44508</v>
      </c>
      <c r="C1222" s="1" t="n">
        <v>45992</v>
      </c>
      <c r="D1222" t="inlineStr">
        <is>
          <t>VÄSTERNORRLANDS LÄN</t>
        </is>
      </c>
      <c r="E1222" t="inlineStr">
        <is>
          <t>ÅNGE</t>
        </is>
      </c>
      <c r="F1222" t="inlineStr">
        <is>
          <t>Övriga Aktiebolag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51411-2023</t>
        </is>
      </c>
      <c r="B1223" s="1" t="n">
        <v>45219</v>
      </c>
      <c r="C1223" s="1" t="n">
        <v>45992</v>
      </c>
      <c r="D1223" t="inlineStr">
        <is>
          <t>VÄSTERNORRLANDS LÄN</t>
        </is>
      </c>
      <c r="E1223" t="inlineStr">
        <is>
          <t>ÅNGE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31229-2023</t>
        </is>
      </c>
      <c r="B1224" s="1" t="n">
        <v>45114</v>
      </c>
      <c r="C1224" s="1" t="n">
        <v>45992</v>
      </c>
      <c r="D1224" t="inlineStr">
        <is>
          <t>VÄSTERNORRLANDS LÄN</t>
        </is>
      </c>
      <c r="E1224" t="inlineStr">
        <is>
          <t>ÅNGE</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53336-2024</t>
        </is>
      </c>
      <c r="B1225" s="1" t="n">
        <v>45614.42753472222</v>
      </c>
      <c r="C1225" s="1" t="n">
        <v>45992</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7692-2024</t>
        </is>
      </c>
      <c r="B1226" s="1" t="n">
        <v>45349</v>
      </c>
      <c r="C1226" s="1" t="n">
        <v>45992</v>
      </c>
      <c r="D1226" t="inlineStr">
        <is>
          <t>VÄSTERNORRLANDS LÄN</t>
        </is>
      </c>
      <c r="E1226" t="inlineStr">
        <is>
          <t>ÅNGE</t>
        </is>
      </c>
      <c r="F1226" t="inlineStr">
        <is>
          <t>SCA</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47950-2024</t>
        </is>
      </c>
      <c r="B1227" s="1" t="n">
        <v>45589.36511574074</v>
      </c>
      <c r="C1227" s="1" t="n">
        <v>45992</v>
      </c>
      <c r="D1227" t="inlineStr">
        <is>
          <t>VÄSTERNORRLANDS LÄN</t>
        </is>
      </c>
      <c r="E1227" t="inlineStr">
        <is>
          <t>ÅNGE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39589-2022</t>
        </is>
      </c>
      <c r="B1228" s="1" t="n">
        <v>44818</v>
      </c>
      <c r="C1228" s="1" t="n">
        <v>45992</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42098-2024</t>
        </is>
      </c>
      <c r="B1229" s="1" t="n">
        <v>45562.34532407407</v>
      </c>
      <c r="C1229" s="1" t="n">
        <v>45992</v>
      </c>
      <c r="D1229" t="inlineStr">
        <is>
          <t>VÄSTERNORRLANDS LÄN</t>
        </is>
      </c>
      <c r="E1229" t="inlineStr">
        <is>
          <t>ÅNGE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10071-2023</t>
        </is>
      </c>
      <c r="B1230" s="1" t="n">
        <v>44985.92418981482</v>
      </c>
      <c r="C1230" s="1" t="n">
        <v>45992</v>
      </c>
      <c r="D1230" t="inlineStr">
        <is>
          <t>VÄSTERNORRLANDS LÄN</t>
        </is>
      </c>
      <c r="E1230" t="inlineStr">
        <is>
          <t>ÅNGE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44518-2024</t>
        </is>
      </c>
      <c r="B1231" s="1" t="n">
        <v>45574.43376157407</v>
      </c>
      <c r="C1231" s="1" t="n">
        <v>45992</v>
      </c>
      <c r="D1231" t="inlineStr">
        <is>
          <t>VÄSTERNORRLANDS LÄN</t>
        </is>
      </c>
      <c r="E1231" t="inlineStr">
        <is>
          <t>ÅNGE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15822-2025</t>
        </is>
      </c>
      <c r="B1232" s="1" t="n">
        <v>45748.70172453704</v>
      </c>
      <c r="C1232" s="1" t="n">
        <v>45992</v>
      </c>
      <c r="D1232" t="inlineStr">
        <is>
          <t>VÄSTERNORRLANDS LÄN</t>
        </is>
      </c>
      <c r="E1232" t="inlineStr">
        <is>
          <t>ÅNGE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41083-2024</t>
        </is>
      </c>
      <c r="B1233" s="1" t="n">
        <v>45559.40684027778</v>
      </c>
      <c r="C1233" s="1" t="n">
        <v>45992</v>
      </c>
      <c r="D1233" t="inlineStr">
        <is>
          <t>VÄSTERNORRLANDS LÄN</t>
        </is>
      </c>
      <c r="E1233" t="inlineStr">
        <is>
          <t>ÅNGE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4094-2025</t>
        </is>
      </c>
      <c r="B1234" s="1" t="n">
        <v>45684.6778125</v>
      </c>
      <c r="C1234" s="1" t="n">
        <v>45992</v>
      </c>
      <c r="D1234" t="inlineStr">
        <is>
          <t>VÄSTERNORRLANDS LÄN</t>
        </is>
      </c>
      <c r="E1234" t="inlineStr">
        <is>
          <t>ÅNGE</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41507-2024</t>
        </is>
      </c>
      <c r="B1235" s="1" t="n">
        <v>45560</v>
      </c>
      <c r="C1235" s="1" t="n">
        <v>45992</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26019-2024</t>
        </is>
      </c>
      <c r="B1236" s="1" t="n">
        <v>45467.96015046296</v>
      </c>
      <c r="C1236" s="1" t="n">
        <v>45992</v>
      </c>
      <c r="D1236" t="inlineStr">
        <is>
          <t>VÄSTERNORRLANDS LÄN</t>
        </is>
      </c>
      <c r="E1236" t="inlineStr">
        <is>
          <t>ÅNGE</t>
        </is>
      </c>
      <c r="F1236" t="inlineStr">
        <is>
          <t>SCA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8747-2022</t>
        </is>
      </c>
      <c r="B1237" s="1" t="n">
        <v>44614.33912037037</v>
      </c>
      <c r="C1237" s="1" t="n">
        <v>45992</v>
      </c>
      <c r="D1237" t="inlineStr">
        <is>
          <t>VÄSTERNORRLANDS LÄN</t>
        </is>
      </c>
      <c r="E1237" t="inlineStr">
        <is>
          <t>ÅNGE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8755-2022</t>
        </is>
      </c>
      <c r="B1238" s="1" t="n">
        <v>44614</v>
      </c>
      <c r="C1238" s="1" t="n">
        <v>45992</v>
      </c>
      <c r="D1238" t="inlineStr">
        <is>
          <t>VÄSTERNORRLANDS LÄN</t>
        </is>
      </c>
      <c r="E1238" t="inlineStr">
        <is>
          <t>ÅNGE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6690-2024</t>
        </is>
      </c>
      <c r="B1239" s="1" t="n">
        <v>45341</v>
      </c>
      <c r="C1239" s="1" t="n">
        <v>45992</v>
      </c>
      <c r="D1239" t="inlineStr">
        <is>
          <t>VÄSTERNORRLANDS LÄN</t>
        </is>
      </c>
      <c r="E1239" t="inlineStr">
        <is>
          <t>ÅNGE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64375-2023</t>
        </is>
      </c>
      <c r="B1240" s="1" t="n">
        <v>45280</v>
      </c>
      <c r="C1240" s="1" t="n">
        <v>45992</v>
      </c>
      <c r="D1240" t="inlineStr">
        <is>
          <t>VÄSTERNORRLANDS LÄN</t>
        </is>
      </c>
      <c r="E1240" t="inlineStr">
        <is>
          <t>ÅNGE</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1235-2023</t>
        </is>
      </c>
      <c r="B1241" s="1" t="n">
        <v>44935</v>
      </c>
      <c r="C1241" s="1" t="n">
        <v>45992</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62261-2022</t>
        </is>
      </c>
      <c r="B1242" s="1" t="n">
        <v>44922.94378472222</v>
      </c>
      <c r="C1242" s="1" t="n">
        <v>45992</v>
      </c>
      <c r="D1242" t="inlineStr">
        <is>
          <t>VÄSTERNORRLANDS LÄN</t>
        </is>
      </c>
      <c r="E1242" t="inlineStr">
        <is>
          <t>ÅNGE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41302-2024</t>
        </is>
      </c>
      <c r="B1243" s="1" t="n">
        <v>45559.62077546296</v>
      </c>
      <c r="C1243" s="1" t="n">
        <v>45992</v>
      </c>
      <c r="D1243" t="inlineStr">
        <is>
          <t>VÄSTERNORRLANDS LÄN</t>
        </is>
      </c>
      <c r="E1243" t="inlineStr">
        <is>
          <t>ÅNGE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5249-2025</t>
        </is>
      </c>
      <c r="B1244" s="1" t="n">
        <v>45692.34465277778</v>
      </c>
      <c r="C1244" s="1" t="n">
        <v>45992</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43366-2024</t>
        </is>
      </c>
      <c r="B1245" s="1" t="n">
        <v>45568</v>
      </c>
      <c r="C1245" s="1" t="n">
        <v>45992</v>
      </c>
      <c r="D1245" t="inlineStr">
        <is>
          <t>VÄSTERNORRLANDS LÄN</t>
        </is>
      </c>
      <c r="E1245" t="inlineStr">
        <is>
          <t>ÅNGE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35577-2024</t>
        </is>
      </c>
      <c r="B1246" s="1" t="n">
        <v>45531</v>
      </c>
      <c r="C1246" s="1" t="n">
        <v>45992</v>
      </c>
      <c r="D1246" t="inlineStr">
        <is>
          <t>VÄSTERNORRLANDS LÄN</t>
        </is>
      </c>
      <c r="E1246" t="inlineStr">
        <is>
          <t>ÅNGE</t>
        </is>
      </c>
      <c r="F1246" t="inlineStr">
        <is>
          <t>SCA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35580-2024</t>
        </is>
      </c>
      <c r="B1247" s="1" t="n">
        <v>45531</v>
      </c>
      <c r="C1247" s="1" t="n">
        <v>45992</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28428-2023</t>
        </is>
      </c>
      <c r="B1248" s="1" t="n">
        <v>45102</v>
      </c>
      <c r="C1248" s="1" t="n">
        <v>45992</v>
      </c>
      <c r="D1248" t="inlineStr">
        <is>
          <t>VÄSTERNORRLANDS LÄN</t>
        </is>
      </c>
      <c r="E1248" t="inlineStr">
        <is>
          <t>ÅNGE</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72239-2021</t>
        </is>
      </c>
      <c r="B1249" s="1" t="n">
        <v>44544.9203587963</v>
      </c>
      <c r="C1249" s="1" t="n">
        <v>45992</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59986-2021</t>
        </is>
      </c>
      <c r="B1250" s="1" t="n">
        <v>44494</v>
      </c>
      <c r="C1250" s="1" t="n">
        <v>45992</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30556-2023</t>
        </is>
      </c>
      <c r="B1251" s="1" t="n">
        <v>45111.87935185185</v>
      </c>
      <c r="C1251" s="1" t="n">
        <v>45992</v>
      </c>
      <c r="D1251" t="inlineStr">
        <is>
          <t>VÄSTERNORRLANDS LÄN</t>
        </is>
      </c>
      <c r="E1251" t="inlineStr">
        <is>
          <t>ÅNGE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53549-2023</t>
        </is>
      </c>
      <c r="B1252" s="1" t="n">
        <v>45230</v>
      </c>
      <c r="C1252" s="1" t="n">
        <v>45992</v>
      </c>
      <c r="D1252" t="inlineStr">
        <is>
          <t>VÄSTERNORRLANDS LÄN</t>
        </is>
      </c>
      <c r="E1252" t="inlineStr">
        <is>
          <t>ÅNGE</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34705-2023</t>
        </is>
      </c>
      <c r="B1253" s="1" t="n">
        <v>45140.96452546296</v>
      </c>
      <c r="C1253" s="1" t="n">
        <v>45992</v>
      </c>
      <c r="D1253" t="inlineStr">
        <is>
          <t>VÄSTERNORRLANDS LÄN</t>
        </is>
      </c>
      <c r="E1253" t="inlineStr">
        <is>
          <t>ÅNGE</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50186-2021</t>
        </is>
      </c>
      <c r="B1254" s="1" t="n">
        <v>44456</v>
      </c>
      <c r="C1254" s="1" t="n">
        <v>45992</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35392-2024</t>
        </is>
      </c>
      <c r="B1255" s="1" t="n">
        <v>45531.4025462963</v>
      </c>
      <c r="C1255" s="1" t="n">
        <v>45992</v>
      </c>
      <c r="D1255" t="inlineStr">
        <is>
          <t>VÄSTERNORRLANDS LÄN</t>
        </is>
      </c>
      <c r="E1255" t="inlineStr">
        <is>
          <t>ÅNGE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27952-2024</t>
        </is>
      </c>
      <c r="B1256" s="1" t="n">
        <v>45476.33063657407</v>
      </c>
      <c r="C1256" s="1" t="n">
        <v>45992</v>
      </c>
      <c r="D1256" t="inlineStr">
        <is>
          <t>VÄSTERNORRLANDS LÄN</t>
        </is>
      </c>
      <c r="E1256" t="inlineStr">
        <is>
          <t>ÅNGE</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58634-2023</t>
        </is>
      </c>
      <c r="B1257" s="1" t="n">
        <v>45251</v>
      </c>
      <c r="C1257" s="1" t="n">
        <v>45992</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41825-2022</t>
        </is>
      </c>
      <c r="B1258" s="1" t="n">
        <v>44827</v>
      </c>
      <c r="C1258" s="1" t="n">
        <v>45992</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c r="U1258">
        <f>HYPERLINK("https://klasma.github.io/Logging_2260/knärot/A 41825-2022 karta knärot.png", "A 41825-2022")</f>
        <v/>
      </c>
      <c r="V1258">
        <f>HYPERLINK("https://klasma.github.io/Logging_2260/klagomål/A 41825-2022 FSC-klagomål.docx", "A 41825-2022")</f>
        <v/>
      </c>
      <c r="W1258">
        <f>HYPERLINK("https://klasma.github.io/Logging_2260/klagomålsmail/A 41825-2022 FSC-klagomål mail.docx", "A 41825-2022")</f>
        <v/>
      </c>
      <c r="X1258">
        <f>HYPERLINK("https://klasma.github.io/Logging_2260/tillsyn/A 41825-2022 tillsynsbegäran.docx", "A 41825-2022")</f>
        <v/>
      </c>
      <c r="Y1258">
        <f>HYPERLINK("https://klasma.github.io/Logging_2260/tillsynsmail/A 41825-2022 tillsynsbegäran mail.docx", "A 41825-2022")</f>
        <v/>
      </c>
    </row>
    <row r="1259" ht="15" customHeight="1">
      <c r="A1259" t="inlineStr">
        <is>
          <t>A 35581-2024</t>
        </is>
      </c>
      <c r="B1259" s="1" t="n">
        <v>45531</v>
      </c>
      <c r="C1259" s="1" t="n">
        <v>45992</v>
      </c>
      <c r="D1259" t="inlineStr">
        <is>
          <t>VÄSTERNORRLANDS LÄN</t>
        </is>
      </c>
      <c r="E1259" t="inlineStr">
        <is>
          <t>ÅNGE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35582-2024</t>
        </is>
      </c>
      <c r="B1260" s="1" t="n">
        <v>45531.64800925926</v>
      </c>
      <c r="C1260" s="1" t="n">
        <v>45992</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4904-2024</t>
        </is>
      </c>
      <c r="B1261" s="1" t="n">
        <v>45329.47856481482</v>
      </c>
      <c r="C1261" s="1" t="n">
        <v>45992</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57592-2022</t>
        </is>
      </c>
      <c r="B1262" s="1" t="n">
        <v>44896.97841435186</v>
      </c>
      <c r="C1262" s="1" t="n">
        <v>45992</v>
      </c>
      <c r="D1262" t="inlineStr">
        <is>
          <t>VÄSTERNORRLANDS LÄN</t>
        </is>
      </c>
      <c r="E1262" t="inlineStr">
        <is>
          <t>ÅNGE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57602-2022</t>
        </is>
      </c>
      <c r="B1263" s="1" t="n">
        <v>44896</v>
      </c>
      <c r="C1263" s="1" t="n">
        <v>45992</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22680-2024</t>
        </is>
      </c>
      <c r="B1264" s="1" t="n">
        <v>45447.94548611111</v>
      </c>
      <c r="C1264" s="1" t="n">
        <v>45992</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18430-2025</t>
        </is>
      </c>
      <c r="B1265" s="1" t="n">
        <v>45762.63576388889</v>
      </c>
      <c r="C1265" s="1" t="n">
        <v>45992</v>
      </c>
      <c r="D1265" t="inlineStr">
        <is>
          <t>VÄSTERNORRLANDS LÄN</t>
        </is>
      </c>
      <c r="E1265" t="inlineStr">
        <is>
          <t>ÅNGE</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13501-2021</t>
        </is>
      </c>
      <c r="B1266" s="1" t="n">
        <v>44273</v>
      </c>
      <c r="C1266" s="1" t="n">
        <v>45992</v>
      </c>
      <c r="D1266" t="inlineStr">
        <is>
          <t>VÄSTERNORRLANDS LÄN</t>
        </is>
      </c>
      <c r="E1266" t="inlineStr">
        <is>
          <t>ÅNGE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3624-2024</t>
        </is>
      </c>
      <c r="B1267" s="1" t="n">
        <v>45320.95305555555</v>
      </c>
      <c r="C1267" s="1" t="n">
        <v>45992</v>
      </c>
      <c r="D1267" t="inlineStr">
        <is>
          <t>VÄSTERNORRLANDS LÄN</t>
        </is>
      </c>
      <c r="E1267" t="inlineStr">
        <is>
          <t>ÅNGE</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10922-2024</t>
        </is>
      </c>
      <c r="B1268" s="1" t="n">
        <v>45370</v>
      </c>
      <c r="C1268" s="1" t="n">
        <v>45992</v>
      </c>
      <c r="D1268" t="inlineStr">
        <is>
          <t>VÄSTERNORRLANDS LÄN</t>
        </is>
      </c>
      <c r="E1268" t="inlineStr">
        <is>
          <t>ÅNGE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46681-2023</t>
        </is>
      </c>
      <c r="B1269" s="1" t="n">
        <v>45198</v>
      </c>
      <c r="C1269" s="1" t="n">
        <v>45992</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46255-2023</t>
        </is>
      </c>
      <c r="B1270" s="1" t="n">
        <v>45196</v>
      </c>
      <c r="C1270" s="1" t="n">
        <v>45992</v>
      </c>
      <c r="D1270" t="inlineStr">
        <is>
          <t>VÄSTERNORRLANDS LÄN</t>
        </is>
      </c>
      <c r="E1270" t="inlineStr">
        <is>
          <t>ÅNGE</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55197-2022</t>
        </is>
      </c>
      <c r="B1271" s="1" t="n">
        <v>44886.93714120371</v>
      </c>
      <c r="C1271" s="1" t="n">
        <v>45992</v>
      </c>
      <c r="D1271" t="inlineStr">
        <is>
          <t>VÄSTERNORRLANDS LÄN</t>
        </is>
      </c>
      <c r="E1271" t="inlineStr">
        <is>
          <t>ÅNGE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18617-2024</t>
        </is>
      </c>
      <c r="B1272" s="1" t="n">
        <v>45425</v>
      </c>
      <c r="C1272" s="1" t="n">
        <v>45992</v>
      </c>
      <c r="D1272" t="inlineStr">
        <is>
          <t>VÄSTERNORRLANDS LÄN</t>
        </is>
      </c>
      <c r="E1272" t="inlineStr">
        <is>
          <t>ÅNGE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18869-2024</t>
        </is>
      </c>
      <c r="B1273" s="1" t="n">
        <v>45426</v>
      </c>
      <c r="C1273" s="1" t="n">
        <v>45992</v>
      </c>
      <c r="D1273" t="inlineStr">
        <is>
          <t>VÄSTERNORRLANDS LÄN</t>
        </is>
      </c>
      <c r="E1273" t="inlineStr">
        <is>
          <t>ÅNGE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37540-2024</t>
        </is>
      </c>
      <c r="B1274" s="1" t="n">
        <v>45541.42111111111</v>
      </c>
      <c r="C1274" s="1" t="n">
        <v>45992</v>
      </c>
      <c r="D1274" t="inlineStr">
        <is>
          <t>VÄSTERNORRLANDS LÄN</t>
        </is>
      </c>
      <c r="E1274" t="inlineStr">
        <is>
          <t>ÅNGE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42958-2024</t>
        </is>
      </c>
      <c r="B1275" s="1" t="n">
        <v>45567.37131944444</v>
      </c>
      <c r="C1275" s="1" t="n">
        <v>45992</v>
      </c>
      <c r="D1275" t="inlineStr">
        <is>
          <t>VÄSTERNORRLANDS LÄN</t>
        </is>
      </c>
      <c r="E1275" t="inlineStr">
        <is>
          <t>ÅNGE</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42969-2024</t>
        </is>
      </c>
      <c r="B1276" s="1" t="n">
        <v>45567.37300925926</v>
      </c>
      <c r="C1276" s="1" t="n">
        <v>45992</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49502-2022</t>
        </is>
      </c>
      <c r="B1277" s="1" t="n">
        <v>44861.92613425926</v>
      </c>
      <c r="C1277" s="1" t="n">
        <v>45992</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38795-2023</t>
        </is>
      </c>
      <c r="B1278" s="1" t="n">
        <v>45162</v>
      </c>
      <c r="C1278" s="1" t="n">
        <v>45992</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17601-2024</t>
        </is>
      </c>
      <c r="B1279" s="1" t="n">
        <v>45415</v>
      </c>
      <c r="C1279" s="1" t="n">
        <v>45992</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34649-2024</t>
        </is>
      </c>
      <c r="B1280" s="1" t="n">
        <v>45526.48325231481</v>
      </c>
      <c r="C1280" s="1" t="n">
        <v>45992</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13091-2024</t>
        </is>
      </c>
      <c r="B1281" s="1" t="n">
        <v>45385</v>
      </c>
      <c r="C1281" s="1" t="n">
        <v>45992</v>
      </c>
      <c r="D1281" t="inlineStr">
        <is>
          <t>VÄSTERNORRLANDS LÄN</t>
        </is>
      </c>
      <c r="E1281" t="inlineStr">
        <is>
          <t>ÅNGE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20108-2025</t>
        </is>
      </c>
      <c r="B1282" s="1" t="n">
        <v>45772.47006944445</v>
      </c>
      <c r="C1282" s="1" t="n">
        <v>45992</v>
      </c>
      <c r="D1282" t="inlineStr">
        <is>
          <t>VÄSTERNORRLANDS LÄN</t>
        </is>
      </c>
      <c r="E1282" t="inlineStr">
        <is>
          <t>ÅNGE</t>
        </is>
      </c>
      <c r="F1282" t="inlineStr">
        <is>
          <t>Naturvårdsverket</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50419-2022</t>
        </is>
      </c>
      <c r="B1283" s="1" t="n">
        <v>44861</v>
      </c>
      <c r="C1283" s="1" t="n">
        <v>45992</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8627-2023</t>
        </is>
      </c>
      <c r="B1284" s="1" t="n">
        <v>44977</v>
      </c>
      <c r="C1284" s="1" t="n">
        <v>45992</v>
      </c>
      <c r="D1284" t="inlineStr">
        <is>
          <t>VÄSTERNORRLANDS LÄN</t>
        </is>
      </c>
      <c r="E1284" t="inlineStr">
        <is>
          <t>ÅNGE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49532-2024</t>
        </is>
      </c>
      <c r="B1285" s="1" t="n">
        <v>45596.41797453703</v>
      </c>
      <c r="C1285" s="1" t="n">
        <v>45992</v>
      </c>
      <c r="D1285" t="inlineStr">
        <is>
          <t>VÄSTERNORRLANDS LÄN</t>
        </is>
      </c>
      <c r="E1285" t="inlineStr">
        <is>
          <t>ÅNGE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11088-2024</t>
        </is>
      </c>
      <c r="B1286" s="1" t="n">
        <v>45370</v>
      </c>
      <c r="C1286" s="1" t="n">
        <v>45992</v>
      </c>
      <c r="D1286" t="inlineStr">
        <is>
          <t>VÄSTERNORRLANDS LÄN</t>
        </is>
      </c>
      <c r="E1286" t="inlineStr">
        <is>
          <t>ÅNGE</t>
        </is>
      </c>
      <c r="F1286" t="inlineStr">
        <is>
          <t>SCA</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13773-2024</t>
        </is>
      </c>
      <c r="B1287" s="1" t="n">
        <v>45390.95297453704</v>
      </c>
      <c r="C1287" s="1" t="n">
        <v>45992</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30348-2024</t>
        </is>
      </c>
      <c r="B1288" s="1" t="n">
        <v>45490.95524305556</v>
      </c>
      <c r="C1288" s="1" t="n">
        <v>45992</v>
      </c>
      <c r="D1288" t="inlineStr">
        <is>
          <t>VÄSTERNORRLANDS LÄN</t>
        </is>
      </c>
      <c r="E1288" t="inlineStr">
        <is>
          <t>ÅNGE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54210-2024</t>
        </is>
      </c>
      <c r="B1289" s="1" t="n">
        <v>45616.65662037037</v>
      </c>
      <c r="C1289" s="1" t="n">
        <v>45992</v>
      </c>
      <c r="D1289" t="inlineStr">
        <is>
          <t>VÄSTERNORRLANDS LÄN</t>
        </is>
      </c>
      <c r="E1289" t="inlineStr">
        <is>
          <t>ÅNGE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12807-2025</t>
        </is>
      </c>
      <c r="B1290" s="1" t="n">
        <v>45733.61537037037</v>
      </c>
      <c r="C1290" s="1" t="n">
        <v>45992</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5602-2025</t>
        </is>
      </c>
      <c r="B1291" s="1" t="n">
        <v>45693</v>
      </c>
      <c r="C1291" s="1" t="n">
        <v>45992</v>
      </c>
      <c r="D1291" t="inlineStr">
        <is>
          <t>VÄSTERNORRLANDS LÄN</t>
        </is>
      </c>
      <c r="E1291" t="inlineStr">
        <is>
          <t>ÅNGE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60578-2024</t>
        </is>
      </c>
      <c r="B1292" s="1" t="n">
        <v>45644.34434027778</v>
      </c>
      <c r="C1292" s="1" t="n">
        <v>45992</v>
      </c>
      <c r="D1292" t="inlineStr">
        <is>
          <t>VÄSTERNORRLANDS LÄN</t>
        </is>
      </c>
      <c r="E1292" t="inlineStr">
        <is>
          <t>ÅNGE</t>
        </is>
      </c>
      <c r="F1292" t="inlineStr">
        <is>
          <t>SCA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33302-2024</t>
        </is>
      </c>
      <c r="B1293" s="1" t="n">
        <v>45518.96967592592</v>
      </c>
      <c r="C1293" s="1" t="n">
        <v>45992</v>
      </c>
      <c r="D1293" t="inlineStr">
        <is>
          <t>VÄSTERNORRLANDS LÄN</t>
        </is>
      </c>
      <c r="E1293" t="inlineStr">
        <is>
          <t>ÅNGE</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16593-2023</t>
        </is>
      </c>
      <c r="B1294" s="1" t="n">
        <v>45030</v>
      </c>
      <c r="C1294" s="1" t="n">
        <v>45992</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16600-2023</t>
        </is>
      </c>
      <c r="B1295" s="1" t="n">
        <v>45030</v>
      </c>
      <c r="C1295" s="1" t="n">
        <v>45992</v>
      </c>
      <c r="D1295" t="inlineStr">
        <is>
          <t>VÄSTERNORRLANDS LÄN</t>
        </is>
      </c>
      <c r="E1295" t="inlineStr">
        <is>
          <t>ÅNGE</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10917-2024</t>
        </is>
      </c>
      <c r="B1296" s="1" t="n">
        <v>45370</v>
      </c>
      <c r="C1296" s="1" t="n">
        <v>45992</v>
      </c>
      <c r="D1296" t="inlineStr">
        <is>
          <t>VÄSTERNORRLANDS LÄN</t>
        </is>
      </c>
      <c r="E1296" t="inlineStr">
        <is>
          <t>ÅNGE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3022-2023</t>
        </is>
      </c>
      <c r="B1297" s="1" t="n">
        <v>44945</v>
      </c>
      <c r="C1297" s="1" t="n">
        <v>45992</v>
      </c>
      <c r="D1297" t="inlineStr">
        <is>
          <t>VÄSTERNORRLANDS LÄN</t>
        </is>
      </c>
      <c r="E1297" t="inlineStr">
        <is>
          <t>ÅNGE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34491-2023</t>
        </is>
      </c>
      <c r="B1298" s="1" t="n">
        <v>45139.94775462963</v>
      </c>
      <c r="C1298" s="1" t="n">
        <v>45992</v>
      </c>
      <c r="D1298" t="inlineStr">
        <is>
          <t>VÄSTERNORRLANDS LÄN</t>
        </is>
      </c>
      <c r="E1298" t="inlineStr">
        <is>
          <t>ÅNGE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3947-2025</t>
        </is>
      </c>
      <c r="B1299" s="1" t="n">
        <v>45684.49001157407</v>
      </c>
      <c r="C1299" s="1" t="n">
        <v>45992</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65633-2021</t>
        </is>
      </c>
      <c r="B1300" s="1" t="n">
        <v>44516.56181712963</v>
      </c>
      <c r="C1300" s="1" t="n">
        <v>45992</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36457-2021</t>
        </is>
      </c>
      <c r="B1301" s="1" t="n">
        <v>44390.93858796296</v>
      </c>
      <c r="C1301" s="1" t="n">
        <v>45992</v>
      </c>
      <c r="D1301" t="inlineStr">
        <is>
          <t>VÄSTERNORRLANDS LÄN</t>
        </is>
      </c>
      <c r="E1301" t="inlineStr">
        <is>
          <t>ÅNGE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14927-2025</t>
        </is>
      </c>
      <c r="B1302" s="1" t="n">
        <v>45743</v>
      </c>
      <c r="C1302" s="1" t="n">
        <v>45992</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15167-2025</t>
        </is>
      </c>
      <c r="B1303" s="1" t="n">
        <v>45744.49009259259</v>
      </c>
      <c r="C1303" s="1" t="n">
        <v>45992</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64950-2023</t>
        </is>
      </c>
      <c r="B1304" s="1" t="n">
        <v>45282</v>
      </c>
      <c r="C1304" s="1" t="n">
        <v>45992</v>
      </c>
      <c r="D1304" t="inlineStr">
        <is>
          <t>VÄSTERNORRLANDS LÄN</t>
        </is>
      </c>
      <c r="E1304" t="inlineStr">
        <is>
          <t>ÅNGE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45078.94140046297</v>
      </c>
      <c r="C1305" s="1" t="n">
        <v>45992</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49711-2024</t>
        </is>
      </c>
      <c r="B1306" s="1" t="n">
        <v>45596.69891203703</v>
      </c>
      <c r="C1306" s="1" t="n">
        <v>45992</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3323-2023</t>
        </is>
      </c>
      <c r="B1307" s="1" t="n">
        <v>44945</v>
      </c>
      <c r="C1307" s="1" t="n">
        <v>45992</v>
      </c>
      <c r="D1307" t="inlineStr">
        <is>
          <t>VÄSTERNORRLANDS LÄN</t>
        </is>
      </c>
      <c r="E1307" t="inlineStr">
        <is>
          <t>ÅNGE</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1711-2025</t>
        </is>
      </c>
      <c r="B1308" s="1" t="n">
        <v>45671.31184027778</v>
      </c>
      <c r="C1308" s="1" t="n">
        <v>45992</v>
      </c>
      <c r="D1308" t="inlineStr">
        <is>
          <t>VÄSTERNORRLANDS LÄN</t>
        </is>
      </c>
      <c r="E1308" t="inlineStr">
        <is>
          <t>ÅNGE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1714-2025</t>
        </is>
      </c>
      <c r="B1309" s="1" t="n">
        <v>45671.32474537037</v>
      </c>
      <c r="C1309" s="1" t="n">
        <v>45992</v>
      </c>
      <c r="D1309" t="inlineStr">
        <is>
          <t>VÄSTERNORRLANDS LÄN</t>
        </is>
      </c>
      <c r="E1309" t="inlineStr">
        <is>
          <t>ÅNGE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31866-2024</t>
        </is>
      </c>
      <c r="B1310" s="1" t="n">
        <v>45509</v>
      </c>
      <c r="C1310" s="1" t="n">
        <v>45992</v>
      </c>
      <c r="D1310" t="inlineStr">
        <is>
          <t>VÄSTERNORRLANDS LÄN</t>
        </is>
      </c>
      <c r="E1310" t="inlineStr">
        <is>
          <t>ÅNGE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31867-2024</t>
        </is>
      </c>
      <c r="B1311" s="1" t="n">
        <v>45509</v>
      </c>
      <c r="C1311" s="1" t="n">
        <v>45992</v>
      </c>
      <c r="D1311" t="inlineStr">
        <is>
          <t>VÄSTERNORRLANDS LÄN</t>
        </is>
      </c>
      <c r="E1311" t="inlineStr">
        <is>
          <t>ÅNGE</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33428-2023</t>
        </is>
      </c>
      <c r="B1312" s="1" t="n">
        <v>45128.94976851852</v>
      </c>
      <c r="C1312" s="1" t="n">
        <v>45992</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10557-2023</t>
        </is>
      </c>
      <c r="B1313" s="1" t="n">
        <v>44987</v>
      </c>
      <c r="C1313" s="1" t="n">
        <v>45992</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19926-2025</t>
        </is>
      </c>
      <c r="B1314" s="1" t="n">
        <v>45771.6357175926</v>
      </c>
      <c r="C1314" s="1" t="n">
        <v>45992</v>
      </c>
      <c r="D1314" t="inlineStr">
        <is>
          <t>VÄSTERNORRLANDS LÄN</t>
        </is>
      </c>
      <c r="E1314" t="inlineStr">
        <is>
          <t>ÅNGE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6610-2025</t>
        </is>
      </c>
      <c r="B1315" s="1" t="n">
        <v>45700</v>
      </c>
      <c r="C1315" s="1" t="n">
        <v>45992</v>
      </c>
      <c r="D1315" t="inlineStr">
        <is>
          <t>VÄSTERNORRLANDS LÄN</t>
        </is>
      </c>
      <c r="E1315" t="inlineStr">
        <is>
          <t>ÅNGE</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45992</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45992</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45992</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45992</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23018-2021</t>
        </is>
      </c>
      <c r="B1320" s="1" t="n">
        <v>44328</v>
      </c>
      <c r="C1320" s="1" t="n">
        <v>45992</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50231-2024</t>
        </is>
      </c>
      <c r="B1321" s="1" t="n">
        <v>45600.55251157407</v>
      </c>
      <c r="C1321" s="1" t="n">
        <v>45992</v>
      </c>
      <c r="D1321" t="inlineStr">
        <is>
          <t>VÄSTERNORRLANDS LÄN</t>
        </is>
      </c>
      <c r="E1321" t="inlineStr">
        <is>
          <t>ÅNGE</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60205-2023</t>
        </is>
      </c>
      <c r="B1322" s="1" t="n">
        <v>45257</v>
      </c>
      <c r="C1322" s="1" t="n">
        <v>45992</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15287-2025</t>
        </is>
      </c>
      <c r="B1323" s="1" t="n">
        <v>45745</v>
      </c>
      <c r="C1323" s="1" t="n">
        <v>45992</v>
      </c>
      <c r="D1323" t="inlineStr">
        <is>
          <t>VÄSTERNORRLANDS LÄN</t>
        </is>
      </c>
      <c r="E1323" t="inlineStr">
        <is>
          <t>ÅNGE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4186-2025</t>
        </is>
      </c>
      <c r="B1324" s="1" t="n">
        <v>45685.44827546296</v>
      </c>
      <c r="C1324" s="1" t="n">
        <v>45992</v>
      </c>
      <c r="D1324" t="inlineStr">
        <is>
          <t>VÄSTERNORRLANDS LÄN</t>
        </is>
      </c>
      <c r="E1324" t="inlineStr">
        <is>
          <t>ÅNGE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39991-2023</t>
        </is>
      </c>
      <c r="B1325" s="1" t="n">
        <v>45168.6043287037</v>
      </c>
      <c r="C1325" s="1" t="n">
        <v>45992</v>
      </c>
      <c r="D1325" t="inlineStr">
        <is>
          <t>VÄSTERNORRLANDS LÄN</t>
        </is>
      </c>
      <c r="E1325" t="inlineStr">
        <is>
          <t>ÅNGE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1775-2023</t>
        </is>
      </c>
      <c r="B1326" s="1" t="n">
        <v>44938</v>
      </c>
      <c r="C1326" s="1" t="n">
        <v>45992</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31182-2024</t>
        </is>
      </c>
      <c r="B1327" s="1" t="n">
        <v>45503</v>
      </c>
      <c r="C1327" s="1" t="n">
        <v>45992</v>
      </c>
      <c r="D1327" t="inlineStr">
        <is>
          <t>VÄSTERNORRLANDS LÄN</t>
        </is>
      </c>
      <c r="E1327" t="inlineStr">
        <is>
          <t>ÅNGE</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56956-2022</t>
        </is>
      </c>
      <c r="B1328" s="1" t="n">
        <v>44894</v>
      </c>
      <c r="C1328" s="1" t="n">
        <v>45992</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27321-2024</t>
        </is>
      </c>
      <c r="B1329" s="1" t="n">
        <v>45471</v>
      </c>
      <c r="C1329" s="1" t="n">
        <v>45992</v>
      </c>
      <c r="D1329" t="inlineStr">
        <is>
          <t>VÄSTERNORRLANDS LÄN</t>
        </is>
      </c>
      <c r="E1329" t="inlineStr">
        <is>
          <t>ÅNGE</t>
        </is>
      </c>
      <c r="F1329" t="inlineStr">
        <is>
          <t>SCA</t>
        </is>
      </c>
      <c r="G1329" t="n">
        <v>14.1</v>
      </c>
      <c r="H1329" t="n">
        <v>0</v>
      </c>
      <c r="I1329" t="n">
        <v>0</v>
      </c>
      <c r="J1329" t="n">
        <v>0</v>
      </c>
      <c r="K1329" t="n">
        <v>0</v>
      </c>
      <c r="L1329" t="n">
        <v>0</v>
      </c>
      <c r="M1329" t="n">
        <v>0</v>
      </c>
      <c r="N1329" t="n">
        <v>0</v>
      </c>
      <c r="O1329" t="n">
        <v>0</v>
      </c>
      <c r="P1329" t="n">
        <v>0</v>
      </c>
      <c r="Q1329" t="n">
        <v>0</v>
      </c>
      <c r="R1329" s="2" t="inlineStr"/>
    </row>
    <row r="1330" ht="15" customHeight="1">
      <c r="A1330" t="inlineStr">
        <is>
          <t>A 29667-2024</t>
        </is>
      </c>
      <c r="B1330" s="1" t="n">
        <v>45484.94041666666</v>
      </c>
      <c r="C1330" s="1" t="n">
        <v>45992</v>
      </c>
      <c r="D1330" t="inlineStr">
        <is>
          <t>VÄSTERNORRLANDS LÄN</t>
        </is>
      </c>
      <c r="E1330" t="inlineStr">
        <is>
          <t>ÅNGE</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8418-2023</t>
        </is>
      </c>
      <c r="B1331" s="1" t="n">
        <v>44971</v>
      </c>
      <c r="C1331" s="1" t="n">
        <v>45992</v>
      </c>
      <c r="D1331" t="inlineStr">
        <is>
          <t>VÄSTERNORRLANDS LÄN</t>
        </is>
      </c>
      <c r="E1331" t="inlineStr">
        <is>
          <t>ÅNGE</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20024-2023</t>
        </is>
      </c>
      <c r="B1332" s="1" t="n">
        <v>45051</v>
      </c>
      <c r="C1332" s="1" t="n">
        <v>45992</v>
      </c>
      <c r="D1332" t="inlineStr">
        <is>
          <t>VÄSTERNORRLANDS LÄN</t>
        </is>
      </c>
      <c r="E1332" t="inlineStr">
        <is>
          <t>ÅNGE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54982-2023</t>
        </is>
      </c>
      <c r="B1333" s="1" t="n">
        <v>45236</v>
      </c>
      <c r="C1333" s="1" t="n">
        <v>45992</v>
      </c>
      <c r="D1333" t="inlineStr">
        <is>
          <t>VÄSTERNORRLANDS LÄN</t>
        </is>
      </c>
      <c r="E1333" t="inlineStr">
        <is>
          <t>ÅNGE</t>
        </is>
      </c>
      <c r="F1333" t="inlineStr">
        <is>
          <t>SCA</t>
        </is>
      </c>
      <c r="G1333" t="n">
        <v>26.2</v>
      </c>
      <c r="H1333" t="n">
        <v>0</v>
      </c>
      <c r="I1333" t="n">
        <v>0</v>
      </c>
      <c r="J1333" t="n">
        <v>0</v>
      </c>
      <c r="K1333" t="n">
        <v>0</v>
      </c>
      <c r="L1333" t="n">
        <v>0</v>
      </c>
      <c r="M1333" t="n">
        <v>0</v>
      </c>
      <c r="N1333" t="n">
        <v>0</v>
      </c>
      <c r="O1333" t="n">
        <v>0</v>
      </c>
      <c r="P1333" t="n">
        <v>0</v>
      </c>
      <c r="Q1333" t="n">
        <v>0</v>
      </c>
      <c r="R1333" s="2" t="inlineStr"/>
    </row>
    <row r="1334" ht="15" customHeight="1">
      <c r="A1334" t="inlineStr">
        <is>
          <t>A 45939-2023</t>
        </is>
      </c>
      <c r="B1334" s="1" t="n">
        <v>45195.94578703704</v>
      </c>
      <c r="C1334" s="1" t="n">
        <v>45992</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51311-2022</t>
        </is>
      </c>
      <c r="B1335" s="1" t="n">
        <v>44868</v>
      </c>
      <c r="C1335" s="1" t="n">
        <v>45992</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63216-2023</t>
        </is>
      </c>
      <c r="B1336" s="1" t="n">
        <v>45273.62721064815</v>
      </c>
      <c r="C1336" s="1" t="n">
        <v>45992</v>
      </c>
      <c r="D1336" t="inlineStr">
        <is>
          <t>VÄSTERNORRLANDS LÄN</t>
        </is>
      </c>
      <c r="E1336" t="inlineStr">
        <is>
          <t>ÅNGE</t>
        </is>
      </c>
      <c r="F1336" t="inlineStr">
        <is>
          <t>Holmen skog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43916-2023</t>
        </is>
      </c>
      <c r="B1337" s="1" t="n">
        <v>45187.72152777778</v>
      </c>
      <c r="C1337" s="1" t="n">
        <v>45992</v>
      </c>
      <c r="D1337" t="inlineStr">
        <is>
          <t>VÄSTERNORRLANDS LÄN</t>
        </is>
      </c>
      <c r="E1337" t="inlineStr">
        <is>
          <t>ÅNGE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19065-2025</t>
        </is>
      </c>
      <c r="B1338" s="1" t="n">
        <v>45765</v>
      </c>
      <c r="C1338" s="1" t="n">
        <v>45992</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36492-2023</t>
        </is>
      </c>
      <c r="B1339" s="1" t="n">
        <v>45152.92479166666</v>
      </c>
      <c r="C1339" s="1" t="n">
        <v>45992</v>
      </c>
      <c r="D1339" t="inlineStr">
        <is>
          <t>VÄSTERNORRLANDS LÄN</t>
        </is>
      </c>
      <c r="E1339" t="inlineStr">
        <is>
          <t>ÅNGE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46332-2023</t>
        </is>
      </c>
      <c r="B1340" s="1" t="n">
        <v>45196</v>
      </c>
      <c r="C1340" s="1" t="n">
        <v>45992</v>
      </c>
      <c r="D1340" t="inlineStr">
        <is>
          <t>VÄSTERNORRLANDS LÄN</t>
        </is>
      </c>
      <c r="E1340" t="inlineStr">
        <is>
          <t>ÅNGE</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26943-2024</t>
        </is>
      </c>
      <c r="B1341" s="1" t="n">
        <v>45470</v>
      </c>
      <c r="C1341" s="1" t="n">
        <v>45992</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55882-2022</t>
        </is>
      </c>
      <c r="B1342" s="1" t="n">
        <v>44888</v>
      </c>
      <c r="C1342" s="1" t="n">
        <v>45992</v>
      </c>
      <c r="D1342" t="inlineStr">
        <is>
          <t>VÄSTERNORRLANDS LÄN</t>
        </is>
      </c>
      <c r="E1342" t="inlineStr">
        <is>
          <t>ÅNGE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6686-2024</t>
        </is>
      </c>
      <c r="B1343" s="1" t="n">
        <v>45341</v>
      </c>
      <c r="C1343" s="1" t="n">
        <v>45992</v>
      </c>
      <c r="D1343" t="inlineStr">
        <is>
          <t>VÄSTERNORRLANDS LÄN</t>
        </is>
      </c>
      <c r="E1343" t="inlineStr">
        <is>
          <t>ÅNGE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63556-2021</t>
        </is>
      </c>
      <c r="B1344" s="1" t="n">
        <v>44508.70231481481</v>
      </c>
      <c r="C1344" s="1" t="n">
        <v>45992</v>
      </c>
      <c r="D1344" t="inlineStr">
        <is>
          <t>VÄSTERNORRLANDS LÄN</t>
        </is>
      </c>
      <c r="E1344" t="inlineStr">
        <is>
          <t>ÅNGE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6608-2025</t>
        </is>
      </c>
      <c r="B1345" s="1" t="n">
        <v>45700.34415509259</v>
      </c>
      <c r="C1345" s="1" t="n">
        <v>45992</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30682-2024</t>
        </is>
      </c>
      <c r="B1346" s="1" t="n">
        <v>45495.95109953704</v>
      </c>
      <c r="C1346" s="1" t="n">
        <v>45992</v>
      </c>
      <c r="D1346" t="inlineStr">
        <is>
          <t>VÄSTERNORRLANDS LÄN</t>
        </is>
      </c>
      <c r="E1346" t="inlineStr">
        <is>
          <t>ÅNGE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2451-2024</t>
        </is>
      </c>
      <c r="B1347" s="1" t="n">
        <v>45312.58627314815</v>
      </c>
      <c r="C1347" s="1" t="n">
        <v>45992</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3352-2021</t>
        </is>
      </c>
      <c r="B1348" s="1" t="n">
        <v>44217</v>
      </c>
      <c r="C1348" s="1" t="n">
        <v>45992</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3253-2024</t>
        </is>
      </c>
      <c r="B1349" s="1" t="n">
        <v>45316</v>
      </c>
      <c r="C1349" s="1" t="n">
        <v>45992</v>
      </c>
      <c r="D1349" t="inlineStr">
        <is>
          <t>VÄSTERNORRLANDS LÄN</t>
        </is>
      </c>
      <c r="E1349" t="inlineStr">
        <is>
          <t>ÅNGE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34783-2021</t>
        </is>
      </c>
      <c r="B1350" s="1" t="n">
        <v>44382</v>
      </c>
      <c r="C1350" s="1" t="n">
        <v>45992</v>
      </c>
      <c r="D1350" t="inlineStr">
        <is>
          <t>VÄSTERNORRLANDS LÄN</t>
        </is>
      </c>
      <c r="E1350" t="inlineStr">
        <is>
          <t>ÅNGE</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58748-2023</t>
        </is>
      </c>
      <c r="B1351" s="1" t="n">
        <v>45251.92936342592</v>
      </c>
      <c r="C1351" s="1" t="n">
        <v>45992</v>
      </c>
      <c r="D1351" t="inlineStr">
        <is>
          <t>VÄSTERNORRLANDS LÄN</t>
        </is>
      </c>
      <c r="E1351" t="inlineStr">
        <is>
          <t>ÅNGE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51070-2024</t>
        </is>
      </c>
      <c r="B1352" s="1" t="n">
        <v>45603</v>
      </c>
      <c r="C1352" s="1" t="n">
        <v>45992</v>
      </c>
      <c r="D1352" t="inlineStr">
        <is>
          <t>VÄSTERNORRLANDS LÄN</t>
        </is>
      </c>
      <c r="E1352" t="inlineStr">
        <is>
          <t>ÅNGE</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51871-2024</t>
        </is>
      </c>
      <c r="B1353" s="1" t="n">
        <v>45607</v>
      </c>
      <c r="C1353" s="1" t="n">
        <v>45992</v>
      </c>
      <c r="D1353" t="inlineStr">
        <is>
          <t>VÄSTERNORRLANDS LÄN</t>
        </is>
      </c>
      <c r="E1353" t="inlineStr">
        <is>
          <t>ÅNGE</t>
        </is>
      </c>
      <c r="F1353" t="inlineStr">
        <is>
          <t>SCA</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57636-2022</t>
        </is>
      </c>
      <c r="B1354" s="1" t="n">
        <v>44897</v>
      </c>
      <c r="C1354" s="1" t="n">
        <v>45992</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45992</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55329-2023</t>
        </is>
      </c>
      <c r="B1356" s="1" t="n">
        <v>45237</v>
      </c>
      <c r="C1356" s="1" t="n">
        <v>45992</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44178-2023</t>
        </is>
      </c>
      <c r="B1357" s="1" t="n">
        <v>45183</v>
      </c>
      <c r="C1357" s="1" t="n">
        <v>45992</v>
      </c>
      <c r="D1357" t="inlineStr">
        <is>
          <t>VÄSTERNORRLANDS LÄN</t>
        </is>
      </c>
      <c r="E1357" t="inlineStr">
        <is>
          <t>ÅNGE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52804-2024</t>
        </is>
      </c>
      <c r="B1358" s="1" t="n">
        <v>45610.57322916666</v>
      </c>
      <c r="C1358" s="1" t="n">
        <v>45992</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30055-2024</t>
        </is>
      </c>
      <c r="B1359" s="1" t="n">
        <v>45488.94767361111</v>
      </c>
      <c r="C1359" s="1" t="n">
        <v>45992</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42346-2023</t>
        </is>
      </c>
      <c r="B1360" s="1" t="n">
        <v>45180</v>
      </c>
      <c r="C1360" s="1" t="n">
        <v>45992</v>
      </c>
      <c r="D1360" t="inlineStr">
        <is>
          <t>VÄSTERNORRLANDS LÄN</t>
        </is>
      </c>
      <c r="E1360" t="inlineStr">
        <is>
          <t>ÅNGE</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137-2025</t>
        </is>
      </c>
      <c r="B1361" s="1" t="n">
        <v>45659.57684027778</v>
      </c>
      <c r="C1361" s="1" t="n">
        <v>45992</v>
      </c>
      <c r="D1361" t="inlineStr">
        <is>
          <t>VÄSTERNORRLANDS LÄN</t>
        </is>
      </c>
      <c r="E1361" t="inlineStr">
        <is>
          <t>ÅNGE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55380-2024</t>
        </is>
      </c>
      <c r="B1362" s="1" t="n">
        <v>45622.28810185185</v>
      </c>
      <c r="C1362" s="1" t="n">
        <v>45992</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56615-2023</t>
        </is>
      </c>
      <c r="B1363" s="1" t="n">
        <v>45243</v>
      </c>
      <c r="C1363" s="1" t="n">
        <v>45992</v>
      </c>
      <c r="D1363" t="inlineStr">
        <is>
          <t>VÄSTERNORRLANDS LÄN</t>
        </is>
      </c>
      <c r="E1363" t="inlineStr">
        <is>
          <t>ÅNGE</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57601-2022</t>
        </is>
      </c>
      <c r="B1364" s="1" t="n">
        <v>44896</v>
      </c>
      <c r="C1364" s="1" t="n">
        <v>45992</v>
      </c>
      <c r="D1364" t="inlineStr">
        <is>
          <t>VÄSTERNORRLANDS LÄN</t>
        </is>
      </c>
      <c r="E1364" t="inlineStr">
        <is>
          <t>ÅNGE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22678-2024</t>
        </is>
      </c>
      <c r="B1365" s="1" t="n">
        <v>45447.94533564815</v>
      </c>
      <c r="C1365" s="1" t="n">
        <v>45992</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64121-2021</t>
        </is>
      </c>
      <c r="B1366" s="1" t="n">
        <v>44510.4730787037</v>
      </c>
      <c r="C1366" s="1" t="n">
        <v>45992</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71965-2021</t>
        </is>
      </c>
      <c r="B1367" s="1" t="n">
        <v>44544.32483796297</v>
      </c>
      <c r="C1367" s="1" t="n">
        <v>45992</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62834-2021</t>
        </is>
      </c>
      <c r="B1368" s="1" t="n">
        <v>44503</v>
      </c>
      <c r="C1368" s="1" t="n">
        <v>45992</v>
      </c>
      <c r="D1368" t="inlineStr">
        <is>
          <t>VÄSTERNORRLANDS LÄN</t>
        </is>
      </c>
      <c r="E1368" t="inlineStr">
        <is>
          <t>ÅNGE</t>
        </is>
      </c>
      <c r="F1368" t="inlineStr">
        <is>
          <t>Övriga statliga verk och myndigheter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7535-2023</t>
        </is>
      </c>
      <c r="B1369" s="1" t="n">
        <v>44971</v>
      </c>
      <c r="C1369" s="1" t="n">
        <v>45992</v>
      </c>
      <c r="D1369" t="inlineStr">
        <is>
          <t>VÄSTERNORRLANDS LÄN</t>
        </is>
      </c>
      <c r="E1369" t="inlineStr">
        <is>
          <t>ÅNGE</t>
        </is>
      </c>
      <c r="F1369" t="inlineStr">
        <is>
          <t>SCA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41586-2024</t>
        </is>
      </c>
      <c r="B1370" s="1" t="n">
        <v>45560.56089120371</v>
      </c>
      <c r="C1370" s="1" t="n">
        <v>45992</v>
      </c>
      <c r="D1370" t="inlineStr">
        <is>
          <t>VÄSTERNORRLANDS LÄN</t>
        </is>
      </c>
      <c r="E1370" t="inlineStr">
        <is>
          <t>ÅNGE</t>
        </is>
      </c>
      <c r="F1370" t="inlineStr">
        <is>
          <t>Holmen skog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48946-2024</t>
        </is>
      </c>
      <c r="B1371" s="1" t="n">
        <v>45594.42736111111</v>
      </c>
      <c r="C1371" s="1" t="n">
        <v>45992</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33429-2023</t>
        </is>
      </c>
      <c r="B1372" s="1" t="n">
        <v>45128.94983796297</v>
      </c>
      <c r="C1372" s="1" t="n">
        <v>45992</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22597-2021</t>
        </is>
      </c>
      <c r="B1373" s="1" t="n">
        <v>44326</v>
      </c>
      <c r="C1373" s="1" t="n">
        <v>45992</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20255-2023</t>
        </is>
      </c>
      <c r="B1374" s="1" t="n">
        <v>45055</v>
      </c>
      <c r="C1374" s="1" t="n">
        <v>45992</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11871-2025</t>
        </is>
      </c>
      <c r="B1375" s="1" t="n">
        <v>45728.42740740741</v>
      </c>
      <c r="C1375" s="1" t="n">
        <v>45992</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16934-2025</t>
        </is>
      </c>
      <c r="B1376" s="1" t="n">
        <v>45755.40671296296</v>
      </c>
      <c r="C1376" s="1" t="n">
        <v>45992</v>
      </c>
      <c r="D1376" t="inlineStr">
        <is>
          <t>VÄSTERNORRLANDS LÄN</t>
        </is>
      </c>
      <c r="E1376" t="inlineStr">
        <is>
          <t>ÅNGE</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16281-2023</t>
        </is>
      </c>
      <c r="B1377" s="1" t="n">
        <v>45028</v>
      </c>
      <c r="C1377" s="1" t="n">
        <v>45992</v>
      </c>
      <c r="D1377" t="inlineStr">
        <is>
          <t>VÄSTERNORRLANDS LÄN</t>
        </is>
      </c>
      <c r="E1377" t="inlineStr">
        <is>
          <t>ÅNGE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26012-2024</t>
        </is>
      </c>
      <c r="B1378" s="1" t="n">
        <v>45467</v>
      </c>
      <c r="C1378" s="1" t="n">
        <v>45992</v>
      </c>
      <c r="D1378" t="inlineStr">
        <is>
          <t>VÄSTERNORRLANDS LÄN</t>
        </is>
      </c>
      <c r="E1378" t="inlineStr">
        <is>
          <t>ÅNGE</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26015-2024</t>
        </is>
      </c>
      <c r="B1379" s="1" t="n">
        <v>45467.95872685185</v>
      </c>
      <c r="C1379" s="1" t="n">
        <v>45992</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48697-2024</t>
        </is>
      </c>
      <c r="B1380" s="1" t="n">
        <v>45593.51136574074</v>
      </c>
      <c r="C1380" s="1" t="n">
        <v>45992</v>
      </c>
      <c r="D1380" t="inlineStr">
        <is>
          <t>VÄSTERNORRLANDS LÄN</t>
        </is>
      </c>
      <c r="E1380" t="inlineStr">
        <is>
          <t>ÅNGE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1095-2023</t>
        </is>
      </c>
      <c r="B1381" s="1" t="n">
        <v>44929</v>
      </c>
      <c r="C1381" s="1" t="n">
        <v>45992</v>
      </c>
      <c r="D1381" t="inlineStr">
        <is>
          <t>VÄSTERNORRLANDS LÄN</t>
        </is>
      </c>
      <c r="E1381" t="inlineStr">
        <is>
          <t>ÅNGE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46795-2023</t>
        </is>
      </c>
      <c r="B1382" s="1" t="n">
        <v>45198</v>
      </c>
      <c r="C1382" s="1" t="n">
        <v>45992</v>
      </c>
      <c r="D1382" t="inlineStr">
        <is>
          <t>VÄSTERNORRLANDS LÄN</t>
        </is>
      </c>
      <c r="E1382" t="inlineStr">
        <is>
          <t>ÅNGE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16657-2025</t>
        </is>
      </c>
      <c r="B1383" s="1" t="n">
        <v>45754.40700231482</v>
      </c>
      <c r="C1383" s="1" t="n">
        <v>45992</v>
      </c>
      <c r="D1383" t="inlineStr">
        <is>
          <t>VÄSTERNORRLANDS LÄN</t>
        </is>
      </c>
      <c r="E1383" t="inlineStr">
        <is>
          <t>ÅNGE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63709-2023</t>
        </is>
      </c>
      <c r="B1384" s="1" t="n">
        <v>45275.95069444444</v>
      </c>
      <c r="C1384" s="1" t="n">
        <v>45992</v>
      </c>
      <c r="D1384" t="inlineStr">
        <is>
          <t>VÄSTERNORRLANDS LÄN</t>
        </is>
      </c>
      <c r="E1384" t="inlineStr">
        <is>
          <t>ÅNGE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30353-2024</t>
        </is>
      </c>
      <c r="B1385" s="1" t="n">
        <v>45490.95567129629</v>
      </c>
      <c r="C1385" s="1" t="n">
        <v>45992</v>
      </c>
      <c r="D1385" t="inlineStr">
        <is>
          <t>VÄSTERNORRLANDS LÄN</t>
        </is>
      </c>
      <c r="E1385" t="inlineStr">
        <is>
          <t>ÅNGE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4187-2025</t>
        </is>
      </c>
      <c r="B1386" s="1" t="n">
        <v>45685.44842592593</v>
      </c>
      <c r="C1386" s="1" t="n">
        <v>45992</v>
      </c>
      <c r="D1386" t="inlineStr">
        <is>
          <t>VÄSTERNORRLANDS LÄN</t>
        </is>
      </c>
      <c r="E1386" t="inlineStr">
        <is>
          <t>ÅNGE</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58929-2024</t>
        </is>
      </c>
      <c r="B1387" s="1" t="n">
        <v>45636.51090277778</v>
      </c>
      <c r="C1387" s="1" t="n">
        <v>45992</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45992</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2365-2024</t>
        </is>
      </c>
      <c r="B1389" s="1" t="n">
        <v>45310.59778935185</v>
      </c>
      <c r="C1389" s="1" t="n">
        <v>45992</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2372-2024</t>
        </is>
      </c>
      <c r="B1390" s="1" t="n">
        <v>45310.6115625</v>
      </c>
      <c r="C1390" s="1" t="n">
        <v>45992</v>
      </c>
      <c r="D1390" t="inlineStr">
        <is>
          <t>VÄSTERNORRLANDS LÄN</t>
        </is>
      </c>
      <c r="E1390" t="inlineStr">
        <is>
          <t>ÅNGE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21068-2025</t>
        </is>
      </c>
      <c r="B1391" s="1" t="n">
        <v>45777.59413194445</v>
      </c>
      <c r="C1391" s="1" t="n">
        <v>45992</v>
      </c>
      <c r="D1391" t="inlineStr">
        <is>
          <t>VÄSTERNORRLANDS LÄN</t>
        </is>
      </c>
      <c r="E1391" t="inlineStr">
        <is>
          <t>ÅNGE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20864-2025</t>
        </is>
      </c>
      <c r="B1392" s="1" t="n">
        <v>45777.34417824074</v>
      </c>
      <c r="C1392" s="1" t="n">
        <v>45992</v>
      </c>
      <c r="D1392" t="inlineStr">
        <is>
          <t>VÄSTERNORRLANDS LÄN</t>
        </is>
      </c>
      <c r="E1392" t="inlineStr">
        <is>
          <t>ÅNGE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20868-2025</t>
        </is>
      </c>
      <c r="B1393" s="1" t="n">
        <v>45777.34483796296</v>
      </c>
      <c r="C1393" s="1" t="n">
        <v>45992</v>
      </c>
      <c r="D1393" t="inlineStr">
        <is>
          <t>VÄSTERNORRLANDS LÄN</t>
        </is>
      </c>
      <c r="E1393" t="inlineStr">
        <is>
          <t>ÅNGE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20718-2025</t>
        </is>
      </c>
      <c r="B1394" s="1" t="n">
        <v>45776.49047453704</v>
      </c>
      <c r="C1394" s="1" t="n">
        <v>45992</v>
      </c>
      <c r="D1394" t="inlineStr">
        <is>
          <t>VÄSTERNORRLANDS LÄN</t>
        </is>
      </c>
      <c r="E1394" t="inlineStr">
        <is>
          <t>ÅNGE</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20776-2025</t>
        </is>
      </c>
      <c r="B1395" s="1" t="n">
        <v>45776.59410879629</v>
      </c>
      <c r="C1395" s="1" t="n">
        <v>45992</v>
      </c>
      <c r="D1395" t="inlineStr">
        <is>
          <t>VÄSTERNORRLANDS LÄN</t>
        </is>
      </c>
      <c r="E1395" t="inlineStr">
        <is>
          <t>ÅNGE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21174-2025</t>
        </is>
      </c>
      <c r="B1396" s="1" t="n">
        <v>45779.42746527777</v>
      </c>
      <c r="C1396" s="1" t="n">
        <v>45992</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21197-2025</t>
        </is>
      </c>
      <c r="B1397" s="1" t="n">
        <v>45779.46949074074</v>
      </c>
      <c r="C1397" s="1" t="n">
        <v>45992</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45030-2024</t>
        </is>
      </c>
      <c r="B1398" s="1" t="n">
        <v>45575.52089120371</v>
      </c>
      <c r="C1398" s="1" t="n">
        <v>45992</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21263-2025</t>
        </is>
      </c>
      <c r="B1399" s="1" t="n">
        <v>45779.61233796296</v>
      </c>
      <c r="C1399" s="1" t="n">
        <v>45992</v>
      </c>
      <c r="D1399" t="inlineStr">
        <is>
          <t>VÄSTERNORRLANDS LÄN</t>
        </is>
      </c>
      <c r="E1399" t="inlineStr">
        <is>
          <t>ÅNGE</t>
        </is>
      </c>
      <c r="F1399" t="inlineStr">
        <is>
          <t>Sveaskog</t>
        </is>
      </c>
      <c r="G1399" t="n">
        <v>14.9</v>
      </c>
      <c r="H1399" t="n">
        <v>0</v>
      </c>
      <c r="I1399" t="n">
        <v>0</v>
      </c>
      <c r="J1399" t="n">
        <v>0</v>
      </c>
      <c r="K1399" t="n">
        <v>0</v>
      </c>
      <c r="L1399" t="n">
        <v>0</v>
      </c>
      <c r="M1399" t="n">
        <v>0</v>
      </c>
      <c r="N1399" t="n">
        <v>0</v>
      </c>
      <c r="O1399" t="n">
        <v>0</v>
      </c>
      <c r="P1399" t="n">
        <v>0</v>
      </c>
      <c r="Q1399" t="n">
        <v>0</v>
      </c>
      <c r="R1399" s="2" t="inlineStr"/>
    </row>
    <row r="1400" ht="15" customHeight="1">
      <c r="A1400" t="inlineStr">
        <is>
          <t>A 21251-2025</t>
        </is>
      </c>
      <c r="B1400" s="1" t="n">
        <v>45779.57417824074</v>
      </c>
      <c r="C1400" s="1" t="n">
        <v>45992</v>
      </c>
      <c r="D1400" t="inlineStr">
        <is>
          <t>VÄSTERNORRLANDS LÄN</t>
        </is>
      </c>
      <c r="E1400" t="inlineStr">
        <is>
          <t>ÅNGE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21176-2025</t>
        </is>
      </c>
      <c r="B1401" s="1" t="n">
        <v>45779.42798611111</v>
      </c>
      <c r="C1401" s="1" t="n">
        <v>45992</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21741-2025</t>
        </is>
      </c>
      <c r="B1402" s="1" t="n">
        <v>45783.59415509259</v>
      </c>
      <c r="C1402" s="1" t="n">
        <v>45992</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21685-2025</t>
        </is>
      </c>
      <c r="B1403" s="1" t="n">
        <v>45783.49050925926</v>
      </c>
      <c r="C1403" s="1" t="n">
        <v>45992</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21597-2025</t>
        </is>
      </c>
      <c r="B1404" s="1" t="n">
        <v>45783.34493055556</v>
      </c>
      <c r="C1404" s="1" t="n">
        <v>45992</v>
      </c>
      <c r="D1404" t="inlineStr">
        <is>
          <t>VÄSTERNORRLANDS LÄN</t>
        </is>
      </c>
      <c r="E1404" t="inlineStr">
        <is>
          <t>ÅNGE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17669-2023</t>
        </is>
      </c>
      <c r="B1405" s="1" t="n">
        <v>45036.94457175926</v>
      </c>
      <c r="C1405" s="1" t="n">
        <v>45992</v>
      </c>
      <c r="D1405" t="inlineStr">
        <is>
          <t>VÄSTERNORRLANDS LÄN</t>
        </is>
      </c>
      <c r="E1405" t="inlineStr">
        <is>
          <t>ÅNGE</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25867-2024</t>
        </is>
      </c>
      <c r="B1406" s="1" t="n">
        <v>45463</v>
      </c>
      <c r="C1406" s="1" t="n">
        <v>45992</v>
      </c>
      <c r="D1406" t="inlineStr">
        <is>
          <t>VÄSTERNORRLANDS LÄN</t>
        </is>
      </c>
      <c r="E1406" t="inlineStr">
        <is>
          <t>ÅNGE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2539-2025</t>
        </is>
      </c>
      <c r="B1407" s="1" t="n">
        <v>45674.61581018518</v>
      </c>
      <c r="C1407" s="1" t="n">
        <v>45992</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21686-2025</t>
        </is>
      </c>
      <c r="B1408" s="1" t="n">
        <v>45783.490625</v>
      </c>
      <c r="C1408" s="1" t="n">
        <v>45992</v>
      </c>
      <c r="D1408" t="inlineStr">
        <is>
          <t>VÄSTERNORRLANDS LÄN</t>
        </is>
      </c>
      <c r="E1408" t="inlineStr">
        <is>
          <t>ÅNGE</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54295-2024</t>
        </is>
      </c>
      <c r="B1409" s="1" t="n">
        <v>45617</v>
      </c>
      <c r="C1409" s="1" t="n">
        <v>45992</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21563-2025</t>
        </is>
      </c>
      <c r="B1410" s="1" t="n">
        <v>45782.69822916666</v>
      </c>
      <c r="C1410" s="1" t="n">
        <v>45992</v>
      </c>
      <c r="D1410" t="inlineStr">
        <is>
          <t>VÄSTERNORRLANDS LÄN</t>
        </is>
      </c>
      <c r="E1410" t="inlineStr">
        <is>
          <t>ÅNGE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21712-2025</t>
        </is>
      </c>
      <c r="B1411" s="1" t="n">
        <v>45783.53210648148</v>
      </c>
      <c r="C1411" s="1" t="n">
        <v>45992</v>
      </c>
      <c r="D1411" t="inlineStr">
        <is>
          <t>VÄSTERNORRLANDS LÄN</t>
        </is>
      </c>
      <c r="E1411" t="inlineStr">
        <is>
          <t>ÅNGE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26640-2024</t>
        </is>
      </c>
      <c r="B1412" s="1" t="n">
        <v>45469.92831018518</v>
      </c>
      <c r="C1412" s="1" t="n">
        <v>45992</v>
      </c>
      <c r="D1412" t="inlineStr">
        <is>
          <t>VÄSTERNORRLANDS LÄN</t>
        </is>
      </c>
      <c r="E1412" t="inlineStr">
        <is>
          <t>ÅNGE</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39119-2024</t>
        </is>
      </c>
      <c r="B1413" s="1" t="n">
        <v>45548.58939814815</v>
      </c>
      <c r="C1413" s="1" t="n">
        <v>45992</v>
      </c>
      <c r="D1413" t="inlineStr">
        <is>
          <t>VÄSTERNORRLANDS LÄN</t>
        </is>
      </c>
      <c r="E1413" t="inlineStr">
        <is>
          <t>ÅNGE</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32257-2024</t>
        </is>
      </c>
      <c r="B1414" s="1" t="n">
        <v>45511</v>
      </c>
      <c r="C1414" s="1" t="n">
        <v>45992</v>
      </c>
      <c r="D1414" t="inlineStr">
        <is>
          <t>VÄSTERNORRLANDS LÄN</t>
        </is>
      </c>
      <c r="E1414" t="inlineStr">
        <is>
          <t>ÅNGE</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20880-2025</t>
        </is>
      </c>
      <c r="B1415" s="1" t="n">
        <v>45777</v>
      </c>
      <c r="C1415" s="1" t="n">
        <v>45992</v>
      </c>
      <c r="D1415" t="inlineStr">
        <is>
          <t>VÄSTERNORRLANDS LÄN</t>
        </is>
      </c>
      <c r="E1415" t="inlineStr">
        <is>
          <t>ÅNGE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22219-2025</t>
        </is>
      </c>
      <c r="B1416" s="1" t="n">
        <v>45785.65849537037</v>
      </c>
      <c r="C1416" s="1" t="n">
        <v>45992</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21862-2025</t>
        </is>
      </c>
      <c r="B1417" s="1" t="n">
        <v>45784.36519675926</v>
      </c>
      <c r="C1417" s="1" t="n">
        <v>45992</v>
      </c>
      <c r="D1417" t="inlineStr">
        <is>
          <t>VÄSTERNORRLANDS LÄN</t>
        </is>
      </c>
      <c r="E1417" t="inlineStr">
        <is>
          <t>ÅNGE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22206-2025</t>
        </is>
      </c>
      <c r="B1418" s="1" t="n">
        <v>45785.65699074074</v>
      </c>
      <c r="C1418" s="1" t="n">
        <v>45992</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29395-2023</t>
        </is>
      </c>
      <c r="B1419" s="1" t="n">
        <v>45106.4359837963</v>
      </c>
      <c r="C1419" s="1" t="n">
        <v>45992</v>
      </c>
      <c r="D1419" t="inlineStr">
        <is>
          <t>VÄSTERNORRLANDS LÄN</t>
        </is>
      </c>
      <c r="E1419" t="inlineStr">
        <is>
          <t>ÅNGE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38800-2024</t>
        </is>
      </c>
      <c r="B1420" s="1" t="n">
        <v>45547</v>
      </c>
      <c r="C1420" s="1" t="n">
        <v>45992</v>
      </c>
      <c r="D1420" t="inlineStr">
        <is>
          <t>VÄSTERNORRLANDS LÄN</t>
        </is>
      </c>
      <c r="E1420" t="inlineStr">
        <is>
          <t>ÅNGE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21883-2025</t>
        </is>
      </c>
      <c r="B1421" s="1" t="n">
        <v>45784.41361111111</v>
      </c>
      <c r="C1421" s="1" t="n">
        <v>45992</v>
      </c>
      <c r="D1421" t="inlineStr">
        <is>
          <t>VÄSTERNORRLANDS LÄN</t>
        </is>
      </c>
      <c r="E1421" t="inlineStr">
        <is>
          <t>ÅNGE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31492-2024</t>
        </is>
      </c>
      <c r="B1422" s="1" t="n">
        <v>45505</v>
      </c>
      <c r="C1422" s="1" t="n">
        <v>45992</v>
      </c>
      <c r="D1422" t="inlineStr">
        <is>
          <t>VÄSTERNORRLANDS LÄN</t>
        </is>
      </c>
      <c r="E1422" t="inlineStr">
        <is>
          <t>ÅNGE</t>
        </is>
      </c>
      <c r="F1422" t="inlineStr">
        <is>
          <t>SCA</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21982-2025</t>
        </is>
      </c>
      <c r="B1423" s="1" t="n">
        <v>45784.65660879629</v>
      </c>
      <c r="C1423" s="1" t="n">
        <v>45992</v>
      </c>
      <c r="D1423" t="inlineStr">
        <is>
          <t>VÄSTERNORRLANDS LÄN</t>
        </is>
      </c>
      <c r="E1423" t="inlineStr">
        <is>
          <t>ÅNGE</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22187-2024</t>
        </is>
      </c>
      <c r="B1424" s="1" t="n">
        <v>45446.35222222222</v>
      </c>
      <c r="C1424" s="1" t="n">
        <v>45992</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22489-2025</t>
        </is>
      </c>
      <c r="B1425" s="1" t="n">
        <v>45786.64946759259</v>
      </c>
      <c r="C1425" s="1" t="n">
        <v>45992</v>
      </c>
      <c r="D1425" t="inlineStr">
        <is>
          <t>VÄSTERNORRLANDS LÄN</t>
        </is>
      </c>
      <c r="E1425" t="inlineStr">
        <is>
          <t>ÅNGE</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22791-2025</t>
        </is>
      </c>
      <c r="B1426" s="1" t="n">
        <v>45789.65663194445</v>
      </c>
      <c r="C1426" s="1" t="n">
        <v>45992</v>
      </c>
      <c r="D1426" t="inlineStr">
        <is>
          <t>VÄSTERNORRLANDS LÄN</t>
        </is>
      </c>
      <c r="E1426" t="inlineStr">
        <is>
          <t>ÅNGE</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22549-2025</t>
        </is>
      </c>
      <c r="B1427" s="1" t="n">
        <v>45788.48113425926</v>
      </c>
      <c r="C1427" s="1" t="n">
        <v>45992</v>
      </c>
      <c r="D1427" t="inlineStr">
        <is>
          <t>VÄSTERNORRLANDS LÄN</t>
        </is>
      </c>
      <c r="E1427" t="inlineStr">
        <is>
          <t>ÅNGE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23091-2025</t>
        </is>
      </c>
      <c r="B1428" s="1" t="n">
        <v>45791.34456018519</v>
      </c>
      <c r="C1428" s="1" t="n">
        <v>45992</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23343-2025</t>
        </is>
      </c>
      <c r="B1429" s="1" t="n">
        <v>45791.65702546296</v>
      </c>
      <c r="C1429" s="1" t="n">
        <v>45992</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23252-2025</t>
        </is>
      </c>
      <c r="B1430" s="1" t="n">
        <v>45791.53157407408</v>
      </c>
      <c r="C1430" s="1" t="n">
        <v>45992</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22926-2025</t>
        </is>
      </c>
      <c r="B1431" s="1" t="n">
        <v>45790</v>
      </c>
      <c r="C1431" s="1" t="n">
        <v>45992</v>
      </c>
      <c r="D1431" t="inlineStr">
        <is>
          <t>VÄSTERNORRLANDS LÄN</t>
        </is>
      </c>
      <c r="E1431" t="inlineStr">
        <is>
          <t>ÅNGE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22928-2025</t>
        </is>
      </c>
      <c r="B1432" s="1" t="n">
        <v>45790.44825231482</v>
      </c>
      <c r="C1432" s="1" t="n">
        <v>45992</v>
      </c>
      <c r="D1432" t="inlineStr">
        <is>
          <t>VÄSTERNORRLANDS LÄN</t>
        </is>
      </c>
      <c r="E1432" t="inlineStr">
        <is>
          <t>ÅNGE</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23748-2025</t>
        </is>
      </c>
      <c r="B1433" s="1" t="n">
        <v>45793.44755787037</v>
      </c>
      <c r="C1433" s="1" t="n">
        <v>45992</v>
      </c>
      <c r="D1433" t="inlineStr">
        <is>
          <t>VÄSTERNORRLANDS LÄN</t>
        </is>
      </c>
      <c r="E1433" t="inlineStr">
        <is>
          <t>ÅNGE</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23589-2025</t>
        </is>
      </c>
      <c r="B1434" s="1" t="n">
        <v>45792.63618055556</v>
      </c>
      <c r="C1434" s="1" t="n">
        <v>45992</v>
      </c>
      <c r="D1434" t="inlineStr">
        <is>
          <t>VÄSTERNORRLANDS LÄN</t>
        </is>
      </c>
      <c r="E1434" t="inlineStr">
        <is>
          <t>ÅNGE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23495-2025</t>
        </is>
      </c>
      <c r="B1435" s="1" t="n">
        <v>45792.46967592592</v>
      </c>
      <c r="C1435" s="1" t="n">
        <v>45992</v>
      </c>
      <c r="D1435" t="inlineStr">
        <is>
          <t>VÄSTERNORRLANDS LÄN</t>
        </is>
      </c>
      <c r="E1435" t="inlineStr">
        <is>
          <t>ÅNGE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23580-2025</t>
        </is>
      </c>
      <c r="B1436" s="1" t="n">
        <v>45792.62555555555</v>
      </c>
      <c r="C1436" s="1" t="n">
        <v>45992</v>
      </c>
      <c r="D1436" t="inlineStr">
        <is>
          <t>VÄSTERNORRLANDS LÄN</t>
        </is>
      </c>
      <c r="E1436" t="inlineStr">
        <is>
          <t>ÅNGE</t>
        </is>
      </c>
      <c r="F1436" t="inlineStr">
        <is>
          <t>Kyrkan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23590-2025</t>
        </is>
      </c>
      <c r="B1437" s="1" t="n">
        <v>45792.63627314815</v>
      </c>
      <c r="C1437" s="1" t="n">
        <v>45992</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23573-2025</t>
        </is>
      </c>
      <c r="B1438" s="1" t="n">
        <v>45792.61497685185</v>
      </c>
      <c r="C1438" s="1" t="n">
        <v>45992</v>
      </c>
      <c r="D1438" t="inlineStr">
        <is>
          <t>VÄSTERNORRLANDS LÄN</t>
        </is>
      </c>
      <c r="E1438" t="inlineStr">
        <is>
          <t>ÅNGE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23552-2025</t>
        </is>
      </c>
      <c r="B1439" s="1" t="n">
        <v>45792.5738425926</v>
      </c>
      <c r="C1439" s="1" t="n">
        <v>45992</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23529-2025</t>
        </is>
      </c>
      <c r="B1440" s="1" t="n">
        <v>45792.53158564815</v>
      </c>
      <c r="C1440" s="1" t="n">
        <v>45992</v>
      </c>
      <c r="D1440" t="inlineStr">
        <is>
          <t>VÄSTERNORRLANDS LÄN</t>
        </is>
      </c>
      <c r="E1440" t="inlineStr">
        <is>
          <t>ÅNGE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60004-2023</t>
        </is>
      </c>
      <c r="B1441" s="1" t="n">
        <v>45257</v>
      </c>
      <c r="C1441" s="1" t="n">
        <v>45992</v>
      </c>
      <c r="D1441" t="inlineStr">
        <is>
          <t>VÄSTERNORRLANDS LÄN</t>
        </is>
      </c>
      <c r="E1441" t="inlineStr">
        <is>
          <t>ÅNGE</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4142-2024</t>
        </is>
      </c>
      <c r="B1442" s="1" t="n">
        <v>45323</v>
      </c>
      <c r="C1442" s="1" t="n">
        <v>45992</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39843-2023</t>
        </is>
      </c>
      <c r="B1443" s="1" t="n">
        <v>45168</v>
      </c>
      <c r="C1443" s="1" t="n">
        <v>45992</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23899-2025</t>
        </is>
      </c>
      <c r="B1444" s="1" t="n">
        <v>45794.34414351852</v>
      </c>
      <c r="C1444" s="1" t="n">
        <v>45992</v>
      </c>
      <c r="D1444" t="inlineStr">
        <is>
          <t>VÄSTERNORRLANDS LÄN</t>
        </is>
      </c>
      <c r="E1444" t="inlineStr">
        <is>
          <t>ÅNGE</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54079-2023</t>
        </is>
      </c>
      <c r="B1445" s="1" t="n">
        <v>45231</v>
      </c>
      <c r="C1445" s="1" t="n">
        <v>45992</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24357-2025</t>
        </is>
      </c>
      <c r="B1446" s="1" t="n">
        <v>45797.59467592592</v>
      </c>
      <c r="C1446" s="1" t="n">
        <v>45992</v>
      </c>
      <c r="D1446" t="inlineStr">
        <is>
          <t>VÄSTERNORRLANDS LÄN</t>
        </is>
      </c>
      <c r="E1446" t="inlineStr">
        <is>
          <t>ÅNGE</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24292-2025</t>
        </is>
      </c>
      <c r="B1447" s="1" t="n">
        <v>45797.46657407407</v>
      </c>
      <c r="C1447" s="1" t="n">
        <v>45992</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24008-2025</t>
        </is>
      </c>
      <c r="B1448" s="1" t="n">
        <v>45796.43841435185</v>
      </c>
      <c r="C1448" s="1" t="n">
        <v>45992</v>
      </c>
      <c r="D1448" t="inlineStr">
        <is>
          <t>VÄSTERNORRLANDS LÄN</t>
        </is>
      </c>
      <c r="E1448" t="inlineStr">
        <is>
          <t>ÅNGE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41575-2024</t>
        </is>
      </c>
      <c r="B1449" s="1" t="n">
        <v>45560.55106481481</v>
      </c>
      <c r="C1449" s="1" t="n">
        <v>45992</v>
      </c>
      <c r="D1449" t="inlineStr">
        <is>
          <t>VÄSTERNORRLANDS LÄN</t>
        </is>
      </c>
      <c r="E1449" t="inlineStr">
        <is>
          <t>ÅNGE</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19007-2025</t>
        </is>
      </c>
      <c r="B1450" s="1" t="n">
        <v>45764.58515046296</v>
      </c>
      <c r="C1450" s="1" t="n">
        <v>45992</v>
      </c>
      <c r="D1450" t="inlineStr">
        <is>
          <t>VÄSTERNORRLANDS LÄN</t>
        </is>
      </c>
      <c r="E1450" t="inlineStr">
        <is>
          <t>ÅNGE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41741-2023</t>
        </is>
      </c>
      <c r="B1451" s="1" t="n">
        <v>45176.42164351852</v>
      </c>
      <c r="C1451" s="1" t="n">
        <v>45992</v>
      </c>
      <c r="D1451" t="inlineStr">
        <is>
          <t>VÄSTERNORRLANDS LÄN</t>
        </is>
      </c>
      <c r="E1451" t="inlineStr">
        <is>
          <t>ÅNGE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29702-2024</t>
        </is>
      </c>
      <c r="B1452" s="1" t="n">
        <v>45485.31525462963</v>
      </c>
      <c r="C1452" s="1" t="n">
        <v>45992</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c r="A1453" t="inlineStr">
        <is>
          <t>A 23069-2024</t>
        </is>
      </c>
      <c r="B1453" s="1" t="n">
        <v>45450</v>
      </c>
      <c r="C1453" s="1" t="n">
        <v>45992</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2025-12-01T10:25:58Z</dcterms:created>
  <dcterms:modified xmlns:dcterms="http://purl.org/dc/terms/" xmlns:xsi="http://www.w3.org/2001/XMLSchema-instance" xsi:type="dcterms:W3CDTF">2025-12-01T10:25:59Z</dcterms:modified>
</cp:coreProperties>
</file>