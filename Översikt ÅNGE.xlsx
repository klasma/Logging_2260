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46059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46059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46059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46059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46059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46059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46059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46059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46059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46059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46059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46059</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46059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46059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46059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46059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46059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46059</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46059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46059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49184-2022</t>
        </is>
      </c>
      <c r="B24" s="1" t="n">
        <v>44860</v>
      </c>
      <c r="C24" s="1" t="n">
        <v>46059</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38605-2024</t>
        </is>
      </c>
      <c r="B25" s="1" t="n">
        <v>45546.67789351852</v>
      </c>
      <c r="C25" s="1" t="n">
        <v>46059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46059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46059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46059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46059</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46059</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46059</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46059</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46059</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14887-2022</t>
        </is>
      </c>
      <c r="B34" s="1" t="n">
        <v>44656</v>
      </c>
      <c r="C34" s="1" t="n">
        <v>46059</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46059</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11894-2022</t>
        </is>
      </c>
      <c r="B36" s="1" t="n">
        <v>44635</v>
      </c>
      <c r="C36" s="1" t="n">
        <v>46059</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46059</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33783-2025</t>
        </is>
      </c>
      <c r="B38" s="1" t="n">
        <v>45842.40699074074</v>
      </c>
      <c r="C38" s="1" t="n">
        <v>46059</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25323-2023</t>
        </is>
      </c>
      <c r="B39" s="1" t="n">
        <v>45086</v>
      </c>
      <c r="C39" s="1" t="n">
        <v>46059</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30840-2023</t>
        </is>
      </c>
      <c r="B40" s="1" t="n">
        <v>45112</v>
      </c>
      <c r="C40" s="1" t="n">
        <v>46059</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46059</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5435-2026</t>
        </is>
      </c>
      <c r="B42" s="1" t="n">
        <v>46050</v>
      </c>
      <c r="C42" s="1" t="n">
        <v>46059</v>
      </c>
      <c r="D42" t="inlineStr">
        <is>
          <t>VÄSTERNORRLANDS LÄN</t>
        </is>
      </c>
      <c r="E42" t="inlineStr">
        <is>
          <t>ÅNGE</t>
        </is>
      </c>
      <c r="F42" t="inlineStr">
        <is>
          <t>SCA</t>
        </is>
      </c>
      <c r="G42" t="n">
        <v>19.9</v>
      </c>
      <c r="H42" t="n">
        <v>0</v>
      </c>
      <c r="I42" t="n">
        <v>1</v>
      </c>
      <c r="J42" t="n">
        <v>8</v>
      </c>
      <c r="K42" t="n">
        <v>1</v>
      </c>
      <c r="L42" t="n">
        <v>0</v>
      </c>
      <c r="M42" t="n">
        <v>0</v>
      </c>
      <c r="N42" t="n">
        <v>0</v>
      </c>
      <c r="O42" t="n">
        <v>9</v>
      </c>
      <c r="P42" t="n">
        <v>1</v>
      </c>
      <c r="Q42" t="n">
        <v>10</v>
      </c>
      <c r="R42" s="2" t="inlineStr">
        <is>
          <t>Gräddporing
Blanksvart spiklav
Blågrå svartspik
Dvärgbägarlav
Kolflarnlav
Mörk kolflarnlav
Nordtagging
Vedflamlav
Vedskivlav
Dropptaggsvamp</t>
        </is>
      </c>
      <c r="S42">
        <f>HYPERLINK("https://klasma.github.io/Logging_2260/artfynd/A 5435-2026 artfynd.xlsx", "A 5435-2026")</f>
        <v/>
      </c>
      <c r="T42">
        <f>HYPERLINK("https://klasma.github.io/Logging_2260/kartor/A 5435-2026 karta.png", "A 5435-2026")</f>
        <v/>
      </c>
      <c r="V42">
        <f>HYPERLINK("https://klasma.github.io/Logging_2260/klagomål/A 5435-2026 FSC-klagomål.docx", "A 5435-2026")</f>
        <v/>
      </c>
      <c r="W42">
        <f>HYPERLINK("https://klasma.github.io/Logging_2260/klagomålsmail/A 5435-2026 FSC-klagomål mail.docx", "A 5435-2026")</f>
        <v/>
      </c>
      <c r="X42">
        <f>HYPERLINK("https://klasma.github.io/Logging_2260/tillsyn/A 5435-2026 tillsynsbegäran.docx", "A 5435-2026")</f>
        <v/>
      </c>
      <c r="Y42">
        <f>HYPERLINK("https://klasma.github.io/Logging_2260/tillsynsmail/A 5435-2026 tillsynsbegäran mail.docx", "A 5435-2026")</f>
        <v/>
      </c>
    </row>
    <row r="43" ht="15" customHeight="1">
      <c r="A43" t="inlineStr">
        <is>
          <t>A 39496-2024</t>
        </is>
      </c>
      <c r="B43" s="1" t="n">
        <v>45551</v>
      </c>
      <c r="C43" s="1" t="n">
        <v>46059</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46059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46059</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46059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46059</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46059</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26473-2025</t>
        </is>
      </c>
      <c r="B49" s="1" t="n">
        <v>45807</v>
      </c>
      <c r="C49" s="1" t="n">
        <v>46059</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26314-2024</t>
        </is>
      </c>
      <c r="B50" s="1" t="n">
        <v>45468</v>
      </c>
      <c r="C50" s="1" t="n">
        <v>46059</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46059</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46059</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34786-2021</t>
        </is>
      </c>
      <c r="B53" s="1" t="n">
        <v>44382</v>
      </c>
      <c r="C53" s="1" t="n">
        <v>46059</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22737-2023</t>
        </is>
      </c>
      <c r="B54" s="1" t="n">
        <v>45071</v>
      </c>
      <c r="C54" s="1" t="n">
        <v>46059</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37450-2025</t>
        </is>
      </c>
      <c r="B55" s="1" t="n">
        <v>45877.55261574074</v>
      </c>
      <c r="C55" s="1" t="n">
        <v>46059</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26957-2024</t>
        </is>
      </c>
      <c r="B56" s="1" t="n">
        <v>45470</v>
      </c>
      <c r="C56" s="1" t="n">
        <v>46059</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10086-2023</t>
        </is>
      </c>
      <c r="B57" s="1" t="n">
        <v>44985</v>
      </c>
      <c r="C57" s="1" t="n">
        <v>46059</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57843-2024</t>
        </is>
      </c>
      <c r="B58" s="1" t="n">
        <v>45631</v>
      </c>
      <c r="C58" s="1" t="n">
        <v>46059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46059</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31113-2025</t>
        </is>
      </c>
      <c r="B60" s="1" t="n">
        <v>45832.61501157407</v>
      </c>
      <c r="C60" s="1" t="n">
        <v>46059</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25898-2022</t>
        </is>
      </c>
      <c r="B61" s="1" t="n">
        <v>44733</v>
      </c>
      <c r="C61" s="1" t="n">
        <v>46059</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46059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60240-2025</t>
        </is>
      </c>
      <c r="B63" s="1" t="n">
        <v>45994.57857638889</v>
      </c>
      <c r="C63" s="1" t="n">
        <v>46059</v>
      </c>
      <c r="D63" t="inlineStr">
        <is>
          <t>VÄSTERNORRLANDS LÄN</t>
        </is>
      </c>
      <c r="E63" t="inlineStr">
        <is>
          <t>ÅNGE</t>
        </is>
      </c>
      <c r="F63" t="inlineStr">
        <is>
          <t>Sveaskog</t>
        </is>
      </c>
      <c r="G63" t="n">
        <v>5.5</v>
      </c>
      <c r="H63" t="n">
        <v>3</v>
      </c>
      <c r="I63" t="n">
        <v>1</v>
      </c>
      <c r="J63" t="n">
        <v>4</v>
      </c>
      <c r="K63" t="n">
        <v>1</v>
      </c>
      <c r="L63" t="n">
        <v>0</v>
      </c>
      <c r="M63" t="n">
        <v>0</v>
      </c>
      <c r="N63" t="n">
        <v>0</v>
      </c>
      <c r="O63" t="n">
        <v>5</v>
      </c>
      <c r="P63" t="n">
        <v>1</v>
      </c>
      <c r="Q63" t="n">
        <v>7</v>
      </c>
      <c r="R63" s="2" t="inlineStr">
        <is>
          <t>Knärot
Garnlav
Lunglav
Skrovellav
Tallticka
Plattlummer
Fläcknycklar</t>
        </is>
      </c>
      <c r="S63">
        <f>HYPERLINK("https://klasma.github.io/Logging_2260/artfynd/A 60240-2025 artfynd.xlsx", "A 60240-2025")</f>
        <v/>
      </c>
      <c r="T63">
        <f>HYPERLINK("https://klasma.github.io/Logging_2260/kartor/A 60240-2025 karta.png", "A 60240-2025")</f>
        <v/>
      </c>
      <c r="U63">
        <f>HYPERLINK("https://klasma.github.io/Logging_2260/knärot/A 60240-2025 karta knärot.png", "A 60240-2025")</f>
        <v/>
      </c>
      <c r="V63">
        <f>HYPERLINK("https://klasma.github.io/Logging_2260/klagomål/A 60240-2025 FSC-klagomål.docx", "A 60240-2025")</f>
        <v/>
      </c>
      <c r="W63">
        <f>HYPERLINK("https://klasma.github.io/Logging_2260/klagomålsmail/A 60240-2025 FSC-klagomål mail.docx", "A 60240-2025")</f>
        <v/>
      </c>
      <c r="X63">
        <f>HYPERLINK("https://klasma.github.io/Logging_2260/tillsyn/A 60240-2025 tillsynsbegäran.docx", "A 60240-2025")</f>
        <v/>
      </c>
      <c r="Y63">
        <f>HYPERLINK("https://klasma.github.io/Logging_2260/tillsynsmail/A 60240-2025 tillsynsbegäran mail.docx", "A 60240-2025")</f>
        <v/>
      </c>
    </row>
    <row r="64" ht="15" customHeight="1">
      <c r="A64" t="inlineStr">
        <is>
          <t>A 26313-2024</t>
        </is>
      </c>
      <c r="B64" s="1" t="n">
        <v>45468</v>
      </c>
      <c r="C64" s="1" t="n">
        <v>46059</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60116-2025</t>
        </is>
      </c>
      <c r="B65" s="1" t="n">
        <v>45994.318125</v>
      </c>
      <c r="C65" s="1" t="n">
        <v>46059</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21682-2023</t>
        </is>
      </c>
      <c r="B66" s="1" t="n">
        <v>45063.94219907407</v>
      </c>
      <c r="C66" s="1" t="n">
        <v>46059</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53456-2023</t>
        </is>
      </c>
      <c r="B67" s="1" t="n">
        <v>45229</v>
      </c>
      <c r="C67" s="1" t="n">
        <v>46059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39570-2025</t>
        </is>
      </c>
      <c r="B68" s="1" t="n">
        <v>45890.49009259259</v>
      </c>
      <c r="C68" s="1" t="n">
        <v>46059</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31509-2024</t>
        </is>
      </c>
      <c r="B69" s="1" t="n">
        <v>45505</v>
      </c>
      <c r="C69" s="1" t="n">
        <v>46059</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46059</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45402-2025</t>
        </is>
      </c>
      <c r="B71" s="1" t="n">
        <v>45922.4278587963</v>
      </c>
      <c r="C71" s="1" t="n">
        <v>46059</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10085-2023</t>
        </is>
      </c>
      <c r="B72" s="1" t="n">
        <v>44985.9447337963</v>
      </c>
      <c r="C72" s="1" t="n">
        <v>46059</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4130-2023</t>
        </is>
      </c>
      <c r="B73" s="1" t="n">
        <v>44952</v>
      </c>
      <c r="C73" s="1" t="n">
        <v>46059</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U73">
        <f>HYPERLINK("https://klasma.github.io/Logging_2260/knärot/A 4130-2023 karta knärot.png",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48191-2025</t>
        </is>
      </c>
      <c r="B74" s="1" t="n">
        <v>45933.46956018519</v>
      </c>
      <c r="C74" s="1" t="n">
        <v>46059</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46059</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46059</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55176-2024</t>
        </is>
      </c>
      <c r="B77" s="1" t="n">
        <v>45621</v>
      </c>
      <c r="C77" s="1" t="n">
        <v>46059</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27955-2021</t>
        </is>
      </c>
      <c r="B78" s="1" t="n">
        <v>44354</v>
      </c>
      <c r="C78" s="1" t="n">
        <v>46059</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19010-2025</t>
        </is>
      </c>
      <c r="B79" s="1" t="n">
        <v>45764</v>
      </c>
      <c r="C79" s="1" t="n">
        <v>46059</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31364-2022</t>
        </is>
      </c>
      <c r="B80" s="1" t="n">
        <v>44774</v>
      </c>
      <c r="C80" s="1" t="n">
        <v>46059</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38322-2025</t>
        </is>
      </c>
      <c r="B81" s="1" t="n">
        <v>45883.49003472222</v>
      </c>
      <c r="C81" s="1" t="n">
        <v>46059</v>
      </c>
      <c r="D81" t="inlineStr">
        <is>
          <t>VÄSTERNORRLANDS LÄN</t>
        </is>
      </c>
      <c r="E81" t="inlineStr">
        <is>
          <t>ÅNGE</t>
        </is>
      </c>
      <c r="F81" t="inlineStr">
        <is>
          <t>SCA</t>
        </is>
      </c>
      <c r="G81" t="n">
        <v>5.4</v>
      </c>
      <c r="H81" t="n">
        <v>1</v>
      </c>
      <c r="I81" t="n">
        <v>0</v>
      </c>
      <c r="J81" t="n">
        <v>4</v>
      </c>
      <c r="K81" t="n">
        <v>0</v>
      </c>
      <c r="L81" t="n">
        <v>0</v>
      </c>
      <c r="M81" t="n">
        <v>0</v>
      </c>
      <c r="N81" t="n">
        <v>0</v>
      </c>
      <c r="O81" t="n">
        <v>4</v>
      </c>
      <c r="P81" t="n">
        <v>0</v>
      </c>
      <c r="Q81" t="n">
        <v>5</v>
      </c>
      <c r="R81" s="2" t="inlineStr">
        <is>
          <t>Gammelgransskål
Garnlav
Skrovellav
Violettgrå tagellav
Revlummer</t>
        </is>
      </c>
      <c r="S81">
        <f>HYPERLINK("https://klasma.github.io/Logging_2260/artfynd/A 38322-2025 artfynd.xlsx", "A 38322-2025")</f>
        <v/>
      </c>
      <c r="T81">
        <f>HYPERLINK("https://klasma.github.io/Logging_2260/kartor/A 38322-2025 karta.png", "A 38322-2025")</f>
        <v/>
      </c>
      <c r="V81">
        <f>HYPERLINK("https://klasma.github.io/Logging_2260/klagomål/A 38322-2025 FSC-klagomål.docx", "A 38322-2025")</f>
        <v/>
      </c>
      <c r="W81">
        <f>HYPERLINK("https://klasma.github.io/Logging_2260/klagomålsmail/A 38322-2025 FSC-klagomål mail.docx", "A 38322-2025")</f>
        <v/>
      </c>
      <c r="X81">
        <f>HYPERLINK("https://klasma.github.io/Logging_2260/tillsyn/A 38322-2025 tillsynsbegäran.docx", "A 38322-2025")</f>
        <v/>
      </c>
      <c r="Y81">
        <f>HYPERLINK("https://klasma.github.io/Logging_2260/tillsynsmail/A 38322-2025 tillsynsbegäran mail.docx", "A 38322-2025")</f>
        <v/>
      </c>
    </row>
    <row r="82" ht="15" customHeight="1">
      <c r="A82" t="inlineStr">
        <is>
          <t>A 13696-2023</t>
        </is>
      </c>
      <c r="B82" s="1" t="n">
        <v>45006</v>
      </c>
      <c r="C82" s="1" t="n">
        <v>46059</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2451-2024</t>
        </is>
      </c>
      <c r="B83" s="1" t="n">
        <v>45312.58627314815</v>
      </c>
      <c r="C83" s="1" t="n">
        <v>46059</v>
      </c>
      <c r="D83" t="inlineStr">
        <is>
          <t>VÄSTERNORRLANDS LÄN</t>
        </is>
      </c>
      <c r="E83" t="inlineStr">
        <is>
          <t>ÅNGE</t>
        </is>
      </c>
      <c r="G83" t="n">
        <v>3.5</v>
      </c>
      <c r="H83" t="n">
        <v>0</v>
      </c>
      <c r="I83" t="n">
        <v>1</v>
      </c>
      <c r="J83" t="n">
        <v>4</v>
      </c>
      <c r="K83" t="n">
        <v>0</v>
      </c>
      <c r="L83" t="n">
        <v>0</v>
      </c>
      <c r="M83" t="n">
        <v>0</v>
      </c>
      <c r="N83" t="n">
        <v>0</v>
      </c>
      <c r="O83" t="n">
        <v>4</v>
      </c>
      <c r="P83" t="n">
        <v>0</v>
      </c>
      <c r="Q83" t="n">
        <v>5</v>
      </c>
      <c r="R83" s="2" t="inlineStr">
        <is>
          <t>Garnlav
Mörk kolflarnlav
Rosenticka
Ullticka
Dropptaggsvamp</t>
        </is>
      </c>
      <c r="S83">
        <f>HYPERLINK("https://klasma.github.io/Logging_2260/artfynd/A 2451-2024 artfynd.xlsx", "A 2451-2024")</f>
        <v/>
      </c>
      <c r="T83">
        <f>HYPERLINK("https://klasma.github.io/Logging_2260/kartor/A 2451-2024 karta.png", "A 2451-2024")</f>
        <v/>
      </c>
      <c r="V83">
        <f>HYPERLINK("https://klasma.github.io/Logging_2260/klagomål/A 2451-2024 FSC-klagomål.docx", "A 2451-2024")</f>
        <v/>
      </c>
      <c r="W83">
        <f>HYPERLINK("https://klasma.github.io/Logging_2260/klagomålsmail/A 2451-2024 FSC-klagomål mail.docx", "A 2451-2024")</f>
        <v/>
      </c>
      <c r="X83">
        <f>HYPERLINK("https://klasma.github.io/Logging_2260/tillsyn/A 2451-2024 tillsynsbegäran.docx", "A 2451-2024")</f>
        <v/>
      </c>
      <c r="Y83">
        <f>HYPERLINK("https://klasma.github.io/Logging_2260/tillsynsmail/A 2451-2024 tillsynsbegäran mail.docx", "A 2451-2024")</f>
        <v/>
      </c>
    </row>
    <row r="84" ht="15" customHeight="1">
      <c r="A84" t="inlineStr">
        <is>
          <t>A 38327-2025</t>
        </is>
      </c>
      <c r="B84" s="1" t="n">
        <v>45883.49084490741</v>
      </c>
      <c r="C84" s="1" t="n">
        <v>46059</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32911-2024</t>
        </is>
      </c>
      <c r="B85" s="1" t="n">
        <v>45516</v>
      </c>
      <c r="C85" s="1" t="n">
        <v>46059</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43520-2025</t>
        </is>
      </c>
      <c r="B86" s="1" t="n">
        <v>45911.57364583333</v>
      </c>
      <c r="C86" s="1" t="n">
        <v>46059</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46059</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59971-2025</t>
        </is>
      </c>
      <c r="B88" s="1" t="n">
        <v>45993.49002314815</v>
      </c>
      <c r="C88" s="1" t="n">
        <v>46059</v>
      </c>
      <c r="D88" t="inlineStr">
        <is>
          <t>VÄSTERNORRLANDS LÄN</t>
        </is>
      </c>
      <c r="E88" t="inlineStr">
        <is>
          <t>ÅNGE</t>
        </is>
      </c>
      <c r="F88" t="inlineStr">
        <is>
          <t>SCA</t>
        </is>
      </c>
      <c r="G88" t="n">
        <v>2.4</v>
      </c>
      <c r="H88" t="n">
        <v>3</v>
      </c>
      <c r="I88" t="n">
        <v>1</v>
      </c>
      <c r="J88" t="n">
        <v>3</v>
      </c>
      <c r="K88" t="n">
        <v>0</v>
      </c>
      <c r="L88" t="n">
        <v>0</v>
      </c>
      <c r="M88" t="n">
        <v>0</v>
      </c>
      <c r="N88" t="n">
        <v>0</v>
      </c>
      <c r="O88" t="n">
        <v>3</v>
      </c>
      <c r="P88" t="n">
        <v>0</v>
      </c>
      <c r="Q88" t="n">
        <v>5</v>
      </c>
      <c r="R88" s="2" t="inlineStr">
        <is>
          <t>Motaggsvamp
Talltita
Tretåig hackspett
Dropptaggsvamp
Lavskrika</t>
        </is>
      </c>
      <c r="S88">
        <f>HYPERLINK("https://klasma.github.io/Logging_2260/artfynd/A 59971-2025 artfynd.xlsx", "A 59971-2025")</f>
        <v/>
      </c>
      <c r="T88">
        <f>HYPERLINK("https://klasma.github.io/Logging_2260/kartor/A 59971-2025 karta.png", "A 59971-2025")</f>
        <v/>
      </c>
      <c r="V88">
        <f>HYPERLINK("https://klasma.github.io/Logging_2260/klagomål/A 59971-2025 FSC-klagomål.docx", "A 59971-2025")</f>
        <v/>
      </c>
      <c r="W88">
        <f>HYPERLINK("https://klasma.github.io/Logging_2260/klagomålsmail/A 59971-2025 FSC-klagomål mail.docx", "A 59971-2025")</f>
        <v/>
      </c>
      <c r="X88">
        <f>HYPERLINK("https://klasma.github.io/Logging_2260/tillsyn/A 59971-2025 tillsynsbegäran.docx", "A 59971-2025")</f>
        <v/>
      </c>
      <c r="Y88">
        <f>HYPERLINK("https://klasma.github.io/Logging_2260/tillsynsmail/A 59971-2025 tillsynsbegäran mail.docx", "A 59971-2025")</f>
        <v/>
      </c>
      <c r="Z88">
        <f>HYPERLINK("https://klasma.github.io/Logging_2260/fåglar/A 59971-2025 prioriterade fågelarter.docx", "A 59971-2025")</f>
        <v/>
      </c>
    </row>
    <row r="89" ht="15" customHeight="1">
      <c r="A89" t="inlineStr">
        <is>
          <t>A 27914-2024</t>
        </is>
      </c>
      <c r="B89" s="1" t="n">
        <v>45475</v>
      </c>
      <c r="C89" s="1" t="n">
        <v>46059</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46059</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46375-2025</t>
        </is>
      </c>
      <c r="B91" s="1" t="n">
        <v>45925.51097222222</v>
      </c>
      <c r="C91" s="1" t="n">
        <v>46059</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46059</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52269-2024</t>
        </is>
      </c>
      <c r="B93" s="1" t="n">
        <v>45608.65660879629</v>
      </c>
      <c r="C93" s="1" t="n">
        <v>46059</v>
      </c>
      <c r="D93" t="inlineStr">
        <is>
          <t>VÄSTERNORRLANDS LÄN</t>
        </is>
      </c>
      <c r="E93" t="inlineStr">
        <is>
          <t>ÅNGE</t>
        </is>
      </c>
      <c r="F93" t="inlineStr">
        <is>
          <t>SCA</t>
        </is>
      </c>
      <c r="G93" t="n">
        <v>5.1</v>
      </c>
      <c r="H93" t="n">
        <v>0</v>
      </c>
      <c r="I93" t="n">
        <v>2</v>
      </c>
      <c r="J93" t="n">
        <v>3</v>
      </c>
      <c r="K93" t="n">
        <v>0</v>
      </c>
      <c r="L93" t="n">
        <v>0</v>
      </c>
      <c r="M93" t="n">
        <v>0</v>
      </c>
      <c r="N93" t="n">
        <v>0</v>
      </c>
      <c r="O93" t="n">
        <v>3</v>
      </c>
      <c r="P93" t="n">
        <v>0</v>
      </c>
      <c r="Q93" t="n">
        <v>5</v>
      </c>
      <c r="R93" s="2" t="inlineStr">
        <is>
          <t>Lunglav
Rosenticka
Ullticka
Bårdlav
Stor aspticka</t>
        </is>
      </c>
      <c r="S93">
        <f>HYPERLINK("https://klasma.github.io/Logging_2260/artfynd/A 52269-2024 artfynd.xlsx", "A 52269-2024")</f>
        <v/>
      </c>
      <c r="T93">
        <f>HYPERLINK("https://klasma.github.io/Logging_2260/kartor/A 52269-2024 karta.png", "A 52269-2024")</f>
        <v/>
      </c>
      <c r="V93">
        <f>HYPERLINK("https://klasma.github.io/Logging_2260/klagomål/A 52269-2024 FSC-klagomål.docx", "A 52269-2024")</f>
        <v/>
      </c>
      <c r="W93">
        <f>HYPERLINK("https://klasma.github.io/Logging_2260/klagomålsmail/A 52269-2024 FSC-klagomål mail.docx", "A 52269-2024")</f>
        <v/>
      </c>
      <c r="X93">
        <f>HYPERLINK("https://klasma.github.io/Logging_2260/tillsyn/A 52269-2024 tillsynsbegäran.docx", "A 52269-2024")</f>
        <v/>
      </c>
      <c r="Y93">
        <f>HYPERLINK("https://klasma.github.io/Logging_2260/tillsynsmail/A 52269-2024 tillsynsbegäran mail.docx", "A 52269-2024")</f>
        <v/>
      </c>
    </row>
    <row r="94" ht="15" customHeight="1">
      <c r="A94" t="inlineStr">
        <is>
          <t>A 52601-2025</t>
        </is>
      </c>
      <c r="B94" s="1" t="n">
        <v>45954</v>
      </c>
      <c r="C94" s="1" t="n">
        <v>46059</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55004-2023</t>
        </is>
      </c>
      <c r="B95" s="1" t="n">
        <v>45236</v>
      </c>
      <c r="C95" s="1" t="n">
        <v>46059</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23601-2025</t>
        </is>
      </c>
      <c r="B96" s="1" t="n">
        <v>45792</v>
      </c>
      <c r="C96" s="1" t="n">
        <v>46059</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46548-2023</t>
        </is>
      </c>
      <c r="B97" s="1" t="n">
        <v>45197</v>
      </c>
      <c r="C97" s="1" t="n">
        <v>46059</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38713-2025</t>
        </is>
      </c>
      <c r="B98" s="1" t="n">
        <v>45886.34479166667</v>
      </c>
      <c r="C98" s="1" t="n">
        <v>46059</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26953-2024</t>
        </is>
      </c>
      <c r="B99" s="1" t="n">
        <v>45470</v>
      </c>
      <c r="C99" s="1" t="n">
        <v>46059</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38326-2024</t>
        </is>
      </c>
      <c r="B100" s="1" t="n">
        <v>45545.67741898148</v>
      </c>
      <c r="C100" s="1" t="n">
        <v>46059</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39176-2024</t>
        </is>
      </c>
      <c r="B101" s="1" t="n">
        <v>45548</v>
      </c>
      <c r="C101" s="1" t="n">
        <v>46059</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61007-2025</t>
        </is>
      </c>
      <c r="B102" s="1" t="n">
        <v>45998</v>
      </c>
      <c r="C102" s="1" t="n">
        <v>46059</v>
      </c>
      <c r="D102" t="inlineStr">
        <is>
          <t>VÄSTERNORRLANDS LÄN</t>
        </is>
      </c>
      <c r="E102" t="inlineStr">
        <is>
          <t>ÅNGE</t>
        </is>
      </c>
      <c r="F102" t="inlineStr">
        <is>
          <t>SCA</t>
        </is>
      </c>
      <c r="G102" t="n">
        <v>5.6</v>
      </c>
      <c r="H102" t="n">
        <v>0</v>
      </c>
      <c r="I102" t="n">
        <v>0</v>
      </c>
      <c r="J102" t="n">
        <v>4</v>
      </c>
      <c r="K102" t="n">
        <v>0</v>
      </c>
      <c r="L102" t="n">
        <v>0</v>
      </c>
      <c r="M102" t="n">
        <v>0</v>
      </c>
      <c r="N102" t="n">
        <v>0</v>
      </c>
      <c r="O102" t="n">
        <v>4</v>
      </c>
      <c r="P102" t="n">
        <v>0</v>
      </c>
      <c r="Q102" t="n">
        <v>4</v>
      </c>
      <c r="R102" s="2" t="inlineStr">
        <is>
          <t>Gammelgransskål
Garnlav
Granticka
Violettgrå tagellav</t>
        </is>
      </c>
      <c r="S102">
        <f>HYPERLINK("https://klasma.github.io/Logging_2260/artfynd/A 61007-2025 artfynd.xlsx", "A 61007-2025")</f>
        <v/>
      </c>
      <c r="T102">
        <f>HYPERLINK("https://klasma.github.io/Logging_2260/kartor/A 61007-2025 karta.png", "A 61007-2025")</f>
        <v/>
      </c>
      <c r="V102">
        <f>HYPERLINK("https://klasma.github.io/Logging_2260/klagomål/A 61007-2025 FSC-klagomål.docx", "A 61007-2025")</f>
        <v/>
      </c>
      <c r="W102">
        <f>HYPERLINK("https://klasma.github.io/Logging_2260/klagomålsmail/A 61007-2025 FSC-klagomål mail.docx", "A 61007-2025")</f>
        <v/>
      </c>
      <c r="X102">
        <f>HYPERLINK("https://klasma.github.io/Logging_2260/tillsyn/A 61007-2025 tillsynsbegäran.docx", "A 61007-2025")</f>
        <v/>
      </c>
      <c r="Y102">
        <f>HYPERLINK("https://klasma.github.io/Logging_2260/tillsynsmail/A 61007-2025 tillsynsbegäran mail.docx", "A 61007-2025")</f>
        <v/>
      </c>
    </row>
    <row r="103" ht="15" customHeight="1">
      <c r="A103" t="inlineStr">
        <is>
          <t>A 11029-2025</t>
        </is>
      </c>
      <c r="B103" s="1" t="n">
        <v>45723</v>
      </c>
      <c r="C103" s="1" t="n">
        <v>46059</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61487-2025</t>
        </is>
      </c>
      <c r="B104" s="1" t="n">
        <v>46001.63628472222</v>
      </c>
      <c r="C104" s="1" t="n">
        <v>46059</v>
      </c>
      <c r="D104" t="inlineStr">
        <is>
          <t>VÄSTERNORRLANDS LÄN</t>
        </is>
      </c>
      <c r="E104" t="inlineStr">
        <is>
          <t>ÅNGE</t>
        </is>
      </c>
      <c r="F104" t="inlineStr">
        <is>
          <t>SCA</t>
        </is>
      </c>
      <c r="G104" t="n">
        <v>5.4</v>
      </c>
      <c r="H104" t="n">
        <v>1</v>
      </c>
      <c r="I104" t="n">
        <v>0</v>
      </c>
      <c r="J104" t="n">
        <v>3</v>
      </c>
      <c r="K104" t="n">
        <v>1</v>
      </c>
      <c r="L104" t="n">
        <v>0</v>
      </c>
      <c r="M104" t="n">
        <v>0</v>
      </c>
      <c r="N104" t="n">
        <v>0</v>
      </c>
      <c r="O104" t="n">
        <v>4</v>
      </c>
      <c r="P104" t="n">
        <v>1</v>
      </c>
      <c r="Q104" t="n">
        <v>4</v>
      </c>
      <c r="R104" s="2" t="inlineStr">
        <is>
          <t>Rynkskinn
Garnlav
Tretåig hackspett
Vedtrappmossa</t>
        </is>
      </c>
      <c r="S104">
        <f>HYPERLINK("https://klasma.github.io/Logging_2260/artfynd/A 61487-2025 artfynd.xlsx", "A 61487-2025")</f>
        <v/>
      </c>
      <c r="T104">
        <f>HYPERLINK("https://klasma.github.io/Logging_2260/kartor/A 61487-2025 karta.png", "A 61487-2025")</f>
        <v/>
      </c>
      <c r="V104">
        <f>HYPERLINK("https://klasma.github.io/Logging_2260/klagomål/A 61487-2025 FSC-klagomål.docx", "A 61487-2025")</f>
        <v/>
      </c>
      <c r="W104">
        <f>HYPERLINK("https://klasma.github.io/Logging_2260/klagomålsmail/A 61487-2025 FSC-klagomål mail.docx", "A 61487-2025")</f>
        <v/>
      </c>
      <c r="X104">
        <f>HYPERLINK("https://klasma.github.io/Logging_2260/tillsyn/A 61487-2025 tillsynsbegäran.docx", "A 61487-2025")</f>
        <v/>
      </c>
      <c r="Y104">
        <f>HYPERLINK("https://klasma.github.io/Logging_2260/tillsynsmail/A 61487-2025 tillsynsbegäran mail.docx", "A 61487-2025")</f>
        <v/>
      </c>
      <c r="Z104">
        <f>HYPERLINK("https://klasma.github.io/Logging_2260/fåglar/A 61487-2025 prioriterade fågelarter.docx", "A 61487-2025")</f>
        <v/>
      </c>
    </row>
    <row r="105" ht="15" customHeight="1">
      <c r="A105" t="inlineStr">
        <is>
          <t>A 54095-2025</t>
        </is>
      </c>
      <c r="B105" s="1" t="n">
        <v>45964.40685185185</v>
      </c>
      <c r="C105" s="1" t="n">
        <v>46059</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44558-2024</t>
        </is>
      </c>
      <c r="B106" s="1" t="n">
        <v>45574.47001157407</v>
      </c>
      <c r="C106" s="1" t="n">
        <v>46059</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46059</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46059</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46059</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46059</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46059</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46059</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37184-2025</t>
        </is>
      </c>
      <c r="B113" s="1" t="n">
        <v>45875.63591435185</v>
      </c>
      <c r="C113" s="1" t="n">
        <v>46059</v>
      </c>
      <c r="D113" t="inlineStr">
        <is>
          <t>VÄSTERNORRLANDS LÄN</t>
        </is>
      </c>
      <c r="E113" t="inlineStr">
        <is>
          <t>ÅNGE</t>
        </is>
      </c>
      <c r="F113" t="inlineStr">
        <is>
          <t>SCA</t>
        </is>
      </c>
      <c r="G113" t="n">
        <v>2.5</v>
      </c>
      <c r="H113" t="n">
        <v>0</v>
      </c>
      <c r="I113" t="n">
        <v>0</v>
      </c>
      <c r="J113" t="n">
        <v>3</v>
      </c>
      <c r="K113" t="n">
        <v>0</v>
      </c>
      <c r="L113" t="n">
        <v>0</v>
      </c>
      <c r="M113" t="n">
        <v>0</v>
      </c>
      <c r="N113" t="n">
        <v>0</v>
      </c>
      <c r="O113" t="n">
        <v>3</v>
      </c>
      <c r="P113" t="n">
        <v>0</v>
      </c>
      <c r="Q113" t="n">
        <v>3</v>
      </c>
      <c r="R113" s="2" t="inlineStr">
        <is>
          <t>Granticka
Lunglav
Rosenticka</t>
        </is>
      </c>
      <c r="S113">
        <f>HYPERLINK("https://klasma.github.io/Logging_2260/artfynd/A 37184-2025 artfynd.xlsx", "A 37184-2025")</f>
        <v/>
      </c>
      <c r="T113">
        <f>HYPERLINK("https://klasma.github.io/Logging_2260/kartor/A 37184-2025 karta.png", "A 37184-2025")</f>
        <v/>
      </c>
      <c r="V113">
        <f>HYPERLINK("https://klasma.github.io/Logging_2260/klagomål/A 37184-2025 FSC-klagomål.docx", "A 37184-2025")</f>
        <v/>
      </c>
      <c r="W113">
        <f>HYPERLINK("https://klasma.github.io/Logging_2260/klagomålsmail/A 37184-2025 FSC-klagomål mail.docx", "A 37184-2025")</f>
        <v/>
      </c>
      <c r="X113">
        <f>HYPERLINK("https://klasma.github.io/Logging_2260/tillsyn/A 37184-2025 tillsynsbegäran.docx", "A 37184-2025")</f>
        <v/>
      </c>
      <c r="Y113">
        <f>HYPERLINK("https://klasma.github.io/Logging_2260/tillsynsmail/A 37184-2025 tillsynsbegäran mail.docx", "A 37184-2025")</f>
        <v/>
      </c>
    </row>
    <row r="114" ht="15" customHeight="1">
      <c r="A114" t="inlineStr">
        <is>
          <t>A 39029-2025</t>
        </is>
      </c>
      <c r="B114" s="1" t="n">
        <v>45888.40684027778</v>
      </c>
      <c r="C114" s="1" t="n">
        <v>46059</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38664-2025</t>
        </is>
      </c>
      <c r="B115" s="1" t="n">
        <v>45884.61503472222</v>
      </c>
      <c r="C115" s="1" t="n">
        <v>46059</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38238-2025</t>
        </is>
      </c>
      <c r="B116" s="1" t="n">
        <v>45883.36497685185</v>
      </c>
      <c r="C116" s="1" t="n">
        <v>46059</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41868-2025</t>
        </is>
      </c>
      <c r="B117" s="1" t="n">
        <v>45903.34429398148</v>
      </c>
      <c r="C117" s="1" t="n">
        <v>46059</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43319-2025</t>
        </is>
      </c>
      <c r="B118" s="1" t="n">
        <v>45910.65681712963</v>
      </c>
      <c r="C118" s="1" t="n">
        <v>46059</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29665-2024</t>
        </is>
      </c>
      <c r="B119" s="1" t="n">
        <v>45484</v>
      </c>
      <c r="C119" s="1" t="n">
        <v>46059</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29691-2024</t>
        </is>
      </c>
      <c r="B120" s="1" t="n">
        <v>45484.9446875</v>
      </c>
      <c r="C120" s="1" t="n">
        <v>46059</v>
      </c>
      <c r="D120" t="inlineStr">
        <is>
          <t>VÄSTERNORRLANDS LÄN</t>
        </is>
      </c>
      <c r="E120" t="inlineStr">
        <is>
          <t>ÅNGE</t>
        </is>
      </c>
      <c r="F120" t="inlineStr">
        <is>
          <t>SCA</t>
        </is>
      </c>
      <c r="G120" t="n">
        <v>6.8</v>
      </c>
      <c r="H120" t="n">
        <v>0</v>
      </c>
      <c r="I120" t="n">
        <v>1</v>
      </c>
      <c r="J120" t="n">
        <v>2</v>
      </c>
      <c r="K120" t="n">
        <v>0</v>
      </c>
      <c r="L120" t="n">
        <v>0</v>
      </c>
      <c r="M120" t="n">
        <v>0</v>
      </c>
      <c r="N120" t="n">
        <v>0</v>
      </c>
      <c r="O120" t="n">
        <v>2</v>
      </c>
      <c r="P120" t="n">
        <v>0</v>
      </c>
      <c r="Q120" t="n">
        <v>3</v>
      </c>
      <c r="R120" s="2" t="inlineStr">
        <is>
          <t>Lunglav
Rosenticka
Vedticka</t>
        </is>
      </c>
      <c r="S120">
        <f>HYPERLINK("https://klasma.github.io/Logging_2260/artfynd/A 29691-2024 artfynd.xlsx", "A 29691-2024")</f>
        <v/>
      </c>
      <c r="T120">
        <f>HYPERLINK("https://klasma.github.io/Logging_2260/kartor/A 29691-2024 karta.png", "A 29691-2024")</f>
        <v/>
      </c>
      <c r="V120">
        <f>HYPERLINK("https://klasma.github.io/Logging_2260/klagomål/A 29691-2024 FSC-klagomål.docx", "A 29691-2024")</f>
        <v/>
      </c>
      <c r="W120">
        <f>HYPERLINK("https://klasma.github.io/Logging_2260/klagomålsmail/A 29691-2024 FSC-klagomål mail.docx", "A 29691-2024")</f>
        <v/>
      </c>
      <c r="X120">
        <f>HYPERLINK("https://klasma.github.io/Logging_2260/tillsyn/A 29691-2024 tillsynsbegäran.docx", "A 29691-2024")</f>
        <v/>
      </c>
      <c r="Y120">
        <f>HYPERLINK("https://klasma.github.io/Logging_2260/tillsynsmail/A 29691-2024 tillsynsbegäran mail.docx", "A 29691-2024")</f>
        <v/>
      </c>
    </row>
    <row r="121" ht="15" customHeight="1">
      <c r="A121" t="inlineStr">
        <is>
          <t>A 43880-2025</t>
        </is>
      </c>
      <c r="B121" s="1" t="n">
        <v>45912</v>
      </c>
      <c r="C121" s="1" t="n">
        <v>46059</v>
      </c>
      <c r="D121" t="inlineStr">
        <is>
          <t>VÄSTERNORRLANDS LÄN</t>
        </is>
      </c>
      <c r="E121" t="inlineStr">
        <is>
          <t>ÅNGE</t>
        </is>
      </c>
      <c r="F121" t="inlineStr">
        <is>
          <t>SCA</t>
        </is>
      </c>
      <c r="G121" t="n">
        <v>3.5</v>
      </c>
      <c r="H121" t="n">
        <v>1</v>
      </c>
      <c r="I121" t="n">
        <v>0</v>
      </c>
      <c r="J121" t="n">
        <v>3</v>
      </c>
      <c r="K121" t="n">
        <v>0</v>
      </c>
      <c r="L121" t="n">
        <v>0</v>
      </c>
      <c r="M121" t="n">
        <v>0</v>
      </c>
      <c r="N121" t="n">
        <v>0</v>
      </c>
      <c r="O121" t="n">
        <v>3</v>
      </c>
      <c r="P121" t="n">
        <v>0</v>
      </c>
      <c r="Q121" t="n">
        <v>3</v>
      </c>
      <c r="R121" s="2" t="inlineStr">
        <is>
          <t>Granticka
Tretåig hackspett
Vitgrynig nållav</t>
        </is>
      </c>
      <c r="S121">
        <f>HYPERLINK("https://klasma.github.io/Logging_2260/artfynd/A 43880-2025 artfynd.xlsx", "A 43880-2025")</f>
        <v/>
      </c>
      <c r="T121">
        <f>HYPERLINK("https://klasma.github.io/Logging_2260/kartor/A 43880-2025 karta.png", "A 43880-2025")</f>
        <v/>
      </c>
      <c r="V121">
        <f>HYPERLINK("https://klasma.github.io/Logging_2260/klagomål/A 43880-2025 FSC-klagomål.docx", "A 43880-2025")</f>
        <v/>
      </c>
      <c r="W121">
        <f>HYPERLINK("https://klasma.github.io/Logging_2260/klagomålsmail/A 43880-2025 FSC-klagomål mail.docx", "A 43880-2025")</f>
        <v/>
      </c>
      <c r="X121">
        <f>HYPERLINK("https://klasma.github.io/Logging_2260/tillsyn/A 43880-2025 tillsynsbegäran.docx", "A 43880-2025")</f>
        <v/>
      </c>
      <c r="Y121">
        <f>HYPERLINK("https://klasma.github.io/Logging_2260/tillsynsmail/A 43880-2025 tillsynsbegäran mail.docx", "A 43880-2025")</f>
        <v/>
      </c>
      <c r="Z121">
        <f>HYPERLINK("https://klasma.github.io/Logging_2260/fåglar/A 43880-2025 prioriterade fågelarter.docx", "A 43880-2025")</f>
        <v/>
      </c>
    </row>
    <row r="122" ht="15" customHeight="1">
      <c r="A122" t="inlineStr">
        <is>
          <t>A 46417-2025</t>
        </is>
      </c>
      <c r="B122" s="1" t="n">
        <v>45925.59454861111</v>
      </c>
      <c r="C122" s="1" t="n">
        <v>46059</v>
      </c>
      <c r="D122" t="inlineStr">
        <is>
          <t>VÄSTERNORRLANDS LÄN</t>
        </is>
      </c>
      <c r="E122" t="inlineStr">
        <is>
          <t>ÅNGE</t>
        </is>
      </c>
      <c r="F122" t="inlineStr">
        <is>
          <t>SCA</t>
        </is>
      </c>
      <c r="G122" t="n">
        <v>6.6</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HYPERLINK("https://klasma.github.io/Logging_2260/artfynd/A 46417-2025 artfynd.xlsx", "A 46417-2025")</f>
        <v/>
      </c>
      <c r="T122">
        <f>HYPERLINK("https://klasma.github.io/Logging_2260/kartor/A 46417-2025 karta.png", "A 46417-2025")</f>
        <v/>
      </c>
      <c r="V122">
        <f>HYPERLINK("https://klasma.github.io/Logging_2260/klagomål/A 46417-2025 FSC-klagomål.docx", "A 46417-2025")</f>
        <v/>
      </c>
      <c r="W122">
        <f>HYPERLINK("https://klasma.github.io/Logging_2260/klagomålsmail/A 46417-2025 FSC-klagomål mail.docx", "A 46417-2025")</f>
        <v/>
      </c>
      <c r="X122">
        <f>HYPERLINK("https://klasma.github.io/Logging_2260/tillsyn/A 46417-2025 tillsynsbegäran.docx", "A 46417-2025")</f>
        <v/>
      </c>
      <c r="Y122">
        <f>HYPERLINK("https://klasma.github.io/Logging_2260/tillsynsmail/A 46417-2025 tillsynsbegäran mail.docx", "A 46417-2025")</f>
        <v/>
      </c>
    </row>
    <row r="123" ht="15" customHeight="1">
      <c r="A123" t="inlineStr">
        <is>
          <t>A 28274-2023</t>
        </is>
      </c>
      <c r="B123" s="1" t="n">
        <v>45099</v>
      </c>
      <c r="C123" s="1" t="n">
        <v>46059</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39179-2024</t>
        </is>
      </c>
      <c r="B124" s="1" t="n">
        <v>45548.65703703704</v>
      </c>
      <c r="C124" s="1" t="n">
        <v>46059</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46059</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49530-2025</t>
        </is>
      </c>
      <c r="B126" s="1" t="n">
        <v>45939.40700231482</v>
      </c>
      <c r="C126" s="1" t="n">
        <v>46059</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50259-2025</t>
        </is>
      </c>
      <c r="B127" s="1" t="n">
        <v>45944.34498842592</v>
      </c>
      <c r="C127" s="1" t="n">
        <v>46059</v>
      </c>
      <c r="D127" t="inlineStr">
        <is>
          <t>VÄSTERNORRLANDS LÄN</t>
        </is>
      </c>
      <c r="E127" t="inlineStr">
        <is>
          <t>ÅNGE</t>
        </is>
      </c>
      <c r="F127" t="inlineStr">
        <is>
          <t>SCA</t>
        </is>
      </c>
      <c r="G127" t="n">
        <v>1.7</v>
      </c>
      <c r="H127" t="n">
        <v>1</v>
      </c>
      <c r="I127" t="n">
        <v>1</v>
      </c>
      <c r="J127" t="n">
        <v>1</v>
      </c>
      <c r="K127" t="n">
        <v>0</v>
      </c>
      <c r="L127" t="n">
        <v>0</v>
      </c>
      <c r="M127" t="n">
        <v>0</v>
      </c>
      <c r="N127" t="n">
        <v>0</v>
      </c>
      <c r="O127" t="n">
        <v>1</v>
      </c>
      <c r="P127" t="n">
        <v>0</v>
      </c>
      <c r="Q127" t="n">
        <v>3</v>
      </c>
      <c r="R127" s="2" t="inlineStr">
        <is>
          <t>Lunglav
Bollvitmossa
Fläcknycklar</t>
        </is>
      </c>
      <c r="S127">
        <f>HYPERLINK("https://klasma.github.io/Logging_2260/artfynd/A 50259-2025 artfynd.xlsx", "A 50259-2025")</f>
        <v/>
      </c>
      <c r="T127">
        <f>HYPERLINK("https://klasma.github.io/Logging_2260/kartor/A 50259-2025 karta.png", "A 50259-2025")</f>
        <v/>
      </c>
      <c r="V127">
        <f>HYPERLINK("https://klasma.github.io/Logging_2260/klagomål/A 50259-2025 FSC-klagomål.docx", "A 50259-2025")</f>
        <v/>
      </c>
      <c r="W127">
        <f>HYPERLINK("https://klasma.github.io/Logging_2260/klagomålsmail/A 50259-2025 FSC-klagomål mail.docx", "A 50259-2025")</f>
        <v/>
      </c>
      <c r="X127">
        <f>HYPERLINK("https://klasma.github.io/Logging_2260/tillsyn/A 50259-2025 tillsynsbegäran.docx", "A 50259-2025")</f>
        <v/>
      </c>
      <c r="Y127">
        <f>HYPERLINK("https://klasma.github.io/Logging_2260/tillsynsmail/A 50259-2025 tillsynsbegäran mail.docx", "A 50259-2025")</f>
        <v/>
      </c>
    </row>
    <row r="128" ht="15" customHeight="1">
      <c r="A128" t="inlineStr">
        <is>
          <t>A 63330-2025</t>
        </is>
      </c>
      <c r="B128" s="1" t="n">
        <v>46010</v>
      </c>
      <c r="C128" s="1" t="n">
        <v>46059</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47617-2024</t>
        </is>
      </c>
      <c r="B129" s="1" t="n">
        <v>45588.32125</v>
      </c>
      <c r="C129" s="1" t="n">
        <v>46059</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45122-2021</t>
        </is>
      </c>
      <c r="B130" s="1" t="n">
        <v>44439</v>
      </c>
      <c r="C130" s="1" t="n">
        <v>46059</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53710-2025</t>
        </is>
      </c>
      <c r="B131" s="1" t="n">
        <v>45960.6153125</v>
      </c>
      <c r="C131" s="1" t="n">
        <v>46059</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24795-2024</t>
        </is>
      </c>
      <c r="B132" s="1" t="n">
        <v>45460.95252314815</v>
      </c>
      <c r="C132" s="1" t="n">
        <v>46059</v>
      </c>
      <c r="D132" t="inlineStr">
        <is>
          <t>VÄSTERNORRLANDS LÄN</t>
        </is>
      </c>
      <c r="E132" t="inlineStr">
        <is>
          <t>ÅNGE</t>
        </is>
      </c>
      <c r="F132" t="inlineStr">
        <is>
          <t>SCA</t>
        </is>
      </c>
      <c r="G132" t="n">
        <v>2.2</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HYPERLINK("https://klasma.github.io/Logging_2260/artfynd/A 24795-2024 artfynd.xlsx", "A 24795-2024")</f>
        <v/>
      </c>
      <c r="T132">
        <f>HYPERLINK("https://klasma.github.io/Logging_2260/kartor/A 24795-2024 karta.png", "A 24795-2024")</f>
        <v/>
      </c>
      <c r="V132">
        <f>HYPERLINK("https://klasma.github.io/Logging_2260/klagomål/A 24795-2024 FSC-klagomål.docx", "A 24795-2024")</f>
        <v/>
      </c>
      <c r="W132">
        <f>HYPERLINK("https://klasma.github.io/Logging_2260/klagomålsmail/A 24795-2024 FSC-klagomål mail.docx", "A 24795-2024")</f>
        <v/>
      </c>
      <c r="X132">
        <f>HYPERLINK("https://klasma.github.io/Logging_2260/tillsyn/A 24795-2024 tillsynsbegäran.docx", "A 24795-2024")</f>
        <v/>
      </c>
      <c r="Y132">
        <f>HYPERLINK("https://klasma.github.io/Logging_2260/tillsynsmail/A 24795-2024 tillsynsbegäran mail.docx", "A 24795-2024")</f>
        <v/>
      </c>
    </row>
    <row r="133" ht="15" customHeight="1">
      <c r="A133" t="inlineStr">
        <is>
          <t>A 7533-2023</t>
        </is>
      </c>
      <c r="B133" s="1" t="n">
        <v>44971</v>
      </c>
      <c r="C133" s="1" t="n">
        <v>46059</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39181-2024</t>
        </is>
      </c>
      <c r="B134" s="1" t="n">
        <v>45548</v>
      </c>
      <c r="C134" s="1" t="n">
        <v>46059</v>
      </c>
      <c r="D134" t="inlineStr">
        <is>
          <t>VÄSTERNORRLANDS LÄN</t>
        </is>
      </c>
      <c r="E134" t="inlineStr">
        <is>
          <t>ÅNGE</t>
        </is>
      </c>
      <c r="F134" t="inlineStr">
        <is>
          <t>SCA</t>
        </is>
      </c>
      <c r="G134" t="n">
        <v>21.1</v>
      </c>
      <c r="H134" t="n">
        <v>1</v>
      </c>
      <c r="I134" t="n">
        <v>1</v>
      </c>
      <c r="J134" t="n">
        <v>1</v>
      </c>
      <c r="K134" t="n">
        <v>1</v>
      </c>
      <c r="L134" t="n">
        <v>0</v>
      </c>
      <c r="M134" t="n">
        <v>0</v>
      </c>
      <c r="N134" t="n">
        <v>0</v>
      </c>
      <c r="O134" t="n">
        <v>2</v>
      </c>
      <c r="P134" t="n">
        <v>1</v>
      </c>
      <c r="Q134" t="n">
        <v>3</v>
      </c>
      <c r="R134" s="2" t="inlineStr">
        <is>
          <t>Knärot
Granticka
Kransrams</t>
        </is>
      </c>
      <c r="S134">
        <f>HYPERLINK("https://klasma.github.io/Logging_2260/artfynd/A 39181-2024 artfynd.xlsx", "A 39181-2024")</f>
        <v/>
      </c>
      <c r="T134">
        <f>HYPERLINK("https://klasma.github.io/Logging_2260/kartor/A 39181-2024 karta.png", "A 39181-2024")</f>
        <v/>
      </c>
      <c r="U134">
        <f>HYPERLINK("https://klasma.github.io/Logging_2260/knärot/A 39181-2024 karta knärot.png", "A 39181-2024")</f>
        <v/>
      </c>
      <c r="V134">
        <f>HYPERLINK("https://klasma.github.io/Logging_2260/klagomål/A 39181-2024 FSC-klagomål.docx", "A 39181-2024")</f>
        <v/>
      </c>
      <c r="W134">
        <f>HYPERLINK("https://klasma.github.io/Logging_2260/klagomålsmail/A 39181-2024 FSC-klagomål mail.docx", "A 39181-2024")</f>
        <v/>
      </c>
      <c r="X134">
        <f>HYPERLINK("https://klasma.github.io/Logging_2260/tillsyn/A 39181-2024 tillsynsbegäran.docx", "A 39181-2024")</f>
        <v/>
      </c>
      <c r="Y134">
        <f>HYPERLINK("https://klasma.github.io/Logging_2260/tillsynsmail/A 39181-2024 tillsynsbegäran mail.docx", "A 39181-2024")</f>
        <v/>
      </c>
    </row>
    <row r="135" ht="15" customHeight="1">
      <c r="A135" t="inlineStr">
        <is>
          <t>A 21267-2025</t>
        </is>
      </c>
      <c r="B135" s="1" t="n">
        <v>45779</v>
      </c>
      <c r="C135" s="1" t="n">
        <v>46059</v>
      </c>
      <c r="D135" t="inlineStr">
        <is>
          <t>VÄSTERNORRLANDS LÄN</t>
        </is>
      </c>
      <c r="E135" t="inlineStr">
        <is>
          <t>ÅNGE</t>
        </is>
      </c>
      <c r="F135" t="inlineStr">
        <is>
          <t>Sveaskog</t>
        </is>
      </c>
      <c r="G135" t="n">
        <v>3.7</v>
      </c>
      <c r="H135" t="n">
        <v>2</v>
      </c>
      <c r="I135" t="n">
        <v>2</v>
      </c>
      <c r="J135" t="n">
        <v>1</v>
      </c>
      <c r="K135" t="n">
        <v>0</v>
      </c>
      <c r="L135" t="n">
        <v>0</v>
      </c>
      <c r="M135" t="n">
        <v>0</v>
      </c>
      <c r="N135" t="n">
        <v>0</v>
      </c>
      <c r="O135" t="n">
        <v>1</v>
      </c>
      <c r="P135" t="n">
        <v>0</v>
      </c>
      <c r="Q135" t="n">
        <v>3</v>
      </c>
      <c r="R135" s="2" t="inlineStr">
        <is>
          <t>Lunglav
Korallrot
Spindelblomster</t>
        </is>
      </c>
      <c r="S135">
        <f>HYPERLINK("https://klasma.github.io/Logging_2260/artfynd/A 21267-2025 artfynd.xlsx", "A 21267-2025")</f>
        <v/>
      </c>
      <c r="T135">
        <f>HYPERLINK("https://klasma.github.io/Logging_2260/kartor/A 21267-2025 karta.png", "A 21267-2025")</f>
        <v/>
      </c>
      <c r="V135">
        <f>HYPERLINK("https://klasma.github.io/Logging_2260/klagomål/A 21267-2025 FSC-klagomål.docx", "A 21267-2025")</f>
        <v/>
      </c>
      <c r="W135">
        <f>HYPERLINK("https://klasma.github.io/Logging_2260/klagomålsmail/A 21267-2025 FSC-klagomål mail.docx", "A 21267-2025")</f>
        <v/>
      </c>
      <c r="X135">
        <f>HYPERLINK("https://klasma.github.io/Logging_2260/tillsyn/A 21267-2025 tillsynsbegäran.docx", "A 21267-2025")</f>
        <v/>
      </c>
      <c r="Y135">
        <f>HYPERLINK("https://klasma.github.io/Logging_2260/tillsynsmail/A 21267-2025 tillsynsbegäran mail.docx", "A 21267-2025")</f>
        <v/>
      </c>
    </row>
    <row r="136" ht="15" customHeight="1">
      <c r="A136" t="inlineStr">
        <is>
          <t>A 23754-2025</t>
        </is>
      </c>
      <c r="B136" s="1" t="n">
        <v>45793.45782407407</v>
      </c>
      <c r="C136" s="1" t="n">
        <v>46059</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46059</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22996-2023</t>
        </is>
      </c>
      <c r="B138" s="1" t="n">
        <v>45072</v>
      </c>
      <c r="C138" s="1" t="n">
        <v>46059</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22996-2023 artfynd.xlsx", "A 22996-2023")</f>
        <v/>
      </c>
      <c r="T138">
        <f>HYPERLINK("https://klasma.github.io/Logging_2260/kartor/A 22996-2023 karta.png", "A 22996-2023")</f>
        <v/>
      </c>
      <c r="U138">
        <f>HYPERLINK("https://klasma.github.io/Logging_2260/knärot/A 22996-2023 karta knärot.png", "A 22996-2023")</f>
        <v/>
      </c>
      <c r="V138">
        <f>HYPERLINK("https://klasma.github.io/Logging_2260/klagomål/A 22996-2023 FSC-klagomål.docx", "A 22996-2023")</f>
        <v/>
      </c>
      <c r="W138">
        <f>HYPERLINK("https://klasma.github.io/Logging_2260/klagomålsmail/A 22996-2023 FSC-klagomål mail.docx", "A 22996-2023")</f>
        <v/>
      </c>
      <c r="X138">
        <f>HYPERLINK("https://klasma.github.io/Logging_2260/tillsyn/A 22996-2023 tillsynsbegäran.docx", "A 22996-2023")</f>
        <v/>
      </c>
      <c r="Y138">
        <f>HYPERLINK("https://klasma.github.io/Logging_2260/tillsynsmail/A 22996-2023 tillsynsbegäran mail.docx", "A 22996-2023")</f>
        <v/>
      </c>
    </row>
    <row r="139" ht="15" customHeight="1">
      <c r="A139" t="inlineStr">
        <is>
          <t>A 26679-2025</t>
        </is>
      </c>
      <c r="B139" s="1" t="n">
        <v>45810</v>
      </c>
      <c r="C139" s="1" t="n">
        <v>46059</v>
      </c>
      <c r="D139" t="inlineStr">
        <is>
          <t>VÄSTERNORRLANDS LÄN</t>
        </is>
      </c>
      <c r="E139" t="inlineStr">
        <is>
          <t>ÅNGE</t>
        </is>
      </c>
      <c r="F139" t="inlineStr">
        <is>
          <t>SCA</t>
        </is>
      </c>
      <c r="G139" t="n">
        <v>5.9</v>
      </c>
      <c r="H139" t="n">
        <v>0</v>
      </c>
      <c r="I139" t="n">
        <v>1</v>
      </c>
      <c r="J139" t="n">
        <v>2</v>
      </c>
      <c r="K139" t="n">
        <v>0</v>
      </c>
      <c r="L139" t="n">
        <v>0</v>
      </c>
      <c r="M139" t="n">
        <v>0</v>
      </c>
      <c r="N139" t="n">
        <v>0</v>
      </c>
      <c r="O139" t="n">
        <v>2</v>
      </c>
      <c r="P139" t="n">
        <v>0</v>
      </c>
      <c r="Q139" t="n">
        <v>3</v>
      </c>
      <c r="R139" s="2" t="inlineStr">
        <is>
          <t>Garnlav
Lunglav
Rödgul trumpetsvamp</t>
        </is>
      </c>
      <c r="S139">
        <f>HYPERLINK("https://klasma.github.io/Logging_2260/artfynd/A 26679-2025 artfynd.xlsx", "A 26679-2025")</f>
        <v/>
      </c>
      <c r="T139">
        <f>HYPERLINK("https://klasma.github.io/Logging_2260/kartor/A 26679-2025 karta.png", "A 26679-2025")</f>
        <v/>
      </c>
      <c r="V139">
        <f>HYPERLINK("https://klasma.github.io/Logging_2260/klagomål/A 26679-2025 FSC-klagomål.docx", "A 26679-2025")</f>
        <v/>
      </c>
      <c r="W139">
        <f>HYPERLINK("https://klasma.github.io/Logging_2260/klagomålsmail/A 26679-2025 FSC-klagomål mail.docx", "A 26679-2025")</f>
        <v/>
      </c>
      <c r="X139">
        <f>HYPERLINK("https://klasma.github.io/Logging_2260/tillsyn/A 26679-2025 tillsynsbegäran.docx", "A 26679-2025")</f>
        <v/>
      </c>
      <c r="Y139">
        <f>HYPERLINK("https://klasma.github.io/Logging_2260/tillsynsmail/A 26679-2025 tillsynsbegäran mail.docx", "A 26679-2025")</f>
        <v/>
      </c>
    </row>
    <row r="140" ht="15" customHeight="1">
      <c r="A140" t="inlineStr">
        <is>
          <t>A 16307-2025</t>
        </is>
      </c>
      <c r="B140" s="1" t="n">
        <v>45751.34686342593</v>
      </c>
      <c r="C140" s="1" t="n">
        <v>46059</v>
      </c>
      <c r="D140" t="inlineStr">
        <is>
          <t>VÄSTERNORRLANDS LÄN</t>
        </is>
      </c>
      <c r="E140" t="inlineStr">
        <is>
          <t>ÅNGE</t>
        </is>
      </c>
      <c r="F140" t="inlineStr">
        <is>
          <t>SCA</t>
        </is>
      </c>
      <c r="G140" t="n">
        <v>12.3</v>
      </c>
      <c r="H140" t="n">
        <v>1</v>
      </c>
      <c r="I140" t="n">
        <v>2</v>
      </c>
      <c r="J140" t="n">
        <v>0</v>
      </c>
      <c r="K140" t="n">
        <v>0</v>
      </c>
      <c r="L140" t="n">
        <v>0</v>
      </c>
      <c r="M140" t="n">
        <v>0</v>
      </c>
      <c r="N140" t="n">
        <v>0</v>
      </c>
      <c r="O140" t="n">
        <v>0</v>
      </c>
      <c r="P140" t="n">
        <v>0</v>
      </c>
      <c r="Q140" t="n">
        <v>3</v>
      </c>
      <c r="R140" s="2" t="inlineStr">
        <is>
          <t>Stor aspticka
Vårärt
Blåsippa</t>
        </is>
      </c>
      <c r="S140">
        <f>HYPERLINK("https://klasma.github.io/Logging_2260/artfynd/A 16307-2025 artfynd.xlsx", "A 16307-2025")</f>
        <v/>
      </c>
      <c r="T140">
        <f>HYPERLINK("https://klasma.github.io/Logging_2260/kartor/A 16307-2025 karta.png", "A 16307-2025")</f>
        <v/>
      </c>
      <c r="V140">
        <f>HYPERLINK("https://klasma.github.io/Logging_2260/klagomål/A 16307-2025 FSC-klagomål.docx", "A 16307-2025")</f>
        <v/>
      </c>
      <c r="W140">
        <f>HYPERLINK("https://klasma.github.io/Logging_2260/klagomålsmail/A 16307-2025 FSC-klagomål mail.docx", "A 16307-2025")</f>
        <v/>
      </c>
      <c r="X140">
        <f>HYPERLINK("https://klasma.github.io/Logging_2260/tillsyn/A 16307-2025 tillsynsbegäran.docx", "A 16307-2025")</f>
        <v/>
      </c>
      <c r="Y140">
        <f>HYPERLINK("https://klasma.github.io/Logging_2260/tillsynsmail/A 16307-2025 tillsynsbegäran mail.docx", "A 16307-2025")</f>
        <v/>
      </c>
    </row>
    <row r="141" ht="15" customHeight="1">
      <c r="A141" t="inlineStr">
        <is>
          <t>A 31212-2025</t>
        </is>
      </c>
      <c r="B141" s="1" t="n">
        <v>45832.71978009259</v>
      </c>
      <c r="C141" s="1" t="n">
        <v>46059</v>
      </c>
      <c r="D141" t="inlineStr">
        <is>
          <t>VÄSTERNORRLANDS LÄN</t>
        </is>
      </c>
      <c r="E141" t="inlineStr">
        <is>
          <t>ÅNGE</t>
        </is>
      </c>
      <c r="F141" t="inlineStr">
        <is>
          <t>SCA</t>
        </is>
      </c>
      <c r="G141" t="n">
        <v>1.6</v>
      </c>
      <c r="H141" t="n">
        <v>0</v>
      </c>
      <c r="I141" t="n">
        <v>2</v>
      </c>
      <c r="J141" t="n">
        <v>1</v>
      </c>
      <c r="K141" t="n">
        <v>0</v>
      </c>
      <c r="L141" t="n">
        <v>0</v>
      </c>
      <c r="M141" t="n">
        <v>0</v>
      </c>
      <c r="N141" t="n">
        <v>0</v>
      </c>
      <c r="O141" t="n">
        <v>1</v>
      </c>
      <c r="P141" t="n">
        <v>0</v>
      </c>
      <c r="Q141" t="n">
        <v>3</v>
      </c>
      <c r="R141" s="2" t="inlineStr">
        <is>
          <t>Ullticka
Barkticka
Korallblylav</t>
        </is>
      </c>
      <c r="S141">
        <f>HYPERLINK("https://klasma.github.io/Logging_2260/artfynd/A 31212-2025 artfynd.xlsx", "A 31212-2025")</f>
        <v/>
      </c>
      <c r="T141">
        <f>HYPERLINK("https://klasma.github.io/Logging_2260/kartor/A 31212-2025 karta.png", "A 31212-2025")</f>
        <v/>
      </c>
      <c r="V141">
        <f>HYPERLINK("https://klasma.github.io/Logging_2260/klagomål/A 31212-2025 FSC-klagomål.docx", "A 31212-2025")</f>
        <v/>
      </c>
      <c r="W141">
        <f>HYPERLINK("https://klasma.github.io/Logging_2260/klagomålsmail/A 31212-2025 FSC-klagomål mail.docx", "A 31212-2025")</f>
        <v/>
      </c>
      <c r="X141">
        <f>HYPERLINK("https://klasma.github.io/Logging_2260/tillsyn/A 31212-2025 tillsynsbegäran.docx", "A 31212-2025")</f>
        <v/>
      </c>
      <c r="Y141">
        <f>HYPERLINK("https://klasma.github.io/Logging_2260/tillsynsmail/A 31212-2025 tillsynsbegäran mail.docx", "A 31212-2025")</f>
        <v/>
      </c>
    </row>
    <row r="142" ht="15" customHeight="1">
      <c r="A142" t="inlineStr">
        <is>
          <t>A 33806-2025</t>
        </is>
      </c>
      <c r="B142" s="1" t="n">
        <v>45842.44865740741</v>
      </c>
      <c r="C142" s="1" t="n">
        <v>46059</v>
      </c>
      <c r="D142" t="inlineStr">
        <is>
          <t>VÄSTERNORRLANDS LÄN</t>
        </is>
      </c>
      <c r="E142" t="inlineStr">
        <is>
          <t>ÅNGE</t>
        </is>
      </c>
      <c r="F142" t="inlineStr">
        <is>
          <t>SCA</t>
        </is>
      </c>
      <c r="G142" t="n">
        <v>24.6</v>
      </c>
      <c r="H142" t="n">
        <v>3</v>
      </c>
      <c r="I142" t="n">
        <v>1</v>
      </c>
      <c r="J142" t="n">
        <v>0</v>
      </c>
      <c r="K142" t="n">
        <v>1</v>
      </c>
      <c r="L142" t="n">
        <v>0</v>
      </c>
      <c r="M142" t="n">
        <v>0</v>
      </c>
      <c r="N142" t="n">
        <v>0</v>
      </c>
      <c r="O142" t="n">
        <v>1</v>
      </c>
      <c r="P142" t="n">
        <v>1</v>
      </c>
      <c r="Q142" t="n">
        <v>3</v>
      </c>
      <c r="R142" s="2" t="inlineStr">
        <is>
          <t>Knärot
Grönkulla
Nattviol</t>
        </is>
      </c>
      <c r="S142">
        <f>HYPERLINK("https://klasma.github.io/Logging_2260/artfynd/A 33806-2025 artfynd.xlsx", "A 33806-2025")</f>
        <v/>
      </c>
      <c r="T142">
        <f>HYPERLINK("https://klasma.github.io/Logging_2260/kartor/A 33806-2025 karta.png", "A 33806-2025")</f>
        <v/>
      </c>
      <c r="U142">
        <f>HYPERLINK("https://klasma.github.io/Logging_2260/knärot/A 33806-2025 karta knärot.png", "A 33806-2025")</f>
        <v/>
      </c>
      <c r="V142">
        <f>HYPERLINK("https://klasma.github.io/Logging_2260/klagomål/A 33806-2025 FSC-klagomål.docx", "A 33806-2025")</f>
        <v/>
      </c>
      <c r="W142">
        <f>HYPERLINK("https://klasma.github.io/Logging_2260/klagomålsmail/A 33806-2025 FSC-klagomål mail.docx", "A 33806-2025")</f>
        <v/>
      </c>
      <c r="X142">
        <f>HYPERLINK("https://klasma.github.io/Logging_2260/tillsyn/A 33806-2025 tillsynsbegäran.docx", "A 33806-2025")</f>
        <v/>
      </c>
      <c r="Y142">
        <f>HYPERLINK("https://klasma.github.io/Logging_2260/tillsynsmail/A 33806-2025 tillsynsbegäran mail.docx", "A 33806-2025")</f>
        <v/>
      </c>
    </row>
    <row r="143" ht="15" customHeight="1">
      <c r="A143" t="inlineStr">
        <is>
          <t>A 36635-2021</t>
        </is>
      </c>
      <c r="B143" s="1" t="n">
        <v>44391</v>
      </c>
      <c r="C143" s="1" t="n">
        <v>46059</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46059</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46059</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46059</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46059</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46059</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46059</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36414-2025</t>
        </is>
      </c>
      <c r="B150" s="1" t="n">
        <v>45868.69246527777</v>
      </c>
      <c r="C150" s="1" t="n">
        <v>46059</v>
      </c>
      <c r="D150" t="inlineStr">
        <is>
          <t>VÄSTERNORRLANDS LÄN</t>
        </is>
      </c>
      <c r="E150" t="inlineStr">
        <is>
          <t>ÅNGE</t>
        </is>
      </c>
      <c r="G150" t="n">
        <v>5.4</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36414-2025 artfynd.xlsx", "A 36414-2025")</f>
        <v/>
      </c>
      <c r="T150">
        <f>HYPERLINK("https://klasma.github.io/Logging_2260/kartor/A 36414-2025 karta.png", "A 36414-2025")</f>
        <v/>
      </c>
      <c r="V150">
        <f>HYPERLINK("https://klasma.github.io/Logging_2260/klagomål/A 36414-2025 FSC-klagomål.docx", "A 36414-2025")</f>
        <v/>
      </c>
      <c r="W150">
        <f>HYPERLINK("https://klasma.github.io/Logging_2260/klagomålsmail/A 36414-2025 FSC-klagomål mail.docx", "A 36414-2025")</f>
        <v/>
      </c>
      <c r="X150">
        <f>HYPERLINK("https://klasma.github.io/Logging_2260/tillsyn/A 36414-2025 tillsynsbegäran.docx", "A 36414-2025")</f>
        <v/>
      </c>
      <c r="Y150">
        <f>HYPERLINK("https://klasma.github.io/Logging_2260/tillsynsmail/A 36414-2025 tillsynsbegäran mail.docx", "A 36414-2025")</f>
        <v/>
      </c>
    </row>
    <row r="151" ht="15" customHeight="1">
      <c r="A151" t="inlineStr">
        <is>
          <t>A 4873-2025</t>
        </is>
      </c>
      <c r="B151" s="1" t="n">
        <v>45688.67633101852</v>
      </c>
      <c r="C151" s="1" t="n">
        <v>46059</v>
      </c>
      <c r="D151" t="inlineStr">
        <is>
          <t>VÄSTERNORRLANDS LÄN</t>
        </is>
      </c>
      <c r="E151" t="inlineStr">
        <is>
          <t>ÅNGE</t>
        </is>
      </c>
      <c r="F151" t="inlineStr">
        <is>
          <t>SCA</t>
        </is>
      </c>
      <c r="G151" t="n">
        <v>3.3</v>
      </c>
      <c r="H151" t="n">
        <v>0</v>
      </c>
      <c r="I151" t="n">
        <v>0</v>
      </c>
      <c r="J151" t="n">
        <v>2</v>
      </c>
      <c r="K151" t="n">
        <v>0</v>
      </c>
      <c r="L151" t="n">
        <v>0</v>
      </c>
      <c r="M151" t="n">
        <v>0</v>
      </c>
      <c r="N151" t="n">
        <v>0</v>
      </c>
      <c r="O151" t="n">
        <v>2</v>
      </c>
      <c r="P151" t="n">
        <v>0</v>
      </c>
      <c r="Q151" t="n">
        <v>2</v>
      </c>
      <c r="R151" s="2" t="inlineStr">
        <is>
          <t>Garnlav
Vitgrynig nållav</t>
        </is>
      </c>
      <c r="S151">
        <f>HYPERLINK("https://klasma.github.io/Logging_2260/artfynd/A 4873-2025 artfynd.xlsx", "A 4873-2025")</f>
        <v/>
      </c>
      <c r="T151">
        <f>HYPERLINK("https://klasma.github.io/Logging_2260/kartor/A 4873-2025 karta.png", "A 4873-2025")</f>
        <v/>
      </c>
      <c r="V151">
        <f>HYPERLINK("https://klasma.github.io/Logging_2260/klagomål/A 4873-2025 FSC-klagomål.docx", "A 4873-2025")</f>
        <v/>
      </c>
      <c r="W151">
        <f>HYPERLINK("https://klasma.github.io/Logging_2260/klagomålsmail/A 4873-2025 FSC-klagomål mail.docx", "A 4873-2025")</f>
        <v/>
      </c>
      <c r="X151">
        <f>HYPERLINK("https://klasma.github.io/Logging_2260/tillsyn/A 4873-2025 tillsynsbegäran.docx", "A 4873-2025")</f>
        <v/>
      </c>
      <c r="Y151">
        <f>HYPERLINK("https://klasma.github.io/Logging_2260/tillsynsmail/A 4873-2025 tillsynsbegäran mail.docx", "A 4873-2025")</f>
        <v/>
      </c>
    </row>
    <row r="152" ht="15" customHeight="1">
      <c r="A152" t="inlineStr">
        <is>
          <t>A 37800-2025</t>
        </is>
      </c>
      <c r="B152" s="1" t="n">
        <v>45881.34420138889</v>
      </c>
      <c r="C152" s="1" t="n">
        <v>46059</v>
      </c>
      <c r="D152" t="inlineStr">
        <is>
          <t>VÄSTERNORRLANDS LÄN</t>
        </is>
      </c>
      <c r="E152" t="inlineStr">
        <is>
          <t>ÅNGE</t>
        </is>
      </c>
      <c r="F152" t="inlineStr">
        <is>
          <t>SCA</t>
        </is>
      </c>
      <c r="G152" t="n">
        <v>4</v>
      </c>
      <c r="H152" t="n">
        <v>1</v>
      </c>
      <c r="I152" t="n">
        <v>0</v>
      </c>
      <c r="J152" t="n">
        <v>1</v>
      </c>
      <c r="K152" t="n">
        <v>0</v>
      </c>
      <c r="L152" t="n">
        <v>0</v>
      </c>
      <c r="M152" t="n">
        <v>0</v>
      </c>
      <c r="N152" t="n">
        <v>0</v>
      </c>
      <c r="O152" t="n">
        <v>1</v>
      </c>
      <c r="P152" t="n">
        <v>0</v>
      </c>
      <c r="Q152" t="n">
        <v>2</v>
      </c>
      <c r="R152" s="2" t="inlineStr">
        <is>
          <t>Garnlav
Revlummer</t>
        </is>
      </c>
      <c r="S152">
        <f>HYPERLINK("https://klasma.github.io/Logging_2260/artfynd/A 37800-2025 artfynd.xlsx", "A 37800-2025")</f>
        <v/>
      </c>
      <c r="T152">
        <f>HYPERLINK("https://klasma.github.io/Logging_2260/kartor/A 37800-2025 karta.png", "A 37800-2025")</f>
        <v/>
      </c>
      <c r="V152">
        <f>HYPERLINK("https://klasma.github.io/Logging_2260/klagomål/A 37800-2025 FSC-klagomål.docx", "A 37800-2025")</f>
        <v/>
      </c>
      <c r="W152">
        <f>HYPERLINK("https://klasma.github.io/Logging_2260/klagomålsmail/A 37800-2025 FSC-klagomål mail.docx", "A 37800-2025")</f>
        <v/>
      </c>
      <c r="X152">
        <f>HYPERLINK("https://klasma.github.io/Logging_2260/tillsyn/A 37800-2025 tillsynsbegäran.docx", "A 37800-2025")</f>
        <v/>
      </c>
      <c r="Y152">
        <f>HYPERLINK("https://klasma.github.io/Logging_2260/tillsynsmail/A 37800-2025 tillsynsbegäran mail.docx", "A 37800-2025")</f>
        <v/>
      </c>
    </row>
    <row r="153" ht="15" customHeight="1">
      <c r="A153" t="inlineStr">
        <is>
          <t>A 29325-2023</t>
        </is>
      </c>
      <c r="B153" s="1" t="n">
        <v>45105</v>
      </c>
      <c r="C153" s="1" t="n">
        <v>46059</v>
      </c>
      <c r="D153" t="inlineStr">
        <is>
          <t>VÄSTERNORRLANDS LÄN</t>
        </is>
      </c>
      <c r="E153" t="inlineStr">
        <is>
          <t>ÅNGE</t>
        </is>
      </c>
      <c r="G153" t="n">
        <v>12.4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HYPERLINK("https://klasma.github.io/Logging_2260/artfynd/A 29325-2023 artfynd.xlsx", "A 29325-2023")</f>
        <v/>
      </c>
      <c r="T153">
        <f>HYPERLINK("https://klasma.github.io/Logging_2260/kartor/A 29325-2023 karta.png", "A 29325-2023")</f>
        <v/>
      </c>
      <c r="V153">
        <f>HYPERLINK("https://klasma.github.io/Logging_2260/klagomål/A 29325-2023 FSC-klagomål.docx", "A 29325-2023")</f>
        <v/>
      </c>
      <c r="W153">
        <f>HYPERLINK("https://klasma.github.io/Logging_2260/klagomålsmail/A 29325-2023 FSC-klagomål mail.docx", "A 29325-2023")</f>
        <v/>
      </c>
      <c r="X153">
        <f>HYPERLINK("https://klasma.github.io/Logging_2260/tillsyn/A 29325-2023 tillsynsbegäran.docx", "A 29325-2023")</f>
        <v/>
      </c>
      <c r="Y153">
        <f>HYPERLINK("https://klasma.github.io/Logging_2260/tillsynsmail/A 29325-2023 tillsynsbegäran mail.docx", "A 29325-2023")</f>
        <v/>
      </c>
    </row>
    <row r="154" ht="15" customHeight="1">
      <c r="A154" t="inlineStr">
        <is>
          <t>A 38298-2025</t>
        </is>
      </c>
      <c r="B154" s="1" t="n">
        <v>45883.4568287037</v>
      </c>
      <c r="C154" s="1" t="n">
        <v>46059</v>
      </c>
      <c r="D154" t="inlineStr">
        <is>
          <t>VÄSTERNORRLANDS LÄN</t>
        </is>
      </c>
      <c r="E154" t="inlineStr">
        <is>
          <t>ÅNGE</t>
        </is>
      </c>
      <c r="G154" t="n">
        <v>4.5</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38298-2025 artfynd.xlsx", "A 38298-2025")</f>
        <v/>
      </c>
      <c r="T154">
        <f>HYPERLINK("https://klasma.github.io/Logging_2260/kartor/A 38298-2025 karta.png", "A 38298-2025")</f>
        <v/>
      </c>
      <c r="V154">
        <f>HYPERLINK("https://klasma.github.io/Logging_2260/klagomål/A 38298-2025 FSC-klagomål.docx", "A 38298-2025")</f>
        <v/>
      </c>
      <c r="W154">
        <f>HYPERLINK("https://klasma.github.io/Logging_2260/klagomålsmail/A 38298-2025 FSC-klagomål mail.docx", "A 38298-2025")</f>
        <v/>
      </c>
      <c r="X154">
        <f>HYPERLINK("https://klasma.github.io/Logging_2260/tillsyn/A 38298-2025 tillsynsbegäran.docx", "A 38298-2025")</f>
        <v/>
      </c>
      <c r="Y154">
        <f>HYPERLINK("https://klasma.github.io/Logging_2260/tillsynsmail/A 38298-2025 tillsynsbegäran mail.docx", "A 38298-2025")</f>
        <v/>
      </c>
    </row>
    <row r="155" ht="15" customHeight="1">
      <c r="A155" t="inlineStr">
        <is>
          <t>A 42864-2025</t>
        </is>
      </c>
      <c r="B155" s="1" t="n">
        <v>45908</v>
      </c>
      <c r="C155" s="1" t="n">
        <v>46059</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Mörk kolflarnlav
Vedflamlav</t>
        </is>
      </c>
      <c r="S155">
        <f>HYPERLINK("https://klasma.github.io/Logging_2260/artfynd/A 42864-2025 artfynd.xlsx", "A 42864-2025")</f>
        <v/>
      </c>
      <c r="T155">
        <f>HYPERLINK("https://klasma.github.io/Logging_2260/kartor/A 42864-2025 karta.png", "A 42864-2025")</f>
        <v/>
      </c>
      <c r="V155">
        <f>HYPERLINK("https://klasma.github.io/Logging_2260/klagomål/A 42864-2025 FSC-klagomål.docx", "A 42864-2025")</f>
        <v/>
      </c>
      <c r="W155">
        <f>HYPERLINK("https://klasma.github.io/Logging_2260/klagomålsmail/A 42864-2025 FSC-klagomål mail.docx", "A 42864-2025")</f>
        <v/>
      </c>
      <c r="X155">
        <f>HYPERLINK("https://klasma.github.io/Logging_2260/tillsyn/A 42864-2025 tillsynsbegäran.docx", "A 42864-2025")</f>
        <v/>
      </c>
      <c r="Y155">
        <f>HYPERLINK("https://klasma.github.io/Logging_2260/tillsynsmail/A 42864-2025 tillsynsbegäran mail.docx", "A 42864-2025")</f>
        <v/>
      </c>
    </row>
    <row r="156" ht="15" customHeight="1">
      <c r="A156" t="inlineStr">
        <is>
          <t>A 43721-2025</t>
        </is>
      </c>
      <c r="B156" s="1" t="n">
        <v>45912.42800925926</v>
      </c>
      <c r="C156" s="1" t="n">
        <v>46059</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4093-2025</t>
        </is>
      </c>
      <c r="B157" s="1" t="n">
        <v>45684.67762731481</v>
      </c>
      <c r="C157" s="1" t="n">
        <v>46059</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47719-2024</t>
        </is>
      </c>
      <c r="B158" s="1" t="n">
        <v>45588.48996527777</v>
      </c>
      <c r="C158" s="1" t="n">
        <v>46059</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5638-2026</t>
        </is>
      </c>
      <c r="B159" s="1" t="n">
        <v>46051</v>
      </c>
      <c r="C159" s="1" t="n">
        <v>46059</v>
      </c>
      <c r="D159" t="inlineStr">
        <is>
          <t>VÄSTERNORRLANDS LÄN</t>
        </is>
      </c>
      <c r="E159" t="inlineStr">
        <is>
          <t>ÅNGE</t>
        </is>
      </c>
      <c r="G159" t="n">
        <v>0.9</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5638-2026 artfynd.xlsx", "A 5638-2026")</f>
        <v/>
      </c>
      <c r="T159">
        <f>HYPERLINK("https://klasma.github.io/Logging_2260/kartor/A 5638-2026 karta.png", "A 5638-2026")</f>
        <v/>
      </c>
      <c r="V159">
        <f>HYPERLINK("https://klasma.github.io/Logging_2260/klagomål/A 5638-2026 FSC-klagomål.docx", "A 5638-2026")</f>
        <v/>
      </c>
      <c r="W159">
        <f>HYPERLINK("https://klasma.github.io/Logging_2260/klagomålsmail/A 5638-2026 FSC-klagomål mail.docx", "A 5638-2026")</f>
        <v/>
      </c>
      <c r="X159">
        <f>HYPERLINK("https://klasma.github.io/Logging_2260/tillsyn/A 5638-2026 tillsynsbegäran.docx", "A 5638-2026")</f>
        <v/>
      </c>
      <c r="Y159">
        <f>HYPERLINK("https://klasma.github.io/Logging_2260/tillsynsmail/A 5638-2026 tillsynsbegäran mail.docx", "A 5638-2026")</f>
        <v/>
      </c>
    </row>
    <row r="160" ht="15" customHeight="1">
      <c r="A160" t="inlineStr">
        <is>
          <t>A 57594-2022</t>
        </is>
      </c>
      <c r="B160" s="1" t="n">
        <v>44896.97854166666</v>
      </c>
      <c r="C160" s="1" t="n">
        <v>46059</v>
      </c>
      <c r="D160" t="inlineStr">
        <is>
          <t>VÄSTERNORRLANDS LÄN</t>
        </is>
      </c>
      <c r="E160" t="inlineStr">
        <is>
          <t>ÅNGE</t>
        </is>
      </c>
      <c r="F160" t="inlineStr">
        <is>
          <t>SCA</t>
        </is>
      </c>
      <c r="G160" t="n">
        <v>5.3</v>
      </c>
      <c r="H160" t="n">
        <v>0</v>
      </c>
      <c r="I160" t="n">
        <v>0</v>
      </c>
      <c r="J160" t="n">
        <v>2</v>
      </c>
      <c r="K160" t="n">
        <v>0</v>
      </c>
      <c r="L160" t="n">
        <v>0</v>
      </c>
      <c r="M160" t="n">
        <v>0</v>
      </c>
      <c r="N160" t="n">
        <v>0</v>
      </c>
      <c r="O160" t="n">
        <v>2</v>
      </c>
      <c r="P160" t="n">
        <v>0</v>
      </c>
      <c r="Q160" t="n">
        <v>2</v>
      </c>
      <c r="R160" s="2" t="inlineStr">
        <is>
          <t>Granticka
Lunglav</t>
        </is>
      </c>
      <c r="S160">
        <f>HYPERLINK("https://klasma.github.io/Logging_2260/artfynd/A 57594-2022 artfynd.xlsx", "A 57594-2022")</f>
        <v/>
      </c>
      <c r="T160">
        <f>HYPERLINK("https://klasma.github.io/Logging_2260/kartor/A 57594-2022 karta.png", "A 57594-2022")</f>
        <v/>
      </c>
      <c r="V160">
        <f>HYPERLINK("https://klasma.github.io/Logging_2260/klagomål/A 57594-2022 FSC-klagomål.docx", "A 57594-2022")</f>
        <v/>
      </c>
      <c r="W160">
        <f>HYPERLINK("https://klasma.github.io/Logging_2260/klagomålsmail/A 57594-2022 FSC-klagomål mail.docx", "A 57594-2022")</f>
        <v/>
      </c>
      <c r="X160">
        <f>HYPERLINK("https://klasma.github.io/Logging_2260/tillsyn/A 57594-2022 tillsynsbegäran.docx", "A 57594-2022")</f>
        <v/>
      </c>
      <c r="Y160">
        <f>HYPERLINK("https://klasma.github.io/Logging_2260/tillsynsmail/A 57594-2022 tillsynsbegäran mail.docx", "A 57594-2022")</f>
        <v/>
      </c>
    </row>
    <row r="161" ht="15" customHeight="1">
      <c r="A161" t="inlineStr">
        <is>
          <t>A 54625-2025</t>
        </is>
      </c>
      <c r="B161" s="1" t="n">
        <v>45966.34552083333</v>
      </c>
      <c r="C161" s="1" t="n">
        <v>46059</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57597-2022</t>
        </is>
      </c>
      <c r="B162" s="1" t="n">
        <v>44896.97878472223</v>
      </c>
      <c r="C162" s="1" t="n">
        <v>46059</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25034-2024</t>
        </is>
      </c>
      <c r="B163" s="1" t="n">
        <v>45461.96458333333</v>
      </c>
      <c r="C163" s="1" t="n">
        <v>46059</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32659-2024</t>
        </is>
      </c>
      <c r="B164" s="1" t="n">
        <v>45513</v>
      </c>
      <c r="C164" s="1" t="n">
        <v>46059</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57089-2024</t>
        </is>
      </c>
      <c r="B165" s="1" t="n">
        <v>45629.35665509259</v>
      </c>
      <c r="C165" s="1" t="n">
        <v>46059</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165-2025</t>
        </is>
      </c>
      <c r="B166" s="1" t="n">
        <v>45659</v>
      </c>
      <c r="C166" s="1" t="n">
        <v>46059</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46059</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46059</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46059</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46059</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46059</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46059</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46059</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46059</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46059</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46059</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46059</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46059</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24176-2025</t>
        </is>
      </c>
      <c r="B179" s="1" t="n">
        <v>45796.69832175926</v>
      </c>
      <c r="C179" s="1" t="n">
        <v>46059</v>
      </c>
      <c r="D179" t="inlineStr">
        <is>
          <t>VÄSTERNORRLANDS LÄN</t>
        </is>
      </c>
      <c r="E179" t="inlineStr">
        <is>
          <t>ÅNGE</t>
        </is>
      </c>
      <c r="F179" t="inlineStr">
        <is>
          <t>SCA</t>
        </is>
      </c>
      <c r="G179" t="n">
        <v>3.9</v>
      </c>
      <c r="H179" t="n">
        <v>0</v>
      </c>
      <c r="I179" t="n">
        <v>1</v>
      </c>
      <c r="J179" t="n">
        <v>1</v>
      </c>
      <c r="K179" t="n">
        <v>0</v>
      </c>
      <c r="L179" t="n">
        <v>0</v>
      </c>
      <c r="M179" t="n">
        <v>0</v>
      </c>
      <c r="N179" t="n">
        <v>0</v>
      </c>
      <c r="O179" t="n">
        <v>1</v>
      </c>
      <c r="P179" t="n">
        <v>0</v>
      </c>
      <c r="Q179" t="n">
        <v>2</v>
      </c>
      <c r="R179" s="2" t="inlineStr">
        <is>
          <t>Vitgrynig nållav
Vedticka</t>
        </is>
      </c>
      <c r="S179">
        <f>HYPERLINK("https://klasma.github.io/Logging_2260/artfynd/A 24176-2025 artfynd.xlsx", "A 24176-2025")</f>
        <v/>
      </c>
      <c r="T179">
        <f>HYPERLINK("https://klasma.github.io/Logging_2260/kartor/A 24176-2025 karta.png", "A 24176-2025")</f>
        <v/>
      </c>
      <c r="V179">
        <f>HYPERLINK("https://klasma.github.io/Logging_2260/klagomål/A 24176-2025 FSC-klagomål.docx", "A 24176-2025")</f>
        <v/>
      </c>
      <c r="W179">
        <f>HYPERLINK("https://klasma.github.io/Logging_2260/klagomålsmail/A 24176-2025 FSC-klagomål mail.docx", "A 24176-2025")</f>
        <v/>
      </c>
      <c r="X179">
        <f>HYPERLINK("https://klasma.github.io/Logging_2260/tillsyn/A 24176-2025 tillsynsbegäran.docx", "A 24176-2025")</f>
        <v/>
      </c>
      <c r="Y179">
        <f>HYPERLINK("https://klasma.github.io/Logging_2260/tillsynsmail/A 24176-2025 tillsynsbegäran mail.docx", "A 24176-2025")</f>
        <v/>
      </c>
    </row>
    <row r="180" ht="15" customHeight="1">
      <c r="A180" t="inlineStr">
        <is>
          <t>A 26906-2025</t>
        </is>
      </c>
      <c r="B180" s="1" t="n">
        <v>45811.34552083333</v>
      </c>
      <c r="C180" s="1" t="n">
        <v>46059</v>
      </c>
      <c r="D180" t="inlineStr">
        <is>
          <t>VÄSTERNORRLANDS LÄN</t>
        </is>
      </c>
      <c r="E180" t="inlineStr">
        <is>
          <t>ÅNGE</t>
        </is>
      </c>
      <c r="F180" t="inlineStr">
        <is>
          <t>SCA</t>
        </is>
      </c>
      <c r="G180" t="n">
        <v>7</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26906-2025 artfynd.xlsx", "A 26906-2025")</f>
        <v/>
      </c>
      <c r="T180">
        <f>HYPERLINK("https://klasma.github.io/Logging_2260/kartor/A 26906-2025 karta.png", "A 26906-2025")</f>
        <v/>
      </c>
      <c r="V180">
        <f>HYPERLINK("https://klasma.github.io/Logging_2260/klagomål/A 26906-2025 FSC-klagomål.docx", "A 26906-2025")</f>
        <v/>
      </c>
      <c r="W180">
        <f>HYPERLINK("https://klasma.github.io/Logging_2260/klagomålsmail/A 26906-2025 FSC-klagomål mail.docx", "A 26906-2025")</f>
        <v/>
      </c>
      <c r="X180">
        <f>HYPERLINK("https://klasma.github.io/Logging_2260/tillsyn/A 26906-2025 tillsynsbegäran.docx", "A 26906-2025")</f>
        <v/>
      </c>
      <c r="Y180">
        <f>HYPERLINK("https://klasma.github.io/Logging_2260/tillsynsmail/A 26906-2025 tillsynsbegäran mail.docx", "A 26906-2025")</f>
        <v/>
      </c>
    </row>
    <row r="181" ht="15" customHeight="1">
      <c r="A181" t="inlineStr">
        <is>
          <t>A 20367-2022</t>
        </is>
      </c>
      <c r="B181" s="1" t="n">
        <v>44699</v>
      </c>
      <c r="C181" s="1" t="n">
        <v>46059</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46059</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46059</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46059</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46059</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29327-2023</t>
        </is>
      </c>
      <c r="B186" s="1" t="n">
        <v>45105.94349537037</v>
      </c>
      <c r="C186" s="1" t="n">
        <v>46059</v>
      </c>
      <c r="D186" t="inlineStr">
        <is>
          <t>VÄSTERNORRLANDS LÄN</t>
        </is>
      </c>
      <c r="E186" t="inlineStr">
        <is>
          <t>ÅNGE</t>
        </is>
      </c>
      <c r="G186" t="n">
        <v>7.8</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29327-2023 artfynd.xlsx", "A 29327-2023")</f>
        <v/>
      </c>
      <c r="T186">
        <f>HYPERLINK("https://klasma.github.io/Logging_2260/kartor/A 29327-2023 karta.png", "A 29327-2023")</f>
        <v/>
      </c>
      <c r="V186">
        <f>HYPERLINK("https://klasma.github.io/Logging_2260/klagomål/A 29327-2023 FSC-klagomål.docx", "A 29327-2023")</f>
        <v/>
      </c>
      <c r="W186">
        <f>HYPERLINK("https://klasma.github.io/Logging_2260/klagomålsmail/A 29327-2023 FSC-klagomål mail.docx", "A 29327-2023")</f>
        <v/>
      </c>
      <c r="X186">
        <f>HYPERLINK("https://klasma.github.io/Logging_2260/tillsyn/A 29327-2023 tillsynsbegäran.docx", "A 29327-2023")</f>
        <v/>
      </c>
      <c r="Y186">
        <f>HYPERLINK("https://klasma.github.io/Logging_2260/tillsynsmail/A 29327-2023 tillsynsbegäran mail.docx", "A 29327-2023")</f>
        <v/>
      </c>
    </row>
    <row r="187" ht="15" customHeight="1">
      <c r="A187" t="inlineStr">
        <is>
          <t>A 37432-2025</t>
        </is>
      </c>
      <c r="B187" s="1" t="n">
        <v>45877.51106481482</v>
      </c>
      <c r="C187" s="1" t="n">
        <v>46059</v>
      </c>
      <c r="D187" t="inlineStr">
        <is>
          <t>VÄSTERNORRLANDS LÄN</t>
        </is>
      </c>
      <c r="E187" t="inlineStr">
        <is>
          <t>ÅNGE</t>
        </is>
      </c>
      <c r="F187" t="inlineStr">
        <is>
          <t>SCA</t>
        </is>
      </c>
      <c r="G187" t="n">
        <v>1.2</v>
      </c>
      <c r="H187" t="n">
        <v>1</v>
      </c>
      <c r="I187" t="n">
        <v>1</v>
      </c>
      <c r="J187" t="n">
        <v>0</v>
      </c>
      <c r="K187" t="n">
        <v>0</v>
      </c>
      <c r="L187" t="n">
        <v>0</v>
      </c>
      <c r="M187" t="n">
        <v>0</v>
      </c>
      <c r="N187" t="n">
        <v>0</v>
      </c>
      <c r="O187" t="n">
        <v>0</v>
      </c>
      <c r="P187" t="n">
        <v>0</v>
      </c>
      <c r="Q187" t="n">
        <v>1</v>
      </c>
      <c r="R187" s="2" t="inlineStr">
        <is>
          <t>Spindelblomster</t>
        </is>
      </c>
      <c r="S187">
        <f>HYPERLINK("https://klasma.github.io/Logging_2260/artfynd/A 37432-2025 artfynd.xlsx", "A 37432-2025")</f>
        <v/>
      </c>
      <c r="T187">
        <f>HYPERLINK("https://klasma.github.io/Logging_2260/kartor/A 37432-2025 karta.png", "A 37432-2025")</f>
        <v/>
      </c>
      <c r="V187">
        <f>HYPERLINK("https://klasma.github.io/Logging_2260/klagomål/A 37432-2025 FSC-klagomål.docx", "A 37432-2025")</f>
        <v/>
      </c>
      <c r="W187">
        <f>HYPERLINK("https://klasma.github.io/Logging_2260/klagomålsmail/A 37432-2025 FSC-klagomål mail.docx", "A 37432-2025")</f>
        <v/>
      </c>
      <c r="X187">
        <f>HYPERLINK("https://klasma.github.io/Logging_2260/tillsyn/A 37432-2025 tillsynsbegäran.docx", "A 37432-2025")</f>
        <v/>
      </c>
      <c r="Y187">
        <f>HYPERLINK("https://klasma.github.io/Logging_2260/tillsynsmail/A 37432-2025 tillsynsbegäran mail.docx", "A 37432-2025")</f>
        <v/>
      </c>
    </row>
    <row r="188" ht="15" customHeight="1">
      <c r="A188" t="inlineStr">
        <is>
          <t>A 38606-2024</t>
        </is>
      </c>
      <c r="B188" s="1" t="n">
        <v>45546.67804398148</v>
      </c>
      <c r="C188" s="1" t="n">
        <v>46059</v>
      </c>
      <c r="D188" t="inlineStr">
        <is>
          <t>VÄSTERNORRLANDS LÄN</t>
        </is>
      </c>
      <c r="E188" t="inlineStr">
        <is>
          <t>ÅNGE</t>
        </is>
      </c>
      <c r="F188" t="inlineStr">
        <is>
          <t>SCA</t>
        </is>
      </c>
      <c r="G188" t="n">
        <v>2.4</v>
      </c>
      <c r="H188" t="n">
        <v>0</v>
      </c>
      <c r="I188" t="n">
        <v>0</v>
      </c>
      <c r="J188" t="n">
        <v>1</v>
      </c>
      <c r="K188" t="n">
        <v>0</v>
      </c>
      <c r="L188" t="n">
        <v>0</v>
      </c>
      <c r="M188" t="n">
        <v>0</v>
      </c>
      <c r="N188" t="n">
        <v>0</v>
      </c>
      <c r="O188" t="n">
        <v>1</v>
      </c>
      <c r="P188" t="n">
        <v>0</v>
      </c>
      <c r="Q188" t="n">
        <v>1</v>
      </c>
      <c r="R188" s="2" t="inlineStr">
        <is>
          <t>Ullticka</t>
        </is>
      </c>
      <c r="S188">
        <f>HYPERLINK("https://klasma.github.io/Logging_2260/artfynd/A 38606-2024 artfynd.xlsx", "A 38606-2024")</f>
        <v/>
      </c>
      <c r="T188">
        <f>HYPERLINK("https://klasma.github.io/Logging_2260/kartor/A 38606-2024 karta.png", "A 38606-2024")</f>
        <v/>
      </c>
      <c r="V188">
        <f>HYPERLINK("https://klasma.github.io/Logging_2260/klagomål/A 38606-2024 FSC-klagomål.docx", "A 38606-2024")</f>
        <v/>
      </c>
      <c r="W188">
        <f>HYPERLINK("https://klasma.github.io/Logging_2260/klagomålsmail/A 38606-2024 FSC-klagomål mail.docx", "A 38606-2024")</f>
        <v/>
      </c>
      <c r="X188">
        <f>HYPERLINK("https://klasma.github.io/Logging_2260/tillsyn/A 38606-2024 tillsynsbegäran.docx", "A 38606-2024")</f>
        <v/>
      </c>
      <c r="Y188">
        <f>HYPERLINK("https://klasma.github.io/Logging_2260/tillsynsmail/A 38606-2024 tillsynsbegäran mail.docx", "A 38606-2024")</f>
        <v/>
      </c>
    </row>
    <row r="189" ht="15" customHeight="1">
      <c r="A189" t="inlineStr">
        <is>
          <t>A 43171-2024</t>
        </is>
      </c>
      <c r="B189" s="1" t="n">
        <v>45567</v>
      </c>
      <c r="C189" s="1" t="n">
        <v>46059</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30774-2024</t>
        </is>
      </c>
      <c r="B190" s="1" t="n">
        <v>45496.949375</v>
      </c>
      <c r="C190" s="1" t="n">
        <v>46059</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50651-2021</t>
        </is>
      </c>
      <c r="B191" s="1" t="n">
        <v>44459</v>
      </c>
      <c r="C191" s="1" t="n">
        <v>46059</v>
      </c>
      <c r="D191" t="inlineStr">
        <is>
          <t>VÄSTERNORRLANDS LÄN</t>
        </is>
      </c>
      <c r="E191" t="inlineStr">
        <is>
          <t>ÅNGE</t>
        </is>
      </c>
      <c r="G191" t="n">
        <v>20.6</v>
      </c>
      <c r="H191" t="n">
        <v>0</v>
      </c>
      <c r="I191" t="n">
        <v>0</v>
      </c>
      <c r="J191" t="n">
        <v>1</v>
      </c>
      <c r="K191" t="n">
        <v>0</v>
      </c>
      <c r="L191" t="n">
        <v>0</v>
      </c>
      <c r="M191" t="n">
        <v>0</v>
      </c>
      <c r="N191" t="n">
        <v>0</v>
      </c>
      <c r="O191" t="n">
        <v>1</v>
      </c>
      <c r="P191" t="n">
        <v>0</v>
      </c>
      <c r="Q191" t="n">
        <v>1</v>
      </c>
      <c r="R191" s="2" t="inlineStr">
        <is>
          <t>Garnlav</t>
        </is>
      </c>
      <c r="S191">
        <f>HYPERLINK("https://klasma.github.io/Logging_2260/artfynd/A 50651-2021 artfynd.xlsx", "A 50651-2021")</f>
        <v/>
      </c>
      <c r="T191">
        <f>HYPERLINK("https://klasma.github.io/Logging_2260/kartor/A 50651-2021 karta.png", "A 50651-2021")</f>
        <v/>
      </c>
      <c r="V191">
        <f>HYPERLINK("https://klasma.github.io/Logging_2260/klagomål/A 50651-2021 FSC-klagomål.docx", "A 50651-2021")</f>
        <v/>
      </c>
      <c r="W191">
        <f>HYPERLINK("https://klasma.github.io/Logging_2260/klagomålsmail/A 50651-2021 FSC-klagomål mail.docx", "A 50651-2021")</f>
        <v/>
      </c>
      <c r="X191">
        <f>HYPERLINK("https://klasma.github.io/Logging_2260/tillsyn/A 50651-2021 tillsynsbegäran.docx", "A 50651-2021")</f>
        <v/>
      </c>
      <c r="Y191">
        <f>HYPERLINK("https://klasma.github.io/Logging_2260/tillsynsmail/A 50651-2021 tillsynsbegäran mail.docx", "A 50651-2021")</f>
        <v/>
      </c>
    </row>
    <row r="192" ht="15" customHeight="1">
      <c r="A192" t="inlineStr">
        <is>
          <t>A 24798-2024</t>
        </is>
      </c>
      <c r="B192" s="1" t="n">
        <v>45460.95277777778</v>
      </c>
      <c r="C192" s="1" t="n">
        <v>46059</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HYPERLINK("https://klasma.github.io/Logging_2260/artfynd/A 24798-2024 artfynd.xlsx", "A 24798-2024")</f>
        <v/>
      </c>
      <c r="T192">
        <f>HYPERLINK("https://klasma.github.io/Logging_2260/kartor/A 24798-2024 karta.png", "A 24798-2024")</f>
        <v/>
      </c>
      <c r="V192">
        <f>HYPERLINK("https://klasma.github.io/Logging_2260/klagomål/A 24798-2024 FSC-klagomål.docx", "A 24798-2024")</f>
        <v/>
      </c>
      <c r="W192">
        <f>HYPERLINK("https://klasma.github.io/Logging_2260/klagomålsmail/A 24798-2024 FSC-klagomål mail.docx", "A 24798-2024")</f>
        <v/>
      </c>
      <c r="X192">
        <f>HYPERLINK("https://klasma.github.io/Logging_2260/tillsyn/A 24798-2024 tillsynsbegäran.docx", "A 24798-2024")</f>
        <v/>
      </c>
      <c r="Y192">
        <f>HYPERLINK("https://klasma.github.io/Logging_2260/tillsynsmail/A 24798-2024 tillsynsbegäran mail.docx", "A 24798-2024")</f>
        <v/>
      </c>
    </row>
    <row r="193" ht="15" customHeight="1">
      <c r="A193" t="inlineStr">
        <is>
          <t>A 24799-2024</t>
        </is>
      </c>
      <c r="B193" s="1" t="n">
        <v>45460</v>
      </c>
      <c r="C193" s="1" t="n">
        <v>46059</v>
      </c>
      <c r="D193" t="inlineStr">
        <is>
          <t>VÄSTERNORRLANDS LÄN</t>
        </is>
      </c>
      <c r="E193" t="inlineStr">
        <is>
          <t>ÅNGE</t>
        </is>
      </c>
      <c r="F193" t="inlineStr">
        <is>
          <t>SCA</t>
        </is>
      </c>
      <c r="G193" t="n">
        <v>2.8</v>
      </c>
      <c r="H193" t="n">
        <v>1</v>
      </c>
      <c r="I193" t="n">
        <v>0</v>
      </c>
      <c r="J193" t="n">
        <v>0</v>
      </c>
      <c r="K193" t="n">
        <v>1</v>
      </c>
      <c r="L193" t="n">
        <v>0</v>
      </c>
      <c r="M193" t="n">
        <v>0</v>
      </c>
      <c r="N193" t="n">
        <v>0</v>
      </c>
      <c r="O193" t="n">
        <v>1</v>
      </c>
      <c r="P193" t="n">
        <v>1</v>
      </c>
      <c r="Q193" t="n">
        <v>1</v>
      </c>
      <c r="R193" s="2" t="inlineStr">
        <is>
          <t>Doftticka</t>
        </is>
      </c>
      <c r="S193">
        <f>HYPERLINK("https://klasma.github.io/Logging_2260/artfynd/A 24799-2024 artfynd.xlsx", "A 24799-2024")</f>
        <v/>
      </c>
      <c r="T193">
        <f>HYPERLINK("https://klasma.github.io/Logging_2260/kartor/A 24799-2024 karta.png", "A 24799-2024")</f>
        <v/>
      </c>
      <c r="V193">
        <f>HYPERLINK("https://klasma.github.io/Logging_2260/klagomål/A 24799-2024 FSC-klagomål.docx", "A 24799-2024")</f>
        <v/>
      </c>
      <c r="W193">
        <f>HYPERLINK("https://klasma.github.io/Logging_2260/klagomålsmail/A 24799-2024 FSC-klagomål mail.docx", "A 24799-2024")</f>
        <v/>
      </c>
      <c r="X193">
        <f>HYPERLINK("https://klasma.github.io/Logging_2260/tillsyn/A 24799-2024 tillsynsbegäran.docx", "A 24799-2024")</f>
        <v/>
      </c>
      <c r="Y193">
        <f>HYPERLINK("https://klasma.github.io/Logging_2260/tillsynsmail/A 24799-2024 tillsynsbegäran mail.docx", "A 24799-2024")</f>
        <v/>
      </c>
    </row>
    <row r="194" ht="15" customHeight="1">
      <c r="A194" t="inlineStr">
        <is>
          <t>A 64510-2023</t>
        </is>
      </c>
      <c r="B194" s="1" t="n">
        <v>45281</v>
      </c>
      <c r="C194" s="1" t="n">
        <v>46059</v>
      </c>
      <c r="D194" t="inlineStr">
        <is>
          <t>VÄSTERNORRLANDS LÄN</t>
        </is>
      </c>
      <c r="E194" t="inlineStr">
        <is>
          <t>ÅNGE</t>
        </is>
      </c>
      <c r="G194" t="n">
        <v>3.7</v>
      </c>
      <c r="H194" t="n">
        <v>0</v>
      </c>
      <c r="I194" t="n">
        <v>1</v>
      </c>
      <c r="J194" t="n">
        <v>0</v>
      </c>
      <c r="K194" t="n">
        <v>0</v>
      </c>
      <c r="L194" t="n">
        <v>0</v>
      </c>
      <c r="M194" t="n">
        <v>0</v>
      </c>
      <c r="N194" t="n">
        <v>0</v>
      </c>
      <c r="O194" t="n">
        <v>0</v>
      </c>
      <c r="P194" t="n">
        <v>0</v>
      </c>
      <c r="Q194" t="n">
        <v>1</v>
      </c>
      <c r="R194" s="2" t="inlineStr">
        <is>
          <t>Dropptaggsvamp</t>
        </is>
      </c>
      <c r="S194">
        <f>HYPERLINK("https://klasma.github.io/Logging_2260/artfynd/A 64510-2023 artfynd.xlsx", "A 64510-2023")</f>
        <v/>
      </c>
      <c r="T194">
        <f>HYPERLINK("https://klasma.github.io/Logging_2260/kartor/A 64510-2023 karta.png", "A 64510-2023")</f>
        <v/>
      </c>
      <c r="V194">
        <f>HYPERLINK("https://klasma.github.io/Logging_2260/klagomål/A 64510-2023 FSC-klagomål.docx", "A 64510-2023")</f>
        <v/>
      </c>
      <c r="W194">
        <f>HYPERLINK("https://klasma.github.io/Logging_2260/klagomålsmail/A 64510-2023 FSC-klagomål mail.docx", "A 64510-2023")</f>
        <v/>
      </c>
      <c r="X194">
        <f>HYPERLINK("https://klasma.github.io/Logging_2260/tillsyn/A 64510-2023 tillsynsbegäran.docx", "A 64510-2023")</f>
        <v/>
      </c>
      <c r="Y194">
        <f>HYPERLINK("https://klasma.github.io/Logging_2260/tillsynsmail/A 64510-2023 tillsynsbegäran mail.docx", "A 64510-2023")</f>
        <v/>
      </c>
    </row>
    <row r="195" ht="15" customHeight="1">
      <c r="A195" t="inlineStr">
        <is>
          <t>A 38603-2024</t>
        </is>
      </c>
      <c r="B195" s="1" t="n">
        <v>45546</v>
      </c>
      <c r="C195" s="1" t="n">
        <v>46059</v>
      </c>
      <c r="D195" t="inlineStr">
        <is>
          <t>VÄSTERNORRLANDS LÄN</t>
        </is>
      </c>
      <c r="E195" t="inlineStr">
        <is>
          <t>ÅNGE</t>
        </is>
      </c>
      <c r="F195" t="inlineStr">
        <is>
          <t>SCA</t>
        </is>
      </c>
      <c r="G195" t="n">
        <v>5.6</v>
      </c>
      <c r="H195" t="n">
        <v>0</v>
      </c>
      <c r="I195" t="n">
        <v>0</v>
      </c>
      <c r="J195" t="n">
        <v>0</v>
      </c>
      <c r="K195" t="n">
        <v>1</v>
      </c>
      <c r="L195" t="n">
        <v>0</v>
      </c>
      <c r="M195" t="n">
        <v>0</v>
      </c>
      <c r="N195" t="n">
        <v>0</v>
      </c>
      <c r="O195" t="n">
        <v>1</v>
      </c>
      <c r="P195" t="n">
        <v>1</v>
      </c>
      <c r="Q195" t="n">
        <v>1</v>
      </c>
      <c r="R195" s="2" t="inlineStr">
        <is>
          <t>Rynkskinn</t>
        </is>
      </c>
      <c r="S195">
        <f>HYPERLINK("https://klasma.github.io/Logging_2260/artfynd/A 38603-2024 artfynd.xlsx", "A 38603-2024")</f>
        <v/>
      </c>
      <c r="T195">
        <f>HYPERLINK("https://klasma.github.io/Logging_2260/kartor/A 38603-2024 karta.png", "A 38603-2024")</f>
        <v/>
      </c>
      <c r="V195">
        <f>HYPERLINK("https://klasma.github.io/Logging_2260/klagomål/A 38603-2024 FSC-klagomål.docx", "A 38603-2024")</f>
        <v/>
      </c>
      <c r="W195">
        <f>HYPERLINK("https://klasma.github.io/Logging_2260/klagomålsmail/A 38603-2024 FSC-klagomål mail.docx", "A 38603-2024")</f>
        <v/>
      </c>
      <c r="X195">
        <f>HYPERLINK("https://klasma.github.io/Logging_2260/tillsyn/A 38603-2024 tillsynsbegäran.docx", "A 38603-2024")</f>
        <v/>
      </c>
      <c r="Y195">
        <f>HYPERLINK("https://klasma.github.io/Logging_2260/tillsynsmail/A 38603-2024 tillsynsbegäran mail.docx", "A 38603-2024")</f>
        <v/>
      </c>
    </row>
    <row r="196" ht="15" customHeight="1">
      <c r="A196" t="inlineStr">
        <is>
          <t>A 13934-2024</t>
        </is>
      </c>
      <c r="B196" s="1" t="n">
        <v>45391</v>
      </c>
      <c r="C196" s="1" t="n">
        <v>46059</v>
      </c>
      <c r="D196" t="inlineStr">
        <is>
          <t>VÄSTERNORRLANDS LÄN</t>
        </is>
      </c>
      <c r="E196" t="inlineStr">
        <is>
          <t>ÅNGE</t>
        </is>
      </c>
      <c r="F196" t="inlineStr">
        <is>
          <t>SCA</t>
        </is>
      </c>
      <c r="G196" t="n">
        <v>5.8</v>
      </c>
      <c r="H196" t="n">
        <v>0</v>
      </c>
      <c r="I196" t="n">
        <v>0</v>
      </c>
      <c r="J196" t="n">
        <v>1</v>
      </c>
      <c r="K196" t="n">
        <v>0</v>
      </c>
      <c r="L196" t="n">
        <v>0</v>
      </c>
      <c r="M196" t="n">
        <v>0</v>
      </c>
      <c r="N196" t="n">
        <v>0</v>
      </c>
      <c r="O196" t="n">
        <v>1</v>
      </c>
      <c r="P196" t="n">
        <v>0</v>
      </c>
      <c r="Q196" t="n">
        <v>1</v>
      </c>
      <c r="R196" s="2" t="inlineStr">
        <is>
          <t>Ullticka</t>
        </is>
      </c>
      <c r="S196">
        <f>HYPERLINK("https://klasma.github.io/Logging_2260/artfynd/A 13934-2024 artfynd.xlsx", "A 13934-2024")</f>
        <v/>
      </c>
      <c r="T196">
        <f>HYPERLINK("https://klasma.github.io/Logging_2260/kartor/A 13934-2024 karta.png", "A 13934-2024")</f>
        <v/>
      </c>
      <c r="V196">
        <f>HYPERLINK("https://klasma.github.io/Logging_2260/klagomål/A 13934-2024 FSC-klagomål.docx", "A 13934-2024")</f>
        <v/>
      </c>
      <c r="W196">
        <f>HYPERLINK("https://klasma.github.io/Logging_2260/klagomålsmail/A 13934-2024 FSC-klagomål mail.docx", "A 13934-2024")</f>
        <v/>
      </c>
      <c r="X196">
        <f>HYPERLINK("https://klasma.github.io/Logging_2260/tillsyn/A 13934-2024 tillsynsbegäran.docx", "A 13934-2024")</f>
        <v/>
      </c>
      <c r="Y196">
        <f>HYPERLINK("https://klasma.github.io/Logging_2260/tillsynsmail/A 13934-2024 tillsynsbegäran mail.docx", "A 13934-2024")</f>
        <v/>
      </c>
    </row>
    <row r="197" ht="15" customHeight="1">
      <c r="A197" t="inlineStr">
        <is>
          <t>A 329-2026</t>
        </is>
      </c>
      <c r="B197" s="1" t="n">
        <v>46027.59431712963</v>
      </c>
      <c r="C197" s="1" t="n">
        <v>46059</v>
      </c>
      <c r="D197" t="inlineStr">
        <is>
          <t>VÄSTERNORRLANDS LÄN</t>
        </is>
      </c>
      <c r="E197" t="inlineStr">
        <is>
          <t>ÅNGE</t>
        </is>
      </c>
      <c r="F197" t="inlineStr">
        <is>
          <t>SCA</t>
        </is>
      </c>
      <c r="G197" t="n">
        <v>3.3</v>
      </c>
      <c r="H197" t="n">
        <v>1</v>
      </c>
      <c r="I197" t="n">
        <v>0</v>
      </c>
      <c r="J197" t="n">
        <v>0</v>
      </c>
      <c r="K197" t="n">
        <v>0</v>
      </c>
      <c r="L197" t="n">
        <v>0</v>
      </c>
      <c r="M197" t="n">
        <v>0</v>
      </c>
      <c r="N197" t="n">
        <v>0</v>
      </c>
      <c r="O197" t="n">
        <v>0</v>
      </c>
      <c r="P197" t="n">
        <v>0</v>
      </c>
      <c r="Q197" t="n">
        <v>1</v>
      </c>
      <c r="R197" s="2" t="inlineStr">
        <is>
          <t>Revlummer</t>
        </is>
      </c>
      <c r="S197">
        <f>HYPERLINK("https://klasma.github.io/Logging_2260/artfynd/A 329-2026 artfynd.xlsx", "A 329-2026")</f>
        <v/>
      </c>
      <c r="T197">
        <f>HYPERLINK("https://klasma.github.io/Logging_2260/kartor/A 329-2026 karta.png", "A 329-2026")</f>
        <v/>
      </c>
      <c r="V197">
        <f>HYPERLINK("https://klasma.github.io/Logging_2260/klagomål/A 329-2026 FSC-klagomål.docx", "A 329-2026")</f>
        <v/>
      </c>
      <c r="W197">
        <f>HYPERLINK("https://klasma.github.io/Logging_2260/klagomålsmail/A 329-2026 FSC-klagomål mail.docx", "A 329-2026")</f>
        <v/>
      </c>
      <c r="X197">
        <f>HYPERLINK("https://klasma.github.io/Logging_2260/tillsyn/A 329-2026 tillsynsbegäran.docx", "A 329-2026")</f>
        <v/>
      </c>
      <c r="Y197">
        <f>HYPERLINK("https://klasma.github.io/Logging_2260/tillsynsmail/A 329-2026 tillsynsbegäran mail.docx", "A 329-2026")</f>
        <v/>
      </c>
    </row>
    <row r="198" ht="15" customHeight="1">
      <c r="A198" t="inlineStr">
        <is>
          <t>A 58534-2025</t>
        </is>
      </c>
      <c r="B198" s="1" t="n">
        <v>45985.80396990741</v>
      </c>
      <c r="C198" s="1" t="n">
        <v>46059</v>
      </c>
      <c r="D198" t="inlineStr">
        <is>
          <t>VÄSTERNORRLANDS LÄN</t>
        </is>
      </c>
      <c r="E198" t="inlineStr">
        <is>
          <t>ÅNGE</t>
        </is>
      </c>
      <c r="F198" t="inlineStr">
        <is>
          <t>Holmen skog AB</t>
        </is>
      </c>
      <c r="G198" t="n">
        <v>2.2</v>
      </c>
      <c r="H198" t="n">
        <v>0</v>
      </c>
      <c r="I198" t="n">
        <v>0</v>
      </c>
      <c r="J198" t="n">
        <v>1</v>
      </c>
      <c r="K198" t="n">
        <v>0</v>
      </c>
      <c r="L198" t="n">
        <v>0</v>
      </c>
      <c r="M198" t="n">
        <v>0</v>
      </c>
      <c r="N198" t="n">
        <v>0</v>
      </c>
      <c r="O198" t="n">
        <v>1</v>
      </c>
      <c r="P198" t="n">
        <v>0</v>
      </c>
      <c r="Q198" t="n">
        <v>1</v>
      </c>
      <c r="R198" s="2" t="inlineStr">
        <is>
          <t>Ullticka</t>
        </is>
      </c>
      <c r="S198">
        <f>HYPERLINK("https://klasma.github.io/Logging_2260/artfynd/A 58534-2025 artfynd.xlsx", "A 58534-2025")</f>
        <v/>
      </c>
      <c r="T198">
        <f>HYPERLINK("https://klasma.github.io/Logging_2260/kartor/A 58534-2025 karta.png", "A 58534-2025")</f>
        <v/>
      </c>
      <c r="V198">
        <f>HYPERLINK("https://klasma.github.io/Logging_2260/klagomål/A 58534-2025 FSC-klagomål.docx", "A 58534-2025")</f>
        <v/>
      </c>
      <c r="W198">
        <f>HYPERLINK("https://klasma.github.io/Logging_2260/klagomålsmail/A 58534-2025 FSC-klagomål mail.docx", "A 58534-2025")</f>
        <v/>
      </c>
      <c r="X198">
        <f>HYPERLINK("https://klasma.github.io/Logging_2260/tillsyn/A 58534-2025 tillsynsbegäran.docx", "A 58534-2025")</f>
        <v/>
      </c>
      <c r="Y198">
        <f>HYPERLINK("https://klasma.github.io/Logging_2260/tillsynsmail/A 58534-2025 tillsynsbegäran mail.docx", "A 58534-2025")</f>
        <v/>
      </c>
    </row>
    <row r="199" ht="15" customHeight="1">
      <c r="A199" t="inlineStr">
        <is>
          <t>A 42524-2025</t>
        </is>
      </c>
      <c r="B199" s="1" t="n">
        <v>45905.55262731481</v>
      </c>
      <c r="C199" s="1" t="n">
        <v>46059</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HYPERLINK("https://klasma.github.io/Logging_2260/artfynd/A 42524-2025 artfynd.xlsx", "A 42524-2025")</f>
        <v/>
      </c>
      <c r="T199">
        <f>HYPERLINK("https://klasma.github.io/Logging_2260/kartor/A 42524-2025 karta.png", "A 42524-2025")</f>
        <v/>
      </c>
      <c r="V199">
        <f>HYPERLINK("https://klasma.github.io/Logging_2260/klagomål/A 42524-2025 FSC-klagomål.docx", "A 42524-2025")</f>
        <v/>
      </c>
      <c r="W199">
        <f>HYPERLINK("https://klasma.github.io/Logging_2260/klagomålsmail/A 42524-2025 FSC-klagomål mail.docx", "A 42524-2025")</f>
        <v/>
      </c>
      <c r="X199">
        <f>HYPERLINK("https://klasma.github.io/Logging_2260/tillsyn/A 42524-2025 tillsynsbegäran.docx", "A 42524-2025")</f>
        <v/>
      </c>
      <c r="Y199">
        <f>HYPERLINK("https://klasma.github.io/Logging_2260/tillsynsmail/A 42524-2025 tillsynsbegäran mail.docx", "A 42524-2025")</f>
        <v/>
      </c>
    </row>
    <row r="200" ht="15" customHeight="1">
      <c r="A200" t="inlineStr">
        <is>
          <t>A 20192-2025</t>
        </is>
      </c>
      <c r="B200" s="1" t="n">
        <v>45772.60177083333</v>
      </c>
      <c r="C200" s="1" t="n">
        <v>46059</v>
      </c>
      <c r="D200" t="inlineStr">
        <is>
          <t>VÄSTERNORRLANDS LÄN</t>
        </is>
      </c>
      <c r="E200" t="inlineStr">
        <is>
          <t>ÅNGE</t>
        </is>
      </c>
      <c r="F200" t="inlineStr">
        <is>
          <t>Sveaskog</t>
        </is>
      </c>
      <c r="G200" t="n">
        <v>8.800000000000001</v>
      </c>
      <c r="H200" t="n">
        <v>1</v>
      </c>
      <c r="I200" t="n">
        <v>0</v>
      </c>
      <c r="J200" t="n">
        <v>0</v>
      </c>
      <c r="K200" t="n">
        <v>0</v>
      </c>
      <c r="L200" t="n">
        <v>0</v>
      </c>
      <c r="M200" t="n">
        <v>0</v>
      </c>
      <c r="N200" t="n">
        <v>0</v>
      </c>
      <c r="O200" t="n">
        <v>0</v>
      </c>
      <c r="P200" t="n">
        <v>0</v>
      </c>
      <c r="Q200" t="n">
        <v>1</v>
      </c>
      <c r="R200" s="2" t="inlineStr">
        <is>
          <t>Blåsippa</t>
        </is>
      </c>
      <c r="S200">
        <f>HYPERLINK("https://klasma.github.io/Logging_2260/artfynd/A 20192-2025 artfynd.xlsx", "A 20192-2025")</f>
        <v/>
      </c>
      <c r="T200">
        <f>HYPERLINK("https://klasma.github.io/Logging_2260/kartor/A 20192-2025 karta.png", "A 20192-2025")</f>
        <v/>
      </c>
      <c r="V200">
        <f>HYPERLINK("https://klasma.github.io/Logging_2260/klagomål/A 20192-2025 FSC-klagomål.docx", "A 20192-2025")</f>
        <v/>
      </c>
      <c r="W200">
        <f>HYPERLINK("https://klasma.github.io/Logging_2260/klagomålsmail/A 20192-2025 FSC-klagomål mail.docx", "A 20192-2025")</f>
        <v/>
      </c>
      <c r="X200">
        <f>HYPERLINK("https://klasma.github.io/Logging_2260/tillsyn/A 20192-2025 tillsynsbegäran.docx", "A 20192-2025")</f>
        <v/>
      </c>
      <c r="Y200">
        <f>HYPERLINK("https://klasma.github.io/Logging_2260/tillsynsmail/A 20192-2025 tillsynsbegäran mail.docx", "A 20192-2025")</f>
        <v/>
      </c>
    </row>
    <row r="201" ht="15" customHeight="1">
      <c r="A201" t="inlineStr">
        <is>
          <t>A 43590-2025</t>
        </is>
      </c>
      <c r="B201" s="1" t="n">
        <v>45911.65665509259</v>
      </c>
      <c r="C201" s="1" t="n">
        <v>46059</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31544-2024</t>
        </is>
      </c>
      <c r="B202" s="1" t="n">
        <v>45505</v>
      </c>
      <c r="C202" s="1" t="n">
        <v>46059</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46094-2025</t>
        </is>
      </c>
      <c r="B203" s="1" t="n">
        <v>45924</v>
      </c>
      <c r="C203" s="1" t="n">
        <v>46059</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61076-2025</t>
        </is>
      </c>
      <c r="B204" s="1" t="n">
        <v>46000.39689814814</v>
      </c>
      <c r="C204" s="1" t="n">
        <v>46059</v>
      </c>
      <c r="D204" t="inlineStr">
        <is>
          <t>VÄSTERNORRLANDS LÄN</t>
        </is>
      </c>
      <c r="E204" t="inlineStr">
        <is>
          <t>ÅNGE</t>
        </is>
      </c>
      <c r="F204" t="inlineStr">
        <is>
          <t>Holmen skog AB</t>
        </is>
      </c>
      <c r="G204" t="n">
        <v>2.7</v>
      </c>
      <c r="H204" t="n">
        <v>0</v>
      </c>
      <c r="I204" t="n">
        <v>1</v>
      </c>
      <c r="J204" t="n">
        <v>0</v>
      </c>
      <c r="K204" t="n">
        <v>0</v>
      </c>
      <c r="L204" t="n">
        <v>0</v>
      </c>
      <c r="M204" t="n">
        <v>0</v>
      </c>
      <c r="N204" t="n">
        <v>0</v>
      </c>
      <c r="O204" t="n">
        <v>0</v>
      </c>
      <c r="P204" t="n">
        <v>0</v>
      </c>
      <c r="Q204" t="n">
        <v>1</v>
      </c>
      <c r="R204" s="2" t="inlineStr">
        <is>
          <t>Stor aspticka</t>
        </is>
      </c>
      <c r="S204">
        <f>HYPERLINK("https://klasma.github.io/Logging_2260/artfynd/A 61076-2025 artfynd.xlsx", "A 61076-2025")</f>
        <v/>
      </c>
      <c r="T204">
        <f>HYPERLINK("https://klasma.github.io/Logging_2260/kartor/A 61076-2025 karta.png", "A 61076-2025")</f>
        <v/>
      </c>
      <c r="V204">
        <f>HYPERLINK("https://klasma.github.io/Logging_2260/klagomål/A 61076-2025 FSC-klagomål.docx", "A 61076-2025")</f>
        <v/>
      </c>
      <c r="W204">
        <f>HYPERLINK("https://klasma.github.io/Logging_2260/klagomålsmail/A 61076-2025 FSC-klagomål mail.docx", "A 61076-2025")</f>
        <v/>
      </c>
      <c r="X204">
        <f>HYPERLINK("https://klasma.github.io/Logging_2260/tillsyn/A 61076-2025 tillsynsbegäran.docx", "A 61076-2025")</f>
        <v/>
      </c>
      <c r="Y204">
        <f>HYPERLINK("https://klasma.github.io/Logging_2260/tillsynsmail/A 61076-2025 tillsynsbegäran mail.docx", "A 61076-2025")</f>
        <v/>
      </c>
    </row>
    <row r="205" ht="15" customHeight="1">
      <c r="A205" t="inlineStr">
        <is>
          <t>A 47857-2025</t>
        </is>
      </c>
      <c r="B205" s="1" t="n">
        <v>45932.4068287037</v>
      </c>
      <c r="C205" s="1" t="n">
        <v>46059</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46059</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37914-2024</t>
        </is>
      </c>
      <c r="B207" s="1" t="n">
        <v>45544</v>
      </c>
      <c r="C207" s="1" t="n">
        <v>46059</v>
      </c>
      <c r="D207" t="inlineStr">
        <is>
          <t>VÄSTERNORRLANDS LÄN</t>
        </is>
      </c>
      <c r="E207" t="inlineStr">
        <is>
          <t>ÅNGE</t>
        </is>
      </c>
      <c r="F207" t="inlineStr">
        <is>
          <t>SCA</t>
        </is>
      </c>
      <c r="G207" t="n">
        <v>9</v>
      </c>
      <c r="H207" t="n">
        <v>0</v>
      </c>
      <c r="I207" t="n">
        <v>0</v>
      </c>
      <c r="J207" t="n">
        <v>1</v>
      </c>
      <c r="K207" t="n">
        <v>0</v>
      </c>
      <c r="L207" t="n">
        <v>0</v>
      </c>
      <c r="M207" t="n">
        <v>0</v>
      </c>
      <c r="N207" t="n">
        <v>0</v>
      </c>
      <c r="O207" t="n">
        <v>1</v>
      </c>
      <c r="P207" t="n">
        <v>0</v>
      </c>
      <c r="Q207" t="n">
        <v>1</v>
      </c>
      <c r="R207" s="2" t="inlineStr">
        <is>
          <t>Granticka</t>
        </is>
      </c>
      <c r="S207">
        <f>HYPERLINK("https://klasma.github.io/Logging_2260/artfynd/A 37914-2024 artfynd.xlsx", "A 37914-2024")</f>
        <v/>
      </c>
      <c r="T207">
        <f>HYPERLINK("https://klasma.github.io/Logging_2260/kartor/A 37914-2024 karta.png", "A 37914-2024")</f>
        <v/>
      </c>
      <c r="V207">
        <f>HYPERLINK("https://klasma.github.io/Logging_2260/klagomål/A 37914-2024 FSC-klagomål.docx", "A 37914-2024")</f>
        <v/>
      </c>
      <c r="W207">
        <f>HYPERLINK("https://klasma.github.io/Logging_2260/klagomålsmail/A 37914-2024 FSC-klagomål mail.docx", "A 37914-2024")</f>
        <v/>
      </c>
      <c r="X207">
        <f>HYPERLINK("https://klasma.github.io/Logging_2260/tillsyn/A 37914-2024 tillsynsbegäran.docx", "A 37914-2024")</f>
        <v/>
      </c>
      <c r="Y207">
        <f>HYPERLINK("https://klasma.github.io/Logging_2260/tillsynsmail/A 37914-2024 tillsynsbegäran mail.docx", "A 37914-2024")</f>
        <v/>
      </c>
    </row>
    <row r="208" ht="15" customHeight="1">
      <c r="A208" t="inlineStr">
        <is>
          <t>A 53683-2025</t>
        </is>
      </c>
      <c r="B208" s="1" t="n">
        <v>45960</v>
      </c>
      <c r="C208" s="1" t="n">
        <v>46059</v>
      </c>
      <c r="D208" t="inlineStr">
        <is>
          <t>VÄSTERNORRLANDS LÄN</t>
        </is>
      </c>
      <c r="E208" t="inlineStr">
        <is>
          <t>ÅNGE</t>
        </is>
      </c>
      <c r="F208" t="inlineStr">
        <is>
          <t>SCA</t>
        </is>
      </c>
      <c r="G208" t="n">
        <v>3.6</v>
      </c>
      <c r="H208" t="n">
        <v>0</v>
      </c>
      <c r="I208" t="n">
        <v>1</v>
      </c>
      <c r="J208" t="n">
        <v>0</v>
      </c>
      <c r="K208" t="n">
        <v>0</v>
      </c>
      <c r="L208" t="n">
        <v>0</v>
      </c>
      <c r="M208" t="n">
        <v>0</v>
      </c>
      <c r="N208" t="n">
        <v>0</v>
      </c>
      <c r="O208" t="n">
        <v>0</v>
      </c>
      <c r="P208" t="n">
        <v>0</v>
      </c>
      <c r="Q208" t="n">
        <v>1</v>
      </c>
      <c r="R208" s="2" t="inlineStr">
        <is>
          <t>Ögonpyrola</t>
        </is>
      </c>
      <c r="S208">
        <f>HYPERLINK("https://klasma.github.io/Logging_2260/artfynd/A 53683-2025 artfynd.xlsx", "A 53683-2025")</f>
        <v/>
      </c>
      <c r="T208">
        <f>HYPERLINK("https://klasma.github.io/Logging_2260/kartor/A 53683-2025 karta.png", "A 53683-2025")</f>
        <v/>
      </c>
      <c r="U208">
        <f>HYPERLINK("https://klasma.github.io/Logging_2260/knärot/A 53683-2025 karta knärot.png", "A 53683-2025")</f>
        <v/>
      </c>
      <c r="V208">
        <f>HYPERLINK("https://klasma.github.io/Logging_2260/klagomål/A 53683-2025 FSC-klagomål.docx", "A 53683-2025")</f>
        <v/>
      </c>
      <c r="W208">
        <f>HYPERLINK("https://klasma.github.io/Logging_2260/klagomålsmail/A 53683-2025 FSC-klagomål mail.docx", "A 53683-2025")</f>
        <v/>
      </c>
      <c r="X208">
        <f>HYPERLINK("https://klasma.github.io/Logging_2260/tillsyn/A 53683-2025 tillsynsbegäran.docx", "A 53683-2025")</f>
        <v/>
      </c>
      <c r="Y208">
        <f>HYPERLINK("https://klasma.github.io/Logging_2260/tillsynsmail/A 53683-2025 tillsynsbegäran mail.docx", "A 53683-2025")</f>
        <v/>
      </c>
    </row>
    <row r="209" ht="15" customHeight="1">
      <c r="A209" t="inlineStr">
        <is>
          <t>A 71366-2021</t>
        </is>
      </c>
      <c r="B209" s="1" t="n">
        <v>44539</v>
      </c>
      <c r="C209" s="1" t="n">
        <v>46059</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57272-2024</t>
        </is>
      </c>
      <c r="B210" s="1" t="n">
        <v>45629.57380787037</v>
      </c>
      <c r="C210" s="1" t="n">
        <v>46059</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56091-2024</t>
        </is>
      </c>
      <c r="B211" s="1" t="n">
        <v>45624.40678240741</v>
      </c>
      <c r="C211" s="1" t="n">
        <v>46059</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1449-2025</t>
        </is>
      </c>
      <c r="B212" s="1" t="n">
        <v>45670.27537037037</v>
      </c>
      <c r="C212" s="1" t="n">
        <v>46059</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31878-2024</t>
        </is>
      </c>
      <c r="B213" s="1" t="n">
        <v>45509</v>
      </c>
      <c r="C213" s="1" t="n">
        <v>46059</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31510-2024</t>
        </is>
      </c>
      <c r="B214" s="1" t="n">
        <v>45505</v>
      </c>
      <c r="C214" s="1" t="n">
        <v>46059</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55015-2023</t>
        </is>
      </c>
      <c r="B215" s="1" t="n">
        <v>45237.32185185186</v>
      </c>
      <c r="C215" s="1" t="n">
        <v>46059</v>
      </c>
      <c r="D215" t="inlineStr">
        <is>
          <t>VÄSTERNORRLANDS LÄN</t>
        </is>
      </c>
      <c r="E215" t="inlineStr">
        <is>
          <t>ÅNGE</t>
        </is>
      </c>
      <c r="F215" t="inlineStr">
        <is>
          <t>Sveaskog</t>
        </is>
      </c>
      <c r="G215" t="n">
        <v>2.7</v>
      </c>
      <c r="H215" t="n">
        <v>0</v>
      </c>
      <c r="I215" t="n">
        <v>0</v>
      </c>
      <c r="J215" t="n">
        <v>1</v>
      </c>
      <c r="K215" t="n">
        <v>0</v>
      </c>
      <c r="L215" t="n">
        <v>0</v>
      </c>
      <c r="M215" t="n">
        <v>0</v>
      </c>
      <c r="N215" t="n">
        <v>0</v>
      </c>
      <c r="O215" t="n">
        <v>1</v>
      </c>
      <c r="P215" t="n">
        <v>0</v>
      </c>
      <c r="Q215" t="n">
        <v>1</v>
      </c>
      <c r="R215" s="2" t="inlineStr">
        <is>
          <t>Lunglav</t>
        </is>
      </c>
      <c r="S215">
        <f>HYPERLINK("https://klasma.github.io/Logging_2260/artfynd/A 55015-2023 artfynd.xlsx", "A 55015-2023")</f>
        <v/>
      </c>
      <c r="T215">
        <f>HYPERLINK("https://klasma.github.io/Logging_2260/kartor/A 55015-2023 karta.png", "A 55015-2023")</f>
        <v/>
      </c>
      <c r="V215">
        <f>HYPERLINK("https://klasma.github.io/Logging_2260/klagomål/A 55015-2023 FSC-klagomål.docx", "A 55015-2023")</f>
        <v/>
      </c>
      <c r="W215">
        <f>HYPERLINK("https://klasma.github.io/Logging_2260/klagomålsmail/A 55015-2023 FSC-klagomål mail.docx", "A 55015-2023")</f>
        <v/>
      </c>
      <c r="X215">
        <f>HYPERLINK("https://klasma.github.io/Logging_2260/tillsyn/A 55015-2023 tillsynsbegäran.docx", "A 55015-2023")</f>
        <v/>
      </c>
      <c r="Y215">
        <f>HYPERLINK("https://klasma.github.io/Logging_2260/tillsynsmail/A 55015-2023 tillsynsbegäran mail.docx", "A 55015-2023")</f>
        <v/>
      </c>
    </row>
    <row r="216" ht="15" customHeight="1">
      <c r="A216" t="inlineStr">
        <is>
          <t>A 34696-2024</t>
        </is>
      </c>
      <c r="B216" s="1" t="n">
        <v>45526</v>
      </c>
      <c r="C216" s="1" t="n">
        <v>46059</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46059</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25705-2024</t>
        </is>
      </c>
      <c r="B218" s="1" t="n">
        <v>45463.9428587963</v>
      </c>
      <c r="C218" s="1" t="n">
        <v>46059</v>
      </c>
      <c r="D218" t="inlineStr">
        <is>
          <t>VÄSTERNORRLANDS LÄN</t>
        </is>
      </c>
      <c r="E218" t="inlineStr">
        <is>
          <t>ÅNGE</t>
        </is>
      </c>
      <c r="F218" t="inlineStr">
        <is>
          <t>SCA</t>
        </is>
      </c>
      <c r="G218" t="n">
        <v>10.6</v>
      </c>
      <c r="H218" t="n">
        <v>1</v>
      </c>
      <c r="I218" t="n">
        <v>1</v>
      </c>
      <c r="J218" t="n">
        <v>0</v>
      </c>
      <c r="K218" t="n">
        <v>0</v>
      </c>
      <c r="L218" t="n">
        <v>0</v>
      </c>
      <c r="M218" t="n">
        <v>0</v>
      </c>
      <c r="N218" t="n">
        <v>0</v>
      </c>
      <c r="O218" t="n">
        <v>0</v>
      </c>
      <c r="P218" t="n">
        <v>0</v>
      </c>
      <c r="Q218" t="n">
        <v>1</v>
      </c>
      <c r="R218" s="2" t="inlineStr">
        <is>
          <t>Korallrot</t>
        </is>
      </c>
      <c r="S218">
        <f>HYPERLINK("https://klasma.github.io/Logging_2260/artfynd/A 25705-2024 artfynd.xlsx", "A 25705-2024")</f>
        <v/>
      </c>
      <c r="T218">
        <f>HYPERLINK("https://klasma.github.io/Logging_2260/kartor/A 25705-2024 karta.png", "A 25705-2024")</f>
        <v/>
      </c>
      <c r="V218">
        <f>HYPERLINK("https://klasma.github.io/Logging_2260/klagomål/A 25705-2024 FSC-klagomål.docx", "A 25705-2024")</f>
        <v/>
      </c>
      <c r="W218">
        <f>HYPERLINK("https://klasma.github.io/Logging_2260/klagomålsmail/A 25705-2024 FSC-klagomål mail.docx", "A 25705-2024")</f>
        <v/>
      </c>
      <c r="X218">
        <f>HYPERLINK("https://klasma.github.io/Logging_2260/tillsyn/A 25705-2024 tillsynsbegäran.docx", "A 25705-2024")</f>
        <v/>
      </c>
      <c r="Y218">
        <f>HYPERLINK("https://klasma.github.io/Logging_2260/tillsynsmail/A 25705-2024 tillsynsbegäran mail.docx", "A 25705-2024")</f>
        <v/>
      </c>
    </row>
    <row r="219" ht="15" customHeight="1">
      <c r="A219" t="inlineStr">
        <is>
          <t>A 52424-2023</t>
        </is>
      </c>
      <c r="B219" s="1" t="n">
        <v>45217</v>
      </c>
      <c r="C219" s="1" t="n">
        <v>46059</v>
      </c>
      <c r="D219" t="inlineStr">
        <is>
          <t>VÄSTERNORRLANDS LÄN</t>
        </is>
      </c>
      <c r="E219" t="inlineStr">
        <is>
          <t>ÅNGE</t>
        </is>
      </c>
      <c r="F219" t="inlineStr">
        <is>
          <t>SCA</t>
        </is>
      </c>
      <c r="G219" t="n">
        <v>3.8</v>
      </c>
      <c r="H219" t="n">
        <v>1</v>
      </c>
      <c r="I219" t="n">
        <v>0</v>
      </c>
      <c r="J219" t="n">
        <v>0</v>
      </c>
      <c r="K219" t="n">
        <v>0</v>
      </c>
      <c r="L219" t="n">
        <v>0</v>
      </c>
      <c r="M219" t="n">
        <v>0</v>
      </c>
      <c r="N219" t="n">
        <v>0</v>
      </c>
      <c r="O219" t="n">
        <v>0</v>
      </c>
      <c r="P219" t="n">
        <v>0</v>
      </c>
      <c r="Q219" t="n">
        <v>1</v>
      </c>
      <c r="R219" s="2" t="inlineStr">
        <is>
          <t>Revlummer</t>
        </is>
      </c>
      <c r="S219">
        <f>HYPERLINK("https://klasma.github.io/Logging_2260/artfynd/A 52424-2023 artfynd.xlsx", "A 52424-2023")</f>
        <v/>
      </c>
      <c r="T219">
        <f>HYPERLINK("https://klasma.github.io/Logging_2260/kartor/A 52424-2023 karta.png", "A 52424-2023")</f>
        <v/>
      </c>
      <c r="V219">
        <f>HYPERLINK("https://klasma.github.io/Logging_2260/klagomål/A 52424-2023 FSC-klagomål.docx", "A 52424-2023")</f>
        <v/>
      </c>
      <c r="W219">
        <f>HYPERLINK("https://klasma.github.io/Logging_2260/klagomålsmail/A 52424-2023 FSC-klagomål mail.docx", "A 52424-2023")</f>
        <v/>
      </c>
      <c r="X219">
        <f>HYPERLINK("https://klasma.github.io/Logging_2260/tillsyn/A 52424-2023 tillsynsbegäran.docx", "A 52424-2023")</f>
        <v/>
      </c>
      <c r="Y219">
        <f>HYPERLINK("https://klasma.github.io/Logging_2260/tillsynsmail/A 52424-2023 tillsynsbegäran mail.docx", "A 52424-2023")</f>
        <v/>
      </c>
    </row>
    <row r="220" ht="15" customHeight="1">
      <c r="A220" t="inlineStr">
        <is>
          <t>A 39638-2024</t>
        </is>
      </c>
      <c r="B220" s="1" t="n">
        <v>45552</v>
      </c>
      <c r="C220" s="1" t="n">
        <v>46059</v>
      </c>
      <c r="D220" t="inlineStr">
        <is>
          <t>VÄSTERNORRLANDS LÄN</t>
        </is>
      </c>
      <c r="E220" t="inlineStr">
        <is>
          <t>ÅNGE</t>
        </is>
      </c>
      <c r="G220" t="n">
        <v>3</v>
      </c>
      <c r="H220" t="n">
        <v>1</v>
      </c>
      <c r="I220" t="n">
        <v>0</v>
      </c>
      <c r="J220" t="n">
        <v>0</v>
      </c>
      <c r="K220" t="n">
        <v>0</v>
      </c>
      <c r="L220" t="n">
        <v>0</v>
      </c>
      <c r="M220" t="n">
        <v>0</v>
      </c>
      <c r="N220" t="n">
        <v>0</v>
      </c>
      <c r="O220" t="n">
        <v>0</v>
      </c>
      <c r="P220" t="n">
        <v>0</v>
      </c>
      <c r="Q220" t="n">
        <v>1</v>
      </c>
      <c r="R220" s="2" t="inlineStr">
        <is>
          <t>Tjäder</t>
        </is>
      </c>
      <c r="S220">
        <f>HYPERLINK("https://klasma.github.io/Logging_2260/artfynd/A 39638-2024 artfynd.xlsx", "A 39638-2024")</f>
        <v/>
      </c>
      <c r="T220">
        <f>HYPERLINK("https://klasma.github.io/Logging_2260/kartor/A 39638-2024 karta.png", "A 39638-2024")</f>
        <v/>
      </c>
      <c r="V220">
        <f>HYPERLINK("https://klasma.github.io/Logging_2260/klagomål/A 39638-2024 FSC-klagomål.docx", "A 39638-2024")</f>
        <v/>
      </c>
      <c r="W220">
        <f>HYPERLINK("https://klasma.github.io/Logging_2260/klagomålsmail/A 39638-2024 FSC-klagomål mail.docx", "A 39638-2024")</f>
        <v/>
      </c>
      <c r="X220">
        <f>HYPERLINK("https://klasma.github.io/Logging_2260/tillsyn/A 39638-2024 tillsynsbegäran.docx", "A 39638-2024")</f>
        <v/>
      </c>
      <c r="Y220">
        <f>HYPERLINK("https://klasma.github.io/Logging_2260/tillsynsmail/A 39638-2024 tillsynsbegäran mail.docx", "A 39638-2024")</f>
        <v/>
      </c>
      <c r="Z220">
        <f>HYPERLINK("https://klasma.github.io/Logging_2260/fåglar/A 39638-2024 prioriterade fågelarter.docx", "A 39638-2024")</f>
        <v/>
      </c>
    </row>
    <row r="221" ht="15" customHeight="1">
      <c r="A221" t="inlineStr">
        <is>
          <t>A 54751-2021</t>
        </is>
      </c>
      <c r="B221" s="1" t="n">
        <v>44473</v>
      </c>
      <c r="C221" s="1" t="n">
        <v>46059</v>
      </c>
      <c r="D221" t="inlineStr">
        <is>
          <t>VÄSTERNORRLANDS LÄN</t>
        </is>
      </c>
      <c r="E221" t="inlineStr">
        <is>
          <t>ÅNGE</t>
        </is>
      </c>
      <c r="G221" t="n">
        <v>6.5</v>
      </c>
      <c r="H221" t="n">
        <v>0</v>
      </c>
      <c r="I221" t="n">
        <v>0</v>
      </c>
      <c r="J221" t="n">
        <v>0</v>
      </c>
      <c r="K221" t="n">
        <v>1</v>
      </c>
      <c r="L221" t="n">
        <v>0</v>
      </c>
      <c r="M221" t="n">
        <v>0</v>
      </c>
      <c r="N221" t="n">
        <v>0</v>
      </c>
      <c r="O221" t="n">
        <v>1</v>
      </c>
      <c r="P221" t="n">
        <v>1</v>
      </c>
      <c r="Q221" t="n">
        <v>1</v>
      </c>
      <c r="R221" s="2" t="inlineStr">
        <is>
          <t>Gräddporing</t>
        </is>
      </c>
      <c r="S221">
        <f>HYPERLINK("https://klasma.github.io/Logging_2260/artfynd/A 54751-2021 artfynd.xlsx", "A 54751-2021")</f>
        <v/>
      </c>
      <c r="T221">
        <f>HYPERLINK("https://klasma.github.io/Logging_2260/kartor/A 54751-2021 karta.png", "A 54751-2021")</f>
        <v/>
      </c>
      <c r="V221">
        <f>HYPERLINK("https://klasma.github.io/Logging_2260/klagomål/A 54751-2021 FSC-klagomål.docx", "A 54751-2021")</f>
        <v/>
      </c>
      <c r="W221">
        <f>HYPERLINK("https://klasma.github.io/Logging_2260/klagomålsmail/A 54751-2021 FSC-klagomål mail.docx", "A 54751-2021")</f>
        <v/>
      </c>
      <c r="X221">
        <f>HYPERLINK("https://klasma.github.io/Logging_2260/tillsyn/A 54751-2021 tillsynsbegäran.docx", "A 54751-2021")</f>
        <v/>
      </c>
      <c r="Y221">
        <f>HYPERLINK("https://klasma.github.io/Logging_2260/tillsynsmail/A 54751-2021 tillsynsbegäran mail.docx", "A 54751-2021")</f>
        <v/>
      </c>
    </row>
    <row r="222" ht="15" customHeight="1">
      <c r="A222" t="inlineStr">
        <is>
          <t>A 40214-2024</t>
        </is>
      </c>
      <c r="B222" s="1" t="n">
        <v>45554.59460648148</v>
      </c>
      <c r="C222" s="1" t="n">
        <v>46059</v>
      </c>
      <c r="D222" t="inlineStr">
        <is>
          <t>VÄSTERNORRLANDS LÄN</t>
        </is>
      </c>
      <c r="E222" t="inlineStr">
        <is>
          <t>ÅNGE</t>
        </is>
      </c>
      <c r="F222" t="inlineStr">
        <is>
          <t>SCA</t>
        </is>
      </c>
      <c r="G222" t="n">
        <v>7.7</v>
      </c>
      <c r="H222" t="n">
        <v>0</v>
      </c>
      <c r="I222" t="n">
        <v>0</v>
      </c>
      <c r="J222" t="n">
        <v>1</v>
      </c>
      <c r="K222" t="n">
        <v>0</v>
      </c>
      <c r="L222" t="n">
        <v>0</v>
      </c>
      <c r="M222" t="n">
        <v>0</v>
      </c>
      <c r="N222" t="n">
        <v>0</v>
      </c>
      <c r="O222" t="n">
        <v>1</v>
      </c>
      <c r="P222" t="n">
        <v>0</v>
      </c>
      <c r="Q222" t="n">
        <v>1</v>
      </c>
      <c r="R222" s="2" t="inlineStr">
        <is>
          <t>Lunglav</t>
        </is>
      </c>
      <c r="S222">
        <f>HYPERLINK("https://klasma.github.io/Logging_2260/artfynd/A 40214-2024 artfynd.xlsx", "A 40214-2024")</f>
        <v/>
      </c>
      <c r="T222">
        <f>HYPERLINK("https://klasma.github.io/Logging_2260/kartor/A 40214-2024 karta.png", "A 40214-2024")</f>
        <v/>
      </c>
      <c r="V222">
        <f>HYPERLINK("https://klasma.github.io/Logging_2260/klagomål/A 40214-2024 FSC-klagomål.docx", "A 40214-2024")</f>
        <v/>
      </c>
      <c r="W222">
        <f>HYPERLINK("https://klasma.github.io/Logging_2260/klagomålsmail/A 40214-2024 FSC-klagomål mail.docx", "A 40214-2024")</f>
        <v/>
      </c>
      <c r="X222">
        <f>HYPERLINK("https://klasma.github.io/Logging_2260/tillsyn/A 40214-2024 tillsynsbegäran.docx", "A 40214-2024")</f>
        <v/>
      </c>
      <c r="Y222">
        <f>HYPERLINK("https://klasma.github.io/Logging_2260/tillsynsmail/A 40214-2024 tillsynsbegäran mail.docx", "A 40214-2024")</f>
        <v/>
      </c>
    </row>
    <row r="223" ht="15" customHeight="1">
      <c r="A223" t="inlineStr">
        <is>
          <t>A 39180-2024</t>
        </is>
      </c>
      <c r="B223" s="1" t="n">
        <v>45548.6571412037</v>
      </c>
      <c r="C223" s="1" t="n">
        <v>46059</v>
      </c>
      <c r="D223" t="inlineStr">
        <is>
          <t>VÄSTERNORRLANDS LÄN</t>
        </is>
      </c>
      <c r="E223" t="inlineStr">
        <is>
          <t>ÅNGE</t>
        </is>
      </c>
      <c r="F223" t="inlineStr">
        <is>
          <t>SCA</t>
        </is>
      </c>
      <c r="G223" t="n">
        <v>8.699999999999999</v>
      </c>
      <c r="H223" t="n">
        <v>0</v>
      </c>
      <c r="I223" t="n">
        <v>0</v>
      </c>
      <c r="J223" t="n">
        <v>1</v>
      </c>
      <c r="K223" t="n">
        <v>0</v>
      </c>
      <c r="L223" t="n">
        <v>0</v>
      </c>
      <c r="M223" t="n">
        <v>0</v>
      </c>
      <c r="N223" t="n">
        <v>0</v>
      </c>
      <c r="O223" t="n">
        <v>1</v>
      </c>
      <c r="P223" t="n">
        <v>0</v>
      </c>
      <c r="Q223" t="n">
        <v>1</v>
      </c>
      <c r="R223" s="2" t="inlineStr">
        <is>
          <t>Lunglav</t>
        </is>
      </c>
      <c r="S223">
        <f>HYPERLINK("https://klasma.github.io/Logging_2260/artfynd/A 39180-2024 artfynd.xlsx", "A 39180-2024")</f>
        <v/>
      </c>
      <c r="T223">
        <f>HYPERLINK("https://klasma.github.io/Logging_2260/kartor/A 39180-2024 karta.png", "A 39180-2024")</f>
        <v/>
      </c>
      <c r="V223">
        <f>HYPERLINK("https://klasma.github.io/Logging_2260/klagomål/A 39180-2024 FSC-klagomål.docx", "A 39180-2024")</f>
        <v/>
      </c>
      <c r="W223">
        <f>HYPERLINK("https://klasma.github.io/Logging_2260/klagomålsmail/A 39180-2024 FSC-klagomål mail.docx", "A 39180-2024")</f>
        <v/>
      </c>
      <c r="X223">
        <f>HYPERLINK("https://klasma.github.io/Logging_2260/tillsyn/A 39180-2024 tillsynsbegäran.docx", "A 39180-2024")</f>
        <v/>
      </c>
      <c r="Y223">
        <f>HYPERLINK("https://klasma.github.io/Logging_2260/tillsynsmail/A 39180-2024 tillsynsbegäran mail.docx", "A 39180-2024")</f>
        <v/>
      </c>
    </row>
    <row r="224" ht="15" customHeight="1">
      <c r="A224" t="inlineStr">
        <is>
          <t>A 39933-2022</t>
        </is>
      </c>
      <c r="B224" s="1" t="n">
        <v>44819</v>
      </c>
      <c r="C224" s="1" t="n">
        <v>46059</v>
      </c>
      <c r="D224" t="inlineStr">
        <is>
          <t>VÄSTERNORRLANDS LÄN</t>
        </is>
      </c>
      <c r="E224" t="inlineStr">
        <is>
          <t>ÅNGE</t>
        </is>
      </c>
      <c r="F224" t="inlineStr">
        <is>
          <t>SCA</t>
        </is>
      </c>
      <c r="G224" t="n">
        <v>13.8</v>
      </c>
      <c r="H224" t="n">
        <v>1</v>
      </c>
      <c r="I224" t="n">
        <v>0</v>
      </c>
      <c r="J224" t="n">
        <v>0</v>
      </c>
      <c r="K224" t="n">
        <v>1</v>
      </c>
      <c r="L224" t="n">
        <v>0</v>
      </c>
      <c r="M224" t="n">
        <v>0</v>
      </c>
      <c r="N224" t="n">
        <v>0</v>
      </c>
      <c r="O224" t="n">
        <v>1</v>
      </c>
      <c r="P224" t="n">
        <v>1</v>
      </c>
      <c r="Q224" t="n">
        <v>1</v>
      </c>
      <c r="R224" s="2" t="inlineStr">
        <is>
          <t>Knärot</t>
        </is>
      </c>
      <c r="S224">
        <f>HYPERLINK("https://klasma.github.io/Logging_2260/artfynd/A 39933-2022 artfynd.xlsx", "A 39933-2022")</f>
        <v/>
      </c>
      <c r="T224">
        <f>HYPERLINK("https://klasma.github.io/Logging_2260/kartor/A 39933-2022 karta.png", "A 39933-2022")</f>
        <v/>
      </c>
      <c r="U224">
        <f>HYPERLINK("https://klasma.github.io/Logging_2260/knärot/A 39933-2022 karta knärot.png", "A 39933-2022")</f>
        <v/>
      </c>
      <c r="V224">
        <f>HYPERLINK("https://klasma.github.io/Logging_2260/klagomål/A 39933-2022 FSC-klagomål.docx", "A 39933-2022")</f>
        <v/>
      </c>
      <c r="W224">
        <f>HYPERLINK("https://klasma.github.io/Logging_2260/klagomålsmail/A 39933-2022 FSC-klagomål mail.docx", "A 39933-2022")</f>
        <v/>
      </c>
      <c r="X224">
        <f>HYPERLINK("https://klasma.github.io/Logging_2260/tillsyn/A 39933-2022 tillsynsbegäran.docx", "A 39933-2022")</f>
        <v/>
      </c>
      <c r="Y224">
        <f>HYPERLINK("https://klasma.github.io/Logging_2260/tillsynsmail/A 39933-2022 tillsynsbegäran mail.docx", "A 39933-2022")</f>
        <v/>
      </c>
    </row>
    <row r="225" ht="15" customHeight="1">
      <c r="A225" t="inlineStr">
        <is>
          <t>A 32457-2024</t>
        </is>
      </c>
      <c r="B225" s="1" t="n">
        <v>45512</v>
      </c>
      <c r="C225" s="1" t="n">
        <v>46059</v>
      </c>
      <c r="D225" t="inlineStr">
        <is>
          <t>VÄSTERNORRLANDS LÄN</t>
        </is>
      </c>
      <c r="E225" t="inlineStr">
        <is>
          <t>ÅNGE</t>
        </is>
      </c>
      <c r="F225" t="inlineStr">
        <is>
          <t>SCA</t>
        </is>
      </c>
      <c r="G225" t="n">
        <v>1.3</v>
      </c>
      <c r="H225" t="n">
        <v>0</v>
      </c>
      <c r="I225" t="n">
        <v>0</v>
      </c>
      <c r="J225" t="n">
        <v>1</v>
      </c>
      <c r="K225" t="n">
        <v>0</v>
      </c>
      <c r="L225" t="n">
        <v>0</v>
      </c>
      <c r="M225" t="n">
        <v>0</v>
      </c>
      <c r="N225" t="n">
        <v>0</v>
      </c>
      <c r="O225" t="n">
        <v>1</v>
      </c>
      <c r="P225" t="n">
        <v>0</v>
      </c>
      <c r="Q225" t="n">
        <v>1</v>
      </c>
      <c r="R225" s="2" t="inlineStr">
        <is>
          <t>Ullticka</t>
        </is>
      </c>
      <c r="S225">
        <f>HYPERLINK("https://klasma.github.io/Logging_2260/artfynd/A 32457-2024 artfynd.xlsx", "A 32457-2024")</f>
        <v/>
      </c>
      <c r="T225">
        <f>HYPERLINK("https://klasma.github.io/Logging_2260/kartor/A 32457-2024 karta.png", "A 32457-2024")</f>
        <v/>
      </c>
      <c r="V225">
        <f>HYPERLINK("https://klasma.github.io/Logging_2260/klagomål/A 32457-2024 FSC-klagomål.docx", "A 32457-2024")</f>
        <v/>
      </c>
      <c r="W225">
        <f>HYPERLINK("https://klasma.github.io/Logging_2260/klagomålsmail/A 32457-2024 FSC-klagomål mail.docx", "A 32457-2024")</f>
        <v/>
      </c>
      <c r="X225">
        <f>HYPERLINK("https://klasma.github.io/Logging_2260/tillsyn/A 32457-2024 tillsynsbegäran.docx", "A 32457-2024")</f>
        <v/>
      </c>
      <c r="Y225">
        <f>HYPERLINK("https://klasma.github.io/Logging_2260/tillsynsmail/A 32457-2024 tillsynsbegäran mail.docx", "A 32457-2024")</f>
        <v/>
      </c>
    </row>
    <row r="226" ht="15" customHeight="1">
      <c r="A226" t="inlineStr">
        <is>
          <t>A 4351-2024</t>
        </is>
      </c>
      <c r="B226" s="1" t="n">
        <v>45324</v>
      </c>
      <c r="C226" s="1" t="n">
        <v>46059</v>
      </c>
      <c r="D226" t="inlineStr">
        <is>
          <t>VÄSTERNORRLANDS LÄN</t>
        </is>
      </c>
      <c r="E226" t="inlineStr">
        <is>
          <t>ÅNGE</t>
        </is>
      </c>
      <c r="F226" t="inlineStr">
        <is>
          <t>SCA</t>
        </is>
      </c>
      <c r="G226" t="n">
        <v>0.5</v>
      </c>
      <c r="H226" t="n">
        <v>0</v>
      </c>
      <c r="I226" t="n">
        <v>0</v>
      </c>
      <c r="J226" t="n">
        <v>1</v>
      </c>
      <c r="K226" t="n">
        <v>0</v>
      </c>
      <c r="L226" t="n">
        <v>0</v>
      </c>
      <c r="M226" t="n">
        <v>0</v>
      </c>
      <c r="N226" t="n">
        <v>0</v>
      </c>
      <c r="O226" t="n">
        <v>1</v>
      </c>
      <c r="P226" t="n">
        <v>0</v>
      </c>
      <c r="Q226" t="n">
        <v>1</v>
      </c>
      <c r="R226" s="2" t="inlineStr">
        <is>
          <t>Garnlav</t>
        </is>
      </c>
      <c r="S226">
        <f>HYPERLINK("https://klasma.github.io/Logging_2260/artfynd/A 4351-2024 artfynd.xlsx", "A 4351-2024")</f>
        <v/>
      </c>
      <c r="T226">
        <f>HYPERLINK("https://klasma.github.io/Logging_2260/kartor/A 4351-2024 karta.png", "A 4351-2024")</f>
        <v/>
      </c>
      <c r="V226">
        <f>HYPERLINK("https://klasma.github.io/Logging_2260/klagomål/A 4351-2024 FSC-klagomål.docx", "A 4351-2024")</f>
        <v/>
      </c>
      <c r="W226">
        <f>HYPERLINK("https://klasma.github.io/Logging_2260/klagomålsmail/A 4351-2024 FSC-klagomål mail.docx", "A 4351-2024")</f>
        <v/>
      </c>
      <c r="X226">
        <f>HYPERLINK("https://klasma.github.io/Logging_2260/tillsyn/A 4351-2024 tillsynsbegäran.docx", "A 4351-2024")</f>
        <v/>
      </c>
      <c r="Y226">
        <f>HYPERLINK("https://klasma.github.io/Logging_2260/tillsynsmail/A 4351-2024 tillsynsbegäran mail.docx", "A 4351-2024")</f>
        <v/>
      </c>
    </row>
    <row r="227" ht="15" customHeight="1">
      <c r="A227" t="inlineStr">
        <is>
          <t>A 27308-2024</t>
        </is>
      </c>
      <c r="B227" s="1" t="n">
        <v>45471</v>
      </c>
      <c r="C227" s="1" t="n">
        <v>46059</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23490-2025</t>
        </is>
      </c>
      <c r="B228" s="1" t="n">
        <v>45792.46907407408</v>
      </c>
      <c r="C228" s="1" t="n">
        <v>46059</v>
      </c>
      <c r="D228" t="inlineStr">
        <is>
          <t>VÄSTERNORRLANDS LÄN</t>
        </is>
      </c>
      <c r="E228" t="inlineStr">
        <is>
          <t>ÅNGE</t>
        </is>
      </c>
      <c r="F228" t="inlineStr">
        <is>
          <t>SCA</t>
        </is>
      </c>
      <c r="G228" t="n">
        <v>3.3</v>
      </c>
      <c r="H228" t="n">
        <v>0</v>
      </c>
      <c r="I228" t="n">
        <v>0</v>
      </c>
      <c r="J228" t="n">
        <v>1</v>
      </c>
      <c r="K228" t="n">
        <v>0</v>
      </c>
      <c r="L228" t="n">
        <v>0</v>
      </c>
      <c r="M228" t="n">
        <v>0</v>
      </c>
      <c r="N228" t="n">
        <v>0</v>
      </c>
      <c r="O228" t="n">
        <v>1</v>
      </c>
      <c r="P228" t="n">
        <v>0</v>
      </c>
      <c r="Q228" t="n">
        <v>1</v>
      </c>
      <c r="R228" s="2" t="inlineStr">
        <is>
          <t>Garnlav</t>
        </is>
      </c>
      <c r="S228">
        <f>HYPERLINK("https://klasma.github.io/Logging_2260/artfynd/A 23490-2025 artfynd.xlsx", "A 23490-2025")</f>
        <v/>
      </c>
      <c r="T228">
        <f>HYPERLINK("https://klasma.github.io/Logging_2260/kartor/A 23490-2025 karta.png", "A 23490-2025")</f>
        <v/>
      </c>
      <c r="V228">
        <f>HYPERLINK("https://klasma.github.io/Logging_2260/klagomål/A 23490-2025 FSC-klagomål.docx", "A 23490-2025")</f>
        <v/>
      </c>
      <c r="W228">
        <f>HYPERLINK("https://klasma.github.io/Logging_2260/klagomålsmail/A 23490-2025 FSC-klagomål mail.docx", "A 23490-2025")</f>
        <v/>
      </c>
      <c r="X228">
        <f>HYPERLINK("https://klasma.github.io/Logging_2260/tillsyn/A 23490-2025 tillsynsbegäran.docx", "A 23490-2025")</f>
        <v/>
      </c>
      <c r="Y228">
        <f>HYPERLINK("https://klasma.github.io/Logging_2260/tillsynsmail/A 23490-2025 tillsynsbegäran mail.docx", "A 23490-2025")</f>
        <v/>
      </c>
    </row>
    <row r="229" ht="15" customHeight="1">
      <c r="A229" t="inlineStr">
        <is>
          <t>A 25332-2025</t>
        </is>
      </c>
      <c r="B229" s="1" t="n">
        <v>45800.59418981482</v>
      </c>
      <c r="C229" s="1" t="n">
        <v>46059</v>
      </c>
      <c r="D229" t="inlineStr">
        <is>
          <t>VÄSTERNORRLANDS LÄN</t>
        </is>
      </c>
      <c r="E229" t="inlineStr">
        <is>
          <t>ÅNGE</t>
        </is>
      </c>
      <c r="F229" t="inlineStr">
        <is>
          <t>SCA</t>
        </is>
      </c>
      <c r="G229" t="n">
        <v>1.6</v>
      </c>
      <c r="H229" t="n">
        <v>0</v>
      </c>
      <c r="I229" t="n">
        <v>0</v>
      </c>
      <c r="J229" t="n">
        <v>1</v>
      </c>
      <c r="K229" t="n">
        <v>0</v>
      </c>
      <c r="L229" t="n">
        <v>0</v>
      </c>
      <c r="M229" t="n">
        <v>0</v>
      </c>
      <c r="N229" t="n">
        <v>0</v>
      </c>
      <c r="O229" t="n">
        <v>1</v>
      </c>
      <c r="P229" t="n">
        <v>0</v>
      </c>
      <c r="Q229" t="n">
        <v>1</v>
      </c>
      <c r="R229" s="2" t="inlineStr">
        <is>
          <t>Lunglav</t>
        </is>
      </c>
      <c r="S229">
        <f>HYPERLINK("https://klasma.github.io/Logging_2260/artfynd/A 25332-2025 artfynd.xlsx", "A 25332-2025")</f>
        <v/>
      </c>
      <c r="T229">
        <f>HYPERLINK("https://klasma.github.io/Logging_2260/kartor/A 25332-2025 karta.png", "A 25332-2025")</f>
        <v/>
      </c>
      <c r="V229">
        <f>HYPERLINK("https://klasma.github.io/Logging_2260/klagomål/A 25332-2025 FSC-klagomål.docx", "A 25332-2025")</f>
        <v/>
      </c>
      <c r="W229">
        <f>HYPERLINK("https://klasma.github.io/Logging_2260/klagomålsmail/A 25332-2025 FSC-klagomål mail.docx", "A 25332-2025")</f>
        <v/>
      </c>
      <c r="X229">
        <f>HYPERLINK("https://klasma.github.io/Logging_2260/tillsyn/A 25332-2025 tillsynsbegäran.docx", "A 25332-2025")</f>
        <v/>
      </c>
      <c r="Y229">
        <f>HYPERLINK("https://klasma.github.io/Logging_2260/tillsynsmail/A 25332-2025 tillsynsbegäran mail.docx", "A 25332-2025")</f>
        <v/>
      </c>
    </row>
    <row r="230" ht="15" customHeight="1">
      <c r="A230" t="inlineStr">
        <is>
          <t>A 54386-2024</t>
        </is>
      </c>
      <c r="B230" s="1" t="n">
        <v>45617.44822916666</v>
      </c>
      <c r="C230" s="1" t="n">
        <v>46059</v>
      </c>
      <c r="D230" t="inlineStr">
        <is>
          <t>VÄSTERNORRLANDS LÄN</t>
        </is>
      </c>
      <c r="E230" t="inlineStr">
        <is>
          <t>ÅNGE</t>
        </is>
      </c>
      <c r="F230" t="inlineStr">
        <is>
          <t>SCA</t>
        </is>
      </c>
      <c r="G230" t="n">
        <v>1.9</v>
      </c>
      <c r="H230" t="n">
        <v>0</v>
      </c>
      <c r="I230" t="n">
        <v>0</v>
      </c>
      <c r="J230" t="n">
        <v>1</v>
      </c>
      <c r="K230" t="n">
        <v>0</v>
      </c>
      <c r="L230" t="n">
        <v>0</v>
      </c>
      <c r="M230" t="n">
        <v>0</v>
      </c>
      <c r="N230" t="n">
        <v>0</v>
      </c>
      <c r="O230" t="n">
        <v>1</v>
      </c>
      <c r="P230" t="n">
        <v>0</v>
      </c>
      <c r="Q230" t="n">
        <v>1</v>
      </c>
      <c r="R230" s="2" t="inlineStr">
        <is>
          <t>Reliktbock</t>
        </is>
      </c>
      <c r="S230">
        <f>HYPERLINK("https://klasma.github.io/Logging_2260/artfynd/A 54386-2024 artfynd.xlsx", "A 54386-2024")</f>
        <v/>
      </c>
      <c r="T230">
        <f>HYPERLINK("https://klasma.github.io/Logging_2260/kartor/A 54386-2024 karta.png", "A 54386-2024")</f>
        <v/>
      </c>
      <c r="V230">
        <f>HYPERLINK("https://klasma.github.io/Logging_2260/klagomål/A 54386-2024 FSC-klagomål.docx", "A 54386-2024")</f>
        <v/>
      </c>
      <c r="W230">
        <f>HYPERLINK("https://klasma.github.io/Logging_2260/klagomålsmail/A 54386-2024 FSC-klagomål mail.docx", "A 54386-2024")</f>
        <v/>
      </c>
      <c r="X230">
        <f>HYPERLINK("https://klasma.github.io/Logging_2260/tillsyn/A 54386-2024 tillsynsbegäran.docx", "A 54386-2024")</f>
        <v/>
      </c>
      <c r="Y230">
        <f>HYPERLINK("https://klasma.github.io/Logging_2260/tillsynsmail/A 54386-2024 tillsynsbegäran mail.docx", "A 54386-2024")</f>
        <v/>
      </c>
    </row>
    <row r="231" ht="15" customHeight="1">
      <c r="A231" t="inlineStr">
        <is>
          <t>A 27025-2025</t>
        </is>
      </c>
      <c r="B231" s="1" t="n">
        <v>45811</v>
      </c>
      <c r="C231" s="1" t="n">
        <v>46059</v>
      </c>
      <c r="D231" t="inlineStr">
        <is>
          <t>VÄSTERNORRLANDS LÄN</t>
        </is>
      </c>
      <c r="E231" t="inlineStr">
        <is>
          <t>ÅNGE</t>
        </is>
      </c>
      <c r="G231" t="n">
        <v>25.5</v>
      </c>
      <c r="H231" t="n">
        <v>0</v>
      </c>
      <c r="I231" t="n">
        <v>0</v>
      </c>
      <c r="J231" t="n">
        <v>1</v>
      </c>
      <c r="K231" t="n">
        <v>0</v>
      </c>
      <c r="L231" t="n">
        <v>0</v>
      </c>
      <c r="M231" t="n">
        <v>0</v>
      </c>
      <c r="N231" t="n">
        <v>0</v>
      </c>
      <c r="O231" t="n">
        <v>1</v>
      </c>
      <c r="P231" t="n">
        <v>0</v>
      </c>
      <c r="Q231" t="n">
        <v>1</v>
      </c>
      <c r="R231" s="2" t="inlineStr">
        <is>
          <t>Garnlav</t>
        </is>
      </c>
      <c r="S231">
        <f>HYPERLINK("https://klasma.github.io/Logging_2260/artfynd/A 27025-2025 artfynd.xlsx", "A 27025-2025")</f>
        <v/>
      </c>
      <c r="T231">
        <f>HYPERLINK("https://klasma.github.io/Logging_2260/kartor/A 27025-2025 karta.png", "A 27025-2025")</f>
        <v/>
      </c>
      <c r="U231">
        <f>HYPERLINK("https://klasma.github.io/Logging_2260/knärot/A 27025-2025 karta knärot.png", "A 27025-2025")</f>
        <v/>
      </c>
      <c r="V231">
        <f>HYPERLINK("https://klasma.github.io/Logging_2260/klagomål/A 27025-2025 FSC-klagomål.docx", "A 27025-2025")</f>
        <v/>
      </c>
      <c r="W231">
        <f>HYPERLINK("https://klasma.github.io/Logging_2260/klagomålsmail/A 27025-2025 FSC-klagomål mail.docx", "A 27025-2025")</f>
        <v/>
      </c>
      <c r="X231">
        <f>HYPERLINK("https://klasma.github.io/Logging_2260/tillsyn/A 27025-2025 tillsynsbegäran.docx", "A 27025-2025")</f>
        <v/>
      </c>
      <c r="Y231">
        <f>HYPERLINK("https://klasma.github.io/Logging_2260/tillsynsmail/A 27025-2025 tillsynsbegäran mail.docx", "A 27025-2025")</f>
        <v/>
      </c>
    </row>
    <row r="232" ht="15" customHeight="1">
      <c r="A232" t="inlineStr">
        <is>
          <t>A 35648-2025</t>
        </is>
      </c>
      <c r="B232" s="1" t="n">
        <v>45859.51670138889</v>
      </c>
      <c r="C232" s="1" t="n">
        <v>46059</v>
      </c>
      <c r="D232" t="inlineStr">
        <is>
          <t>VÄSTERNORRLANDS LÄN</t>
        </is>
      </c>
      <c r="E232" t="inlineStr">
        <is>
          <t>ÅNGE</t>
        </is>
      </c>
      <c r="F232" t="inlineStr">
        <is>
          <t>Sveaskog</t>
        </is>
      </c>
      <c r="G232" t="n">
        <v>9.1</v>
      </c>
      <c r="H232" t="n">
        <v>0</v>
      </c>
      <c r="I232" t="n">
        <v>0</v>
      </c>
      <c r="J232" t="n">
        <v>1</v>
      </c>
      <c r="K232" t="n">
        <v>0</v>
      </c>
      <c r="L232" t="n">
        <v>0</v>
      </c>
      <c r="M232" t="n">
        <v>0</v>
      </c>
      <c r="N232" t="n">
        <v>0</v>
      </c>
      <c r="O232" t="n">
        <v>1</v>
      </c>
      <c r="P232" t="n">
        <v>0</v>
      </c>
      <c r="Q232" t="n">
        <v>1</v>
      </c>
      <c r="R232" s="2" t="inlineStr">
        <is>
          <t>Lunglav</t>
        </is>
      </c>
      <c r="S232">
        <f>HYPERLINK("https://klasma.github.io/Logging_2260/artfynd/A 35648-2025 artfynd.xlsx", "A 35648-2025")</f>
        <v/>
      </c>
      <c r="T232">
        <f>HYPERLINK("https://klasma.github.io/Logging_2260/kartor/A 35648-2025 karta.png", "A 35648-2025")</f>
        <v/>
      </c>
      <c r="V232">
        <f>HYPERLINK("https://klasma.github.io/Logging_2260/klagomål/A 35648-2025 FSC-klagomål.docx", "A 35648-2025")</f>
        <v/>
      </c>
      <c r="W232">
        <f>HYPERLINK("https://klasma.github.io/Logging_2260/klagomålsmail/A 35648-2025 FSC-klagomål mail.docx", "A 35648-2025")</f>
        <v/>
      </c>
      <c r="X232">
        <f>HYPERLINK("https://klasma.github.io/Logging_2260/tillsyn/A 35648-2025 tillsynsbegäran.docx", "A 35648-2025")</f>
        <v/>
      </c>
      <c r="Y232">
        <f>HYPERLINK("https://klasma.github.io/Logging_2260/tillsynsmail/A 35648-2025 tillsynsbegäran mail.docx", "A 35648-2025")</f>
        <v/>
      </c>
    </row>
    <row r="233" ht="15" customHeight="1">
      <c r="A233" t="inlineStr">
        <is>
          <t>A 35839-2025</t>
        </is>
      </c>
      <c r="B233" s="1" t="n">
        <v>45861.53943287037</v>
      </c>
      <c r="C233" s="1" t="n">
        <v>46059</v>
      </c>
      <c r="D233" t="inlineStr">
        <is>
          <t>VÄSTERNORRLANDS LÄN</t>
        </is>
      </c>
      <c r="E233" t="inlineStr">
        <is>
          <t>ÅNGE</t>
        </is>
      </c>
      <c r="F233" t="inlineStr">
        <is>
          <t>Sveaskog</t>
        </is>
      </c>
      <c r="G233" t="n">
        <v>7.9</v>
      </c>
      <c r="H233" t="n">
        <v>0</v>
      </c>
      <c r="I233" t="n">
        <v>0</v>
      </c>
      <c r="J233" t="n">
        <v>1</v>
      </c>
      <c r="K233" t="n">
        <v>0</v>
      </c>
      <c r="L233" t="n">
        <v>0</v>
      </c>
      <c r="M233" t="n">
        <v>0</v>
      </c>
      <c r="N233" t="n">
        <v>0</v>
      </c>
      <c r="O233" t="n">
        <v>1</v>
      </c>
      <c r="P233" t="n">
        <v>0</v>
      </c>
      <c r="Q233" t="n">
        <v>1</v>
      </c>
      <c r="R233" s="2" t="inlineStr">
        <is>
          <t>Lunglav</t>
        </is>
      </c>
      <c r="S233">
        <f>HYPERLINK("https://klasma.github.io/Logging_2260/artfynd/A 35839-2025 artfynd.xlsx", "A 35839-2025")</f>
        <v/>
      </c>
      <c r="T233">
        <f>HYPERLINK("https://klasma.github.io/Logging_2260/kartor/A 35839-2025 karta.png", "A 35839-2025")</f>
        <v/>
      </c>
      <c r="V233">
        <f>HYPERLINK("https://klasma.github.io/Logging_2260/klagomål/A 35839-2025 FSC-klagomål.docx", "A 35839-2025")</f>
        <v/>
      </c>
      <c r="W233">
        <f>HYPERLINK("https://klasma.github.io/Logging_2260/klagomålsmail/A 35839-2025 FSC-klagomål mail.docx", "A 35839-2025")</f>
        <v/>
      </c>
      <c r="X233">
        <f>HYPERLINK("https://klasma.github.io/Logging_2260/tillsyn/A 35839-2025 tillsynsbegäran.docx", "A 35839-2025")</f>
        <v/>
      </c>
      <c r="Y233">
        <f>HYPERLINK("https://klasma.github.io/Logging_2260/tillsynsmail/A 35839-2025 tillsynsbegäran mail.docx", "A 35839-2025")</f>
        <v/>
      </c>
    </row>
    <row r="234" ht="15" customHeight="1">
      <c r="A234" t="inlineStr">
        <is>
          <t>A 8057-2021</t>
        </is>
      </c>
      <c r="B234" s="1" t="n">
        <v>44238</v>
      </c>
      <c r="C234" s="1" t="n">
        <v>46059</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46059</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46059</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46059</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46059</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46059</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14433-2022</t>
        </is>
      </c>
      <c r="B240" s="1" t="n">
        <v>44652</v>
      </c>
      <c r="C240" s="1" t="n">
        <v>46059</v>
      </c>
      <c r="D240" t="inlineStr">
        <is>
          <t>VÄSTERNORRLANDS LÄN</t>
        </is>
      </c>
      <c r="E240" t="inlineStr">
        <is>
          <t>ÅNGE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38432-2021</t>
        </is>
      </c>
      <c r="B241" s="1" t="n">
        <v>44406</v>
      </c>
      <c r="C241" s="1" t="n">
        <v>46059</v>
      </c>
      <c r="D241" t="inlineStr">
        <is>
          <t>VÄSTERNORRLANDS LÄN</t>
        </is>
      </c>
      <c r="E241" t="inlineStr">
        <is>
          <t>ÅNGE</t>
        </is>
      </c>
      <c r="G241" t="n">
        <v>0.4</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46059</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39744-2021</t>
        </is>
      </c>
      <c r="B243" s="1" t="n">
        <v>44417</v>
      </c>
      <c r="C243" s="1" t="n">
        <v>46059</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48876-2021</t>
        </is>
      </c>
      <c r="B244" s="1" t="n">
        <v>44452</v>
      </c>
      <c r="C244" s="1" t="n">
        <v>46059</v>
      </c>
      <c r="D244" t="inlineStr">
        <is>
          <t>VÄSTERNORRLANDS LÄN</t>
        </is>
      </c>
      <c r="E244" t="inlineStr">
        <is>
          <t>ÅNGE</t>
        </is>
      </c>
      <c r="F244" t="inlineStr">
        <is>
          <t>SCA</t>
        </is>
      </c>
      <c r="G244" t="n">
        <v>3.9</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46059</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46059</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46059</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46059</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46059</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46059</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14812-2021</t>
        </is>
      </c>
      <c r="B251" s="1" t="n">
        <v>44280</v>
      </c>
      <c r="C251" s="1" t="n">
        <v>46059</v>
      </c>
      <c r="D251" t="inlineStr">
        <is>
          <t>VÄSTERNORRLANDS LÄN</t>
        </is>
      </c>
      <c r="E251" t="inlineStr">
        <is>
          <t>ÅNGE</t>
        </is>
      </c>
      <c r="G251" t="n">
        <v>1.6</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46059</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46059</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46059</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46059</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46059</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46059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46059</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46059</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46059</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46059</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46059</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46059</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46059</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46059</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46059</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46059</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46059</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46059</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46059</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46059</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46059</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46059</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46059</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46059</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19035-2022</t>
        </is>
      </c>
      <c r="B276" s="1" t="n">
        <v>44691</v>
      </c>
      <c r="C276" s="1" t="n">
        <v>46059</v>
      </c>
      <c r="D276" t="inlineStr">
        <is>
          <t>VÄSTERNORRLANDS LÄN</t>
        </is>
      </c>
      <c r="E276" t="inlineStr">
        <is>
          <t>ÅNGE</t>
        </is>
      </c>
      <c r="G276" t="n">
        <v>1.9</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46059</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46059</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46059</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46059</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46059</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46059</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46059</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46059</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46059</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46059</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46059</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46059</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46059</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46059</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46059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46059</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46059</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46059</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46059</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46059</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46059</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46059</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46059</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46059</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46059</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46059</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46059</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46059</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46059</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46059</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46059</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46059</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46059</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46059</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46059</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46059</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46059</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46059</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46059</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46059</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46059</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46059</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46059</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46059</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46059</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46059</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46059</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46059</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46059</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46059</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46059</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46059</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46059</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46059</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46059</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46059</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46059</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46059</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46059</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46059</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46059</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46059</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46059</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46059</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46059</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46059</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46059</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46059</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7633-2022</t>
        </is>
      </c>
      <c r="B345" s="1" t="n">
        <v>44607.71378472223</v>
      </c>
      <c r="C345" s="1" t="n">
        <v>46059</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46059</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46059</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46059</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46059</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13149-2021</t>
        </is>
      </c>
      <c r="B350" s="1" t="n">
        <v>44272</v>
      </c>
      <c r="C350" s="1" t="n">
        <v>46059</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46059</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46059</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46059</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46059</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46059</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46059</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46059</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46059</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46059</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46059</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46059</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46059</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46059</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46059</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46059</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46059</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46059</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46059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46059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46059</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46059</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46059</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46059</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46059</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36205-2025</t>
        </is>
      </c>
      <c r="B375" s="1" t="n">
        <v>45867.44855324074</v>
      </c>
      <c r="C375" s="1" t="n">
        <v>46059</v>
      </c>
      <c r="D375" t="inlineStr">
        <is>
          <t>VÄSTERNORRLANDS LÄN</t>
        </is>
      </c>
      <c r="E375" t="inlineStr">
        <is>
          <t>ÅNGE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63170-2023</t>
        </is>
      </c>
      <c r="B376" s="1" t="n">
        <v>45273.57087962963</v>
      </c>
      <c r="C376" s="1" t="n">
        <v>46059</v>
      </c>
      <c r="D376" t="inlineStr">
        <is>
          <t>VÄSTERNORRLANDS LÄN</t>
        </is>
      </c>
      <c r="E376" t="inlineStr">
        <is>
          <t>ÅNGE</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30273-2023</t>
        </is>
      </c>
      <c r="B377" s="1" t="n">
        <v>45099</v>
      </c>
      <c r="C377" s="1" t="n">
        <v>46059</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36240-2025</t>
        </is>
      </c>
      <c r="B378" s="1" t="n">
        <v>45867.55298611111</v>
      </c>
      <c r="C378" s="1" t="n">
        <v>46059</v>
      </c>
      <c r="D378" t="inlineStr">
        <is>
          <t>VÄSTERNORRLANDS LÄN</t>
        </is>
      </c>
      <c r="E378" t="inlineStr">
        <is>
          <t>ÅNGE</t>
        </is>
      </c>
      <c r="G378" t="n">
        <v>0.5</v>
      </c>
      <c r="H378" t="n">
        <v>0</v>
      </c>
      <c r="I378" t="n">
        <v>0</v>
      </c>
      <c r="J378" t="n">
        <v>0</v>
      </c>
      <c r="K378" t="n">
        <v>0</v>
      </c>
      <c r="L378" t="n">
        <v>0</v>
      </c>
      <c r="M378" t="n">
        <v>0</v>
      </c>
      <c r="N378" t="n">
        <v>0</v>
      </c>
      <c r="O378" t="n">
        <v>0</v>
      </c>
      <c r="P378" t="n">
        <v>0</v>
      </c>
      <c r="Q378" t="n">
        <v>0</v>
      </c>
      <c r="R378" s="2" t="inlineStr"/>
    </row>
    <row r="379" ht="15" customHeight="1">
      <c r="A379" t="inlineStr">
        <is>
          <t>A 36210-2025</t>
        </is>
      </c>
      <c r="B379" s="1" t="n">
        <v>45867.46930555555</v>
      </c>
      <c r="C379" s="1" t="n">
        <v>46059</v>
      </c>
      <c r="D379" t="inlineStr">
        <is>
          <t>VÄSTERNORRLANDS LÄN</t>
        </is>
      </c>
      <c r="E379" t="inlineStr">
        <is>
          <t>ÅNGE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36236-2025</t>
        </is>
      </c>
      <c r="B380" s="1" t="n">
        <v>45867.55245370371</v>
      </c>
      <c r="C380" s="1" t="n">
        <v>46059</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36248-2025</t>
        </is>
      </c>
      <c r="B381" s="1" t="n">
        <v>45867.57326388889</v>
      </c>
      <c r="C381" s="1" t="n">
        <v>46059</v>
      </c>
      <c r="D381" t="inlineStr">
        <is>
          <t>VÄSTERNORRLANDS LÄN</t>
        </is>
      </c>
      <c r="E381" t="inlineStr">
        <is>
          <t>ÅNGE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60368-2024</t>
        </is>
      </c>
      <c r="B382" s="1" t="n">
        <v>45643</v>
      </c>
      <c r="C382" s="1" t="n">
        <v>46059</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36237-2025</t>
        </is>
      </c>
      <c r="B383" s="1" t="n">
        <v>45867.55263888889</v>
      </c>
      <c r="C383" s="1" t="n">
        <v>46059</v>
      </c>
      <c r="D383" t="inlineStr">
        <is>
          <t>VÄSTERNORRLANDS LÄN</t>
        </is>
      </c>
      <c r="E383" t="inlineStr">
        <is>
          <t>ÅNGE</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36193-2025</t>
        </is>
      </c>
      <c r="B384" s="1" t="n">
        <v>45867.42741898148</v>
      </c>
      <c r="C384" s="1" t="n">
        <v>46059</v>
      </c>
      <c r="D384" t="inlineStr">
        <is>
          <t>VÄSTERNORRLANDS LÄN</t>
        </is>
      </c>
      <c r="E384" t="inlineStr">
        <is>
          <t>ÅNGE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31729-2024</t>
        </is>
      </c>
      <c r="B385" s="1" t="n">
        <v>45509.35844907408</v>
      </c>
      <c r="C385" s="1" t="n">
        <v>46059</v>
      </c>
      <c r="D385" t="inlineStr">
        <is>
          <t>VÄSTERNORRLANDS LÄN</t>
        </is>
      </c>
      <c r="E385" t="inlineStr">
        <is>
          <t>ÅNGE</t>
        </is>
      </c>
      <c r="G385" t="n">
        <v>1.9</v>
      </c>
      <c r="H385" t="n">
        <v>0</v>
      </c>
      <c r="I385" t="n">
        <v>0</v>
      </c>
      <c r="J385" t="n">
        <v>0</v>
      </c>
      <c r="K385" t="n">
        <v>0</v>
      </c>
      <c r="L385" t="n">
        <v>0</v>
      </c>
      <c r="M385" t="n">
        <v>0</v>
      </c>
      <c r="N385" t="n">
        <v>0</v>
      </c>
      <c r="O385" t="n">
        <v>0</v>
      </c>
      <c r="P385" t="n">
        <v>0</v>
      </c>
      <c r="Q385" t="n">
        <v>0</v>
      </c>
      <c r="R385" s="2" t="inlineStr"/>
    </row>
    <row r="386" ht="15" customHeight="1">
      <c r="A386" t="inlineStr">
        <is>
          <t>A 50640-2022</t>
        </is>
      </c>
      <c r="B386" s="1" t="n">
        <v>44866.94734953704</v>
      </c>
      <c r="C386" s="1" t="n">
        <v>46059</v>
      </c>
      <c r="D386" t="inlineStr">
        <is>
          <t>VÄSTERNORRLANDS LÄN</t>
        </is>
      </c>
      <c r="E386" t="inlineStr">
        <is>
          <t>ÅNGE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36336-2025</t>
        </is>
      </c>
      <c r="B387" s="1" t="n">
        <v>45868.44751157407</v>
      </c>
      <c r="C387" s="1" t="n">
        <v>46059</v>
      </c>
      <c r="D387" t="inlineStr">
        <is>
          <t>VÄSTERNORRLANDS LÄN</t>
        </is>
      </c>
      <c r="E387" t="inlineStr">
        <is>
          <t>ÅNGE</t>
        </is>
      </c>
      <c r="G387" t="n">
        <v>7.3</v>
      </c>
      <c r="H387" t="n">
        <v>0</v>
      </c>
      <c r="I387" t="n">
        <v>0</v>
      </c>
      <c r="J387" t="n">
        <v>0</v>
      </c>
      <c r="K387" t="n">
        <v>0</v>
      </c>
      <c r="L387" t="n">
        <v>0</v>
      </c>
      <c r="M387" t="n">
        <v>0</v>
      </c>
      <c r="N387" t="n">
        <v>0</v>
      </c>
      <c r="O387" t="n">
        <v>0</v>
      </c>
      <c r="P387" t="n">
        <v>0</v>
      </c>
      <c r="Q387" t="n">
        <v>0</v>
      </c>
      <c r="R387" s="2" t="inlineStr"/>
    </row>
    <row r="388" ht="15" customHeight="1">
      <c r="A388" t="inlineStr">
        <is>
          <t>A 36457-2025</t>
        </is>
      </c>
      <c r="B388" s="1" t="n">
        <v>45869.44842592593</v>
      </c>
      <c r="C388" s="1" t="n">
        <v>46059</v>
      </c>
      <c r="D388" t="inlineStr">
        <is>
          <t>VÄSTERNORRLANDS LÄN</t>
        </is>
      </c>
      <c r="E388" t="inlineStr">
        <is>
          <t>ÅNGE</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34783-2021</t>
        </is>
      </c>
      <c r="B389" s="1" t="n">
        <v>44382</v>
      </c>
      <c r="C389" s="1" t="n">
        <v>46059</v>
      </c>
      <c r="D389" t="inlineStr">
        <is>
          <t>VÄSTERNORRLANDS LÄN</t>
        </is>
      </c>
      <c r="E389" t="inlineStr">
        <is>
          <t>ÅNGE</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4187-2025</t>
        </is>
      </c>
      <c r="B390" s="1" t="n">
        <v>45685.44842592593</v>
      </c>
      <c r="C390" s="1" t="n">
        <v>46059</v>
      </c>
      <c r="D390" t="inlineStr">
        <is>
          <t>VÄSTERNORRLANDS LÄN</t>
        </is>
      </c>
      <c r="E390" t="inlineStr">
        <is>
          <t>ÅNGE</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36456-2025</t>
        </is>
      </c>
      <c r="B391" s="1" t="n">
        <v>45869.44827546296</v>
      </c>
      <c r="C391" s="1" t="n">
        <v>46059</v>
      </c>
      <c r="D391" t="inlineStr">
        <is>
          <t>VÄSTERNORRLANDS LÄN</t>
        </is>
      </c>
      <c r="E391" t="inlineStr">
        <is>
          <t>ÅNGE</t>
        </is>
      </c>
      <c r="F391" t="inlineStr">
        <is>
          <t>SCA</t>
        </is>
      </c>
      <c r="G391" t="n">
        <v>7.2</v>
      </c>
      <c r="H391" t="n">
        <v>0</v>
      </c>
      <c r="I391" t="n">
        <v>0</v>
      </c>
      <c r="J391" t="n">
        <v>0</v>
      </c>
      <c r="K391" t="n">
        <v>0</v>
      </c>
      <c r="L391" t="n">
        <v>0</v>
      </c>
      <c r="M391" t="n">
        <v>0</v>
      </c>
      <c r="N391" t="n">
        <v>0</v>
      </c>
      <c r="O391" t="n">
        <v>0</v>
      </c>
      <c r="P391" t="n">
        <v>0</v>
      </c>
      <c r="Q391" t="n">
        <v>0</v>
      </c>
      <c r="R391" s="2" t="inlineStr"/>
    </row>
    <row r="392" ht="15" customHeight="1">
      <c r="A392" t="inlineStr">
        <is>
          <t>A 36491-2025</t>
        </is>
      </c>
      <c r="B392" s="1" t="n">
        <v>45869.53173611111</v>
      </c>
      <c r="C392" s="1" t="n">
        <v>46059</v>
      </c>
      <c r="D392" t="inlineStr">
        <is>
          <t>VÄSTERNORRLANDS LÄN</t>
        </is>
      </c>
      <c r="E392" t="inlineStr">
        <is>
          <t>ÅNGE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38369-2021</t>
        </is>
      </c>
      <c r="B393" s="1" t="n">
        <v>44406</v>
      </c>
      <c r="C393" s="1" t="n">
        <v>46059</v>
      </c>
      <c r="D393" t="inlineStr">
        <is>
          <t>VÄSTERNORRLANDS LÄN</t>
        </is>
      </c>
      <c r="E393" t="inlineStr">
        <is>
          <t>ÅNGE</t>
        </is>
      </c>
      <c r="G393" t="n">
        <v>5.6</v>
      </c>
      <c r="H393" t="n">
        <v>0</v>
      </c>
      <c r="I393" t="n">
        <v>0</v>
      </c>
      <c r="J393" t="n">
        <v>0</v>
      </c>
      <c r="K393" t="n">
        <v>0</v>
      </c>
      <c r="L393" t="n">
        <v>0</v>
      </c>
      <c r="M393" t="n">
        <v>0</v>
      </c>
      <c r="N393" t="n">
        <v>0</v>
      </c>
      <c r="O393" t="n">
        <v>0</v>
      </c>
      <c r="P393" t="n">
        <v>0</v>
      </c>
      <c r="Q393" t="n">
        <v>0</v>
      </c>
      <c r="R393" s="2" t="inlineStr"/>
    </row>
    <row r="394" ht="15" customHeight="1">
      <c r="A394" t="inlineStr">
        <is>
          <t>A 36873-2025</t>
        </is>
      </c>
      <c r="B394" s="1" t="n">
        <v>45874.42935185185</v>
      </c>
      <c r="C394" s="1" t="n">
        <v>46059</v>
      </c>
      <c r="D394" t="inlineStr">
        <is>
          <t>VÄSTERNORRLANDS LÄN</t>
        </is>
      </c>
      <c r="E394" t="inlineStr">
        <is>
          <t>ÅNGE</t>
        </is>
      </c>
      <c r="F394" t="inlineStr">
        <is>
          <t>SCA</t>
        </is>
      </c>
      <c r="G394" t="n">
        <v>16.9</v>
      </c>
      <c r="H394" t="n">
        <v>0</v>
      </c>
      <c r="I394" t="n">
        <v>0</v>
      </c>
      <c r="J394" t="n">
        <v>0</v>
      </c>
      <c r="K394" t="n">
        <v>0</v>
      </c>
      <c r="L394" t="n">
        <v>0</v>
      </c>
      <c r="M394" t="n">
        <v>0</v>
      </c>
      <c r="N394" t="n">
        <v>0</v>
      </c>
      <c r="O394" t="n">
        <v>0</v>
      </c>
      <c r="P394" t="n">
        <v>0</v>
      </c>
      <c r="Q394" t="n">
        <v>0</v>
      </c>
      <c r="R394" s="2" t="inlineStr"/>
    </row>
    <row r="395" ht="15" customHeight="1">
      <c r="A395" t="inlineStr">
        <is>
          <t>A 18024-2022</t>
        </is>
      </c>
      <c r="B395" s="1" t="n">
        <v>44683.94383101852</v>
      </c>
      <c r="C395" s="1" t="n">
        <v>46059</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17963-2022</t>
        </is>
      </c>
      <c r="B396" s="1" t="n">
        <v>44683</v>
      </c>
      <c r="C396" s="1" t="n">
        <v>46059</v>
      </c>
      <c r="D396" t="inlineStr">
        <is>
          <t>VÄSTERNORRLANDS LÄN</t>
        </is>
      </c>
      <c r="E396" t="inlineStr">
        <is>
          <t>ÅNGE</t>
        </is>
      </c>
      <c r="G396" t="n">
        <v>0.2</v>
      </c>
      <c r="H396" t="n">
        <v>0</v>
      </c>
      <c r="I396" t="n">
        <v>0</v>
      </c>
      <c r="J396" t="n">
        <v>0</v>
      </c>
      <c r="K396" t="n">
        <v>0</v>
      </c>
      <c r="L396" t="n">
        <v>0</v>
      </c>
      <c r="M396" t="n">
        <v>0</v>
      </c>
      <c r="N396" t="n">
        <v>0</v>
      </c>
      <c r="O396" t="n">
        <v>0</v>
      </c>
      <c r="P396" t="n">
        <v>0</v>
      </c>
      <c r="Q396" t="n">
        <v>0</v>
      </c>
      <c r="R396" s="2" t="inlineStr"/>
    </row>
    <row r="397" ht="15" customHeight="1">
      <c r="A397" t="inlineStr">
        <is>
          <t>A 35496-2022</t>
        </is>
      </c>
      <c r="B397" s="1" t="n">
        <v>44798</v>
      </c>
      <c r="C397" s="1" t="n">
        <v>46059</v>
      </c>
      <c r="D397" t="inlineStr">
        <is>
          <t>VÄSTERNORRLANDS LÄN</t>
        </is>
      </c>
      <c r="E397" t="inlineStr">
        <is>
          <t>ÅNGE</t>
        </is>
      </c>
      <c r="F397" t="inlineStr">
        <is>
          <t>SCA</t>
        </is>
      </c>
      <c r="G397" t="n">
        <v>15.6</v>
      </c>
      <c r="H397" t="n">
        <v>0</v>
      </c>
      <c r="I397" t="n">
        <v>0</v>
      </c>
      <c r="J397" t="n">
        <v>0</v>
      </c>
      <c r="K397" t="n">
        <v>0</v>
      </c>
      <c r="L397" t="n">
        <v>0</v>
      </c>
      <c r="M397" t="n">
        <v>0</v>
      </c>
      <c r="N397" t="n">
        <v>0</v>
      </c>
      <c r="O397" t="n">
        <v>0</v>
      </c>
      <c r="P397" t="n">
        <v>0</v>
      </c>
      <c r="Q397" t="n">
        <v>0</v>
      </c>
      <c r="R397" s="2" t="inlineStr"/>
    </row>
    <row r="398" ht="15" customHeight="1">
      <c r="A398" t="inlineStr">
        <is>
          <t>A 36740-2025</t>
        </is>
      </c>
      <c r="B398" s="1" t="n">
        <v>45873.53237268519</v>
      </c>
      <c r="C398" s="1" t="n">
        <v>46059</v>
      </c>
      <c r="D398" t="inlineStr">
        <is>
          <t>VÄSTERNORRLANDS LÄN</t>
        </is>
      </c>
      <c r="E398" t="inlineStr">
        <is>
          <t>ÅNGE</t>
        </is>
      </c>
      <c r="G398" t="n">
        <v>1.1</v>
      </c>
      <c r="H398" t="n">
        <v>0</v>
      </c>
      <c r="I398" t="n">
        <v>0</v>
      </c>
      <c r="J398" t="n">
        <v>0</v>
      </c>
      <c r="K398" t="n">
        <v>0</v>
      </c>
      <c r="L398" t="n">
        <v>0</v>
      </c>
      <c r="M398" t="n">
        <v>0</v>
      </c>
      <c r="N398" t="n">
        <v>0</v>
      </c>
      <c r="O398" t="n">
        <v>0</v>
      </c>
      <c r="P398" t="n">
        <v>0</v>
      </c>
      <c r="Q398" t="n">
        <v>0</v>
      </c>
      <c r="R398" s="2" t="inlineStr"/>
    </row>
    <row r="399" ht="15" customHeight="1">
      <c r="A399" t="inlineStr">
        <is>
          <t>A 36249-2025</t>
        </is>
      </c>
      <c r="B399" s="1" t="n">
        <v>45867</v>
      </c>
      <c r="C399" s="1" t="n">
        <v>46059</v>
      </c>
      <c r="D399" t="inlineStr">
        <is>
          <t>VÄSTERNORRLANDS LÄN</t>
        </is>
      </c>
      <c r="E399" t="inlineStr">
        <is>
          <t>ÅNGE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18422-2021</t>
        </is>
      </c>
      <c r="B400" s="1" t="n">
        <v>44305</v>
      </c>
      <c r="C400" s="1" t="n">
        <v>46059</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46824-2021</t>
        </is>
      </c>
      <c r="B401" s="1" t="n">
        <v>44446.34271990741</v>
      </c>
      <c r="C401" s="1" t="n">
        <v>46059</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36723-2025</t>
        </is>
      </c>
      <c r="B402" s="1" t="n">
        <v>45873.47770833333</v>
      </c>
      <c r="C402" s="1" t="n">
        <v>46059</v>
      </c>
      <c r="D402" t="inlineStr">
        <is>
          <t>VÄSTERNORRLANDS LÄN</t>
        </is>
      </c>
      <c r="E402" t="inlineStr">
        <is>
          <t>ÅNGE</t>
        </is>
      </c>
      <c r="G402" t="n">
        <v>2.8</v>
      </c>
      <c r="H402" t="n">
        <v>0</v>
      </c>
      <c r="I402" t="n">
        <v>0</v>
      </c>
      <c r="J402" t="n">
        <v>0</v>
      </c>
      <c r="K402" t="n">
        <v>0</v>
      </c>
      <c r="L402" t="n">
        <v>0</v>
      </c>
      <c r="M402" t="n">
        <v>0</v>
      </c>
      <c r="N402" t="n">
        <v>0</v>
      </c>
      <c r="O402" t="n">
        <v>0</v>
      </c>
      <c r="P402" t="n">
        <v>0</v>
      </c>
      <c r="Q402" t="n">
        <v>0</v>
      </c>
      <c r="R402" s="2" t="inlineStr"/>
    </row>
    <row r="403" ht="15" customHeight="1">
      <c r="A403" t="inlineStr">
        <is>
          <t>A 36674-2025</t>
        </is>
      </c>
      <c r="B403" s="1" t="n">
        <v>45873.3930787037</v>
      </c>
      <c r="C403" s="1" t="n">
        <v>46059</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58613-2023</t>
        </is>
      </c>
      <c r="B404" s="1" t="n">
        <v>45251.50709490741</v>
      </c>
      <c r="C404" s="1" t="n">
        <v>46059</v>
      </c>
      <c r="D404" t="inlineStr">
        <is>
          <t>VÄSTERNORRLANDS LÄN</t>
        </is>
      </c>
      <c r="E404" t="inlineStr">
        <is>
          <t>ÅNGE</t>
        </is>
      </c>
      <c r="F404" t="inlineStr">
        <is>
          <t>Övriga Aktiebolag</t>
        </is>
      </c>
      <c r="G404" t="n">
        <v>1.9</v>
      </c>
      <c r="H404" t="n">
        <v>0</v>
      </c>
      <c r="I404" t="n">
        <v>0</v>
      </c>
      <c r="J404" t="n">
        <v>0</v>
      </c>
      <c r="K404" t="n">
        <v>0</v>
      </c>
      <c r="L404" t="n">
        <v>0</v>
      </c>
      <c r="M404" t="n">
        <v>0</v>
      </c>
      <c r="N404" t="n">
        <v>0</v>
      </c>
      <c r="O404" t="n">
        <v>0</v>
      </c>
      <c r="P404" t="n">
        <v>0</v>
      </c>
      <c r="Q404" t="n">
        <v>0</v>
      </c>
      <c r="R404" s="2" t="inlineStr"/>
    </row>
    <row r="405" ht="15" customHeight="1">
      <c r="A405" t="inlineStr">
        <is>
          <t>A 51542-2022</t>
        </is>
      </c>
      <c r="B405" s="1" t="n">
        <v>44869.94850694444</v>
      </c>
      <c r="C405" s="1" t="n">
        <v>46059</v>
      </c>
      <c r="D405" t="inlineStr">
        <is>
          <t>VÄSTERNORRLANDS LÄN</t>
        </is>
      </c>
      <c r="E405" t="inlineStr">
        <is>
          <t>ÅNGE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12807-2025</t>
        </is>
      </c>
      <c r="B406" s="1" t="n">
        <v>45733.61537037037</v>
      </c>
      <c r="C406" s="1" t="n">
        <v>46059</v>
      </c>
      <c r="D406" t="inlineStr">
        <is>
          <t>VÄSTERNORRLANDS LÄN</t>
        </is>
      </c>
      <c r="E406" t="inlineStr">
        <is>
          <t>ÅNGE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37045-2025</t>
        </is>
      </c>
      <c r="B407" s="1" t="n">
        <v>45875.34451388889</v>
      </c>
      <c r="C407" s="1" t="n">
        <v>46059</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37047-2025</t>
        </is>
      </c>
      <c r="B408" s="1" t="n">
        <v>45875.34489583333</v>
      </c>
      <c r="C408" s="1" t="n">
        <v>46059</v>
      </c>
      <c r="D408" t="inlineStr">
        <is>
          <t>VÄSTERNORRLANDS LÄN</t>
        </is>
      </c>
      <c r="E408" t="inlineStr">
        <is>
          <t>ÅNGE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37275-2025</t>
        </is>
      </c>
      <c r="B409" s="1" t="n">
        <v>45876.49003472222</v>
      </c>
      <c r="C409" s="1" t="n">
        <v>46059</v>
      </c>
      <c r="D409" t="inlineStr">
        <is>
          <t>VÄSTERNORRLANDS LÄN</t>
        </is>
      </c>
      <c r="E409" t="inlineStr">
        <is>
          <t>ÅNGE</t>
        </is>
      </c>
      <c r="G409" t="n">
        <v>3.5</v>
      </c>
      <c r="H409" t="n">
        <v>0</v>
      </c>
      <c r="I409" t="n">
        <v>0</v>
      </c>
      <c r="J409" t="n">
        <v>0</v>
      </c>
      <c r="K409" t="n">
        <v>0</v>
      </c>
      <c r="L409" t="n">
        <v>0</v>
      </c>
      <c r="M409" t="n">
        <v>0</v>
      </c>
      <c r="N409" t="n">
        <v>0</v>
      </c>
      <c r="O409" t="n">
        <v>0</v>
      </c>
      <c r="P409" t="n">
        <v>0</v>
      </c>
      <c r="Q409" t="n">
        <v>0</v>
      </c>
      <c r="R409" s="2" t="inlineStr"/>
    </row>
    <row r="410" ht="15" customHeight="1">
      <c r="A410" t="inlineStr">
        <is>
          <t>A 37303-2025</t>
        </is>
      </c>
      <c r="B410" s="1" t="n">
        <v>45876.59445601852</v>
      </c>
      <c r="C410" s="1" t="n">
        <v>46059</v>
      </c>
      <c r="D410" t="inlineStr">
        <is>
          <t>VÄSTERNORRLANDS LÄN</t>
        </is>
      </c>
      <c r="E410" t="inlineStr">
        <is>
          <t>ÅNGE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5552-2022</t>
        </is>
      </c>
      <c r="B411" s="1" t="n">
        <v>44595.62966435185</v>
      </c>
      <c r="C411" s="1" t="n">
        <v>46059</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35026-2022</t>
        </is>
      </c>
      <c r="B412" s="1" t="n">
        <v>44796</v>
      </c>
      <c r="C412" s="1" t="n">
        <v>46059</v>
      </c>
      <c r="D412" t="inlineStr">
        <is>
          <t>VÄSTERNORRLANDS LÄN</t>
        </is>
      </c>
      <c r="E412" t="inlineStr">
        <is>
          <t>ÅNGE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37233-2025</t>
        </is>
      </c>
      <c r="B413" s="1" t="n">
        <v>45876.34474537037</v>
      </c>
      <c r="C413" s="1" t="n">
        <v>46059</v>
      </c>
      <c r="D413" t="inlineStr">
        <is>
          <t>VÄSTERNORRLANDS LÄN</t>
        </is>
      </c>
      <c r="E413" t="inlineStr">
        <is>
          <t>ÅNGE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37108-2025</t>
        </is>
      </c>
      <c r="B414" s="1" t="n">
        <v>45875</v>
      </c>
      <c r="C414" s="1" t="n">
        <v>46059</v>
      </c>
      <c r="D414" t="inlineStr">
        <is>
          <t>VÄSTERNORRLANDS LÄN</t>
        </is>
      </c>
      <c r="E414" t="inlineStr">
        <is>
          <t>ÅNGE</t>
        </is>
      </c>
      <c r="G414" t="n">
        <v>4</v>
      </c>
      <c r="H414" t="n">
        <v>0</v>
      </c>
      <c r="I414" t="n">
        <v>0</v>
      </c>
      <c r="J414" t="n">
        <v>0</v>
      </c>
      <c r="K414" t="n">
        <v>0</v>
      </c>
      <c r="L414" t="n">
        <v>0</v>
      </c>
      <c r="M414" t="n">
        <v>0</v>
      </c>
      <c r="N414" t="n">
        <v>0</v>
      </c>
      <c r="O414" t="n">
        <v>0</v>
      </c>
      <c r="P414" t="n">
        <v>0</v>
      </c>
      <c r="Q414" t="n">
        <v>0</v>
      </c>
      <c r="R414" s="2" t="inlineStr"/>
    </row>
    <row r="415" ht="15" customHeight="1">
      <c r="A415" t="inlineStr">
        <is>
          <t>A 32535-2022</t>
        </is>
      </c>
      <c r="B415" s="1" t="n">
        <v>44783.29856481482</v>
      </c>
      <c r="C415" s="1" t="n">
        <v>46059</v>
      </c>
      <c r="D415" t="inlineStr">
        <is>
          <t>VÄSTERNORRLANDS LÄN</t>
        </is>
      </c>
      <c r="E415" t="inlineStr">
        <is>
          <t>ÅNGE</t>
        </is>
      </c>
      <c r="G415" t="n">
        <v>10.3</v>
      </c>
      <c r="H415" t="n">
        <v>0</v>
      </c>
      <c r="I415" t="n">
        <v>0</v>
      </c>
      <c r="J415" t="n">
        <v>0</v>
      </c>
      <c r="K415" t="n">
        <v>0</v>
      </c>
      <c r="L415" t="n">
        <v>0</v>
      </c>
      <c r="M415" t="n">
        <v>0</v>
      </c>
      <c r="N415" t="n">
        <v>0</v>
      </c>
      <c r="O415" t="n">
        <v>0</v>
      </c>
      <c r="P415" t="n">
        <v>0</v>
      </c>
      <c r="Q415" t="n">
        <v>0</v>
      </c>
      <c r="R415" s="2" t="inlineStr"/>
    </row>
    <row r="416" ht="15" customHeight="1">
      <c r="A416" t="inlineStr">
        <is>
          <t>A 37177-2025</t>
        </is>
      </c>
      <c r="B416" s="1" t="n">
        <v>45875.61539351852</v>
      </c>
      <c r="C416" s="1" t="n">
        <v>46059</v>
      </c>
      <c r="D416" t="inlineStr">
        <is>
          <t>VÄSTERNORRLANDS LÄN</t>
        </is>
      </c>
      <c r="E416" t="inlineStr">
        <is>
          <t>ÅNGE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18668-2023</t>
        </is>
      </c>
      <c r="B417" s="1" t="n">
        <v>45043.57108796296</v>
      </c>
      <c r="C417" s="1" t="n">
        <v>46059</v>
      </c>
      <c r="D417" t="inlineStr">
        <is>
          <t>VÄSTERNORRLANDS LÄN</t>
        </is>
      </c>
      <c r="E417" t="inlineStr">
        <is>
          <t>ÅNGE</t>
        </is>
      </c>
      <c r="G417" t="n">
        <v>3.4</v>
      </c>
      <c r="H417" t="n">
        <v>0</v>
      </c>
      <c r="I417" t="n">
        <v>0</v>
      </c>
      <c r="J417" t="n">
        <v>0</v>
      </c>
      <c r="K417" t="n">
        <v>0</v>
      </c>
      <c r="L417" t="n">
        <v>0</v>
      </c>
      <c r="M417" t="n">
        <v>0</v>
      </c>
      <c r="N417" t="n">
        <v>0</v>
      </c>
      <c r="O417" t="n">
        <v>0</v>
      </c>
      <c r="P417" t="n">
        <v>0</v>
      </c>
      <c r="Q417" t="n">
        <v>0</v>
      </c>
      <c r="R417" s="2" t="inlineStr"/>
    </row>
    <row r="418" ht="15" customHeight="1">
      <c r="A418" t="inlineStr">
        <is>
          <t>A 39594-2022</t>
        </is>
      </c>
      <c r="B418" s="1" t="n">
        <v>44818</v>
      </c>
      <c r="C418" s="1" t="n">
        <v>46059</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10313-2022</t>
        </is>
      </c>
      <c r="B419" s="1" t="n">
        <v>44622</v>
      </c>
      <c r="C419" s="1" t="n">
        <v>46059</v>
      </c>
      <c r="D419" t="inlineStr">
        <is>
          <t>VÄSTERNORRLANDS LÄN</t>
        </is>
      </c>
      <c r="E419" t="inlineStr">
        <is>
          <t>ÅNGE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62261-2022</t>
        </is>
      </c>
      <c r="B420" s="1" t="n">
        <v>44922.94378472222</v>
      </c>
      <c r="C420" s="1" t="n">
        <v>46059</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37371-2025</t>
        </is>
      </c>
      <c r="B421" s="1" t="n">
        <v>45877.34472222222</v>
      </c>
      <c r="C421" s="1" t="n">
        <v>46059</v>
      </c>
      <c r="D421" t="inlineStr">
        <is>
          <t>VÄSTERNORRLANDS LÄN</t>
        </is>
      </c>
      <c r="E421" t="inlineStr">
        <is>
          <t>ÅNGE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37384-2025</t>
        </is>
      </c>
      <c r="B422" s="1" t="n">
        <v>45877.3859837963</v>
      </c>
      <c r="C422" s="1" t="n">
        <v>46059</v>
      </c>
      <c r="D422" t="inlineStr">
        <is>
          <t>VÄSTERNORRLANDS LÄN</t>
        </is>
      </c>
      <c r="E422" t="inlineStr">
        <is>
          <t>ÅNGE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37663-2025</t>
        </is>
      </c>
      <c r="B423" s="1" t="n">
        <v>45880.51079861111</v>
      </c>
      <c r="C423" s="1" t="n">
        <v>46059</v>
      </c>
      <c r="D423" t="inlineStr">
        <is>
          <t>VÄSTERNORRLANDS LÄN</t>
        </is>
      </c>
      <c r="E423" t="inlineStr">
        <is>
          <t>ÅNGE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16524-2025</t>
        </is>
      </c>
      <c r="B424" s="1" t="n">
        <v>45751.64310185185</v>
      </c>
      <c r="C424" s="1" t="n">
        <v>46059</v>
      </c>
      <c r="D424" t="inlineStr">
        <is>
          <t>VÄSTERNORRLANDS LÄN</t>
        </is>
      </c>
      <c r="E424" t="inlineStr">
        <is>
          <t>ÅNGE</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37723-2025</t>
        </is>
      </c>
      <c r="B425" s="1" t="n">
        <v>45880.61528935185</v>
      </c>
      <c r="C425" s="1" t="n">
        <v>46059</v>
      </c>
      <c r="D425" t="inlineStr">
        <is>
          <t>VÄSTERNORRLANDS LÄN</t>
        </is>
      </c>
      <c r="E425" t="inlineStr">
        <is>
          <t>ÅNGE</t>
        </is>
      </c>
      <c r="G425" t="n">
        <v>3</v>
      </c>
      <c r="H425" t="n">
        <v>0</v>
      </c>
      <c r="I425" t="n">
        <v>0</v>
      </c>
      <c r="J425" t="n">
        <v>0</v>
      </c>
      <c r="K425" t="n">
        <v>0</v>
      </c>
      <c r="L425" t="n">
        <v>0</v>
      </c>
      <c r="M425" t="n">
        <v>0</v>
      </c>
      <c r="N425" t="n">
        <v>0</v>
      </c>
      <c r="O425" t="n">
        <v>0</v>
      </c>
      <c r="P425" t="n">
        <v>0</v>
      </c>
      <c r="Q425" t="n">
        <v>0</v>
      </c>
      <c r="R425" s="2" t="inlineStr"/>
    </row>
    <row r="426" ht="15" customHeight="1">
      <c r="A426" t="inlineStr">
        <is>
          <t>A 37383-2025</t>
        </is>
      </c>
      <c r="B426" s="1" t="n">
        <v>45877.38581018519</v>
      </c>
      <c r="C426" s="1" t="n">
        <v>46059</v>
      </c>
      <c r="D426" t="inlineStr">
        <is>
          <t>VÄSTERNORRLANDS LÄN</t>
        </is>
      </c>
      <c r="E426" t="inlineStr">
        <is>
          <t>ÅNGE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37719-2025</t>
        </is>
      </c>
      <c r="B427" s="1" t="n">
        <v>45880.61505787037</v>
      </c>
      <c r="C427" s="1" t="n">
        <v>46059</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38703-2025</t>
        </is>
      </c>
      <c r="B428" s="1" t="n">
        <v>45885.34440972222</v>
      </c>
      <c r="C428" s="1" t="n">
        <v>46059</v>
      </c>
      <c r="D428" t="inlineStr">
        <is>
          <t>VÄSTERNORRLANDS LÄN</t>
        </is>
      </c>
      <c r="E428" t="inlineStr">
        <is>
          <t>ÅNGE</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16978-2024</t>
        </is>
      </c>
      <c r="B429" s="1" t="n">
        <v>45412.02416666667</v>
      </c>
      <c r="C429" s="1" t="n">
        <v>46059</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47779-2023</t>
        </is>
      </c>
      <c r="B430" s="1" t="n">
        <v>45203.92232638889</v>
      </c>
      <c r="C430" s="1" t="n">
        <v>46059</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20110-2023</t>
        </is>
      </c>
      <c r="B431" s="1" t="n">
        <v>45051</v>
      </c>
      <c r="C431" s="1" t="n">
        <v>46059</v>
      </c>
      <c r="D431" t="inlineStr">
        <is>
          <t>VÄSTERNORRLANDS LÄN</t>
        </is>
      </c>
      <c r="E431" t="inlineStr">
        <is>
          <t>ÅNGE</t>
        </is>
      </c>
      <c r="G431" t="n">
        <v>2.5</v>
      </c>
      <c r="H431" t="n">
        <v>0</v>
      </c>
      <c r="I431" t="n">
        <v>0</v>
      </c>
      <c r="J431" t="n">
        <v>0</v>
      </c>
      <c r="K431" t="n">
        <v>0</v>
      </c>
      <c r="L431" t="n">
        <v>0</v>
      </c>
      <c r="M431" t="n">
        <v>0</v>
      </c>
      <c r="N431" t="n">
        <v>0</v>
      </c>
      <c r="O431" t="n">
        <v>0</v>
      </c>
      <c r="P431" t="n">
        <v>0</v>
      </c>
      <c r="Q431" t="n">
        <v>0</v>
      </c>
      <c r="R431" s="2" t="inlineStr"/>
    </row>
    <row r="432" ht="15" customHeight="1">
      <c r="A432" t="inlineStr">
        <is>
          <t>A 34726-2024</t>
        </is>
      </c>
      <c r="B432" s="1" t="n">
        <v>45526.5733912037</v>
      </c>
      <c r="C432" s="1" t="n">
        <v>46059</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49502-2022</t>
        </is>
      </c>
      <c r="B433" s="1" t="n">
        <v>44861.92613425926</v>
      </c>
      <c r="C433" s="1" t="n">
        <v>46059</v>
      </c>
      <c r="D433" t="inlineStr">
        <is>
          <t>VÄSTERNORRLANDS LÄN</t>
        </is>
      </c>
      <c r="E433" t="inlineStr">
        <is>
          <t>ÅNGE</t>
        </is>
      </c>
      <c r="G433" t="n">
        <v>0.8</v>
      </c>
      <c r="H433" t="n">
        <v>0</v>
      </c>
      <c r="I433" t="n">
        <v>0</v>
      </c>
      <c r="J433" t="n">
        <v>0</v>
      </c>
      <c r="K433" t="n">
        <v>0</v>
      </c>
      <c r="L433" t="n">
        <v>0</v>
      </c>
      <c r="M433" t="n">
        <v>0</v>
      </c>
      <c r="N433" t="n">
        <v>0</v>
      </c>
      <c r="O433" t="n">
        <v>0</v>
      </c>
      <c r="P433" t="n">
        <v>0</v>
      </c>
      <c r="Q433" t="n">
        <v>0</v>
      </c>
      <c r="R433" s="2" t="inlineStr"/>
    </row>
    <row r="434" ht="15" customHeight="1">
      <c r="A434" t="inlineStr">
        <is>
          <t>A 32051-2025</t>
        </is>
      </c>
      <c r="B434" s="1" t="n">
        <v>45835.44185185185</v>
      </c>
      <c r="C434" s="1" t="n">
        <v>46059</v>
      </c>
      <c r="D434" t="inlineStr">
        <is>
          <t>VÄSTERNORRLANDS LÄN</t>
        </is>
      </c>
      <c r="E434" t="inlineStr">
        <is>
          <t>ÅNGE</t>
        </is>
      </c>
      <c r="G434" t="n">
        <v>4</v>
      </c>
      <c r="H434" t="n">
        <v>0</v>
      </c>
      <c r="I434" t="n">
        <v>0</v>
      </c>
      <c r="J434" t="n">
        <v>0</v>
      </c>
      <c r="K434" t="n">
        <v>0</v>
      </c>
      <c r="L434" t="n">
        <v>0</v>
      </c>
      <c r="M434" t="n">
        <v>0</v>
      </c>
      <c r="N434" t="n">
        <v>0</v>
      </c>
      <c r="O434" t="n">
        <v>0</v>
      </c>
      <c r="P434" t="n">
        <v>0</v>
      </c>
      <c r="Q434" t="n">
        <v>0</v>
      </c>
      <c r="R434" s="2" t="inlineStr"/>
    </row>
    <row r="435" ht="15" customHeight="1">
      <c r="A435" t="inlineStr">
        <is>
          <t>A 20716-2025</t>
        </is>
      </c>
      <c r="B435" s="1" t="n">
        <v>45776.49026620371</v>
      </c>
      <c r="C435" s="1" t="n">
        <v>46059</v>
      </c>
      <c r="D435" t="inlineStr">
        <is>
          <t>VÄSTERNORRLANDS LÄN</t>
        </is>
      </c>
      <c r="E435" t="inlineStr">
        <is>
          <t>ÅNGE</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53549-2023</t>
        </is>
      </c>
      <c r="B436" s="1" t="n">
        <v>45230</v>
      </c>
      <c r="C436" s="1" t="n">
        <v>46059</v>
      </c>
      <c r="D436" t="inlineStr">
        <is>
          <t>VÄSTERNORRLANDS LÄN</t>
        </is>
      </c>
      <c r="E436" t="inlineStr">
        <is>
          <t>ÅNGE</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41825-2022</t>
        </is>
      </c>
      <c r="B437" s="1" t="n">
        <v>44827</v>
      </c>
      <c r="C437" s="1" t="n">
        <v>46059</v>
      </c>
      <c r="D437" t="inlineStr">
        <is>
          <t>VÄSTERNORRLANDS LÄN</t>
        </is>
      </c>
      <c r="E437" t="inlineStr">
        <is>
          <t>ÅNGE</t>
        </is>
      </c>
      <c r="F437" t="inlineStr">
        <is>
          <t>SCA</t>
        </is>
      </c>
      <c r="G437" t="n">
        <v>3.3</v>
      </c>
      <c r="H437" t="n">
        <v>0</v>
      </c>
      <c r="I437" t="n">
        <v>0</v>
      </c>
      <c r="J437" t="n">
        <v>0</v>
      </c>
      <c r="K437" t="n">
        <v>0</v>
      </c>
      <c r="L437" t="n">
        <v>0</v>
      </c>
      <c r="M437" t="n">
        <v>0</v>
      </c>
      <c r="N437" t="n">
        <v>0</v>
      </c>
      <c r="O437" t="n">
        <v>0</v>
      </c>
      <c r="P437" t="n">
        <v>0</v>
      </c>
      <c r="Q437" t="n">
        <v>0</v>
      </c>
      <c r="R437" s="2" t="inlineStr"/>
      <c r="U437">
        <f>HYPERLINK("https://klasma.github.io/Logging_2260/knärot/A 41825-2022 karta knärot.png", "A 41825-2022")</f>
        <v/>
      </c>
      <c r="V437">
        <f>HYPERLINK("https://klasma.github.io/Logging_2260/klagomål/A 41825-2022 FSC-klagomål.docx", "A 41825-2022")</f>
        <v/>
      </c>
      <c r="W437">
        <f>HYPERLINK("https://klasma.github.io/Logging_2260/klagomålsmail/A 41825-2022 FSC-klagomål mail.docx", "A 41825-2022")</f>
        <v/>
      </c>
      <c r="X437">
        <f>HYPERLINK("https://klasma.github.io/Logging_2260/tillsyn/A 41825-2022 tillsynsbegäran.docx", "A 41825-2022")</f>
        <v/>
      </c>
      <c r="Y437">
        <f>HYPERLINK("https://klasma.github.io/Logging_2260/tillsynsmail/A 41825-2022 tillsynsbegäran mail.docx", "A 41825-2022")</f>
        <v/>
      </c>
    </row>
    <row r="438" ht="15" customHeight="1">
      <c r="A438" t="inlineStr">
        <is>
          <t>A 42958-2024</t>
        </is>
      </c>
      <c r="B438" s="1" t="n">
        <v>45567.37131944444</v>
      </c>
      <c r="C438" s="1" t="n">
        <v>46059</v>
      </c>
      <c r="D438" t="inlineStr">
        <is>
          <t>VÄSTERNORRLANDS LÄN</t>
        </is>
      </c>
      <c r="E438" t="inlineStr">
        <is>
          <t>ÅNGE</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34861-2024</t>
        </is>
      </c>
      <c r="B439" s="1" t="n">
        <v>45527.339375</v>
      </c>
      <c r="C439" s="1" t="n">
        <v>46059</v>
      </c>
      <c r="D439" t="inlineStr">
        <is>
          <t>VÄSTERNORRLANDS LÄN</t>
        </is>
      </c>
      <c r="E439" t="inlineStr">
        <is>
          <t>ÅNGE</t>
        </is>
      </c>
      <c r="F439" t="inlineStr">
        <is>
          <t>SCA</t>
        </is>
      </c>
      <c r="G439" t="n">
        <v>9.1</v>
      </c>
      <c r="H439" t="n">
        <v>0</v>
      </c>
      <c r="I439" t="n">
        <v>0</v>
      </c>
      <c r="J439" t="n">
        <v>0</v>
      </c>
      <c r="K439" t="n">
        <v>0</v>
      </c>
      <c r="L439" t="n">
        <v>0</v>
      </c>
      <c r="M439" t="n">
        <v>0</v>
      </c>
      <c r="N439" t="n">
        <v>0</v>
      </c>
      <c r="O439" t="n">
        <v>0</v>
      </c>
      <c r="P439" t="n">
        <v>0</v>
      </c>
      <c r="Q439" t="n">
        <v>0</v>
      </c>
      <c r="R439" s="2" t="inlineStr"/>
    </row>
    <row r="440" ht="15" customHeight="1">
      <c r="A440" t="inlineStr">
        <is>
          <t>A 31325-2022</t>
        </is>
      </c>
      <c r="B440" s="1" t="n">
        <v>44774.41421296296</v>
      </c>
      <c r="C440" s="1" t="n">
        <v>46059</v>
      </c>
      <c r="D440" t="inlineStr">
        <is>
          <t>VÄSTERNORRLANDS LÄN</t>
        </is>
      </c>
      <c r="E440" t="inlineStr">
        <is>
          <t>ÅNGE</t>
        </is>
      </c>
      <c r="G440" t="n">
        <v>6.3</v>
      </c>
      <c r="H440" t="n">
        <v>0</v>
      </c>
      <c r="I440" t="n">
        <v>0</v>
      </c>
      <c r="J440" t="n">
        <v>0</v>
      </c>
      <c r="K440" t="n">
        <v>0</v>
      </c>
      <c r="L440" t="n">
        <v>0</v>
      </c>
      <c r="M440" t="n">
        <v>0</v>
      </c>
      <c r="N440" t="n">
        <v>0</v>
      </c>
      <c r="O440" t="n">
        <v>0</v>
      </c>
      <c r="P440" t="n">
        <v>0</v>
      </c>
      <c r="Q440" t="n">
        <v>0</v>
      </c>
      <c r="R440" s="2" t="inlineStr"/>
    </row>
    <row r="441" ht="15" customHeight="1">
      <c r="A441" t="inlineStr">
        <is>
          <t>A 17601-2024</t>
        </is>
      </c>
      <c r="B441" s="1" t="n">
        <v>45415</v>
      </c>
      <c r="C441" s="1" t="n">
        <v>46059</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38711-2025</t>
        </is>
      </c>
      <c r="B442" s="1" t="n">
        <v>45886.34450231482</v>
      </c>
      <c r="C442" s="1" t="n">
        <v>46059</v>
      </c>
      <c r="D442" t="inlineStr">
        <is>
          <t>VÄSTERNORRLANDS LÄN</t>
        </is>
      </c>
      <c r="E442" t="inlineStr">
        <is>
          <t>ÅNGE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38715-2025</t>
        </is>
      </c>
      <c r="B443" s="1" t="n">
        <v>45886.34501157407</v>
      </c>
      <c r="C443" s="1" t="n">
        <v>46059</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57846-2022</t>
        </is>
      </c>
      <c r="B444" s="1" t="n">
        <v>44897.95008101852</v>
      </c>
      <c r="C444" s="1" t="n">
        <v>46059</v>
      </c>
      <c r="D444" t="inlineStr">
        <is>
          <t>VÄSTERNORRLANDS LÄN</t>
        </is>
      </c>
      <c r="E444" t="inlineStr">
        <is>
          <t>ÅNGE</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51810-2023</t>
        </is>
      </c>
      <c r="B445" s="1" t="n">
        <v>45222.96583333334</v>
      </c>
      <c r="C445" s="1" t="n">
        <v>46059</v>
      </c>
      <c r="D445" t="inlineStr">
        <is>
          <t>VÄSTERNORRLANDS LÄN</t>
        </is>
      </c>
      <c r="E445" t="inlineStr">
        <is>
          <t>ÅNGE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36342-2024</t>
        </is>
      </c>
      <c r="B446" s="1" t="n">
        <v>45534.64315972223</v>
      </c>
      <c r="C446" s="1" t="n">
        <v>46059</v>
      </c>
      <c r="D446" t="inlineStr">
        <is>
          <t>VÄSTERNORRLANDS LÄN</t>
        </is>
      </c>
      <c r="E446" t="inlineStr">
        <is>
          <t>ÅNGE</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54771-2023</t>
        </is>
      </c>
      <c r="B447" s="1" t="n">
        <v>45229</v>
      </c>
      <c r="C447" s="1" t="n">
        <v>46059</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32922-2024</t>
        </is>
      </c>
      <c r="B448" s="1" t="n">
        <v>45516.95263888889</v>
      </c>
      <c r="C448" s="1" t="n">
        <v>46059</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38078-2025</t>
        </is>
      </c>
      <c r="B449" s="1" t="n">
        <v>45882.46918981482</v>
      </c>
      <c r="C449" s="1" t="n">
        <v>46059</v>
      </c>
      <c r="D449" t="inlineStr">
        <is>
          <t>VÄSTERNORRLANDS LÄN</t>
        </is>
      </c>
      <c r="E449" t="inlineStr">
        <is>
          <t>ÅNGE</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20338-2025</t>
        </is>
      </c>
      <c r="B450" s="1" t="n">
        <v>45775</v>
      </c>
      <c r="C450" s="1" t="n">
        <v>46059</v>
      </c>
      <c r="D450" t="inlineStr">
        <is>
          <t>VÄSTERNORRLANDS LÄN</t>
        </is>
      </c>
      <c r="E450" t="inlineStr">
        <is>
          <t>ÅNGE</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36457-2021</t>
        </is>
      </c>
      <c r="B451" s="1" t="n">
        <v>44390.93858796296</v>
      </c>
      <c r="C451" s="1" t="n">
        <v>46059</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25023-2022</t>
        </is>
      </c>
      <c r="B452" s="1" t="n">
        <v>44728</v>
      </c>
      <c r="C452" s="1" t="n">
        <v>46059</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56699-2023</t>
        </is>
      </c>
      <c r="B453" s="1" t="n">
        <v>45243</v>
      </c>
      <c r="C453" s="1" t="n">
        <v>46059</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61928-2021</t>
        </is>
      </c>
      <c r="B454" s="1" t="n">
        <v>44502.38475694445</v>
      </c>
      <c r="C454" s="1" t="n">
        <v>46059</v>
      </c>
      <c r="D454" t="inlineStr">
        <is>
          <t>VÄSTERNORRLANDS LÄN</t>
        </is>
      </c>
      <c r="E454" t="inlineStr">
        <is>
          <t>ÅNGE</t>
        </is>
      </c>
      <c r="G454" t="n">
        <v>1</v>
      </c>
      <c r="H454" t="n">
        <v>0</v>
      </c>
      <c r="I454" t="n">
        <v>0</v>
      </c>
      <c r="J454" t="n">
        <v>0</v>
      </c>
      <c r="K454" t="n">
        <v>0</v>
      </c>
      <c r="L454" t="n">
        <v>0</v>
      </c>
      <c r="M454" t="n">
        <v>0</v>
      </c>
      <c r="N454" t="n">
        <v>0</v>
      </c>
      <c r="O454" t="n">
        <v>0</v>
      </c>
      <c r="P454" t="n">
        <v>0</v>
      </c>
      <c r="Q454" t="n">
        <v>0</v>
      </c>
      <c r="R454" s="2" t="inlineStr"/>
    </row>
    <row r="455" ht="15" customHeight="1">
      <c r="A455" t="inlineStr">
        <is>
          <t>A 37919-2025</t>
        </is>
      </c>
      <c r="B455" s="1" t="n">
        <v>45881.57478009259</v>
      </c>
      <c r="C455" s="1" t="n">
        <v>46059</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37802-2025</t>
        </is>
      </c>
      <c r="B456" s="1" t="n">
        <v>45881.34447916667</v>
      </c>
      <c r="C456" s="1" t="n">
        <v>46059</v>
      </c>
      <c r="D456" t="inlineStr">
        <is>
          <t>VÄSTERNORRLANDS LÄN</t>
        </is>
      </c>
      <c r="E456" t="inlineStr">
        <is>
          <t>ÅNGE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16303-2025</t>
        </is>
      </c>
      <c r="B457" s="1" t="n">
        <v>45751.3462037037</v>
      </c>
      <c r="C457" s="1" t="n">
        <v>46059</v>
      </c>
      <c r="D457" t="inlineStr">
        <is>
          <t>VÄSTERNORRLANDS LÄN</t>
        </is>
      </c>
      <c r="E457" t="inlineStr">
        <is>
          <t>ÅNGE</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37051-2021</t>
        </is>
      </c>
      <c r="B458" s="1" t="n">
        <v>44393</v>
      </c>
      <c r="C458" s="1" t="n">
        <v>46059</v>
      </c>
      <c r="D458" t="inlineStr">
        <is>
          <t>VÄSTERNORRLANDS LÄN</t>
        </is>
      </c>
      <c r="E458" t="inlineStr">
        <is>
          <t>ÅNGE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56908-2021</t>
        </is>
      </c>
      <c r="B459" s="1" t="n">
        <v>44481.93844907408</v>
      </c>
      <c r="C459" s="1" t="n">
        <v>46059</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732-2023</t>
        </is>
      </c>
      <c r="B460" s="1" t="n">
        <v>44931.29981481482</v>
      </c>
      <c r="C460" s="1" t="n">
        <v>46059</v>
      </c>
      <c r="D460" t="inlineStr">
        <is>
          <t>VÄSTERNORRLANDS LÄN</t>
        </is>
      </c>
      <c r="E460" t="inlineStr">
        <is>
          <t>ÅNGE</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5520-2022</t>
        </is>
      </c>
      <c r="B461" s="1" t="n">
        <v>44595</v>
      </c>
      <c r="C461" s="1" t="n">
        <v>46059</v>
      </c>
      <c r="D461" t="inlineStr">
        <is>
          <t>VÄSTERNORRLANDS LÄN</t>
        </is>
      </c>
      <c r="E461" t="inlineStr">
        <is>
          <t>ÅNGE</t>
        </is>
      </c>
      <c r="G461" t="n">
        <v>4.9</v>
      </c>
      <c r="H461" t="n">
        <v>0</v>
      </c>
      <c r="I461" t="n">
        <v>0</v>
      </c>
      <c r="J461" t="n">
        <v>0</v>
      </c>
      <c r="K461" t="n">
        <v>0</v>
      </c>
      <c r="L461" t="n">
        <v>0</v>
      </c>
      <c r="M461" t="n">
        <v>0</v>
      </c>
      <c r="N461" t="n">
        <v>0</v>
      </c>
      <c r="O461" t="n">
        <v>0</v>
      </c>
      <c r="P461" t="n">
        <v>0</v>
      </c>
      <c r="Q461" t="n">
        <v>0</v>
      </c>
      <c r="R461" s="2" t="inlineStr"/>
    </row>
    <row r="462" ht="15" customHeight="1">
      <c r="A462" t="inlineStr">
        <is>
          <t>A 36786-2024</t>
        </is>
      </c>
      <c r="B462" s="1" t="n">
        <v>45538</v>
      </c>
      <c r="C462" s="1" t="n">
        <v>46059</v>
      </c>
      <c r="D462" t="inlineStr">
        <is>
          <t>VÄSTERNORRLANDS LÄN</t>
        </is>
      </c>
      <c r="E462" t="inlineStr">
        <is>
          <t>ÅNGE</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53663-2022</t>
        </is>
      </c>
      <c r="B463" s="1" t="n">
        <v>44879</v>
      </c>
      <c r="C463" s="1" t="n">
        <v>46059</v>
      </c>
      <c r="D463" t="inlineStr">
        <is>
          <t>VÄSTERNORRLANDS LÄN</t>
        </is>
      </c>
      <c r="E463" t="inlineStr">
        <is>
          <t>ÅNGE</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49711-2024</t>
        </is>
      </c>
      <c r="B464" s="1" t="n">
        <v>45596.69891203703</v>
      </c>
      <c r="C464" s="1" t="n">
        <v>46059</v>
      </c>
      <c r="D464" t="inlineStr">
        <is>
          <t>VÄSTERNORRLANDS LÄN</t>
        </is>
      </c>
      <c r="E464" t="inlineStr">
        <is>
          <t>ÅNGE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24293-2023</t>
        </is>
      </c>
      <c r="B465" s="1" t="n">
        <v>45079.92756944444</v>
      </c>
      <c r="C465" s="1" t="n">
        <v>46059</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25779-2023</t>
        </is>
      </c>
      <c r="B466" s="1" t="n">
        <v>45090.47439814815</v>
      </c>
      <c r="C466" s="1" t="n">
        <v>46059</v>
      </c>
      <c r="D466" t="inlineStr">
        <is>
          <t>VÄSTERNORRLANDS LÄN</t>
        </is>
      </c>
      <c r="E466" t="inlineStr">
        <is>
          <t>ÅNGE</t>
        </is>
      </c>
      <c r="G466" t="n">
        <v>2.4</v>
      </c>
      <c r="H466" t="n">
        <v>0</v>
      </c>
      <c r="I466" t="n">
        <v>0</v>
      </c>
      <c r="J466" t="n">
        <v>0</v>
      </c>
      <c r="K466" t="n">
        <v>0</v>
      </c>
      <c r="L466" t="n">
        <v>0</v>
      </c>
      <c r="M466" t="n">
        <v>0</v>
      </c>
      <c r="N466" t="n">
        <v>0</v>
      </c>
      <c r="O466" t="n">
        <v>0</v>
      </c>
      <c r="P466" t="n">
        <v>0</v>
      </c>
      <c r="Q466" t="n">
        <v>0</v>
      </c>
      <c r="R466" s="2" t="inlineStr"/>
    </row>
    <row r="467" ht="15" customHeight="1">
      <c r="A467" t="inlineStr">
        <is>
          <t>A 9211-2023</t>
        </is>
      </c>
      <c r="B467" s="1" t="n">
        <v>44980</v>
      </c>
      <c r="C467" s="1" t="n">
        <v>46059</v>
      </c>
      <c r="D467" t="inlineStr">
        <is>
          <t>VÄSTERNORRLANDS LÄN</t>
        </is>
      </c>
      <c r="E467" t="inlineStr">
        <is>
          <t>ÅNGE</t>
        </is>
      </c>
      <c r="G467" t="n">
        <v>2.3</v>
      </c>
      <c r="H467" t="n">
        <v>0</v>
      </c>
      <c r="I467" t="n">
        <v>0</v>
      </c>
      <c r="J467" t="n">
        <v>0</v>
      </c>
      <c r="K467" t="n">
        <v>0</v>
      </c>
      <c r="L467" t="n">
        <v>0</v>
      </c>
      <c r="M467" t="n">
        <v>0</v>
      </c>
      <c r="N467" t="n">
        <v>0</v>
      </c>
      <c r="O467" t="n">
        <v>0</v>
      </c>
      <c r="P467" t="n">
        <v>0</v>
      </c>
      <c r="Q467" t="n">
        <v>0</v>
      </c>
      <c r="R467" s="2" t="inlineStr"/>
    </row>
    <row r="468" ht="15" customHeight="1">
      <c r="A468" t="inlineStr">
        <is>
          <t>A 8627-2023</t>
        </is>
      </c>
      <c r="B468" s="1" t="n">
        <v>44977</v>
      </c>
      <c r="C468" s="1" t="n">
        <v>46059</v>
      </c>
      <c r="D468" t="inlineStr">
        <is>
          <t>VÄSTERNORRLANDS LÄN</t>
        </is>
      </c>
      <c r="E468" t="inlineStr">
        <is>
          <t>ÅNGE</t>
        </is>
      </c>
      <c r="G468" t="n">
        <v>3</v>
      </c>
      <c r="H468" t="n">
        <v>0</v>
      </c>
      <c r="I468" t="n">
        <v>0</v>
      </c>
      <c r="J468" t="n">
        <v>0</v>
      </c>
      <c r="K468" t="n">
        <v>0</v>
      </c>
      <c r="L468" t="n">
        <v>0</v>
      </c>
      <c r="M468" t="n">
        <v>0</v>
      </c>
      <c r="N468" t="n">
        <v>0</v>
      </c>
      <c r="O468" t="n">
        <v>0</v>
      </c>
      <c r="P468" t="n">
        <v>0</v>
      </c>
      <c r="Q468" t="n">
        <v>0</v>
      </c>
      <c r="R468" s="2" t="inlineStr"/>
    </row>
    <row r="469" ht="15" customHeight="1">
      <c r="A469" t="inlineStr">
        <is>
          <t>A 27260-2023</t>
        </is>
      </c>
      <c r="B469" s="1" t="n">
        <v>45092</v>
      </c>
      <c r="C469" s="1" t="n">
        <v>46059</v>
      </c>
      <c r="D469" t="inlineStr">
        <is>
          <t>VÄSTERNORRLANDS LÄN</t>
        </is>
      </c>
      <c r="E469" t="inlineStr">
        <is>
          <t>ÅNGE</t>
        </is>
      </c>
      <c r="G469" t="n">
        <v>2.7</v>
      </c>
      <c r="H469" t="n">
        <v>0</v>
      </c>
      <c r="I469" t="n">
        <v>0</v>
      </c>
      <c r="J469" t="n">
        <v>0</v>
      </c>
      <c r="K469" t="n">
        <v>0</v>
      </c>
      <c r="L469" t="n">
        <v>0</v>
      </c>
      <c r="M469" t="n">
        <v>0</v>
      </c>
      <c r="N469" t="n">
        <v>0</v>
      </c>
      <c r="O469" t="n">
        <v>0</v>
      </c>
      <c r="P469" t="n">
        <v>0</v>
      </c>
      <c r="Q469" t="n">
        <v>0</v>
      </c>
      <c r="R469" s="2" t="inlineStr"/>
    </row>
    <row r="470" ht="15" customHeight="1">
      <c r="A470" t="inlineStr">
        <is>
          <t>A 39444-2025</t>
        </is>
      </c>
      <c r="B470" s="1" t="n">
        <v>45889.69826388889</v>
      </c>
      <c r="C470" s="1" t="n">
        <v>46059</v>
      </c>
      <c r="D470" t="inlineStr">
        <is>
          <t>VÄSTERNORRLANDS LÄN</t>
        </is>
      </c>
      <c r="E470" t="inlineStr">
        <is>
          <t>ÅNGE</t>
        </is>
      </c>
      <c r="F470" t="inlineStr">
        <is>
          <t>SCA</t>
        </is>
      </c>
      <c r="G470" t="n">
        <v>7.9</v>
      </c>
      <c r="H470" t="n">
        <v>0</v>
      </c>
      <c r="I470" t="n">
        <v>0</v>
      </c>
      <c r="J470" t="n">
        <v>0</v>
      </c>
      <c r="K470" t="n">
        <v>0</v>
      </c>
      <c r="L470" t="n">
        <v>0</v>
      </c>
      <c r="M470" t="n">
        <v>0</v>
      </c>
      <c r="N470" t="n">
        <v>0</v>
      </c>
      <c r="O470" t="n">
        <v>0</v>
      </c>
      <c r="P470" t="n">
        <v>0</v>
      </c>
      <c r="Q470" t="n">
        <v>0</v>
      </c>
      <c r="R470" s="2" t="inlineStr"/>
    </row>
    <row r="471" ht="15" customHeight="1">
      <c r="A471" t="inlineStr">
        <is>
          <t>A 31696-2022</t>
        </is>
      </c>
      <c r="B471" s="1" t="n">
        <v>44776</v>
      </c>
      <c r="C471" s="1" t="n">
        <v>46059</v>
      </c>
      <c r="D471" t="inlineStr">
        <is>
          <t>VÄSTERNORRLANDS LÄN</t>
        </is>
      </c>
      <c r="E471" t="inlineStr">
        <is>
          <t>ÅNGE</t>
        </is>
      </c>
      <c r="G471" t="n">
        <v>1.8</v>
      </c>
      <c r="H471" t="n">
        <v>0</v>
      </c>
      <c r="I471" t="n">
        <v>0</v>
      </c>
      <c r="J471" t="n">
        <v>0</v>
      </c>
      <c r="K471" t="n">
        <v>0</v>
      </c>
      <c r="L471" t="n">
        <v>0</v>
      </c>
      <c r="M471" t="n">
        <v>0</v>
      </c>
      <c r="N471" t="n">
        <v>0</v>
      </c>
      <c r="O471" t="n">
        <v>0</v>
      </c>
      <c r="P471" t="n">
        <v>0</v>
      </c>
      <c r="Q471" t="n">
        <v>0</v>
      </c>
      <c r="R471" s="2" t="inlineStr"/>
    </row>
    <row r="472" ht="15" customHeight="1">
      <c r="A472" t="inlineStr">
        <is>
          <t>A 58634-2023</t>
        </is>
      </c>
      <c r="B472" s="1" t="n">
        <v>45251</v>
      </c>
      <c r="C472" s="1" t="n">
        <v>46059</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16934-2025</t>
        </is>
      </c>
      <c r="B473" s="1" t="n">
        <v>45755.40671296296</v>
      </c>
      <c r="C473" s="1" t="n">
        <v>46059</v>
      </c>
      <c r="D473" t="inlineStr">
        <is>
          <t>VÄSTERNORRLANDS LÄN</t>
        </is>
      </c>
      <c r="E473" t="inlineStr">
        <is>
          <t>ÅNGE</t>
        </is>
      </c>
      <c r="G473" t="n">
        <v>3.9</v>
      </c>
      <c r="H473" t="n">
        <v>0</v>
      </c>
      <c r="I473" t="n">
        <v>0</v>
      </c>
      <c r="J473" t="n">
        <v>0</v>
      </c>
      <c r="K473" t="n">
        <v>0</v>
      </c>
      <c r="L473" t="n">
        <v>0</v>
      </c>
      <c r="M473" t="n">
        <v>0</v>
      </c>
      <c r="N473" t="n">
        <v>0</v>
      </c>
      <c r="O473" t="n">
        <v>0</v>
      </c>
      <c r="P473" t="n">
        <v>0</v>
      </c>
      <c r="Q473" t="n">
        <v>0</v>
      </c>
      <c r="R473" s="2" t="inlineStr"/>
    </row>
    <row r="474" ht="15" customHeight="1">
      <c r="A474" t="inlineStr">
        <is>
          <t>A 56434-2021</t>
        </is>
      </c>
      <c r="B474" s="1" t="n">
        <v>44477</v>
      </c>
      <c r="C474" s="1" t="n">
        <v>46059</v>
      </c>
      <c r="D474" t="inlineStr">
        <is>
          <t>VÄSTERNORRLANDS LÄN</t>
        </is>
      </c>
      <c r="E474" t="inlineStr">
        <is>
          <t>ÅNGE</t>
        </is>
      </c>
      <c r="G474" t="n">
        <v>2.7</v>
      </c>
      <c r="H474" t="n">
        <v>0</v>
      </c>
      <c r="I474" t="n">
        <v>0</v>
      </c>
      <c r="J474" t="n">
        <v>0</v>
      </c>
      <c r="K474" t="n">
        <v>0</v>
      </c>
      <c r="L474" t="n">
        <v>0</v>
      </c>
      <c r="M474" t="n">
        <v>0</v>
      </c>
      <c r="N474" t="n">
        <v>0</v>
      </c>
      <c r="O474" t="n">
        <v>0</v>
      </c>
      <c r="P474" t="n">
        <v>0</v>
      </c>
      <c r="Q474" t="n">
        <v>0</v>
      </c>
      <c r="R474" s="2" t="inlineStr"/>
    </row>
    <row r="475" ht="15" customHeight="1">
      <c r="A475" t="inlineStr">
        <is>
          <t>A 54946-2021</t>
        </is>
      </c>
      <c r="B475" s="1" t="n">
        <v>44474.46466435185</v>
      </c>
      <c r="C475" s="1" t="n">
        <v>46059</v>
      </c>
      <c r="D475" t="inlineStr">
        <is>
          <t>VÄSTERNORRLANDS LÄN</t>
        </is>
      </c>
      <c r="E475" t="inlineStr">
        <is>
          <t>ÅNGE</t>
        </is>
      </c>
      <c r="G475" t="n">
        <v>5.4</v>
      </c>
      <c r="H475" t="n">
        <v>0</v>
      </c>
      <c r="I475" t="n">
        <v>0</v>
      </c>
      <c r="J475" t="n">
        <v>0</v>
      </c>
      <c r="K475" t="n">
        <v>0</v>
      </c>
      <c r="L475" t="n">
        <v>0</v>
      </c>
      <c r="M475" t="n">
        <v>0</v>
      </c>
      <c r="N475" t="n">
        <v>0</v>
      </c>
      <c r="O475" t="n">
        <v>0</v>
      </c>
      <c r="P475" t="n">
        <v>0</v>
      </c>
      <c r="Q475" t="n">
        <v>0</v>
      </c>
      <c r="R475" s="2" t="inlineStr"/>
    </row>
    <row r="476" ht="15" customHeight="1">
      <c r="A476" t="inlineStr">
        <is>
          <t>A 57109-2023</t>
        </is>
      </c>
      <c r="B476" s="1" t="n">
        <v>45239</v>
      </c>
      <c r="C476" s="1" t="n">
        <v>46059</v>
      </c>
      <c r="D476" t="inlineStr">
        <is>
          <t>VÄSTERNORRLANDS LÄN</t>
        </is>
      </c>
      <c r="E476" t="inlineStr">
        <is>
          <t>ÅNGE</t>
        </is>
      </c>
      <c r="G476" t="n">
        <v>7</v>
      </c>
      <c r="H476" t="n">
        <v>0</v>
      </c>
      <c r="I476" t="n">
        <v>0</v>
      </c>
      <c r="J476" t="n">
        <v>0</v>
      </c>
      <c r="K476" t="n">
        <v>0</v>
      </c>
      <c r="L476" t="n">
        <v>0</v>
      </c>
      <c r="M476" t="n">
        <v>0</v>
      </c>
      <c r="N476" t="n">
        <v>0</v>
      </c>
      <c r="O476" t="n">
        <v>0</v>
      </c>
      <c r="P476" t="n">
        <v>0</v>
      </c>
      <c r="Q476" t="n">
        <v>0</v>
      </c>
      <c r="R476" s="2" t="inlineStr"/>
    </row>
    <row r="477" ht="15" customHeight="1">
      <c r="A477" t="inlineStr">
        <is>
          <t>A 42346-2023</t>
        </is>
      </c>
      <c r="B477" s="1" t="n">
        <v>45180</v>
      </c>
      <c r="C477" s="1" t="n">
        <v>46059</v>
      </c>
      <c r="D477" t="inlineStr">
        <is>
          <t>VÄSTERNORRLANDS LÄN</t>
        </is>
      </c>
      <c r="E477" t="inlineStr">
        <is>
          <t>ÅNGE</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16563-2025</t>
        </is>
      </c>
      <c r="B478" s="1" t="n">
        <v>45752.34430555555</v>
      </c>
      <c r="C478" s="1" t="n">
        <v>46059</v>
      </c>
      <c r="D478" t="inlineStr">
        <is>
          <t>VÄSTERNORRLANDS LÄN</t>
        </is>
      </c>
      <c r="E478" t="inlineStr">
        <is>
          <t>ÅNGE</t>
        </is>
      </c>
      <c r="F478" t="inlineStr">
        <is>
          <t>SCA</t>
        </is>
      </c>
      <c r="G478" t="n">
        <v>24.7</v>
      </c>
      <c r="H478" t="n">
        <v>0</v>
      </c>
      <c r="I478" t="n">
        <v>0</v>
      </c>
      <c r="J478" t="n">
        <v>0</v>
      </c>
      <c r="K478" t="n">
        <v>0</v>
      </c>
      <c r="L478" t="n">
        <v>0</v>
      </c>
      <c r="M478" t="n">
        <v>0</v>
      </c>
      <c r="N478" t="n">
        <v>0</v>
      </c>
      <c r="O478" t="n">
        <v>0</v>
      </c>
      <c r="P478" t="n">
        <v>0</v>
      </c>
      <c r="Q478" t="n">
        <v>0</v>
      </c>
      <c r="R478" s="2" t="inlineStr"/>
    </row>
    <row r="479" ht="15" customHeight="1">
      <c r="A479" t="inlineStr">
        <is>
          <t>A 15368-2024</t>
        </is>
      </c>
      <c r="B479" s="1" t="n">
        <v>45400.92284722222</v>
      </c>
      <c r="C479" s="1" t="n">
        <v>46059</v>
      </c>
      <c r="D479" t="inlineStr">
        <is>
          <t>VÄSTERNORRLANDS LÄN</t>
        </is>
      </c>
      <c r="E479" t="inlineStr">
        <is>
          <t>ÅNGE</t>
        </is>
      </c>
      <c r="G479" t="n">
        <v>0.4</v>
      </c>
      <c r="H479" t="n">
        <v>0</v>
      </c>
      <c r="I479" t="n">
        <v>0</v>
      </c>
      <c r="J479" t="n">
        <v>0</v>
      </c>
      <c r="K479" t="n">
        <v>0</v>
      </c>
      <c r="L479" t="n">
        <v>0</v>
      </c>
      <c r="M479" t="n">
        <v>0</v>
      </c>
      <c r="N479" t="n">
        <v>0</v>
      </c>
      <c r="O479" t="n">
        <v>0</v>
      </c>
      <c r="P479" t="n">
        <v>0</v>
      </c>
      <c r="Q479" t="n">
        <v>0</v>
      </c>
      <c r="R479" s="2" t="inlineStr"/>
    </row>
    <row r="480" ht="15" customHeight="1">
      <c r="A480" t="inlineStr">
        <is>
          <t>A 57636-2022</t>
        </is>
      </c>
      <c r="B480" s="1" t="n">
        <v>44897</v>
      </c>
      <c r="C480" s="1" t="n">
        <v>46059</v>
      </c>
      <c r="D480" t="inlineStr">
        <is>
          <t>VÄSTERNORRLANDS LÄN</t>
        </is>
      </c>
      <c r="E480" t="inlineStr">
        <is>
          <t>ÅNGE</t>
        </is>
      </c>
      <c r="G480" t="n">
        <v>0.8</v>
      </c>
      <c r="H480" t="n">
        <v>0</v>
      </c>
      <c r="I480" t="n">
        <v>0</v>
      </c>
      <c r="J480" t="n">
        <v>0</v>
      </c>
      <c r="K480" t="n">
        <v>0</v>
      </c>
      <c r="L480" t="n">
        <v>0</v>
      </c>
      <c r="M480" t="n">
        <v>0</v>
      </c>
      <c r="N480" t="n">
        <v>0</v>
      </c>
      <c r="O480" t="n">
        <v>0</v>
      </c>
      <c r="P480" t="n">
        <v>0</v>
      </c>
      <c r="Q480" t="n">
        <v>0</v>
      </c>
      <c r="R480" s="2" t="inlineStr"/>
    </row>
    <row r="481" ht="15" customHeight="1">
      <c r="A481" t="inlineStr">
        <is>
          <t>A 15369-2024</t>
        </is>
      </c>
      <c r="B481" s="1" t="n">
        <v>45400.92290509259</v>
      </c>
      <c r="C481" s="1" t="n">
        <v>46059</v>
      </c>
      <c r="D481" t="inlineStr">
        <is>
          <t>VÄSTERNORRLANDS LÄN</t>
        </is>
      </c>
      <c r="E481" t="inlineStr">
        <is>
          <t>ÅNGE</t>
        </is>
      </c>
      <c r="G481" t="n">
        <v>0.4</v>
      </c>
      <c r="H481" t="n">
        <v>0</v>
      </c>
      <c r="I481" t="n">
        <v>0</v>
      </c>
      <c r="J481" t="n">
        <v>0</v>
      </c>
      <c r="K481" t="n">
        <v>0</v>
      </c>
      <c r="L481" t="n">
        <v>0</v>
      </c>
      <c r="M481" t="n">
        <v>0</v>
      </c>
      <c r="N481" t="n">
        <v>0</v>
      </c>
      <c r="O481" t="n">
        <v>0</v>
      </c>
      <c r="P481" t="n">
        <v>0</v>
      </c>
      <c r="Q481" t="n">
        <v>0</v>
      </c>
      <c r="R481" s="2" t="inlineStr"/>
    </row>
    <row r="482" ht="15" customHeight="1">
      <c r="A482" t="inlineStr">
        <is>
          <t>A 52685-2024</t>
        </is>
      </c>
      <c r="B482" s="1" t="n">
        <v>45610</v>
      </c>
      <c r="C482" s="1" t="n">
        <v>46059</v>
      </c>
      <c r="D482" t="inlineStr">
        <is>
          <t>VÄSTERNORRLANDS LÄN</t>
        </is>
      </c>
      <c r="E482" t="inlineStr">
        <is>
          <t>ÅNGE</t>
        </is>
      </c>
      <c r="G482" t="n">
        <v>2.3</v>
      </c>
      <c r="H482" t="n">
        <v>0</v>
      </c>
      <c r="I482" t="n">
        <v>0</v>
      </c>
      <c r="J482" t="n">
        <v>0</v>
      </c>
      <c r="K482" t="n">
        <v>0</v>
      </c>
      <c r="L482" t="n">
        <v>0</v>
      </c>
      <c r="M482" t="n">
        <v>0</v>
      </c>
      <c r="N482" t="n">
        <v>0</v>
      </c>
      <c r="O482" t="n">
        <v>0</v>
      </c>
      <c r="P482" t="n">
        <v>0</v>
      </c>
      <c r="Q482" t="n">
        <v>0</v>
      </c>
      <c r="R482" s="2" t="inlineStr"/>
    </row>
    <row r="483" ht="15" customHeight="1">
      <c r="A483" t="inlineStr">
        <is>
          <t>A 55664-2023</t>
        </is>
      </c>
      <c r="B483" s="1" t="n">
        <v>45238.96748842593</v>
      </c>
      <c r="C483" s="1" t="n">
        <v>46059</v>
      </c>
      <c r="D483" t="inlineStr">
        <is>
          <t>VÄSTERNORRLANDS LÄN</t>
        </is>
      </c>
      <c r="E483" t="inlineStr">
        <is>
          <t>ÅNGE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9605-2025</t>
        </is>
      </c>
      <c r="B484" s="1" t="n">
        <v>45715.65657407408</v>
      </c>
      <c r="C484" s="1" t="n">
        <v>46059</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58275-2022</t>
        </is>
      </c>
      <c r="B485" s="1" t="n">
        <v>44901.47865740741</v>
      </c>
      <c r="C485" s="1" t="n">
        <v>46059</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39434-2025</t>
        </is>
      </c>
      <c r="B486" s="1" t="n">
        <v>45889.67811342593</v>
      </c>
      <c r="C486" s="1" t="n">
        <v>46059</v>
      </c>
      <c r="D486" t="inlineStr">
        <is>
          <t>VÄSTERNORRLANDS LÄN</t>
        </is>
      </c>
      <c r="E486" t="inlineStr">
        <is>
          <t>ÅNGE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20108-2025</t>
        </is>
      </c>
      <c r="B487" s="1" t="n">
        <v>45772.47006944445</v>
      </c>
      <c r="C487" s="1" t="n">
        <v>46059</v>
      </c>
      <c r="D487" t="inlineStr">
        <is>
          <t>VÄSTERNORRLANDS LÄN</t>
        </is>
      </c>
      <c r="E487" t="inlineStr">
        <is>
          <t>ÅNGE</t>
        </is>
      </c>
      <c r="F487" t="inlineStr">
        <is>
          <t>Naturvårdsverket</t>
        </is>
      </c>
      <c r="G487" t="n">
        <v>2</v>
      </c>
      <c r="H487" t="n">
        <v>0</v>
      </c>
      <c r="I487" t="n">
        <v>0</v>
      </c>
      <c r="J487" t="n">
        <v>0</v>
      </c>
      <c r="K487" t="n">
        <v>0</v>
      </c>
      <c r="L487" t="n">
        <v>0</v>
      </c>
      <c r="M487" t="n">
        <v>0</v>
      </c>
      <c r="N487" t="n">
        <v>0</v>
      </c>
      <c r="O487" t="n">
        <v>0</v>
      </c>
      <c r="P487" t="n">
        <v>0</v>
      </c>
      <c r="Q487" t="n">
        <v>0</v>
      </c>
      <c r="R487" s="2" t="inlineStr"/>
    </row>
    <row r="488" ht="15" customHeight="1">
      <c r="A488" t="inlineStr">
        <is>
          <t>A 38686-2025</t>
        </is>
      </c>
      <c r="B488" s="1" t="n">
        <v>45884.65658564815</v>
      </c>
      <c r="C488" s="1" t="n">
        <v>46059</v>
      </c>
      <c r="D488" t="inlineStr">
        <is>
          <t>VÄSTERNORRLANDS LÄN</t>
        </is>
      </c>
      <c r="E488" t="inlineStr">
        <is>
          <t>ÅNGE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29063-2023</t>
        </is>
      </c>
      <c r="B489" s="1" t="n">
        <v>45104.94068287037</v>
      </c>
      <c r="C489" s="1" t="n">
        <v>46059</v>
      </c>
      <c r="D489" t="inlineStr">
        <is>
          <t>VÄSTERNORRLANDS LÄN</t>
        </is>
      </c>
      <c r="E489" t="inlineStr">
        <is>
          <t>ÅNGE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51609-2023</t>
        </is>
      </c>
      <c r="B490" s="1" t="n">
        <v>45215</v>
      </c>
      <c r="C490" s="1" t="n">
        <v>46059</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53970-2021</t>
        </is>
      </c>
      <c r="B491" s="1" t="n">
        <v>44469</v>
      </c>
      <c r="C491" s="1" t="n">
        <v>46059</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2415-2024</t>
        </is>
      </c>
      <c r="B492" s="1" t="n">
        <v>45310</v>
      </c>
      <c r="C492" s="1" t="n">
        <v>46059</v>
      </c>
      <c r="D492" t="inlineStr">
        <is>
          <t>VÄSTERNORRLANDS LÄN</t>
        </is>
      </c>
      <c r="E492" t="inlineStr">
        <is>
          <t>ÅNGE</t>
        </is>
      </c>
      <c r="F492" t="inlineStr">
        <is>
          <t>Kyrkan</t>
        </is>
      </c>
      <c r="G492" t="n">
        <v>0.2</v>
      </c>
      <c r="H492" t="n">
        <v>0</v>
      </c>
      <c r="I492" t="n">
        <v>0</v>
      </c>
      <c r="J492" t="n">
        <v>0</v>
      </c>
      <c r="K492" t="n">
        <v>0</v>
      </c>
      <c r="L492" t="n">
        <v>0</v>
      </c>
      <c r="M492" t="n">
        <v>0</v>
      </c>
      <c r="N492" t="n">
        <v>0</v>
      </c>
      <c r="O492" t="n">
        <v>0</v>
      </c>
      <c r="P492" t="n">
        <v>0</v>
      </c>
      <c r="Q492" t="n">
        <v>0</v>
      </c>
      <c r="R492" s="2" t="inlineStr"/>
    </row>
    <row r="493" ht="15" customHeight="1">
      <c r="A493" t="inlineStr">
        <is>
          <t>A 6686-2024</t>
        </is>
      </c>
      <c r="B493" s="1" t="n">
        <v>45341</v>
      </c>
      <c r="C493" s="1" t="n">
        <v>46059</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30682-2024</t>
        </is>
      </c>
      <c r="B494" s="1" t="n">
        <v>45495.95109953704</v>
      </c>
      <c r="C494" s="1" t="n">
        <v>46059</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30753-2024</t>
        </is>
      </c>
      <c r="B495" s="1" t="n">
        <v>45496</v>
      </c>
      <c r="C495" s="1" t="n">
        <v>46059</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30754-2024</t>
        </is>
      </c>
      <c r="B496" s="1" t="n">
        <v>45496</v>
      </c>
      <c r="C496" s="1" t="n">
        <v>46059</v>
      </c>
      <c r="D496" t="inlineStr">
        <is>
          <t>VÄSTERNORRLANDS LÄN</t>
        </is>
      </c>
      <c r="E496" t="inlineStr">
        <is>
          <t>ÅNGE</t>
        </is>
      </c>
      <c r="G496" t="n">
        <v>3.8</v>
      </c>
      <c r="H496" t="n">
        <v>0</v>
      </c>
      <c r="I496" t="n">
        <v>0</v>
      </c>
      <c r="J496" t="n">
        <v>0</v>
      </c>
      <c r="K496" t="n">
        <v>0</v>
      </c>
      <c r="L496" t="n">
        <v>0</v>
      </c>
      <c r="M496" t="n">
        <v>0</v>
      </c>
      <c r="N496" t="n">
        <v>0</v>
      </c>
      <c r="O496" t="n">
        <v>0</v>
      </c>
      <c r="P496" t="n">
        <v>0</v>
      </c>
      <c r="Q496" t="n">
        <v>0</v>
      </c>
      <c r="R496" s="2" t="inlineStr"/>
    </row>
    <row r="497" ht="15" customHeight="1">
      <c r="A497" t="inlineStr">
        <is>
          <t>A 38960-2021</t>
        </is>
      </c>
      <c r="B497" s="1" t="n">
        <v>44411</v>
      </c>
      <c r="C497" s="1" t="n">
        <v>46059</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6610-2025</t>
        </is>
      </c>
      <c r="B498" s="1" t="n">
        <v>45700</v>
      </c>
      <c r="C498" s="1" t="n">
        <v>46059</v>
      </c>
      <c r="D498" t="inlineStr">
        <is>
          <t>VÄSTERNORRLANDS LÄN</t>
        </is>
      </c>
      <c r="E498" t="inlineStr">
        <is>
          <t>ÅNGE</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16853-2023</t>
        </is>
      </c>
      <c r="B499" s="1" t="n">
        <v>45033</v>
      </c>
      <c r="C499" s="1" t="n">
        <v>46059</v>
      </c>
      <c r="D499" t="inlineStr">
        <is>
          <t>VÄSTERNORRLANDS LÄN</t>
        </is>
      </c>
      <c r="E499" t="inlineStr">
        <is>
          <t>ÅNGE</t>
        </is>
      </c>
      <c r="G499" t="n">
        <v>0.7</v>
      </c>
      <c r="H499" t="n">
        <v>0</v>
      </c>
      <c r="I499" t="n">
        <v>0</v>
      </c>
      <c r="J499" t="n">
        <v>0</v>
      </c>
      <c r="K499" t="n">
        <v>0</v>
      </c>
      <c r="L499" t="n">
        <v>0</v>
      </c>
      <c r="M499" t="n">
        <v>0</v>
      </c>
      <c r="N499" t="n">
        <v>0</v>
      </c>
      <c r="O499" t="n">
        <v>0</v>
      </c>
      <c r="P499" t="n">
        <v>0</v>
      </c>
      <c r="Q499" t="n">
        <v>0</v>
      </c>
      <c r="R499" s="2" t="inlineStr"/>
    </row>
    <row r="500" ht="15" customHeight="1">
      <c r="A500" t="inlineStr">
        <is>
          <t>A 35578-2025</t>
        </is>
      </c>
      <c r="B500" s="1" t="n">
        <v>45856.67797453704</v>
      </c>
      <c r="C500" s="1" t="n">
        <v>46059</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39768-2025</t>
        </is>
      </c>
      <c r="B501" s="1" t="n">
        <v>45891.44842592593</v>
      </c>
      <c r="C501" s="1" t="n">
        <v>46059</v>
      </c>
      <c r="D501" t="inlineStr">
        <is>
          <t>VÄSTERNORRLANDS LÄN</t>
        </is>
      </c>
      <c r="E501" t="inlineStr">
        <is>
          <t>ÅNGE</t>
        </is>
      </c>
      <c r="G501" t="n">
        <v>10.4</v>
      </c>
      <c r="H501" t="n">
        <v>0</v>
      </c>
      <c r="I501" t="n">
        <v>0</v>
      </c>
      <c r="J501" t="n">
        <v>0</v>
      </c>
      <c r="K501" t="n">
        <v>0</v>
      </c>
      <c r="L501" t="n">
        <v>0</v>
      </c>
      <c r="M501" t="n">
        <v>0</v>
      </c>
      <c r="N501" t="n">
        <v>0</v>
      </c>
      <c r="O501" t="n">
        <v>0</v>
      </c>
      <c r="P501" t="n">
        <v>0</v>
      </c>
      <c r="Q501" t="n">
        <v>0</v>
      </c>
      <c r="R501" s="2" t="inlineStr"/>
    </row>
    <row r="502" ht="15" customHeight="1">
      <c r="A502" t="inlineStr">
        <is>
          <t>A 35581-2024</t>
        </is>
      </c>
      <c r="B502" s="1" t="n">
        <v>45531</v>
      </c>
      <c r="C502" s="1" t="n">
        <v>46059</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65633-2021</t>
        </is>
      </c>
      <c r="B503" s="1" t="n">
        <v>44516.56181712963</v>
      </c>
      <c r="C503" s="1" t="n">
        <v>46059</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33720-2025</t>
        </is>
      </c>
      <c r="B504" s="1" t="n">
        <v>45841.90605324074</v>
      </c>
      <c r="C504" s="1" t="n">
        <v>46059</v>
      </c>
      <c r="D504" t="inlineStr">
        <is>
          <t>VÄSTERNORRLANDS LÄN</t>
        </is>
      </c>
      <c r="E504" t="inlineStr">
        <is>
          <t>ÅNGE</t>
        </is>
      </c>
      <c r="G504" t="n">
        <v>6.4</v>
      </c>
      <c r="H504" t="n">
        <v>0</v>
      </c>
      <c r="I504" t="n">
        <v>0</v>
      </c>
      <c r="J504" t="n">
        <v>0</v>
      </c>
      <c r="K504" t="n">
        <v>0</v>
      </c>
      <c r="L504" t="n">
        <v>0</v>
      </c>
      <c r="M504" t="n">
        <v>0</v>
      </c>
      <c r="N504" t="n">
        <v>0</v>
      </c>
      <c r="O504" t="n">
        <v>0</v>
      </c>
      <c r="P504" t="n">
        <v>0</v>
      </c>
      <c r="Q504" t="n">
        <v>0</v>
      </c>
      <c r="R504" s="2" t="inlineStr"/>
    </row>
    <row r="505" ht="15" customHeight="1">
      <c r="A505" t="inlineStr">
        <is>
          <t>A 63709-2023</t>
        </is>
      </c>
      <c r="B505" s="1" t="n">
        <v>45275.95069444444</v>
      </c>
      <c r="C505" s="1" t="n">
        <v>46059</v>
      </c>
      <c r="D505" t="inlineStr">
        <is>
          <t>VÄSTERNORRLANDS LÄN</t>
        </is>
      </c>
      <c r="E505" t="inlineStr">
        <is>
          <t>ÅNGE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34091-2022</t>
        </is>
      </c>
      <c r="B506" s="1" t="n">
        <v>44791</v>
      </c>
      <c r="C506" s="1" t="n">
        <v>46059</v>
      </c>
      <c r="D506" t="inlineStr">
        <is>
          <t>VÄSTERNORRLANDS LÄN</t>
        </is>
      </c>
      <c r="E506" t="inlineStr">
        <is>
          <t>ÅNGE</t>
        </is>
      </c>
      <c r="G506" t="n">
        <v>10.1</v>
      </c>
      <c r="H506" t="n">
        <v>0</v>
      </c>
      <c r="I506" t="n">
        <v>0</v>
      </c>
      <c r="J506" t="n">
        <v>0</v>
      </c>
      <c r="K506" t="n">
        <v>0</v>
      </c>
      <c r="L506" t="n">
        <v>0</v>
      </c>
      <c r="M506" t="n">
        <v>0</v>
      </c>
      <c r="N506" t="n">
        <v>0</v>
      </c>
      <c r="O506" t="n">
        <v>0</v>
      </c>
      <c r="P506" t="n">
        <v>0</v>
      </c>
      <c r="Q506" t="n">
        <v>0</v>
      </c>
      <c r="R506" s="2" t="inlineStr"/>
    </row>
    <row r="507" ht="15" customHeight="1">
      <c r="A507" t="inlineStr">
        <is>
          <t>A 39729-2025</t>
        </is>
      </c>
      <c r="B507" s="1" t="n">
        <v>45891</v>
      </c>
      <c r="C507" s="1" t="n">
        <v>46059</v>
      </c>
      <c r="D507" t="inlineStr">
        <is>
          <t>VÄSTERNORRLANDS LÄN</t>
        </is>
      </c>
      <c r="E507" t="inlineStr">
        <is>
          <t>ÅNGE</t>
        </is>
      </c>
      <c r="G507" t="n">
        <v>2.3</v>
      </c>
      <c r="H507" t="n">
        <v>0</v>
      </c>
      <c r="I507" t="n">
        <v>0</v>
      </c>
      <c r="J507" t="n">
        <v>0</v>
      </c>
      <c r="K507" t="n">
        <v>0</v>
      </c>
      <c r="L507" t="n">
        <v>0</v>
      </c>
      <c r="M507" t="n">
        <v>0</v>
      </c>
      <c r="N507" t="n">
        <v>0</v>
      </c>
      <c r="O507" t="n">
        <v>0</v>
      </c>
      <c r="P507" t="n">
        <v>0</v>
      </c>
      <c r="Q507" t="n">
        <v>0</v>
      </c>
      <c r="R507" s="2" t="inlineStr"/>
    </row>
    <row r="508" ht="15" customHeight="1">
      <c r="A508" t="inlineStr">
        <is>
          <t>A 38693-2025</t>
        </is>
      </c>
      <c r="B508" s="1" t="n">
        <v>45884.69829861111</v>
      </c>
      <c r="C508" s="1" t="n">
        <v>46059</v>
      </c>
      <c r="D508" t="inlineStr">
        <is>
          <t>VÄSTERNORRLANDS LÄN</t>
        </is>
      </c>
      <c r="E508" t="inlineStr">
        <is>
          <t>ÅNGE</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41507-2024</t>
        </is>
      </c>
      <c r="B509" s="1" t="n">
        <v>45560</v>
      </c>
      <c r="C509" s="1" t="n">
        <v>46059</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6487-2021</t>
        </is>
      </c>
      <c r="B510" s="1" t="n">
        <v>44235</v>
      </c>
      <c r="C510" s="1" t="n">
        <v>46059</v>
      </c>
      <c r="D510" t="inlineStr">
        <is>
          <t>VÄSTERNORRLANDS LÄN</t>
        </is>
      </c>
      <c r="E510" t="inlineStr">
        <is>
          <t>ÅNGE</t>
        </is>
      </c>
      <c r="G510" t="n">
        <v>2.1</v>
      </c>
      <c r="H510" t="n">
        <v>0</v>
      </c>
      <c r="I510" t="n">
        <v>0</v>
      </c>
      <c r="J510" t="n">
        <v>0</v>
      </c>
      <c r="K510" t="n">
        <v>0</v>
      </c>
      <c r="L510" t="n">
        <v>0</v>
      </c>
      <c r="M510" t="n">
        <v>0</v>
      </c>
      <c r="N510" t="n">
        <v>0</v>
      </c>
      <c r="O510" t="n">
        <v>0</v>
      </c>
      <c r="P510" t="n">
        <v>0</v>
      </c>
      <c r="Q510" t="n">
        <v>0</v>
      </c>
      <c r="R510" s="2" t="inlineStr"/>
    </row>
    <row r="511" ht="15" customHeight="1">
      <c r="A511" t="inlineStr">
        <is>
          <t>A 17749-2025</t>
        </is>
      </c>
      <c r="B511" s="1" t="n">
        <v>45758.48380787037</v>
      </c>
      <c r="C511" s="1" t="n">
        <v>46059</v>
      </c>
      <c r="D511" t="inlineStr">
        <is>
          <t>VÄSTERNORRLANDS LÄN</t>
        </is>
      </c>
      <c r="E511" t="inlineStr">
        <is>
          <t>ÅNGE</t>
        </is>
      </c>
      <c r="G511" t="n">
        <v>7.3</v>
      </c>
      <c r="H511" t="n">
        <v>0</v>
      </c>
      <c r="I511" t="n">
        <v>0</v>
      </c>
      <c r="J511" t="n">
        <v>0</v>
      </c>
      <c r="K511" t="n">
        <v>0</v>
      </c>
      <c r="L511" t="n">
        <v>0</v>
      </c>
      <c r="M511" t="n">
        <v>0</v>
      </c>
      <c r="N511" t="n">
        <v>0</v>
      </c>
      <c r="O511" t="n">
        <v>0</v>
      </c>
      <c r="P511" t="n">
        <v>0</v>
      </c>
      <c r="Q511" t="n">
        <v>0</v>
      </c>
      <c r="R511" s="2" t="inlineStr"/>
    </row>
    <row r="512" ht="15" customHeight="1">
      <c r="A512" t="inlineStr">
        <is>
          <t>A 38386-2025</t>
        </is>
      </c>
      <c r="B512" s="1" t="n">
        <v>45883.57430555556</v>
      </c>
      <c r="C512" s="1" t="n">
        <v>46059</v>
      </c>
      <c r="D512" t="inlineStr">
        <is>
          <t>VÄSTERNORRLANDS LÄN</t>
        </is>
      </c>
      <c r="E512" t="inlineStr">
        <is>
          <t>ÅNGE</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38273-2025</t>
        </is>
      </c>
      <c r="B513" s="1" t="n">
        <v>45883.40740740741</v>
      </c>
      <c r="C513" s="1" t="n">
        <v>46059</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42044-2024</t>
        </is>
      </c>
      <c r="B514" s="1" t="n">
        <v>45561</v>
      </c>
      <c r="C514" s="1" t="n">
        <v>46059</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16450-2025</t>
        </is>
      </c>
      <c r="B515" s="1" t="n">
        <v>45751.51081018519</v>
      </c>
      <c r="C515" s="1" t="n">
        <v>46059</v>
      </c>
      <c r="D515" t="inlineStr">
        <is>
          <t>VÄSTERNORRLANDS LÄN</t>
        </is>
      </c>
      <c r="E515" t="inlineStr">
        <is>
          <t>ÅNGE</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35577-2024</t>
        </is>
      </c>
      <c r="B516" s="1" t="n">
        <v>45531</v>
      </c>
      <c r="C516" s="1" t="n">
        <v>46059</v>
      </c>
      <c r="D516" t="inlineStr">
        <is>
          <t>VÄSTERNORRLANDS LÄN</t>
        </is>
      </c>
      <c r="E516" t="inlineStr">
        <is>
          <t>ÅNGE</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35580-2024</t>
        </is>
      </c>
      <c r="B517" s="1" t="n">
        <v>45531</v>
      </c>
      <c r="C517" s="1" t="n">
        <v>46059</v>
      </c>
      <c r="D517" t="inlineStr">
        <is>
          <t>VÄSTERNORRLANDS LÄN</t>
        </is>
      </c>
      <c r="E517" t="inlineStr">
        <is>
          <t>ÅNGE</t>
        </is>
      </c>
      <c r="G517" t="n">
        <v>0.7</v>
      </c>
      <c r="H517" t="n">
        <v>0</v>
      </c>
      <c r="I517" t="n">
        <v>0</v>
      </c>
      <c r="J517" t="n">
        <v>0</v>
      </c>
      <c r="K517" t="n">
        <v>0</v>
      </c>
      <c r="L517" t="n">
        <v>0</v>
      </c>
      <c r="M517" t="n">
        <v>0</v>
      </c>
      <c r="N517" t="n">
        <v>0</v>
      </c>
      <c r="O517" t="n">
        <v>0</v>
      </c>
      <c r="P517" t="n">
        <v>0</v>
      </c>
      <c r="Q517" t="n">
        <v>0</v>
      </c>
      <c r="R517" s="2" t="inlineStr"/>
    </row>
    <row r="518" ht="15" customHeight="1">
      <c r="A518" t="inlineStr">
        <is>
          <t>A 3256-2024</t>
        </is>
      </c>
      <c r="B518" s="1" t="n">
        <v>45316</v>
      </c>
      <c r="C518" s="1" t="n">
        <v>46059</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54342-2023</t>
        </is>
      </c>
      <c r="B519" s="1" t="n">
        <v>45232</v>
      </c>
      <c r="C519" s="1" t="n">
        <v>46059</v>
      </c>
      <c r="D519" t="inlineStr">
        <is>
          <t>VÄSTERNORRLANDS LÄN</t>
        </is>
      </c>
      <c r="E519" t="inlineStr">
        <is>
          <t>ÅNGE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46255-2023</t>
        </is>
      </c>
      <c r="B520" s="1" t="n">
        <v>45196</v>
      </c>
      <c r="C520" s="1" t="n">
        <v>46059</v>
      </c>
      <c r="D520" t="inlineStr">
        <is>
          <t>VÄSTERNORRLANDS LÄN</t>
        </is>
      </c>
      <c r="E520" t="inlineStr">
        <is>
          <t>ÅNGE</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14751-2025</t>
        </is>
      </c>
      <c r="B521" s="1" t="n">
        <v>45742.65863425926</v>
      </c>
      <c r="C521" s="1" t="n">
        <v>46059</v>
      </c>
      <c r="D521" t="inlineStr">
        <is>
          <t>VÄSTERNORRLANDS LÄN</t>
        </is>
      </c>
      <c r="E521" t="inlineStr">
        <is>
          <t>ÅNGE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10339-2025</t>
        </is>
      </c>
      <c r="B522" s="1" t="n">
        <v>45720</v>
      </c>
      <c r="C522" s="1" t="n">
        <v>46059</v>
      </c>
      <c r="D522" t="inlineStr">
        <is>
          <t>VÄSTERNORRLANDS LÄN</t>
        </is>
      </c>
      <c r="E522" t="inlineStr">
        <is>
          <t>ÅNGE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2365-2024</t>
        </is>
      </c>
      <c r="B523" s="1" t="n">
        <v>45310.59778935185</v>
      </c>
      <c r="C523" s="1" t="n">
        <v>46059</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2372-2024</t>
        </is>
      </c>
      <c r="B524" s="1" t="n">
        <v>45310.6115625</v>
      </c>
      <c r="C524" s="1" t="n">
        <v>46059</v>
      </c>
      <c r="D524" t="inlineStr">
        <is>
          <t>VÄSTERNORRLANDS LÄN</t>
        </is>
      </c>
      <c r="E524" t="inlineStr">
        <is>
          <t>ÅNGE</t>
        </is>
      </c>
      <c r="G524" t="n">
        <v>5.6</v>
      </c>
      <c r="H524" t="n">
        <v>0</v>
      </c>
      <c r="I524" t="n">
        <v>0</v>
      </c>
      <c r="J524" t="n">
        <v>0</v>
      </c>
      <c r="K524" t="n">
        <v>0</v>
      </c>
      <c r="L524" t="n">
        <v>0</v>
      </c>
      <c r="M524" t="n">
        <v>0</v>
      </c>
      <c r="N524" t="n">
        <v>0</v>
      </c>
      <c r="O524" t="n">
        <v>0</v>
      </c>
      <c r="P524" t="n">
        <v>0</v>
      </c>
      <c r="Q524" t="n">
        <v>0</v>
      </c>
      <c r="R524" s="2" t="inlineStr"/>
    </row>
    <row r="525" ht="15" customHeight="1">
      <c r="A525" t="inlineStr">
        <is>
          <t>A 17452-2025</t>
        </is>
      </c>
      <c r="B525" s="1" t="n">
        <v>45757.44842592593</v>
      </c>
      <c r="C525" s="1" t="n">
        <v>46059</v>
      </c>
      <c r="D525" t="inlineStr">
        <is>
          <t>VÄSTERNORRLANDS LÄN</t>
        </is>
      </c>
      <c r="E525" t="inlineStr">
        <is>
          <t>ÅNGE</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41083-2024</t>
        </is>
      </c>
      <c r="B526" s="1" t="n">
        <v>45559.40684027778</v>
      </c>
      <c r="C526" s="1" t="n">
        <v>46059</v>
      </c>
      <c r="D526" t="inlineStr">
        <is>
          <t>VÄSTERNORRLANDS LÄN</t>
        </is>
      </c>
      <c r="E526" t="inlineStr">
        <is>
          <t>ÅNGE</t>
        </is>
      </c>
      <c r="F526" t="inlineStr">
        <is>
          <t>SCA</t>
        </is>
      </c>
      <c r="G526" t="n">
        <v>8.4</v>
      </c>
      <c r="H526" t="n">
        <v>0</v>
      </c>
      <c r="I526" t="n">
        <v>0</v>
      </c>
      <c r="J526" t="n">
        <v>0</v>
      </c>
      <c r="K526" t="n">
        <v>0</v>
      </c>
      <c r="L526" t="n">
        <v>0</v>
      </c>
      <c r="M526" t="n">
        <v>0</v>
      </c>
      <c r="N526" t="n">
        <v>0</v>
      </c>
      <c r="O526" t="n">
        <v>0</v>
      </c>
      <c r="P526" t="n">
        <v>0</v>
      </c>
      <c r="Q526" t="n">
        <v>0</v>
      </c>
      <c r="R526" s="2" t="inlineStr"/>
    </row>
    <row r="527" ht="15" customHeight="1">
      <c r="A527" t="inlineStr">
        <is>
          <t>A 40665-2025</t>
        </is>
      </c>
      <c r="B527" s="1" t="n">
        <v>45896.65663194445</v>
      </c>
      <c r="C527" s="1" t="n">
        <v>46059</v>
      </c>
      <c r="D527" t="inlineStr">
        <is>
          <t>VÄSTERNORRLANDS LÄN</t>
        </is>
      </c>
      <c r="E527" t="inlineStr">
        <is>
          <t>ÅNGE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41766-2024</t>
        </is>
      </c>
      <c r="B528" s="1" t="n">
        <v>45561.34594907407</v>
      </c>
      <c r="C528" s="1" t="n">
        <v>46059</v>
      </c>
      <c r="D528" t="inlineStr">
        <is>
          <t>VÄSTERNORRLANDS LÄN</t>
        </is>
      </c>
      <c r="E528" t="inlineStr">
        <is>
          <t>ÅNGE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38283-2025</t>
        </is>
      </c>
      <c r="B529" s="1" t="n">
        <v>45883.42740740741</v>
      </c>
      <c r="C529" s="1" t="n">
        <v>46059</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18067-2025</t>
        </is>
      </c>
      <c r="B530" s="1" t="n">
        <v>45761.49016203704</v>
      </c>
      <c r="C530" s="1" t="n">
        <v>46059</v>
      </c>
      <c r="D530" t="inlineStr">
        <is>
          <t>VÄSTERNORRLANDS LÄN</t>
        </is>
      </c>
      <c r="E530" t="inlineStr">
        <is>
          <t>ÅNGE</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51024-2024</t>
        </is>
      </c>
      <c r="B531" s="1" t="n">
        <v>45603.4141087963</v>
      </c>
      <c r="C531" s="1" t="n">
        <v>46059</v>
      </c>
      <c r="D531" t="inlineStr">
        <is>
          <t>VÄSTERNORRLANDS LÄN</t>
        </is>
      </c>
      <c r="E531" t="inlineStr">
        <is>
          <t>ÅNGE</t>
        </is>
      </c>
      <c r="G531" t="n">
        <v>8.9</v>
      </c>
      <c r="H531" t="n">
        <v>0</v>
      </c>
      <c r="I531" t="n">
        <v>0</v>
      </c>
      <c r="J531" t="n">
        <v>0</v>
      </c>
      <c r="K531" t="n">
        <v>0</v>
      </c>
      <c r="L531" t="n">
        <v>0</v>
      </c>
      <c r="M531" t="n">
        <v>0</v>
      </c>
      <c r="N531" t="n">
        <v>0</v>
      </c>
      <c r="O531" t="n">
        <v>0</v>
      </c>
      <c r="P531" t="n">
        <v>0</v>
      </c>
      <c r="Q531" t="n">
        <v>0</v>
      </c>
      <c r="R531" s="2" t="inlineStr"/>
    </row>
    <row r="532" ht="15" customHeight="1">
      <c r="A532" t="inlineStr">
        <is>
          <t>A 1095-2023</t>
        </is>
      </c>
      <c r="B532" s="1" t="n">
        <v>44929</v>
      </c>
      <c r="C532" s="1" t="n">
        <v>46059</v>
      </c>
      <c r="D532" t="inlineStr">
        <is>
          <t>VÄSTERNORRLANDS LÄN</t>
        </is>
      </c>
      <c r="E532" t="inlineStr">
        <is>
          <t>ÅNGE</t>
        </is>
      </c>
      <c r="G532" t="n">
        <v>3.2</v>
      </c>
      <c r="H532" t="n">
        <v>0</v>
      </c>
      <c r="I532" t="n">
        <v>0</v>
      </c>
      <c r="J532" t="n">
        <v>0</v>
      </c>
      <c r="K532" t="n">
        <v>0</v>
      </c>
      <c r="L532" t="n">
        <v>0</v>
      </c>
      <c r="M532" t="n">
        <v>0</v>
      </c>
      <c r="N532" t="n">
        <v>0</v>
      </c>
      <c r="O532" t="n">
        <v>0</v>
      </c>
      <c r="P532" t="n">
        <v>0</v>
      </c>
      <c r="Q532" t="n">
        <v>0</v>
      </c>
      <c r="R532" s="2" t="inlineStr"/>
    </row>
    <row r="533" ht="15" customHeight="1">
      <c r="A533" t="inlineStr">
        <is>
          <t>A 64121-2021</t>
        </is>
      </c>
      <c r="B533" s="1" t="n">
        <v>44510.4730787037</v>
      </c>
      <c r="C533" s="1" t="n">
        <v>46059</v>
      </c>
      <c r="D533" t="inlineStr">
        <is>
          <t>VÄSTERNORRLANDS LÄN</t>
        </is>
      </c>
      <c r="E533" t="inlineStr">
        <is>
          <t>ÅNGE</t>
        </is>
      </c>
      <c r="G533" t="n">
        <v>1.1</v>
      </c>
      <c r="H533" t="n">
        <v>0</v>
      </c>
      <c r="I533" t="n">
        <v>0</v>
      </c>
      <c r="J533" t="n">
        <v>0</v>
      </c>
      <c r="K533" t="n">
        <v>0</v>
      </c>
      <c r="L533" t="n">
        <v>0</v>
      </c>
      <c r="M533" t="n">
        <v>0</v>
      </c>
      <c r="N533" t="n">
        <v>0</v>
      </c>
      <c r="O533" t="n">
        <v>0</v>
      </c>
      <c r="P533" t="n">
        <v>0</v>
      </c>
      <c r="Q533" t="n">
        <v>0</v>
      </c>
      <c r="R533" s="2" t="inlineStr"/>
    </row>
    <row r="534" ht="15" customHeight="1">
      <c r="A534" t="inlineStr">
        <is>
          <t>A 42881-2024</t>
        </is>
      </c>
      <c r="B534" s="1" t="n">
        <v>45566.70916666667</v>
      </c>
      <c r="C534" s="1" t="n">
        <v>46059</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38332-2025</t>
        </is>
      </c>
      <c r="B535" s="1" t="n">
        <v>45883.49151620371</v>
      </c>
      <c r="C535" s="1" t="n">
        <v>46059</v>
      </c>
      <c r="D535" t="inlineStr">
        <is>
          <t>VÄSTERNORRLANDS LÄN</t>
        </is>
      </c>
      <c r="E535" t="inlineStr">
        <is>
          <t>ÅNGE</t>
        </is>
      </c>
      <c r="F535" t="inlineStr">
        <is>
          <t>SCA</t>
        </is>
      </c>
      <c r="G535" t="n">
        <v>5.9</v>
      </c>
      <c r="H535" t="n">
        <v>0</v>
      </c>
      <c r="I535" t="n">
        <v>0</v>
      </c>
      <c r="J535" t="n">
        <v>0</v>
      </c>
      <c r="K535" t="n">
        <v>0</v>
      </c>
      <c r="L535" t="n">
        <v>0</v>
      </c>
      <c r="M535" t="n">
        <v>0</v>
      </c>
      <c r="N535" t="n">
        <v>0</v>
      </c>
      <c r="O535" t="n">
        <v>0</v>
      </c>
      <c r="P535" t="n">
        <v>0</v>
      </c>
      <c r="Q535" t="n">
        <v>0</v>
      </c>
      <c r="R535" s="2" t="inlineStr"/>
    </row>
    <row r="536" ht="15" customHeight="1">
      <c r="A536" t="inlineStr">
        <is>
          <t>A 22752-2023</t>
        </is>
      </c>
      <c r="B536" s="1" t="n">
        <v>45071.94104166667</v>
      </c>
      <c r="C536" s="1" t="n">
        <v>46059</v>
      </c>
      <c r="D536" t="inlineStr">
        <is>
          <t>VÄSTERNORRLANDS LÄN</t>
        </is>
      </c>
      <c r="E536" t="inlineStr">
        <is>
          <t>ÅNGE</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21200-2024</t>
        </is>
      </c>
      <c r="B537" s="1" t="n">
        <v>45440</v>
      </c>
      <c r="C537" s="1" t="n">
        <v>46059</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51383-2022</t>
        </is>
      </c>
      <c r="B538" s="1" t="n">
        <v>44866</v>
      </c>
      <c r="C538" s="1" t="n">
        <v>46059</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51393-2022</t>
        </is>
      </c>
      <c r="B539" s="1" t="n">
        <v>44869.43277777778</v>
      </c>
      <c r="C539" s="1" t="n">
        <v>46059</v>
      </c>
      <c r="D539" t="inlineStr">
        <is>
          <t>VÄSTERNORRLANDS LÄN</t>
        </is>
      </c>
      <c r="E539" t="inlineStr">
        <is>
          <t>ÅNGE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41179-2025</t>
        </is>
      </c>
      <c r="B540" s="1" t="n">
        <v>45898.55277777778</v>
      </c>
      <c r="C540" s="1" t="n">
        <v>46059</v>
      </c>
      <c r="D540" t="inlineStr">
        <is>
          <t>VÄSTERNORRLANDS LÄN</t>
        </is>
      </c>
      <c r="E540" t="inlineStr">
        <is>
          <t>ÅNGE</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20761-2024</t>
        </is>
      </c>
      <c r="B541" s="1" t="n">
        <v>45436</v>
      </c>
      <c r="C541" s="1" t="n">
        <v>46059</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41173-2025</t>
        </is>
      </c>
      <c r="B542" s="1" t="n">
        <v>45898</v>
      </c>
      <c r="C542" s="1" t="n">
        <v>46059</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40898-2025</t>
        </is>
      </c>
      <c r="B543" s="1" t="n">
        <v>45897.61503472222</v>
      </c>
      <c r="C543" s="1" t="n">
        <v>46059</v>
      </c>
      <c r="D543" t="inlineStr">
        <is>
          <t>VÄSTERNORRLANDS LÄN</t>
        </is>
      </c>
      <c r="E543" t="inlineStr">
        <is>
          <t>ÅNGE</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40899-2025</t>
        </is>
      </c>
      <c r="B544" s="1" t="n">
        <v>45897.61528935185</v>
      </c>
      <c r="C544" s="1" t="n">
        <v>46059</v>
      </c>
      <c r="D544" t="inlineStr">
        <is>
          <t>VÄSTERNORRLANDS LÄN</t>
        </is>
      </c>
      <c r="E544" t="inlineStr">
        <is>
          <t>ÅNGE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42857-2022</t>
        </is>
      </c>
      <c r="B545" s="1" t="n">
        <v>44832</v>
      </c>
      <c r="C545" s="1" t="n">
        <v>46059</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60779-2024</t>
        </is>
      </c>
      <c r="B546" s="1" t="n">
        <v>45644</v>
      </c>
      <c r="C546" s="1" t="n">
        <v>46059</v>
      </c>
      <c r="D546" t="inlineStr">
        <is>
          <t>VÄSTERNORRLANDS LÄN</t>
        </is>
      </c>
      <c r="E546" t="inlineStr">
        <is>
          <t>ÅNGE</t>
        </is>
      </c>
      <c r="G546" t="n">
        <v>3.1</v>
      </c>
      <c r="H546" t="n">
        <v>0</v>
      </c>
      <c r="I546" t="n">
        <v>0</v>
      </c>
      <c r="J546" t="n">
        <v>0</v>
      </c>
      <c r="K546" t="n">
        <v>0</v>
      </c>
      <c r="L546" t="n">
        <v>0</v>
      </c>
      <c r="M546" t="n">
        <v>0</v>
      </c>
      <c r="N546" t="n">
        <v>0</v>
      </c>
      <c r="O546" t="n">
        <v>0</v>
      </c>
      <c r="P546" t="n">
        <v>0</v>
      </c>
      <c r="Q546" t="n">
        <v>0</v>
      </c>
      <c r="R546" s="2" t="inlineStr"/>
    </row>
    <row r="547" ht="15" customHeight="1">
      <c r="A547" t="inlineStr">
        <is>
          <t>A 56849-2025</t>
        </is>
      </c>
      <c r="B547" s="1" t="n">
        <v>45978.48989583334</v>
      </c>
      <c r="C547" s="1" t="n">
        <v>46059</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40872-2025</t>
        </is>
      </c>
      <c r="B548" s="1" t="n">
        <v>45897.574375</v>
      </c>
      <c r="C548" s="1" t="n">
        <v>46059</v>
      </c>
      <c r="D548" t="inlineStr">
        <is>
          <t>VÄSTERNORRLANDS LÄN</t>
        </is>
      </c>
      <c r="E548" t="inlineStr">
        <is>
          <t>ÅNGE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15287-2025</t>
        </is>
      </c>
      <c r="B549" s="1" t="n">
        <v>45745</v>
      </c>
      <c r="C549" s="1" t="n">
        <v>46059</v>
      </c>
      <c r="D549" t="inlineStr">
        <is>
          <t>VÄSTERNORRLANDS LÄN</t>
        </is>
      </c>
      <c r="E549" t="inlineStr">
        <is>
          <t>ÅNGE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15288-2025</t>
        </is>
      </c>
      <c r="B550" s="1" t="n">
        <v>45745.34423611111</v>
      </c>
      <c r="C550" s="1" t="n">
        <v>46059</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40818-2025</t>
        </is>
      </c>
      <c r="B551" s="1" t="n">
        <v>45897.48881944444</v>
      </c>
      <c r="C551" s="1" t="n">
        <v>46059</v>
      </c>
      <c r="D551" t="inlineStr">
        <is>
          <t>VÄSTERNORRLANDS LÄN</t>
        </is>
      </c>
      <c r="E551" t="inlineStr">
        <is>
          <t>ÅNGE</t>
        </is>
      </c>
      <c r="G551" t="n">
        <v>2.9</v>
      </c>
      <c r="H551" t="n">
        <v>0</v>
      </c>
      <c r="I551" t="n">
        <v>0</v>
      </c>
      <c r="J551" t="n">
        <v>0</v>
      </c>
      <c r="K551" t="n">
        <v>0</v>
      </c>
      <c r="L551" t="n">
        <v>0</v>
      </c>
      <c r="M551" t="n">
        <v>0</v>
      </c>
      <c r="N551" t="n">
        <v>0</v>
      </c>
      <c r="O551" t="n">
        <v>0</v>
      </c>
      <c r="P551" t="n">
        <v>0</v>
      </c>
      <c r="Q551" t="n">
        <v>0</v>
      </c>
      <c r="R551" s="2" t="inlineStr"/>
    </row>
    <row r="552" ht="15" customHeight="1">
      <c r="A552" t="inlineStr">
        <is>
          <t>A 40830-2025</t>
        </is>
      </c>
      <c r="B552" s="1" t="n">
        <v>45897.51079861111</v>
      </c>
      <c r="C552" s="1" t="n">
        <v>46059</v>
      </c>
      <c r="D552" t="inlineStr">
        <is>
          <t>VÄSTERNORRLANDS LÄN</t>
        </is>
      </c>
      <c r="E552" t="inlineStr">
        <is>
          <t>ÅNGE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56419-2025</t>
        </is>
      </c>
      <c r="B553" s="1" t="n">
        <v>45975.34445601852</v>
      </c>
      <c r="C553" s="1" t="n">
        <v>46059</v>
      </c>
      <c r="D553" t="inlineStr">
        <is>
          <t>VÄSTERNORRLANDS LÄN</t>
        </is>
      </c>
      <c r="E553" t="inlineStr">
        <is>
          <t>ÅNGE</t>
        </is>
      </c>
      <c r="F553" t="inlineStr">
        <is>
          <t>SCA</t>
        </is>
      </c>
      <c r="G553" t="n">
        <v>21.4</v>
      </c>
      <c r="H553" t="n">
        <v>0</v>
      </c>
      <c r="I553" t="n">
        <v>0</v>
      </c>
      <c r="J553" t="n">
        <v>0</v>
      </c>
      <c r="K553" t="n">
        <v>0</v>
      </c>
      <c r="L553" t="n">
        <v>0</v>
      </c>
      <c r="M553" t="n">
        <v>0</v>
      </c>
      <c r="N553" t="n">
        <v>0</v>
      </c>
      <c r="O553" t="n">
        <v>0</v>
      </c>
      <c r="P553" t="n">
        <v>0</v>
      </c>
      <c r="Q553" t="n">
        <v>0</v>
      </c>
      <c r="R553" s="2" t="inlineStr"/>
    </row>
    <row r="554" ht="15" customHeight="1">
      <c r="A554" t="inlineStr">
        <is>
          <t>A 56666-2025</t>
        </is>
      </c>
      <c r="B554" s="1" t="n">
        <v>45975.67747685185</v>
      </c>
      <c r="C554" s="1" t="n">
        <v>46059</v>
      </c>
      <c r="D554" t="inlineStr">
        <is>
          <t>VÄSTERNORRLANDS LÄN</t>
        </is>
      </c>
      <c r="E554" t="inlineStr">
        <is>
          <t>ÅNGE</t>
        </is>
      </c>
      <c r="G554" t="n">
        <v>5.2</v>
      </c>
      <c r="H554" t="n">
        <v>0</v>
      </c>
      <c r="I554" t="n">
        <v>0</v>
      </c>
      <c r="J554" t="n">
        <v>0</v>
      </c>
      <c r="K554" t="n">
        <v>0</v>
      </c>
      <c r="L554" t="n">
        <v>0</v>
      </c>
      <c r="M554" t="n">
        <v>0</v>
      </c>
      <c r="N554" t="n">
        <v>0</v>
      </c>
      <c r="O554" t="n">
        <v>0</v>
      </c>
      <c r="P554" t="n">
        <v>0</v>
      </c>
      <c r="Q554" t="n">
        <v>0</v>
      </c>
      <c r="R554" s="2" t="inlineStr"/>
    </row>
    <row r="555" ht="15" customHeight="1">
      <c r="A555" t="inlineStr">
        <is>
          <t>A 56741-2025</t>
        </is>
      </c>
      <c r="B555" s="1" t="n">
        <v>45978.34726851852</v>
      </c>
      <c r="C555" s="1" t="n">
        <v>46059</v>
      </c>
      <c r="D555" t="inlineStr">
        <is>
          <t>VÄSTERNORRLANDS LÄN</t>
        </is>
      </c>
      <c r="E555" t="inlineStr">
        <is>
          <t>ÅNGE</t>
        </is>
      </c>
      <c r="G555" t="n">
        <v>11.4</v>
      </c>
      <c r="H555" t="n">
        <v>0</v>
      </c>
      <c r="I555" t="n">
        <v>0</v>
      </c>
      <c r="J555" t="n">
        <v>0</v>
      </c>
      <c r="K555" t="n">
        <v>0</v>
      </c>
      <c r="L555" t="n">
        <v>0</v>
      </c>
      <c r="M555" t="n">
        <v>0</v>
      </c>
      <c r="N555" t="n">
        <v>0</v>
      </c>
      <c r="O555" t="n">
        <v>0</v>
      </c>
      <c r="P555" t="n">
        <v>0</v>
      </c>
      <c r="Q555" t="n">
        <v>0</v>
      </c>
      <c r="R555" s="2" t="inlineStr"/>
    </row>
    <row r="556" ht="15" customHeight="1">
      <c r="A556" t="inlineStr">
        <is>
          <t>A 28428-2023</t>
        </is>
      </c>
      <c r="B556" s="1" t="n">
        <v>45102</v>
      </c>
      <c r="C556" s="1" t="n">
        <v>46059</v>
      </c>
      <c r="D556" t="inlineStr">
        <is>
          <t>VÄSTERNORRLANDS LÄN</t>
        </is>
      </c>
      <c r="E556" t="inlineStr">
        <is>
          <t>ÅNGE</t>
        </is>
      </c>
      <c r="F556" t="inlineStr">
        <is>
          <t>Kyrkan</t>
        </is>
      </c>
      <c r="G556" t="n">
        <v>12</v>
      </c>
      <c r="H556" t="n">
        <v>0</v>
      </c>
      <c r="I556" t="n">
        <v>0</v>
      </c>
      <c r="J556" t="n">
        <v>0</v>
      </c>
      <c r="K556" t="n">
        <v>0</v>
      </c>
      <c r="L556" t="n">
        <v>0</v>
      </c>
      <c r="M556" t="n">
        <v>0</v>
      </c>
      <c r="N556" t="n">
        <v>0</v>
      </c>
      <c r="O556" t="n">
        <v>0</v>
      </c>
      <c r="P556" t="n">
        <v>0</v>
      </c>
      <c r="Q556" t="n">
        <v>0</v>
      </c>
      <c r="R556" s="2" t="inlineStr"/>
    </row>
    <row r="557" ht="15" customHeight="1">
      <c r="A557" t="inlineStr">
        <is>
          <t>A 43366-2024</t>
        </is>
      </c>
      <c r="B557" s="1" t="n">
        <v>45568</v>
      </c>
      <c r="C557" s="1" t="n">
        <v>46059</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58997-2023</t>
        </is>
      </c>
      <c r="B558" s="1" t="n">
        <v>45252.6352662037</v>
      </c>
      <c r="C558" s="1" t="n">
        <v>46059</v>
      </c>
      <c r="D558" t="inlineStr">
        <is>
          <t>VÄSTERNORRLANDS LÄN</t>
        </is>
      </c>
      <c r="E558" t="inlineStr">
        <is>
          <t>ÅNGE</t>
        </is>
      </c>
      <c r="F558" t="inlineStr">
        <is>
          <t>Övriga Aktiebolag</t>
        </is>
      </c>
      <c r="G558" t="n">
        <v>2.1</v>
      </c>
      <c r="H558" t="n">
        <v>0</v>
      </c>
      <c r="I558" t="n">
        <v>0</v>
      </c>
      <c r="J558" t="n">
        <v>0</v>
      </c>
      <c r="K558" t="n">
        <v>0</v>
      </c>
      <c r="L558" t="n">
        <v>0</v>
      </c>
      <c r="M558" t="n">
        <v>0</v>
      </c>
      <c r="N558" t="n">
        <v>0</v>
      </c>
      <c r="O558" t="n">
        <v>0</v>
      </c>
      <c r="P558" t="n">
        <v>0</v>
      </c>
      <c r="Q558" t="n">
        <v>0</v>
      </c>
      <c r="R558" s="2" t="inlineStr"/>
    </row>
    <row r="559" ht="15" customHeight="1">
      <c r="A559" t="inlineStr">
        <is>
          <t>A 57022-2025</t>
        </is>
      </c>
      <c r="B559" s="1" t="n">
        <v>45978.88921296296</v>
      </c>
      <c r="C559" s="1" t="n">
        <v>46059</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63978-2025</t>
        </is>
      </c>
      <c r="B560" s="1" t="n">
        <v>46021.34421296296</v>
      </c>
      <c r="C560" s="1" t="n">
        <v>46059</v>
      </c>
      <c r="D560" t="inlineStr">
        <is>
          <t>VÄSTERNORRLANDS LÄN</t>
        </is>
      </c>
      <c r="E560" t="inlineStr">
        <is>
          <t>ÅNGE</t>
        </is>
      </c>
      <c r="F560" t="inlineStr">
        <is>
          <t>SCA</t>
        </is>
      </c>
      <c r="G560" t="n">
        <v>8.6</v>
      </c>
      <c r="H560" t="n">
        <v>0</v>
      </c>
      <c r="I560" t="n">
        <v>0</v>
      </c>
      <c r="J560" t="n">
        <v>0</v>
      </c>
      <c r="K560" t="n">
        <v>0</v>
      </c>
      <c r="L560" t="n">
        <v>0</v>
      </c>
      <c r="M560" t="n">
        <v>0</v>
      </c>
      <c r="N560" t="n">
        <v>0</v>
      </c>
      <c r="O560" t="n">
        <v>0</v>
      </c>
      <c r="P560" t="n">
        <v>0</v>
      </c>
      <c r="Q560" t="n">
        <v>0</v>
      </c>
      <c r="R560" s="2" t="inlineStr"/>
    </row>
    <row r="561" ht="15" customHeight="1">
      <c r="A561" t="inlineStr">
        <is>
          <t>A 47792-2022</t>
        </is>
      </c>
      <c r="B561" s="1" t="n">
        <v>44854.95238425926</v>
      </c>
      <c r="C561" s="1" t="n">
        <v>46059</v>
      </c>
      <c r="D561" t="inlineStr">
        <is>
          <t>VÄSTERNORRLANDS LÄN</t>
        </is>
      </c>
      <c r="E561" t="inlineStr">
        <is>
          <t>ÅNGE</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57283-2025</t>
        </is>
      </c>
      <c r="B562" s="1" t="n">
        <v>45979.71918981482</v>
      </c>
      <c r="C562" s="1" t="n">
        <v>46059</v>
      </c>
      <c r="D562" t="inlineStr">
        <is>
          <t>VÄSTERNORRLANDS LÄN</t>
        </is>
      </c>
      <c r="E562" t="inlineStr">
        <is>
          <t>ÅNGE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57457-2025</t>
        </is>
      </c>
      <c r="B563" s="1" t="n">
        <v>45980.53001157408</v>
      </c>
      <c r="C563" s="1" t="n">
        <v>46059</v>
      </c>
      <c r="D563" t="inlineStr">
        <is>
          <t>VÄSTERNORRLANDS LÄN</t>
        </is>
      </c>
      <c r="E563" t="inlineStr">
        <is>
          <t>ÅNGE</t>
        </is>
      </c>
      <c r="G563" t="n">
        <v>2.4</v>
      </c>
      <c r="H563" t="n">
        <v>0</v>
      </c>
      <c r="I563" t="n">
        <v>0</v>
      </c>
      <c r="J563" t="n">
        <v>0</v>
      </c>
      <c r="K563" t="n">
        <v>0</v>
      </c>
      <c r="L563" t="n">
        <v>0</v>
      </c>
      <c r="M563" t="n">
        <v>0</v>
      </c>
      <c r="N563" t="n">
        <v>0</v>
      </c>
      <c r="O563" t="n">
        <v>0</v>
      </c>
      <c r="P563" t="n">
        <v>0</v>
      </c>
      <c r="Q563" t="n">
        <v>0</v>
      </c>
      <c r="R563" s="2" t="inlineStr"/>
    </row>
    <row r="564" ht="15" customHeight="1">
      <c r="A564" t="inlineStr">
        <is>
          <t>A 63965-2025</t>
        </is>
      </c>
      <c r="B564" s="1" t="n">
        <v>46020.93445601852</v>
      </c>
      <c r="C564" s="1" t="n">
        <v>46059</v>
      </c>
      <c r="D564" t="inlineStr">
        <is>
          <t>VÄSTERNORRLANDS LÄN</t>
        </is>
      </c>
      <c r="E564" t="inlineStr">
        <is>
          <t>ÅNGE</t>
        </is>
      </c>
      <c r="G564" t="n">
        <v>11.1</v>
      </c>
      <c r="H564" t="n">
        <v>0</v>
      </c>
      <c r="I564" t="n">
        <v>0</v>
      </c>
      <c r="J564" t="n">
        <v>0</v>
      </c>
      <c r="K564" t="n">
        <v>0</v>
      </c>
      <c r="L564" t="n">
        <v>0</v>
      </c>
      <c r="M564" t="n">
        <v>0</v>
      </c>
      <c r="N564" t="n">
        <v>0</v>
      </c>
      <c r="O564" t="n">
        <v>0</v>
      </c>
      <c r="P564" t="n">
        <v>0</v>
      </c>
      <c r="Q564" t="n">
        <v>0</v>
      </c>
      <c r="R564" s="2" t="inlineStr"/>
    </row>
    <row r="565" ht="15" customHeight="1">
      <c r="A565" t="inlineStr">
        <is>
          <t>A 64080-2025</t>
        </is>
      </c>
      <c r="B565" s="1" t="n">
        <v>46021.67752314815</v>
      </c>
      <c r="C565" s="1" t="n">
        <v>46059</v>
      </c>
      <c r="D565" t="inlineStr">
        <is>
          <t>VÄSTERNORRLANDS LÄN</t>
        </is>
      </c>
      <c r="E565" t="inlineStr">
        <is>
          <t>ÅNGE</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18869-2024</t>
        </is>
      </c>
      <c r="B566" s="1" t="n">
        <v>45426</v>
      </c>
      <c r="C566" s="1" t="n">
        <v>46059</v>
      </c>
      <c r="D566" t="inlineStr">
        <is>
          <t>VÄSTERNORRLANDS LÄN</t>
        </is>
      </c>
      <c r="E566" t="inlineStr">
        <is>
          <t>ÅNGE</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24797-2024</t>
        </is>
      </c>
      <c r="B567" s="1" t="n">
        <v>45460.95269675926</v>
      </c>
      <c r="C567" s="1" t="n">
        <v>46059</v>
      </c>
      <c r="D567" t="inlineStr">
        <is>
          <t>VÄSTERNORRLANDS LÄN</t>
        </is>
      </c>
      <c r="E567" t="inlineStr">
        <is>
          <t>ÅNGE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57302-2025</t>
        </is>
      </c>
      <c r="B568" s="1" t="n">
        <v>45979.87184027778</v>
      </c>
      <c r="C568" s="1" t="n">
        <v>46059</v>
      </c>
      <c r="D568" t="inlineStr">
        <is>
          <t>VÄSTERNORRLANDS LÄN</t>
        </is>
      </c>
      <c r="E568" t="inlineStr">
        <is>
          <t>ÅNGE</t>
        </is>
      </c>
      <c r="G568" t="n">
        <v>2.3</v>
      </c>
      <c r="H568" t="n">
        <v>0</v>
      </c>
      <c r="I568" t="n">
        <v>0</v>
      </c>
      <c r="J568" t="n">
        <v>0</v>
      </c>
      <c r="K568" t="n">
        <v>0</v>
      </c>
      <c r="L568" t="n">
        <v>0</v>
      </c>
      <c r="M568" t="n">
        <v>0</v>
      </c>
      <c r="N568" t="n">
        <v>0</v>
      </c>
      <c r="O568" t="n">
        <v>0</v>
      </c>
      <c r="P568" t="n">
        <v>0</v>
      </c>
      <c r="Q568" t="n">
        <v>0</v>
      </c>
      <c r="R568" s="2" t="inlineStr"/>
    </row>
    <row r="569" ht="15" customHeight="1">
      <c r="A569" t="inlineStr">
        <is>
          <t>A 57081-2025</t>
        </is>
      </c>
      <c r="B569" s="1" t="n">
        <v>45979.40826388889</v>
      </c>
      <c r="C569" s="1" t="n">
        <v>46059</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22680-2024</t>
        </is>
      </c>
      <c r="B570" s="1" t="n">
        <v>45447.94548611111</v>
      </c>
      <c r="C570" s="1" t="n">
        <v>46059</v>
      </c>
      <c r="D570" t="inlineStr">
        <is>
          <t>VÄSTERNORRLANDS LÄN</t>
        </is>
      </c>
      <c r="E570" t="inlineStr">
        <is>
          <t>ÅNGE</t>
        </is>
      </c>
      <c r="G570" t="n">
        <v>0.7</v>
      </c>
      <c r="H570" t="n">
        <v>0</v>
      </c>
      <c r="I570" t="n">
        <v>0</v>
      </c>
      <c r="J570" t="n">
        <v>0</v>
      </c>
      <c r="K570" t="n">
        <v>0</v>
      </c>
      <c r="L570" t="n">
        <v>0</v>
      </c>
      <c r="M570" t="n">
        <v>0</v>
      </c>
      <c r="N570" t="n">
        <v>0</v>
      </c>
      <c r="O570" t="n">
        <v>0</v>
      </c>
      <c r="P570" t="n">
        <v>0</v>
      </c>
      <c r="Q570" t="n">
        <v>0</v>
      </c>
      <c r="R570" s="2" t="inlineStr"/>
    </row>
    <row r="571" ht="15" customHeight="1">
      <c r="A571" t="inlineStr">
        <is>
          <t>A 57371-2025</t>
        </is>
      </c>
      <c r="B571" s="1" t="n">
        <v>45980.38586805556</v>
      </c>
      <c r="C571" s="1" t="n">
        <v>46059</v>
      </c>
      <c r="D571" t="inlineStr">
        <is>
          <t>VÄSTERNORRLANDS LÄN</t>
        </is>
      </c>
      <c r="E571" t="inlineStr">
        <is>
          <t>ÅNGE</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23035-2024</t>
        </is>
      </c>
      <c r="B572" s="1" t="n">
        <v>45450.39016203704</v>
      </c>
      <c r="C572" s="1" t="n">
        <v>46059</v>
      </c>
      <c r="D572" t="inlineStr">
        <is>
          <t>VÄSTERNORRLANDS LÄN</t>
        </is>
      </c>
      <c r="E572" t="inlineStr">
        <is>
          <t>ÅNGE</t>
        </is>
      </c>
      <c r="G572" t="n">
        <v>12.1</v>
      </c>
      <c r="H572" t="n">
        <v>0</v>
      </c>
      <c r="I572" t="n">
        <v>0</v>
      </c>
      <c r="J572" t="n">
        <v>0</v>
      </c>
      <c r="K572" t="n">
        <v>0</v>
      </c>
      <c r="L572" t="n">
        <v>0</v>
      </c>
      <c r="M572" t="n">
        <v>0</v>
      </c>
      <c r="N572" t="n">
        <v>0</v>
      </c>
      <c r="O572" t="n">
        <v>0</v>
      </c>
      <c r="P572" t="n">
        <v>0</v>
      </c>
      <c r="Q572" t="n">
        <v>0</v>
      </c>
      <c r="R572" s="2" t="inlineStr"/>
    </row>
    <row r="573" ht="15" customHeight="1">
      <c r="A573" t="inlineStr">
        <is>
          <t>A 57961-2025</t>
        </is>
      </c>
      <c r="B573" s="1" t="n">
        <v>45982.36502314815</v>
      </c>
      <c r="C573" s="1" t="n">
        <v>46059</v>
      </c>
      <c r="D573" t="inlineStr">
        <is>
          <t>VÄSTERNORRLANDS LÄN</t>
        </is>
      </c>
      <c r="E573" t="inlineStr">
        <is>
          <t>ÅNGE</t>
        </is>
      </c>
      <c r="G573" t="n">
        <v>1.9</v>
      </c>
      <c r="H573" t="n">
        <v>0</v>
      </c>
      <c r="I573" t="n">
        <v>0</v>
      </c>
      <c r="J573" t="n">
        <v>0</v>
      </c>
      <c r="K573" t="n">
        <v>0</v>
      </c>
      <c r="L573" t="n">
        <v>0</v>
      </c>
      <c r="M573" t="n">
        <v>0</v>
      </c>
      <c r="N573" t="n">
        <v>0</v>
      </c>
      <c r="O573" t="n">
        <v>0</v>
      </c>
      <c r="P573" t="n">
        <v>0</v>
      </c>
      <c r="Q573" t="n">
        <v>0</v>
      </c>
      <c r="R573" s="2" t="inlineStr"/>
    </row>
    <row r="574" ht="15" customHeight="1">
      <c r="A574" t="inlineStr">
        <is>
          <t>A 23063-2024</t>
        </is>
      </c>
      <c r="B574" s="1" t="n">
        <v>45450.44278935185</v>
      </c>
      <c r="C574" s="1" t="n">
        <v>46059</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41355-2025</t>
        </is>
      </c>
      <c r="B575" s="1" t="n">
        <v>45900.34425925926</v>
      </c>
      <c r="C575" s="1" t="n">
        <v>46059</v>
      </c>
      <c r="D575" t="inlineStr">
        <is>
          <t>VÄSTERNORRLANDS LÄN</t>
        </is>
      </c>
      <c r="E575" t="inlineStr">
        <is>
          <t>ÅNGE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58048-2025</t>
        </is>
      </c>
      <c r="B576" s="1" t="n">
        <v>45982.5109837963</v>
      </c>
      <c r="C576" s="1" t="n">
        <v>46059</v>
      </c>
      <c r="D576" t="inlineStr">
        <is>
          <t>VÄSTERNORRLANDS LÄN</t>
        </is>
      </c>
      <c r="E576" t="inlineStr">
        <is>
          <t>ÅNGE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12581-2024</t>
        </is>
      </c>
      <c r="B577" s="1" t="n">
        <v>45379</v>
      </c>
      <c r="C577" s="1" t="n">
        <v>46059</v>
      </c>
      <c r="D577" t="inlineStr">
        <is>
          <t>VÄSTERNORRLANDS LÄN</t>
        </is>
      </c>
      <c r="E577" t="inlineStr">
        <is>
          <t>ÅNGE</t>
        </is>
      </c>
      <c r="G577" t="n">
        <v>1.7</v>
      </c>
      <c r="H577" t="n">
        <v>0</v>
      </c>
      <c r="I577" t="n">
        <v>0</v>
      </c>
      <c r="J577" t="n">
        <v>0</v>
      </c>
      <c r="K577" t="n">
        <v>0</v>
      </c>
      <c r="L577" t="n">
        <v>0</v>
      </c>
      <c r="M577" t="n">
        <v>0</v>
      </c>
      <c r="N577" t="n">
        <v>0</v>
      </c>
      <c r="O577" t="n">
        <v>0</v>
      </c>
      <c r="P577" t="n">
        <v>0</v>
      </c>
      <c r="Q577" t="n">
        <v>0</v>
      </c>
      <c r="R577" s="2" t="inlineStr"/>
    </row>
    <row r="578" ht="15" customHeight="1">
      <c r="A578" t="inlineStr">
        <is>
          <t>A 34491-2023</t>
        </is>
      </c>
      <c r="B578" s="1" t="n">
        <v>45139.94775462963</v>
      </c>
      <c r="C578" s="1" t="n">
        <v>46059</v>
      </c>
      <c r="D578" t="inlineStr">
        <is>
          <t>VÄSTERNORRLANDS LÄN</t>
        </is>
      </c>
      <c r="E578" t="inlineStr">
        <is>
          <t>ÅNGE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57615-2025</t>
        </is>
      </c>
      <c r="B579" s="1" t="n">
        <v>45981.34431712963</v>
      </c>
      <c r="C579" s="1" t="n">
        <v>46059</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57991-2025</t>
        </is>
      </c>
      <c r="B580" s="1" t="n">
        <v>45982.42438657407</v>
      </c>
      <c r="C580" s="1" t="n">
        <v>46059</v>
      </c>
      <c r="D580" t="inlineStr">
        <is>
          <t>VÄSTERNORRLANDS LÄN</t>
        </is>
      </c>
      <c r="E580" t="inlineStr">
        <is>
          <t>ÅNGE</t>
        </is>
      </c>
      <c r="G580" t="n">
        <v>3.2</v>
      </c>
      <c r="H580" t="n">
        <v>0</v>
      </c>
      <c r="I580" t="n">
        <v>0</v>
      </c>
      <c r="J580" t="n">
        <v>0</v>
      </c>
      <c r="K580" t="n">
        <v>0</v>
      </c>
      <c r="L580" t="n">
        <v>0</v>
      </c>
      <c r="M580" t="n">
        <v>0</v>
      </c>
      <c r="N580" t="n">
        <v>0</v>
      </c>
      <c r="O580" t="n">
        <v>0</v>
      </c>
      <c r="P580" t="n">
        <v>0</v>
      </c>
      <c r="Q580" t="n">
        <v>0</v>
      </c>
      <c r="R580" s="2" t="inlineStr"/>
    </row>
    <row r="581" ht="15" customHeight="1">
      <c r="A581" t="inlineStr">
        <is>
          <t>A 57950-2025</t>
        </is>
      </c>
      <c r="B581" s="1" t="n">
        <v>45982.34473379629</v>
      </c>
      <c r="C581" s="1" t="n">
        <v>46059</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24231-2024</t>
        </is>
      </c>
      <c r="B582" s="1" t="n">
        <v>45457.34393518518</v>
      </c>
      <c r="C582" s="1" t="n">
        <v>46059</v>
      </c>
      <c r="D582" t="inlineStr">
        <is>
          <t>VÄSTERNORRLANDS LÄN</t>
        </is>
      </c>
      <c r="E582" t="inlineStr">
        <is>
          <t>ÅNGE</t>
        </is>
      </c>
      <c r="F582" t="inlineStr">
        <is>
          <t>Sveaskog</t>
        </is>
      </c>
      <c r="G582" t="n">
        <v>7</v>
      </c>
      <c r="H582" t="n">
        <v>0</v>
      </c>
      <c r="I582" t="n">
        <v>0</v>
      </c>
      <c r="J582" t="n">
        <v>0</v>
      </c>
      <c r="K582" t="n">
        <v>0</v>
      </c>
      <c r="L582" t="n">
        <v>0</v>
      </c>
      <c r="M582" t="n">
        <v>0</v>
      </c>
      <c r="N582" t="n">
        <v>0</v>
      </c>
      <c r="O582" t="n">
        <v>0</v>
      </c>
      <c r="P582" t="n">
        <v>0</v>
      </c>
      <c r="Q582" t="n">
        <v>0</v>
      </c>
      <c r="R582" s="2" t="inlineStr"/>
    </row>
    <row r="583" ht="15" customHeight="1">
      <c r="A583" t="inlineStr">
        <is>
          <t>A 57960-2025</t>
        </is>
      </c>
      <c r="B583" s="1" t="n">
        <v>45982.36494212963</v>
      </c>
      <c r="C583" s="1" t="n">
        <v>46059</v>
      </c>
      <c r="D583" t="inlineStr">
        <is>
          <t>VÄSTERNORRLANDS LÄN</t>
        </is>
      </c>
      <c r="E583" t="inlineStr">
        <is>
          <t>ÅNGE</t>
        </is>
      </c>
      <c r="F583" t="inlineStr">
        <is>
          <t>SCA</t>
        </is>
      </c>
      <c r="G583" t="n">
        <v>0.2</v>
      </c>
      <c r="H583" t="n">
        <v>0</v>
      </c>
      <c r="I583" t="n">
        <v>0</v>
      </c>
      <c r="J583" t="n">
        <v>0</v>
      </c>
      <c r="K583" t="n">
        <v>0</v>
      </c>
      <c r="L583" t="n">
        <v>0</v>
      </c>
      <c r="M583" t="n">
        <v>0</v>
      </c>
      <c r="N583" t="n">
        <v>0</v>
      </c>
      <c r="O583" t="n">
        <v>0</v>
      </c>
      <c r="P583" t="n">
        <v>0</v>
      </c>
      <c r="Q583" t="n">
        <v>0</v>
      </c>
      <c r="R583" s="2" t="inlineStr"/>
    </row>
    <row r="584" ht="15" customHeight="1">
      <c r="A584" t="inlineStr">
        <is>
          <t>A 58750-2025</t>
        </is>
      </c>
      <c r="B584" s="1" t="n">
        <v>45986.64064814815</v>
      </c>
      <c r="C584" s="1" t="n">
        <v>46059</v>
      </c>
      <c r="D584" t="inlineStr">
        <is>
          <t>VÄSTERNORRLANDS LÄN</t>
        </is>
      </c>
      <c r="E584" t="inlineStr">
        <is>
          <t>ÅNGE</t>
        </is>
      </c>
      <c r="G584" t="n">
        <v>2</v>
      </c>
      <c r="H584" t="n">
        <v>0</v>
      </c>
      <c r="I584" t="n">
        <v>0</v>
      </c>
      <c r="J584" t="n">
        <v>0</v>
      </c>
      <c r="K584" t="n">
        <v>0</v>
      </c>
      <c r="L584" t="n">
        <v>0</v>
      </c>
      <c r="M584" t="n">
        <v>0</v>
      </c>
      <c r="N584" t="n">
        <v>0</v>
      </c>
      <c r="O584" t="n">
        <v>0</v>
      </c>
      <c r="P584" t="n">
        <v>0</v>
      </c>
      <c r="Q584" t="n">
        <v>0</v>
      </c>
      <c r="R584" s="2" t="inlineStr"/>
    </row>
    <row r="585" ht="15" customHeight="1">
      <c r="A585" t="inlineStr">
        <is>
          <t>A 58536-2025</t>
        </is>
      </c>
      <c r="B585" s="1" t="n">
        <v>45985.83274305556</v>
      </c>
      <c r="C585" s="1" t="n">
        <v>46059</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58388-2025</t>
        </is>
      </c>
      <c r="B586" s="1" t="n">
        <v>45985.54685185185</v>
      </c>
      <c r="C586" s="1" t="n">
        <v>46059</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58366-2025</t>
        </is>
      </c>
      <c r="B587" s="1" t="n">
        <v>45985.52600694444</v>
      </c>
      <c r="C587" s="1" t="n">
        <v>46059</v>
      </c>
      <c r="D587" t="inlineStr">
        <is>
          <t>VÄSTERNORRLANDS LÄN</t>
        </is>
      </c>
      <c r="E587" t="inlineStr">
        <is>
          <t>ÅNGE</t>
        </is>
      </c>
      <c r="G587" t="n">
        <v>2</v>
      </c>
      <c r="H587" t="n">
        <v>0</v>
      </c>
      <c r="I587" t="n">
        <v>0</v>
      </c>
      <c r="J587" t="n">
        <v>0</v>
      </c>
      <c r="K587" t="n">
        <v>0</v>
      </c>
      <c r="L587" t="n">
        <v>0</v>
      </c>
      <c r="M587" t="n">
        <v>0</v>
      </c>
      <c r="N587" t="n">
        <v>0</v>
      </c>
      <c r="O587" t="n">
        <v>0</v>
      </c>
      <c r="P587" t="n">
        <v>0</v>
      </c>
      <c r="Q587" t="n">
        <v>0</v>
      </c>
      <c r="R587" s="2" t="inlineStr"/>
    </row>
    <row r="588" ht="15" customHeight="1">
      <c r="A588" t="inlineStr">
        <is>
          <t>A 58268-2025</t>
        </is>
      </c>
      <c r="B588" s="1" t="n">
        <v>45985.42450231482</v>
      </c>
      <c r="C588" s="1" t="n">
        <v>46059</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10089-2023</t>
        </is>
      </c>
      <c r="B589" s="1" t="n">
        <v>44985</v>
      </c>
      <c r="C589" s="1" t="n">
        <v>46059</v>
      </c>
      <c r="D589" t="inlineStr">
        <is>
          <t>VÄSTERNORRLANDS LÄN</t>
        </is>
      </c>
      <c r="E589" t="inlineStr">
        <is>
          <t>ÅNGE</t>
        </is>
      </c>
      <c r="F589" t="inlineStr">
        <is>
          <t>SCA</t>
        </is>
      </c>
      <c r="G589" t="n">
        <v>6.7</v>
      </c>
      <c r="H589" t="n">
        <v>0</v>
      </c>
      <c r="I589" t="n">
        <v>0</v>
      </c>
      <c r="J589" t="n">
        <v>0</v>
      </c>
      <c r="K589" t="n">
        <v>0</v>
      </c>
      <c r="L589" t="n">
        <v>0</v>
      </c>
      <c r="M589" t="n">
        <v>0</v>
      </c>
      <c r="N589" t="n">
        <v>0</v>
      </c>
      <c r="O589" t="n">
        <v>0</v>
      </c>
      <c r="P589" t="n">
        <v>0</v>
      </c>
      <c r="Q589" t="n">
        <v>0</v>
      </c>
      <c r="R589" s="2" t="inlineStr"/>
    </row>
    <row r="590" ht="15" customHeight="1">
      <c r="A590" t="inlineStr">
        <is>
          <t>A 10090-2023</t>
        </is>
      </c>
      <c r="B590" s="1" t="n">
        <v>44985.94511574074</v>
      </c>
      <c r="C590" s="1" t="n">
        <v>46059</v>
      </c>
      <c r="D590" t="inlineStr">
        <is>
          <t>VÄSTERNORRLANDS LÄN</t>
        </is>
      </c>
      <c r="E590" t="inlineStr">
        <is>
          <t>ÅNGE</t>
        </is>
      </c>
      <c r="F590" t="inlineStr">
        <is>
          <t>SCA</t>
        </is>
      </c>
      <c r="G590" t="n">
        <v>8.4</v>
      </c>
      <c r="H590" t="n">
        <v>0</v>
      </c>
      <c r="I590" t="n">
        <v>0</v>
      </c>
      <c r="J590" t="n">
        <v>0</v>
      </c>
      <c r="K590" t="n">
        <v>0</v>
      </c>
      <c r="L590" t="n">
        <v>0</v>
      </c>
      <c r="M590" t="n">
        <v>0</v>
      </c>
      <c r="N590" t="n">
        <v>0</v>
      </c>
      <c r="O590" t="n">
        <v>0</v>
      </c>
      <c r="P590" t="n">
        <v>0</v>
      </c>
      <c r="Q590" t="n">
        <v>0</v>
      </c>
      <c r="R590" s="2" t="inlineStr"/>
    </row>
    <row r="591" ht="15" customHeight="1">
      <c r="A591" t="inlineStr">
        <is>
          <t>A 58588-2025</t>
        </is>
      </c>
      <c r="B591" s="1" t="n">
        <v>45986.4065625</v>
      </c>
      <c r="C591" s="1" t="n">
        <v>46059</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58605-2025</t>
        </is>
      </c>
      <c r="B592" s="1" t="n">
        <v>45986</v>
      </c>
      <c r="C592" s="1" t="n">
        <v>46059</v>
      </c>
      <c r="D592" t="inlineStr">
        <is>
          <t>VÄSTERNORRLANDS LÄN</t>
        </is>
      </c>
      <c r="E592" t="inlineStr">
        <is>
          <t>ÅNGE</t>
        </is>
      </c>
      <c r="G592" t="n">
        <v>3.2</v>
      </c>
      <c r="H592" t="n">
        <v>0</v>
      </c>
      <c r="I592" t="n">
        <v>0</v>
      </c>
      <c r="J592" t="n">
        <v>0</v>
      </c>
      <c r="K592" t="n">
        <v>0</v>
      </c>
      <c r="L592" t="n">
        <v>0</v>
      </c>
      <c r="M592" t="n">
        <v>0</v>
      </c>
      <c r="N592" t="n">
        <v>0</v>
      </c>
      <c r="O592" t="n">
        <v>0</v>
      </c>
      <c r="P592" t="n">
        <v>0</v>
      </c>
      <c r="Q592" t="n">
        <v>0</v>
      </c>
      <c r="R592" s="2" t="inlineStr"/>
    </row>
    <row r="593" ht="15" customHeight="1">
      <c r="A593" t="inlineStr">
        <is>
          <t>A 13773-2024</t>
        </is>
      </c>
      <c r="B593" s="1" t="n">
        <v>45390.95297453704</v>
      </c>
      <c r="C593" s="1" t="n">
        <v>46059</v>
      </c>
      <c r="D593" t="inlineStr">
        <is>
          <t>VÄSTERNORRLANDS LÄN</t>
        </is>
      </c>
      <c r="E593" t="inlineStr">
        <is>
          <t>ÅNGE</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58585-2025</t>
        </is>
      </c>
      <c r="B594" s="1" t="n">
        <v>45986.39733796296</v>
      </c>
      <c r="C594" s="1" t="n">
        <v>46059</v>
      </c>
      <c r="D594" t="inlineStr">
        <is>
          <t>VÄSTERNORRLANDS LÄN</t>
        </is>
      </c>
      <c r="E594" t="inlineStr">
        <is>
          <t>ÅNGE</t>
        </is>
      </c>
      <c r="G594" t="n">
        <v>3.1</v>
      </c>
      <c r="H594" t="n">
        <v>0</v>
      </c>
      <c r="I594" t="n">
        <v>0</v>
      </c>
      <c r="J594" t="n">
        <v>0</v>
      </c>
      <c r="K594" t="n">
        <v>0</v>
      </c>
      <c r="L594" t="n">
        <v>0</v>
      </c>
      <c r="M594" t="n">
        <v>0</v>
      </c>
      <c r="N594" t="n">
        <v>0</v>
      </c>
      <c r="O594" t="n">
        <v>0</v>
      </c>
      <c r="P594" t="n">
        <v>0</v>
      </c>
      <c r="Q594" t="n">
        <v>0</v>
      </c>
      <c r="R594" s="2" t="inlineStr"/>
    </row>
    <row r="595" ht="15" customHeight="1">
      <c r="A595" t="inlineStr">
        <is>
          <t>A 353-2026</t>
        </is>
      </c>
      <c r="B595" s="1" t="n">
        <v>46027.63585648148</v>
      </c>
      <c r="C595" s="1" t="n">
        <v>46059</v>
      </c>
      <c r="D595" t="inlineStr">
        <is>
          <t>VÄSTERNORRLANDS LÄN</t>
        </is>
      </c>
      <c r="E595" t="inlineStr">
        <is>
          <t>ÅNGE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58486-2025</t>
        </is>
      </c>
      <c r="B596" s="1" t="n">
        <v>45985.65660879629</v>
      </c>
      <c r="C596" s="1" t="n">
        <v>46059</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345-2026</t>
        </is>
      </c>
      <c r="B597" s="1" t="n">
        <v>46027.61515046296</v>
      </c>
      <c r="C597" s="1" t="n">
        <v>46059</v>
      </c>
      <c r="D597" t="inlineStr">
        <is>
          <t>VÄSTERNORRLANDS LÄN</t>
        </is>
      </c>
      <c r="E597" t="inlineStr">
        <is>
          <t>ÅNGE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41870-2025</t>
        </is>
      </c>
      <c r="B598" s="1" t="n">
        <v>45903.3446412037</v>
      </c>
      <c r="C598" s="1" t="n">
        <v>46059</v>
      </c>
      <c r="D598" t="inlineStr">
        <is>
          <t>VÄSTERNORRLANDS LÄN</t>
        </is>
      </c>
      <c r="E598" t="inlineStr">
        <is>
          <t>ÅNGE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9567-2024</t>
        </is>
      </c>
      <c r="B599" s="1" t="n">
        <v>45360.03635416667</v>
      </c>
      <c r="C599" s="1" t="n">
        <v>46059</v>
      </c>
      <c r="D599" t="inlineStr">
        <is>
          <t>VÄSTERNORRLANDS LÄN</t>
        </is>
      </c>
      <c r="E599" t="inlineStr">
        <is>
          <t>ÅNGE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41872-2025</t>
        </is>
      </c>
      <c r="B600" s="1" t="n">
        <v>45903.34497685185</v>
      </c>
      <c r="C600" s="1" t="n">
        <v>46059</v>
      </c>
      <c r="D600" t="inlineStr">
        <is>
          <t>VÄSTERNORRLANDS LÄN</t>
        </is>
      </c>
      <c r="E600" t="inlineStr">
        <is>
          <t>ÅNGE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58242-2025</t>
        </is>
      </c>
      <c r="B601" s="1" t="n">
        <v>45985.38802083334</v>
      </c>
      <c r="C601" s="1" t="n">
        <v>46059</v>
      </c>
      <c r="D601" t="inlineStr">
        <is>
          <t>VÄSTERNORRLANDS LÄN</t>
        </is>
      </c>
      <c r="E601" t="inlineStr">
        <is>
          <t>ÅNGE</t>
        </is>
      </c>
      <c r="G601" t="n">
        <v>2.1</v>
      </c>
      <c r="H601" t="n">
        <v>0</v>
      </c>
      <c r="I601" t="n">
        <v>0</v>
      </c>
      <c r="J601" t="n">
        <v>0</v>
      </c>
      <c r="K601" t="n">
        <v>0</v>
      </c>
      <c r="L601" t="n">
        <v>0</v>
      </c>
      <c r="M601" t="n">
        <v>0</v>
      </c>
      <c r="N601" t="n">
        <v>0</v>
      </c>
      <c r="O601" t="n">
        <v>0</v>
      </c>
      <c r="P601" t="n">
        <v>0</v>
      </c>
      <c r="Q601" t="n">
        <v>0</v>
      </c>
      <c r="R601" s="2" t="inlineStr"/>
    </row>
    <row r="602" ht="15" customHeight="1">
      <c r="A602" t="inlineStr">
        <is>
          <t>A 42889-2025</t>
        </is>
      </c>
      <c r="B602" s="1" t="n">
        <v>45908.65546296296</v>
      </c>
      <c r="C602" s="1" t="n">
        <v>46059</v>
      </c>
      <c r="D602" t="inlineStr">
        <is>
          <t>VÄSTERNORRLANDS LÄN</t>
        </is>
      </c>
      <c r="E602" t="inlineStr">
        <is>
          <t>ÅNGE</t>
        </is>
      </c>
      <c r="G602" t="n">
        <v>11.9</v>
      </c>
      <c r="H602" t="n">
        <v>0</v>
      </c>
      <c r="I602" t="n">
        <v>0</v>
      </c>
      <c r="J602" t="n">
        <v>0</v>
      </c>
      <c r="K602" t="n">
        <v>0</v>
      </c>
      <c r="L602" t="n">
        <v>0</v>
      </c>
      <c r="M602" t="n">
        <v>0</v>
      </c>
      <c r="N602" t="n">
        <v>0</v>
      </c>
      <c r="O602" t="n">
        <v>0</v>
      </c>
      <c r="P602" t="n">
        <v>0</v>
      </c>
      <c r="Q602" t="n">
        <v>0</v>
      </c>
      <c r="R602" s="2" t="inlineStr"/>
    </row>
    <row r="603" ht="15" customHeight="1">
      <c r="A603" t="inlineStr">
        <is>
          <t>A 232-2026</t>
        </is>
      </c>
      <c r="B603" s="1" t="n">
        <v>46027.34425925926</v>
      </c>
      <c r="C603" s="1" t="n">
        <v>46059</v>
      </c>
      <c r="D603" t="inlineStr">
        <is>
          <t>VÄSTERNORRLANDS LÄN</t>
        </is>
      </c>
      <c r="E603" t="inlineStr">
        <is>
          <t>ÅNGE</t>
        </is>
      </c>
      <c r="F603" t="inlineStr">
        <is>
          <t>SCA</t>
        </is>
      </c>
      <c r="G603" t="n">
        <v>37.7</v>
      </c>
      <c r="H603" t="n">
        <v>0</v>
      </c>
      <c r="I603" t="n">
        <v>0</v>
      </c>
      <c r="J603" t="n">
        <v>0</v>
      </c>
      <c r="K603" t="n">
        <v>0</v>
      </c>
      <c r="L603" t="n">
        <v>0</v>
      </c>
      <c r="M603" t="n">
        <v>0</v>
      </c>
      <c r="N603" t="n">
        <v>0</v>
      </c>
      <c r="O603" t="n">
        <v>0</v>
      </c>
      <c r="P603" t="n">
        <v>0</v>
      </c>
      <c r="Q603" t="n">
        <v>0</v>
      </c>
      <c r="R603" s="2" t="inlineStr"/>
    </row>
    <row r="604" ht="15" customHeight="1">
      <c r="A604" t="inlineStr">
        <is>
          <t>A 58439-2025</t>
        </is>
      </c>
      <c r="B604" s="1" t="n">
        <v>45985.61518518518</v>
      </c>
      <c r="C604" s="1" t="n">
        <v>46059</v>
      </c>
      <c r="D604" t="inlineStr">
        <is>
          <t>VÄSTERNORRLANDS LÄN</t>
        </is>
      </c>
      <c r="E604" t="inlineStr">
        <is>
          <t>ÅNGE</t>
        </is>
      </c>
      <c r="G604" t="n">
        <v>2.1</v>
      </c>
      <c r="H604" t="n">
        <v>0</v>
      </c>
      <c r="I604" t="n">
        <v>0</v>
      </c>
      <c r="J604" t="n">
        <v>0</v>
      </c>
      <c r="K604" t="n">
        <v>0</v>
      </c>
      <c r="L604" t="n">
        <v>0</v>
      </c>
      <c r="M604" t="n">
        <v>0</v>
      </c>
      <c r="N604" t="n">
        <v>0</v>
      </c>
      <c r="O604" t="n">
        <v>0</v>
      </c>
      <c r="P604" t="n">
        <v>0</v>
      </c>
      <c r="Q604" t="n">
        <v>0</v>
      </c>
      <c r="R604" s="2" t="inlineStr"/>
    </row>
    <row r="605" ht="15" customHeight="1">
      <c r="A605" t="inlineStr">
        <is>
          <t>A 58524-2025</t>
        </is>
      </c>
      <c r="B605" s="1" t="n">
        <v>45985.7190162037</v>
      </c>
      <c r="C605" s="1" t="n">
        <v>46059</v>
      </c>
      <c r="D605" t="inlineStr">
        <is>
          <t>VÄSTERNORRLANDS LÄN</t>
        </is>
      </c>
      <c r="E605" t="inlineStr">
        <is>
          <t>ÅNGE</t>
        </is>
      </c>
      <c r="G605" t="n">
        <v>2.2</v>
      </c>
      <c r="H605" t="n">
        <v>0</v>
      </c>
      <c r="I605" t="n">
        <v>0</v>
      </c>
      <c r="J605" t="n">
        <v>0</v>
      </c>
      <c r="K605" t="n">
        <v>0</v>
      </c>
      <c r="L605" t="n">
        <v>0</v>
      </c>
      <c r="M605" t="n">
        <v>0</v>
      </c>
      <c r="N605" t="n">
        <v>0</v>
      </c>
      <c r="O605" t="n">
        <v>0</v>
      </c>
      <c r="P605" t="n">
        <v>0</v>
      </c>
      <c r="Q605" t="n">
        <v>0</v>
      </c>
      <c r="R605" s="2" t="inlineStr"/>
    </row>
    <row r="606" ht="15" customHeight="1">
      <c r="A606" t="inlineStr">
        <is>
          <t>A 58639-2025</t>
        </is>
      </c>
      <c r="B606" s="1" t="n">
        <v>45986.49042824074</v>
      </c>
      <c r="C606" s="1" t="n">
        <v>46059</v>
      </c>
      <c r="D606" t="inlineStr">
        <is>
          <t>VÄSTERNORRLANDS LÄN</t>
        </is>
      </c>
      <c r="E606" t="inlineStr">
        <is>
          <t>ÅNGE</t>
        </is>
      </c>
      <c r="G606" t="n">
        <v>2</v>
      </c>
      <c r="H606" t="n">
        <v>0</v>
      </c>
      <c r="I606" t="n">
        <v>0</v>
      </c>
      <c r="J606" t="n">
        <v>0</v>
      </c>
      <c r="K606" t="n">
        <v>0</v>
      </c>
      <c r="L606" t="n">
        <v>0</v>
      </c>
      <c r="M606" t="n">
        <v>0</v>
      </c>
      <c r="N606" t="n">
        <v>0</v>
      </c>
      <c r="O606" t="n">
        <v>0</v>
      </c>
      <c r="P606" t="n">
        <v>0</v>
      </c>
      <c r="Q606" t="n">
        <v>0</v>
      </c>
      <c r="R606" s="2" t="inlineStr"/>
    </row>
    <row r="607" ht="15" customHeight="1">
      <c r="A607" t="inlineStr">
        <is>
          <t>A 51311-2022</t>
        </is>
      </c>
      <c r="B607" s="1" t="n">
        <v>44868</v>
      </c>
      <c r="C607" s="1" t="n">
        <v>46059</v>
      </c>
      <c r="D607" t="inlineStr">
        <is>
          <t>VÄSTERNORRLANDS LÄN</t>
        </is>
      </c>
      <c r="E607" t="inlineStr">
        <is>
          <t>ÅNGE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33428-2023</t>
        </is>
      </c>
      <c r="B608" s="1" t="n">
        <v>45128.94976851852</v>
      </c>
      <c r="C608" s="1" t="n">
        <v>46059</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58599-2025</t>
        </is>
      </c>
      <c r="B609" s="1" t="n">
        <v>45986.42644675926</v>
      </c>
      <c r="C609" s="1" t="n">
        <v>46059</v>
      </c>
      <c r="D609" t="inlineStr">
        <is>
          <t>VÄSTERNORRLANDS LÄN</t>
        </is>
      </c>
      <c r="E609" t="inlineStr">
        <is>
          <t>ÅNGE</t>
        </is>
      </c>
      <c r="G609" t="n">
        <v>2</v>
      </c>
      <c r="H609" t="n">
        <v>0</v>
      </c>
      <c r="I609" t="n">
        <v>0</v>
      </c>
      <c r="J609" t="n">
        <v>0</v>
      </c>
      <c r="K609" t="n">
        <v>0</v>
      </c>
      <c r="L609" t="n">
        <v>0</v>
      </c>
      <c r="M609" t="n">
        <v>0</v>
      </c>
      <c r="N609" t="n">
        <v>0</v>
      </c>
      <c r="O609" t="n">
        <v>0</v>
      </c>
      <c r="P609" t="n">
        <v>0</v>
      </c>
      <c r="Q609" t="n">
        <v>0</v>
      </c>
      <c r="R609" s="2" t="inlineStr"/>
    </row>
    <row r="610" ht="15" customHeight="1">
      <c r="A610" t="inlineStr">
        <is>
          <t>A 42786-2025</t>
        </is>
      </c>
      <c r="B610" s="1" t="n">
        <v>45908.51097222222</v>
      </c>
      <c r="C610" s="1" t="n">
        <v>46059</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34815-2024</t>
        </is>
      </c>
      <c r="B611" s="1" t="n">
        <v>45526.70732638889</v>
      </c>
      <c r="C611" s="1" t="n">
        <v>46059</v>
      </c>
      <c r="D611" t="inlineStr">
        <is>
          <t>VÄSTERNORRLANDS LÄN</t>
        </is>
      </c>
      <c r="E611" t="inlineStr">
        <is>
          <t>ÅNGE</t>
        </is>
      </c>
      <c r="G611" t="n">
        <v>1.3</v>
      </c>
      <c r="H611" t="n">
        <v>0</v>
      </c>
      <c r="I611" t="n">
        <v>0</v>
      </c>
      <c r="J611" t="n">
        <v>0</v>
      </c>
      <c r="K611" t="n">
        <v>0</v>
      </c>
      <c r="L611" t="n">
        <v>0</v>
      </c>
      <c r="M611" t="n">
        <v>0</v>
      </c>
      <c r="N611" t="n">
        <v>0</v>
      </c>
      <c r="O611" t="n">
        <v>0</v>
      </c>
      <c r="P611" t="n">
        <v>0</v>
      </c>
      <c r="Q611" t="n">
        <v>0</v>
      </c>
      <c r="R611" s="2" t="inlineStr"/>
    </row>
    <row r="612" ht="15" customHeight="1">
      <c r="A612" t="inlineStr">
        <is>
          <t>A 56399-2022</t>
        </is>
      </c>
      <c r="B612" s="1" t="n">
        <v>44890</v>
      </c>
      <c r="C612" s="1" t="n">
        <v>46059</v>
      </c>
      <c r="D612" t="inlineStr">
        <is>
          <t>VÄSTERNORRLANDS LÄN</t>
        </is>
      </c>
      <c r="E612" t="inlineStr">
        <is>
          <t>ÅNGE</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58406-2025</t>
        </is>
      </c>
      <c r="B613" s="1" t="n">
        <v>45985.56913194444</v>
      </c>
      <c r="C613" s="1" t="n">
        <v>46059</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5035-2025</t>
        </is>
      </c>
      <c r="B614" s="1" t="n">
        <v>45691</v>
      </c>
      <c r="C614" s="1" t="n">
        <v>46059</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42863-2025</t>
        </is>
      </c>
      <c r="B615" s="1" t="n">
        <v>45908.61527777778</v>
      </c>
      <c r="C615" s="1" t="n">
        <v>46059</v>
      </c>
      <c r="D615" t="inlineStr">
        <is>
          <t>VÄSTERNORRLANDS LÄN</t>
        </is>
      </c>
      <c r="E615" t="inlineStr">
        <is>
          <t>ÅNGE</t>
        </is>
      </c>
      <c r="G615" t="n">
        <v>1.1</v>
      </c>
      <c r="H615" t="n">
        <v>0</v>
      </c>
      <c r="I615" t="n">
        <v>0</v>
      </c>
      <c r="J615" t="n">
        <v>0</v>
      </c>
      <c r="K615" t="n">
        <v>0</v>
      </c>
      <c r="L615" t="n">
        <v>0</v>
      </c>
      <c r="M615" t="n">
        <v>0</v>
      </c>
      <c r="N615" t="n">
        <v>0</v>
      </c>
      <c r="O615" t="n">
        <v>0</v>
      </c>
      <c r="P615" t="n">
        <v>0</v>
      </c>
      <c r="Q615" t="n">
        <v>0</v>
      </c>
      <c r="R615" s="2" t="inlineStr"/>
    </row>
    <row r="616" ht="15" customHeight="1">
      <c r="A616" t="inlineStr">
        <is>
          <t>A 58240-2025</t>
        </is>
      </c>
      <c r="B616" s="1" t="n">
        <v>45985.38796296297</v>
      </c>
      <c r="C616" s="1" t="n">
        <v>46059</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58270-2025</t>
        </is>
      </c>
      <c r="B617" s="1" t="n">
        <v>45985.42633101852</v>
      </c>
      <c r="C617" s="1" t="n">
        <v>46059</v>
      </c>
      <c r="D617" t="inlineStr">
        <is>
          <t>VÄSTERNORRLANDS LÄN</t>
        </is>
      </c>
      <c r="E617" t="inlineStr">
        <is>
          <t>ÅNGE</t>
        </is>
      </c>
      <c r="G617" t="n">
        <v>5.1</v>
      </c>
      <c r="H617" t="n">
        <v>0</v>
      </c>
      <c r="I617" t="n">
        <v>0</v>
      </c>
      <c r="J617" t="n">
        <v>0</v>
      </c>
      <c r="K617" t="n">
        <v>0</v>
      </c>
      <c r="L617" t="n">
        <v>0</v>
      </c>
      <c r="M617" t="n">
        <v>0</v>
      </c>
      <c r="N617" t="n">
        <v>0</v>
      </c>
      <c r="O617" t="n">
        <v>0</v>
      </c>
      <c r="P617" t="n">
        <v>0</v>
      </c>
      <c r="Q617" t="n">
        <v>0</v>
      </c>
      <c r="R617" s="2" t="inlineStr"/>
    </row>
    <row r="618" ht="15" customHeight="1">
      <c r="A618" t="inlineStr">
        <is>
          <t>A 42731-2025</t>
        </is>
      </c>
      <c r="B618" s="1" t="n">
        <v>45908.40686342592</v>
      </c>
      <c r="C618" s="1" t="n">
        <v>46059</v>
      </c>
      <c r="D618" t="inlineStr">
        <is>
          <t>VÄSTERNORRLANDS LÄN</t>
        </is>
      </c>
      <c r="E618" t="inlineStr">
        <is>
          <t>ÅNGE</t>
        </is>
      </c>
      <c r="G618" t="n">
        <v>14.1</v>
      </c>
      <c r="H618" t="n">
        <v>0</v>
      </c>
      <c r="I618" t="n">
        <v>0</v>
      </c>
      <c r="J618" t="n">
        <v>0</v>
      </c>
      <c r="K618" t="n">
        <v>0</v>
      </c>
      <c r="L618" t="n">
        <v>0</v>
      </c>
      <c r="M618" t="n">
        <v>0</v>
      </c>
      <c r="N618" t="n">
        <v>0</v>
      </c>
      <c r="O618" t="n">
        <v>0</v>
      </c>
      <c r="P618" t="n">
        <v>0</v>
      </c>
      <c r="Q618" t="n">
        <v>0</v>
      </c>
      <c r="R618" s="2" t="inlineStr"/>
    </row>
    <row r="619" ht="15" customHeight="1">
      <c r="A619" t="inlineStr">
        <is>
          <t>A 42785-2025</t>
        </is>
      </c>
      <c r="B619" s="1" t="n">
        <v>45908.51083333333</v>
      </c>
      <c r="C619" s="1" t="n">
        <v>46059</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58890-2025</t>
        </is>
      </c>
      <c r="B620" s="1" t="n">
        <v>45987.49006944444</v>
      </c>
      <c r="C620" s="1" t="n">
        <v>46059</v>
      </c>
      <c r="D620" t="inlineStr">
        <is>
          <t>VÄSTERNORRLANDS LÄN</t>
        </is>
      </c>
      <c r="E620" t="inlineStr">
        <is>
          <t>ÅNGE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28506-2024</t>
        </is>
      </c>
      <c r="B621" s="1" t="n">
        <v>45477.9475</v>
      </c>
      <c r="C621" s="1" t="n">
        <v>46059</v>
      </c>
      <c r="D621" t="inlineStr">
        <is>
          <t>VÄSTERNORRLANDS LÄN</t>
        </is>
      </c>
      <c r="E621" t="inlineStr">
        <is>
          <t>ÅNGE</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21456-2025</t>
        </is>
      </c>
      <c r="B622" s="1" t="n">
        <v>45782.55342592593</v>
      </c>
      <c r="C622" s="1" t="n">
        <v>46059</v>
      </c>
      <c r="D622" t="inlineStr">
        <is>
          <t>VÄSTERNORRLANDS LÄN</t>
        </is>
      </c>
      <c r="E622" t="inlineStr">
        <is>
          <t>ÅNGE</t>
        </is>
      </c>
      <c r="F622" t="inlineStr">
        <is>
          <t>SCA</t>
        </is>
      </c>
      <c r="G622" t="n">
        <v>6.2</v>
      </c>
      <c r="H622" t="n">
        <v>0</v>
      </c>
      <c r="I622" t="n">
        <v>0</v>
      </c>
      <c r="J622" t="n">
        <v>0</v>
      </c>
      <c r="K622" t="n">
        <v>0</v>
      </c>
      <c r="L622" t="n">
        <v>0</v>
      </c>
      <c r="M622" t="n">
        <v>0</v>
      </c>
      <c r="N622" t="n">
        <v>0</v>
      </c>
      <c r="O622" t="n">
        <v>0</v>
      </c>
      <c r="P622" t="n">
        <v>0</v>
      </c>
      <c r="Q622" t="n">
        <v>0</v>
      </c>
      <c r="R622" s="2" t="inlineStr"/>
    </row>
    <row r="623" ht="15" customHeight="1">
      <c r="A623" t="inlineStr">
        <is>
          <t>A 1420-2023</t>
        </is>
      </c>
      <c r="B623" s="1" t="n">
        <v>44936.92762731481</v>
      </c>
      <c r="C623" s="1" t="n">
        <v>46059</v>
      </c>
      <c r="D623" t="inlineStr">
        <is>
          <t>VÄSTERNORRLANDS LÄN</t>
        </is>
      </c>
      <c r="E623" t="inlineStr">
        <is>
          <t>ÅNGE</t>
        </is>
      </c>
      <c r="G623" t="n">
        <v>3.7</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46059</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60205-2023</t>
        </is>
      </c>
      <c r="B625" s="1" t="n">
        <v>45257</v>
      </c>
      <c r="C625" s="1" t="n">
        <v>46059</v>
      </c>
      <c r="D625" t="inlineStr">
        <is>
          <t>VÄSTERNORRLANDS LÄN</t>
        </is>
      </c>
      <c r="E625" t="inlineStr">
        <is>
          <t>ÅNGE</t>
        </is>
      </c>
      <c r="G625" t="n">
        <v>2.1</v>
      </c>
      <c r="H625" t="n">
        <v>0</v>
      </c>
      <c r="I625" t="n">
        <v>0</v>
      </c>
      <c r="J625" t="n">
        <v>0</v>
      </c>
      <c r="K625" t="n">
        <v>0</v>
      </c>
      <c r="L625" t="n">
        <v>0</v>
      </c>
      <c r="M625" t="n">
        <v>0</v>
      </c>
      <c r="N625" t="n">
        <v>0</v>
      </c>
      <c r="O625" t="n">
        <v>0</v>
      </c>
      <c r="P625" t="n">
        <v>0</v>
      </c>
      <c r="Q625" t="n">
        <v>0</v>
      </c>
      <c r="R625" s="2" t="inlineStr"/>
    </row>
    <row r="626" ht="15" customHeight="1">
      <c r="A626" t="inlineStr">
        <is>
          <t>A 39005-2024</t>
        </is>
      </c>
      <c r="B626" s="1" t="n">
        <v>45548.42743055556</v>
      </c>
      <c r="C626" s="1" t="n">
        <v>46059</v>
      </c>
      <c r="D626" t="inlineStr">
        <is>
          <t>VÄSTERNORRLANDS LÄN</t>
        </is>
      </c>
      <c r="E626" t="inlineStr">
        <is>
          <t>ÅNGE</t>
        </is>
      </c>
      <c r="F626" t="inlineStr">
        <is>
          <t>SCA</t>
        </is>
      </c>
      <c r="G626" t="n">
        <v>2.6</v>
      </c>
      <c r="H626" t="n">
        <v>0</v>
      </c>
      <c r="I626" t="n">
        <v>0</v>
      </c>
      <c r="J626" t="n">
        <v>0</v>
      </c>
      <c r="K626" t="n">
        <v>0</v>
      </c>
      <c r="L626" t="n">
        <v>0</v>
      </c>
      <c r="M626" t="n">
        <v>0</v>
      </c>
      <c r="N626" t="n">
        <v>0</v>
      </c>
      <c r="O626" t="n">
        <v>0</v>
      </c>
      <c r="P626" t="n">
        <v>0</v>
      </c>
      <c r="Q626" t="n">
        <v>0</v>
      </c>
      <c r="R626" s="2" t="inlineStr"/>
      <c r="U626">
        <f>HYPERLINK("https://klasma.github.io/Logging_2260/knärot/A 39005-2024 karta knärot.png", "A 39005-2024")</f>
        <v/>
      </c>
      <c r="V626">
        <f>HYPERLINK("https://klasma.github.io/Logging_2260/klagomål/A 39005-2024 FSC-klagomål.docx", "A 39005-2024")</f>
        <v/>
      </c>
      <c r="W626">
        <f>HYPERLINK("https://klasma.github.io/Logging_2260/klagomålsmail/A 39005-2024 FSC-klagomål mail.docx", "A 39005-2024")</f>
        <v/>
      </c>
      <c r="X626">
        <f>HYPERLINK("https://klasma.github.io/Logging_2260/tillsyn/A 39005-2024 tillsynsbegäran.docx", "A 39005-2024")</f>
        <v/>
      </c>
      <c r="Y626">
        <f>HYPERLINK("https://klasma.github.io/Logging_2260/tillsynsmail/A 39005-2024 tillsynsbegäran mail.docx", "A 39005-2024")</f>
        <v/>
      </c>
    </row>
    <row r="627" ht="15" customHeight="1">
      <c r="A627" t="inlineStr">
        <is>
          <t>A 9619-2021</t>
        </is>
      </c>
      <c r="B627" s="1" t="n">
        <v>44251</v>
      </c>
      <c r="C627" s="1" t="n">
        <v>46059</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42730-2025</t>
        </is>
      </c>
      <c r="B628" s="1" t="n">
        <v>45908.40666666667</v>
      </c>
      <c r="C628" s="1" t="n">
        <v>46059</v>
      </c>
      <c r="D628" t="inlineStr">
        <is>
          <t>VÄSTERNORRLANDS LÄN</t>
        </is>
      </c>
      <c r="E628" t="inlineStr">
        <is>
          <t>ÅNGE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42589-2025</t>
        </is>
      </c>
      <c r="B629" s="1" t="n">
        <v>45905.63585648148</v>
      </c>
      <c r="C629" s="1" t="n">
        <v>46059</v>
      </c>
      <c r="D629" t="inlineStr">
        <is>
          <t>VÄSTERNORRLANDS LÄN</t>
        </is>
      </c>
      <c r="E629" t="inlineStr">
        <is>
          <t>ÅNGE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59062-2025</t>
        </is>
      </c>
      <c r="B630" s="1" t="n">
        <v>45988.40723379629</v>
      </c>
      <c r="C630" s="1" t="n">
        <v>46059</v>
      </c>
      <c r="D630" t="inlineStr">
        <is>
          <t>VÄSTERNORRLANDS LÄN</t>
        </is>
      </c>
      <c r="E630" t="inlineStr">
        <is>
          <t>ÅNGE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59064-2025</t>
        </is>
      </c>
      <c r="B631" s="1" t="n">
        <v>45988.40768518519</v>
      </c>
      <c r="C631" s="1" t="n">
        <v>46059</v>
      </c>
      <c r="D631" t="inlineStr">
        <is>
          <t>VÄSTERNORRLANDS LÄN</t>
        </is>
      </c>
      <c r="E631" t="inlineStr">
        <is>
          <t>ÅNGE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42764-2025</t>
        </is>
      </c>
      <c r="B632" s="1" t="n">
        <v>45908.46943287037</v>
      </c>
      <c r="C632" s="1" t="n">
        <v>46059</v>
      </c>
      <c r="D632" t="inlineStr">
        <is>
          <t>VÄSTERNORRLANDS LÄN</t>
        </is>
      </c>
      <c r="E632" t="inlineStr">
        <is>
          <t>ÅNGE</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33631-2024</t>
        </is>
      </c>
      <c r="B633" s="1" t="n">
        <v>45520</v>
      </c>
      <c r="C633" s="1" t="n">
        <v>46059</v>
      </c>
      <c r="D633" t="inlineStr">
        <is>
          <t>VÄSTERNORRLANDS LÄN</t>
        </is>
      </c>
      <c r="E633" t="inlineStr">
        <is>
          <t>ÅNGE</t>
        </is>
      </c>
      <c r="G633" t="n">
        <v>1.7</v>
      </c>
      <c r="H633" t="n">
        <v>0</v>
      </c>
      <c r="I633" t="n">
        <v>0</v>
      </c>
      <c r="J633" t="n">
        <v>0</v>
      </c>
      <c r="K633" t="n">
        <v>0</v>
      </c>
      <c r="L633" t="n">
        <v>0</v>
      </c>
      <c r="M633" t="n">
        <v>0</v>
      </c>
      <c r="N633" t="n">
        <v>0</v>
      </c>
      <c r="O633" t="n">
        <v>0</v>
      </c>
      <c r="P633" t="n">
        <v>0</v>
      </c>
      <c r="Q633" t="n">
        <v>0</v>
      </c>
      <c r="R633" s="2" t="inlineStr"/>
    </row>
    <row r="634" ht="15" customHeight="1">
      <c r="A634" t="inlineStr">
        <is>
          <t>A 59023-2025</t>
        </is>
      </c>
      <c r="B634" s="1" t="n">
        <v>45988</v>
      </c>
      <c r="C634" s="1" t="n">
        <v>46059</v>
      </c>
      <c r="D634" t="inlineStr">
        <is>
          <t>VÄSTERNORRLANDS LÄN</t>
        </is>
      </c>
      <c r="E634" t="inlineStr">
        <is>
          <t>ÅNGE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59022-2025</t>
        </is>
      </c>
      <c r="B635" s="1" t="n">
        <v>45988</v>
      </c>
      <c r="C635" s="1" t="n">
        <v>46059</v>
      </c>
      <c r="D635" t="inlineStr">
        <is>
          <t>VÄSTERNORRLANDS LÄN</t>
        </is>
      </c>
      <c r="E635" t="inlineStr">
        <is>
          <t>ÅNGE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59063-2025</t>
        </is>
      </c>
      <c r="B636" s="1" t="n">
        <v>45988.40734953704</v>
      </c>
      <c r="C636" s="1" t="n">
        <v>46059</v>
      </c>
      <c r="D636" t="inlineStr">
        <is>
          <t>VÄSTERNORRLANDS LÄN</t>
        </is>
      </c>
      <c r="E636" t="inlineStr">
        <is>
          <t>ÅNGE</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42880-2025</t>
        </is>
      </c>
      <c r="B637" s="1" t="n">
        <v>45908.63599537037</v>
      </c>
      <c r="C637" s="1" t="n">
        <v>46059</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44876-2024</t>
        </is>
      </c>
      <c r="B638" s="1" t="n">
        <v>45575.34474537037</v>
      </c>
      <c r="C638" s="1" t="n">
        <v>46059</v>
      </c>
      <c r="D638" t="inlineStr">
        <is>
          <t>VÄSTERNORRLANDS LÄN</t>
        </is>
      </c>
      <c r="E638" t="inlineStr">
        <is>
          <t>ÅNGE</t>
        </is>
      </c>
      <c r="F638" t="inlineStr">
        <is>
          <t>SCA</t>
        </is>
      </c>
      <c r="G638" t="n">
        <v>12.4</v>
      </c>
      <c r="H638" t="n">
        <v>0</v>
      </c>
      <c r="I638" t="n">
        <v>0</v>
      </c>
      <c r="J638" t="n">
        <v>0</v>
      </c>
      <c r="K638" t="n">
        <v>0</v>
      </c>
      <c r="L638" t="n">
        <v>0</v>
      </c>
      <c r="M638" t="n">
        <v>0</v>
      </c>
      <c r="N638" t="n">
        <v>0</v>
      </c>
      <c r="O638" t="n">
        <v>0</v>
      </c>
      <c r="P638" t="n">
        <v>0</v>
      </c>
      <c r="Q638" t="n">
        <v>0</v>
      </c>
      <c r="R638" s="2" t="inlineStr"/>
    </row>
    <row r="639" ht="15" customHeight="1">
      <c r="A639" t="inlineStr">
        <is>
          <t>A 43237-2025</t>
        </is>
      </c>
      <c r="B639" s="1" t="n">
        <v>45910.51670138889</v>
      </c>
      <c r="C639" s="1" t="n">
        <v>46059</v>
      </c>
      <c r="D639" t="inlineStr">
        <is>
          <t>VÄSTERNORRLANDS LÄN</t>
        </is>
      </c>
      <c r="E639" t="inlineStr">
        <is>
          <t>ÅNGE</t>
        </is>
      </c>
      <c r="G639" t="n">
        <v>0.7</v>
      </c>
      <c r="H639" t="n">
        <v>0</v>
      </c>
      <c r="I639" t="n">
        <v>0</v>
      </c>
      <c r="J639" t="n">
        <v>0</v>
      </c>
      <c r="K639" t="n">
        <v>0</v>
      </c>
      <c r="L639" t="n">
        <v>0</v>
      </c>
      <c r="M639" t="n">
        <v>0</v>
      </c>
      <c r="N639" t="n">
        <v>0</v>
      </c>
      <c r="O639" t="n">
        <v>0</v>
      </c>
      <c r="P639" t="n">
        <v>0</v>
      </c>
      <c r="Q639" t="n">
        <v>0</v>
      </c>
      <c r="R639" s="2" t="inlineStr"/>
    </row>
    <row r="640" ht="15" customHeight="1">
      <c r="A640" t="inlineStr">
        <is>
          <t>A 43250-2025</t>
        </is>
      </c>
      <c r="B640" s="1" t="n">
        <v>45910.5525462963</v>
      </c>
      <c r="C640" s="1" t="n">
        <v>46059</v>
      </c>
      <c r="D640" t="inlineStr">
        <is>
          <t>VÄSTERNORRLANDS LÄN</t>
        </is>
      </c>
      <c r="E640" t="inlineStr">
        <is>
          <t>ÅNGE</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11088-2024</t>
        </is>
      </c>
      <c r="B641" s="1" t="n">
        <v>45370</v>
      </c>
      <c r="C641" s="1" t="n">
        <v>46059</v>
      </c>
      <c r="D641" t="inlineStr">
        <is>
          <t>VÄSTERNORRLANDS LÄN</t>
        </is>
      </c>
      <c r="E641" t="inlineStr">
        <is>
          <t>ÅNGE</t>
        </is>
      </c>
      <c r="F641" t="inlineStr">
        <is>
          <t>SCA</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26012-2024</t>
        </is>
      </c>
      <c r="B642" s="1" t="n">
        <v>45467</v>
      </c>
      <c r="C642" s="1" t="n">
        <v>46059</v>
      </c>
      <c r="D642" t="inlineStr">
        <is>
          <t>VÄSTERNORRLANDS LÄN</t>
        </is>
      </c>
      <c r="E642" t="inlineStr">
        <is>
          <t>ÅNGE</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53858-2024</t>
        </is>
      </c>
      <c r="B643" s="1" t="n">
        <v>45615</v>
      </c>
      <c r="C643" s="1" t="n">
        <v>46059</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46059</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43265-2025</t>
        </is>
      </c>
      <c r="B645" s="1" t="n">
        <v>45910.57377314815</v>
      </c>
      <c r="C645" s="1" t="n">
        <v>46059</v>
      </c>
      <c r="D645" t="inlineStr">
        <is>
          <t>VÄSTERNORRLANDS LÄN</t>
        </is>
      </c>
      <c r="E645" t="inlineStr">
        <is>
          <t>ÅNGE</t>
        </is>
      </c>
      <c r="F645" t="inlineStr">
        <is>
          <t>SCA</t>
        </is>
      </c>
      <c r="G645" t="n">
        <v>7</v>
      </c>
      <c r="H645" t="n">
        <v>0</v>
      </c>
      <c r="I645" t="n">
        <v>0</v>
      </c>
      <c r="J645" t="n">
        <v>0</v>
      </c>
      <c r="K645" t="n">
        <v>0</v>
      </c>
      <c r="L645" t="n">
        <v>0</v>
      </c>
      <c r="M645" t="n">
        <v>0</v>
      </c>
      <c r="N645" t="n">
        <v>0</v>
      </c>
      <c r="O645" t="n">
        <v>0</v>
      </c>
      <c r="P645" t="n">
        <v>0</v>
      </c>
      <c r="Q645" t="n">
        <v>0</v>
      </c>
      <c r="R645" s="2" t="inlineStr"/>
    </row>
    <row r="646" ht="15" customHeight="1">
      <c r="A646" t="inlineStr">
        <is>
          <t>A 43252-2025</t>
        </is>
      </c>
      <c r="B646" s="1" t="n">
        <v>45910.55292824074</v>
      </c>
      <c r="C646" s="1" t="n">
        <v>46059</v>
      </c>
      <c r="D646" t="inlineStr">
        <is>
          <t>VÄSTERNORRLANDS LÄN</t>
        </is>
      </c>
      <c r="E646" t="inlineStr">
        <is>
          <t>ÅNGE</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43091-2025</t>
        </is>
      </c>
      <c r="B647" s="1" t="n">
        <v>45909.62511574074</v>
      </c>
      <c r="C647" s="1" t="n">
        <v>46059</v>
      </c>
      <c r="D647" t="inlineStr">
        <is>
          <t>VÄSTERNORRLANDS LÄN</t>
        </is>
      </c>
      <c r="E647" t="inlineStr">
        <is>
          <t>ÅNGE</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30348-2024</t>
        </is>
      </c>
      <c r="B648" s="1" t="n">
        <v>45490.95524305556</v>
      </c>
      <c r="C648" s="1" t="n">
        <v>46059</v>
      </c>
      <c r="D648" t="inlineStr">
        <is>
          <t>VÄSTERNORRLANDS LÄN</t>
        </is>
      </c>
      <c r="E648" t="inlineStr">
        <is>
          <t>ÅNGE</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31457-2024</t>
        </is>
      </c>
      <c r="B649" s="1" t="n">
        <v>45505</v>
      </c>
      <c r="C649" s="1" t="n">
        <v>46059</v>
      </c>
      <c r="D649" t="inlineStr">
        <is>
          <t>VÄSTERNORRLANDS LÄN</t>
        </is>
      </c>
      <c r="E649" t="inlineStr">
        <is>
          <t>ÅNGE</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35392-2024</t>
        </is>
      </c>
      <c r="B650" s="1" t="n">
        <v>45531.4025462963</v>
      </c>
      <c r="C650" s="1" t="n">
        <v>46059</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43077-2025</t>
        </is>
      </c>
      <c r="B651" s="1" t="n">
        <v>45909.6046412037</v>
      </c>
      <c r="C651" s="1" t="n">
        <v>46059</v>
      </c>
      <c r="D651" t="inlineStr">
        <is>
          <t>VÄSTERNORRLANDS LÄN</t>
        </is>
      </c>
      <c r="E651" t="inlineStr">
        <is>
          <t>ÅNGE</t>
        </is>
      </c>
      <c r="F651" t="inlineStr">
        <is>
          <t>Kyrkan</t>
        </is>
      </c>
      <c r="G651" t="n">
        <v>7.6</v>
      </c>
      <c r="H651" t="n">
        <v>0</v>
      </c>
      <c r="I651" t="n">
        <v>0</v>
      </c>
      <c r="J651" t="n">
        <v>0</v>
      </c>
      <c r="K651" t="n">
        <v>0</v>
      </c>
      <c r="L651" t="n">
        <v>0</v>
      </c>
      <c r="M651" t="n">
        <v>0</v>
      </c>
      <c r="N651" t="n">
        <v>0</v>
      </c>
      <c r="O651" t="n">
        <v>0</v>
      </c>
      <c r="P651" t="n">
        <v>0</v>
      </c>
      <c r="Q651" t="n">
        <v>0</v>
      </c>
      <c r="R651" s="2" t="inlineStr"/>
    </row>
    <row r="652" ht="15" customHeight="1">
      <c r="A652" t="inlineStr">
        <is>
          <t>A 58892-2025</t>
        </is>
      </c>
      <c r="B652" s="1" t="n">
        <v>45987.49056712963</v>
      </c>
      <c r="C652" s="1" t="n">
        <v>46059</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43066-2022</t>
        </is>
      </c>
      <c r="B653" s="1" t="n">
        <v>44833</v>
      </c>
      <c r="C653" s="1" t="n">
        <v>46059</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57595-2022</t>
        </is>
      </c>
      <c r="B654" s="1" t="n">
        <v>44896.97862268519</v>
      </c>
      <c r="C654" s="1" t="n">
        <v>46059</v>
      </c>
      <c r="D654" t="inlineStr">
        <is>
          <t>VÄSTERNORRLANDS LÄN</t>
        </is>
      </c>
      <c r="E654" t="inlineStr">
        <is>
          <t>ÅNGE</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58823-2025</t>
        </is>
      </c>
      <c r="B655" s="1" t="n">
        <v>45987.3453125</v>
      </c>
      <c r="C655" s="1" t="n">
        <v>46059</v>
      </c>
      <c r="D655" t="inlineStr">
        <is>
          <t>VÄSTERNORRLANDS LÄN</t>
        </is>
      </c>
      <c r="E655" t="inlineStr">
        <is>
          <t>ÅNGE</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703-2026</t>
        </is>
      </c>
      <c r="B656" s="1" t="n">
        <v>46029.61604166667</v>
      </c>
      <c r="C656" s="1" t="n">
        <v>46059</v>
      </c>
      <c r="D656" t="inlineStr">
        <is>
          <t>VÄSTERNORRLANDS LÄN</t>
        </is>
      </c>
      <c r="E656" t="inlineStr">
        <is>
          <t>ÅNGE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58906-2025</t>
        </is>
      </c>
      <c r="B657" s="1" t="n">
        <v>45987.51087962963</v>
      </c>
      <c r="C657" s="1" t="n">
        <v>46059</v>
      </c>
      <c r="D657" t="inlineStr">
        <is>
          <t>VÄSTERNORRLANDS LÄN</t>
        </is>
      </c>
      <c r="E657" t="inlineStr">
        <is>
          <t>ÅNGE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58907-2025</t>
        </is>
      </c>
      <c r="B658" s="1" t="n">
        <v>45987.51108796296</v>
      </c>
      <c r="C658" s="1" t="n">
        <v>46059</v>
      </c>
      <c r="D658" t="inlineStr">
        <is>
          <t>VÄSTERNORRLANDS LÄN</t>
        </is>
      </c>
      <c r="E658" t="inlineStr">
        <is>
          <t>ÅNGE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43385-2025</t>
        </is>
      </c>
      <c r="B659" s="1" t="n">
        <v>45911.36508101852</v>
      </c>
      <c r="C659" s="1" t="n">
        <v>46059</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43707-2025</t>
        </is>
      </c>
      <c r="B660" s="1" t="n">
        <v>45912.40668981482</v>
      </c>
      <c r="C660" s="1" t="n">
        <v>46059</v>
      </c>
      <c r="D660" t="inlineStr">
        <is>
          <t>VÄSTERNORRLANDS LÄN</t>
        </is>
      </c>
      <c r="E660" t="inlineStr">
        <is>
          <t>ÅNGE</t>
        </is>
      </c>
      <c r="F660" t="inlineStr">
        <is>
          <t>SCA</t>
        </is>
      </c>
      <c r="G660" t="n">
        <v>12.5</v>
      </c>
      <c r="H660" t="n">
        <v>0</v>
      </c>
      <c r="I660" t="n">
        <v>0</v>
      </c>
      <c r="J660" t="n">
        <v>0</v>
      </c>
      <c r="K660" t="n">
        <v>0</v>
      </c>
      <c r="L660" t="n">
        <v>0</v>
      </c>
      <c r="M660" t="n">
        <v>0</v>
      </c>
      <c r="N660" t="n">
        <v>0</v>
      </c>
      <c r="O660" t="n">
        <v>0</v>
      </c>
      <c r="P660" t="n">
        <v>0</v>
      </c>
      <c r="Q660" t="n">
        <v>0</v>
      </c>
      <c r="R660" s="2" t="inlineStr"/>
      <c r="U660">
        <f>HYPERLINK("https://klasma.github.io/Logging_2260/knärot/A 43707-2025 karta knärot.png", "A 43707-2025")</f>
        <v/>
      </c>
      <c r="V660">
        <f>HYPERLINK("https://klasma.github.io/Logging_2260/klagomål/A 43707-2025 FSC-klagomål.docx", "A 43707-2025")</f>
        <v/>
      </c>
      <c r="W660">
        <f>HYPERLINK("https://klasma.github.io/Logging_2260/klagomålsmail/A 43707-2025 FSC-klagomål mail.docx", "A 43707-2025")</f>
        <v/>
      </c>
      <c r="X660">
        <f>HYPERLINK("https://klasma.github.io/Logging_2260/tillsyn/A 43707-2025 tillsynsbegäran.docx", "A 43707-2025")</f>
        <v/>
      </c>
      <c r="Y660">
        <f>HYPERLINK("https://klasma.github.io/Logging_2260/tillsynsmail/A 43707-2025 tillsynsbegäran mail.docx", "A 43707-2025")</f>
        <v/>
      </c>
    </row>
    <row r="661" ht="15" customHeight="1">
      <c r="A661" t="inlineStr">
        <is>
          <t>A 43415-2025</t>
        </is>
      </c>
      <c r="B661" s="1" t="n">
        <v>45911.40662037037</v>
      </c>
      <c r="C661" s="1" t="n">
        <v>46059</v>
      </c>
      <c r="D661" t="inlineStr">
        <is>
          <t>VÄSTERNORRLANDS LÄN</t>
        </is>
      </c>
      <c r="E661" t="inlineStr">
        <is>
          <t>ÅNGE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59065-2025</t>
        </is>
      </c>
      <c r="B662" s="1" t="n">
        <v>45988.40780092592</v>
      </c>
      <c r="C662" s="1" t="n">
        <v>46059</v>
      </c>
      <c r="D662" t="inlineStr">
        <is>
          <t>VÄSTERNORRLANDS LÄN</t>
        </is>
      </c>
      <c r="E662" t="inlineStr">
        <is>
          <t>ÅNGE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627-2026</t>
        </is>
      </c>
      <c r="B663" s="1" t="n">
        <v>46029.55262731481</v>
      </c>
      <c r="C663" s="1" t="n">
        <v>46059</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59259-2025</t>
        </is>
      </c>
      <c r="B664" s="1" t="n">
        <v>45988.65748842592</v>
      </c>
      <c r="C664" s="1" t="n">
        <v>46059</v>
      </c>
      <c r="D664" t="inlineStr">
        <is>
          <t>VÄSTERNORRLANDS LÄN</t>
        </is>
      </c>
      <c r="E664" t="inlineStr">
        <is>
          <t>ÅNGE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43389-2025</t>
        </is>
      </c>
      <c r="B665" s="1" t="n">
        <v>45911.36560185185</v>
      </c>
      <c r="C665" s="1" t="n">
        <v>46059</v>
      </c>
      <c r="D665" t="inlineStr">
        <is>
          <t>VÄSTERNORRLANDS LÄN</t>
        </is>
      </c>
      <c r="E665" t="inlineStr">
        <is>
          <t>ÅNGE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1280-2026</t>
        </is>
      </c>
      <c r="B666" s="1" t="n">
        <v>46031.47851851852</v>
      </c>
      <c r="C666" s="1" t="n">
        <v>46059</v>
      </c>
      <c r="D666" t="inlineStr">
        <is>
          <t>VÄSTERNORRLANDS LÄN</t>
        </is>
      </c>
      <c r="E666" t="inlineStr">
        <is>
          <t>ÅNGE</t>
        </is>
      </c>
      <c r="G666" t="n">
        <v>9.5</v>
      </c>
      <c r="H666" t="n">
        <v>0</v>
      </c>
      <c r="I666" t="n">
        <v>0</v>
      </c>
      <c r="J666" t="n">
        <v>0</v>
      </c>
      <c r="K666" t="n">
        <v>0</v>
      </c>
      <c r="L666" t="n">
        <v>0</v>
      </c>
      <c r="M666" t="n">
        <v>0</v>
      </c>
      <c r="N666" t="n">
        <v>0</v>
      </c>
      <c r="O666" t="n">
        <v>0</v>
      </c>
      <c r="P666" t="n">
        <v>0</v>
      </c>
      <c r="Q666" t="n">
        <v>0</v>
      </c>
      <c r="R666" s="2" t="inlineStr"/>
    </row>
    <row r="667" ht="15" customHeight="1">
      <c r="A667" t="inlineStr">
        <is>
          <t>A 43546-2025</t>
        </is>
      </c>
      <c r="B667" s="1" t="n">
        <v>45911.6153125</v>
      </c>
      <c r="C667" s="1" t="n">
        <v>46059</v>
      </c>
      <c r="D667" t="inlineStr">
        <is>
          <t>VÄSTERNORRLANDS LÄN</t>
        </is>
      </c>
      <c r="E667" t="inlineStr">
        <is>
          <t>ÅNGE</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24232-2024</t>
        </is>
      </c>
      <c r="B668" s="1" t="n">
        <v>45457.34686342593</v>
      </c>
      <c r="C668" s="1" t="n">
        <v>46059</v>
      </c>
      <c r="D668" t="inlineStr">
        <is>
          <t>VÄSTERNORRLANDS LÄN</t>
        </is>
      </c>
      <c r="E668" t="inlineStr">
        <is>
          <t>ÅNGE</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33783-2024</t>
        </is>
      </c>
      <c r="B669" s="1" t="n">
        <v>45520</v>
      </c>
      <c r="C669" s="1" t="n">
        <v>46059</v>
      </c>
      <c r="D669" t="inlineStr">
        <is>
          <t>VÄSTERNORRLANDS LÄN</t>
        </is>
      </c>
      <c r="E669" t="inlineStr">
        <is>
          <t>ÅNGE</t>
        </is>
      </c>
      <c r="G669" t="n">
        <v>0.7</v>
      </c>
      <c r="H669" t="n">
        <v>0</v>
      </c>
      <c r="I669" t="n">
        <v>0</v>
      </c>
      <c r="J669" t="n">
        <v>0</v>
      </c>
      <c r="K669" t="n">
        <v>0</v>
      </c>
      <c r="L669" t="n">
        <v>0</v>
      </c>
      <c r="M669" t="n">
        <v>0</v>
      </c>
      <c r="N669" t="n">
        <v>0</v>
      </c>
      <c r="O669" t="n">
        <v>0</v>
      </c>
      <c r="P669" t="n">
        <v>0</v>
      </c>
      <c r="Q669" t="n">
        <v>0</v>
      </c>
      <c r="R669" s="2" t="inlineStr"/>
    </row>
    <row r="670" ht="15" customHeight="1">
      <c r="A670" t="inlineStr">
        <is>
          <t>A 59641-2025</t>
        </is>
      </c>
      <c r="B670" s="1" t="n">
        <v>45992.4175925926</v>
      </c>
      <c r="C670" s="1" t="n">
        <v>46059</v>
      </c>
      <c r="D670" t="inlineStr">
        <is>
          <t>VÄSTERNORRLANDS LÄN</t>
        </is>
      </c>
      <c r="E670" t="inlineStr">
        <is>
          <t>ÅNGE</t>
        </is>
      </c>
      <c r="G670" t="n">
        <v>6.2</v>
      </c>
      <c r="H670" t="n">
        <v>0</v>
      </c>
      <c r="I670" t="n">
        <v>0</v>
      </c>
      <c r="J670" t="n">
        <v>0</v>
      </c>
      <c r="K670" t="n">
        <v>0</v>
      </c>
      <c r="L670" t="n">
        <v>0</v>
      </c>
      <c r="M670" t="n">
        <v>0</v>
      </c>
      <c r="N670" t="n">
        <v>0</v>
      </c>
      <c r="O670" t="n">
        <v>0</v>
      </c>
      <c r="P670" t="n">
        <v>0</v>
      </c>
      <c r="Q670" t="n">
        <v>0</v>
      </c>
      <c r="R670" s="2" t="inlineStr"/>
    </row>
    <row r="671" ht="15" customHeight="1">
      <c r="A671" t="inlineStr">
        <is>
          <t>A 43386-2025</t>
        </is>
      </c>
      <c r="B671" s="1" t="n">
        <v>45911.36520833334</v>
      </c>
      <c r="C671" s="1" t="n">
        <v>46059</v>
      </c>
      <c r="D671" t="inlineStr">
        <is>
          <t>VÄSTERNORRLANDS LÄN</t>
        </is>
      </c>
      <c r="E671" t="inlineStr">
        <is>
          <t>ÅNGE</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45128-2022</t>
        </is>
      </c>
      <c r="B672" s="1" t="n">
        <v>44844.3146412037</v>
      </c>
      <c r="C672" s="1" t="n">
        <v>46059</v>
      </c>
      <c r="D672" t="inlineStr">
        <is>
          <t>VÄSTERNORRLANDS LÄN</t>
        </is>
      </c>
      <c r="E672" t="inlineStr">
        <is>
          <t>ÅNGE</t>
        </is>
      </c>
      <c r="G672" t="n">
        <v>4.1</v>
      </c>
      <c r="H672" t="n">
        <v>0</v>
      </c>
      <c r="I672" t="n">
        <v>0</v>
      </c>
      <c r="J672" t="n">
        <v>0</v>
      </c>
      <c r="K672" t="n">
        <v>0</v>
      </c>
      <c r="L672" t="n">
        <v>0</v>
      </c>
      <c r="M672" t="n">
        <v>0</v>
      </c>
      <c r="N672" t="n">
        <v>0</v>
      </c>
      <c r="O672" t="n">
        <v>0</v>
      </c>
      <c r="P672" t="n">
        <v>0</v>
      </c>
      <c r="Q672" t="n">
        <v>0</v>
      </c>
      <c r="R672" s="2" t="inlineStr"/>
    </row>
    <row r="673" ht="15" customHeight="1">
      <c r="A673" t="inlineStr">
        <is>
          <t>A 26951-2024</t>
        </is>
      </c>
      <c r="B673" s="1" t="n">
        <v>45470.96991898148</v>
      </c>
      <c r="C673" s="1" t="n">
        <v>46059</v>
      </c>
      <c r="D673" t="inlineStr">
        <is>
          <t>VÄSTERNORRLANDS LÄN</t>
        </is>
      </c>
      <c r="E673" t="inlineStr">
        <is>
          <t>ÅNGE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59319-2025</t>
        </is>
      </c>
      <c r="B674" s="1" t="n">
        <v>45989.33283564815</v>
      </c>
      <c r="C674" s="1" t="n">
        <v>46059</v>
      </c>
      <c r="D674" t="inlineStr">
        <is>
          <t>VÄSTERNORRLANDS LÄN</t>
        </is>
      </c>
      <c r="E674" t="inlineStr">
        <is>
          <t>ÅNGE</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26952-2024</t>
        </is>
      </c>
      <c r="B675" s="1" t="n">
        <v>45470</v>
      </c>
      <c r="C675" s="1" t="n">
        <v>46059</v>
      </c>
      <c r="D675" t="inlineStr">
        <is>
          <t>VÄSTERNORRLANDS LÄN</t>
        </is>
      </c>
      <c r="E675" t="inlineStr">
        <is>
          <t>ÅNGE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59331-2025</t>
        </is>
      </c>
      <c r="B676" s="1" t="n">
        <v>45989.35978009259</v>
      </c>
      <c r="C676" s="1" t="n">
        <v>46059</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27321-2024</t>
        </is>
      </c>
      <c r="B677" s="1" t="n">
        <v>45471</v>
      </c>
      <c r="C677" s="1" t="n">
        <v>46059</v>
      </c>
      <c r="D677" t="inlineStr">
        <is>
          <t>VÄSTERNORRLANDS LÄN</t>
        </is>
      </c>
      <c r="E677" t="inlineStr">
        <is>
          <t>ÅNGE</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37382-2021</t>
        </is>
      </c>
      <c r="B678" s="1" t="n">
        <v>44397</v>
      </c>
      <c r="C678" s="1" t="n">
        <v>46059</v>
      </c>
      <c r="D678" t="inlineStr">
        <is>
          <t>VÄSTERNORRLANDS LÄN</t>
        </is>
      </c>
      <c r="E678" t="inlineStr">
        <is>
          <t>ÅNGE</t>
        </is>
      </c>
      <c r="G678" t="n">
        <v>2.4</v>
      </c>
      <c r="H678" t="n">
        <v>0</v>
      </c>
      <c r="I678" t="n">
        <v>0</v>
      </c>
      <c r="J678" t="n">
        <v>0</v>
      </c>
      <c r="K678" t="n">
        <v>0</v>
      </c>
      <c r="L678" t="n">
        <v>0</v>
      </c>
      <c r="M678" t="n">
        <v>0</v>
      </c>
      <c r="N678" t="n">
        <v>0</v>
      </c>
      <c r="O678" t="n">
        <v>0</v>
      </c>
      <c r="P678" t="n">
        <v>0</v>
      </c>
      <c r="Q678" t="n">
        <v>0</v>
      </c>
      <c r="R678" s="2" t="inlineStr"/>
    </row>
    <row r="679" ht="15" customHeight="1">
      <c r="A679" t="inlineStr">
        <is>
          <t>A 27668-2024</t>
        </is>
      </c>
      <c r="B679" s="1" t="n">
        <v>45474.95435185185</v>
      </c>
      <c r="C679" s="1" t="n">
        <v>46059</v>
      </c>
      <c r="D679" t="inlineStr">
        <is>
          <t>VÄSTERNORRLANDS LÄN</t>
        </is>
      </c>
      <c r="E679" t="inlineStr">
        <is>
          <t>ÅNGE</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51054-2024</t>
        </is>
      </c>
      <c r="B680" s="1" t="n">
        <v>45603</v>
      </c>
      <c r="C680" s="1" t="n">
        <v>46059</v>
      </c>
      <c r="D680" t="inlineStr">
        <is>
          <t>VÄSTERNORRLANDS LÄN</t>
        </is>
      </c>
      <c r="E680" t="inlineStr">
        <is>
          <t>ÅNGE</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1654-2026</t>
        </is>
      </c>
      <c r="B681" s="1" t="n">
        <v>46034.53197916667</v>
      </c>
      <c r="C681" s="1" t="n">
        <v>46059</v>
      </c>
      <c r="D681" t="inlineStr">
        <is>
          <t>VÄSTERNORRLANDS LÄN</t>
        </is>
      </c>
      <c r="E681" t="inlineStr">
        <is>
          <t>ÅNGE</t>
        </is>
      </c>
      <c r="G681" t="n">
        <v>3.1</v>
      </c>
      <c r="H681" t="n">
        <v>0</v>
      </c>
      <c r="I681" t="n">
        <v>0</v>
      </c>
      <c r="J681" t="n">
        <v>0</v>
      </c>
      <c r="K681" t="n">
        <v>0</v>
      </c>
      <c r="L681" t="n">
        <v>0</v>
      </c>
      <c r="M681" t="n">
        <v>0</v>
      </c>
      <c r="N681" t="n">
        <v>0</v>
      </c>
      <c r="O681" t="n">
        <v>0</v>
      </c>
      <c r="P681" t="n">
        <v>0</v>
      </c>
      <c r="Q681" t="n">
        <v>0</v>
      </c>
      <c r="R681" s="2" t="inlineStr"/>
    </row>
    <row r="682" ht="15" customHeight="1">
      <c r="A682" t="inlineStr">
        <is>
          <t>A 1116-2023</t>
        </is>
      </c>
      <c r="B682" s="1" t="n">
        <v>44929</v>
      </c>
      <c r="C682" s="1" t="n">
        <v>46059</v>
      </c>
      <c r="D682" t="inlineStr">
        <is>
          <t>VÄSTERNORRLANDS LÄN</t>
        </is>
      </c>
      <c r="E682" t="inlineStr">
        <is>
          <t>ÅNGE</t>
        </is>
      </c>
      <c r="G682" t="n">
        <v>17.2</v>
      </c>
      <c r="H682" t="n">
        <v>0</v>
      </c>
      <c r="I682" t="n">
        <v>0</v>
      </c>
      <c r="J682" t="n">
        <v>0</v>
      </c>
      <c r="K682" t="n">
        <v>0</v>
      </c>
      <c r="L682" t="n">
        <v>0</v>
      </c>
      <c r="M682" t="n">
        <v>0</v>
      </c>
      <c r="N682" t="n">
        <v>0</v>
      </c>
      <c r="O682" t="n">
        <v>0</v>
      </c>
      <c r="P682" t="n">
        <v>0</v>
      </c>
      <c r="Q682" t="n">
        <v>0</v>
      </c>
      <c r="R682" s="2" t="inlineStr"/>
    </row>
    <row r="683" ht="15" customHeight="1">
      <c r="A683" t="inlineStr">
        <is>
          <t>A 1544-2026</t>
        </is>
      </c>
      <c r="B683" s="1" t="n">
        <v>46034.38653935185</v>
      </c>
      <c r="C683" s="1" t="n">
        <v>46059</v>
      </c>
      <c r="D683" t="inlineStr">
        <is>
          <t>VÄSTERNORRLANDS LÄN</t>
        </is>
      </c>
      <c r="E683" t="inlineStr">
        <is>
          <t>ÅNGE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1266-2026</t>
        </is>
      </c>
      <c r="B684" s="1" t="n">
        <v>46031.46269675926</v>
      </c>
      <c r="C684" s="1" t="n">
        <v>46059</v>
      </c>
      <c r="D684" t="inlineStr">
        <is>
          <t>VÄSTERNORRLANDS LÄN</t>
        </is>
      </c>
      <c r="E684" t="inlineStr">
        <is>
          <t>ÅNGE</t>
        </is>
      </c>
      <c r="G684" t="n">
        <v>0.8</v>
      </c>
      <c r="H684" t="n">
        <v>0</v>
      </c>
      <c r="I684" t="n">
        <v>0</v>
      </c>
      <c r="J684" t="n">
        <v>0</v>
      </c>
      <c r="K684" t="n">
        <v>0</v>
      </c>
      <c r="L684" t="n">
        <v>0</v>
      </c>
      <c r="M684" t="n">
        <v>0</v>
      </c>
      <c r="N684" t="n">
        <v>0</v>
      </c>
      <c r="O684" t="n">
        <v>0</v>
      </c>
      <c r="P684" t="n">
        <v>0</v>
      </c>
      <c r="Q684" t="n">
        <v>0</v>
      </c>
      <c r="R684" s="2" t="inlineStr"/>
    </row>
    <row r="685" ht="15" customHeight="1">
      <c r="A685" t="inlineStr">
        <is>
          <t>A 51059-2024</t>
        </is>
      </c>
      <c r="B685" s="1" t="n">
        <v>45603</v>
      </c>
      <c r="C685" s="1" t="n">
        <v>46059</v>
      </c>
      <c r="D685" t="inlineStr">
        <is>
          <t>VÄSTERNORRLANDS LÄN</t>
        </is>
      </c>
      <c r="E685" t="inlineStr">
        <is>
          <t>ÅNGE</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1543-2026</t>
        </is>
      </c>
      <c r="B686" s="1" t="n">
        <v>46034.38636574074</v>
      </c>
      <c r="C686" s="1" t="n">
        <v>46059</v>
      </c>
      <c r="D686" t="inlineStr">
        <is>
          <t>VÄSTERNORRLANDS LÄN</t>
        </is>
      </c>
      <c r="E686" t="inlineStr">
        <is>
          <t>ÅNGE</t>
        </is>
      </c>
      <c r="F686" t="inlineStr">
        <is>
          <t>SCA</t>
        </is>
      </c>
      <c r="G686" t="n">
        <v>17.3</v>
      </c>
      <c r="H686" t="n">
        <v>0</v>
      </c>
      <c r="I686" t="n">
        <v>0</v>
      </c>
      <c r="J686" t="n">
        <v>0</v>
      </c>
      <c r="K686" t="n">
        <v>0</v>
      </c>
      <c r="L686" t="n">
        <v>0</v>
      </c>
      <c r="M686" t="n">
        <v>0</v>
      </c>
      <c r="N686" t="n">
        <v>0</v>
      </c>
      <c r="O686" t="n">
        <v>0</v>
      </c>
      <c r="P686" t="n">
        <v>0</v>
      </c>
      <c r="Q686" t="n">
        <v>0</v>
      </c>
      <c r="R686" s="2" t="inlineStr"/>
    </row>
    <row r="687" ht="15" customHeight="1">
      <c r="A687" t="inlineStr">
        <is>
          <t>A 1547-2026</t>
        </is>
      </c>
      <c r="B687" s="1" t="n">
        <v>46034.38689814815</v>
      </c>
      <c r="C687" s="1" t="n">
        <v>46059</v>
      </c>
      <c r="D687" t="inlineStr">
        <is>
          <t>VÄSTERNORRLANDS LÄN</t>
        </is>
      </c>
      <c r="E687" t="inlineStr">
        <is>
          <t>ÅNGE</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59815-2025</t>
        </is>
      </c>
      <c r="B688" s="1" t="n">
        <v>45992.6359837963</v>
      </c>
      <c r="C688" s="1" t="n">
        <v>46059</v>
      </c>
      <c r="D688" t="inlineStr">
        <is>
          <t>VÄSTERNORRLANDS LÄN</t>
        </is>
      </c>
      <c r="E688" t="inlineStr">
        <is>
          <t>ÅNGE</t>
        </is>
      </c>
      <c r="G688" t="n">
        <v>2.2</v>
      </c>
      <c r="H688" t="n">
        <v>0</v>
      </c>
      <c r="I688" t="n">
        <v>0</v>
      </c>
      <c r="J688" t="n">
        <v>0</v>
      </c>
      <c r="K688" t="n">
        <v>0</v>
      </c>
      <c r="L688" t="n">
        <v>0</v>
      </c>
      <c r="M688" t="n">
        <v>0</v>
      </c>
      <c r="N688" t="n">
        <v>0</v>
      </c>
      <c r="O688" t="n">
        <v>0</v>
      </c>
      <c r="P688" t="n">
        <v>0</v>
      </c>
      <c r="Q688" t="n">
        <v>0</v>
      </c>
      <c r="R688" s="2" t="inlineStr"/>
    </row>
    <row r="689" ht="15" customHeight="1">
      <c r="A689" t="inlineStr">
        <is>
          <t>A 53856-2024</t>
        </is>
      </c>
      <c r="B689" s="1" t="n">
        <v>45615</v>
      </c>
      <c r="C689" s="1" t="n">
        <v>46059</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1270-2026</t>
        </is>
      </c>
      <c r="B690" s="1" t="n">
        <v>46031.46538194444</v>
      </c>
      <c r="C690" s="1" t="n">
        <v>46059</v>
      </c>
      <c r="D690" t="inlineStr">
        <is>
          <t>VÄSTERNORRLANDS LÄN</t>
        </is>
      </c>
      <c r="E690" t="inlineStr">
        <is>
          <t>ÅNGE</t>
        </is>
      </c>
      <c r="G690" t="n">
        <v>2.2</v>
      </c>
      <c r="H690" t="n">
        <v>0</v>
      </c>
      <c r="I690" t="n">
        <v>0</v>
      </c>
      <c r="J690" t="n">
        <v>0</v>
      </c>
      <c r="K690" t="n">
        <v>0</v>
      </c>
      <c r="L690" t="n">
        <v>0</v>
      </c>
      <c r="M690" t="n">
        <v>0</v>
      </c>
      <c r="N690" t="n">
        <v>0</v>
      </c>
      <c r="O690" t="n">
        <v>0</v>
      </c>
      <c r="P690" t="n">
        <v>0</v>
      </c>
      <c r="Q690" t="n">
        <v>0</v>
      </c>
      <c r="R690" s="2" t="inlineStr"/>
    </row>
    <row r="691" ht="15" customHeight="1">
      <c r="A691" t="inlineStr">
        <is>
          <t>A 44165-2025</t>
        </is>
      </c>
      <c r="B691" s="1" t="n">
        <v>45915.59840277778</v>
      </c>
      <c r="C691" s="1" t="n">
        <v>46059</v>
      </c>
      <c r="D691" t="inlineStr">
        <is>
          <t>VÄSTERNORRLANDS LÄN</t>
        </is>
      </c>
      <c r="E691" t="inlineStr">
        <is>
          <t>ÅNGE</t>
        </is>
      </c>
      <c r="G691" t="n">
        <v>0.7</v>
      </c>
      <c r="H691" t="n">
        <v>0</v>
      </c>
      <c r="I691" t="n">
        <v>0</v>
      </c>
      <c r="J691" t="n">
        <v>0</v>
      </c>
      <c r="K691" t="n">
        <v>0</v>
      </c>
      <c r="L691" t="n">
        <v>0</v>
      </c>
      <c r="M691" t="n">
        <v>0</v>
      </c>
      <c r="N691" t="n">
        <v>0</v>
      </c>
      <c r="O691" t="n">
        <v>0</v>
      </c>
      <c r="P691" t="n">
        <v>0</v>
      </c>
      <c r="Q691" t="n">
        <v>0</v>
      </c>
      <c r="R691" s="2" t="inlineStr"/>
    </row>
    <row r="692" ht="15" customHeight="1">
      <c r="A692" t="inlineStr">
        <is>
          <t>A 63216-2023</t>
        </is>
      </c>
      <c r="B692" s="1" t="n">
        <v>45273.62721064815</v>
      </c>
      <c r="C692" s="1" t="n">
        <v>46059</v>
      </c>
      <c r="D692" t="inlineStr">
        <is>
          <t>VÄSTERNORRLANDS LÄN</t>
        </is>
      </c>
      <c r="E692" t="inlineStr">
        <is>
          <t>ÅNGE</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1541-2026</t>
        </is>
      </c>
      <c r="B693" s="1" t="n">
        <v>46034.38606481482</v>
      </c>
      <c r="C693" s="1" t="n">
        <v>46059</v>
      </c>
      <c r="D693" t="inlineStr">
        <is>
          <t>VÄSTERNORRLANDS LÄN</t>
        </is>
      </c>
      <c r="E693" t="inlineStr">
        <is>
          <t>ÅNGE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55197-2022</t>
        </is>
      </c>
      <c r="B694" s="1" t="n">
        <v>44886.93714120371</v>
      </c>
      <c r="C694" s="1" t="n">
        <v>46059</v>
      </c>
      <c r="D694" t="inlineStr">
        <is>
          <t>VÄSTERNORRLANDS LÄN</t>
        </is>
      </c>
      <c r="E694" t="inlineStr">
        <is>
          <t>ÅNGE</t>
        </is>
      </c>
      <c r="G694" t="n">
        <v>1.4</v>
      </c>
      <c r="H694" t="n">
        <v>0</v>
      </c>
      <c r="I694" t="n">
        <v>0</v>
      </c>
      <c r="J694" t="n">
        <v>0</v>
      </c>
      <c r="K694" t="n">
        <v>0</v>
      </c>
      <c r="L694" t="n">
        <v>0</v>
      </c>
      <c r="M694" t="n">
        <v>0</v>
      </c>
      <c r="N694" t="n">
        <v>0</v>
      </c>
      <c r="O694" t="n">
        <v>0</v>
      </c>
      <c r="P694" t="n">
        <v>0</v>
      </c>
      <c r="Q694" t="n">
        <v>0</v>
      </c>
      <c r="R694" s="2" t="inlineStr"/>
    </row>
    <row r="695" ht="15" customHeight="1">
      <c r="A695" t="inlineStr">
        <is>
          <t>A 50186-2021</t>
        </is>
      </c>
      <c r="B695" s="1" t="n">
        <v>44456</v>
      </c>
      <c r="C695" s="1" t="n">
        <v>46059</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1375-2026</t>
        </is>
      </c>
      <c r="B696" s="1" t="n">
        <v>46031.61520833334</v>
      </c>
      <c r="C696" s="1" t="n">
        <v>46059</v>
      </c>
      <c r="D696" t="inlineStr">
        <is>
          <t>VÄSTERNORRLANDS LÄN</t>
        </is>
      </c>
      <c r="E696" t="inlineStr">
        <is>
          <t>ÅNGE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57593-2022</t>
        </is>
      </c>
      <c r="B697" s="1" t="n">
        <v>44896.97847222222</v>
      </c>
      <c r="C697" s="1" t="n">
        <v>46059</v>
      </c>
      <c r="D697" t="inlineStr">
        <is>
          <t>VÄSTERNORRLANDS LÄN</t>
        </is>
      </c>
      <c r="E697" t="inlineStr">
        <is>
          <t>ÅNGE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57596-2022</t>
        </is>
      </c>
      <c r="B698" s="1" t="n">
        <v>44896.97871527778</v>
      </c>
      <c r="C698" s="1" t="n">
        <v>46059</v>
      </c>
      <c r="D698" t="inlineStr">
        <is>
          <t>VÄSTERNORRLANDS LÄN</t>
        </is>
      </c>
      <c r="E698" t="inlineStr">
        <is>
          <t>ÅNGE</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44919-2025</t>
        </is>
      </c>
      <c r="B699" s="1" t="n">
        <v>45918.55246527777</v>
      </c>
      <c r="C699" s="1" t="n">
        <v>46059</v>
      </c>
      <c r="D699" t="inlineStr">
        <is>
          <t>VÄSTERNORRLANDS LÄN</t>
        </is>
      </c>
      <c r="E699" t="inlineStr">
        <is>
          <t>ÅNGE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44935-2025</t>
        </is>
      </c>
      <c r="B700" s="1" t="n">
        <v>45918.57392361111</v>
      </c>
      <c r="C700" s="1" t="n">
        <v>46059</v>
      </c>
      <c r="D700" t="inlineStr">
        <is>
          <t>VÄSTERNORRLANDS LÄN</t>
        </is>
      </c>
      <c r="E700" t="inlineStr">
        <is>
          <t>ÅNGE</t>
        </is>
      </c>
      <c r="F700" t="inlineStr">
        <is>
          <t>SCA</t>
        </is>
      </c>
      <c r="G700" t="n">
        <v>6.8</v>
      </c>
      <c r="H700" t="n">
        <v>0</v>
      </c>
      <c r="I700" t="n">
        <v>0</v>
      </c>
      <c r="J700" t="n">
        <v>0</v>
      </c>
      <c r="K700" t="n">
        <v>0</v>
      </c>
      <c r="L700" t="n">
        <v>0</v>
      </c>
      <c r="M700" t="n">
        <v>0</v>
      </c>
      <c r="N700" t="n">
        <v>0</v>
      </c>
      <c r="O700" t="n">
        <v>0</v>
      </c>
      <c r="P700" t="n">
        <v>0</v>
      </c>
      <c r="Q700" t="n">
        <v>0</v>
      </c>
      <c r="R700" s="2" t="inlineStr"/>
    </row>
    <row r="701" ht="15" customHeight="1">
      <c r="A701" t="inlineStr">
        <is>
          <t>A 60278-2025</t>
        </is>
      </c>
      <c r="B701" s="1" t="n">
        <v>45994.63739583334</v>
      </c>
      <c r="C701" s="1" t="n">
        <v>46059</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58-2026</t>
        </is>
      </c>
      <c r="B702" s="1" t="n">
        <v>46024</v>
      </c>
      <c r="C702" s="1" t="n">
        <v>46059</v>
      </c>
      <c r="D702" t="inlineStr">
        <is>
          <t>VÄSTERNORRLANDS LÄN</t>
        </is>
      </c>
      <c r="E702" t="inlineStr">
        <is>
          <t>ÅNGE</t>
        </is>
      </c>
      <c r="F702" t="inlineStr">
        <is>
          <t>Kyrkan</t>
        </is>
      </c>
      <c r="G702" t="n">
        <v>7.2</v>
      </c>
      <c r="H702" t="n">
        <v>0</v>
      </c>
      <c r="I702" t="n">
        <v>0</v>
      </c>
      <c r="J702" t="n">
        <v>0</v>
      </c>
      <c r="K702" t="n">
        <v>0</v>
      </c>
      <c r="L702" t="n">
        <v>0</v>
      </c>
      <c r="M702" t="n">
        <v>0</v>
      </c>
      <c r="N702" t="n">
        <v>0</v>
      </c>
      <c r="O702" t="n">
        <v>0</v>
      </c>
      <c r="P702" t="n">
        <v>0</v>
      </c>
      <c r="Q702" t="n">
        <v>0</v>
      </c>
      <c r="R702" s="2" t="inlineStr"/>
    </row>
    <row r="703" ht="15" customHeight="1">
      <c r="A703" t="inlineStr">
        <is>
          <t>A 24552-2023</t>
        </is>
      </c>
      <c r="B703" s="1" t="n">
        <v>45082.94226851852</v>
      </c>
      <c r="C703" s="1" t="n">
        <v>46059</v>
      </c>
      <c r="D703" t="inlineStr">
        <is>
          <t>VÄSTERNORRLANDS LÄN</t>
        </is>
      </c>
      <c r="E703" t="inlineStr">
        <is>
          <t>ÅNGE</t>
        </is>
      </c>
      <c r="G703" t="n">
        <v>1.5</v>
      </c>
      <c r="H703" t="n">
        <v>0</v>
      </c>
      <c r="I703" t="n">
        <v>0</v>
      </c>
      <c r="J703" t="n">
        <v>0</v>
      </c>
      <c r="K703" t="n">
        <v>0</v>
      </c>
      <c r="L703" t="n">
        <v>0</v>
      </c>
      <c r="M703" t="n">
        <v>0</v>
      </c>
      <c r="N703" t="n">
        <v>0</v>
      </c>
      <c r="O703" t="n">
        <v>0</v>
      </c>
      <c r="P703" t="n">
        <v>0</v>
      </c>
      <c r="Q703" t="n">
        <v>0</v>
      </c>
      <c r="R703" s="2" t="inlineStr"/>
    </row>
    <row r="704" ht="15" customHeight="1">
      <c r="A704" t="inlineStr">
        <is>
          <t>A 31864-2024</t>
        </is>
      </c>
      <c r="B704" s="1" t="n">
        <v>45509.74791666667</v>
      </c>
      <c r="C704" s="1" t="n">
        <v>46059</v>
      </c>
      <c r="D704" t="inlineStr">
        <is>
          <t>VÄSTERNORRLANDS LÄN</t>
        </is>
      </c>
      <c r="E704" t="inlineStr">
        <is>
          <t>ÅNGE</t>
        </is>
      </c>
      <c r="G704" t="n">
        <v>0.9</v>
      </c>
      <c r="H704" t="n">
        <v>0</v>
      </c>
      <c r="I704" t="n">
        <v>0</v>
      </c>
      <c r="J704" t="n">
        <v>0</v>
      </c>
      <c r="K704" t="n">
        <v>0</v>
      </c>
      <c r="L704" t="n">
        <v>0</v>
      </c>
      <c r="M704" t="n">
        <v>0</v>
      </c>
      <c r="N704" t="n">
        <v>0</v>
      </c>
      <c r="O704" t="n">
        <v>0</v>
      </c>
      <c r="P704" t="n">
        <v>0</v>
      </c>
      <c r="Q704" t="n">
        <v>0</v>
      </c>
      <c r="R704" s="2" t="inlineStr"/>
    </row>
    <row r="705" ht="15" customHeight="1">
      <c r="A705" t="inlineStr">
        <is>
          <t>A 45403-2025</t>
        </is>
      </c>
      <c r="B705" s="1" t="n">
        <v>45922.42803240741</v>
      </c>
      <c r="C705" s="1" t="n">
        <v>46059</v>
      </c>
      <c r="D705" t="inlineStr">
        <is>
          <t>VÄSTERNORRLANDS LÄN</t>
        </is>
      </c>
      <c r="E705" t="inlineStr">
        <is>
          <t>ÅNGE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45404-2025</t>
        </is>
      </c>
      <c r="B706" s="1" t="n">
        <v>45922.42820601852</v>
      </c>
      <c r="C706" s="1" t="n">
        <v>46059</v>
      </c>
      <c r="D706" t="inlineStr">
        <is>
          <t>VÄSTERNORRLANDS LÄN</t>
        </is>
      </c>
      <c r="E706" t="inlineStr">
        <is>
          <t>ÅNGE</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49532-2024</t>
        </is>
      </c>
      <c r="B707" s="1" t="n">
        <v>45596.41797453703</v>
      </c>
      <c r="C707" s="1" t="n">
        <v>46059</v>
      </c>
      <c r="D707" t="inlineStr">
        <is>
          <t>VÄSTERNORRLANDS LÄN</t>
        </is>
      </c>
      <c r="E707" t="inlineStr">
        <is>
          <t>ÅNGE</t>
        </is>
      </c>
      <c r="G707" t="n">
        <v>3.3</v>
      </c>
      <c r="H707" t="n">
        <v>0</v>
      </c>
      <c r="I707" t="n">
        <v>0</v>
      </c>
      <c r="J707" t="n">
        <v>0</v>
      </c>
      <c r="K707" t="n">
        <v>0</v>
      </c>
      <c r="L707" t="n">
        <v>0</v>
      </c>
      <c r="M707" t="n">
        <v>0</v>
      </c>
      <c r="N707" t="n">
        <v>0</v>
      </c>
      <c r="O707" t="n">
        <v>0</v>
      </c>
      <c r="P707" t="n">
        <v>0</v>
      </c>
      <c r="Q707" t="n">
        <v>0</v>
      </c>
      <c r="R707" s="2" t="inlineStr"/>
    </row>
    <row r="708" ht="15" customHeight="1">
      <c r="A708" t="inlineStr">
        <is>
          <t>A 40790-2023</t>
        </is>
      </c>
      <c r="B708" s="1" t="n">
        <v>45170.95814814815</v>
      </c>
      <c r="C708" s="1" t="n">
        <v>46059</v>
      </c>
      <c r="D708" t="inlineStr">
        <is>
          <t>VÄSTERNORRLANDS LÄN</t>
        </is>
      </c>
      <c r="E708" t="inlineStr">
        <is>
          <t>ÅNGE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11310-2023</t>
        </is>
      </c>
      <c r="B709" s="1" t="n">
        <v>44993.01190972222</v>
      </c>
      <c r="C709" s="1" t="n">
        <v>46059</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1090-2023</t>
        </is>
      </c>
      <c r="B710" s="1" t="n">
        <v>44929</v>
      </c>
      <c r="C710" s="1" t="n">
        <v>46059</v>
      </c>
      <c r="D710" t="inlineStr">
        <is>
          <t>VÄSTERNORRLANDS LÄN</t>
        </is>
      </c>
      <c r="E710" t="inlineStr">
        <is>
          <t>ÅNGE</t>
        </is>
      </c>
      <c r="G710" t="n">
        <v>0.7</v>
      </c>
      <c r="H710" t="n">
        <v>0</v>
      </c>
      <c r="I710" t="n">
        <v>0</v>
      </c>
      <c r="J710" t="n">
        <v>0</v>
      </c>
      <c r="K710" t="n">
        <v>0</v>
      </c>
      <c r="L710" t="n">
        <v>0</v>
      </c>
      <c r="M710" t="n">
        <v>0</v>
      </c>
      <c r="N710" t="n">
        <v>0</v>
      </c>
      <c r="O710" t="n">
        <v>0</v>
      </c>
      <c r="P710" t="n">
        <v>0</v>
      </c>
      <c r="Q710" t="n">
        <v>0</v>
      </c>
      <c r="R710" s="2" t="inlineStr"/>
    </row>
    <row r="711" ht="15" customHeight="1">
      <c r="A711" t="inlineStr">
        <is>
          <t>A 1846-2026</t>
        </is>
      </c>
      <c r="B711" s="1" t="n">
        <v>46035.40692129629</v>
      </c>
      <c r="C711" s="1" t="n">
        <v>46059</v>
      </c>
      <c r="D711" t="inlineStr">
        <is>
          <t>VÄSTERNORRLANDS LÄN</t>
        </is>
      </c>
      <c r="E711" t="inlineStr">
        <is>
          <t>ÅNGE</t>
        </is>
      </c>
      <c r="G711" t="n">
        <v>2.5</v>
      </c>
      <c r="H711" t="n">
        <v>0</v>
      </c>
      <c r="I711" t="n">
        <v>0</v>
      </c>
      <c r="J711" t="n">
        <v>0</v>
      </c>
      <c r="K711" t="n">
        <v>0</v>
      </c>
      <c r="L711" t="n">
        <v>0</v>
      </c>
      <c r="M711" t="n">
        <v>0</v>
      </c>
      <c r="N711" t="n">
        <v>0</v>
      </c>
      <c r="O711" t="n">
        <v>0</v>
      </c>
      <c r="P711" t="n">
        <v>0</v>
      </c>
      <c r="Q711" t="n">
        <v>0</v>
      </c>
      <c r="R711" s="2" t="inlineStr"/>
    </row>
    <row r="712" ht="15" customHeight="1">
      <c r="A712" t="inlineStr">
        <is>
          <t>A 60286-2025</t>
        </is>
      </c>
      <c r="B712" s="1" t="n">
        <v>45994.64612268518</v>
      </c>
      <c r="C712" s="1" t="n">
        <v>46059</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45401-2025</t>
        </is>
      </c>
      <c r="B713" s="1" t="n">
        <v>45922.42767361111</v>
      </c>
      <c r="C713" s="1" t="n">
        <v>46059</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60296-2025</t>
        </is>
      </c>
      <c r="B714" s="1" t="n">
        <v>45994.6568287037</v>
      </c>
      <c r="C714" s="1" t="n">
        <v>46059</v>
      </c>
      <c r="D714" t="inlineStr">
        <is>
          <t>VÄSTERNORRLANDS LÄN</t>
        </is>
      </c>
      <c r="E714" t="inlineStr">
        <is>
          <t>ÅNGE</t>
        </is>
      </c>
      <c r="G714" t="n">
        <v>0.4</v>
      </c>
      <c r="H714" t="n">
        <v>0</v>
      </c>
      <c r="I714" t="n">
        <v>0</v>
      </c>
      <c r="J714" t="n">
        <v>0</v>
      </c>
      <c r="K714" t="n">
        <v>0</v>
      </c>
      <c r="L714" t="n">
        <v>0</v>
      </c>
      <c r="M714" t="n">
        <v>0</v>
      </c>
      <c r="N714" t="n">
        <v>0</v>
      </c>
      <c r="O714" t="n">
        <v>0</v>
      </c>
      <c r="P714" t="n">
        <v>0</v>
      </c>
      <c r="Q714" t="n">
        <v>0</v>
      </c>
      <c r="R714" s="2" t="inlineStr"/>
    </row>
    <row r="715" ht="15" customHeight="1">
      <c r="A715" t="inlineStr">
        <is>
          <t>A 1971-2026</t>
        </is>
      </c>
      <c r="B715" s="1" t="n">
        <v>46035.64133101852</v>
      </c>
      <c r="C715" s="1" t="n">
        <v>46059</v>
      </c>
      <c r="D715" t="inlineStr">
        <is>
          <t>VÄSTERNORRLANDS LÄN</t>
        </is>
      </c>
      <c r="E715" t="inlineStr">
        <is>
          <t>ÅNGE</t>
        </is>
      </c>
      <c r="G715" t="n">
        <v>3.1</v>
      </c>
      <c r="H715" t="n">
        <v>0</v>
      </c>
      <c r="I715" t="n">
        <v>0</v>
      </c>
      <c r="J715" t="n">
        <v>0</v>
      </c>
      <c r="K715" t="n">
        <v>0</v>
      </c>
      <c r="L715" t="n">
        <v>0</v>
      </c>
      <c r="M715" t="n">
        <v>0</v>
      </c>
      <c r="N715" t="n">
        <v>0</v>
      </c>
      <c r="O715" t="n">
        <v>0</v>
      </c>
      <c r="P715" t="n">
        <v>0</v>
      </c>
      <c r="Q715" t="n">
        <v>0</v>
      </c>
      <c r="R715" s="2" t="inlineStr"/>
    </row>
    <row r="716" ht="15" customHeight="1">
      <c r="A716" t="inlineStr">
        <is>
          <t>A 60582-2025</t>
        </is>
      </c>
      <c r="B716" s="1" t="n">
        <v>45994</v>
      </c>
      <c r="C716" s="1" t="n">
        <v>46059</v>
      </c>
      <c r="D716" t="inlineStr">
        <is>
          <t>VÄSTERNORRLANDS LÄN</t>
        </is>
      </c>
      <c r="E716" t="inlineStr">
        <is>
          <t>ÅNGE</t>
        </is>
      </c>
      <c r="G716" t="n">
        <v>2.6</v>
      </c>
      <c r="H716" t="n">
        <v>0</v>
      </c>
      <c r="I716" t="n">
        <v>0</v>
      </c>
      <c r="J716" t="n">
        <v>0</v>
      </c>
      <c r="K716" t="n">
        <v>0</v>
      </c>
      <c r="L716" t="n">
        <v>0</v>
      </c>
      <c r="M716" t="n">
        <v>0</v>
      </c>
      <c r="N716" t="n">
        <v>0</v>
      </c>
      <c r="O716" t="n">
        <v>0</v>
      </c>
      <c r="P716" t="n">
        <v>0</v>
      </c>
      <c r="Q716" t="n">
        <v>0</v>
      </c>
      <c r="R716" s="2" t="inlineStr"/>
    </row>
    <row r="717" ht="15" customHeight="1">
      <c r="A717" t="inlineStr">
        <is>
          <t>A 60599-2025</t>
        </is>
      </c>
      <c r="B717" s="1" t="n">
        <v>45994</v>
      </c>
      <c r="C717" s="1" t="n">
        <v>46059</v>
      </c>
      <c r="D717" t="inlineStr">
        <is>
          <t>VÄSTERNORRLANDS LÄN</t>
        </is>
      </c>
      <c r="E717" t="inlineStr">
        <is>
          <t>ÅNGE</t>
        </is>
      </c>
      <c r="G717" t="n">
        <v>5</v>
      </c>
      <c r="H717" t="n">
        <v>0</v>
      </c>
      <c r="I717" t="n">
        <v>0</v>
      </c>
      <c r="J717" t="n">
        <v>0</v>
      </c>
      <c r="K717" t="n">
        <v>0</v>
      </c>
      <c r="L717" t="n">
        <v>0</v>
      </c>
      <c r="M717" t="n">
        <v>0</v>
      </c>
      <c r="N717" t="n">
        <v>0</v>
      </c>
      <c r="O717" t="n">
        <v>0</v>
      </c>
      <c r="P717" t="n">
        <v>0</v>
      </c>
      <c r="Q717" t="n">
        <v>0</v>
      </c>
      <c r="R717" s="2" t="inlineStr"/>
    </row>
    <row r="718" ht="15" customHeight="1">
      <c r="A718" t="inlineStr">
        <is>
          <t>A 60079-2025</t>
        </is>
      </c>
      <c r="B718" s="1" t="n">
        <v>45993.6834375</v>
      </c>
      <c r="C718" s="1" t="n">
        <v>46059</v>
      </c>
      <c r="D718" t="inlineStr">
        <is>
          <t>VÄSTERNORRLANDS LÄN</t>
        </is>
      </c>
      <c r="E718" t="inlineStr">
        <is>
          <t>ÅNGE</t>
        </is>
      </c>
      <c r="G718" t="n">
        <v>3.6</v>
      </c>
      <c r="H718" t="n">
        <v>0</v>
      </c>
      <c r="I718" t="n">
        <v>0</v>
      </c>
      <c r="J718" t="n">
        <v>0</v>
      </c>
      <c r="K718" t="n">
        <v>0</v>
      </c>
      <c r="L718" t="n">
        <v>0</v>
      </c>
      <c r="M718" t="n">
        <v>0</v>
      </c>
      <c r="N718" t="n">
        <v>0</v>
      </c>
      <c r="O718" t="n">
        <v>0</v>
      </c>
      <c r="P718" t="n">
        <v>0</v>
      </c>
      <c r="Q718" t="n">
        <v>0</v>
      </c>
      <c r="R718" s="2" t="inlineStr"/>
    </row>
    <row r="719" ht="15" customHeight="1">
      <c r="A719" t="inlineStr">
        <is>
          <t>A 1969-2026</t>
        </is>
      </c>
      <c r="B719" s="1" t="n">
        <v>46035.64024305555</v>
      </c>
      <c r="C719" s="1" t="n">
        <v>46059</v>
      </c>
      <c r="D719" t="inlineStr">
        <is>
          <t>VÄSTERNORRLANDS LÄN</t>
        </is>
      </c>
      <c r="E719" t="inlineStr">
        <is>
          <t>ÅNGE</t>
        </is>
      </c>
      <c r="G719" t="n">
        <v>3.6</v>
      </c>
      <c r="H719" t="n">
        <v>0</v>
      </c>
      <c r="I719" t="n">
        <v>0</v>
      </c>
      <c r="J719" t="n">
        <v>0</v>
      </c>
      <c r="K719" t="n">
        <v>0</v>
      </c>
      <c r="L719" t="n">
        <v>0</v>
      </c>
      <c r="M719" t="n">
        <v>0</v>
      </c>
      <c r="N719" t="n">
        <v>0</v>
      </c>
      <c r="O719" t="n">
        <v>0</v>
      </c>
      <c r="P719" t="n">
        <v>0</v>
      </c>
      <c r="Q719" t="n">
        <v>0</v>
      </c>
      <c r="R719" s="2" t="inlineStr"/>
    </row>
    <row r="720" ht="15" customHeight="1">
      <c r="A720" t="inlineStr">
        <is>
          <t>A 41222-2024</t>
        </is>
      </c>
      <c r="B720" s="1" t="n">
        <v>45559.55306712963</v>
      </c>
      <c r="C720" s="1" t="n">
        <v>46059</v>
      </c>
      <c r="D720" t="inlineStr">
        <is>
          <t>VÄSTERNORRLANDS LÄN</t>
        </is>
      </c>
      <c r="E720" t="inlineStr">
        <is>
          <t>ÅNGE</t>
        </is>
      </c>
      <c r="G720" t="n">
        <v>0.4</v>
      </c>
      <c r="H720" t="n">
        <v>0</v>
      </c>
      <c r="I720" t="n">
        <v>0</v>
      </c>
      <c r="J720" t="n">
        <v>0</v>
      </c>
      <c r="K720" t="n">
        <v>0</v>
      </c>
      <c r="L720" t="n">
        <v>0</v>
      </c>
      <c r="M720" t="n">
        <v>0</v>
      </c>
      <c r="N720" t="n">
        <v>0</v>
      </c>
      <c r="O720" t="n">
        <v>0</v>
      </c>
      <c r="P720" t="n">
        <v>0</v>
      </c>
      <c r="Q720" t="n">
        <v>0</v>
      </c>
      <c r="R720" s="2" t="inlineStr"/>
    </row>
    <row r="721" ht="15" customHeight="1">
      <c r="A721" t="inlineStr">
        <is>
          <t>A 60590-2025</t>
        </is>
      </c>
      <c r="B721" s="1" t="n">
        <v>45994</v>
      </c>
      <c r="C721" s="1" t="n">
        <v>46059</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35426-2024</t>
        </is>
      </c>
      <c r="B722" s="1" t="n">
        <v>45531</v>
      </c>
      <c r="C722" s="1" t="n">
        <v>46059</v>
      </c>
      <c r="D722" t="inlineStr">
        <is>
          <t>VÄSTERNORRLANDS LÄN</t>
        </is>
      </c>
      <c r="E722" t="inlineStr">
        <is>
          <t>ÅNGE</t>
        </is>
      </c>
      <c r="F722" t="inlineStr">
        <is>
          <t>SCA</t>
        </is>
      </c>
      <c r="G722" t="n">
        <v>10.9</v>
      </c>
      <c r="H722" t="n">
        <v>0</v>
      </c>
      <c r="I722" t="n">
        <v>0</v>
      </c>
      <c r="J722" t="n">
        <v>0</v>
      </c>
      <c r="K722" t="n">
        <v>0</v>
      </c>
      <c r="L722" t="n">
        <v>0</v>
      </c>
      <c r="M722" t="n">
        <v>0</v>
      </c>
      <c r="N722" t="n">
        <v>0</v>
      </c>
      <c r="O722" t="n">
        <v>0</v>
      </c>
      <c r="P722" t="n">
        <v>0</v>
      </c>
      <c r="Q722" t="n">
        <v>0</v>
      </c>
      <c r="R722" s="2" t="inlineStr"/>
    </row>
    <row r="723" ht="15" customHeight="1">
      <c r="A723" t="inlineStr">
        <is>
          <t>A 60061-2025</t>
        </is>
      </c>
      <c r="B723" s="1" t="n">
        <v>45993.65673611111</v>
      </c>
      <c r="C723" s="1" t="n">
        <v>46059</v>
      </c>
      <c r="D723" t="inlineStr">
        <is>
          <t>VÄSTERNORRLANDS LÄN</t>
        </is>
      </c>
      <c r="E723" t="inlineStr">
        <is>
          <t>ÅNGE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31545-2024</t>
        </is>
      </c>
      <c r="B724" s="1" t="n">
        <v>45505</v>
      </c>
      <c r="C724" s="1" t="n">
        <v>46059</v>
      </c>
      <c r="D724" t="inlineStr">
        <is>
          <t>VÄSTERNORRLANDS LÄN</t>
        </is>
      </c>
      <c r="E724" t="inlineStr">
        <is>
          <t>ÅNGE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27915-2024</t>
        </is>
      </c>
      <c r="B725" s="1" t="n">
        <v>45475</v>
      </c>
      <c r="C725" s="1" t="n">
        <v>46059</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45875-2025</t>
        </is>
      </c>
      <c r="B726" s="1" t="n">
        <v>45923.65690972222</v>
      </c>
      <c r="C726" s="1" t="n">
        <v>46059</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1897-2026</t>
        </is>
      </c>
      <c r="B727" s="1" t="n">
        <v>46035.51097222222</v>
      </c>
      <c r="C727" s="1" t="n">
        <v>46059</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13091-2024</t>
        </is>
      </c>
      <c r="B728" s="1" t="n">
        <v>45385</v>
      </c>
      <c r="C728" s="1" t="n">
        <v>46059</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1964-2022</t>
        </is>
      </c>
      <c r="B729" s="1" t="n">
        <v>44575.5050462963</v>
      </c>
      <c r="C729" s="1" t="n">
        <v>46059</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60118-2025</t>
        </is>
      </c>
      <c r="B730" s="1" t="n">
        <v>45994.3242824074</v>
      </c>
      <c r="C730" s="1" t="n">
        <v>46059</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60119-2025</t>
        </is>
      </c>
      <c r="B731" s="1" t="n">
        <v>45994.33081018519</v>
      </c>
      <c r="C731" s="1" t="n">
        <v>46059</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45660-2025</t>
        </is>
      </c>
      <c r="B732" s="1" t="n">
        <v>45923.34494212963</v>
      </c>
      <c r="C732" s="1" t="n">
        <v>46059</v>
      </c>
      <c r="D732" t="inlineStr">
        <is>
          <t>VÄSTERNORRLANDS LÄN</t>
        </is>
      </c>
      <c r="E732" t="inlineStr">
        <is>
          <t>ÅNGE</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63522-2021</t>
        </is>
      </c>
      <c r="B733" s="1" t="n">
        <v>44508</v>
      </c>
      <c r="C733" s="1" t="n">
        <v>46059</v>
      </c>
      <c r="D733" t="inlineStr">
        <is>
          <t>VÄSTERNORRLANDS LÄN</t>
        </is>
      </c>
      <c r="E733" t="inlineStr">
        <is>
          <t>ÅNGE</t>
        </is>
      </c>
      <c r="F733" t="inlineStr">
        <is>
          <t>Övriga Aktiebolag</t>
        </is>
      </c>
      <c r="G733" t="n">
        <v>3.5</v>
      </c>
      <c r="H733" t="n">
        <v>0</v>
      </c>
      <c r="I733" t="n">
        <v>0</v>
      </c>
      <c r="J733" t="n">
        <v>0</v>
      </c>
      <c r="K733" t="n">
        <v>0</v>
      </c>
      <c r="L733" t="n">
        <v>0</v>
      </c>
      <c r="M733" t="n">
        <v>0</v>
      </c>
      <c r="N733" t="n">
        <v>0</v>
      </c>
      <c r="O733" t="n">
        <v>0</v>
      </c>
      <c r="P733" t="n">
        <v>0</v>
      </c>
      <c r="Q733" t="n">
        <v>0</v>
      </c>
      <c r="R733" s="2" t="inlineStr"/>
    </row>
    <row r="734" ht="15" customHeight="1">
      <c r="A734" t="inlineStr">
        <is>
          <t>A 46111-2025</t>
        </is>
      </c>
      <c r="B734" s="1" t="n">
        <v>45924.56684027778</v>
      </c>
      <c r="C734" s="1" t="n">
        <v>46059</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57287-2022</t>
        </is>
      </c>
      <c r="B735" s="1" t="n">
        <v>44895.95</v>
      </c>
      <c r="C735" s="1" t="n">
        <v>46059</v>
      </c>
      <c r="D735" t="inlineStr">
        <is>
          <t>VÄSTERNORRLANDS LÄN</t>
        </is>
      </c>
      <c r="E735" t="inlineStr">
        <is>
          <t>ÅNGE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57291-2022</t>
        </is>
      </c>
      <c r="B736" s="1" t="n">
        <v>44895</v>
      </c>
      <c r="C736" s="1" t="n">
        <v>46059</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6680-2024</t>
        </is>
      </c>
      <c r="B737" s="1" t="n">
        <v>45341</v>
      </c>
      <c r="C737" s="1" t="n">
        <v>46059</v>
      </c>
      <c r="D737" t="inlineStr">
        <is>
          <t>VÄSTERNORRLANDS LÄN</t>
        </is>
      </c>
      <c r="E737" t="inlineStr">
        <is>
          <t>ÅNGE</t>
        </is>
      </c>
      <c r="G737" t="n">
        <v>0.9</v>
      </c>
      <c r="H737" t="n">
        <v>0</v>
      </c>
      <c r="I737" t="n">
        <v>0</v>
      </c>
      <c r="J737" t="n">
        <v>0</v>
      </c>
      <c r="K737" t="n">
        <v>0</v>
      </c>
      <c r="L737" t="n">
        <v>0</v>
      </c>
      <c r="M737" t="n">
        <v>0</v>
      </c>
      <c r="N737" t="n">
        <v>0</v>
      </c>
      <c r="O737" t="n">
        <v>0</v>
      </c>
      <c r="P737" t="n">
        <v>0</v>
      </c>
      <c r="Q737" t="n">
        <v>0</v>
      </c>
      <c r="R737" s="2" t="inlineStr"/>
    </row>
    <row r="738" ht="15" customHeight="1">
      <c r="A738" t="inlineStr">
        <is>
          <t>A 6685-2024</t>
        </is>
      </c>
      <c r="B738" s="1" t="n">
        <v>45341</v>
      </c>
      <c r="C738" s="1" t="n">
        <v>46059</v>
      </c>
      <c r="D738" t="inlineStr">
        <is>
          <t>VÄSTERNORRLANDS LÄN</t>
        </is>
      </c>
      <c r="E738" t="inlineStr">
        <is>
          <t>ÅNGE</t>
        </is>
      </c>
      <c r="G738" t="n">
        <v>0.5</v>
      </c>
      <c r="H738" t="n">
        <v>0</v>
      </c>
      <c r="I738" t="n">
        <v>0</v>
      </c>
      <c r="J738" t="n">
        <v>0</v>
      </c>
      <c r="K738" t="n">
        <v>0</v>
      </c>
      <c r="L738" t="n">
        <v>0</v>
      </c>
      <c r="M738" t="n">
        <v>0</v>
      </c>
      <c r="N738" t="n">
        <v>0</v>
      </c>
      <c r="O738" t="n">
        <v>0</v>
      </c>
      <c r="P738" t="n">
        <v>0</v>
      </c>
      <c r="Q738" t="n">
        <v>0</v>
      </c>
      <c r="R738" s="2" t="inlineStr"/>
    </row>
    <row r="739" ht="15" customHeight="1">
      <c r="A739" t="inlineStr">
        <is>
          <t>A 6689-2024</t>
        </is>
      </c>
      <c r="B739" s="1" t="n">
        <v>45341.9259375</v>
      </c>
      <c r="C739" s="1" t="n">
        <v>46059</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3624-2024</t>
        </is>
      </c>
      <c r="B740" s="1" t="n">
        <v>45320.95305555555</v>
      </c>
      <c r="C740" s="1" t="n">
        <v>46059</v>
      </c>
      <c r="D740" t="inlineStr">
        <is>
          <t>VÄSTERNORRLANDS LÄN</t>
        </is>
      </c>
      <c r="E740" t="inlineStr">
        <is>
          <t>ÅNGE</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46109-2025</t>
        </is>
      </c>
      <c r="B741" s="1" t="n">
        <v>45924.5596412037</v>
      </c>
      <c r="C741" s="1" t="n">
        <v>46059</v>
      </c>
      <c r="D741" t="inlineStr">
        <is>
          <t>VÄSTERNORRLANDS LÄN</t>
        </is>
      </c>
      <c r="E741" t="inlineStr">
        <is>
          <t>ÅNGE</t>
        </is>
      </c>
      <c r="G741" t="n">
        <v>1.1</v>
      </c>
      <c r="H741" t="n">
        <v>0</v>
      </c>
      <c r="I741" t="n">
        <v>0</v>
      </c>
      <c r="J741" t="n">
        <v>0</v>
      </c>
      <c r="K741" t="n">
        <v>0</v>
      </c>
      <c r="L741" t="n">
        <v>0</v>
      </c>
      <c r="M741" t="n">
        <v>0</v>
      </c>
      <c r="N741" t="n">
        <v>0</v>
      </c>
      <c r="O741" t="n">
        <v>0</v>
      </c>
      <c r="P741" t="n">
        <v>0</v>
      </c>
      <c r="Q741" t="n">
        <v>0</v>
      </c>
      <c r="R741" s="2" t="inlineStr"/>
    </row>
    <row r="742" ht="15" customHeight="1">
      <c r="A742" t="inlineStr">
        <is>
          <t>A 60342-2025</t>
        </is>
      </c>
      <c r="B742" s="1" t="n">
        <v>45994.86804398148</v>
      </c>
      <c r="C742" s="1" t="n">
        <v>46059</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35488-2024</t>
        </is>
      </c>
      <c r="B743" s="1" t="n">
        <v>45531</v>
      </c>
      <c r="C743" s="1" t="n">
        <v>46059</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1127-2023</t>
        </is>
      </c>
      <c r="B744" s="1" t="n">
        <v>44929</v>
      </c>
      <c r="C744" s="1" t="n">
        <v>46059</v>
      </c>
      <c r="D744" t="inlineStr">
        <is>
          <t>VÄSTERNORRLANDS LÄN</t>
        </is>
      </c>
      <c r="E744" t="inlineStr">
        <is>
          <t>ÅNGE</t>
        </is>
      </c>
      <c r="G744" t="n">
        <v>10.5</v>
      </c>
      <c r="H744" t="n">
        <v>0</v>
      </c>
      <c r="I744" t="n">
        <v>0</v>
      </c>
      <c r="J744" t="n">
        <v>0</v>
      </c>
      <c r="K744" t="n">
        <v>0</v>
      </c>
      <c r="L744" t="n">
        <v>0</v>
      </c>
      <c r="M744" t="n">
        <v>0</v>
      </c>
      <c r="N744" t="n">
        <v>0</v>
      </c>
      <c r="O744" t="n">
        <v>0</v>
      </c>
      <c r="P744" t="n">
        <v>0</v>
      </c>
      <c r="Q744" t="n">
        <v>0</v>
      </c>
      <c r="R744" s="2" t="inlineStr"/>
    </row>
    <row r="745" ht="15" customHeight="1">
      <c r="A745" t="inlineStr">
        <is>
          <t>A 35593-2024</t>
        </is>
      </c>
      <c r="B745" s="1" t="n">
        <v>45531</v>
      </c>
      <c r="C745" s="1" t="n">
        <v>46059</v>
      </c>
      <c r="D745" t="inlineStr">
        <is>
          <t>VÄSTERNORRLANDS LÄN</t>
        </is>
      </c>
      <c r="E745" t="inlineStr">
        <is>
          <t>ÅNGE</t>
        </is>
      </c>
      <c r="G745" t="n">
        <v>17.6</v>
      </c>
      <c r="H745" t="n">
        <v>0</v>
      </c>
      <c r="I745" t="n">
        <v>0</v>
      </c>
      <c r="J745" t="n">
        <v>0</v>
      </c>
      <c r="K745" t="n">
        <v>0</v>
      </c>
      <c r="L745" t="n">
        <v>0</v>
      </c>
      <c r="M745" t="n">
        <v>0</v>
      </c>
      <c r="N745" t="n">
        <v>0</v>
      </c>
      <c r="O745" t="n">
        <v>0</v>
      </c>
      <c r="P745" t="n">
        <v>0</v>
      </c>
      <c r="Q745" t="n">
        <v>0</v>
      </c>
      <c r="R745" s="2" t="inlineStr"/>
    </row>
    <row r="746" ht="15" customHeight="1">
      <c r="A746" t="inlineStr">
        <is>
          <t>A 27468-2024</t>
        </is>
      </c>
      <c r="B746" s="1" t="n">
        <v>45474</v>
      </c>
      <c r="C746" s="1" t="n">
        <v>46059</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30055-2024</t>
        </is>
      </c>
      <c r="B747" s="1" t="n">
        <v>45488.94767361111</v>
      </c>
      <c r="C747" s="1" t="n">
        <v>46059</v>
      </c>
      <c r="D747" t="inlineStr">
        <is>
          <t>VÄSTERNORRLANDS LÄN</t>
        </is>
      </c>
      <c r="E747" t="inlineStr">
        <is>
          <t>ÅNGE</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45659-2025</t>
        </is>
      </c>
      <c r="B748" s="1" t="n">
        <v>45923.34471064815</v>
      </c>
      <c r="C748" s="1" t="n">
        <v>46059</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45970-2025</t>
        </is>
      </c>
      <c r="B749" s="1" t="n">
        <v>45924.36519675926</v>
      </c>
      <c r="C749" s="1" t="n">
        <v>46059</v>
      </c>
      <c r="D749" t="inlineStr">
        <is>
          <t>VÄSTERNORRLANDS LÄN</t>
        </is>
      </c>
      <c r="E749" t="inlineStr">
        <is>
          <t>ÅNGE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60402-2025</t>
        </is>
      </c>
      <c r="B750" s="1" t="n">
        <v>45995.4262962963</v>
      </c>
      <c r="C750" s="1" t="n">
        <v>46059</v>
      </c>
      <c r="D750" t="inlineStr">
        <is>
          <t>VÄSTERNORRLANDS LÄN</t>
        </is>
      </c>
      <c r="E750" t="inlineStr">
        <is>
          <t>ÅNGE</t>
        </is>
      </c>
      <c r="G750" t="n">
        <v>2.1</v>
      </c>
      <c r="H750" t="n">
        <v>0</v>
      </c>
      <c r="I750" t="n">
        <v>0</v>
      </c>
      <c r="J750" t="n">
        <v>0</v>
      </c>
      <c r="K750" t="n">
        <v>0</v>
      </c>
      <c r="L750" t="n">
        <v>0</v>
      </c>
      <c r="M750" t="n">
        <v>0</v>
      </c>
      <c r="N750" t="n">
        <v>0</v>
      </c>
      <c r="O750" t="n">
        <v>0</v>
      </c>
      <c r="P750" t="n">
        <v>0</v>
      </c>
      <c r="Q750" t="n">
        <v>0</v>
      </c>
      <c r="R750" s="2" t="inlineStr"/>
    </row>
    <row r="751" ht="15" customHeight="1">
      <c r="A751" t="inlineStr">
        <is>
          <t>A 60422-2025</t>
        </is>
      </c>
      <c r="B751" s="1" t="n">
        <v>45995.46922453704</v>
      </c>
      <c r="C751" s="1" t="n">
        <v>46059</v>
      </c>
      <c r="D751" t="inlineStr">
        <is>
          <t>VÄSTERNORRLANDS LÄN</t>
        </is>
      </c>
      <c r="E751" t="inlineStr">
        <is>
          <t>ÅNGE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60520-2025</t>
        </is>
      </c>
      <c r="B752" s="1" t="n">
        <v>45995.63694444444</v>
      </c>
      <c r="C752" s="1" t="n">
        <v>46059</v>
      </c>
      <c r="D752" t="inlineStr">
        <is>
          <t>VÄSTERNORRLANDS LÄN</t>
        </is>
      </c>
      <c r="E752" t="inlineStr">
        <is>
          <t>ÅNGE</t>
        </is>
      </c>
      <c r="G752" t="n">
        <v>0.4</v>
      </c>
      <c r="H752" t="n">
        <v>0</v>
      </c>
      <c r="I752" t="n">
        <v>0</v>
      </c>
      <c r="J752" t="n">
        <v>0</v>
      </c>
      <c r="K752" t="n">
        <v>0</v>
      </c>
      <c r="L752" t="n">
        <v>0</v>
      </c>
      <c r="M752" t="n">
        <v>0</v>
      </c>
      <c r="N752" t="n">
        <v>0</v>
      </c>
      <c r="O752" t="n">
        <v>0</v>
      </c>
      <c r="P752" t="n">
        <v>0</v>
      </c>
      <c r="Q752" t="n">
        <v>0</v>
      </c>
      <c r="R752" s="2" t="inlineStr"/>
    </row>
    <row r="753" ht="15" customHeight="1">
      <c r="A753" t="inlineStr">
        <is>
          <t>A 60124-2025</t>
        </is>
      </c>
      <c r="B753" s="1" t="n">
        <v>45994.33722222222</v>
      </c>
      <c r="C753" s="1" t="n">
        <v>46059</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60134-2025</t>
        </is>
      </c>
      <c r="B754" s="1" t="n">
        <v>45994.34793981481</v>
      </c>
      <c r="C754" s="1" t="n">
        <v>46059</v>
      </c>
      <c r="D754" t="inlineStr">
        <is>
          <t>VÄSTERNORRLANDS LÄN</t>
        </is>
      </c>
      <c r="E754" t="inlineStr">
        <is>
          <t>ÅNGE</t>
        </is>
      </c>
      <c r="G754" t="n">
        <v>5.1</v>
      </c>
      <c r="H754" t="n">
        <v>0</v>
      </c>
      <c r="I754" t="n">
        <v>0</v>
      </c>
      <c r="J754" t="n">
        <v>0</v>
      </c>
      <c r="K754" t="n">
        <v>0</v>
      </c>
      <c r="L754" t="n">
        <v>0</v>
      </c>
      <c r="M754" t="n">
        <v>0</v>
      </c>
      <c r="N754" t="n">
        <v>0</v>
      </c>
      <c r="O754" t="n">
        <v>0</v>
      </c>
      <c r="P754" t="n">
        <v>0</v>
      </c>
      <c r="Q754" t="n">
        <v>0</v>
      </c>
      <c r="R754" s="2" t="inlineStr"/>
    </row>
    <row r="755" ht="15" customHeight="1">
      <c r="A755" t="inlineStr">
        <is>
          <t>A 46267-2025</t>
        </is>
      </c>
      <c r="B755" s="1" t="n">
        <v>45925.36578703704</v>
      </c>
      <c r="C755" s="1" t="n">
        <v>46059</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26011-2024</t>
        </is>
      </c>
      <c r="B756" s="1" t="n">
        <v>45467.95828703704</v>
      </c>
      <c r="C756" s="1" t="n">
        <v>46059</v>
      </c>
      <c r="D756" t="inlineStr">
        <is>
          <t>VÄSTERNORRLANDS LÄN</t>
        </is>
      </c>
      <c r="E756" t="inlineStr">
        <is>
          <t>ÅNGE</t>
        </is>
      </c>
      <c r="F756" t="inlineStr">
        <is>
          <t>SCA</t>
        </is>
      </c>
      <c r="G756" t="n">
        <v>4.5</v>
      </c>
      <c r="H756" t="n">
        <v>0</v>
      </c>
      <c r="I756" t="n">
        <v>0</v>
      </c>
      <c r="J756" t="n">
        <v>0</v>
      </c>
      <c r="K756" t="n">
        <v>0</v>
      </c>
      <c r="L756" t="n">
        <v>0</v>
      </c>
      <c r="M756" t="n">
        <v>0</v>
      </c>
      <c r="N756" t="n">
        <v>0</v>
      </c>
      <c r="O756" t="n">
        <v>0</v>
      </c>
      <c r="P756" t="n">
        <v>0</v>
      </c>
      <c r="Q756" t="n">
        <v>0</v>
      </c>
      <c r="R756" s="2" t="inlineStr"/>
    </row>
    <row r="757" ht="15" customHeight="1">
      <c r="A757" t="inlineStr">
        <is>
          <t>A 26014-2024</t>
        </is>
      </c>
      <c r="B757" s="1" t="n">
        <v>45467.95862268518</v>
      </c>
      <c r="C757" s="1" t="n">
        <v>46059</v>
      </c>
      <c r="D757" t="inlineStr">
        <is>
          <t>VÄSTERNORRLANDS LÄN</t>
        </is>
      </c>
      <c r="E757" t="inlineStr">
        <is>
          <t>ÅNGE</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26019-2024</t>
        </is>
      </c>
      <c r="B758" s="1" t="n">
        <v>45467.96015046296</v>
      </c>
      <c r="C758" s="1" t="n">
        <v>46059</v>
      </c>
      <c r="D758" t="inlineStr">
        <is>
          <t>VÄSTERNORRLANDS LÄN</t>
        </is>
      </c>
      <c r="E758" t="inlineStr">
        <is>
          <t>ÅNGE</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46419-2025</t>
        </is>
      </c>
      <c r="B759" s="1" t="n">
        <v>45925.5949537037</v>
      </c>
      <c r="C759" s="1" t="n">
        <v>46059</v>
      </c>
      <c r="D759" t="inlineStr">
        <is>
          <t>VÄSTERNORRLANDS LÄN</t>
        </is>
      </c>
      <c r="E759" t="inlineStr">
        <is>
          <t>ÅNGE</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46416-2025</t>
        </is>
      </c>
      <c r="B760" s="1" t="n">
        <v>45925.594375</v>
      </c>
      <c r="C760" s="1" t="n">
        <v>46059</v>
      </c>
      <c r="D760" t="inlineStr">
        <is>
          <t>VÄSTERNORRLANDS LÄN</t>
        </is>
      </c>
      <c r="E760" t="inlineStr">
        <is>
          <t>ÅNGE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60604-2025</t>
        </is>
      </c>
      <c r="B761" s="1" t="n">
        <v>45995</v>
      </c>
      <c r="C761" s="1" t="n">
        <v>46059</v>
      </c>
      <c r="D761" t="inlineStr">
        <is>
          <t>VÄSTERNORRLANDS LÄN</t>
        </is>
      </c>
      <c r="E761" t="inlineStr">
        <is>
          <t>ÅNGE</t>
        </is>
      </c>
      <c r="G761" t="n">
        <v>2.5</v>
      </c>
      <c r="H761" t="n">
        <v>0</v>
      </c>
      <c r="I761" t="n">
        <v>0</v>
      </c>
      <c r="J761" t="n">
        <v>0</v>
      </c>
      <c r="K761" t="n">
        <v>0</v>
      </c>
      <c r="L761" t="n">
        <v>0</v>
      </c>
      <c r="M761" t="n">
        <v>0</v>
      </c>
      <c r="N761" t="n">
        <v>0</v>
      </c>
      <c r="O761" t="n">
        <v>0</v>
      </c>
      <c r="P761" t="n">
        <v>0</v>
      </c>
      <c r="Q761" t="n">
        <v>0</v>
      </c>
      <c r="R761" s="2" t="inlineStr"/>
    </row>
    <row r="762" ht="15" customHeight="1">
      <c r="A762" t="inlineStr">
        <is>
          <t>A 14889-2022</t>
        </is>
      </c>
      <c r="B762" s="1" t="n">
        <v>44656</v>
      </c>
      <c r="C762" s="1" t="n">
        <v>46059</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2485-2026</t>
        </is>
      </c>
      <c r="B763" s="1" t="n">
        <v>46037.38591435185</v>
      </c>
      <c r="C763" s="1" t="n">
        <v>46059</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41781-2024</t>
        </is>
      </c>
      <c r="B764" s="1" t="n">
        <v>45561.34938657407</v>
      </c>
      <c r="C764" s="1" t="n">
        <v>46059</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60403-2025</t>
        </is>
      </c>
      <c r="B765" s="1" t="n">
        <v>45995.42762731481</v>
      </c>
      <c r="C765" s="1" t="n">
        <v>46059</v>
      </c>
      <c r="D765" t="inlineStr">
        <is>
          <t>VÄSTERNORRLANDS LÄN</t>
        </is>
      </c>
      <c r="E765" t="inlineStr">
        <is>
          <t>ÅNGE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60817-2024</t>
        </is>
      </c>
      <c r="B766" s="1" t="n">
        <v>45644</v>
      </c>
      <c r="C766" s="1" t="n">
        <v>46059</v>
      </c>
      <c r="D766" t="inlineStr">
        <is>
          <t>VÄSTERNORRLANDS LÄN</t>
        </is>
      </c>
      <c r="E766" t="inlineStr">
        <is>
          <t>ÅNGE</t>
        </is>
      </c>
      <c r="G766" t="n">
        <v>3.2</v>
      </c>
      <c r="H766" t="n">
        <v>0</v>
      </c>
      <c r="I766" t="n">
        <v>0</v>
      </c>
      <c r="J766" t="n">
        <v>0</v>
      </c>
      <c r="K766" t="n">
        <v>0</v>
      </c>
      <c r="L766" t="n">
        <v>0</v>
      </c>
      <c r="M766" t="n">
        <v>0</v>
      </c>
      <c r="N766" t="n">
        <v>0</v>
      </c>
      <c r="O766" t="n">
        <v>0</v>
      </c>
      <c r="P766" t="n">
        <v>0</v>
      </c>
      <c r="Q766" t="n">
        <v>0</v>
      </c>
      <c r="R766" s="2" t="inlineStr"/>
    </row>
    <row r="767" ht="15" customHeight="1">
      <c r="A767" t="inlineStr">
        <is>
          <t>A 58469-2023</t>
        </is>
      </c>
      <c r="B767" s="1" t="n">
        <v>45250</v>
      </c>
      <c r="C767" s="1" t="n">
        <v>46059</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23225-2024</t>
        </is>
      </c>
      <c r="B768" s="1" t="n">
        <v>45452.9490162037</v>
      </c>
      <c r="C768" s="1" t="n">
        <v>46059</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61200-2025</t>
        </is>
      </c>
      <c r="B769" s="1" t="n">
        <v>46000.60918981482</v>
      </c>
      <c r="C769" s="1" t="n">
        <v>46059</v>
      </c>
      <c r="D769" t="inlineStr">
        <is>
          <t>VÄSTERNORRLANDS LÄN</t>
        </is>
      </c>
      <c r="E769" t="inlineStr">
        <is>
          <t>ÅNGE</t>
        </is>
      </c>
      <c r="G769" t="n">
        <v>1.6</v>
      </c>
      <c r="H769" t="n">
        <v>0</v>
      </c>
      <c r="I769" t="n">
        <v>0</v>
      </c>
      <c r="J769" t="n">
        <v>0</v>
      </c>
      <c r="K769" t="n">
        <v>0</v>
      </c>
      <c r="L769" t="n">
        <v>0</v>
      </c>
      <c r="M769" t="n">
        <v>0</v>
      </c>
      <c r="N769" t="n">
        <v>0</v>
      </c>
      <c r="O769" t="n">
        <v>0</v>
      </c>
      <c r="P769" t="n">
        <v>0</v>
      </c>
      <c r="Q769" t="n">
        <v>0</v>
      </c>
      <c r="R769" s="2" t="inlineStr"/>
    </row>
    <row r="770" ht="15" customHeight="1">
      <c r="A770" t="inlineStr">
        <is>
          <t>A 61203-2025</t>
        </is>
      </c>
      <c r="B770" s="1" t="n">
        <v>46000.61237268519</v>
      </c>
      <c r="C770" s="1" t="n">
        <v>46059</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33305-2024</t>
        </is>
      </c>
      <c r="B771" s="1" t="n">
        <v>45518</v>
      </c>
      <c r="C771" s="1" t="n">
        <v>46059</v>
      </c>
      <c r="D771" t="inlineStr">
        <is>
          <t>VÄSTERNORRLANDS LÄN</t>
        </is>
      </c>
      <c r="E771" t="inlineStr">
        <is>
          <t>ÅNGE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33306-2024</t>
        </is>
      </c>
      <c r="B772" s="1" t="n">
        <v>45518</v>
      </c>
      <c r="C772" s="1" t="n">
        <v>46059</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3289-2026</t>
        </is>
      </c>
      <c r="B773" s="1" t="n">
        <v>46041.63581018519</v>
      </c>
      <c r="C773" s="1" t="n">
        <v>46059</v>
      </c>
      <c r="D773" t="inlineStr">
        <is>
          <t>VÄSTERNORRLANDS LÄN</t>
        </is>
      </c>
      <c r="E773" t="inlineStr">
        <is>
          <t>ÅNGE</t>
        </is>
      </c>
      <c r="G773" t="n">
        <v>1</v>
      </c>
      <c r="H773" t="n">
        <v>0</v>
      </c>
      <c r="I773" t="n">
        <v>0</v>
      </c>
      <c r="J773" t="n">
        <v>0</v>
      </c>
      <c r="K773" t="n">
        <v>0</v>
      </c>
      <c r="L773" t="n">
        <v>0</v>
      </c>
      <c r="M773" t="n">
        <v>0</v>
      </c>
      <c r="N773" t="n">
        <v>0</v>
      </c>
      <c r="O773" t="n">
        <v>0</v>
      </c>
      <c r="P773" t="n">
        <v>0</v>
      </c>
      <c r="Q773" t="n">
        <v>0</v>
      </c>
      <c r="R773" s="2" t="inlineStr"/>
    </row>
    <row r="774" ht="15" customHeight="1">
      <c r="A774" t="inlineStr">
        <is>
          <t>A 61075-2025</t>
        </is>
      </c>
      <c r="B774" s="1" t="n">
        <v>46000.3959837963</v>
      </c>
      <c r="C774" s="1" t="n">
        <v>46059</v>
      </c>
      <c r="D774" t="inlineStr">
        <is>
          <t>VÄSTERNORRLANDS LÄN</t>
        </is>
      </c>
      <c r="E774" t="inlineStr">
        <is>
          <t>ÅNGE</t>
        </is>
      </c>
      <c r="F774" t="inlineStr">
        <is>
          <t>Holmen skog AB</t>
        </is>
      </c>
      <c r="G774" t="n">
        <v>7.9</v>
      </c>
      <c r="H774" t="n">
        <v>0</v>
      </c>
      <c r="I774" t="n">
        <v>0</v>
      </c>
      <c r="J774" t="n">
        <v>0</v>
      </c>
      <c r="K774" t="n">
        <v>0</v>
      </c>
      <c r="L774" t="n">
        <v>0</v>
      </c>
      <c r="M774" t="n">
        <v>0</v>
      </c>
      <c r="N774" t="n">
        <v>0</v>
      </c>
      <c r="O774" t="n">
        <v>0</v>
      </c>
      <c r="P774" t="n">
        <v>0</v>
      </c>
      <c r="Q774" t="n">
        <v>0</v>
      </c>
      <c r="R774" s="2" t="inlineStr"/>
    </row>
    <row r="775" ht="15" customHeight="1">
      <c r="A775" t="inlineStr">
        <is>
          <t>A 7535-2023</t>
        </is>
      </c>
      <c r="B775" s="1" t="n">
        <v>44971</v>
      </c>
      <c r="C775" s="1" t="n">
        <v>46059</v>
      </c>
      <c r="D775" t="inlineStr">
        <is>
          <t>VÄSTERNORRLANDS LÄN</t>
        </is>
      </c>
      <c r="E775" t="inlineStr">
        <is>
          <t>ÅNGE</t>
        </is>
      </c>
      <c r="F775" t="inlineStr">
        <is>
          <t>SCA</t>
        </is>
      </c>
      <c r="G775" t="n">
        <v>14.6</v>
      </c>
      <c r="H775" t="n">
        <v>0</v>
      </c>
      <c r="I775" t="n">
        <v>0</v>
      </c>
      <c r="J775" t="n">
        <v>0</v>
      </c>
      <c r="K775" t="n">
        <v>0</v>
      </c>
      <c r="L775" t="n">
        <v>0</v>
      </c>
      <c r="M775" t="n">
        <v>0</v>
      </c>
      <c r="N775" t="n">
        <v>0</v>
      </c>
      <c r="O775" t="n">
        <v>0</v>
      </c>
      <c r="P775" t="n">
        <v>0</v>
      </c>
      <c r="Q775" t="n">
        <v>0</v>
      </c>
      <c r="R775" s="2" t="inlineStr"/>
    </row>
    <row r="776" ht="15" customHeight="1">
      <c r="A776" t="inlineStr">
        <is>
          <t>A 47440-2025</t>
        </is>
      </c>
      <c r="B776" s="1" t="n">
        <v>45930.63766203704</v>
      </c>
      <c r="C776" s="1" t="n">
        <v>46059</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47118-2025</t>
        </is>
      </c>
      <c r="B777" s="1" t="n">
        <v>45929.67770833334</v>
      </c>
      <c r="C777" s="1" t="n">
        <v>46059</v>
      </c>
      <c r="D777" t="inlineStr">
        <is>
          <t>VÄSTERNORRLANDS LÄN</t>
        </is>
      </c>
      <c r="E777" t="inlineStr">
        <is>
          <t>ÅNGE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47196-2025</t>
        </is>
      </c>
      <c r="B778" s="1" t="n">
        <v>45930.34520833333</v>
      </c>
      <c r="C778" s="1" t="n">
        <v>46059</v>
      </c>
      <c r="D778" t="inlineStr">
        <is>
          <t>VÄSTERNORRLANDS LÄN</t>
        </is>
      </c>
      <c r="E778" t="inlineStr">
        <is>
          <t>ÅNGE</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37038-2024</t>
        </is>
      </c>
      <c r="B779" s="1" t="n">
        <v>45539.40881944444</v>
      </c>
      <c r="C779" s="1" t="n">
        <v>46059</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60864-2025</t>
        </is>
      </c>
      <c r="B780" s="1" t="n">
        <v>45999.53170138889</v>
      </c>
      <c r="C780" s="1" t="n">
        <v>46059</v>
      </c>
      <c r="D780" t="inlineStr">
        <is>
          <t>VÄSTERNORRLANDS LÄN</t>
        </is>
      </c>
      <c r="E780" t="inlineStr">
        <is>
          <t>ÅNGE</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46829-2025</t>
        </is>
      </c>
      <c r="B781" s="1" t="n">
        <v>45927.34513888889</v>
      </c>
      <c r="C781" s="1" t="n">
        <v>46059</v>
      </c>
      <c r="D781" t="inlineStr">
        <is>
          <t>VÄSTERNORRLANDS LÄN</t>
        </is>
      </c>
      <c r="E781" t="inlineStr">
        <is>
          <t>ÅNGE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42090-2024</t>
        </is>
      </c>
      <c r="B782" s="1" t="n">
        <v>45562</v>
      </c>
      <c r="C782" s="1" t="n">
        <v>46059</v>
      </c>
      <c r="D782" t="inlineStr">
        <is>
          <t>VÄSTERNORRLANDS LÄN</t>
        </is>
      </c>
      <c r="E782" t="inlineStr">
        <is>
          <t>ÅNGE</t>
        </is>
      </c>
      <c r="F782" t="inlineStr">
        <is>
          <t>SCA</t>
        </is>
      </c>
      <c r="G782" t="n">
        <v>20.2</v>
      </c>
      <c r="H782" t="n">
        <v>0</v>
      </c>
      <c r="I782" t="n">
        <v>0</v>
      </c>
      <c r="J782" t="n">
        <v>0</v>
      </c>
      <c r="K782" t="n">
        <v>0</v>
      </c>
      <c r="L782" t="n">
        <v>0</v>
      </c>
      <c r="M782" t="n">
        <v>0</v>
      </c>
      <c r="N782" t="n">
        <v>0</v>
      </c>
      <c r="O782" t="n">
        <v>0</v>
      </c>
      <c r="P782" t="n">
        <v>0</v>
      </c>
      <c r="Q782" t="n">
        <v>0</v>
      </c>
      <c r="R782" s="2" t="inlineStr"/>
    </row>
    <row r="783" ht="15" customHeight="1">
      <c r="A783" t="inlineStr">
        <is>
          <t>A 42098-2024</t>
        </is>
      </c>
      <c r="B783" s="1" t="n">
        <v>45562.34532407407</v>
      </c>
      <c r="C783" s="1" t="n">
        <v>46059</v>
      </c>
      <c r="D783" t="inlineStr">
        <is>
          <t>VÄSTERNORRLANDS LÄN</t>
        </is>
      </c>
      <c r="E783" t="inlineStr">
        <is>
          <t>ÅNGE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47488-2025</t>
        </is>
      </c>
      <c r="B784" s="1" t="n">
        <v>45930.69890046296</v>
      </c>
      <c r="C784" s="1" t="n">
        <v>46059</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46897-2025</t>
        </is>
      </c>
      <c r="B785" s="1" t="n">
        <v>45929.38597222222</v>
      </c>
      <c r="C785" s="1" t="n">
        <v>46059</v>
      </c>
      <c r="D785" t="inlineStr">
        <is>
          <t>VÄSTERNORRLANDS LÄN</t>
        </is>
      </c>
      <c r="E785" t="inlineStr">
        <is>
          <t>ÅNGE</t>
        </is>
      </c>
      <c r="G785" t="n">
        <v>10.6</v>
      </c>
      <c r="H785" t="n">
        <v>0</v>
      </c>
      <c r="I785" t="n">
        <v>0</v>
      </c>
      <c r="J785" t="n">
        <v>0</v>
      </c>
      <c r="K785" t="n">
        <v>0</v>
      </c>
      <c r="L785" t="n">
        <v>0</v>
      </c>
      <c r="M785" t="n">
        <v>0</v>
      </c>
      <c r="N785" t="n">
        <v>0</v>
      </c>
      <c r="O785" t="n">
        <v>0</v>
      </c>
      <c r="P785" t="n">
        <v>0</v>
      </c>
      <c r="Q785" t="n">
        <v>0</v>
      </c>
      <c r="R785" s="2" t="inlineStr"/>
    </row>
    <row r="786" ht="15" customHeight="1">
      <c r="A786" t="inlineStr">
        <is>
          <t>A 47377-2025</t>
        </is>
      </c>
      <c r="B786" s="1" t="n">
        <v>45930.59469907408</v>
      </c>
      <c r="C786" s="1" t="n">
        <v>46059</v>
      </c>
      <c r="D786" t="inlineStr">
        <is>
          <t>VÄSTERNORRLANDS LÄN</t>
        </is>
      </c>
      <c r="E786" t="inlineStr">
        <is>
          <t>ÅNGE</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47305-2025</t>
        </is>
      </c>
      <c r="B787" s="1" t="n">
        <v>45930</v>
      </c>
      <c r="C787" s="1" t="n">
        <v>46059</v>
      </c>
      <c r="D787" t="inlineStr">
        <is>
          <t>VÄSTERNORRLANDS LÄN</t>
        </is>
      </c>
      <c r="E787" t="inlineStr">
        <is>
          <t>ÅNGE</t>
        </is>
      </c>
      <c r="G787" t="n">
        <v>10.9</v>
      </c>
      <c r="H787" t="n">
        <v>0</v>
      </c>
      <c r="I787" t="n">
        <v>0</v>
      </c>
      <c r="J787" t="n">
        <v>0</v>
      </c>
      <c r="K787" t="n">
        <v>0</v>
      </c>
      <c r="L787" t="n">
        <v>0</v>
      </c>
      <c r="M787" t="n">
        <v>0</v>
      </c>
      <c r="N787" t="n">
        <v>0</v>
      </c>
      <c r="O787" t="n">
        <v>0</v>
      </c>
      <c r="P787" t="n">
        <v>0</v>
      </c>
      <c r="Q787" t="n">
        <v>0</v>
      </c>
      <c r="R787" s="2" t="inlineStr"/>
    </row>
    <row r="788" ht="15" customHeight="1">
      <c r="A788" t="inlineStr">
        <is>
          <t>A 55324-2023</t>
        </is>
      </c>
      <c r="B788" s="1" t="n">
        <v>45237.9734837963</v>
      </c>
      <c r="C788" s="1" t="n">
        <v>46059</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3290-2026</t>
        </is>
      </c>
      <c r="B789" s="1" t="n">
        <v>46041</v>
      </c>
      <c r="C789" s="1" t="n">
        <v>46059</v>
      </c>
      <c r="D789" t="inlineStr">
        <is>
          <t>VÄSTERNORRLANDS LÄN</t>
        </is>
      </c>
      <c r="E789" t="inlineStr">
        <is>
          <t>ÅNGE</t>
        </is>
      </c>
      <c r="G789" t="n">
        <v>0.7</v>
      </c>
      <c r="H789" t="n">
        <v>0</v>
      </c>
      <c r="I789" t="n">
        <v>0</v>
      </c>
      <c r="J789" t="n">
        <v>0</v>
      </c>
      <c r="K789" t="n">
        <v>0</v>
      </c>
      <c r="L789" t="n">
        <v>0</v>
      </c>
      <c r="M789" t="n">
        <v>0</v>
      </c>
      <c r="N789" t="n">
        <v>0</v>
      </c>
      <c r="O789" t="n">
        <v>0</v>
      </c>
      <c r="P789" t="n">
        <v>0</v>
      </c>
      <c r="Q789" t="n">
        <v>0</v>
      </c>
      <c r="R789" s="2" t="inlineStr"/>
    </row>
    <row r="790" ht="15" customHeight="1">
      <c r="A790" t="inlineStr">
        <is>
          <t>A 4361-2024</t>
        </is>
      </c>
      <c r="B790" s="1" t="n">
        <v>45325.65047453704</v>
      </c>
      <c r="C790" s="1" t="n">
        <v>46059</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3534-2026</t>
        </is>
      </c>
      <c r="B791" s="1" t="n">
        <v>46042.62432870371</v>
      </c>
      <c r="C791" s="1" t="n">
        <v>46059</v>
      </c>
      <c r="D791" t="inlineStr">
        <is>
          <t>VÄSTERNORRLANDS LÄN</t>
        </is>
      </c>
      <c r="E791" t="inlineStr">
        <is>
          <t>ÅNGE</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46933-2025</t>
        </is>
      </c>
      <c r="B792" s="1" t="n">
        <v>45929.44645833333</v>
      </c>
      <c r="C792" s="1" t="n">
        <v>46059</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47752-2025</t>
        </is>
      </c>
      <c r="B793" s="1" t="n">
        <v>45931.66358796296</v>
      </c>
      <c r="C793" s="1" t="n">
        <v>46059</v>
      </c>
      <c r="D793" t="inlineStr">
        <is>
          <t>VÄSTERNORRLANDS LÄN</t>
        </is>
      </c>
      <c r="E793" t="inlineStr">
        <is>
          <t>ÅNGE</t>
        </is>
      </c>
      <c r="G793" t="n">
        <v>3.9</v>
      </c>
      <c r="H793" t="n">
        <v>0</v>
      </c>
      <c r="I793" t="n">
        <v>0</v>
      </c>
      <c r="J793" t="n">
        <v>0</v>
      </c>
      <c r="K793" t="n">
        <v>0</v>
      </c>
      <c r="L793" t="n">
        <v>0</v>
      </c>
      <c r="M793" t="n">
        <v>0</v>
      </c>
      <c r="N793" t="n">
        <v>0</v>
      </c>
      <c r="O793" t="n">
        <v>0</v>
      </c>
      <c r="P793" t="n">
        <v>0</v>
      </c>
      <c r="Q793" t="n">
        <v>0</v>
      </c>
      <c r="R793" s="2" t="inlineStr"/>
    </row>
    <row r="794" ht="15" customHeight="1">
      <c r="A794" t="inlineStr">
        <is>
          <t>A 61308-2025</t>
        </is>
      </c>
      <c r="B794" s="1" t="n">
        <v>46000.81952546296</v>
      </c>
      <c r="C794" s="1" t="n">
        <v>46059</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61321-2025</t>
        </is>
      </c>
      <c r="B795" s="1" t="n">
        <v>46000.96894675926</v>
      </c>
      <c r="C795" s="1" t="n">
        <v>46059</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61349-2025</t>
        </is>
      </c>
      <c r="B796" s="1" t="n">
        <v>46001.3866087963</v>
      </c>
      <c r="C796" s="1" t="n">
        <v>46059</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65229-2021</t>
        </is>
      </c>
      <c r="B797" s="1" t="n">
        <v>44515</v>
      </c>
      <c r="C797" s="1" t="n">
        <v>46059</v>
      </c>
      <c r="D797" t="inlineStr">
        <is>
          <t>VÄSTERNORRLANDS LÄN</t>
        </is>
      </c>
      <c r="E797" t="inlineStr">
        <is>
          <t>ÅNGE</t>
        </is>
      </c>
      <c r="G797" t="n">
        <v>12.1</v>
      </c>
      <c r="H797" t="n">
        <v>0</v>
      </c>
      <c r="I797" t="n">
        <v>0</v>
      </c>
      <c r="J797" t="n">
        <v>0</v>
      </c>
      <c r="K797" t="n">
        <v>0</v>
      </c>
      <c r="L797" t="n">
        <v>0</v>
      </c>
      <c r="M797" t="n">
        <v>0</v>
      </c>
      <c r="N797" t="n">
        <v>0</v>
      </c>
      <c r="O797" t="n">
        <v>0</v>
      </c>
      <c r="P797" t="n">
        <v>0</v>
      </c>
      <c r="Q797" t="n">
        <v>0</v>
      </c>
      <c r="R797" s="2" t="inlineStr"/>
    </row>
    <row r="798" ht="15" customHeight="1">
      <c r="A798" t="inlineStr">
        <is>
          <t>A 59626-2022</t>
        </is>
      </c>
      <c r="B798" s="1" t="n">
        <v>44907.92354166666</v>
      </c>
      <c r="C798" s="1" t="n">
        <v>46059</v>
      </c>
      <c r="D798" t="inlineStr">
        <is>
          <t>VÄSTERNORRLANDS LÄN</t>
        </is>
      </c>
      <c r="E798" t="inlineStr">
        <is>
          <t>ÅNGE</t>
        </is>
      </c>
      <c r="G798" t="n">
        <v>1.4</v>
      </c>
      <c r="H798" t="n">
        <v>0</v>
      </c>
      <c r="I798" t="n">
        <v>0</v>
      </c>
      <c r="J798" t="n">
        <v>0</v>
      </c>
      <c r="K798" t="n">
        <v>0</v>
      </c>
      <c r="L798" t="n">
        <v>0</v>
      </c>
      <c r="M798" t="n">
        <v>0</v>
      </c>
      <c r="N798" t="n">
        <v>0</v>
      </c>
      <c r="O798" t="n">
        <v>0</v>
      </c>
      <c r="P798" t="n">
        <v>0</v>
      </c>
      <c r="Q798" t="n">
        <v>0</v>
      </c>
      <c r="R798" s="2" t="inlineStr"/>
    </row>
    <row r="799" ht="15" customHeight="1">
      <c r="A799" t="inlineStr">
        <is>
          <t>A 32069-2023</t>
        </is>
      </c>
      <c r="B799" s="1" t="n">
        <v>45107</v>
      </c>
      <c r="C799" s="1" t="n">
        <v>46059</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3249-2024</t>
        </is>
      </c>
      <c r="B800" s="1" t="n">
        <v>45316</v>
      </c>
      <c r="C800" s="1" t="n">
        <v>46059</v>
      </c>
      <c r="D800" t="inlineStr">
        <is>
          <t>VÄSTERNORRLANDS LÄN</t>
        </is>
      </c>
      <c r="E800" t="inlineStr">
        <is>
          <t>ÅNGE</t>
        </is>
      </c>
      <c r="G800" t="n">
        <v>0.3</v>
      </c>
      <c r="H800" t="n">
        <v>0</v>
      </c>
      <c r="I800" t="n">
        <v>0</v>
      </c>
      <c r="J800" t="n">
        <v>0</v>
      </c>
      <c r="K800" t="n">
        <v>0</v>
      </c>
      <c r="L800" t="n">
        <v>0</v>
      </c>
      <c r="M800" t="n">
        <v>0</v>
      </c>
      <c r="N800" t="n">
        <v>0</v>
      </c>
      <c r="O800" t="n">
        <v>0</v>
      </c>
      <c r="P800" t="n">
        <v>0</v>
      </c>
      <c r="Q800" t="n">
        <v>0</v>
      </c>
      <c r="R800" s="2" t="inlineStr"/>
    </row>
    <row r="801" ht="15" customHeight="1">
      <c r="A801" t="inlineStr">
        <is>
          <t>A 3882-2026</t>
        </is>
      </c>
      <c r="B801" s="1" t="n">
        <v>46043.65693287037</v>
      </c>
      <c r="C801" s="1" t="n">
        <v>46059</v>
      </c>
      <c r="D801" t="inlineStr">
        <is>
          <t>VÄSTERNORRLANDS LÄN</t>
        </is>
      </c>
      <c r="E801" t="inlineStr">
        <is>
          <t>ÅNGE</t>
        </is>
      </c>
      <c r="G801" t="n">
        <v>5.8</v>
      </c>
      <c r="H801" t="n">
        <v>0</v>
      </c>
      <c r="I801" t="n">
        <v>0</v>
      </c>
      <c r="J801" t="n">
        <v>0</v>
      </c>
      <c r="K801" t="n">
        <v>0</v>
      </c>
      <c r="L801" t="n">
        <v>0</v>
      </c>
      <c r="M801" t="n">
        <v>0</v>
      </c>
      <c r="N801" t="n">
        <v>0</v>
      </c>
      <c r="O801" t="n">
        <v>0</v>
      </c>
      <c r="P801" t="n">
        <v>0</v>
      </c>
      <c r="Q801" t="n">
        <v>0</v>
      </c>
      <c r="R801" s="2" t="inlineStr"/>
    </row>
    <row r="802" ht="15" customHeight="1">
      <c r="A802" t="inlineStr">
        <is>
          <t>A 3889-2026</t>
        </is>
      </c>
      <c r="B802" s="1" t="n">
        <v>46043.67015046296</v>
      </c>
      <c r="C802" s="1" t="n">
        <v>46059</v>
      </c>
      <c r="D802" t="inlineStr">
        <is>
          <t>VÄSTERNORRLANDS LÄN</t>
        </is>
      </c>
      <c r="E802" t="inlineStr">
        <is>
          <t>ÅNGE</t>
        </is>
      </c>
      <c r="G802" t="n">
        <v>1.5</v>
      </c>
      <c r="H802" t="n">
        <v>0</v>
      </c>
      <c r="I802" t="n">
        <v>0</v>
      </c>
      <c r="J802" t="n">
        <v>0</v>
      </c>
      <c r="K802" t="n">
        <v>0</v>
      </c>
      <c r="L802" t="n">
        <v>0</v>
      </c>
      <c r="M802" t="n">
        <v>0</v>
      </c>
      <c r="N802" t="n">
        <v>0</v>
      </c>
      <c r="O802" t="n">
        <v>0</v>
      </c>
      <c r="P802" t="n">
        <v>0</v>
      </c>
      <c r="Q802" t="n">
        <v>0</v>
      </c>
      <c r="R802" s="2" t="inlineStr"/>
    </row>
    <row r="803" ht="15" customHeight="1">
      <c r="A803" t="inlineStr">
        <is>
          <t>A 9759-2024</t>
        </is>
      </c>
      <c r="B803" s="1" t="n">
        <v>45362</v>
      </c>
      <c r="C803" s="1" t="n">
        <v>46059</v>
      </c>
      <c r="D803" t="inlineStr">
        <is>
          <t>VÄSTERNORRLANDS LÄN</t>
        </is>
      </c>
      <c r="E803" t="inlineStr">
        <is>
          <t>ÅNGE</t>
        </is>
      </c>
      <c r="G803" t="n">
        <v>2.5</v>
      </c>
      <c r="H803" t="n">
        <v>0</v>
      </c>
      <c r="I803" t="n">
        <v>0</v>
      </c>
      <c r="J803" t="n">
        <v>0</v>
      </c>
      <c r="K803" t="n">
        <v>0</v>
      </c>
      <c r="L803" t="n">
        <v>0</v>
      </c>
      <c r="M803" t="n">
        <v>0</v>
      </c>
      <c r="N803" t="n">
        <v>0</v>
      </c>
      <c r="O803" t="n">
        <v>0</v>
      </c>
      <c r="P803" t="n">
        <v>0</v>
      </c>
      <c r="Q803" t="n">
        <v>0</v>
      </c>
      <c r="R803" s="2" t="inlineStr"/>
    </row>
    <row r="804" ht="15" customHeight="1">
      <c r="A804" t="inlineStr">
        <is>
          <t>A 48055-2025</t>
        </is>
      </c>
      <c r="B804" s="1" t="n">
        <v>45932.67922453704</v>
      </c>
      <c r="C804" s="1" t="n">
        <v>46059</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48069-2025</t>
        </is>
      </c>
      <c r="B805" s="1" t="n">
        <v>45932.69865740741</v>
      </c>
      <c r="C805" s="1" t="n">
        <v>46059</v>
      </c>
      <c r="D805" t="inlineStr">
        <is>
          <t>VÄSTERNORRLANDS LÄN</t>
        </is>
      </c>
      <c r="E805" t="inlineStr">
        <is>
          <t>ÅNGE</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19829-2025</t>
        </is>
      </c>
      <c r="B806" s="1" t="n">
        <v>45771.46944444445</v>
      </c>
      <c r="C806" s="1" t="n">
        <v>46059</v>
      </c>
      <c r="D806" t="inlineStr">
        <is>
          <t>VÄSTERNORRLANDS LÄN</t>
        </is>
      </c>
      <c r="E806" t="inlineStr">
        <is>
          <t>ÅNGE</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61332-2025</t>
        </is>
      </c>
      <c r="B807" s="1" t="n">
        <v>46001.34416666667</v>
      </c>
      <c r="C807" s="1" t="n">
        <v>46059</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8778-2025</t>
        </is>
      </c>
      <c r="B808" s="1" t="n">
        <v>45712.61539351852</v>
      </c>
      <c r="C808" s="1" t="n">
        <v>46059</v>
      </c>
      <c r="D808" t="inlineStr">
        <is>
          <t>VÄSTERNORRLANDS LÄN</t>
        </is>
      </c>
      <c r="E808" t="inlineStr">
        <is>
          <t>ÅNGE</t>
        </is>
      </c>
      <c r="G808" t="n">
        <v>3.4</v>
      </c>
      <c r="H808" t="n">
        <v>0</v>
      </c>
      <c r="I808" t="n">
        <v>0</v>
      </c>
      <c r="J808" t="n">
        <v>0</v>
      </c>
      <c r="K808" t="n">
        <v>0</v>
      </c>
      <c r="L808" t="n">
        <v>0</v>
      </c>
      <c r="M808" t="n">
        <v>0</v>
      </c>
      <c r="N808" t="n">
        <v>0</v>
      </c>
      <c r="O808" t="n">
        <v>0</v>
      </c>
      <c r="P808" t="n">
        <v>0</v>
      </c>
      <c r="Q808" t="n">
        <v>0</v>
      </c>
      <c r="R808" s="2" t="inlineStr"/>
    </row>
    <row r="809" ht="15" customHeight="1">
      <c r="A809" t="inlineStr">
        <is>
          <t>A 61486-2025</t>
        </is>
      </c>
      <c r="B809" s="1" t="n">
        <v>46001.63607638889</v>
      </c>
      <c r="C809" s="1" t="n">
        <v>46059</v>
      </c>
      <c r="D809" t="inlineStr">
        <is>
          <t>VÄSTERNORRLANDS LÄN</t>
        </is>
      </c>
      <c r="E809" t="inlineStr">
        <is>
          <t>ÅNGE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3970-2026</t>
        </is>
      </c>
      <c r="B810" s="1" t="n">
        <v>46044.3521875</v>
      </c>
      <c r="C810" s="1" t="n">
        <v>46059</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10687-2022</t>
        </is>
      </c>
      <c r="B811" s="1" t="n">
        <v>44624.92684027777</v>
      </c>
      <c r="C811" s="1" t="n">
        <v>46059</v>
      </c>
      <c r="D811" t="inlineStr">
        <is>
          <t>VÄSTERNORRLANDS LÄN</t>
        </is>
      </c>
      <c r="E811" t="inlineStr">
        <is>
          <t>ÅNGE</t>
        </is>
      </c>
      <c r="G811" t="n">
        <v>0.7</v>
      </c>
      <c r="H811" t="n">
        <v>0</v>
      </c>
      <c r="I811" t="n">
        <v>0</v>
      </c>
      <c r="J811" t="n">
        <v>0</v>
      </c>
      <c r="K811" t="n">
        <v>0</v>
      </c>
      <c r="L811" t="n">
        <v>0</v>
      </c>
      <c r="M811" t="n">
        <v>0</v>
      </c>
      <c r="N811" t="n">
        <v>0</v>
      </c>
      <c r="O811" t="n">
        <v>0</v>
      </c>
      <c r="P811" t="n">
        <v>0</v>
      </c>
      <c r="Q811" t="n">
        <v>0</v>
      </c>
      <c r="R811" s="2" t="inlineStr"/>
    </row>
    <row r="812" ht="15" customHeight="1">
      <c r="A812" t="inlineStr">
        <is>
          <t>A 61279-2025</t>
        </is>
      </c>
      <c r="B812" s="1" t="n">
        <v>46000.69841435185</v>
      </c>
      <c r="C812" s="1" t="n">
        <v>46059</v>
      </c>
      <c r="D812" t="inlineStr">
        <is>
          <t>VÄSTERNORRLANDS LÄN</t>
        </is>
      </c>
      <c r="E812" t="inlineStr">
        <is>
          <t>ÅNGE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48234-2025</t>
        </is>
      </c>
      <c r="B813" s="1" t="n">
        <v>45933.53211805555</v>
      </c>
      <c r="C813" s="1" t="n">
        <v>46059</v>
      </c>
      <c r="D813" t="inlineStr">
        <is>
          <t>VÄSTERNORRLANDS LÄN</t>
        </is>
      </c>
      <c r="E813" t="inlineStr">
        <is>
          <t>ÅNGE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48235-2025</t>
        </is>
      </c>
      <c r="B814" s="1" t="n">
        <v>45933.5321412037</v>
      </c>
      <c r="C814" s="1" t="n">
        <v>46059</v>
      </c>
      <c r="D814" t="inlineStr">
        <is>
          <t>VÄSTERNORRLANDS LÄN</t>
        </is>
      </c>
      <c r="E814" t="inlineStr">
        <is>
          <t>ÅNGE</t>
        </is>
      </c>
      <c r="G814" t="n">
        <v>3.1</v>
      </c>
      <c r="H814" t="n">
        <v>0</v>
      </c>
      <c r="I814" t="n">
        <v>0</v>
      </c>
      <c r="J814" t="n">
        <v>0</v>
      </c>
      <c r="K814" t="n">
        <v>0</v>
      </c>
      <c r="L814" t="n">
        <v>0</v>
      </c>
      <c r="M814" t="n">
        <v>0</v>
      </c>
      <c r="N814" t="n">
        <v>0</v>
      </c>
      <c r="O814" t="n">
        <v>0</v>
      </c>
      <c r="P814" t="n">
        <v>0</v>
      </c>
      <c r="Q814" t="n">
        <v>0</v>
      </c>
      <c r="R814" s="2" t="inlineStr"/>
    </row>
    <row r="815" ht="15" customHeight="1">
      <c r="A815" t="inlineStr">
        <is>
          <t>A 61439-2025</t>
        </is>
      </c>
      <c r="B815" s="1" t="n">
        <v>46001.57010416667</v>
      </c>
      <c r="C815" s="1" t="n">
        <v>46059</v>
      </c>
      <c r="D815" t="inlineStr">
        <is>
          <t>VÄSTERNORRLANDS LÄN</t>
        </is>
      </c>
      <c r="E815" t="inlineStr">
        <is>
          <t>ÅNGE</t>
        </is>
      </c>
      <c r="G815" t="n">
        <v>6.7</v>
      </c>
      <c r="H815" t="n">
        <v>0</v>
      </c>
      <c r="I815" t="n">
        <v>0</v>
      </c>
      <c r="J815" t="n">
        <v>0</v>
      </c>
      <c r="K815" t="n">
        <v>0</v>
      </c>
      <c r="L815" t="n">
        <v>0</v>
      </c>
      <c r="M815" t="n">
        <v>0</v>
      </c>
      <c r="N815" t="n">
        <v>0</v>
      </c>
      <c r="O815" t="n">
        <v>0</v>
      </c>
      <c r="P815" t="n">
        <v>0</v>
      </c>
      <c r="Q815" t="n">
        <v>0</v>
      </c>
      <c r="R815" s="2" t="inlineStr"/>
    </row>
    <row r="816" ht="15" customHeight="1">
      <c r="A816" t="inlineStr">
        <is>
          <t>A 42953-2024</t>
        </is>
      </c>
      <c r="B816" s="1" t="n">
        <v>45567</v>
      </c>
      <c r="C816" s="1" t="n">
        <v>46059</v>
      </c>
      <c r="D816" t="inlineStr">
        <is>
          <t>VÄSTERNORRLANDS LÄN</t>
        </is>
      </c>
      <c r="E816" t="inlineStr">
        <is>
          <t>ÅNGE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42968-2024</t>
        </is>
      </c>
      <c r="B817" s="1" t="n">
        <v>45567</v>
      </c>
      <c r="C817" s="1" t="n">
        <v>46059</v>
      </c>
      <c r="D817" t="inlineStr">
        <is>
          <t>VÄSTERNORRLANDS LÄN</t>
        </is>
      </c>
      <c r="E817" t="inlineStr">
        <is>
          <t>ÅNGE</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46015-2024</t>
        </is>
      </c>
      <c r="B818" s="1" t="n">
        <v>45580.67760416667</v>
      </c>
      <c r="C818" s="1" t="n">
        <v>46059</v>
      </c>
      <c r="D818" t="inlineStr">
        <is>
          <t>VÄSTERNORRLANDS LÄN</t>
        </is>
      </c>
      <c r="E818" t="inlineStr">
        <is>
          <t>ÅNGE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4209-2026</t>
        </is>
      </c>
      <c r="B819" s="1" t="n">
        <v>46044.72609953704</v>
      </c>
      <c r="C819" s="1" t="n">
        <v>46059</v>
      </c>
      <c r="D819" t="inlineStr">
        <is>
          <t>VÄSTERNORRLANDS LÄN</t>
        </is>
      </c>
      <c r="E819" t="inlineStr">
        <is>
          <t>ÅNGE</t>
        </is>
      </c>
      <c r="G819" t="n">
        <v>5.2</v>
      </c>
      <c r="H819" t="n">
        <v>0</v>
      </c>
      <c r="I819" t="n">
        <v>0</v>
      </c>
      <c r="J819" t="n">
        <v>0</v>
      </c>
      <c r="K819" t="n">
        <v>0</v>
      </c>
      <c r="L819" t="n">
        <v>0</v>
      </c>
      <c r="M819" t="n">
        <v>0</v>
      </c>
      <c r="N819" t="n">
        <v>0</v>
      </c>
      <c r="O819" t="n">
        <v>0</v>
      </c>
      <c r="P819" t="n">
        <v>0</v>
      </c>
      <c r="Q819" t="n">
        <v>0</v>
      </c>
      <c r="R819" s="2" t="inlineStr"/>
    </row>
    <row r="820" ht="15" customHeight="1">
      <c r="A820" t="inlineStr">
        <is>
          <t>A 3800-2026</t>
        </is>
      </c>
      <c r="B820" s="1" t="n">
        <v>46043.58267361111</v>
      </c>
      <c r="C820" s="1" t="n">
        <v>46059</v>
      </c>
      <c r="D820" t="inlineStr">
        <is>
          <t>VÄSTERNORRLANDS LÄN</t>
        </is>
      </c>
      <c r="E820" t="inlineStr">
        <is>
          <t>ÅNGE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3872-2026</t>
        </is>
      </c>
      <c r="B821" s="1" t="n">
        <v>46043.64314814815</v>
      </c>
      <c r="C821" s="1" t="n">
        <v>46059</v>
      </c>
      <c r="D821" t="inlineStr">
        <is>
          <t>VÄSTERNORRLANDS LÄN</t>
        </is>
      </c>
      <c r="E821" t="inlineStr">
        <is>
          <t>ÅNGE</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61656-2025</t>
        </is>
      </c>
      <c r="B822" s="1" t="n">
        <v>46002.44873842593</v>
      </c>
      <c r="C822" s="1" t="n">
        <v>46059</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41302-2024</t>
        </is>
      </c>
      <c r="B823" s="1" t="n">
        <v>45559.62077546296</v>
      </c>
      <c r="C823" s="1" t="n">
        <v>46059</v>
      </c>
      <c r="D823" t="inlineStr">
        <is>
          <t>VÄSTERNORRLANDS LÄN</t>
        </is>
      </c>
      <c r="E823" t="inlineStr">
        <is>
          <t>ÅNGE</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61500-2025</t>
        </is>
      </c>
      <c r="B824" s="1" t="n">
        <v>46001.65667824074</v>
      </c>
      <c r="C824" s="1" t="n">
        <v>46059</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16576-2023</t>
        </is>
      </c>
      <c r="B825" s="1" t="n">
        <v>45029.94251157407</v>
      </c>
      <c r="C825" s="1" t="n">
        <v>46059</v>
      </c>
      <c r="D825" t="inlineStr">
        <is>
          <t>VÄSTERNORRLANDS LÄN</t>
        </is>
      </c>
      <c r="E825" t="inlineStr">
        <is>
          <t>ÅNGE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48679-2025</t>
        </is>
      </c>
      <c r="B826" s="1" t="n">
        <v>45936.59196759259</v>
      </c>
      <c r="C826" s="1" t="n">
        <v>46059</v>
      </c>
      <c r="D826" t="inlineStr">
        <is>
          <t>VÄSTERNORRLANDS LÄN</t>
        </is>
      </c>
      <c r="E826" t="inlineStr">
        <is>
          <t>ÅNGE</t>
        </is>
      </c>
      <c r="G826" t="n">
        <v>2.1</v>
      </c>
      <c r="H826" t="n">
        <v>0</v>
      </c>
      <c r="I826" t="n">
        <v>0</v>
      </c>
      <c r="J826" t="n">
        <v>0</v>
      </c>
      <c r="K826" t="n">
        <v>0</v>
      </c>
      <c r="L826" t="n">
        <v>0</v>
      </c>
      <c r="M826" t="n">
        <v>0</v>
      </c>
      <c r="N826" t="n">
        <v>0</v>
      </c>
      <c r="O826" t="n">
        <v>0</v>
      </c>
      <c r="P826" t="n">
        <v>0</v>
      </c>
      <c r="Q826" t="n">
        <v>0</v>
      </c>
      <c r="R826" s="2" t="inlineStr"/>
    </row>
    <row r="827" ht="15" customHeight="1">
      <c r="A827" t="inlineStr">
        <is>
          <t>A 3801-2026</t>
        </is>
      </c>
      <c r="B827" s="1" t="n">
        <v>46043.58273148148</v>
      </c>
      <c r="C827" s="1" t="n">
        <v>46059</v>
      </c>
      <c r="D827" t="inlineStr">
        <is>
          <t>VÄSTERNORRLANDS LÄN</t>
        </is>
      </c>
      <c r="E827" t="inlineStr">
        <is>
          <t>ÅNGE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42100-2023</t>
        </is>
      </c>
      <c r="B828" s="1" t="n">
        <v>45174</v>
      </c>
      <c r="C828" s="1" t="n">
        <v>46059</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51411-2023</t>
        </is>
      </c>
      <c r="B829" s="1" t="n">
        <v>45219</v>
      </c>
      <c r="C829" s="1" t="n">
        <v>46059</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46059</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18112-2025</t>
        </is>
      </c>
      <c r="B831" s="1" t="n">
        <v>45761.57350694444</v>
      </c>
      <c r="C831" s="1" t="n">
        <v>46059</v>
      </c>
      <c r="D831" t="inlineStr">
        <is>
          <t>VÄSTERNORRLANDS LÄN</t>
        </is>
      </c>
      <c r="E831" t="inlineStr">
        <is>
          <t>ÅNGE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62084-2025</t>
        </is>
      </c>
      <c r="B832" s="1" t="n">
        <v>46006.37449074074</v>
      </c>
      <c r="C832" s="1" t="n">
        <v>46059</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49377-2025</t>
        </is>
      </c>
      <c r="B833" s="1" t="n">
        <v>45938.63626157407</v>
      </c>
      <c r="C833" s="1" t="n">
        <v>46059</v>
      </c>
      <c r="D833" t="inlineStr">
        <is>
          <t>VÄSTERNORRLANDS LÄN</t>
        </is>
      </c>
      <c r="E833" t="inlineStr">
        <is>
          <t>ÅNGE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4262-2026</t>
        </is>
      </c>
      <c r="B834" s="1" t="n">
        <v>46045.34431712963</v>
      </c>
      <c r="C834" s="1" t="n">
        <v>46059</v>
      </c>
      <c r="D834" t="inlineStr">
        <is>
          <t>VÄSTERNORRLANDS LÄN</t>
        </is>
      </c>
      <c r="E834" t="inlineStr">
        <is>
          <t>ÅNGE</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49156-2025</t>
        </is>
      </c>
      <c r="B835" s="1" t="n">
        <v>45938.3458912037</v>
      </c>
      <c r="C835" s="1" t="n">
        <v>46059</v>
      </c>
      <c r="D835" t="inlineStr">
        <is>
          <t>VÄSTERNORRLANDS LÄN</t>
        </is>
      </c>
      <c r="E835" t="inlineStr">
        <is>
          <t>ÅNGE</t>
        </is>
      </c>
      <c r="G835" t="n">
        <v>2.3</v>
      </c>
      <c r="H835" t="n">
        <v>0</v>
      </c>
      <c r="I835" t="n">
        <v>0</v>
      </c>
      <c r="J835" t="n">
        <v>0</v>
      </c>
      <c r="K835" t="n">
        <v>0</v>
      </c>
      <c r="L835" t="n">
        <v>0</v>
      </c>
      <c r="M835" t="n">
        <v>0</v>
      </c>
      <c r="N835" t="n">
        <v>0</v>
      </c>
      <c r="O835" t="n">
        <v>0</v>
      </c>
      <c r="P835" t="n">
        <v>0</v>
      </c>
      <c r="Q835" t="n">
        <v>0</v>
      </c>
      <c r="R835" s="2" t="inlineStr"/>
    </row>
    <row r="836" ht="15" customHeight="1">
      <c r="A836" t="inlineStr">
        <is>
          <t>A 49179-2025</t>
        </is>
      </c>
      <c r="B836" s="1" t="n">
        <v>45938.38579861111</v>
      </c>
      <c r="C836" s="1" t="n">
        <v>46059</v>
      </c>
      <c r="D836" t="inlineStr">
        <is>
          <t>VÄSTERNORRLANDS LÄN</t>
        </is>
      </c>
      <c r="E836" t="inlineStr">
        <is>
          <t>ÅNGE</t>
        </is>
      </c>
      <c r="G836" t="n">
        <v>2.3</v>
      </c>
      <c r="H836" t="n">
        <v>0</v>
      </c>
      <c r="I836" t="n">
        <v>0</v>
      </c>
      <c r="J836" t="n">
        <v>0</v>
      </c>
      <c r="K836" t="n">
        <v>0</v>
      </c>
      <c r="L836" t="n">
        <v>0</v>
      </c>
      <c r="M836" t="n">
        <v>0</v>
      </c>
      <c r="N836" t="n">
        <v>0</v>
      </c>
      <c r="O836" t="n">
        <v>0</v>
      </c>
      <c r="P836" t="n">
        <v>0</v>
      </c>
      <c r="Q836" t="n">
        <v>0</v>
      </c>
      <c r="R836" s="2" t="inlineStr"/>
    </row>
    <row r="837" ht="15" customHeight="1">
      <c r="A837" t="inlineStr">
        <is>
          <t>A 37503-2023</t>
        </is>
      </c>
      <c r="B837" s="1" t="n">
        <v>45157.5796875</v>
      </c>
      <c r="C837" s="1" t="n">
        <v>46059</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49381-2025</t>
        </is>
      </c>
      <c r="B838" s="1" t="n">
        <v>45938.63694444444</v>
      </c>
      <c r="C838" s="1" t="n">
        <v>46059</v>
      </c>
      <c r="D838" t="inlineStr">
        <is>
          <t>VÄSTERNORRLANDS LÄN</t>
        </is>
      </c>
      <c r="E838" t="inlineStr">
        <is>
          <t>ÅNGE</t>
        </is>
      </c>
      <c r="F838" t="inlineStr">
        <is>
          <t>SCA</t>
        </is>
      </c>
      <c r="G838" t="n">
        <v>20.6</v>
      </c>
      <c r="H838" t="n">
        <v>0</v>
      </c>
      <c r="I838" t="n">
        <v>0</v>
      </c>
      <c r="J838" t="n">
        <v>0</v>
      </c>
      <c r="K838" t="n">
        <v>0</v>
      </c>
      <c r="L838" t="n">
        <v>0</v>
      </c>
      <c r="M838" t="n">
        <v>0</v>
      </c>
      <c r="N838" t="n">
        <v>0</v>
      </c>
      <c r="O838" t="n">
        <v>0</v>
      </c>
      <c r="P838" t="n">
        <v>0</v>
      </c>
      <c r="Q838" t="n">
        <v>0</v>
      </c>
      <c r="R838" s="2" t="inlineStr"/>
    </row>
    <row r="839" ht="15" customHeight="1">
      <c r="A839" t="inlineStr">
        <is>
          <t>A 4263-2026</t>
        </is>
      </c>
      <c r="B839" s="1" t="n">
        <v>46045.34451388889</v>
      </c>
      <c r="C839" s="1" t="n">
        <v>46059</v>
      </c>
      <c r="D839" t="inlineStr">
        <is>
          <t>VÄSTERNORRLANDS LÄN</t>
        </is>
      </c>
      <c r="E839" t="inlineStr">
        <is>
          <t>ÅNGE</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3323-2023</t>
        </is>
      </c>
      <c r="B840" s="1" t="n">
        <v>44945</v>
      </c>
      <c r="C840" s="1" t="n">
        <v>46059</v>
      </c>
      <c r="D840" t="inlineStr">
        <is>
          <t>VÄSTERNORRLANDS LÄN</t>
        </is>
      </c>
      <c r="E840" t="inlineStr">
        <is>
          <t>ÅNGE</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4328-2026</t>
        </is>
      </c>
      <c r="B841" s="1" t="n">
        <v>46045.46940972222</v>
      </c>
      <c r="C841" s="1" t="n">
        <v>46059</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4374-2026</t>
        </is>
      </c>
      <c r="B842" s="1" t="n">
        <v>46045.5528125</v>
      </c>
      <c r="C842" s="1" t="n">
        <v>46059</v>
      </c>
      <c r="D842" t="inlineStr">
        <is>
          <t>VÄSTERNORRLANDS LÄN</t>
        </is>
      </c>
      <c r="E842" t="inlineStr">
        <is>
          <t>ÅNGE</t>
        </is>
      </c>
      <c r="G842" t="n">
        <v>13.5</v>
      </c>
      <c r="H842" t="n">
        <v>0</v>
      </c>
      <c r="I842" t="n">
        <v>0</v>
      </c>
      <c r="J842" t="n">
        <v>0</v>
      </c>
      <c r="K842" t="n">
        <v>0</v>
      </c>
      <c r="L842" t="n">
        <v>0</v>
      </c>
      <c r="M842" t="n">
        <v>0</v>
      </c>
      <c r="N842" t="n">
        <v>0</v>
      </c>
      <c r="O842" t="n">
        <v>0</v>
      </c>
      <c r="P842" t="n">
        <v>0</v>
      </c>
      <c r="Q842" t="n">
        <v>0</v>
      </c>
      <c r="R842" s="2" t="inlineStr"/>
    </row>
    <row r="843" ht="15" customHeight="1">
      <c r="A843" t="inlineStr">
        <is>
          <t>A 62160-2025</t>
        </is>
      </c>
      <c r="B843" s="1" t="n">
        <v>46006.49094907408</v>
      </c>
      <c r="C843" s="1" t="n">
        <v>46059</v>
      </c>
      <c r="D843" t="inlineStr">
        <is>
          <t>VÄSTERNORRLANDS LÄN</t>
        </is>
      </c>
      <c r="E843" t="inlineStr">
        <is>
          <t>ÅNGE</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5367-2022</t>
        </is>
      </c>
      <c r="B844" s="1" t="n">
        <v>44594.92111111111</v>
      </c>
      <c r="C844" s="1" t="n">
        <v>46059</v>
      </c>
      <c r="D844" t="inlineStr">
        <is>
          <t>VÄSTERNORRLANDS LÄN</t>
        </is>
      </c>
      <c r="E844" t="inlineStr">
        <is>
          <t>ÅNGE</t>
        </is>
      </c>
      <c r="G844" t="n">
        <v>1.4</v>
      </c>
      <c r="H844" t="n">
        <v>0</v>
      </c>
      <c r="I844" t="n">
        <v>0</v>
      </c>
      <c r="J844" t="n">
        <v>0</v>
      </c>
      <c r="K844" t="n">
        <v>0</v>
      </c>
      <c r="L844" t="n">
        <v>0</v>
      </c>
      <c r="M844" t="n">
        <v>0</v>
      </c>
      <c r="N844" t="n">
        <v>0</v>
      </c>
      <c r="O844" t="n">
        <v>0</v>
      </c>
      <c r="P844" t="n">
        <v>0</v>
      </c>
      <c r="Q844" t="n">
        <v>0</v>
      </c>
      <c r="R844" s="2" t="inlineStr"/>
    </row>
    <row r="845" ht="15" customHeight="1">
      <c r="A845" t="inlineStr">
        <is>
          <t>A 4441-2026</t>
        </is>
      </c>
      <c r="B845" s="1" t="n">
        <v>46045.63600694444</v>
      </c>
      <c r="C845" s="1" t="n">
        <v>46059</v>
      </c>
      <c r="D845" t="inlineStr">
        <is>
          <t>VÄSTERNORRLANDS LÄN</t>
        </is>
      </c>
      <c r="E845" t="inlineStr">
        <is>
          <t>ÅNGE</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4442-2026</t>
        </is>
      </c>
      <c r="B846" s="1" t="n">
        <v>46045.63625</v>
      </c>
      <c r="C846" s="1" t="n">
        <v>46059</v>
      </c>
      <c r="D846" t="inlineStr">
        <is>
          <t>VÄSTERNORRLANDS LÄN</t>
        </is>
      </c>
      <c r="E846" t="inlineStr">
        <is>
          <t>ÅNGE</t>
        </is>
      </c>
      <c r="F846" t="inlineStr">
        <is>
          <t>SCA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4591-2026</t>
        </is>
      </c>
      <c r="B847" s="1" t="n">
        <v>46048.34443287037</v>
      </c>
      <c r="C847" s="1" t="n">
        <v>46059</v>
      </c>
      <c r="D847" t="inlineStr">
        <is>
          <t>VÄSTERNORRLANDS LÄN</t>
        </is>
      </c>
      <c r="E847" t="inlineStr">
        <is>
          <t>ÅNGE</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4593-2026</t>
        </is>
      </c>
      <c r="B848" s="1" t="n">
        <v>46048.3446412037</v>
      </c>
      <c r="C848" s="1" t="n">
        <v>46059</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54627-2025</t>
        </is>
      </c>
      <c r="B849" s="1" t="n">
        <v>45966.34565972222</v>
      </c>
      <c r="C849" s="1" t="n">
        <v>46059</v>
      </c>
      <c r="D849" t="inlineStr">
        <is>
          <t>VÄSTERNORRLANDS LÄN</t>
        </is>
      </c>
      <c r="E849" t="inlineStr">
        <is>
          <t>ÅNGE</t>
        </is>
      </c>
      <c r="F849" t="inlineStr">
        <is>
          <t>SCA</t>
        </is>
      </c>
      <c r="G849" t="n">
        <v>18.5</v>
      </c>
      <c r="H849" t="n">
        <v>0</v>
      </c>
      <c r="I849" t="n">
        <v>0</v>
      </c>
      <c r="J849" t="n">
        <v>0</v>
      </c>
      <c r="K849" t="n">
        <v>0</v>
      </c>
      <c r="L849" t="n">
        <v>0</v>
      </c>
      <c r="M849" t="n">
        <v>0</v>
      </c>
      <c r="N849" t="n">
        <v>0</v>
      </c>
      <c r="O849" t="n">
        <v>0</v>
      </c>
      <c r="P849" t="n">
        <v>0</v>
      </c>
      <c r="Q849" t="n">
        <v>0</v>
      </c>
      <c r="R849" s="2" t="inlineStr"/>
    </row>
    <row r="850" ht="15" customHeight="1">
      <c r="A850" t="inlineStr">
        <is>
          <t>A 72239-2021</t>
        </is>
      </c>
      <c r="B850" s="1" t="n">
        <v>44544.9203587963</v>
      </c>
      <c r="C850" s="1" t="n">
        <v>46059</v>
      </c>
      <c r="D850" t="inlineStr">
        <is>
          <t>VÄSTERNORRLANDS LÄN</t>
        </is>
      </c>
      <c r="E850" t="inlineStr">
        <is>
          <t>ÅNGE</t>
        </is>
      </c>
      <c r="G850" t="n">
        <v>1.2</v>
      </c>
      <c r="H850" t="n">
        <v>0</v>
      </c>
      <c r="I850" t="n">
        <v>0</v>
      </c>
      <c r="J850" t="n">
        <v>0</v>
      </c>
      <c r="K850" t="n">
        <v>0</v>
      </c>
      <c r="L850" t="n">
        <v>0</v>
      </c>
      <c r="M850" t="n">
        <v>0</v>
      </c>
      <c r="N850" t="n">
        <v>0</v>
      </c>
      <c r="O850" t="n">
        <v>0</v>
      </c>
      <c r="P850" t="n">
        <v>0</v>
      </c>
      <c r="Q850" t="n">
        <v>0</v>
      </c>
      <c r="R850" s="2" t="inlineStr"/>
    </row>
    <row r="851" ht="15" customHeight="1">
      <c r="A851" t="inlineStr">
        <is>
          <t>A 4592-2026</t>
        </is>
      </c>
      <c r="B851" s="1" t="n">
        <v>46048.34451388889</v>
      </c>
      <c r="C851" s="1" t="n">
        <v>46059</v>
      </c>
      <c r="D851" t="inlineStr">
        <is>
          <t>VÄSTERNORRLANDS LÄN</t>
        </is>
      </c>
      <c r="E851" t="inlineStr">
        <is>
          <t>ÅNGE</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55882-2022</t>
        </is>
      </c>
      <c r="B852" s="1" t="n">
        <v>44888</v>
      </c>
      <c r="C852" s="1" t="n">
        <v>46059</v>
      </c>
      <c r="D852" t="inlineStr">
        <is>
          <t>VÄSTERNORRLANDS LÄN</t>
        </is>
      </c>
      <c r="E852" t="inlineStr">
        <is>
          <t>ÅNGE</t>
        </is>
      </c>
      <c r="G852" t="n">
        <v>2.7</v>
      </c>
      <c r="H852" t="n">
        <v>0</v>
      </c>
      <c r="I852" t="n">
        <v>0</v>
      </c>
      <c r="J852" t="n">
        <v>0</v>
      </c>
      <c r="K852" t="n">
        <v>0</v>
      </c>
      <c r="L852" t="n">
        <v>0</v>
      </c>
      <c r="M852" t="n">
        <v>0</v>
      </c>
      <c r="N852" t="n">
        <v>0</v>
      </c>
      <c r="O852" t="n">
        <v>0</v>
      </c>
      <c r="P852" t="n">
        <v>0</v>
      </c>
      <c r="Q852" t="n">
        <v>0</v>
      </c>
      <c r="R852" s="2" t="inlineStr"/>
    </row>
    <row r="853" ht="15" customHeight="1">
      <c r="A853" t="inlineStr">
        <is>
          <t>A 62101-2025</t>
        </is>
      </c>
      <c r="B853" s="1" t="n">
        <v>46006.40664351852</v>
      </c>
      <c r="C853" s="1" t="n">
        <v>46059</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62257-2025</t>
        </is>
      </c>
      <c r="B854" s="1" t="n">
        <v>46006.61524305555</v>
      </c>
      <c r="C854" s="1" t="n">
        <v>46059</v>
      </c>
      <c r="D854" t="inlineStr">
        <is>
          <t>VÄSTERNORRLANDS LÄN</t>
        </is>
      </c>
      <c r="E854" t="inlineStr">
        <is>
          <t>ÅNGE</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46059</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49476-2025</t>
        </is>
      </c>
      <c r="B856" s="1" t="n">
        <v>45939.34506944445</v>
      </c>
      <c r="C856" s="1" t="n">
        <v>46059</v>
      </c>
      <c r="D856" t="inlineStr">
        <is>
          <t>VÄSTERNORRLANDS LÄN</t>
        </is>
      </c>
      <c r="E856" t="inlineStr">
        <is>
          <t>ÅNGE</t>
        </is>
      </c>
      <c r="F856" t="inlineStr">
        <is>
          <t>SCA</t>
        </is>
      </c>
      <c r="G856" t="n">
        <v>11.4</v>
      </c>
      <c r="H856" t="n">
        <v>0</v>
      </c>
      <c r="I856" t="n">
        <v>0</v>
      </c>
      <c r="J856" t="n">
        <v>0</v>
      </c>
      <c r="K856" t="n">
        <v>0</v>
      </c>
      <c r="L856" t="n">
        <v>0</v>
      </c>
      <c r="M856" t="n">
        <v>0</v>
      </c>
      <c r="N856" t="n">
        <v>0</v>
      </c>
      <c r="O856" t="n">
        <v>0</v>
      </c>
      <c r="P856" t="n">
        <v>0</v>
      </c>
      <c r="Q856" t="n">
        <v>0</v>
      </c>
      <c r="R856" s="2" t="inlineStr"/>
    </row>
    <row r="857" ht="15" customHeight="1">
      <c r="A857" t="inlineStr">
        <is>
          <t>A 34629-2025</t>
        </is>
      </c>
      <c r="B857" s="1" t="n">
        <v>45847.93006944445</v>
      </c>
      <c r="C857" s="1" t="n">
        <v>46059</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46249-2024</t>
        </is>
      </c>
      <c r="B858" s="1" t="n">
        <v>45581.59409722222</v>
      </c>
      <c r="C858" s="1" t="n">
        <v>46059</v>
      </c>
      <c r="D858" t="inlineStr">
        <is>
          <t>VÄSTERNORRLANDS LÄN</t>
        </is>
      </c>
      <c r="E858" t="inlineStr">
        <is>
          <t>ÅNGE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61857-2025</t>
        </is>
      </c>
      <c r="B859" s="1" t="n">
        <v>46003.3862962963</v>
      </c>
      <c r="C859" s="1" t="n">
        <v>46059</v>
      </c>
      <c r="D859" t="inlineStr">
        <is>
          <t>VÄSTERNORRLANDS LÄN</t>
        </is>
      </c>
      <c r="E859" t="inlineStr">
        <is>
          <t>ÅNGE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4376-2026</t>
        </is>
      </c>
      <c r="B860" s="1" t="n">
        <v>46045.55318287037</v>
      </c>
      <c r="C860" s="1" t="n">
        <v>46059</v>
      </c>
      <c r="D860" t="inlineStr">
        <is>
          <t>VÄSTERNORRLANDS LÄN</t>
        </is>
      </c>
      <c r="E860" t="inlineStr">
        <is>
          <t>ÅNGE</t>
        </is>
      </c>
      <c r="F860" t="inlineStr">
        <is>
          <t>SCA</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4327-2026</t>
        </is>
      </c>
      <c r="B861" s="1" t="n">
        <v>46045.46930555555</v>
      </c>
      <c r="C861" s="1" t="n">
        <v>46059</v>
      </c>
      <c r="D861" t="inlineStr">
        <is>
          <t>VÄSTERNORRLANDS LÄN</t>
        </is>
      </c>
      <c r="E861" t="inlineStr">
        <is>
          <t>ÅNGE</t>
        </is>
      </c>
      <c r="G861" t="n">
        <v>2.2</v>
      </c>
      <c r="H861" t="n">
        <v>0</v>
      </c>
      <c r="I861" t="n">
        <v>0</v>
      </c>
      <c r="J861" t="n">
        <v>0</v>
      </c>
      <c r="K861" t="n">
        <v>0</v>
      </c>
      <c r="L861" t="n">
        <v>0</v>
      </c>
      <c r="M861" t="n">
        <v>0</v>
      </c>
      <c r="N861" t="n">
        <v>0</v>
      </c>
      <c r="O861" t="n">
        <v>0</v>
      </c>
      <c r="P861" t="n">
        <v>0</v>
      </c>
      <c r="Q861" t="n">
        <v>0</v>
      </c>
      <c r="R861" s="2" t="inlineStr"/>
    </row>
    <row r="862" ht="15" customHeight="1">
      <c r="A862" t="inlineStr">
        <is>
          <t>A 49603-2025</t>
        </is>
      </c>
      <c r="B862" s="1" t="n">
        <v>45939.5484375</v>
      </c>
      <c r="C862" s="1" t="n">
        <v>46059</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49600-2025</t>
        </is>
      </c>
      <c r="B863" s="1" t="n">
        <v>45939.54434027777</v>
      </c>
      <c r="C863" s="1" t="n">
        <v>46059</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49566-2025</t>
        </is>
      </c>
      <c r="B864" s="1" t="n">
        <v>45939.46939814815</v>
      </c>
      <c r="C864" s="1" t="n">
        <v>46059</v>
      </c>
      <c r="D864" t="inlineStr">
        <is>
          <t>VÄSTERNORRLANDS LÄN</t>
        </is>
      </c>
      <c r="E864" t="inlineStr">
        <is>
          <t>ÅNGE</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4586-2026</t>
        </is>
      </c>
      <c r="B865" s="1" t="n">
        <v>46048.33769675926</v>
      </c>
      <c r="C865" s="1" t="n">
        <v>46059</v>
      </c>
      <c r="D865" t="inlineStr">
        <is>
          <t>VÄSTERNORRLANDS LÄN</t>
        </is>
      </c>
      <c r="E865" t="inlineStr">
        <is>
          <t>ÅNGE</t>
        </is>
      </c>
      <c r="G865" t="n">
        <v>5</v>
      </c>
      <c r="H865" t="n">
        <v>0</v>
      </c>
      <c r="I865" t="n">
        <v>0</v>
      </c>
      <c r="J865" t="n">
        <v>0</v>
      </c>
      <c r="K865" t="n">
        <v>0</v>
      </c>
      <c r="L865" t="n">
        <v>0</v>
      </c>
      <c r="M865" t="n">
        <v>0</v>
      </c>
      <c r="N865" t="n">
        <v>0</v>
      </c>
      <c r="O865" t="n">
        <v>0</v>
      </c>
      <c r="P865" t="n">
        <v>0</v>
      </c>
      <c r="Q865" t="n">
        <v>0</v>
      </c>
      <c r="R865" s="2" t="inlineStr"/>
    </row>
    <row r="866" ht="15" customHeight="1">
      <c r="A866" t="inlineStr">
        <is>
          <t>A 4612-2026</t>
        </is>
      </c>
      <c r="B866" s="1" t="n">
        <v>46048.36509259259</v>
      </c>
      <c r="C866" s="1" t="n">
        <v>46059</v>
      </c>
      <c r="D866" t="inlineStr">
        <is>
          <t>VÄSTERNORRLANDS LÄN</t>
        </is>
      </c>
      <c r="E866" t="inlineStr">
        <is>
          <t>ÅNGE</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62661-2025</t>
        </is>
      </c>
      <c r="B867" s="1" t="n">
        <v>46008.42761574074</v>
      </c>
      <c r="C867" s="1" t="n">
        <v>46059</v>
      </c>
      <c r="D867" t="inlineStr">
        <is>
          <t>VÄSTERNORRLANDS LÄN</t>
        </is>
      </c>
      <c r="E867" t="inlineStr">
        <is>
          <t>ÅNGE</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62793-2025</t>
        </is>
      </c>
      <c r="B868" s="1" t="n">
        <v>46008.63625</v>
      </c>
      <c r="C868" s="1" t="n">
        <v>46059</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50210-2025</t>
        </is>
      </c>
      <c r="B869" s="1" t="n">
        <v>45943.67379629629</v>
      </c>
      <c r="C869" s="1" t="n">
        <v>46059</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50001-2025</t>
        </is>
      </c>
      <c r="B870" s="1" t="n">
        <v>45943.34421296296</v>
      </c>
      <c r="C870" s="1" t="n">
        <v>46059</v>
      </c>
      <c r="D870" t="inlineStr">
        <is>
          <t>VÄSTERNORRLANDS LÄN</t>
        </is>
      </c>
      <c r="E870" t="inlineStr">
        <is>
          <t>ÅNGE</t>
        </is>
      </c>
      <c r="G870" t="n">
        <v>1.8</v>
      </c>
      <c r="H870" t="n">
        <v>0</v>
      </c>
      <c r="I870" t="n">
        <v>0</v>
      </c>
      <c r="J870" t="n">
        <v>0</v>
      </c>
      <c r="K870" t="n">
        <v>0</v>
      </c>
      <c r="L870" t="n">
        <v>0</v>
      </c>
      <c r="M870" t="n">
        <v>0</v>
      </c>
      <c r="N870" t="n">
        <v>0</v>
      </c>
      <c r="O870" t="n">
        <v>0</v>
      </c>
      <c r="P870" t="n">
        <v>0</v>
      </c>
      <c r="Q870" t="n">
        <v>0</v>
      </c>
      <c r="R870" s="2" t="inlineStr"/>
    </row>
    <row r="871" ht="15" customHeight="1">
      <c r="A871" t="inlineStr">
        <is>
          <t>A 38272-2024</t>
        </is>
      </c>
      <c r="B871" s="1" t="n">
        <v>45545.60392361111</v>
      </c>
      <c r="C871" s="1" t="n">
        <v>46059</v>
      </c>
      <c r="D871" t="inlineStr">
        <is>
          <t>VÄSTERNORRLANDS LÄN</t>
        </is>
      </c>
      <c r="E871" t="inlineStr">
        <is>
          <t>ÅNGE</t>
        </is>
      </c>
      <c r="G871" t="n">
        <v>1.7</v>
      </c>
      <c r="H871" t="n">
        <v>0</v>
      </c>
      <c r="I871" t="n">
        <v>0</v>
      </c>
      <c r="J871" t="n">
        <v>0</v>
      </c>
      <c r="K871" t="n">
        <v>0</v>
      </c>
      <c r="L871" t="n">
        <v>0</v>
      </c>
      <c r="M871" t="n">
        <v>0</v>
      </c>
      <c r="N871" t="n">
        <v>0</v>
      </c>
      <c r="O871" t="n">
        <v>0</v>
      </c>
      <c r="P871" t="n">
        <v>0</v>
      </c>
      <c r="Q871" t="n">
        <v>0</v>
      </c>
      <c r="R871" s="2" t="inlineStr"/>
    </row>
    <row r="872" ht="15" customHeight="1">
      <c r="A872" t="inlineStr">
        <is>
          <t>A 62763-2025</t>
        </is>
      </c>
      <c r="B872" s="1" t="n">
        <v>46008.59434027778</v>
      </c>
      <c r="C872" s="1" t="n">
        <v>46059</v>
      </c>
      <c r="D872" t="inlineStr">
        <is>
          <t>VÄSTERNORRLANDS LÄN</t>
        </is>
      </c>
      <c r="E872" t="inlineStr">
        <is>
          <t>ÅNGE</t>
        </is>
      </c>
      <c r="F872" t="inlineStr">
        <is>
          <t>SCA</t>
        </is>
      </c>
      <c r="G872" t="n">
        <v>7.6</v>
      </c>
      <c r="H872" t="n">
        <v>0</v>
      </c>
      <c r="I872" t="n">
        <v>0</v>
      </c>
      <c r="J872" t="n">
        <v>0</v>
      </c>
      <c r="K872" t="n">
        <v>0</v>
      </c>
      <c r="L872" t="n">
        <v>0</v>
      </c>
      <c r="M872" t="n">
        <v>0</v>
      </c>
      <c r="N872" t="n">
        <v>0</v>
      </c>
      <c r="O872" t="n">
        <v>0</v>
      </c>
      <c r="P872" t="n">
        <v>0</v>
      </c>
      <c r="Q872" t="n">
        <v>0</v>
      </c>
      <c r="R872" s="2" t="inlineStr"/>
    </row>
    <row r="873" ht="15" customHeight="1">
      <c r="A873" t="inlineStr">
        <is>
          <t>A 5478-2026</t>
        </is>
      </c>
      <c r="B873" s="1" t="n">
        <v>46050.60172453704</v>
      </c>
      <c r="C873" s="1" t="n">
        <v>46059</v>
      </c>
      <c r="D873" t="inlineStr">
        <is>
          <t>VÄSTERNORRLANDS LÄN</t>
        </is>
      </c>
      <c r="E873" t="inlineStr">
        <is>
          <t>ÅNGE</t>
        </is>
      </c>
      <c r="G873" t="n">
        <v>7.6</v>
      </c>
      <c r="H873" t="n">
        <v>0</v>
      </c>
      <c r="I873" t="n">
        <v>0</v>
      </c>
      <c r="J873" t="n">
        <v>0</v>
      </c>
      <c r="K873" t="n">
        <v>0</v>
      </c>
      <c r="L873" t="n">
        <v>0</v>
      </c>
      <c r="M873" t="n">
        <v>0</v>
      </c>
      <c r="N873" t="n">
        <v>0</v>
      </c>
      <c r="O873" t="n">
        <v>0</v>
      </c>
      <c r="P873" t="n">
        <v>0</v>
      </c>
      <c r="Q873" t="n">
        <v>0</v>
      </c>
      <c r="R873" s="2" t="inlineStr"/>
    </row>
    <row r="874" ht="15" customHeight="1">
      <c r="A874" t="inlineStr">
        <is>
          <t>A 5470-2026</t>
        </is>
      </c>
      <c r="B874" s="1" t="n">
        <v>46050.59548611111</v>
      </c>
      <c r="C874" s="1" t="n">
        <v>46059</v>
      </c>
      <c r="D874" t="inlineStr">
        <is>
          <t>VÄSTERNORRLANDS LÄN</t>
        </is>
      </c>
      <c r="E874" t="inlineStr">
        <is>
          <t>ÅNGE</t>
        </is>
      </c>
      <c r="G874" t="n">
        <v>4.1</v>
      </c>
      <c r="H874" t="n">
        <v>0</v>
      </c>
      <c r="I874" t="n">
        <v>0</v>
      </c>
      <c r="J874" t="n">
        <v>0</v>
      </c>
      <c r="K874" t="n">
        <v>0</v>
      </c>
      <c r="L874" t="n">
        <v>0</v>
      </c>
      <c r="M874" t="n">
        <v>0</v>
      </c>
      <c r="N874" t="n">
        <v>0</v>
      </c>
      <c r="O874" t="n">
        <v>0</v>
      </c>
      <c r="P874" t="n">
        <v>0</v>
      </c>
      <c r="Q874" t="n">
        <v>0</v>
      </c>
      <c r="R874" s="2" t="inlineStr"/>
    </row>
    <row r="875" ht="15" customHeight="1">
      <c r="A875" t="inlineStr">
        <is>
          <t>A 16593-2023</t>
        </is>
      </c>
      <c r="B875" s="1" t="n">
        <v>45030</v>
      </c>
      <c r="C875" s="1" t="n">
        <v>46059</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16600-2023</t>
        </is>
      </c>
      <c r="B876" s="1" t="n">
        <v>45030</v>
      </c>
      <c r="C876" s="1" t="n">
        <v>46059</v>
      </c>
      <c r="D876" t="inlineStr">
        <is>
          <t>VÄSTERNORRLANDS LÄN</t>
        </is>
      </c>
      <c r="E876" t="inlineStr">
        <is>
          <t>ÅNGE</t>
        </is>
      </c>
      <c r="G876" t="n">
        <v>0.1</v>
      </c>
      <c r="H876" t="n">
        <v>0</v>
      </c>
      <c r="I876" t="n">
        <v>0</v>
      </c>
      <c r="J876" t="n">
        <v>0</v>
      </c>
      <c r="K876" t="n">
        <v>0</v>
      </c>
      <c r="L876" t="n">
        <v>0</v>
      </c>
      <c r="M876" t="n">
        <v>0</v>
      </c>
      <c r="N876" t="n">
        <v>0</v>
      </c>
      <c r="O876" t="n">
        <v>0</v>
      </c>
      <c r="P876" t="n">
        <v>0</v>
      </c>
      <c r="Q876" t="n">
        <v>0</v>
      </c>
      <c r="R876" s="2" t="inlineStr"/>
    </row>
    <row r="877" ht="15" customHeight="1">
      <c r="A877" t="inlineStr">
        <is>
          <t>A 50009-2025</t>
        </is>
      </c>
      <c r="B877" s="1" t="n">
        <v>45943.34527777778</v>
      </c>
      <c r="C877" s="1" t="n">
        <v>46059</v>
      </c>
      <c r="D877" t="inlineStr">
        <is>
          <t>VÄSTERNORRLANDS LÄN</t>
        </is>
      </c>
      <c r="E877" t="inlineStr">
        <is>
          <t>ÅNGE</t>
        </is>
      </c>
      <c r="G877" t="n">
        <v>0.6</v>
      </c>
      <c r="H877" t="n">
        <v>0</v>
      </c>
      <c r="I877" t="n">
        <v>0</v>
      </c>
      <c r="J877" t="n">
        <v>0</v>
      </c>
      <c r="K877" t="n">
        <v>0</v>
      </c>
      <c r="L877" t="n">
        <v>0</v>
      </c>
      <c r="M877" t="n">
        <v>0</v>
      </c>
      <c r="N877" t="n">
        <v>0</v>
      </c>
      <c r="O877" t="n">
        <v>0</v>
      </c>
      <c r="P877" t="n">
        <v>0</v>
      </c>
      <c r="Q877" t="n">
        <v>0</v>
      </c>
      <c r="R877" s="2" t="inlineStr"/>
    </row>
    <row r="878" ht="15" customHeight="1">
      <c r="A878" t="inlineStr">
        <is>
          <t>A 50008-2025</t>
        </is>
      </c>
      <c r="B878" s="1" t="n">
        <v>45943.34515046296</v>
      </c>
      <c r="C878" s="1" t="n">
        <v>46059</v>
      </c>
      <c r="D878" t="inlineStr">
        <is>
          <t>VÄSTERNORRLANDS LÄN</t>
        </is>
      </c>
      <c r="E878" t="inlineStr">
        <is>
          <t>ÅNGE</t>
        </is>
      </c>
      <c r="G878" t="n">
        <v>13.9</v>
      </c>
      <c r="H878" t="n">
        <v>0</v>
      </c>
      <c r="I878" t="n">
        <v>0</v>
      </c>
      <c r="J878" t="n">
        <v>0</v>
      </c>
      <c r="K878" t="n">
        <v>0</v>
      </c>
      <c r="L878" t="n">
        <v>0</v>
      </c>
      <c r="M878" t="n">
        <v>0</v>
      </c>
      <c r="N878" t="n">
        <v>0</v>
      </c>
      <c r="O878" t="n">
        <v>0</v>
      </c>
      <c r="P878" t="n">
        <v>0</v>
      </c>
      <c r="Q878" t="n">
        <v>0</v>
      </c>
      <c r="R878" s="2" t="inlineStr"/>
    </row>
    <row r="879" ht="15" customHeight="1">
      <c r="A879" t="inlineStr">
        <is>
          <t>A 51377-2024</t>
        </is>
      </c>
      <c r="B879" s="1" t="n">
        <v>45604.38142361111</v>
      </c>
      <c r="C879" s="1" t="n">
        <v>46059</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42488-2024</t>
        </is>
      </c>
      <c r="B880" s="1" t="n">
        <v>45565.49420138889</v>
      </c>
      <c r="C880" s="1" t="n">
        <v>46059</v>
      </c>
      <c r="D880" t="inlineStr">
        <is>
          <t>VÄSTERNORRLANDS LÄN</t>
        </is>
      </c>
      <c r="E880" t="inlineStr">
        <is>
          <t>ÅNGE</t>
        </is>
      </c>
      <c r="F880" t="inlineStr">
        <is>
          <t>SCA</t>
        </is>
      </c>
      <c r="G880" t="n">
        <v>6</v>
      </c>
      <c r="H880" t="n">
        <v>0</v>
      </c>
      <c r="I880" t="n">
        <v>0</v>
      </c>
      <c r="J880" t="n">
        <v>0</v>
      </c>
      <c r="K880" t="n">
        <v>0</v>
      </c>
      <c r="L880" t="n">
        <v>0</v>
      </c>
      <c r="M880" t="n">
        <v>0</v>
      </c>
      <c r="N880" t="n">
        <v>0</v>
      </c>
      <c r="O880" t="n">
        <v>0</v>
      </c>
      <c r="P880" t="n">
        <v>0</v>
      </c>
      <c r="Q880" t="n">
        <v>0</v>
      </c>
      <c r="R880" s="2" t="inlineStr"/>
    </row>
    <row r="881" ht="15" customHeight="1">
      <c r="A881" t="inlineStr">
        <is>
          <t>A 35399-2024</t>
        </is>
      </c>
      <c r="B881" s="1" t="n">
        <v>45531.40438657408</v>
      </c>
      <c r="C881" s="1" t="n">
        <v>46059</v>
      </c>
      <c r="D881" t="inlineStr">
        <is>
          <t>VÄSTERNORRLANDS LÄN</t>
        </is>
      </c>
      <c r="E881" t="inlineStr">
        <is>
          <t>ÅNGE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50291-2025</t>
        </is>
      </c>
      <c r="B882" s="1" t="n">
        <v>45944.40677083333</v>
      </c>
      <c r="C882" s="1" t="n">
        <v>46059</v>
      </c>
      <c r="D882" t="inlineStr">
        <is>
          <t>VÄSTERNORRLANDS LÄN</t>
        </is>
      </c>
      <c r="E882" t="inlineStr">
        <is>
          <t>ÅNGE</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50767-2025</t>
        </is>
      </c>
      <c r="B883" s="1" t="n">
        <v>45946</v>
      </c>
      <c r="C883" s="1" t="n">
        <v>46059</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50769-2025</t>
        </is>
      </c>
      <c r="B884" s="1" t="n">
        <v>45946.44864583333</v>
      </c>
      <c r="C884" s="1" t="n">
        <v>46059</v>
      </c>
      <c r="D884" t="inlineStr">
        <is>
          <t>VÄSTERNORRLANDS LÄN</t>
        </is>
      </c>
      <c r="E884" t="inlineStr">
        <is>
          <t>ÅNGE</t>
        </is>
      </c>
      <c r="G884" t="n">
        <v>3.4</v>
      </c>
      <c r="H884" t="n">
        <v>0</v>
      </c>
      <c r="I884" t="n">
        <v>0</v>
      </c>
      <c r="J884" t="n">
        <v>0</v>
      </c>
      <c r="K884" t="n">
        <v>0</v>
      </c>
      <c r="L884" t="n">
        <v>0</v>
      </c>
      <c r="M884" t="n">
        <v>0</v>
      </c>
      <c r="N884" t="n">
        <v>0</v>
      </c>
      <c r="O884" t="n">
        <v>0</v>
      </c>
      <c r="P884" t="n">
        <v>0</v>
      </c>
      <c r="Q884" t="n">
        <v>0</v>
      </c>
      <c r="R884" s="2" t="inlineStr"/>
    </row>
    <row r="885" ht="15" customHeight="1">
      <c r="A885" t="inlineStr">
        <is>
          <t>A 5136-2026</t>
        </is>
      </c>
      <c r="B885" s="1" t="n">
        <v>46049.59420138889</v>
      </c>
      <c r="C885" s="1" t="n">
        <v>46059</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39682-2024</t>
        </is>
      </c>
      <c r="B886" s="1" t="n">
        <v>45552</v>
      </c>
      <c r="C886" s="1" t="n">
        <v>46059</v>
      </c>
      <c r="D886" t="inlineStr">
        <is>
          <t>VÄSTERNORRLANDS LÄN</t>
        </is>
      </c>
      <c r="E886" t="inlineStr">
        <is>
          <t>ÅNGE</t>
        </is>
      </c>
      <c r="G886" t="n">
        <v>35.4</v>
      </c>
      <c r="H886" t="n">
        <v>0</v>
      </c>
      <c r="I886" t="n">
        <v>0</v>
      </c>
      <c r="J886" t="n">
        <v>0</v>
      </c>
      <c r="K886" t="n">
        <v>0</v>
      </c>
      <c r="L886" t="n">
        <v>0</v>
      </c>
      <c r="M886" t="n">
        <v>0</v>
      </c>
      <c r="N886" t="n">
        <v>0</v>
      </c>
      <c r="O886" t="n">
        <v>0</v>
      </c>
      <c r="P886" t="n">
        <v>0</v>
      </c>
      <c r="Q886" t="n">
        <v>0</v>
      </c>
      <c r="R886" s="2" t="inlineStr"/>
    </row>
    <row r="887" ht="15" customHeight="1">
      <c r="A887" t="inlineStr">
        <is>
          <t>A 17668-2023</t>
        </is>
      </c>
      <c r="B887" s="1" t="n">
        <v>45036</v>
      </c>
      <c r="C887" s="1" t="n">
        <v>46059</v>
      </c>
      <c r="D887" t="inlineStr">
        <is>
          <t>VÄSTERNORRLANDS LÄN</t>
        </is>
      </c>
      <c r="E887" t="inlineStr">
        <is>
          <t>ÅNGE</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50460-2025</t>
        </is>
      </c>
      <c r="B888" s="1" t="n">
        <v>45945.345</v>
      </c>
      <c r="C888" s="1" t="n">
        <v>46059</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8406-2023</t>
        </is>
      </c>
      <c r="B889" s="1" t="n">
        <v>44971</v>
      </c>
      <c r="C889" s="1" t="n">
        <v>46059</v>
      </c>
      <c r="D889" t="inlineStr">
        <is>
          <t>VÄSTERNORRLANDS LÄN</t>
        </is>
      </c>
      <c r="E889" t="inlineStr">
        <is>
          <t>ÅNGE</t>
        </is>
      </c>
      <c r="G889" t="n">
        <v>1.2</v>
      </c>
      <c r="H889" t="n">
        <v>0</v>
      </c>
      <c r="I889" t="n">
        <v>0</v>
      </c>
      <c r="J889" t="n">
        <v>0</v>
      </c>
      <c r="K889" t="n">
        <v>0</v>
      </c>
      <c r="L889" t="n">
        <v>0</v>
      </c>
      <c r="M889" t="n">
        <v>0</v>
      </c>
      <c r="N889" t="n">
        <v>0</v>
      </c>
      <c r="O889" t="n">
        <v>0</v>
      </c>
      <c r="P889" t="n">
        <v>0</v>
      </c>
      <c r="Q889" t="n">
        <v>0</v>
      </c>
      <c r="R889" s="2" t="inlineStr"/>
    </row>
    <row r="890" ht="15" customHeight="1">
      <c r="A890" t="inlineStr">
        <is>
          <t>A 4651-2022</t>
        </is>
      </c>
      <c r="B890" s="1" t="n">
        <v>44592</v>
      </c>
      <c r="C890" s="1" t="n">
        <v>46059</v>
      </c>
      <c r="D890" t="inlineStr">
        <is>
          <t>VÄSTERNORRLANDS LÄN</t>
        </is>
      </c>
      <c r="E890" t="inlineStr">
        <is>
          <t>ÅNGE</t>
        </is>
      </c>
      <c r="G890" t="n">
        <v>1.7</v>
      </c>
      <c r="H890" t="n">
        <v>0</v>
      </c>
      <c r="I890" t="n">
        <v>0</v>
      </c>
      <c r="J890" t="n">
        <v>0</v>
      </c>
      <c r="K890" t="n">
        <v>0</v>
      </c>
      <c r="L890" t="n">
        <v>0</v>
      </c>
      <c r="M890" t="n">
        <v>0</v>
      </c>
      <c r="N890" t="n">
        <v>0</v>
      </c>
      <c r="O890" t="n">
        <v>0</v>
      </c>
      <c r="P890" t="n">
        <v>0</v>
      </c>
      <c r="Q890" t="n">
        <v>0</v>
      </c>
      <c r="R890" s="2" t="inlineStr"/>
    </row>
    <row r="891" ht="15" customHeight="1">
      <c r="A891" t="inlineStr">
        <is>
          <t>A 5391-2026</t>
        </is>
      </c>
      <c r="B891" s="1" t="n">
        <v>46050.47145833333</v>
      </c>
      <c r="C891" s="1" t="n">
        <v>46059</v>
      </c>
      <c r="D891" t="inlineStr">
        <is>
          <t>VÄSTERNORRLANDS LÄN</t>
        </is>
      </c>
      <c r="E891" t="inlineStr">
        <is>
          <t>ÅNGE</t>
        </is>
      </c>
      <c r="G891" t="n">
        <v>1.9</v>
      </c>
      <c r="H891" t="n">
        <v>0</v>
      </c>
      <c r="I891" t="n">
        <v>0</v>
      </c>
      <c r="J891" t="n">
        <v>0</v>
      </c>
      <c r="K891" t="n">
        <v>0</v>
      </c>
      <c r="L891" t="n">
        <v>0</v>
      </c>
      <c r="M891" t="n">
        <v>0</v>
      </c>
      <c r="N891" t="n">
        <v>0</v>
      </c>
      <c r="O891" t="n">
        <v>0</v>
      </c>
      <c r="P891" t="n">
        <v>0</v>
      </c>
      <c r="Q891" t="n">
        <v>0</v>
      </c>
      <c r="R891" s="2" t="inlineStr"/>
    </row>
    <row r="892" ht="15" customHeight="1">
      <c r="A892" t="inlineStr">
        <is>
          <t>A 45933-2023</t>
        </is>
      </c>
      <c r="B892" s="1" t="n">
        <v>45195</v>
      </c>
      <c r="C892" s="1" t="n">
        <v>46059</v>
      </c>
      <c r="D892" t="inlineStr">
        <is>
          <t>VÄSTERNORRLANDS LÄN</t>
        </is>
      </c>
      <c r="E892" t="inlineStr">
        <is>
          <t>ÅNGE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57601-2022</t>
        </is>
      </c>
      <c r="B893" s="1" t="n">
        <v>44896</v>
      </c>
      <c r="C893" s="1" t="n">
        <v>46059</v>
      </c>
      <c r="D893" t="inlineStr">
        <is>
          <t>VÄSTERNORRLANDS LÄN</t>
        </is>
      </c>
      <c r="E893" t="inlineStr">
        <is>
          <t>ÅNGE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50571-2025</t>
        </is>
      </c>
      <c r="B894" s="1" t="n">
        <v>45945.57443287037</v>
      </c>
      <c r="C894" s="1" t="n">
        <v>46059</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5223-2026</t>
        </is>
      </c>
      <c r="B895" s="1" t="n">
        <v>46049.79012731482</v>
      </c>
      <c r="C895" s="1" t="n">
        <v>46059</v>
      </c>
      <c r="D895" t="inlineStr">
        <is>
          <t>VÄSTERNORRLANDS LÄN</t>
        </is>
      </c>
      <c r="E895" t="inlineStr">
        <is>
          <t>ÅNGE</t>
        </is>
      </c>
      <c r="G895" t="n">
        <v>1.9</v>
      </c>
      <c r="H895" t="n">
        <v>0</v>
      </c>
      <c r="I895" t="n">
        <v>0</v>
      </c>
      <c r="J895" t="n">
        <v>0</v>
      </c>
      <c r="K895" t="n">
        <v>0</v>
      </c>
      <c r="L895" t="n">
        <v>0</v>
      </c>
      <c r="M895" t="n">
        <v>0</v>
      </c>
      <c r="N895" t="n">
        <v>0</v>
      </c>
      <c r="O895" t="n">
        <v>0</v>
      </c>
      <c r="P895" t="n">
        <v>0</v>
      </c>
      <c r="Q895" t="n">
        <v>0</v>
      </c>
      <c r="R895" s="2" t="inlineStr"/>
    </row>
    <row r="896" ht="15" customHeight="1">
      <c r="A896" t="inlineStr">
        <is>
          <t>A 34649-2024</t>
        </is>
      </c>
      <c r="B896" s="1" t="n">
        <v>45526.48325231481</v>
      </c>
      <c r="C896" s="1" t="n">
        <v>46059</v>
      </c>
      <c r="D896" t="inlineStr">
        <is>
          <t>VÄSTERNORRLANDS LÄN</t>
        </is>
      </c>
      <c r="E896" t="inlineStr">
        <is>
          <t>ÅNGE</t>
        </is>
      </c>
      <c r="G896" t="n">
        <v>1.2</v>
      </c>
      <c r="H896" t="n">
        <v>0</v>
      </c>
      <c r="I896" t="n">
        <v>0</v>
      </c>
      <c r="J896" t="n">
        <v>0</v>
      </c>
      <c r="K896" t="n">
        <v>0</v>
      </c>
      <c r="L896" t="n">
        <v>0</v>
      </c>
      <c r="M896" t="n">
        <v>0</v>
      </c>
      <c r="N896" t="n">
        <v>0</v>
      </c>
      <c r="O896" t="n">
        <v>0</v>
      </c>
      <c r="P896" t="n">
        <v>0</v>
      </c>
      <c r="Q896" t="n">
        <v>0</v>
      </c>
      <c r="R896" s="2" t="inlineStr"/>
    </row>
    <row r="897" ht="15" customHeight="1">
      <c r="A897" t="inlineStr">
        <is>
          <t>A 51382-2025</t>
        </is>
      </c>
      <c r="B897" s="1" t="n">
        <v>45950.46019675926</v>
      </c>
      <c r="C897" s="1" t="n">
        <v>46059</v>
      </c>
      <c r="D897" t="inlineStr">
        <is>
          <t>VÄSTERNORRLANDS LÄN</t>
        </is>
      </c>
      <c r="E897" t="inlineStr">
        <is>
          <t>ÅNGE</t>
        </is>
      </c>
      <c r="G897" t="n">
        <v>3</v>
      </c>
      <c r="H897" t="n">
        <v>0</v>
      </c>
      <c r="I897" t="n">
        <v>0</v>
      </c>
      <c r="J897" t="n">
        <v>0</v>
      </c>
      <c r="K897" t="n">
        <v>0</v>
      </c>
      <c r="L897" t="n">
        <v>0</v>
      </c>
      <c r="M897" t="n">
        <v>0</v>
      </c>
      <c r="N897" t="n">
        <v>0</v>
      </c>
      <c r="O897" t="n">
        <v>0</v>
      </c>
      <c r="P897" t="n">
        <v>0</v>
      </c>
      <c r="Q897" t="n">
        <v>0</v>
      </c>
      <c r="R897" s="2" t="inlineStr"/>
    </row>
    <row r="898" ht="15" customHeight="1">
      <c r="A898" t="inlineStr">
        <is>
          <t>A 5135-2026</t>
        </is>
      </c>
      <c r="B898" s="1" t="n">
        <v>46049.59417824074</v>
      </c>
      <c r="C898" s="1" t="n">
        <v>46059</v>
      </c>
      <c r="D898" t="inlineStr">
        <is>
          <t>VÄSTERNORRLANDS LÄN</t>
        </is>
      </c>
      <c r="E898" t="inlineStr">
        <is>
          <t>ÅNGE</t>
        </is>
      </c>
      <c r="G898" t="n">
        <v>0.2</v>
      </c>
      <c r="H898" t="n">
        <v>0</v>
      </c>
      <c r="I898" t="n">
        <v>0</v>
      </c>
      <c r="J898" t="n">
        <v>0</v>
      </c>
      <c r="K898" t="n">
        <v>0</v>
      </c>
      <c r="L898" t="n">
        <v>0</v>
      </c>
      <c r="M898" t="n">
        <v>0</v>
      </c>
      <c r="N898" t="n">
        <v>0</v>
      </c>
      <c r="O898" t="n">
        <v>0</v>
      </c>
      <c r="P898" t="n">
        <v>0</v>
      </c>
      <c r="Q898" t="n">
        <v>0</v>
      </c>
      <c r="R898" s="2" t="inlineStr"/>
    </row>
    <row r="899" ht="15" customHeight="1">
      <c r="A899" t="inlineStr">
        <is>
          <t>A 51109-2025</t>
        </is>
      </c>
      <c r="B899" s="1" t="n">
        <v>45947.50263888889</v>
      </c>
      <c r="C899" s="1" t="n">
        <v>46059</v>
      </c>
      <c r="D899" t="inlineStr">
        <is>
          <t>VÄSTERNORRLANDS LÄN</t>
        </is>
      </c>
      <c r="E899" t="inlineStr">
        <is>
          <t>ÅNGE</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5388-2026</t>
        </is>
      </c>
      <c r="B900" s="1" t="n">
        <v>46050.46769675926</v>
      </c>
      <c r="C900" s="1" t="n">
        <v>46059</v>
      </c>
      <c r="D900" t="inlineStr">
        <is>
          <t>VÄSTERNORRLANDS LÄN</t>
        </is>
      </c>
      <c r="E900" t="inlineStr">
        <is>
          <t>ÅNGE</t>
        </is>
      </c>
      <c r="G900" t="n">
        <v>1.2</v>
      </c>
      <c r="H900" t="n">
        <v>0</v>
      </c>
      <c r="I900" t="n">
        <v>0</v>
      </c>
      <c r="J900" t="n">
        <v>0</v>
      </c>
      <c r="K900" t="n">
        <v>0</v>
      </c>
      <c r="L900" t="n">
        <v>0</v>
      </c>
      <c r="M900" t="n">
        <v>0</v>
      </c>
      <c r="N900" t="n">
        <v>0</v>
      </c>
      <c r="O900" t="n">
        <v>0</v>
      </c>
      <c r="P900" t="n">
        <v>0</v>
      </c>
      <c r="Q900" t="n">
        <v>0</v>
      </c>
      <c r="R900" s="2" t="inlineStr"/>
    </row>
    <row r="901" ht="15" customHeight="1">
      <c r="A901" t="inlineStr">
        <is>
          <t>A 60860-2022</t>
        </is>
      </c>
      <c r="B901" s="1" t="n">
        <v>44914</v>
      </c>
      <c r="C901" s="1" t="n">
        <v>46059</v>
      </c>
      <c r="D901" t="inlineStr">
        <is>
          <t>VÄSTERNORRLANDS LÄN</t>
        </is>
      </c>
      <c r="E901" t="inlineStr">
        <is>
          <t>ÅNGE</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63092-2025</t>
        </is>
      </c>
      <c r="B902" s="1" t="n">
        <v>46009.67795138889</v>
      </c>
      <c r="C902" s="1" t="n">
        <v>46059</v>
      </c>
      <c r="D902" t="inlineStr">
        <is>
          <t>VÄSTERNORRLANDS LÄN</t>
        </is>
      </c>
      <c r="E902" t="inlineStr">
        <is>
          <t>ÅNGE</t>
        </is>
      </c>
      <c r="G902" t="n">
        <v>2.6</v>
      </c>
      <c r="H902" t="n">
        <v>0</v>
      </c>
      <c r="I902" t="n">
        <v>0</v>
      </c>
      <c r="J902" t="n">
        <v>0</v>
      </c>
      <c r="K902" t="n">
        <v>0</v>
      </c>
      <c r="L902" t="n">
        <v>0</v>
      </c>
      <c r="M902" t="n">
        <v>0</v>
      </c>
      <c r="N902" t="n">
        <v>0</v>
      </c>
      <c r="O902" t="n">
        <v>0</v>
      </c>
      <c r="P902" t="n">
        <v>0</v>
      </c>
      <c r="Q902" t="n">
        <v>0</v>
      </c>
      <c r="R902" s="2" t="inlineStr"/>
    </row>
    <row r="903" ht="15" customHeight="1">
      <c r="A903" t="inlineStr">
        <is>
          <t>A 51389-2025</t>
        </is>
      </c>
      <c r="B903" s="1" t="n">
        <v>45950.46767361111</v>
      </c>
      <c r="C903" s="1" t="n">
        <v>46059</v>
      </c>
      <c r="D903" t="inlineStr">
        <is>
          <t>VÄSTERNORRLANDS LÄN</t>
        </is>
      </c>
      <c r="E903" t="inlineStr">
        <is>
          <t>ÅNGE</t>
        </is>
      </c>
      <c r="G903" t="n">
        <v>1.2</v>
      </c>
      <c r="H903" t="n">
        <v>0</v>
      </c>
      <c r="I903" t="n">
        <v>0</v>
      </c>
      <c r="J903" t="n">
        <v>0</v>
      </c>
      <c r="K903" t="n">
        <v>0</v>
      </c>
      <c r="L903" t="n">
        <v>0</v>
      </c>
      <c r="M903" t="n">
        <v>0</v>
      </c>
      <c r="N903" t="n">
        <v>0</v>
      </c>
      <c r="O903" t="n">
        <v>0</v>
      </c>
      <c r="P903" t="n">
        <v>0</v>
      </c>
      <c r="Q903" t="n">
        <v>0</v>
      </c>
      <c r="R903" s="2" t="inlineStr"/>
    </row>
    <row r="904" ht="15" customHeight="1">
      <c r="A904" t="inlineStr">
        <is>
          <t>A 51416-2025</t>
        </is>
      </c>
      <c r="B904" s="1" t="n">
        <v>45950.51097222222</v>
      </c>
      <c r="C904" s="1" t="n">
        <v>46059</v>
      </c>
      <c r="D904" t="inlineStr">
        <is>
          <t>VÄSTERNORRLANDS LÄN</t>
        </is>
      </c>
      <c r="E904" t="inlineStr">
        <is>
          <t>ÅNGE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34679-2024</t>
        </is>
      </c>
      <c r="B905" s="1" t="n">
        <v>45526</v>
      </c>
      <c r="C905" s="1" t="n">
        <v>46059</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58445-2022</t>
        </is>
      </c>
      <c r="B906" s="1" t="n">
        <v>44901.95453703704</v>
      </c>
      <c r="C906" s="1" t="n">
        <v>46059</v>
      </c>
      <c r="D906" t="inlineStr">
        <is>
          <t>VÄSTERNORRLANDS LÄN</t>
        </is>
      </c>
      <c r="E906" t="inlineStr">
        <is>
          <t>ÅNGE</t>
        </is>
      </c>
      <c r="F906" t="inlineStr">
        <is>
          <t>SCA</t>
        </is>
      </c>
      <c r="G906" t="n">
        <v>3.6</v>
      </c>
      <c r="H906" t="n">
        <v>0</v>
      </c>
      <c r="I906" t="n">
        <v>0</v>
      </c>
      <c r="J906" t="n">
        <v>0</v>
      </c>
      <c r="K906" t="n">
        <v>0</v>
      </c>
      <c r="L906" t="n">
        <v>0</v>
      </c>
      <c r="M906" t="n">
        <v>0</v>
      </c>
      <c r="N906" t="n">
        <v>0</v>
      </c>
      <c r="O906" t="n">
        <v>0</v>
      </c>
      <c r="P906" t="n">
        <v>0</v>
      </c>
      <c r="Q906" t="n">
        <v>0</v>
      </c>
      <c r="R906" s="2" t="inlineStr"/>
    </row>
    <row r="907" ht="15" customHeight="1">
      <c r="A907" t="inlineStr">
        <is>
          <t>A 5673-2026</t>
        </is>
      </c>
      <c r="B907" s="1" t="n">
        <v>46051.4699537037</v>
      </c>
      <c r="C907" s="1" t="n">
        <v>46059</v>
      </c>
      <c r="D907" t="inlineStr">
        <is>
          <t>VÄSTERNORRLANDS LÄN</t>
        </is>
      </c>
      <c r="E907" t="inlineStr">
        <is>
          <t>ÅNGE</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51370-2025</t>
        </is>
      </c>
      <c r="B908" s="1" t="n">
        <v>45950.44818287037</v>
      </c>
      <c r="C908" s="1" t="n">
        <v>46059</v>
      </c>
      <c r="D908" t="inlineStr">
        <is>
          <t>VÄSTERNORRLANDS LÄN</t>
        </is>
      </c>
      <c r="E908" t="inlineStr">
        <is>
          <t>ÅNGE</t>
        </is>
      </c>
      <c r="G908" t="n">
        <v>0.9</v>
      </c>
      <c r="H908" t="n">
        <v>0</v>
      </c>
      <c r="I908" t="n">
        <v>0</v>
      </c>
      <c r="J908" t="n">
        <v>0</v>
      </c>
      <c r="K908" t="n">
        <v>0</v>
      </c>
      <c r="L908" t="n">
        <v>0</v>
      </c>
      <c r="M908" t="n">
        <v>0</v>
      </c>
      <c r="N908" t="n">
        <v>0</v>
      </c>
      <c r="O908" t="n">
        <v>0</v>
      </c>
      <c r="P908" t="n">
        <v>0</v>
      </c>
      <c r="Q908" t="n">
        <v>0</v>
      </c>
      <c r="R908" s="2" t="inlineStr"/>
    </row>
    <row r="909" ht="15" customHeight="1">
      <c r="A909" t="inlineStr">
        <is>
          <t>A 5670-2026</t>
        </is>
      </c>
      <c r="B909" s="1" t="n">
        <v>46051.46958333333</v>
      </c>
      <c r="C909" s="1" t="n">
        <v>46059</v>
      </c>
      <c r="D909" t="inlineStr">
        <is>
          <t>VÄSTERNORRLANDS LÄN</t>
        </is>
      </c>
      <c r="E909" t="inlineStr">
        <is>
          <t>ÅNGE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5672-2026</t>
        </is>
      </c>
      <c r="B910" s="1" t="n">
        <v>46051.46989583333</v>
      </c>
      <c r="C910" s="1" t="n">
        <v>46059</v>
      </c>
      <c r="D910" t="inlineStr">
        <is>
          <t>VÄSTERNORRLANDS LÄN</t>
        </is>
      </c>
      <c r="E910" t="inlineStr">
        <is>
          <t>ÅNGE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1826-2026</t>
        </is>
      </c>
      <c r="B911" s="1" t="n">
        <v>46035</v>
      </c>
      <c r="C911" s="1" t="n">
        <v>46059</v>
      </c>
      <c r="D911" t="inlineStr">
        <is>
          <t>VÄSTERNORRLANDS LÄN</t>
        </is>
      </c>
      <c r="E911" t="inlineStr">
        <is>
          <t>ÅNGE</t>
        </is>
      </c>
      <c r="G911" t="n">
        <v>3.1</v>
      </c>
      <c r="H911" t="n">
        <v>0</v>
      </c>
      <c r="I911" t="n">
        <v>0</v>
      </c>
      <c r="J911" t="n">
        <v>0</v>
      </c>
      <c r="K911" t="n">
        <v>0</v>
      </c>
      <c r="L911" t="n">
        <v>0</v>
      </c>
      <c r="M911" t="n">
        <v>0</v>
      </c>
      <c r="N911" t="n">
        <v>0</v>
      </c>
      <c r="O911" t="n">
        <v>0</v>
      </c>
      <c r="P911" t="n">
        <v>0</v>
      </c>
      <c r="Q911" t="n">
        <v>0</v>
      </c>
      <c r="R911" s="2" t="inlineStr"/>
    </row>
    <row r="912" ht="15" customHeight="1">
      <c r="A912" t="inlineStr">
        <is>
          <t>A 23058-2024</t>
        </is>
      </c>
      <c r="B912" s="1" t="n">
        <v>45450.44020833333</v>
      </c>
      <c r="C912" s="1" t="n">
        <v>46059</v>
      </c>
      <c r="D912" t="inlineStr">
        <is>
          <t>VÄSTERNORRLANDS LÄN</t>
        </is>
      </c>
      <c r="E912" t="inlineStr">
        <is>
          <t>ÅNGE</t>
        </is>
      </c>
      <c r="G912" t="n">
        <v>3.9</v>
      </c>
      <c r="H912" t="n">
        <v>0</v>
      </c>
      <c r="I912" t="n">
        <v>0</v>
      </c>
      <c r="J912" t="n">
        <v>0</v>
      </c>
      <c r="K912" t="n">
        <v>0</v>
      </c>
      <c r="L912" t="n">
        <v>0</v>
      </c>
      <c r="M912" t="n">
        <v>0</v>
      </c>
      <c r="N912" t="n">
        <v>0</v>
      </c>
      <c r="O912" t="n">
        <v>0</v>
      </c>
      <c r="P912" t="n">
        <v>0</v>
      </c>
      <c r="Q912" t="n">
        <v>0</v>
      </c>
      <c r="R912" s="2" t="inlineStr"/>
    </row>
    <row r="913" ht="15" customHeight="1">
      <c r="A913" t="inlineStr">
        <is>
          <t>A 63173-2025</t>
        </is>
      </c>
      <c r="B913" s="1" t="n">
        <v>46010.40679398148</v>
      </c>
      <c r="C913" s="1" t="n">
        <v>46059</v>
      </c>
      <c r="D913" t="inlineStr">
        <is>
          <t>VÄSTERNORRLANDS LÄN</t>
        </is>
      </c>
      <c r="E913" t="inlineStr">
        <is>
          <t>ÅNGE</t>
        </is>
      </c>
      <c r="G913" t="n">
        <v>1.5</v>
      </c>
      <c r="H913" t="n">
        <v>0</v>
      </c>
      <c r="I913" t="n">
        <v>0</v>
      </c>
      <c r="J913" t="n">
        <v>0</v>
      </c>
      <c r="K913" t="n">
        <v>0</v>
      </c>
      <c r="L913" t="n">
        <v>0</v>
      </c>
      <c r="M913" t="n">
        <v>0</v>
      </c>
      <c r="N913" t="n">
        <v>0</v>
      </c>
      <c r="O913" t="n">
        <v>0</v>
      </c>
      <c r="P913" t="n">
        <v>0</v>
      </c>
      <c r="Q913" t="n">
        <v>0</v>
      </c>
      <c r="R913" s="2" t="inlineStr"/>
    </row>
    <row r="914" ht="15" customHeight="1">
      <c r="A914" t="inlineStr">
        <is>
          <t>A 5671-2026</t>
        </is>
      </c>
      <c r="B914" s="1" t="n">
        <v>46051.46965277778</v>
      </c>
      <c r="C914" s="1" t="n">
        <v>46059</v>
      </c>
      <c r="D914" t="inlineStr">
        <is>
          <t>VÄSTERNORRLANDS LÄN</t>
        </is>
      </c>
      <c r="E914" t="inlineStr">
        <is>
          <t>ÅNGE</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64946-2023</t>
        </is>
      </c>
      <c r="B915" s="1" t="n">
        <v>45282.94678240741</v>
      </c>
      <c r="C915" s="1" t="n">
        <v>46059</v>
      </c>
      <c r="D915" t="inlineStr">
        <is>
          <t>VÄSTERNORRLANDS LÄN</t>
        </is>
      </c>
      <c r="E915" t="inlineStr">
        <is>
          <t>ÅNGE</t>
        </is>
      </c>
      <c r="F915" t="inlineStr">
        <is>
          <t>SCA</t>
        </is>
      </c>
      <c r="G915" t="n">
        <v>6.4</v>
      </c>
      <c r="H915" t="n">
        <v>0</v>
      </c>
      <c r="I915" t="n">
        <v>0</v>
      </c>
      <c r="J915" t="n">
        <v>0</v>
      </c>
      <c r="K915" t="n">
        <v>0</v>
      </c>
      <c r="L915" t="n">
        <v>0</v>
      </c>
      <c r="M915" t="n">
        <v>0</v>
      </c>
      <c r="N915" t="n">
        <v>0</v>
      </c>
      <c r="O915" t="n">
        <v>0</v>
      </c>
      <c r="P915" t="n">
        <v>0</v>
      </c>
      <c r="Q915" t="n">
        <v>0</v>
      </c>
      <c r="R915" s="2" t="inlineStr"/>
    </row>
    <row r="916" ht="15" customHeight="1">
      <c r="A916" t="inlineStr">
        <is>
          <t>A 52121-2025</t>
        </is>
      </c>
      <c r="B916" s="1" t="n">
        <v>45952.71921296296</v>
      </c>
      <c r="C916" s="1" t="n">
        <v>46059</v>
      </c>
      <c r="D916" t="inlineStr">
        <is>
          <t>VÄSTERNORRLANDS LÄN</t>
        </is>
      </c>
      <c r="E916" t="inlineStr">
        <is>
          <t>ÅNGE</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5882-2026</t>
        </is>
      </c>
      <c r="B917" s="1" t="n">
        <v>46052.39703703704</v>
      </c>
      <c r="C917" s="1" t="n">
        <v>46059</v>
      </c>
      <c r="D917" t="inlineStr">
        <is>
          <t>VÄSTERNORRLANDS LÄN</t>
        </is>
      </c>
      <c r="E917" t="inlineStr">
        <is>
          <t>ÅNGE</t>
        </is>
      </c>
      <c r="G917" t="n">
        <v>1.6</v>
      </c>
      <c r="H917" t="n">
        <v>0</v>
      </c>
      <c r="I917" t="n">
        <v>0</v>
      </c>
      <c r="J917" t="n">
        <v>0</v>
      </c>
      <c r="K917" t="n">
        <v>0</v>
      </c>
      <c r="L917" t="n">
        <v>0</v>
      </c>
      <c r="M917" t="n">
        <v>0</v>
      </c>
      <c r="N917" t="n">
        <v>0</v>
      </c>
      <c r="O917" t="n">
        <v>0</v>
      </c>
      <c r="P917" t="n">
        <v>0</v>
      </c>
      <c r="Q917" t="n">
        <v>0</v>
      </c>
      <c r="R917" s="2" t="inlineStr"/>
    </row>
    <row r="918" ht="15" customHeight="1">
      <c r="A918" t="inlineStr">
        <is>
          <t>A 3811-2026</t>
        </is>
      </c>
      <c r="B918" s="1" t="n">
        <v>46043</v>
      </c>
      <c r="C918" s="1" t="n">
        <v>46059</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51857-2025</t>
        </is>
      </c>
      <c r="B919" s="1" t="n">
        <v>45952.36506944444</v>
      </c>
      <c r="C919" s="1" t="n">
        <v>46059</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4095-2023</t>
        </is>
      </c>
      <c r="B920" s="1" t="n">
        <v>44952</v>
      </c>
      <c r="C920" s="1" t="n">
        <v>46059</v>
      </c>
      <c r="D920" t="inlineStr">
        <is>
          <t>VÄSTERNORRLANDS LÄN</t>
        </is>
      </c>
      <c r="E920" t="inlineStr">
        <is>
          <t>ÅNGE</t>
        </is>
      </c>
      <c r="G920" t="n">
        <v>13.4</v>
      </c>
      <c r="H920" t="n">
        <v>0</v>
      </c>
      <c r="I920" t="n">
        <v>0</v>
      </c>
      <c r="J920" t="n">
        <v>0</v>
      </c>
      <c r="K920" t="n">
        <v>0</v>
      </c>
      <c r="L920" t="n">
        <v>0</v>
      </c>
      <c r="M920" t="n">
        <v>0</v>
      </c>
      <c r="N920" t="n">
        <v>0</v>
      </c>
      <c r="O920" t="n">
        <v>0</v>
      </c>
      <c r="P920" t="n">
        <v>0</v>
      </c>
      <c r="Q920" t="n">
        <v>0</v>
      </c>
      <c r="R920" s="2" t="inlineStr"/>
    </row>
    <row r="921" ht="15" customHeight="1">
      <c r="A921" t="inlineStr">
        <is>
          <t>A 57286-2022</t>
        </is>
      </c>
      <c r="B921" s="1" t="n">
        <v>44895.94991898148</v>
      </c>
      <c r="C921" s="1" t="n">
        <v>46059</v>
      </c>
      <c r="D921" t="inlineStr">
        <is>
          <t>VÄSTERNORRLANDS LÄN</t>
        </is>
      </c>
      <c r="E921" t="inlineStr">
        <is>
          <t>ÅNGE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52060-2025</t>
        </is>
      </c>
      <c r="B922" s="1" t="n">
        <v>45952.63641203703</v>
      </c>
      <c r="C922" s="1" t="n">
        <v>46059</v>
      </c>
      <c r="D922" t="inlineStr">
        <is>
          <t>VÄSTERNORRLANDS LÄN</t>
        </is>
      </c>
      <c r="E922" t="inlineStr">
        <is>
          <t>ÅNGE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51813-2025</t>
        </is>
      </c>
      <c r="B923" s="1" t="n">
        <v>45951.83082175926</v>
      </c>
      <c r="C923" s="1" t="n">
        <v>46059</v>
      </c>
      <c r="D923" t="inlineStr">
        <is>
          <t>VÄSTERNORRLANDS LÄN</t>
        </is>
      </c>
      <c r="E923" t="inlineStr">
        <is>
          <t>ÅNGE</t>
        </is>
      </c>
      <c r="G923" t="n">
        <v>2.5</v>
      </c>
      <c r="H923" t="n">
        <v>0</v>
      </c>
      <c r="I923" t="n">
        <v>0</v>
      </c>
      <c r="J923" t="n">
        <v>0</v>
      </c>
      <c r="K923" t="n">
        <v>0</v>
      </c>
      <c r="L923" t="n">
        <v>0</v>
      </c>
      <c r="M923" t="n">
        <v>0</v>
      </c>
      <c r="N923" t="n">
        <v>0</v>
      </c>
      <c r="O923" t="n">
        <v>0</v>
      </c>
      <c r="P923" t="n">
        <v>0</v>
      </c>
      <c r="Q923" t="n">
        <v>0</v>
      </c>
      <c r="R923" s="2" t="inlineStr"/>
    </row>
    <row r="924" ht="15" customHeight="1">
      <c r="A924" t="inlineStr">
        <is>
          <t>A 52392-2025</t>
        </is>
      </c>
      <c r="B924" s="1" t="n">
        <v>45954.34424768519</v>
      </c>
      <c r="C924" s="1" t="n">
        <v>46059</v>
      </c>
      <c r="D924" t="inlineStr">
        <is>
          <t>VÄSTERNORRLANDS LÄN</t>
        </is>
      </c>
      <c r="E924" t="inlineStr">
        <is>
          <t>ÅNGE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52335-2025</t>
        </is>
      </c>
      <c r="B925" s="1" t="n">
        <v>45953.68591435185</v>
      </c>
      <c r="C925" s="1" t="n">
        <v>46059</v>
      </c>
      <c r="D925" t="inlineStr">
        <is>
          <t>VÄSTERNORRLANDS LÄN</t>
        </is>
      </c>
      <c r="E925" t="inlineStr">
        <is>
          <t>ÅNGE</t>
        </is>
      </c>
      <c r="G925" t="n">
        <v>0.6</v>
      </c>
      <c r="H925" t="n">
        <v>0</v>
      </c>
      <c r="I925" t="n">
        <v>0</v>
      </c>
      <c r="J925" t="n">
        <v>0</v>
      </c>
      <c r="K925" t="n">
        <v>0</v>
      </c>
      <c r="L925" t="n">
        <v>0</v>
      </c>
      <c r="M925" t="n">
        <v>0</v>
      </c>
      <c r="N925" t="n">
        <v>0</v>
      </c>
      <c r="O925" t="n">
        <v>0</v>
      </c>
      <c r="P925" t="n">
        <v>0</v>
      </c>
      <c r="Q925" t="n">
        <v>0</v>
      </c>
      <c r="R925" s="2" t="inlineStr"/>
    </row>
    <row r="926" ht="15" customHeight="1">
      <c r="A926" t="inlineStr">
        <is>
          <t>A 60950-2025</t>
        </is>
      </c>
      <c r="B926" s="1" t="n">
        <v>45999</v>
      </c>
      <c r="C926" s="1" t="n">
        <v>46059</v>
      </c>
      <c r="D926" t="inlineStr">
        <is>
          <t>VÄSTERNORRLANDS LÄN</t>
        </is>
      </c>
      <c r="E926" t="inlineStr">
        <is>
          <t>ÅNGE</t>
        </is>
      </c>
      <c r="G926" t="n">
        <v>3.7</v>
      </c>
      <c r="H926" t="n">
        <v>0</v>
      </c>
      <c r="I926" t="n">
        <v>0</v>
      </c>
      <c r="J926" t="n">
        <v>0</v>
      </c>
      <c r="K926" t="n">
        <v>0</v>
      </c>
      <c r="L926" t="n">
        <v>0</v>
      </c>
      <c r="M926" t="n">
        <v>0</v>
      </c>
      <c r="N926" t="n">
        <v>0</v>
      </c>
      <c r="O926" t="n">
        <v>0</v>
      </c>
      <c r="P926" t="n">
        <v>0</v>
      </c>
      <c r="Q926" t="n">
        <v>0</v>
      </c>
      <c r="R926" s="2" t="inlineStr"/>
    </row>
    <row r="927" ht="15" customHeight="1">
      <c r="A927" t="inlineStr">
        <is>
          <t>A 16572-2023</t>
        </is>
      </c>
      <c r="B927" s="1" t="n">
        <v>45029.94224537037</v>
      </c>
      <c r="C927" s="1" t="n">
        <v>46059</v>
      </c>
      <c r="D927" t="inlineStr">
        <is>
          <t>VÄSTERNORRLANDS LÄN</t>
        </is>
      </c>
      <c r="E927" t="inlineStr">
        <is>
          <t>ÅNGE</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46681-2023</t>
        </is>
      </c>
      <c r="B928" s="1" t="n">
        <v>45198</v>
      </c>
      <c r="C928" s="1" t="n">
        <v>46059</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41586-2024</t>
        </is>
      </c>
      <c r="B929" s="1" t="n">
        <v>45560.56089120371</v>
      </c>
      <c r="C929" s="1" t="n">
        <v>46059</v>
      </c>
      <c r="D929" t="inlineStr">
        <is>
          <t>VÄSTERNORRLANDS LÄN</t>
        </is>
      </c>
      <c r="E929" t="inlineStr">
        <is>
          <t>ÅNGE</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62336-2025</t>
        </is>
      </c>
      <c r="B930" s="1" t="n">
        <v>46006</v>
      </c>
      <c r="C930" s="1" t="n">
        <v>46059</v>
      </c>
      <c r="D930" t="inlineStr">
        <is>
          <t>VÄSTERNORRLANDS LÄN</t>
        </is>
      </c>
      <c r="E930" t="inlineStr">
        <is>
          <t>ÅNGE</t>
        </is>
      </c>
      <c r="G930" t="n">
        <v>13.4</v>
      </c>
      <c r="H930" t="n">
        <v>0</v>
      </c>
      <c r="I930" t="n">
        <v>0</v>
      </c>
      <c r="J930" t="n">
        <v>0</v>
      </c>
      <c r="K930" t="n">
        <v>0</v>
      </c>
      <c r="L930" t="n">
        <v>0</v>
      </c>
      <c r="M930" t="n">
        <v>0</v>
      </c>
      <c r="N930" t="n">
        <v>0</v>
      </c>
      <c r="O930" t="n">
        <v>0</v>
      </c>
      <c r="P930" t="n">
        <v>0</v>
      </c>
      <c r="Q930" t="n">
        <v>0</v>
      </c>
      <c r="R930" s="2" t="inlineStr"/>
    </row>
    <row r="931" ht="15" customHeight="1">
      <c r="A931" t="inlineStr">
        <is>
          <t>A 48946-2024</t>
        </is>
      </c>
      <c r="B931" s="1" t="n">
        <v>45594.42736111111</v>
      </c>
      <c r="C931" s="1" t="n">
        <v>46059</v>
      </c>
      <c r="D931" t="inlineStr">
        <is>
          <t>VÄSTERNORRLANDS LÄN</t>
        </is>
      </c>
      <c r="E931" t="inlineStr">
        <is>
          <t>ÅNGE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52283-2025</t>
        </is>
      </c>
      <c r="B932" s="1" t="n">
        <v>45953.57346064815</v>
      </c>
      <c r="C932" s="1" t="n">
        <v>46059</v>
      </c>
      <c r="D932" t="inlineStr">
        <is>
          <t>VÄSTERNORRLANDS LÄN</t>
        </is>
      </c>
      <c r="E932" t="inlineStr">
        <is>
          <t>ÅNGE</t>
        </is>
      </c>
      <c r="G932" t="n">
        <v>8.9</v>
      </c>
      <c r="H932" t="n">
        <v>0</v>
      </c>
      <c r="I932" t="n">
        <v>0</v>
      </c>
      <c r="J932" t="n">
        <v>0</v>
      </c>
      <c r="K932" t="n">
        <v>0</v>
      </c>
      <c r="L932" t="n">
        <v>0</v>
      </c>
      <c r="M932" t="n">
        <v>0</v>
      </c>
      <c r="N932" t="n">
        <v>0</v>
      </c>
      <c r="O932" t="n">
        <v>0</v>
      </c>
      <c r="P932" t="n">
        <v>0</v>
      </c>
      <c r="Q932" t="n">
        <v>0</v>
      </c>
      <c r="R932" s="2" t="inlineStr"/>
    </row>
    <row r="933" ht="15" customHeight="1">
      <c r="A933" t="inlineStr">
        <is>
          <t>A 52411-2025</t>
        </is>
      </c>
      <c r="B933" s="1" t="n">
        <v>45954.36518518518</v>
      </c>
      <c r="C933" s="1" t="n">
        <v>46059</v>
      </c>
      <c r="D933" t="inlineStr">
        <is>
          <t>VÄSTERNORRLANDS LÄN</t>
        </is>
      </c>
      <c r="E933" t="inlineStr">
        <is>
          <t>ÅNGE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22988-2024</t>
        </is>
      </c>
      <c r="B934" s="1" t="n">
        <v>45449.94530092592</v>
      </c>
      <c r="C934" s="1" t="n">
        <v>46059</v>
      </c>
      <c r="D934" t="inlineStr">
        <is>
          <t>VÄSTERNORRLANDS LÄN</t>
        </is>
      </c>
      <c r="E934" t="inlineStr">
        <is>
          <t>ÅNGE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52306-2025</t>
        </is>
      </c>
      <c r="B935" s="1" t="n">
        <v>45953.63600694444</v>
      </c>
      <c r="C935" s="1" t="n">
        <v>46059</v>
      </c>
      <c r="D935" t="inlineStr">
        <is>
          <t>VÄSTERNORRLANDS LÄN</t>
        </is>
      </c>
      <c r="E935" t="inlineStr">
        <is>
          <t>ÅNGE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3023-2023</t>
        </is>
      </c>
      <c r="B936" s="1" t="n">
        <v>44945</v>
      </c>
      <c r="C936" s="1" t="n">
        <v>46059</v>
      </c>
      <c r="D936" t="inlineStr">
        <is>
          <t>VÄSTERNORRLANDS LÄN</t>
        </is>
      </c>
      <c r="E936" t="inlineStr">
        <is>
          <t>ÅNGE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3025-2023</t>
        </is>
      </c>
      <c r="B937" s="1" t="n">
        <v>44945</v>
      </c>
      <c r="C937" s="1" t="n">
        <v>46059</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5637-2026</t>
        </is>
      </c>
      <c r="B938" s="1" t="n">
        <v>46051</v>
      </c>
      <c r="C938" s="1" t="n">
        <v>46059</v>
      </c>
      <c r="D938" t="inlineStr">
        <is>
          <t>VÄSTERNORRLANDS LÄN</t>
        </is>
      </c>
      <c r="E938" t="inlineStr">
        <is>
          <t>ÅNGE</t>
        </is>
      </c>
      <c r="G938" t="n">
        <v>6.4</v>
      </c>
      <c r="H938" t="n">
        <v>0</v>
      </c>
      <c r="I938" t="n">
        <v>0</v>
      </c>
      <c r="J938" t="n">
        <v>0</v>
      </c>
      <c r="K938" t="n">
        <v>0</v>
      </c>
      <c r="L938" t="n">
        <v>0</v>
      </c>
      <c r="M938" t="n">
        <v>0</v>
      </c>
      <c r="N938" t="n">
        <v>0</v>
      </c>
      <c r="O938" t="n">
        <v>0</v>
      </c>
      <c r="P938" t="n">
        <v>0</v>
      </c>
      <c r="Q938" t="n">
        <v>0</v>
      </c>
      <c r="R938" s="2" t="inlineStr"/>
    </row>
    <row r="939" ht="15" customHeight="1">
      <c r="A939" t="inlineStr">
        <is>
          <t>A 38002-2024</t>
        </is>
      </c>
      <c r="B939" s="1" t="n">
        <v>45544.61484953704</v>
      </c>
      <c r="C939" s="1" t="n">
        <v>46059</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31568-2024</t>
        </is>
      </c>
      <c r="B940" s="1" t="n">
        <v>45505.96721064814</v>
      </c>
      <c r="C940" s="1" t="n">
        <v>46059</v>
      </c>
      <c r="D940" t="inlineStr">
        <is>
          <t>VÄSTERNORRLANDS LÄN</t>
        </is>
      </c>
      <c r="E940" t="inlineStr">
        <is>
          <t>ÅNGE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52642-2025</t>
        </is>
      </c>
      <c r="B941" s="1" t="n">
        <v>45955.34576388889</v>
      </c>
      <c r="C941" s="1" t="n">
        <v>46059</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63686-2025</t>
        </is>
      </c>
      <c r="B942" s="1" t="n">
        <v>46014.53172453704</v>
      </c>
      <c r="C942" s="1" t="n">
        <v>46059</v>
      </c>
      <c r="D942" t="inlineStr">
        <is>
          <t>VÄSTERNORRLANDS LÄN</t>
        </is>
      </c>
      <c r="E942" t="inlineStr">
        <is>
          <t>ÅNGE</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44565-2024</t>
        </is>
      </c>
      <c r="B943" s="1" t="n">
        <v>45574.47518518518</v>
      </c>
      <c r="C943" s="1" t="n">
        <v>46059</v>
      </c>
      <c r="D943" t="inlineStr">
        <is>
          <t>VÄSTERNORRLANDS LÄN</t>
        </is>
      </c>
      <c r="E943" t="inlineStr">
        <is>
          <t>ÅNGE</t>
        </is>
      </c>
      <c r="G943" t="n">
        <v>1.8</v>
      </c>
      <c r="H943" t="n">
        <v>0</v>
      </c>
      <c r="I943" t="n">
        <v>0</v>
      </c>
      <c r="J943" t="n">
        <v>0</v>
      </c>
      <c r="K943" t="n">
        <v>0</v>
      </c>
      <c r="L943" t="n">
        <v>0</v>
      </c>
      <c r="M943" t="n">
        <v>0</v>
      </c>
      <c r="N943" t="n">
        <v>0</v>
      </c>
      <c r="O943" t="n">
        <v>0</v>
      </c>
      <c r="P943" t="n">
        <v>0</v>
      </c>
      <c r="Q943" t="n">
        <v>0</v>
      </c>
      <c r="R943" s="2" t="inlineStr"/>
    </row>
    <row r="944" ht="15" customHeight="1">
      <c r="A944" t="inlineStr">
        <is>
          <t>A 19997-2023</t>
        </is>
      </c>
      <c r="B944" s="1" t="n">
        <v>45054</v>
      </c>
      <c r="C944" s="1" t="n">
        <v>46059</v>
      </c>
      <c r="D944" t="inlineStr">
        <is>
          <t>VÄSTERNORRLANDS LÄN</t>
        </is>
      </c>
      <c r="E944" t="inlineStr">
        <is>
          <t>ÅNGE</t>
        </is>
      </c>
      <c r="G944" t="n">
        <v>0.3</v>
      </c>
      <c r="H944" t="n">
        <v>0</v>
      </c>
      <c r="I944" t="n">
        <v>0</v>
      </c>
      <c r="J944" t="n">
        <v>0</v>
      </c>
      <c r="K944" t="n">
        <v>0</v>
      </c>
      <c r="L944" t="n">
        <v>0</v>
      </c>
      <c r="M944" t="n">
        <v>0</v>
      </c>
      <c r="N944" t="n">
        <v>0</v>
      </c>
      <c r="O944" t="n">
        <v>0</v>
      </c>
      <c r="P944" t="n">
        <v>0</v>
      </c>
      <c r="Q944" t="n">
        <v>0</v>
      </c>
      <c r="R944" s="2" t="inlineStr"/>
    </row>
    <row r="945" ht="15" customHeight="1">
      <c r="A945" t="inlineStr">
        <is>
          <t>A 52858-2025</t>
        </is>
      </c>
      <c r="B945" s="1" t="n">
        <v>45957.50284722223</v>
      </c>
      <c r="C945" s="1" t="n">
        <v>46059</v>
      </c>
      <c r="D945" t="inlineStr">
        <is>
          <t>VÄSTERNORRLANDS LÄN</t>
        </is>
      </c>
      <c r="E945" t="inlineStr">
        <is>
          <t>ÅNGE</t>
        </is>
      </c>
      <c r="G945" t="n">
        <v>1.7</v>
      </c>
      <c r="H945" t="n">
        <v>0</v>
      </c>
      <c r="I945" t="n">
        <v>0</v>
      </c>
      <c r="J945" t="n">
        <v>0</v>
      </c>
      <c r="K945" t="n">
        <v>0</v>
      </c>
      <c r="L945" t="n">
        <v>0</v>
      </c>
      <c r="M945" t="n">
        <v>0</v>
      </c>
      <c r="N945" t="n">
        <v>0</v>
      </c>
      <c r="O945" t="n">
        <v>0</v>
      </c>
      <c r="P945" t="n">
        <v>0</v>
      </c>
      <c r="Q945" t="n">
        <v>0</v>
      </c>
      <c r="R945" s="2" t="inlineStr"/>
    </row>
    <row r="946" ht="15" customHeight="1">
      <c r="A946" t="inlineStr">
        <is>
          <t>A 34959-2023</t>
        </is>
      </c>
      <c r="B946" s="1" t="n">
        <v>45142</v>
      </c>
      <c r="C946" s="1" t="n">
        <v>46059</v>
      </c>
      <c r="D946" t="inlineStr">
        <is>
          <t>VÄSTERNORRLANDS LÄN</t>
        </is>
      </c>
      <c r="E946" t="inlineStr">
        <is>
          <t>ÅNGE</t>
        </is>
      </c>
      <c r="F946" t="inlineStr">
        <is>
          <t>Sveaskog</t>
        </is>
      </c>
      <c r="G946" t="n">
        <v>6.6</v>
      </c>
      <c r="H946" t="n">
        <v>0</v>
      </c>
      <c r="I946" t="n">
        <v>0</v>
      </c>
      <c r="J946" t="n">
        <v>0</v>
      </c>
      <c r="K946" t="n">
        <v>0</v>
      </c>
      <c r="L946" t="n">
        <v>0</v>
      </c>
      <c r="M946" t="n">
        <v>0</v>
      </c>
      <c r="N946" t="n">
        <v>0</v>
      </c>
      <c r="O946" t="n">
        <v>0</v>
      </c>
      <c r="P946" t="n">
        <v>0</v>
      </c>
      <c r="Q946" t="n">
        <v>0</v>
      </c>
      <c r="R946" s="2" t="inlineStr"/>
    </row>
    <row r="947" ht="15" customHeight="1">
      <c r="A947" t="inlineStr">
        <is>
          <t>A 16365-2023</t>
        </is>
      </c>
      <c r="B947" s="1" t="n">
        <v>45028</v>
      </c>
      <c r="C947" s="1" t="n">
        <v>46059</v>
      </c>
      <c r="D947" t="inlineStr">
        <is>
          <t>VÄSTERNORRLANDS LÄN</t>
        </is>
      </c>
      <c r="E947" t="inlineStr">
        <is>
          <t>ÅNGE</t>
        </is>
      </c>
      <c r="G947" t="n">
        <v>1.5</v>
      </c>
      <c r="H947" t="n">
        <v>0</v>
      </c>
      <c r="I947" t="n">
        <v>0</v>
      </c>
      <c r="J947" t="n">
        <v>0</v>
      </c>
      <c r="K947" t="n">
        <v>0</v>
      </c>
      <c r="L947" t="n">
        <v>0</v>
      </c>
      <c r="M947" t="n">
        <v>0</v>
      </c>
      <c r="N947" t="n">
        <v>0</v>
      </c>
      <c r="O947" t="n">
        <v>0</v>
      </c>
      <c r="P947" t="n">
        <v>0</v>
      </c>
      <c r="Q947" t="n">
        <v>0</v>
      </c>
      <c r="R947" s="2" t="inlineStr"/>
    </row>
    <row r="948" ht="15" customHeight="1">
      <c r="A948" t="inlineStr">
        <is>
          <t>A 53012-2025</t>
        </is>
      </c>
      <c r="B948" s="1" t="n">
        <v>45957.80320601852</v>
      </c>
      <c r="C948" s="1" t="n">
        <v>46059</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54346-2023</t>
        </is>
      </c>
      <c r="B949" s="1" t="n">
        <v>45232.96087962963</v>
      </c>
      <c r="C949" s="1" t="n">
        <v>46059</v>
      </c>
      <c r="D949" t="inlineStr">
        <is>
          <t>VÄSTERNORRLANDS LÄN</t>
        </is>
      </c>
      <c r="E949" t="inlineStr">
        <is>
          <t>ÅNGE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6692-2026</t>
        </is>
      </c>
      <c r="B950" s="1" t="n">
        <v>46056.63623842593</v>
      </c>
      <c r="C950" s="1" t="n">
        <v>46059</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63652-2025</t>
        </is>
      </c>
      <c r="B951" s="1" t="n">
        <v>46014.43987268519</v>
      </c>
      <c r="C951" s="1" t="n">
        <v>46059</v>
      </c>
      <c r="D951" t="inlineStr">
        <is>
          <t>VÄSTERNORRLANDS LÄN</t>
        </is>
      </c>
      <c r="E951" t="inlineStr">
        <is>
          <t>ÅNGE</t>
        </is>
      </c>
      <c r="G951" t="n">
        <v>4.3</v>
      </c>
      <c r="H951" t="n">
        <v>0</v>
      </c>
      <c r="I951" t="n">
        <v>0</v>
      </c>
      <c r="J951" t="n">
        <v>0</v>
      </c>
      <c r="K951" t="n">
        <v>0</v>
      </c>
      <c r="L951" t="n">
        <v>0</v>
      </c>
      <c r="M951" t="n">
        <v>0</v>
      </c>
      <c r="N951" t="n">
        <v>0</v>
      </c>
      <c r="O951" t="n">
        <v>0</v>
      </c>
      <c r="P951" t="n">
        <v>0</v>
      </c>
      <c r="Q951" t="n">
        <v>0</v>
      </c>
      <c r="R951" s="2" t="inlineStr"/>
    </row>
    <row r="952" ht="15" customHeight="1">
      <c r="A952" t="inlineStr">
        <is>
          <t>A 53013-2025</t>
        </is>
      </c>
      <c r="B952" s="1" t="n">
        <v>45957.81732638889</v>
      </c>
      <c r="C952" s="1" t="n">
        <v>46059</v>
      </c>
      <c r="D952" t="inlineStr">
        <is>
          <t>VÄSTERNORRLANDS LÄN</t>
        </is>
      </c>
      <c r="E952" t="inlineStr">
        <is>
          <t>ÅNGE</t>
        </is>
      </c>
      <c r="G952" t="n">
        <v>0.6</v>
      </c>
      <c r="H952" t="n">
        <v>0</v>
      </c>
      <c r="I952" t="n">
        <v>0</v>
      </c>
      <c r="J952" t="n">
        <v>0</v>
      </c>
      <c r="K952" t="n">
        <v>0</v>
      </c>
      <c r="L952" t="n">
        <v>0</v>
      </c>
      <c r="M952" t="n">
        <v>0</v>
      </c>
      <c r="N952" t="n">
        <v>0</v>
      </c>
      <c r="O952" t="n">
        <v>0</v>
      </c>
      <c r="P952" t="n">
        <v>0</v>
      </c>
      <c r="Q952" t="n">
        <v>0</v>
      </c>
      <c r="R952" s="2" t="inlineStr"/>
    </row>
    <row r="953" ht="15" customHeight="1">
      <c r="A953" t="inlineStr">
        <is>
          <t>A 6542-2026</t>
        </is>
      </c>
      <c r="B953" s="1" t="n">
        <v>46056.42770833334</v>
      </c>
      <c r="C953" s="1" t="n">
        <v>46059</v>
      </c>
      <c r="D953" t="inlineStr">
        <is>
          <t>VÄSTERNORRLANDS LÄN</t>
        </is>
      </c>
      <c r="E953" t="inlineStr">
        <is>
          <t>ÅNGE</t>
        </is>
      </c>
      <c r="F953" t="inlineStr">
        <is>
          <t>SCA</t>
        </is>
      </c>
      <c r="G953" t="n">
        <v>28.5</v>
      </c>
      <c r="H953" t="n">
        <v>0</v>
      </c>
      <c r="I953" t="n">
        <v>0</v>
      </c>
      <c r="J953" t="n">
        <v>0</v>
      </c>
      <c r="K953" t="n">
        <v>0</v>
      </c>
      <c r="L953" t="n">
        <v>0</v>
      </c>
      <c r="M953" t="n">
        <v>0</v>
      </c>
      <c r="N953" t="n">
        <v>0</v>
      </c>
      <c r="O953" t="n">
        <v>0</v>
      </c>
      <c r="P953" t="n">
        <v>0</v>
      </c>
      <c r="Q953" t="n">
        <v>0</v>
      </c>
      <c r="R953" s="2" t="inlineStr"/>
    </row>
    <row r="954" ht="15" customHeight="1">
      <c r="A954" t="inlineStr">
        <is>
          <t>A 6547-2026</t>
        </is>
      </c>
      <c r="B954" s="1" t="n">
        <v>46056.42825231481</v>
      </c>
      <c r="C954" s="1" t="n">
        <v>46059</v>
      </c>
      <c r="D954" t="inlineStr">
        <is>
          <t>VÄSTERNORRLANDS LÄN</t>
        </is>
      </c>
      <c r="E954" t="inlineStr">
        <is>
          <t>ÅNGE</t>
        </is>
      </c>
      <c r="F954" t="inlineStr">
        <is>
          <t>SCA</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53221-2025</t>
        </is>
      </c>
      <c r="B955" s="1" t="n">
        <v>45958.60331018519</v>
      </c>
      <c r="C955" s="1" t="n">
        <v>46059</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5492-2026</t>
        </is>
      </c>
      <c r="B956" s="1" t="n">
        <v>46050</v>
      </c>
      <c r="C956" s="1" t="n">
        <v>46059</v>
      </c>
      <c r="D956" t="inlineStr">
        <is>
          <t>VÄSTERNORRLANDS LÄN</t>
        </is>
      </c>
      <c r="E956" t="inlineStr">
        <is>
          <t>ÅNGE</t>
        </is>
      </c>
      <c r="G956" t="n">
        <v>11.3</v>
      </c>
      <c r="H956" t="n">
        <v>0</v>
      </c>
      <c r="I956" t="n">
        <v>0</v>
      </c>
      <c r="J956" t="n">
        <v>0</v>
      </c>
      <c r="K956" t="n">
        <v>0</v>
      </c>
      <c r="L956" t="n">
        <v>0</v>
      </c>
      <c r="M956" t="n">
        <v>0</v>
      </c>
      <c r="N956" t="n">
        <v>0</v>
      </c>
      <c r="O956" t="n">
        <v>0</v>
      </c>
      <c r="P956" t="n">
        <v>0</v>
      </c>
      <c r="Q956" t="n">
        <v>0</v>
      </c>
      <c r="R956" s="2" t="inlineStr"/>
    </row>
    <row r="957" ht="15" customHeight="1">
      <c r="A957" t="inlineStr">
        <is>
          <t>A 55328-2023</t>
        </is>
      </c>
      <c r="B957" s="1" t="n">
        <v>45237</v>
      </c>
      <c r="C957" s="1" t="n">
        <v>46059</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53033-2025</t>
        </is>
      </c>
      <c r="B958" s="1" t="n">
        <v>45958.34479166667</v>
      </c>
      <c r="C958" s="1" t="n">
        <v>46059</v>
      </c>
      <c r="D958" t="inlineStr">
        <is>
          <t>VÄSTERNORRLANDS LÄN</t>
        </is>
      </c>
      <c r="E958" t="inlineStr">
        <is>
          <t>ÅNGE</t>
        </is>
      </c>
      <c r="G958" t="n">
        <v>2.7</v>
      </c>
      <c r="H958" t="n">
        <v>0</v>
      </c>
      <c r="I958" t="n">
        <v>0</v>
      </c>
      <c r="J958" t="n">
        <v>0</v>
      </c>
      <c r="K958" t="n">
        <v>0</v>
      </c>
      <c r="L958" t="n">
        <v>0</v>
      </c>
      <c r="M958" t="n">
        <v>0</v>
      </c>
      <c r="N958" t="n">
        <v>0</v>
      </c>
      <c r="O958" t="n">
        <v>0</v>
      </c>
      <c r="P958" t="n">
        <v>0</v>
      </c>
      <c r="Q958" t="n">
        <v>0</v>
      </c>
      <c r="R958" s="2" t="inlineStr"/>
    </row>
    <row r="959" ht="15" customHeight="1">
      <c r="A959" t="inlineStr">
        <is>
          <t>A 11531-2023</t>
        </is>
      </c>
      <c r="B959" s="1" t="n">
        <v>44993.77038194444</v>
      </c>
      <c r="C959" s="1" t="n">
        <v>46059</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11532-2023</t>
        </is>
      </c>
      <c r="B960" s="1" t="n">
        <v>44993.77212962963</v>
      </c>
      <c r="C960" s="1" t="n">
        <v>46059</v>
      </c>
      <c r="D960" t="inlineStr">
        <is>
          <t>VÄSTERNORRLANDS LÄN</t>
        </is>
      </c>
      <c r="E960" t="inlineStr">
        <is>
          <t>ÅNGE</t>
        </is>
      </c>
      <c r="G960" t="n">
        <v>0.5</v>
      </c>
      <c r="H960" t="n">
        <v>0</v>
      </c>
      <c r="I960" t="n">
        <v>0</v>
      </c>
      <c r="J960" t="n">
        <v>0</v>
      </c>
      <c r="K960" t="n">
        <v>0</v>
      </c>
      <c r="L960" t="n">
        <v>0</v>
      </c>
      <c r="M960" t="n">
        <v>0</v>
      </c>
      <c r="N960" t="n">
        <v>0</v>
      </c>
      <c r="O960" t="n">
        <v>0</v>
      </c>
      <c r="P960" t="n">
        <v>0</v>
      </c>
      <c r="Q960" t="n">
        <v>0</v>
      </c>
      <c r="R960" s="2" t="inlineStr"/>
    </row>
    <row r="961" ht="15" customHeight="1">
      <c r="A961" t="inlineStr">
        <is>
          <t>A 41355-2024</t>
        </is>
      </c>
      <c r="B961" s="1" t="n">
        <v>45559.69833333333</v>
      </c>
      <c r="C961" s="1" t="n">
        <v>46059</v>
      </c>
      <c r="D961" t="inlineStr">
        <is>
          <t>VÄSTERNORRLANDS LÄN</t>
        </is>
      </c>
      <c r="E961" t="inlineStr">
        <is>
          <t>ÅNGE</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24063-2023</t>
        </is>
      </c>
      <c r="B962" s="1" t="n">
        <v>45078.94140046297</v>
      </c>
      <c r="C962" s="1" t="n">
        <v>46059</v>
      </c>
      <c r="D962" t="inlineStr">
        <is>
          <t>VÄSTERNORRLANDS LÄN</t>
        </is>
      </c>
      <c r="E962" t="inlineStr">
        <is>
          <t>ÅNGE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7184-2026</t>
        </is>
      </c>
      <c r="B963" s="1" t="n">
        <v>46058.49020833334</v>
      </c>
      <c r="C963" s="1" t="n">
        <v>46059</v>
      </c>
      <c r="D963" t="inlineStr">
        <is>
          <t>VÄSTERNORRLANDS LÄN</t>
        </is>
      </c>
      <c r="E963" t="inlineStr">
        <is>
          <t>ÅNGE</t>
        </is>
      </c>
      <c r="F963" t="inlineStr">
        <is>
          <t>SCA</t>
        </is>
      </c>
      <c r="G963" t="n">
        <v>19.3</v>
      </c>
      <c r="H963" t="n">
        <v>0</v>
      </c>
      <c r="I963" t="n">
        <v>0</v>
      </c>
      <c r="J963" t="n">
        <v>0</v>
      </c>
      <c r="K963" t="n">
        <v>0</v>
      </c>
      <c r="L963" t="n">
        <v>0</v>
      </c>
      <c r="M963" t="n">
        <v>0</v>
      </c>
      <c r="N963" t="n">
        <v>0</v>
      </c>
      <c r="O963" t="n">
        <v>0</v>
      </c>
      <c r="P963" t="n">
        <v>0</v>
      </c>
      <c r="Q963" t="n">
        <v>0</v>
      </c>
      <c r="R963" s="2" t="inlineStr"/>
    </row>
    <row r="964" ht="15" customHeight="1">
      <c r="A964" t="inlineStr">
        <is>
          <t>A 60960-2025</t>
        </is>
      </c>
      <c r="B964" s="1" t="n">
        <v>45999</v>
      </c>
      <c r="C964" s="1" t="n">
        <v>46059</v>
      </c>
      <c r="D964" t="inlineStr">
        <is>
          <t>VÄSTERNORRLANDS LÄN</t>
        </is>
      </c>
      <c r="E964" t="inlineStr">
        <is>
          <t>ÅNGE</t>
        </is>
      </c>
      <c r="G964" t="n">
        <v>3.3</v>
      </c>
      <c r="H964" t="n">
        <v>0</v>
      </c>
      <c r="I964" t="n">
        <v>0</v>
      </c>
      <c r="J964" t="n">
        <v>0</v>
      </c>
      <c r="K964" t="n">
        <v>0</v>
      </c>
      <c r="L964" t="n">
        <v>0</v>
      </c>
      <c r="M964" t="n">
        <v>0</v>
      </c>
      <c r="N964" t="n">
        <v>0</v>
      </c>
      <c r="O964" t="n">
        <v>0</v>
      </c>
      <c r="P964" t="n">
        <v>0</v>
      </c>
      <c r="Q964" t="n">
        <v>0</v>
      </c>
      <c r="R964" s="2" t="inlineStr"/>
    </row>
    <row r="965" ht="15" customHeight="1">
      <c r="A965" t="inlineStr">
        <is>
          <t>A 45631-2021</t>
        </is>
      </c>
      <c r="B965" s="1" t="n">
        <v>44440.98045138889</v>
      </c>
      <c r="C965" s="1" t="n">
        <v>46059</v>
      </c>
      <c r="D965" t="inlineStr">
        <is>
          <t>VÄSTERNORRLANDS LÄN</t>
        </is>
      </c>
      <c r="E965" t="inlineStr">
        <is>
          <t>ÅNGE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57592-2022</t>
        </is>
      </c>
      <c r="B966" s="1" t="n">
        <v>44896.97841435186</v>
      </c>
      <c r="C966" s="1" t="n">
        <v>46059</v>
      </c>
      <c r="D966" t="inlineStr">
        <is>
          <t>VÄSTERNORRLANDS LÄN</t>
        </is>
      </c>
      <c r="E966" t="inlineStr">
        <is>
          <t>ÅNGE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6918-2026</t>
        </is>
      </c>
      <c r="B967" s="1" t="n">
        <v>46057.53289351852</v>
      </c>
      <c r="C967" s="1" t="n">
        <v>46059</v>
      </c>
      <c r="D967" t="inlineStr">
        <is>
          <t>VÄSTERNORRLANDS LÄN</t>
        </is>
      </c>
      <c r="E967" t="inlineStr">
        <is>
          <t>ÅNGE</t>
        </is>
      </c>
      <c r="G967" t="n">
        <v>0.8</v>
      </c>
      <c r="H967" t="n">
        <v>0</v>
      </c>
      <c r="I967" t="n">
        <v>0</v>
      </c>
      <c r="J967" t="n">
        <v>0</v>
      </c>
      <c r="K967" t="n">
        <v>0</v>
      </c>
      <c r="L967" t="n">
        <v>0</v>
      </c>
      <c r="M967" t="n">
        <v>0</v>
      </c>
      <c r="N967" t="n">
        <v>0</v>
      </c>
      <c r="O967" t="n">
        <v>0</v>
      </c>
      <c r="P967" t="n">
        <v>0</v>
      </c>
      <c r="Q967" t="n">
        <v>0</v>
      </c>
      <c r="R967" s="2" t="inlineStr"/>
    </row>
    <row r="968" ht="15" customHeight="1">
      <c r="A968" t="inlineStr">
        <is>
          <t>A 57602-2022</t>
        </is>
      </c>
      <c r="B968" s="1" t="n">
        <v>44896</v>
      </c>
      <c r="C968" s="1" t="n">
        <v>46059</v>
      </c>
      <c r="D968" t="inlineStr">
        <is>
          <t>VÄSTERNORRLANDS LÄN</t>
        </is>
      </c>
      <c r="E968" t="inlineStr">
        <is>
          <t>ÅNGE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6932-2026</t>
        </is>
      </c>
      <c r="B969" s="1" t="n">
        <v>46057.55331018518</v>
      </c>
      <c r="C969" s="1" t="n">
        <v>46059</v>
      </c>
      <c r="D969" t="inlineStr">
        <is>
          <t>VÄSTERNORRLANDS LÄN</t>
        </is>
      </c>
      <c r="E969" t="inlineStr">
        <is>
          <t>ÅNGE</t>
        </is>
      </c>
      <c r="G969" t="n">
        <v>11.2</v>
      </c>
      <c r="H969" t="n">
        <v>0</v>
      </c>
      <c r="I969" t="n">
        <v>0</v>
      </c>
      <c r="J969" t="n">
        <v>0</v>
      </c>
      <c r="K969" t="n">
        <v>0</v>
      </c>
      <c r="L969" t="n">
        <v>0</v>
      </c>
      <c r="M969" t="n">
        <v>0</v>
      </c>
      <c r="N969" t="n">
        <v>0</v>
      </c>
      <c r="O969" t="n">
        <v>0</v>
      </c>
      <c r="P969" t="n">
        <v>0</v>
      </c>
      <c r="Q969" t="n">
        <v>0</v>
      </c>
      <c r="R969" s="2" t="inlineStr"/>
    </row>
    <row r="970" ht="15" customHeight="1">
      <c r="A970" t="inlineStr">
        <is>
          <t>A 7016-2026</t>
        </is>
      </c>
      <c r="B970" s="1" t="n">
        <v>46057.64766203704</v>
      </c>
      <c r="C970" s="1" t="n">
        <v>46059</v>
      </c>
      <c r="D970" t="inlineStr">
        <is>
          <t>VÄSTERNORRLANDS LÄN</t>
        </is>
      </c>
      <c r="E970" t="inlineStr">
        <is>
          <t>ÅNGE</t>
        </is>
      </c>
      <c r="G970" t="n">
        <v>1.6</v>
      </c>
      <c r="H970" t="n">
        <v>0</v>
      </c>
      <c r="I970" t="n">
        <v>0</v>
      </c>
      <c r="J970" t="n">
        <v>0</v>
      </c>
      <c r="K970" t="n">
        <v>0</v>
      </c>
      <c r="L970" t="n">
        <v>0</v>
      </c>
      <c r="M970" t="n">
        <v>0</v>
      </c>
      <c r="N970" t="n">
        <v>0</v>
      </c>
      <c r="O970" t="n">
        <v>0</v>
      </c>
      <c r="P970" t="n">
        <v>0</v>
      </c>
      <c r="Q970" t="n">
        <v>0</v>
      </c>
      <c r="R970" s="2" t="inlineStr"/>
    </row>
    <row r="971" ht="15" customHeight="1">
      <c r="A971" t="inlineStr">
        <is>
          <t>A 62091-2025</t>
        </is>
      </c>
      <c r="B971" s="1" t="n">
        <v>46006.3859375</v>
      </c>
      <c r="C971" s="1" t="n">
        <v>46059</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20231-2022</t>
        </is>
      </c>
      <c r="B972" s="1" t="n">
        <v>44698</v>
      </c>
      <c r="C972" s="1" t="n">
        <v>46059</v>
      </c>
      <c r="D972" t="inlineStr">
        <is>
          <t>VÄSTERNORRLANDS LÄN</t>
        </is>
      </c>
      <c r="E972" t="inlineStr">
        <is>
          <t>ÅNGE</t>
        </is>
      </c>
      <c r="G972" t="n">
        <v>4.2</v>
      </c>
      <c r="H972" t="n">
        <v>0</v>
      </c>
      <c r="I972" t="n">
        <v>0</v>
      </c>
      <c r="J972" t="n">
        <v>0</v>
      </c>
      <c r="K972" t="n">
        <v>0</v>
      </c>
      <c r="L972" t="n">
        <v>0</v>
      </c>
      <c r="M972" t="n">
        <v>0</v>
      </c>
      <c r="N972" t="n">
        <v>0</v>
      </c>
      <c r="O972" t="n">
        <v>0</v>
      </c>
      <c r="P972" t="n">
        <v>0</v>
      </c>
      <c r="Q972" t="n">
        <v>0</v>
      </c>
      <c r="R972" s="2" t="inlineStr"/>
    </row>
    <row r="973" ht="15" customHeight="1">
      <c r="A973" t="inlineStr">
        <is>
          <t>A 39985-2023</t>
        </is>
      </c>
      <c r="B973" s="1" t="n">
        <v>45168</v>
      </c>
      <c r="C973" s="1" t="n">
        <v>46059</v>
      </c>
      <c r="D973" t="inlineStr">
        <is>
          <t>VÄSTERNORRLANDS LÄN</t>
        </is>
      </c>
      <c r="E973" t="inlineStr">
        <is>
          <t>ÅNGE</t>
        </is>
      </c>
      <c r="G973" t="n">
        <v>0.1</v>
      </c>
      <c r="H973" t="n">
        <v>0</v>
      </c>
      <c r="I973" t="n">
        <v>0</v>
      </c>
      <c r="J973" t="n">
        <v>0</v>
      </c>
      <c r="K973" t="n">
        <v>0</v>
      </c>
      <c r="L973" t="n">
        <v>0</v>
      </c>
      <c r="M973" t="n">
        <v>0</v>
      </c>
      <c r="N973" t="n">
        <v>0</v>
      </c>
      <c r="O973" t="n">
        <v>0</v>
      </c>
      <c r="P973" t="n">
        <v>0</v>
      </c>
      <c r="Q973" t="n">
        <v>0</v>
      </c>
      <c r="R973" s="2" t="inlineStr"/>
    </row>
    <row r="974" ht="15" customHeight="1">
      <c r="A974" t="inlineStr">
        <is>
          <t>A 53509-2025</t>
        </is>
      </c>
      <c r="B974" s="1" t="n">
        <v>45960.34506944445</v>
      </c>
      <c r="C974" s="1" t="n">
        <v>46059</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49669-2025</t>
        </is>
      </c>
      <c r="B975" s="1" t="n">
        <v>45939.63710648148</v>
      </c>
      <c r="C975" s="1" t="n">
        <v>46059</v>
      </c>
      <c r="D975" t="inlineStr">
        <is>
          <t>VÄSTERNORRLANDS LÄN</t>
        </is>
      </c>
      <c r="E975" t="inlineStr">
        <is>
          <t>ÅNGE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62092-2025</t>
        </is>
      </c>
      <c r="B976" s="1" t="n">
        <v>46006.38613425926</v>
      </c>
      <c r="C976" s="1" t="n">
        <v>46059</v>
      </c>
      <c r="D976" t="inlineStr">
        <is>
          <t>VÄSTERNORRLANDS LÄN</t>
        </is>
      </c>
      <c r="E976" t="inlineStr">
        <is>
          <t>ÅNGE</t>
        </is>
      </c>
      <c r="F976" t="inlineStr">
        <is>
          <t>SCA</t>
        </is>
      </c>
      <c r="G976" t="n">
        <v>16.3</v>
      </c>
      <c r="H976" t="n">
        <v>0</v>
      </c>
      <c r="I976" t="n">
        <v>0</v>
      </c>
      <c r="J976" t="n">
        <v>0</v>
      </c>
      <c r="K976" t="n">
        <v>0</v>
      </c>
      <c r="L976" t="n">
        <v>0</v>
      </c>
      <c r="M976" t="n">
        <v>0</v>
      </c>
      <c r="N976" t="n">
        <v>0</v>
      </c>
      <c r="O976" t="n">
        <v>0</v>
      </c>
      <c r="P976" t="n">
        <v>0</v>
      </c>
      <c r="Q976" t="n">
        <v>0</v>
      </c>
      <c r="R976" s="2" t="inlineStr"/>
    </row>
    <row r="977" ht="15" customHeight="1">
      <c r="A977" t="inlineStr">
        <is>
          <t>A 63642-2025</t>
        </is>
      </c>
      <c r="B977" s="1" t="n">
        <v>46014.41258101852</v>
      </c>
      <c r="C977" s="1" t="n">
        <v>46059</v>
      </c>
      <c r="D977" t="inlineStr">
        <is>
          <t>VÄSTERNORRLANDS LÄN</t>
        </is>
      </c>
      <c r="E977" t="inlineStr">
        <is>
          <t>ÅNGE</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6883-2026</t>
        </is>
      </c>
      <c r="B978" s="1" t="n">
        <v>46057.46607638889</v>
      </c>
      <c r="C978" s="1" t="n">
        <v>46059</v>
      </c>
      <c r="D978" t="inlineStr">
        <is>
          <t>VÄSTERNORRLANDS LÄN</t>
        </is>
      </c>
      <c r="E978" t="inlineStr">
        <is>
          <t>ÅNGE</t>
        </is>
      </c>
      <c r="G978" t="n">
        <v>1.5</v>
      </c>
      <c r="H978" t="n">
        <v>0</v>
      </c>
      <c r="I978" t="n">
        <v>0</v>
      </c>
      <c r="J978" t="n">
        <v>0</v>
      </c>
      <c r="K978" t="n">
        <v>0</v>
      </c>
      <c r="L978" t="n">
        <v>0</v>
      </c>
      <c r="M978" t="n">
        <v>0</v>
      </c>
      <c r="N978" t="n">
        <v>0</v>
      </c>
      <c r="O978" t="n">
        <v>0</v>
      </c>
      <c r="P978" t="n">
        <v>0</v>
      </c>
      <c r="Q978" t="n">
        <v>0</v>
      </c>
      <c r="R978" s="2" t="inlineStr"/>
    </row>
    <row r="979" ht="15" customHeight="1">
      <c r="A979" t="inlineStr">
        <is>
          <t>A 6901-2026</t>
        </is>
      </c>
      <c r="B979" s="1" t="n">
        <v>46057.4903587963</v>
      </c>
      <c r="C979" s="1" t="n">
        <v>46059</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58748-2023</t>
        </is>
      </c>
      <c r="B980" s="1" t="n">
        <v>45251.92936342592</v>
      </c>
      <c r="C980" s="1" t="n">
        <v>46059</v>
      </c>
      <c r="D980" t="inlineStr">
        <is>
          <t>VÄSTERNORRLANDS LÄN</t>
        </is>
      </c>
      <c r="E980" t="inlineStr">
        <is>
          <t>ÅNGE</t>
        </is>
      </c>
      <c r="G980" t="n">
        <v>2.7</v>
      </c>
      <c r="H980" t="n">
        <v>0</v>
      </c>
      <c r="I980" t="n">
        <v>0</v>
      </c>
      <c r="J980" t="n">
        <v>0</v>
      </c>
      <c r="K980" t="n">
        <v>0</v>
      </c>
      <c r="L980" t="n">
        <v>0</v>
      </c>
      <c r="M980" t="n">
        <v>0</v>
      </c>
      <c r="N980" t="n">
        <v>0</v>
      </c>
      <c r="O980" t="n">
        <v>0</v>
      </c>
      <c r="P980" t="n">
        <v>0</v>
      </c>
      <c r="Q980" t="n">
        <v>0</v>
      </c>
      <c r="R980" s="2" t="inlineStr"/>
    </row>
    <row r="981" ht="15" customHeight="1">
      <c r="A981" t="inlineStr">
        <is>
          <t>A 53381-2025</t>
        </is>
      </c>
      <c r="B981" s="1" t="n">
        <v>45959.53690972222</v>
      </c>
      <c r="C981" s="1" t="n">
        <v>46059</v>
      </c>
      <c r="D981" t="inlineStr">
        <is>
          <t>VÄSTERNORRLANDS LÄN</t>
        </is>
      </c>
      <c r="E981" t="inlineStr">
        <is>
          <t>ÅNGE</t>
        </is>
      </c>
      <c r="G981" t="n">
        <v>9.6</v>
      </c>
      <c r="H981" t="n">
        <v>0</v>
      </c>
      <c r="I981" t="n">
        <v>0</v>
      </c>
      <c r="J981" t="n">
        <v>0</v>
      </c>
      <c r="K981" t="n">
        <v>0</v>
      </c>
      <c r="L981" t="n">
        <v>0</v>
      </c>
      <c r="M981" t="n">
        <v>0</v>
      </c>
      <c r="N981" t="n">
        <v>0</v>
      </c>
      <c r="O981" t="n">
        <v>0</v>
      </c>
      <c r="P981" t="n">
        <v>0</v>
      </c>
      <c r="Q981" t="n">
        <v>0</v>
      </c>
      <c r="R981" s="2" t="inlineStr"/>
    </row>
    <row r="982" ht="15" customHeight="1">
      <c r="A982" t="inlineStr">
        <is>
          <t>A 53713-2025</t>
        </is>
      </c>
      <c r="B982" s="1" t="n">
        <v>45960.61568287037</v>
      </c>
      <c r="C982" s="1" t="n">
        <v>46059</v>
      </c>
      <c r="D982" t="inlineStr">
        <is>
          <t>VÄSTERNORRLANDS LÄN</t>
        </is>
      </c>
      <c r="E982" t="inlineStr">
        <is>
          <t>ÅNGE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43552-2023</t>
        </is>
      </c>
      <c r="B983" s="1" t="n">
        <v>45181</v>
      </c>
      <c r="C983" s="1" t="n">
        <v>46059</v>
      </c>
      <c r="D983" t="inlineStr">
        <is>
          <t>VÄSTERNORRLANDS LÄN</t>
        </is>
      </c>
      <c r="E983" t="inlineStr">
        <is>
          <t>ÅNGE</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63673-2025</t>
        </is>
      </c>
      <c r="B984" s="1" t="n">
        <v>46014.47594907408</v>
      </c>
      <c r="C984" s="1" t="n">
        <v>46059</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53984-2025</t>
        </is>
      </c>
      <c r="B985" s="1" t="n">
        <v>45961.5734837963</v>
      </c>
      <c r="C985" s="1" t="n">
        <v>46059</v>
      </c>
      <c r="D985" t="inlineStr">
        <is>
          <t>VÄSTERNORRLANDS LÄN</t>
        </is>
      </c>
      <c r="E985" t="inlineStr">
        <is>
          <t>ÅNGE</t>
        </is>
      </c>
      <c r="F985" t="inlineStr">
        <is>
          <t>SCA</t>
        </is>
      </c>
      <c r="G985" t="n">
        <v>14.8</v>
      </c>
      <c r="H985" t="n">
        <v>0</v>
      </c>
      <c r="I985" t="n">
        <v>0</v>
      </c>
      <c r="J985" t="n">
        <v>0</v>
      </c>
      <c r="K985" t="n">
        <v>0</v>
      </c>
      <c r="L985" t="n">
        <v>0</v>
      </c>
      <c r="M985" t="n">
        <v>0</v>
      </c>
      <c r="N985" t="n">
        <v>0</v>
      </c>
      <c r="O985" t="n">
        <v>0</v>
      </c>
      <c r="P985" t="n">
        <v>0</v>
      </c>
      <c r="Q985" t="n">
        <v>0</v>
      </c>
      <c r="R985" s="2" t="inlineStr"/>
    </row>
    <row r="986" ht="15" customHeight="1">
      <c r="A986" t="inlineStr">
        <is>
          <t>A 7005-2026</t>
        </is>
      </c>
      <c r="B986" s="1" t="n">
        <v>46057.63594907407</v>
      </c>
      <c r="C986" s="1" t="n">
        <v>46059</v>
      </c>
      <c r="D986" t="inlineStr">
        <is>
          <t>VÄSTERNORRLANDS LÄN</t>
        </is>
      </c>
      <c r="E986" t="inlineStr">
        <is>
          <t>ÅNGE</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7026-2026</t>
        </is>
      </c>
      <c r="B987" s="1" t="n">
        <v>46057.67420138889</v>
      </c>
      <c r="C987" s="1" t="n">
        <v>46059</v>
      </c>
      <c r="D987" t="inlineStr">
        <is>
          <t>VÄSTERNORRLANDS LÄN</t>
        </is>
      </c>
      <c r="E987" t="inlineStr">
        <is>
          <t>ÅNGE</t>
        </is>
      </c>
      <c r="G987" t="n">
        <v>18.4</v>
      </c>
      <c r="H987" t="n">
        <v>0</v>
      </c>
      <c r="I987" t="n">
        <v>0</v>
      </c>
      <c r="J987" t="n">
        <v>0</v>
      </c>
      <c r="K987" t="n">
        <v>0</v>
      </c>
      <c r="L987" t="n">
        <v>0</v>
      </c>
      <c r="M987" t="n">
        <v>0</v>
      </c>
      <c r="N987" t="n">
        <v>0</v>
      </c>
      <c r="O987" t="n">
        <v>0</v>
      </c>
      <c r="P987" t="n">
        <v>0</v>
      </c>
      <c r="Q987" t="n">
        <v>0</v>
      </c>
      <c r="R987" s="2" t="inlineStr"/>
    </row>
    <row r="988" ht="15" customHeight="1">
      <c r="A988" t="inlineStr">
        <is>
          <t>A 7284-2026</t>
        </is>
      </c>
      <c r="B988" s="1" t="n">
        <v>46058.63614583333</v>
      </c>
      <c r="C988" s="1" t="n">
        <v>46059</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46775-2024</t>
        </is>
      </c>
      <c r="B989" s="1" t="n">
        <v>45583.49711805556</v>
      </c>
      <c r="C989" s="1" t="n">
        <v>46059</v>
      </c>
      <c r="D989" t="inlineStr">
        <is>
          <t>VÄSTERNORRLANDS LÄN</t>
        </is>
      </c>
      <c r="E989" t="inlineStr">
        <is>
          <t>ÅNGE</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46780-2024</t>
        </is>
      </c>
      <c r="B990" s="1" t="n">
        <v>45583.51076388889</v>
      </c>
      <c r="C990" s="1" t="n">
        <v>46059</v>
      </c>
      <c r="D990" t="inlineStr">
        <is>
          <t>VÄSTERNORRLANDS LÄN</t>
        </is>
      </c>
      <c r="E990" t="inlineStr">
        <is>
          <t>ÅNGE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18880-2024</t>
        </is>
      </c>
      <c r="B991" s="1" t="n">
        <v>45426</v>
      </c>
      <c r="C991" s="1" t="n">
        <v>46059</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53985-2025</t>
        </is>
      </c>
      <c r="B992" s="1" t="n">
        <v>45961.57366898148</v>
      </c>
      <c r="C992" s="1" t="n">
        <v>46059</v>
      </c>
      <c r="D992" t="inlineStr">
        <is>
          <t>VÄSTERNORRLANDS LÄN</t>
        </is>
      </c>
      <c r="E992" t="inlineStr">
        <is>
          <t>ÅNGE</t>
        </is>
      </c>
      <c r="F992" t="inlineStr">
        <is>
          <t>SCA</t>
        </is>
      </c>
      <c r="G992" t="n">
        <v>14.2</v>
      </c>
      <c r="H992" t="n">
        <v>0</v>
      </c>
      <c r="I992" t="n">
        <v>0</v>
      </c>
      <c r="J992" t="n">
        <v>0</v>
      </c>
      <c r="K992" t="n">
        <v>0</v>
      </c>
      <c r="L992" t="n">
        <v>0</v>
      </c>
      <c r="M992" t="n">
        <v>0</v>
      </c>
      <c r="N992" t="n">
        <v>0</v>
      </c>
      <c r="O992" t="n">
        <v>0</v>
      </c>
      <c r="P992" t="n">
        <v>0</v>
      </c>
      <c r="Q992" t="n">
        <v>0</v>
      </c>
      <c r="R992" s="2" t="inlineStr"/>
    </row>
    <row r="993" ht="15" customHeight="1">
      <c r="A993" t="inlineStr">
        <is>
          <t>A 55558-2024</t>
        </is>
      </c>
      <c r="B993" s="1" t="n">
        <v>45622.52586805556</v>
      </c>
      <c r="C993" s="1" t="n">
        <v>46059</v>
      </c>
      <c r="D993" t="inlineStr">
        <is>
          <t>VÄSTERNORRLANDS LÄN</t>
        </is>
      </c>
      <c r="E993" t="inlineStr">
        <is>
          <t>ÅNGE</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7283-2026</t>
        </is>
      </c>
      <c r="B994" s="1" t="n">
        <v>46058.63606481482</v>
      </c>
      <c r="C994" s="1" t="n">
        <v>46059</v>
      </c>
      <c r="D994" t="inlineStr">
        <is>
          <t>VÄSTERNORRLANDS LÄN</t>
        </is>
      </c>
      <c r="E994" t="inlineStr">
        <is>
          <t>ÅNGE</t>
        </is>
      </c>
      <c r="G994" t="n">
        <v>1.6</v>
      </c>
      <c r="H994" t="n">
        <v>0</v>
      </c>
      <c r="I994" t="n">
        <v>0</v>
      </c>
      <c r="J994" t="n">
        <v>0</v>
      </c>
      <c r="K994" t="n">
        <v>0</v>
      </c>
      <c r="L994" t="n">
        <v>0</v>
      </c>
      <c r="M994" t="n">
        <v>0</v>
      </c>
      <c r="N994" t="n">
        <v>0</v>
      </c>
      <c r="O994" t="n">
        <v>0</v>
      </c>
      <c r="P994" t="n">
        <v>0</v>
      </c>
      <c r="Q994" t="n">
        <v>0</v>
      </c>
      <c r="R994" s="2" t="inlineStr"/>
    </row>
    <row r="995" ht="15" customHeight="1">
      <c r="A995" t="inlineStr">
        <is>
          <t>A 6795-2026</t>
        </is>
      </c>
      <c r="B995" s="1" t="n">
        <v>46057.34429398148</v>
      </c>
      <c r="C995" s="1" t="n">
        <v>46059</v>
      </c>
      <c r="D995" t="inlineStr">
        <is>
          <t>VÄSTERNORRLANDS LÄN</t>
        </is>
      </c>
      <c r="E995" t="inlineStr">
        <is>
          <t>ÅNGE</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6797-2026</t>
        </is>
      </c>
      <c r="B996" s="1" t="n">
        <v>46057.34459490741</v>
      </c>
      <c r="C996" s="1" t="n">
        <v>46059</v>
      </c>
      <c r="D996" t="inlineStr">
        <is>
          <t>VÄSTERNORRLANDS LÄN</t>
        </is>
      </c>
      <c r="E996" t="inlineStr">
        <is>
          <t>ÅNGE</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20229-2022</t>
        </is>
      </c>
      <c r="B997" s="1" t="n">
        <v>44698.61150462963</v>
      </c>
      <c r="C997" s="1" t="n">
        <v>46059</v>
      </c>
      <c r="D997" t="inlineStr">
        <is>
          <t>VÄSTERNORRLANDS LÄN</t>
        </is>
      </c>
      <c r="E997" t="inlineStr">
        <is>
          <t>ÅNGE</t>
        </is>
      </c>
      <c r="G997" t="n">
        <v>1.1</v>
      </c>
      <c r="H997" t="n">
        <v>0</v>
      </c>
      <c r="I997" t="n">
        <v>0</v>
      </c>
      <c r="J997" t="n">
        <v>0</v>
      </c>
      <c r="K997" t="n">
        <v>0</v>
      </c>
      <c r="L997" t="n">
        <v>0</v>
      </c>
      <c r="M997" t="n">
        <v>0</v>
      </c>
      <c r="N997" t="n">
        <v>0</v>
      </c>
      <c r="O997" t="n">
        <v>0</v>
      </c>
      <c r="P997" t="n">
        <v>0</v>
      </c>
      <c r="Q997" t="n">
        <v>0</v>
      </c>
      <c r="R997" s="2" t="inlineStr"/>
    </row>
    <row r="998" ht="15" customHeight="1">
      <c r="A998" t="inlineStr">
        <is>
          <t>A 53999-2025</t>
        </is>
      </c>
      <c r="B998" s="1" t="n">
        <v>45961</v>
      </c>
      <c r="C998" s="1" t="n">
        <v>46059</v>
      </c>
      <c r="D998" t="inlineStr">
        <is>
          <t>VÄSTERNORRLANDS LÄN</t>
        </is>
      </c>
      <c r="E998" t="inlineStr">
        <is>
          <t>ÅNGE</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54197-2025</t>
        </is>
      </c>
      <c r="B999" s="1" t="n">
        <v>45964</v>
      </c>
      <c r="C999" s="1" t="n">
        <v>46059</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6975-2026</t>
        </is>
      </c>
      <c r="B1000" s="1" t="n">
        <v>46057.59436342592</v>
      </c>
      <c r="C1000" s="1" t="n">
        <v>46059</v>
      </c>
      <c r="D1000" t="inlineStr">
        <is>
          <t>VÄSTERNORRLANDS LÄN</t>
        </is>
      </c>
      <c r="E1000" t="inlineStr">
        <is>
          <t>ÅNGE</t>
        </is>
      </c>
      <c r="F1000" t="inlineStr">
        <is>
          <t>SCA</t>
        </is>
      </c>
      <c r="G1000" t="n">
        <v>20.7</v>
      </c>
      <c r="H1000" t="n">
        <v>0</v>
      </c>
      <c r="I1000" t="n">
        <v>0</v>
      </c>
      <c r="J1000" t="n">
        <v>0</v>
      </c>
      <c r="K1000" t="n">
        <v>0</v>
      </c>
      <c r="L1000" t="n">
        <v>0</v>
      </c>
      <c r="M1000" t="n">
        <v>0</v>
      </c>
      <c r="N1000" t="n">
        <v>0</v>
      </c>
      <c r="O1000" t="n">
        <v>0</v>
      </c>
      <c r="P1000" t="n">
        <v>0</v>
      </c>
      <c r="Q1000" t="n">
        <v>0</v>
      </c>
      <c r="R1000" s="2" t="inlineStr"/>
    </row>
    <row r="1001" ht="15" customHeight="1">
      <c r="A1001" t="inlineStr">
        <is>
          <t>A 58639-2023</t>
        </is>
      </c>
      <c r="B1001" s="1" t="n">
        <v>45251</v>
      </c>
      <c r="C1001" s="1" t="n">
        <v>46059</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35498-2022</t>
        </is>
      </c>
      <c r="B1002" s="1" t="n">
        <v>44798.94810185185</v>
      </c>
      <c r="C1002" s="1" t="n">
        <v>46059</v>
      </c>
      <c r="D1002" t="inlineStr">
        <is>
          <t>VÄSTERNORRLANDS LÄN</t>
        </is>
      </c>
      <c r="E1002" t="inlineStr">
        <is>
          <t>ÅNGE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54702-2025</t>
        </is>
      </c>
      <c r="B1003" s="1" t="n">
        <v>45966.4828587963</v>
      </c>
      <c r="C1003" s="1" t="n">
        <v>46059</v>
      </c>
      <c r="D1003" t="inlineStr">
        <is>
          <t>VÄSTERNORRLANDS LÄN</t>
        </is>
      </c>
      <c r="E1003" t="inlineStr">
        <is>
          <t>ÅNGE</t>
        </is>
      </c>
      <c r="G1003" t="n">
        <v>12.3</v>
      </c>
      <c r="H1003" t="n">
        <v>0</v>
      </c>
      <c r="I1003" t="n">
        <v>0</v>
      </c>
      <c r="J1003" t="n">
        <v>0</v>
      </c>
      <c r="K1003" t="n">
        <v>0</v>
      </c>
      <c r="L1003" t="n">
        <v>0</v>
      </c>
      <c r="M1003" t="n">
        <v>0</v>
      </c>
      <c r="N1003" t="n">
        <v>0</v>
      </c>
      <c r="O1003" t="n">
        <v>0</v>
      </c>
      <c r="P1003" t="n">
        <v>0</v>
      </c>
      <c r="Q1003" t="n">
        <v>0</v>
      </c>
      <c r="R1003" s="2" t="inlineStr"/>
    </row>
    <row r="1004" ht="15" customHeight="1">
      <c r="A1004" t="inlineStr">
        <is>
          <t>A 5669-2026</t>
        </is>
      </c>
      <c r="B1004" s="1" t="n">
        <v>46051.46931712963</v>
      </c>
      <c r="C1004" s="1" t="n">
        <v>46059</v>
      </c>
      <c r="D1004" t="inlineStr">
        <is>
          <t>VÄSTERNORRLANDS LÄN</t>
        </is>
      </c>
      <c r="E1004" t="inlineStr">
        <is>
          <t>ÅNGE</t>
        </is>
      </c>
      <c r="F1004" t="inlineStr">
        <is>
          <t>SCA</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10087-2023</t>
        </is>
      </c>
      <c r="B1005" s="1" t="n">
        <v>44985</v>
      </c>
      <c r="C1005" s="1" t="n">
        <v>46059</v>
      </c>
      <c r="D1005" t="inlineStr">
        <is>
          <t>VÄSTERNORRLANDS LÄN</t>
        </is>
      </c>
      <c r="E1005" t="inlineStr">
        <is>
          <t>ÅNGE</t>
        </is>
      </c>
      <c r="F1005" t="inlineStr">
        <is>
          <t>SCA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27682-2023</t>
        </is>
      </c>
      <c r="B1006" s="1" t="n">
        <v>45097.93758101852</v>
      </c>
      <c r="C1006" s="1" t="n">
        <v>46059</v>
      </c>
      <c r="D1006" t="inlineStr">
        <is>
          <t>VÄSTERNORRLANDS LÄN</t>
        </is>
      </c>
      <c r="E1006" t="inlineStr">
        <is>
          <t>ÅNGE</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3347-2024</t>
        </is>
      </c>
      <c r="B1007" s="1" t="n">
        <v>45317</v>
      </c>
      <c r="C1007" s="1" t="n">
        <v>46059</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38795-2023</t>
        </is>
      </c>
      <c r="B1008" s="1" t="n">
        <v>45162</v>
      </c>
      <c r="C1008" s="1" t="n">
        <v>46059</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9382-2025</t>
        </is>
      </c>
      <c r="B1009" s="1" t="n">
        <v>45715.34425925926</v>
      </c>
      <c r="C1009" s="1" t="n">
        <v>46059</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35979-2023</t>
        </is>
      </c>
      <c r="B1010" s="1" t="n">
        <v>45148</v>
      </c>
      <c r="C1010" s="1" t="n">
        <v>46059</v>
      </c>
      <c r="D1010" t="inlineStr">
        <is>
          <t>VÄSTERNORRLANDS LÄN</t>
        </is>
      </c>
      <c r="E1010" t="inlineStr">
        <is>
          <t>ÅNGE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54357-2025</t>
        </is>
      </c>
      <c r="B1011" s="1" t="n">
        <v>45965.3858912037</v>
      </c>
      <c r="C1011" s="1" t="n">
        <v>46059</v>
      </c>
      <c r="D1011" t="inlineStr">
        <is>
          <t>VÄSTERNORRLANDS LÄN</t>
        </is>
      </c>
      <c r="E1011" t="inlineStr">
        <is>
          <t>ÅNGE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1711-2025</t>
        </is>
      </c>
      <c r="B1012" s="1" t="n">
        <v>45671.31184027778</v>
      </c>
      <c r="C1012" s="1" t="n">
        <v>46059</v>
      </c>
      <c r="D1012" t="inlineStr">
        <is>
          <t>VÄSTERNORRLANDS LÄN</t>
        </is>
      </c>
      <c r="E1012" t="inlineStr">
        <is>
          <t>ÅNGE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42043-2024</t>
        </is>
      </c>
      <c r="B1013" s="1" t="n">
        <v>45561</v>
      </c>
      <c r="C1013" s="1" t="n">
        <v>46059</v>
      </c>
      <c r="D1013" t="inlineStr">
        <is>
          <t>VÄSTERNORRLANDS LÄN</t>
        </is>
      </c>
      <c r="E1013" t="inlineStr">
        <is>
          <t>ÅNGE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42046-2024</t>
        </is>
      </c>
      <c r="B1014" s="1" t="n">
        <v>45561.83422453704</v>
      </c>
      <c r="C1014" s="1" t="n">
        <v>46059</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55751-2024</t>
        </is>
      </c>
      <c r="B1015" s="1" t="n">
        <v>45623.34409722222</v>
      </c>
      <c r="C1015" s="1" t="n">
        <v>46059</v>
      </c>
      <c r="D1015" t="inlineStr">
        <is>
          <t>VÄSTERNORRLANDS LÄN</t>
        </is>
      </c>
      <c r="E1015" t="inlineStr">
        <is>
          <t>ÅNGE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35582-2024</t>
        </is>
      </c>
      <c r="B1016" s="1" t="n">
        <v>45531.64800925926</v>
      </c>
      <c r="C1016" s="1" t="n">
        <v>46059</v>
      </c>
      <c r="D1016" t="inlineStr">
        <is>
          <t>VÄSTERNORRLANDS LÄN</t>
        </is>
      </c>
      <c r="E1016" t="inlineStr">
        <is>
          <t>ÅNGE</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36466-2024</t>
        </is>
      </c>
      <c r="B1017" s="1" t="n">
        <v>45537.35872685185</v>
      </c>
      <c r="C1017" s="1" t="n">
        <v>46059</v>
      </c>
      <c r="D1017" t="inlineStr">
        <is>
          <t>VÄSTERNORRLANDS LÄN</t>
        </is>
      </c>
      <c r="E1017" t="inlineStr">
        <is>
          <t>ÅNGE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52785-2024</t>
        </is>
      </c>
      <c r="B1018" s="1" t="n">
        <v>45610.55273148148</v>
      </c>
      <c r="C1018" s="1" t="n">
        <v>46059</v>
      </c>
      <c r="D1018" t="inlineStr">
        <is>
          <t>VÄSTERNORRLANDS LÄN</t>
        </is>
      </c>
      <c r="E1018" t="inlineStr">
        <is>
          <t>ÅNGE</t>
        </is>
      </c>
      <c r="F1018" t="inlineStr">
        <is>
          <t>SCA</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52786-2024</t>
        </is>
      </c>
      <c r="B1019" s="1" t="n">
        <v>45610.55283564814</v>
      </c>
      <c r="C1019" s="1" t="n">
        <v>46059</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54713-2025</t>
        </is>
      </c>
      <c r="B1020" s="1" t="n">
        <v>45966.50446759259</v>
      </c>
      <c r="C1020" s="1" t="n">
        <v>46059</v>
      </c>
      <c r="D1020" t="inlineStr">
        <is>
          <t>VÄSTERNORRLANDS LÄN</t>
        </is>
      </c>
      <c r="E1020" t="inlineStr">
        <is>
          <t>ÅNGE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56232-2024</t>
        </is>
      </c>
      <c r="B1021" s="1" t="n">
        <v>45624</v>
      </c>
      <c r="C1021" s="1" t="n">
        <v>46059</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54680-2025</t>
        </is>
      </c>
      <c r="B1022" s="1" t="n">
        <v>45966.42751157407</v>
      </c>
      <c r="C1022" s="1" t="n">
        <v>46059</v>
      </c>
      <c r="D1022" t="inlineStr">
        <is>
          <t>VÄSTERNORRLANDS LÄN</t>
        </is>
      </c>
      <c r="E1022" t="inlineStr">
        <is>
          <t>ÅNGE</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44635-2024</t>
        </is>
      </c>
      <c r="B1023" s="1" t="n">
        <v>45574.51488425926</v>
      </c>
      <c r="C1023" s="1" t="n">
        <v>46059</v>
      </c>
      <c r="D1023" t="inlineStr">
        <is>
          <t>VÄSTERNORRLANDS LÄN</t>
        </is>
      </c>
      <c r="E1023" t="inlineStr">
        <is>
          <t>ÅNGE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54705-2025</t>
        </is>
      </c>
      <c r="B1024" s="1" t="n">
        <v>45966.4853125</v>
      </c>
      <c r="C1024" s="1" t="n">
        <v>46059</v>
      </c>
      <c r="D1024" t="inlineStr">
        <is>
          <t>VÄSTERNORRLANDS LÄN</t>
        </is>
      </c>
      <c r="E1024" t="inlineStr">
        <is>
          <t>ÅNGE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54707-2025</t>
        </is>
      </c>
      <c r="B1025" s="1" t="n">
        <v>45966</v>
      </c>
      <c r="C1025" s="1" t="n">
        <v>46059</v>
      </c>
      <c r="D1025" t="inlineStr">
        <is>
          <t>VÄSTERNORRLANDS LÄN</t>
        </is>
      </c>
      <c r="E1025" t="inlineStr">
        <is>
          <t>ÅNGE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54710-2025</t>
        </is>
      </c>
      <c r="B1026" s="1" t="n">
        <v>45966.49515046296</v>
      </c>
      <c r="C1026" s="1" t="n">
        <v>46059</v>
      </c>
      <c r="D1026" t="inlineStr">
        <is>
          <t>VÄSTERNORRLANDS LÄN</t>
        </is>
      </c>
      <c r="E1026" t="inlineStr">
        <is>
          <t>ÅNGE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54819-2025</t>
        </is>
      </c>
      <c r="B1027" s="1" t="n">
        <v>45966.65709490741</v>
      </c>
      <c r="C1027" s="1" t="n">
        <v>46059</v>
      </c>
      <c r="D1027" t="inlineStr">
        <is>
          <t>VÄSTERNORRLANDS LÄN</t>
        </is>
      </c>
      <c r="E1027" t="inlineStr">
        <is>
          <t>ÅNGE</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54715-2025</t>
        </is>
      </c>
      <c r="B1028" s="1" t="n">
        <v>45966.50961805556</v>
      </c>
      <c r="C1028" s="1" t="n">
        <v>46059</v>
      </c>
      <c r="D1028" t="inlineStr">
        <is>
          <t>VÄSTERNORRLANDS LÄN</t>
        </is>
      </c>
      <c r="E1028" t="inlineStr">
        <is>
          <t>ÅNGE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16191-2023</t>
        </is>
      </c>
      <c r="B1029" s="1" t="n">
        <v>45027.94111111111</v>
      </c>
      <c r="C1029" s="1" t="n">
        <v>46059</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17670-2023</t>
        </is>
      </c>
      <c r="B1030" s="1" t="n">
        <v>45036</v>
      </c>
      <c r="C1030" s="1" t="n">
        <v>46059</v>
      </c>
      <c r="D1030" t="inlineStr">
        <is>
          <t>VÄSTERNORRLANDS LÄN</t>
        </is>
      </c>
      <c r="E1030" t="inlineStr">
        <is>
          <t>ÅNGE</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54346-2025</t>
        </is>
      </c>
      <c r="B1031" s="1" t="n">
        <v>45965.36525462963</v>
      </c>
      <c r="C1031" s="1" t="n">
        <v>46059</v>
      </c>
      <c r="D1031" t="inlineStr">
        <is>
          <t>VÄSTERNORRLANDS LÄN</t>
        </is>
      </c>
      <c r="E1031" t="inlineStr">
        <is>
          <t>ÅNGE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59412-2024</t>
        </is>
      </c>
      <c r="B1032" s="1" t="n">
        <v>45638</v>
      </c>
      <c r="C1032" s="1" t="n">
        <v>46059</v>
      </c>
      <c r="D1032" t="inlineStr">
        <is>
          <t>VÄSTERNORRLANDS LÄN</t>
        </is>
      </c>
      <c r="E1032" t="inlineStr">
        <is>
          <t>ÅNGE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44518-2024</t>
        </is>
      </c>
      <c r="B1033" s="1" t="n">
        <v>45574.43376157407</v>
      </c>
      <c r="C1033" s="1" t="n">
        <v>46059</v>
      </c>
      <c r="D1033" t="inlineStr">
        <is>
          <t>VÄSTERNORRLANDS LÄN</t>
        </is>
      </c>
      <c r="E1033" t="inlineStr">
        <is>
          <t>ÅNGE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55160-2025</t>
        </is>
      </c>
      <c r="B1034" s="1" t="n">
        <v>45968.46930555555</v>
      </c>
      <c r="C1034" s="1" t="n">
        <v>46059</v>
      </c>
      <c r="D1034" t="inlineStr">
        <is>
          <t>VÄSTERNORRLANDS LÄN</t>
        </is>
      </c>
      <c r="E1034" t="inlineStr">
        <is>
          <t>ÅNGE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51124-2024</t>
        </is>
      </c>
      <c r="B1035" s="1" t="n">
        <v>45603.50716435185</v>
      </c>
      <c r="C1035" s="1" t="n">
        <v>46059</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54925-2025</t>
        </is>
      </c>
      <c r="B1036" s="1" t="n">
        <v>45967.40699074074</v>
      </c>
      <c r="C1036" s="1" t="n">
        <v>46059</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50674-2024</t>
        </is>
      </c>
      <c r="B1037" s="1" t="n">
        <v>45601.85402777778</v>
      </c>
      <c r="C1037" s="1" t="n">
        <v>46059</v>
      </c>
      <c r="D1037" t="inlineStr">
        <is>
          <t>VÄSTERNORRLANDS LÄN</t>
        </is>
      </c>
      <c r="E1037" t="inlineStr">
        <is>
          <t>ÅNGE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54720-2024</t>
        </is>
      </c>
      <c r="B1038" s="1" t="n">
        <v>45618.43715277778</v>
      </c>
      <c r="C1038" s="1" t="n">
        <v>46059</v>
      </c>
      <c r="D1038" t="inlineStr">
        <is>
          <t>VÄSTERNORRLANDS LÄN</t>
        </is>
      </c>
      <c r="E1038" t="inlineStr">
        <is>
          <t>ÅNGE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53336-2024</t>
        </is>
      </c>
      <c r="B1039" s="1" t="n">
        <v>45614.42753472222</v>
      </c>
      <c r="C1039" s="1" t="n">
        <v>46059</v>
      </c>
      <c r="D1039" t="inlineStr">
        <is>
          <t>VÄSTERNORRLANDS LÄN</t>
        </is>
      </c>
      <c r="E1039" t="inlineStr">
        <is>
          <t>ÅNGE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54926-2025</t>
        </is>
      </c>
      <c r="B1040" s="1" t="n">
        <v>45967.40707175926</v>
      </c>
      <c r="C1040" s="1" t="n">
        <v>46059</v>
      </c>
      <c r="D1040" t="inlineStr">
        <is>
          <t>VÄSTERNORRLANDS LÄN</t>
        </is>
      </c>
      <c r="E1040" t="inlineStr">
        <is>
          <t>ÅNGE</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48787-2024</t>
        </is>
      </c>
      <c r="B1041" s="1" t="n">
        <v>45593.63888888889</v>
      </c>
      <c r="C1041" s="1" t="n">
        <v>46059</v>
      </c>
      <c r="D1041" t="inlineStr">
        <is>
          <t>VÄSTERNORRLANDS LÄN</t>
        </is>
      </c>
      <c r="E1041" t="inlineStr">
        <is>
          <t>ÅNGE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57598-2022</t>
        </is>
      </c>
      <c r="B1042" s="1" t="n">
        <v>44896</v>
      </c>
      <c r="C1042" s="1" t="n">
        <v>46059</v>
      </c>
      <c r="D1042" t="inlineStr">
        <is>
          <t>VÄSTERNORRLANDS LÄN</t>
        </is>
      </c>
      <c r="E1042" t="inlineStr">
        <is>
          <t>ÅNGE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58939-2021</t>
        </is>
      </c>
      <c r="B1043" s="1" t="n">
        <v>44489</v>
      </c>
      <c r="C1043" s="1" t="n">
        <v>46059</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55038-2025</t>
        </is>
      </c>
      <c r="B1044" s="1" t="n">
        <v>45967.65527777778</v>
      </c>
      <c r="C1044" s="1" t="n">
        <v>46059</v>
      </c>
      <c r="D1044" t="inlineStr">
        <is>
          <t>VÄSTERNORRLANDS LÄN</t>
        </is>
      </c>
      <c r="E1044" t="inlineStr">
        <is>
          <t>ÅNGE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55045-2025</t>
        </is>
      </c>
      <c r="B1045" s="1" t="n">
        <v>45967.66068287037</v>
      </c>
      <c r="C1045" s="1" t="n">
        <v>46059</v>
      </c>
      <c r="D1045" t="inlineStr">
        <is>
          <t>VÄSTERNORRLANDS LÄN</t>
        </is>
      </c>
      <c r="E1045" t="inlineStr">
        <is>
          <t>ÅNGE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42969-2024</t>
        </is>
      </c>
      <c r="B1046" s="1" t="n">
        <v>45567.37300925926</v>
      </c>
      <c r="C1046" s="1" t="n">
        <v>46059</v>
      </c>
      <c r="D1046" t="inlineStr">
        <is>
          <t>VÄSTERNORRLANDS LÄN</t>
        </is>
      </c>
      <c r="E1046" t="inlineStr">
        <is>
          <t>ÅNGE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52683-2024</t>
        </is>
      </c>
      <c r="B1047" s="1" t="n">
        <v>45610</v>
      </c>
      <c r="C1047" s="1" t="n">
        <v>46059</v>
      </c>
      <c r="D1047" t="inlineStr">
        <is>
          <t>VÄSTERNORRLANDS LÄN</t>
        </is>
      </c>
      <c r="E1047" t="inlineStr">
        <is>
          <t>ÅNGE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37558-2023</t>
        </is>
      </c>
      <c r="B1048" s="1" t="n">
        <v>45159.34511574074</v>
      </c>
      <c r="C1048" s="1" t="n">
        <v>46059</v>
      </c>
      <c r="D1048" t="inlineStr">
        <is>
          <t>VÄSTERNORRLANDS LÄN</t>
        </is>
      </c>
      <c r="E1048" t="inlineStr">
        <is>
          <t>ÅNGE</t>
        </is>
      </c>
      <c r="F1048" t="inlineStr">
        <is>
          <t>Kyrkan</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34852-2023</t>
        </is>
      </c>
      <c r="B1049" s="1" t="n">
        <v>45141</v>
      </c>
      <c r="C1049" s="1" t="n">
        <v>46059</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55049-2025</t>
        </is>
      </c>
      <c r="B1050" s="1" t="n">
        <v>45967.66614583333</v>
      </c>
      <c r="C1050" s="1" t="n">
        <v>46059</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19798-2025</t>
        </is>
      </c>
      <c r="B1051" s="1" t="n">
        <v>45771.44824074074</v>
      </c>
      <c r="C1051" s="1" t="n">
        <v>46059</v>
      </c>
      <c r="D1051" t="inlineStr">
        <is>
          <t>VÄSTERNORRLANDS LÄN</t>
        </is>
      </c>
      <c r="E1051" t="inlineStr">
        <is>
          <t>ÅNGE</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10558-2023</t>
        </is>
      </c>
      <c r="B1052" s="1" t="n">
        <v>44987.94438657408</v>
      </c>
      <c r="C1052" s="1" t="n">
        <v>46059</v>
      </c>
      <c r="D1052" t="inlineStr">
        <is>
          <t>VÄSTERNORRLANDS LÄN</t>
        </is>
      </c>
      <c r="E1052" t="inlineStr">
        <is>
          <t>ÅNGE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1975-2025</t>
        </is>
      </c>
      <c r="B1053" s="1" t="n">
        <v>45672.39332175926</v>
      </c>
      <c r="C1053" s="1" t="n">
        <v>46059</v>
      </c>
      <c r="D1053" t="inlineStr">
        <is>
          <t>VÄSTERNORRLANDS LÄN</t>
        </is>
      </c>
      <c r="E1053" t="inlineStr">
        <is>
          <t>ÅNGE</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33429-2023</t>
        </is>
      </c>
      <c r="B1054" s="1" t="n">
        <v>45128.94983796297</v>
      </c>
      <c r="C1054" s="1" t="n">
        <v>46059</v>
      </c>
      <c r="D1054" t="inlineStr">
        <is>
          <t>VÄSTERNORRLANDS LÄN</t>
        </is>
      </c>
      <c r="E1054" t="inlineStr">
        <is>
          <t>ÅNGE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20576-2021</t>
        </is>
      </c>
      <c r="B1055" s="1" t="n">
        <v>44316.3290162037</v>
      </c>
      <c r="C1055" s="1" t="n">
        <v>46059</v>
      </c>
      <c r="D1055" t="inlineStr">
        <is>
          <t>VÄSTERNORRLANDS LÄN</t>
        </is>
      </c>
      <c r="E1055" t="inlineStr">
        <is>
          <t>ÅNGE</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49487-2024</t>
        </is>
      </c>
      <c r="B1056" s="1" t="n">
        <v>45596.35813657408</v>
      </c>
      <c r="C1056" s="1" t="n">
        <v>46059</v>
      </c>
      <c r="D1056" t="inlineStr">
        <is>
          <t>VÄSTERNORRLANDS LÄN</t>
        </is>
      </c>
      <c r="E1056" t="inlineStr">
        <is>
          <t>ÅNGE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1235-2023</t>
        </is>
      </c>
      <c r="B1057" s="1" t="n">
        <v>44935</v>
      </c>
      <c r="C1057" s="1" t="n">
        <v>46059</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55556-2025</t>
        </is>
      </c>
      <c r="B1058" s="1" t="n">
        <v>45971.64694444444</v>
      </c>
      <c r="C1058" s="1" t="n">
        <v>46059</v>
      </c>
      <c r="D1058" t="inlineStr">
        <is>
          <t>VÄSTERNORRLANDS LÄN</t>
        </is>
      </c>
      <c r="E1058" t="inlineStr">
        <is>
          <t>ÅNGE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13501-2021</t>
        </is>
      </c>
      <c r="B1059" s="1" t="n">
        <v>44273</v>
      </c>
      <c r="C1059" s="1" t="n">
        <v>46059</v>
      </c>
      <c r="D1059" t="inlineStr">
        <is>
          <t>VÄSTERNORRLANDS LÄN</t>
        </is>
      </c>
      <c r="E1059" t="inlineStr">
        <is>
          <t>ÅNGE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44606-2024</t>
        </is>
      </c>
      <c r="B1060" s="1" t="n">
        <v>45574.51195601852</v>
      </c>
      <c r="C1060" s="1" t="n">
        <v>46059</v>
      </c>
      <c r="D1060" t="inlineStr">
        <is>
          <t>VÄSTERNORRLANDS LÄN</t>
        </is>
      </c>
      <c r="E1060" t="inlineStr">
        <is>
          <t>ÅNGE</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44626-2024</t>
        </is>
      </c>
      <c r="B1061" s="1" t="n">
        <v>45574.51378472222</v>
      </c>
      <c r="C1061" s="1" t="n">
        <v>46059</v>
      </c>
      <c r="D1061" t="inlineStr">
        <is>
          <t>VÄSTERNORRLANDS LÄN</t>
        </is>
      </c>
      <c r="E1061" t="inlineStr">
        <is>
          <t>ÅNGE</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33302-2024</t>
        </is>
      </c>
      <c r="B1062" s="1" t="n">
        <v>45518.96967592592</v>
      </c>
      <c r="C1062" s="1" t="n">
        <v>46059</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7528-2023</t>
        </is>
      </c>
      <c r="B1063" s="1" t="n">
        <v>44971.97662037037</v>
      </c>
      <c r="C1063" s="1" t="n">
        <v>46059</v>
      </c>
      <c r="D1063" t="inlineStr">
        <is>
          <t>VÄSTERNORRLANDS LÄN</t>
        </is>
      </c>
      <c r="E1063" t="inlineStr">
        <is>
          <t>ÅNGE</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34851-2023</t>
        </is>
      </c>
      <c r="B1064" s="1" t="n">
        <v>45141</v>
      </c>
      <c r="C1064" s="1" t="n">
        <v>46059</v>
      </c>
      <c r="D1064" t="inlineStr">
        <is>
          <t>VÄSTERNORRLANDS LÄN</t>
        </is>
      </c>
      <c r="E1064" t="inlineStr">
        <is>
          <t>ÅNGE</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61781-2023</t>
        </is>
      </c>
      <c r="B1065" s="1" t="n">
        <v>45265.95708333333</v>
      </c>
      <c r="C1065" s="1" t="n">
        <v>46059</v>
      </c>
      <c r="D1065" t="inlineStr">
        <is>
          <t>VÄSTERNORRLANDS LÄN</t>
        </is>
      </c>
      <c r="E1065" t="inlineStr">
        <is>
          <t>ÅNGE</t>
        </is>
      </c>
      <c r="F1065" t="inlineStr">
        <is>
          <t>SCA</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56077-2025</t>
        </is>
      </c>
      <c r="B1066" s="1" t="n">
        <v>45973.65759259259</v>
      </c>
      <c r="C1066" s="1" t="n">
        <v>46059</v>
      </c>
      <c r="D1066" t="inlineStr">
        <is>
          <t>VÄSTERNORRLANDS LÄN</t>
        </is>
      </c>
      <c r="E1066" t="inlineStr">
        <is>
          <t>ÅNGE</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55816-2025</t>
        </is>
      </c>
      <c r="B1067" s="1" t="n">
        <v>45972.69851851852</v>
      </c>
      <c r="C1067" s="1" t="n">
        <v>46059</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26018-2024</t>
        </is>
      </c>
      <c r="B1068" s="1" t="n">
        <v>45467.95998842592</v>
      </c>
      <c r="C1068" s="1" t="n">
        <v>46059</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26021-2024</t>
        </is>
      </c>
      <c r="B1069" s="1" t="n">
        <v>45467</v>
      </c>
      <c r="C1069" s="1" t="n">
        <v>46059</v>
      </c>
      <c r="D1069" t="inlineStr">
        <is>
          <t>VÄSTERNORRLANDS LÄN</t>
        </is>
      </c>
      <c r="E1069" t="inlineStr">
        <is>
          <t>ÅNGE</t>
        </is>
      </c>
      <c r="F1069" t="inlineStr">
        <is>
          <t>SCA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45932-2023</t>
        </is>
      </c>
      <c r="B1070" s="1" t="n">
        <v>45195</v>
      </c>
      <c r="C1070" s="1" t="n">
        <v>46059</v>
      </c>
      <c r="D1070" t="inlineStr">
        <is>
          <t>VÄSTERNORRLANDS LÄN</t>
        </is>
      </c>
      <c r="E1070" t="inlineStr">
        <is>
          <t>ÅNGE</t>
        </is>
      </c>
      <c r="F1070" t="inlineStr">
        <is>
          <t>SCA</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6-2025</t>
        </is>
      </c>
      <c r="B1071" s="1" t="n">
        <v>45658.50759259259</v>
      </c>
      <c r="C1071" s="1" t="n">
        <v>46059</v>
      </c>
      <c r="D1071" t="inlineStr">
        <is>
          <t>VÄSTERNORRLANDS LÄN</t>
        </is>
      </c>
      <c r="E1071" t="inlineStr">
        <is>
          <t>ÅNGE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56423-2025</t>
        </is>
      </c>
      <c r="B1072" s="1" t="n">
        <v>45975.34528935186</v>
      </c>
      <c r="C1072" s="1" t="n">
        <v>46059</v>
      </c>
      <c r="D1072" t="inlineStr">
        <is>
          <t>VÄSTERNORRLANDS LÄN</t>
        </is>
      </c>
      <c r="E1072" t="inlineStr">
        <is>
          <t>ÅNGE</t>
        </is>
      </c>
      <c r="F1072" t="inlineStr">
        <is>
          <t>SCA</t>
        </is>
      </c>
      <c r="G1072" t="n">
        <v>1.5</v>
      </c>
      <c r="H1072" t="n">
        <v>0</v>
      </c>
      <c r="I1072" t="n">
        <v>0</v>
      </c>
      <c r="J1072" t="n">
        <v>0</v>
      </c>
      <c r="K1072" t="n">
        <v>0</v>
      </c>
      <c r="L1072" t="n">
        <v>0</v>
      </c>
      <c r="M1072" t="n">
        <v>0</v>
      </c>
      <c r="N1072" t="n">
        <v>0</v>
      </c>
      <c r="O1072" t="n">
        <v>0</v>
      </c>
      <c r="P1072" t="n">
        <v>0</v>
      </c>
      <c r="Q1072" t="n">
        <v>0</v>
      </c>
      <c r="R1072" s="2" t="inlineStr"/>
      <c r="U1072">
        <f>HYPERLINK("https://klasma.github.io/Logging_2260/knärot/A 56423-2025 karta knärot.png", "A 56423-2025")</f>
        <v/>
      </c>
      <c r="V1072">
        <f>HYPERLINK("https://klasma.github.io/Logging_2260/klagomål/A 56423-2025 FSC-klagomål.docx", "A 56423-2025")</f>
        <v/>
      </c>
      <c r="W1072">
        <f>HYPERLINK("https://klasma.github.io/Logging_2260/klagomålsmail/A 56423-2025 FSC-klagomål mail.docx", "A 56423-2025")</f>
        <v/>
      </c>
      <c r="X1072">
        <f>HYPERLINK("https://klasma.github.io/Logging_2260/tillsyn/A 56423-2025 tillsynsbegäran.docx", "A 56423-2025")</f>
        <v/>
      </c>
      <c r="Y1072">
        <f>HYPERLINK("https://klasma.github.io/Logging_2260/tillsynsmail/A 56423-2025 tillsynsbegäran mail.docx", "A 56423-2025")</f>
        <v/>
      </c>
    </row>
    <row r="1073" ht="15" customHeight="1">
      <c r="A1073" t="inlineStr">
        <is>
          <t>A 49187-2024</t>
        </is>
      </c>
      <c r="B1073" s="1" t="n">
        <v>45595.34490740741</v>
      </c>
      <c r="C1073" s="1" t="n">
        <v>46059</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39764-2024</t>
        </is>
      </c>
      <c r="B1074" s="1" t="n">
        <v>45552.7190162037</v>
      </c>
      <c r="C1074" s="1" t="n">
        <v>46059</v>
      </c>
      <c r="D1074" t="inlineStr">
        <is>
          <t>VÄSTERNORRLANDS LÄN</t>
        </is>
      </c>
      <c r="E1074" t="inlineStr">
        <is>
          <t>ÅNGE</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53988-2024</t>
        </is>
      </c>
      <c r="B1075" s="1" t="n">
        <v>45616.34408564815</v>
      </c>
      <c r="C1075" s="1" t="n">
        <v>46059</v>
      </c>
      <c r="D1075" t="inlineStr">
        <is>
          <t>VÄSTERNORRLANDS LÄN</t>
        </is>
      </c>
      <c r="E1075" t="inlineStr">
        <is>
          <t>ÅNGE</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54002-2024</t>
        </is>
      </c>
      <c r="B1076" s="1" t="n">
        <v>45616.36491898148</v>
      </c>
      <c r="C1076" s="1" t="n">
        <v>46059</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28873-2024</t>
        </is>
      </c>
      <c r="B1077" s="1" t="n">
        <v>45478.94766203704</v>
      </c>
      <c r="C1077" s="1" t="n">
        <v>46059</v>
      </c>
      <c r="D1077" t="inlineStr">
        <is>
          <t>VÄSTERNORRLANDS LÄN</t>
        </is>
      </c>
      <c r="E1077" t="inlineStr">
        <is>
          <t>ÅNGE</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31563-2024</t>
        </is>
      </c>
      <c r="B1078" s="1" t="n">
        <v>45505</v>
      </c>
      <c r="C1078" s="1" t="n">
        <v>46059</v>
      </c>
      <c r="D1078" t="inlineStr">
        <is>
          <t>VÄSTERNORRLANDS LÄN</t>
        </is>
      </c>
      <c r="E1078" t="inlineStr">
        <is>
          <t>ÅNGE</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48697-2024</t>
        </is>
      </c>
      <c r="B1079" s="1" t="n">
        <v>45593.51136574074</v>
      </c>
      <c r="C1079" s="1" t="n">
        <v>46059</v>
      </c>
      <c r="D1079" t="inlineStr">
        <is>
          <t>VÄSTERNORRLANDS LÄN</t>
        </is>
      </c>
      <c r="E1079" t="inlineStr">
        <is>
          <t>ÅNGE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34705-2023</t>
        </is>
      </c>
      <c r="B1080" s="1" t="n">
        <v>45140.96452546296</v>
      </c>
      <c r="C1080" s="1" t="n">
        <v>46059</v>
      </c>
      <c r="D1080" t="inlineStr">
        <is>
          <t>VÄSTERNORRLANDS LÄN</t>
        </is>
      </c>
      <c r="E1080" t="inlineStr">
        <is>
          <t>ÅNGE</t>
        </is>
      </c>
      <c r="F1080" t="inlineStr">
        <is>
          <t>SCA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34750-2023</t>
        </is>
      </c>
      <c r="B1081" s="1" t="n">
        <v>45139</v>
      </c>
      <c r="C1081" s="1" t="n">
        <v>46059</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69790-2021</t>
        </is>
      </c>
      <c r="B1082" s="1" t="n">
        <v>44532.605625</v>
      </c>
      <c r="C1082" s="1" t="n">
        <v>46059</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3330-2025</t>
        </is>
      </c>
      <c r="B1083" s="1" t="n">
        <v>45679.70041666667</v>
      </c>
      <c r="C1083" s="1" t="n">
        <v>46059</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11764-2024</t>
        </is>
      </c>
      <c r="B1084" s="1" t="n">
        <v>45373.94837962963</v>
      </c>
      <c r="C1084" s="1" t="n">
        <v>46059</v>
      </c>
      <c r="D1084" t="inlineStr">
        <is>
          <t>VÄSTERNORRLANDS LÄN</t>
        </is>
      </c>
      <c r="E1084" t="inlineStr">
        <is>
          <t>ÅNGE</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54059-2024</t>
        </is>
      </c>
      <c r="B1085" s="1" t="n">
        <v>45616.46943287037</v>
      </c>
      <c r="C1085" s="1" t="n">
        <v>46059</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44158-2024</t>
        </is>
      </c>
      <c r="B1086" s="1" t="n">
        <v>45572</v>
      </c>
      <c r="C1086" s="1" t="n">
        <v>46059</v>
      </c>
      <c r="D1086" t="inlineStr">
        <is>
          <t>VÄSTERNORRLANDS LÄN</t>
        </is>
      </c>
      <c r="E1086" t="inlineStr">
        <is>
          <t>ÅNGE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31229-2023</t>
        </is>
      </c>
      <c r="B1087" s="1" t="n">
        <v>45114</v>
      </c>
      <c r="C1087" s="1" t="n">
        <v>46059</v>
      </c>
      <c r="D1087" t="inlineStr">
        <is>
          <t>VÄSTERNORRLANDS LÄN</t>
        </is>
      </c>
      <c r="E1087" t="inlineStr">
        <is>
          <t>ÅNGE</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2299-2025</t>
        </is>
      </c>
      <c r="B1088" s="1" t="n">
        <v>45673.59516203704</v>
      </c>
      <c r="C1088" s="1" t="n">
        <v>46059</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44639-2023</t>
        </is>
      </c>
      <c r="B1089" s="1" t="n">
        <v>45184</v>
      </c>
      <c r="C1089" s="1" t="n">
        <v>46059</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17009-2023</t>
        </is>
      </c>
      <c r="B1090" s="1" t="n">
        <v>45033.9455787037</v>
      </c>
      <c r="C1090" s="1" t="n">
        <v>46059</v>
      </c>
      <c r="D1090" t="inlineStr">
        <is>
          <t>VÄSTERNORRLANDS LÄN</t>
        </is>
      </c>
      <c r="E1090" t="inlineStr">
        <is>
          <t>ÅNGE</t>
        </is>
      </c>
      <c r="F1090" t="inlineStr">
        <is>
          <t>SCA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48690-2024</t>
        </is>
      </c>
      <c r="B1091" s="1" t="n">
        <v>45593.50704861111</v>
      </c>
      <c r="C1091" s="1" t="n">
        <v>46059</v>
      </c>
      <c r="D1091" t="inlineStr">
        <is>
          <t>VÄSTERNORRLANDS LÄN</t>
        </is>
      </c>
      <c r="E1091" t="inlineStr">
        <is>
          <t>ÅNGE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60578-2024</t>
        </is>
      </c>
      <c r="B1092" s="1" t="n">
        <v>45644.34434027778</v>
      </c>
      <c r="C1092" s="1" t="n">
        <v>46059</v>
      </c>
      <c r="D1092" t="inlineStr">
        <is>
          <t>VÄSTERNORRLANDS LÄN</t>
        </is>
      </c>
      <c r="E1092" t="inlineStr">
        <is>
          <t>ÅNGE</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24977-2021</t>
        </is>
      </c>
      <c r="B1093" s="1" t="n">
        <v>44341.51386574074</v>
      </c>
      <c r="C1093" s="1" t="n">
        <v>46059</v>
      </c>
      <c r="D1093" t="inlineStr">
        <is>
          <t>VÄSTERNORRLANDS LÄN</t>
        </is>
      </c>
      <c r="E1093" t="inlineStr">
        <is>
          <t>ÅNGE</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19342-2024</t>
        </is>
      </c>
      <c r="B1094" s="1" t="n">
        <v>45428</v>
      </c>
      <c r="C1094" s="1" t="n">
        <v>46059</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25034-2023</t>
        </is>
      </c>
      <c r="B1095" s="1" t="n">
        <v>45085</v>
      </c>
      <c r="C1095" s="1" t="n">
        <v>46059</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22597-2021</t>
        </is>
      </c>
      <c r="B1096" s="1" t="n">
        <v>44326</v>
      </c>
      <c r="C1096" s="1" t="n">
        <v>46059</v>
      </c>
      <c r="D1096" t="inlineStr">
        <is>
          <t>VÄSTERNORRLANDS LÄN</t>
        </is>
      </c>
      <c r="E1096" t="inlineStr">
        <is>
          <t>ÅNGE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25035-2023</t>
        </is>
      </c>
      <c r="B1097" s="1" t="n">
        <v>45085</v>
      </c>
      <c r="C1097" s="1" t="n">
        <v>46059</v>
      </c>
      <c r="D1097" t="inlineStr">
        <is>
          <t>VÄSTERNORRLANDS LÄN</t>
        </is>
      </c>
      <c r="E1097" t="inlineStr">
        <is>
          <t>ÅNGE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40755-2023</t>
        </is>
      </c>
      <c r="B1098" s="1" t="n">
        <v>45170</v>
      </c>
      <c r="C1098" s="1" t="n">
        <v>46059</v>
      </c>
      <c r="D1098" t="inlineStr">
        <is>
          <t>VÄSTERNORRLANDS LÄN</t>
        </is>
      </c>
      <c r="E1098" t="inlineStr">
        <is>
          <t>ÅNGE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10282-2025</t>
        </is>
      </c>
      <c r="B1099" s="1" t="n">
        <v>45720.40659722222</v>
      </c>
      <c r="C1099" s="1" t="n">
        <v>46059</v>
      </c>
      <c r="D1099" t="inlineStr">
        <is>
          <t>VÄSTERNORRLANDS LÄN</t>
        </is>
      </c>
      <c r="E1099" t="inlineStr">
        <is>
          <t>ÅNGE</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41284-2024</t>
        </is>
      </c>
      <c r="B1100" s="1" t="n">
        <v>45559.59520833333</v>
      </c>
      <c r="C1100" s="1" t="n">
        <v>46059</v>
      </c>
      <c r="D1100" t="inlineStr">
        <is>
          <t>VÄSTERNORRLANDS LÄN</t>
        </is>
      </c>
      <c r="E1100" t="inlineStr">
        <is>
          <t>ÅNGE</t>
        </is>
      </c>
      <c r="F1100" t="inlineStr">
        <is>
          <t>SCA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137-2025</t>
        </is>
      </c>
      <c r="B1101" s="1" t="n">
        <v>45659.57684027778</v>
      </c>
      <c r="C1101" s="1" t="n">
        <v>46059</v>
      </c>
      <c r="D1101" t="inlineStr">
        <is>
          <t>VÄSTERNORRLANDS LÄN</t>
        </is>
      </c>
      <c r="E1101" t="inlineStr">
        <is>
          <t>ÅNGE</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32901-2023</t>
        </is>
      </c>
      <c r="B1102" s="1" t="n">
        <v>45124.95063657407</v>
      </c>
      <c r="C1102" s="1" t="n">
        <v>46059</v>
      </c>
      <c r="D1102" t="inlineStr">
        <is>
          <t>VÄSTERNORRLANDS LÄN</t>
        </is>
      </c>
      <c r="E1102" t="inlineStr">
        <is>
          <t>ÅNGE</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10071-2023</t>
        </is>
      </c>
      <c r="B1103" s="1" t="n">
        <v>44985.92418981482</v>
      </c>
      <c r="C1103" s="1" t="n">
        <v>46059</v>
      </c>
      <c r="D1103" t="inlineStr">
        <is>
          <t>VÄSTERNORRLANDS LÄN</t>
        </is>
      </c>
      <c r="E1103" t="inlineStr">
        <is>
          <t>ÅNGE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16903-2024</t>
        </is>
      </c>
      <c r="B1104" s="1" t="n">
        <v>45411.63106481481</v>
      </c>
      <c r="C1104" s="1" t="n">
        <v>46059</v>
      </c>
      <c r="D1104" t="inlineStr">
        <is>
          <t>VÄSTERNORRLANDS LÄN</t>
        </is>
      </c>
      <c r="E1104" t="inlineStr">
        <is>
          <t>ÅNGE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16915-2024</t>
        </is>
      </c>
      <c r="B1105" s="1" t="n">
        <v>45411.65185185185</v>
      </c>
      <c r="C1105" s="1" t="n">
        <v>46059</v>
      </c>
      <c r="D1105" t="inlineStr">
        <is>
          <t>VÄSTERNORRLANDS LÄN</t>
        </is>
      </c>
      <c r="E1105" t="inlineStr">
        <is>
          <t>ÅNGE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5613-2024</t>
        </is>
      </c>
      <c r="B1106" s="1" t="n">
        <v>45334</v>
      </c>
      <c r="C1106" s="1" t="n">
        <v>46059</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54456-2024</t>
        </is>
      </c>
      <c r="B1107" s="1" t="n">
        <v>45617.53160879629</v>
      </c>
      <c r="C1107" s="1" t="n">
        <v>46059</v>
      </c>
      <c r="D1107" t="inlineStr">
        <is>
          <t>VÄSTERNORRLANDS LÄN</t>
        </is>
      </c>
      <c r="E1107" t="inlineStr">
        <is>
          <t>ÅNGE</t>
        </is>
      </c>
      <c r="F1107" t="inlineStr">
        <is>
          <t>SCA</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25311-2023</t>
        </is>
      </c>
      <c r="B1108" s="1" t="n">
        <v>45086.93869212963</v>
      </c>
      <c r="C1108" s="1" t="n">
        <v>46059</v>
      </c>
      <c r="D1108" t="inlineStr">
        <is>
          <t>VÄSTERNORRLANDS LÄN</t>
        </is>
      </c>
      <c r="E1108" t="inlineStr">
        <is>
          <t>ÅNGE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4904-2024</t>
        </is>
      </c>
      <c r="B1109" s="1" t="n">
        <v>45329.47856481482</v>
      </c>
      <c r="C1109" s="1" t="n">
        <v>46059</v>
      </c>
      <c r="D1109" t="inlineStr">
        <is>
          <t>VÄSTERNORRLANDS LÄN</t>
        </is>
      </c>
      <c r="E1109" t="inlineStr">
        <is>
          <t>ÅNGE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29462-2024</t>
        </is>
      </c>
      <c r="B1110" s="1" t="n">
        <v>45483.96979166667</v>
      </c>
      <c r="C1110" s="1" t="n">
        <v>46059</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44178-2023</t>
        </is>
      </c>
      <c r="B1111" s="1" t="n">
        <v>45183</v>
      </c>
      <c r="C1111" s="1" t="n">
        <v>46059</v>
      </c>
      <c r="D1111" t="inlineStr">
        <is>
          <t>VÄSTERNORRLANDS LÄN</t>
        </is>
      </c>
      <c r="E1111" t="inlineStr">
        <is>
          <t>ÅNGE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8648-2025</t>
        </is>
      </c>
      <c r="B1112" s="1" t="n">
        <v>45712.34501157407</v>
      </c>
      <c r="C1112" s="1" t="n">
        <v>46059</v>
      </c>
      <c r="D1112" t="inlineStr">
        <is>
          <t>VÄSTERNORRLANDS LÄN</t>
        </is>
      </c>
      <c r="E1112" t="inlineStr">
        <is>
          <t>ÅNGE</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27952-2024</t>
        </is>
      </c>
      <c r="B1113" s="1" t="n">
        <v>45476.33063657407</v>
      </c>
      <c r="C1113" s="1" t="n">
        <v>46059</v>
      </c>
      <c r="D1113" t="inlineStr">
        <is>
          <t>VÄSTERNORRLANDS LÄN</t>
        </is>
      </c>
      <c r="E1113" t="inlineStr">
        <is>
          <t>ÅNGE</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32439-2024</t>
        </is>
      </c>
      <c r="B1114" s="1" t="n">
        <v>45512</v>
      </c>
      <c r="C1114" s="1" t="n">
        <v>46059</v>
      </c>
      <c r="D1114" t="inlineStr">
        <is>
          <t>VÄSTERNORRLANDS LÄN</t>
        </is>
      </c>
      <c r="E1114" t="inlineStr">
        <is>
          <t>ÅNGE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16362-2023</t>
        </is>
      </c>
      <c r="B1115" s="1" t="n">
        <v>45028.9250462963</v>
      </c>
      <c r="C1115" s="1" t="n">
        <v>46059</v>
      </c>
      <c r="D1115" t="inlineStr">
        <is>
          <t>VÄSTERNORRLANDS LÄN</t>
        </is>
      </c>
      <c r="E1115" t="inlineStr">
        <is>
          <t>ÅNGE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60363-2024</t>
        </is>
      </c>
      <c r="B1116" s="1" t="n">
        <v>45643</v>
      </c>
      <c r="C1116" s="1" t="n">
        <v>46059</v>
      </c>
      <c r="D1116" t="inlineStr">
        <is>
          <t>VÄSTERNORRLANDS LÄN</t>
        </is>
      </c>
      <c r="E1116" t="inlineStr">
        <is>
          <t>ÅNGE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51070-2024</t>
        </is>
      </c>
      <c r="B1117" s="1" t="n">
        <v>45603</v>
      </c>
      <c r="C1117" s="1" t="n">
        <v>46059</v>
      </c>
      <c r="D1117" t="inlineStr">
        <is>
          <t>VÄSTERNORRLANDS LÄN</t>
        </is>
      </c>
      <c r="E1117" t="inlineStr">
        <is>
          <t>ÅNGE</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60514-2024</t>
        </is>
      </c>
      <c r="B1118" s="1" t="n">
        <v>45643.67474537037</v>
      </c>
      <c r="C1118" s="1" t="n">
        <v>46059</v>
      </c>
      <c r="D1118" t="inlineStr">
        <is>
          <t>VÄSTERNORRLANDS LÄN</t>
        </is>
      </c>
      <c r="E1118" t="inlineStr">
        <is>
          <t>ÅNGE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28779-2023</t>
        </is>
      </c>
      <c r="B1119" s="1" t="n">
        <v>45104.34314814815</v>
      </c>
      <c r="C1119" s="1" t="n">
        <v>46059</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63607-2021</t>
        </is>
      </c>
      <c r="B1120" s="1" t="n">
        <v>44508.94650462963</v>
      </c>
      <c r="C1120" s="1" t="n">
        <v>46059</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30235-2024</t>
        </is>
      </c>
      <c r="B1121" s="1" t="n">
        <v>45490.49040509259</v>
      </c>
      <c r="C1121" s="1" t="n">
        <v>46059</v>
      </c>
      <c r="D1121" t="inlineStr">
        <is>
          <t>VÄSTERNORRLANDS LÄN</t>
        </is>
      </c>
      <c r="E1121" t="inlineStr">
        <is>
          <t>ÅNGE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52665-2024</t>
        </is>
      </c>
      <c r="B1122" s="1" t="n">
        <v>45610.36549768518</v>
      </c>
      <c r="C1122" s="1" t="n">
        <v>46059</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41370-2023</t>
        </is>
      </c>
      <c r="B1123" s="1" t="n">
        <v>45174.85951388889</v>
      </c>
      <c r="C1123" s="1" t="n">
        <v>46059</v>
      </c>
      <c r="D1123" t="inlineStr">
        <is>
          <t>VÄSTERNORRLANDS LÄN</t>
        </is>
      </c>
      <c r="E1123" t="inlineStr">
        <is>
          <t>ÅNGE</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41831-2021</t>
        </is>
      </c>
      <c r="B1124" s="1" t="n">
        <v>44425.92212962963</v>
      </c>
      <c r="C1124" s="1" t="n">
        <v>46059</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57815-2024</t>
        </is>
      </c>
      <c r="B1125" s="1" t="n">
        <v>45631.37068287037</v>
      </c>
      <c r="C1125" s="1" t="n">
        <v>46059</v>
      </c>
      <c r="D1125" t="inlineStr">
        <is>
          <t>VÄSTERNORRLANDS LÄN</t>
        </is>
      </c>
      <c r="E1125" t="inlineStr">
        <is>
          <t>ÅNGE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6691-2024</t>
        </is>
      </c>
      <c r="B1126" s="1" t="n">
        <v>45341</v>
      </c>
      <c r="C1126" s="1" t="n">
        <v>46059</v>
      </c>
      <c r="D1126" t="inlineStr">
        <is>
          <t>VÄSTERNORRLANDS LÄN</t>
        </is>
      </c>
      <c r="E1126" t="inlineStr">
        <is>
          <t>ÅNGE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12123-2024</t>
        </is>
      </c>
      <c r="B1127" s="1" t="n">
        <v>45377</v>
      </c>
      <c r="C1127" s="1" t="n">
        <v>46059</v>
      </c>
      <c r="D1127" t="inlineStr">
        <is>
          <t>VÄSTERNORRLANDS LÄN</t>
        </is>
      </c>
      <c r="E1127" t="inlineStr">
        <is>
          <t>ÅNGE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12806-2025</t>
        </is>
      </c>
      <c r="B1128" s="1" t="n">
        <v>45733.61518518518</v>
      </c>
      <c r="C1128" s="1" t="n">
        <v>46059</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20024-2023</t>
        </is>
      </c>
      <c r="B1129" s="1" t="n">
        <v>45051</v>
      </c>
      <c r="C1129" s="1" t="n">
        <v>46059</v>
      </c>
      <c r="D1129" t="inlineStr">
        <is>
          <t>VÄSTERNORRLANDS LÄN</t>
        </is>
      </c>
      <c r="E1129" t="inlineStr">
        <is>
          <t>ÅNGE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13164-2022</t>
        </is>
      </c>
      <c r="B1130" s="1" t="n">
        <v>44644</v>
      </c>
      <c r="C1130" s="1" t="n">
        <v>46059</v>
      </c>
      <c r="D1130" t="inlineStr">
        <is>
          <t>VÄSTERNORRLANDS LÄN</t>
        </is>
      </c>
      <c r="E1130" t="inlineStr">
        <is>
          <t>ÅNGE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14927-2025</t>
        </is>
      </c>
      <c r="B1131" s="1" t="n">
        <v>45743</v>
      </c>
      <c r="C1131" s="1" t="n">
        <v>46059</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5456-2024</t>
        </is>
      </c>
      <c r="B1132" s="1" t="n">
        <v>45331</v>
      </c>
      <c r="C1132" s="1" t="n">
        <v>46059</v>
      </c>
      <c r="D1132" t="inlineStr">
        <is>
          <t>VÄSTERNORRLANDS LÄN</t>
        </is>
      </c>
      <c r="E1132" t="inlineStr">
        <is>
          <t>ÅNGE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38284-2022</t>
        </is>
      </c>
      <c r="B1133" s="1" t="n">
        <v>44812.55149305556</v>
      </c>
      <c r="C1133" s="1" t="n">
        <v>46059</v>
      </c>
      <c r="D1133" t="inlineStr">
        <is>
          <t>VÄSTERNORRLANDS LÄN</t>
        </is>
      </c>
      <c r="E1133" t="inlineStr">
        <is>
          <t>ÅNGE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30474-2024</t>
        </is>
      </c>
      <c r="B1134" s="1" t="n">
        <v>45491</v>
      </c>
      <c r="C1134" s="1" t="n">
        <v>46059</v>
      </c>
      <c r="D1134" t="inlineStr">
        <is>
          <t>VÄSTERNORRLANDS LÄN</t>
        </is>
      </c>
      <c r="E1134" t="inlineStr">
        <is>
          <t>ÅNGE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30475-2024</t>
        </is>
      </c>
      <c r="B1135" s="1" t="n">
        <v>45491</v>
      </c>
      <c r="C1135" s="1" t="n">
        <v>46059</v>
      </c>
      <c r="D1135" t="inlineStr">
        <is>
          <t>VÄSTERNORRLANDS LÄN</t>
        </is>
      </c>
      <c r="E1135" t="inlineStr">
        <is>
          <t>ÅNGE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30353-2024</t>
        </is>
      </c>
      <c r="B1136" s="1" t="n">
        <v>45490.95567129629</v>
      </c>
      <c r="C1136" s="1" t="n">
        <v>46059</v>
      </c>
      <c r="D1136" t="inlineStr">
        <is>
          <t>VÄSTERNORRLANDS LÄN</t>
        </is>
      </c>
      <c r="E1136" t="inlineStr">
        <is>
          <t>ÅNGE</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71965-2021</t>
        </is>
      </c>
      <c r="B1137" s="1" t="n">
        <v>44544.32483796297</v>
      </c>
      <c r="C1137" s="1" t="n">
        <v>46059</v>
      </c>
      <c r="D1137" t="inlineStr">
        <is>
          <t>VÄSTERNORRLANDS LÄN</t>
        </is>
      </c>
      <c r="E1137" t="inlineStr">
        <is>
          <t>ÅNGE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56574-2024</t>
        </is>
      </c>
      <c r="B1138" s="1" t="n">
        <v>45625.59616898148</v>
      </c>
      <c r="C1138" s="1" t="n">
        <v>46059</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58087-2024</t>
        </is>
      </c>
      <c r="B1139" s="1" t="n">
        <v>45632.34502314815</v>
      </c>
      <c r="C1139" s="1" t="n">
        <v>46059</v>
      </c>
      <c r="D1139" t="inlineStr">
        <is>
          <t>VÄSTERNORRLANDS LÄN</t>
        </is>
      </c>
      <c r="E1139" t="inlineStr">
        <is>
          <t>ÅNGE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16606-2023</t>
        </is>
      </c>
      <c r="B1140" s="1" t="n">
        <v>45030.3990625</v>
      </c>
      <c r="C1140" s="1" t="n">
        <v>46059</v>
      </c>
      <c r="D1140" t="inlineStr">
        <is>
          <t>VÄSTERNORRLANDS LÄN</t>
        </is>
      </c>
      <c r="E1140" t="inlineStr">
        <is>
          <t>ÅNGE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50231-2024</t>
        </is>
      </c>
      <c r="B1141" s="1" t="n">
        <v>45600.55251157407</v>
      </c>
      <c r="C1141" s="1" t="n">
        <v>46059</v>
      </c>
      <c r="D1141" t="inlineStr">
        <is>
          <t>VÄSTERNORRLANDS LÄN</t>
        </is>
      </c>
      <c r="E1141" t="inlineStr">
        <is>
          <t>ÅNGE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25047-2023</t>
        </is>
      </c>
      <c r="B1142" s="1" t="n">
        <v>45085.94569444445</v>
      </c>
      <c r="C1142" s="1" t="n">
        <v>46059</v>
      </c>
      <c r="D1142" t="inlineStr">
        <is>
          <t>VÄSTERNORRLANDS LÄN</t>
        </is>
      </c>
      <c r="E1142" t="inlineStr">
        <is>
          <t>ÅNGE</t>
        </is>
      </c>
      <c r="F1142" t="inlineStr">
        <is>
          <t>SCA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15791-2025</t>
        </is>
      </c>
      <c r="B1143" s="1" t="n">
        <v>45748.631875</v>
      </c>
      <c r="C1143" s="1" t="n">
        <v>46059</v>
      </c>
      <c r="D1143" t="inlineStr">
        <is>
          <t>VÄSTERNORRLANDS LÄN</t>
        </is>
      </c>
      <c r="E1143" t="inlineStr">
        <is>
          <t>ÅNGE</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55007-2022</t>
        </is>
      </c>
      <c r="B1144" s="1" t="n">
        <v>44881</v>
      </c>
      <c r="C1144" s="1" t="n">
        <v>46059</v>
      </c>
      <c r="D1144" t="inlineStr">
        <is>
          <t>VÄSTERNORRLANDS LÄN</t>
        </is>
      </c>
      <c r="E1144" t="inlineStr">
        <is>
          <t>ÅNGE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16281-2023</t>
        </is>
      </c>
      <c r="B1145" s="1" t="n">
        <v>45028</v>
      </c>
      <c r="C1145" s="1" t="n">
        <v>46059</v>
      </c>
      <c r="D1145" t="inlineStr">
        <is>
          <t>VÄSTERNORRLANDS LÄN</t>
        </is>
      </c>
      <c r="E1145" t="inlineStr">
        <is>
          <t>ÅNGE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45459-2022</t>
        </is>
      </c>
      <c r="B1146" s="1" t="n">
        <v>44845</v>
      </c>
      <c r="C1146" s="1" t="n">
        <v>46059</v>
      </c>
      <c r="D1146" t="inlineStr">
        <is>
          <t>VÄSTERNORRLANDS LÄN</t>
        </is>
      </c>
      <c r="E1146" t="inlineStr">
        <is>
          <t>ÅNGE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59600-2024</t>
        </is>
      </c>
      <c r="B1147" s="1" t="n">
        <v>45638.71763888889</v>
      </c>
      <c r="C1147" s="1" t="n">
        <v>46059</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2984-2025</t>
        </is>
      </c>
      <c r="B1148" s="1" t="n">
        <v>45678.51094907407</v>
      </c>
      <c r="C1148" s="1" t="n">
        <v>46059</v>
      </c>
      <c r="D1148" t="inlineStr">
        <is>
          <t>VÄSTERNORRLANDS LÄN</t>
        </is>
      </c>
      <c r="E1148" t="inlineStr">
        <is>
          <t>ÅNGE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3133-2024</t>
        </is>
      </c>
      <c r="B1149" s="1" t="n">
        <v>45316.55885416667</v>
      </c>
      <c r="C1149" s="1" t="n">
        <v>46059</v>
      </c>
      <c r="D1149" t="inlineStr">
        <is>
          <t>VÄSTERNORRLANDS LÄN</t>
        </is>
      </c>
      <c r="E1149" t="inlineStr">
        <is>
          <t>ÅNGE</t>
        </is>
      </c>
      <c r="F1149" t="inlineStr">
        <is>
          <t>Holmen skog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17210-2022</t>
        </is>
      </c>
      <c r="B1150" s="1" t="n">
        <v>44677.92701388889</v>
      </c>
      <c r="C1150" s="1" t="n">
        <v>46059</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10017-2025</t>
        </is>
      </c>
      <c r="B1151" s="1" t="n">
        <v>45719.46957175926</v>
      </c>
      <c r="C1151" s="1" t="n">
        <v>46059</v>
      </c>
      <c r="D1151" t="inlineStr">
        <is>
          <t>VÄSTERNORRLANDS LÄN</t>
        </is>
      </c>
      <c r="E1151" t="inlineStr">
        <is>
          <t>ÅNGE</t>
        </is>
      </c>
      <c r="F1151" t="inlineStr">
        <is>
          <t>SCA</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10195-2024</t>
        </is>
      </c>
      <c r="B1152" s="1" t="n">
        <v>45364</v>
      </c>
      <c r="C1152" s="1" t="n">
        <v>46059</v>
      </c>
      <c r="D1152" t="inlineStr">
        <is>
          <t>VÄSTERNORRLANDS LÄN</t>
        </is>
      </c>
      <c r="E1152" t="inlineStr">
        <is>
          <t>ÅNGE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29270-2024</t>
        </is>
      </c>
      <c r="B1153" s="1" t="n">
        <v>45482.94979166667</v>
      </c>
      <c r="C1153" s="1" t="n">
        <v>46059</v>
      </c>
      <c r="D1153" t="inlineStr">
        <is>
          <t>VÄSTERNORRLANDS LÄN</t>
        </is>
      </c>
      <c r="E1153" t="inlineStr">
        <is>
          <t>ÅNGE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29696-2024</t>
        </is>
      </c>
      <c r="B1154" s="1" t="n">
        <v>45484.94524305555</v>
      </c>
      <c r="C1154" s="1" t="n">
        <v>46059</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361-2025</t>
        </is>
      </c>
      <c r="B1155" s="1" t="n">
        <v>45660</v>
      </c>
      <c r="C1155" s="1" t="n">
        <v>46059</v>
      </c>
      <c r="D1155" t="inlineStr">
        <is>
          <t>VÄSTERNORRLANDS LÄN</t>
        </is>
      </c>
      <c r="E1155" t="inlineStr">
        <is>
          <t>ÅNGE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12021-2022</t>
        </is>
      </c>
      <c r="B1156" s="1" t="n">
        <v>44635</v>
      </c>
      <c r="C1156" s="1" t="n">
        <v>46059</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33062-2022</t>
        </is>
      </c>
      <c r="B1157" s="1" t="n">
        <v>44785</v>
      </c>
      <c r="C1157" s="1" t="n">
        <v>46059</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6690-2024</t>
        </is>
      </c>
      <c r="B1158" s="1" t="n">
        <v>45341</v>
      </c>
      <c r="C1158" s="1" t="n">
        <v>46059</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3977-2025</t>
        </is>
      </c>
      <c r="B1159" s="1" t="n">
        <v>45684</v>
      </c>
      <c r="C1159" s="1" t="n">
        <v>46059</v>
      </c>
      <c r="D1159" t="inlineStr">
        <is>
          <t>VÄSTERNORRLANDS LÄN</t>
        </is>
      </c>
      <c r="E1159" t="inlineStr">
        <is>
          <t>ÅNGE</t>
        </is>
      </c>
      <c r="F1159" t="inlineStr">
        <is>
          <t>Holmen skog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27002-2023</t>
        </is>
      </c>
      <c r="B1160" s="1" t="n">
        <v>45093</v>
      </c>
      <c r="C1160" s="1" t="n">
        <v>46059</v>
      </c>
      <c r="D1160" t="inlineStr">
        <is>
          <t>VÄSTERNORRLANDS LÄN</t>
        </is>
      </c>
      <c r="E1160" t="inlineStr">
        <is>
          <t>ÅNGE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14976-2025</t>
        </is>
      </c>
      <c r="B1161" s="1" t="n">
        <v>45743</v>
      </c>
      <c r="C1161" s="1" t="n">
        <v>46059</v>
      </c>
      <c r="D1161" t="inlineStr">
        <is>
          <t>VÄSTERNORRLANDS LÄN</t>
        </is>
      </c>
      <c r="E1161" t="inlineStr">
        <is>
          <t>ÅNGE</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5249-2025</t>
        </is>
      </c>
      <c r="B1162" s="1" t="n">
        <v>45692.34465277778</v>
      </c>
      <c r="C1162" s="1" t="n">
        <v>46059</v>
      </c>
      <c r="D1162" t="inlineStr">
        <is>
          <t>VÄSTERNORRLANDS LÄN</t>
        </is>
      </c>
      <c r="E1162" t="inlineStr">
        <is>
          <t>ÅNGE</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57271-2024</t>
        </is>
      </c>
      <c r="B1163" s="1" t="n">
        <v>45629.57364583333</v>
      </c>
      <c r="C1163" s="1" t="n">
        <v>46059</v>
      </c>
      <c r="D1163" t="inlineStr">
        <is>
          <t>VÄSTERNORRLANDS LÄN</t>
        </is>
      </c>
      <c r="E1163" t="inlineStr">
        <is>
          <t>ÅNGE</t>
        </is>
      </c>
      <c r="F1163" t="inlineStr">
        <is>
          <t>SCA</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5369-2022</t>
        </is>
      </c>
      <c r="B1164" s="1" t="n">
        <v>44594.92113425926</v>
      </c>
      <c r="C1164" s="1" t="n">
        <v>46059</v>
      </c>
      <c r="D1164" t="inlineStr">
        <is>
          <t>VÄSTERNORRLANDS LÄN</t>
        </is>
      </c>
      <c r="E1164" t="inlineStr">
        <is>
          <t>ÅNGE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22755-2023</t>
        </is>
      </c>
      <c r="B1165" s="1" t="n">
        <v>45071.94127314815</v>
      </c>
      <c r="C1165" s="1" t="n">
        <v>46059</v>
      </c>
      <c r="D1165" t="inlineStr">
        <is>
          <t>VÄSTERNORRLANDS LÄN</t>
        </is>
      </c>
      <c r="E1165" t="inlineStr">
        <is>
          <t>ÅNGE</t>
        </is>
      </c>
      <c r="F1165" t="inlineStr">
        <is>
          <t>SCA</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50419-2022</t>
        </is>
      </c>
      <c r="B1166" s="1" t="n">
        <v>44861</v>
      </c>
      <c r="C1166" s="1" t="n">
        <v>46059</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42881-2023</t>
        </is>
      </c>
      <c r="B1167" s="1" t="n">
        <v>45182.45256944445</v>
      </c>
      <c r="C1167" s="1" t="n">
        <v>46059</v>
      </c>
      <c r="D1167" t="inlineStr">
        <is>
          <t>VÄSTERNORRLANDS LÄN</t>
        </is>
      </c>
      <c r="E1167" t="inlineStr">
        <is>
          <t>ÅNGE</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18430-2025</t>
        </is>
      </c>
      <c r="B1168" s="1" t="n">
        <v>45762.63576388889</v>
      </c>
      <c r="C1168" s="1" t="n">
        <v>46059</v>
      </c>
      <c r="D1168" t="inlineStr">
        <is>
          <t>VÄSTERNORRLANDS LÄN</t>
        </is>
      </c>
      <c r="E1168" t="inlineStr">
        <is>
          <t>ÅNGE</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43916-2023</t>
        </is>
      </c>
      <c r="B1169" s="1" t="n">
        <v>45187.72152777778</v>
      </c>
      <c r="C1169" s="1" t="n">
        <v>46059</v>
      </c>
      <c r="D1169" t="inlineStr">
        <is>
          <t>VÄSTERNORRLANDS LÄN</t>
        </is>
      </c>
      <c r="E1169" t="inlineStr">
        <is>
          <t>ÅNGE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20255-2023</t>
        </is>
      </c>
      <c r="B1170" s="1" t="n">
        <v>45055</v>
      </c>
      <c r="C1170" s="1" t="n">
        <v>46059</v>
      </c>
      <c r="D1170" t="inlineStr">
        <is>
          <t>VÄSTERNORRLANDS LÄN</t>
        </is>
      </c>
      <c r="E1170" t="inlineStr">
        <is>
          <t>ÅNGE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54429-2024</t>
        </is>
      </c>
      <c r="B1171" s="1" t="n">
        <v>45617.49087962963</v>
      </c>
      <c r="C1171" s="1" t="n">
        <v>46059</v>
      </c>
      <c r="D1171" t="inlineStr">
        <is>
          <t>VÄSTERNORRLANDS LÄN</t>
        </is>
      </c>
      <c r="E1171" t="inlineStr">
        <is>
          <t>ÅNGE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36492-2023</t>
        </is>
      </c>
      <c r="B1172" s="1" t="n">
        <v>45152.92479166666</v>
      </c>
      <c r="C1172" s="1" t="n">
        <v>46059</v>
      </c>
      <c r="D1172" t="inlineStr">
        <is>
          <t>VÄSTERNORRLANDS LÄN</t>
        </is>
      </c>
      <c r="E1172" t="inlineStr">
        <is>
          <t>ÅNGE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8650-2024</t>
        </is>
      </c>
      <c r="B1173" s="1" t="n">
        <v>45356</v>
      </c>
      <c r="C1173" s="1" t="n">
        <v>46059</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56569-2024</t>
        </is>
      </c>
      <c r="B1174" s="1" t="n">
        <v>45625</v>
      </c>
      <c r="C1174" s="1" t="n">
        <v>46059</v>
      </c>
      <c r="D1174" t="inlineStr">
        <is>
          <t>VÄSTERNORRLANDS LÄN</t>
        </is>
      </c>
      <c r="E1174" t="inlineStr">
        <is>
          <t>ÅNGE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57529-2024</t>
        </is>
      </c>
      <c r="B1175" s="1" t="n">
        <v>45630</v>
      </c>
      <c r="C1175" s="1" t="n">
        <v>46059</v>
      </c>
      <c r="D1175" t="inlineStr">
        <is>
          <t>VÄSTERNORRLANDS LÄN</t>
        </is>
      </c>
      <c r="E1175" t="inlineStr">
        <is>
          <t>ÅNGE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4872-2025</t>
        </is>
      </c>
      <c r="B1176" s="1" t="n">
        <v>45688.67619212963</v>
      </c>
      <c r="C1176" s="1" t="n">
        <v>46059</v>
      </c>
      <c r="D1176" t="inlineStr">
        <is>
          <t>VÄSTERNORRLANDS LÄN</t>
        </is>
      </c>
      <c r="E1176" t="inlineStr">
        <is>
          <t>ÅNGE</t>
        </is>
      </c>
      <c r="F1176" t="inlineStr">
        <is>
          <t>SCA</t>
        </is>
      </c>
      <c r="G1176" t="n">
        <v>31.3</v>
      </c>
      <c r="H1176" t="n">
        <v>0</v>
      </c>
      <c r="I1176" t="n">
        <v>0</v>
      </c>
      <c r="J1176" t="n">
        <v>0</v>
      </c>
      <c r="K1176" t="n">
        <v>0</v>
      </c>
      <c r="L1176" t="n">
        <v>0</v>
      </c>
      <c r="M1176" t="n">
        <v>0</v>
      </c>
      <c r="N1176" t="n">
        <v>0</v>
      </c>
      <c r="O1176" t="n">
        <v>0</v>
      </c>
      <c r="P1176" t="n">
        <v>0</v>
      </c>
      <c r="Q1176" t="n">
        <v>0</v>
      </c>
      <c r="R1176" s="2" t="inlineStr"/>
      <c r="U1176">
        <f>HYPERLINK("https://klasma.github.io/Logging_2260/knärot/A 4872-2025 karta knärot.png", "A 4872-2025")</f>
        <v/>
      </c>
      <c r="V1176">
        <f>HYPERLINK("https://klasma.github.io/Logging_2260/klagomål/A 4872-2025 FSC-klagomål.docx", "A 4872-2025")</f>
        <v/>
      </c>
      <c r="W1176">
        <f>HYPERLINK("https://klasma.github.io/Logging_2260/klagomålsmail/A 4872-2025 FSC-klagomål mail.docx", "A 4872-2025")</f>
        <v/>
      </c>
      <c r="X1176">
        <f>HYPERLINK("https://klasma.github.io/Logging_2260/tillsyn/A 4872-2025 tillsynsbegäran.docx", "A 4872-2025")</f>
        <v/>
      </c>
      <c r="Y1176">
        <f>HYPERLINK("https://klasma.github.io/Logging_2260/tillsynsmail/A 4872-2025 tillsynsbegäran mail.docx", "A 4872-2025")</f>
        <v/>
      </c>
    </row>
    <row r="1177" ht="15" customHeight="1">
      <c r="A1177" t="inlineStr">
        <is>
          <t>A 16973-2025</t>
        </is>
      </c>
      <c r="B1177" s="1" t="n">
        <v>45755.46967592592</v>
      </c>
      <c r="C1177" s="1" t="n">
        <v>46059</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48632-2023</t>
        </is>
      </c>
      <c r="B1178" s="1" t="n">
        <v>45208.57944444445</v>
      </c>
      <c r="C1178" s="1" t="n">
        <v>46059</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8747-2022</t>
        </is>
      </c>
      <c r="B1179" s="1" t="n">
        <v>44614.33912037037</v>
      </c>
      <c r="C1179" s="1" t="n">
        <v>46059</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14888-2022</t>
        </is>
      </c>
      <c r="B1180" s="1" t="n">
        <v>44656</v>
      </c>
      <c r="C1180" s="1" t="n">
        <v>46059</v>
      </c>
      <c r="D1180" t="inlineStr">
        <is>
          <t>VÄSTERNORRLANDS LÄN</t>
        </is>
      </c>
      <c r="E1180" t="inlineStr">
        <is>
          <t>ÅNGE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55329-2023</t>
        </is>
      </c>
      <c r="B1181" s="1" t="n">
        <v>45237</v>
      </c>
      <c r="C1181" s="1" t="n">
        <v>46059</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3986-2025</t>
        </is>
      </c>
      <c r="B1182" s="1" t="n">
        <v>45684.55262731481</v>
      </c>
      <c r="C1182" s="1" t="n">
        <v>46059</v>
      </c>
      <c r="D1182" t="inlineStr">
        <is>
          <t>VÄSTERNORRLANDS LÄN</t>
        </is>
      </c>
      <c r="E1182" t="inlineStr">
        <is>
          <t>ÅNGE</t>
        </is>
      </c>
      <c r="F1182" t="inlineStr">
        <is>
          <t>SCA</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46795-2023</t>
        </is>
      </c>
      <c r="B1183" s="1" t="n">
        <v>45198</v>
      </c>
      <c r="C1183" s="1" t="n">
        <v>46059</v>
      </c>
      <c r="D1183" t="inlineStr">
        <is>
          <t>VÄSTERNORRLANDS LÄN</t>
        </is>
      </c>
      <c r="E1183" t="inlineStr">
        <is>
          <t>ÅNGE</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4094-2025</t>
        </is>
      </c>
      <c r="B1184" s="1" t="n">
        <v>45684.6778125</v>
      </c>
      <c r="C1184" s="1" t="n">
        <v>46059</v>
      </c>
      <c r="D1184" t="inlineStr">
        <is>
          <t>VÄSTERNORRLANDS LÄN</t>
        </is>
      </c>
      <c r="E1184" t="inlineStr">
        <is>
          <t>ÅNGE</t>
        </is>
      </c>
      <c r="F1184" t="inlineStr">
        <is>
          <t>SCA</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39973-2023</t>
        </is>
      </c>
      <c r="B1185" s="1" t="n">
        <v>45168.5858912037</v>
      </c>
      <c r="C1185" s="1" t="n">
        <v>46059</v>
      </c>
      <c r="D1185" t="inlineStr">
        <is>
          <t>VÄSTERNORRLANDS LÄN</t>
        </is>
      </c>
      <c r="E1185" t="inlineStr">
        <is>
          <t>ÅNGE</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58637-2023</t>
        </is>
      </c>
      <c r="B1186" s="1" t="n">
        <v>45251</v>
      </c>
      <c r="C1186" s="1" t="n">
        <v>46059</v>
      </c>
      <c r="D1186" t="inlineStr">
        <is>
          <t>VÄSTERNORRLANDS LÄN</t>
        </is>
      </c>
      <c r="E1186" t="inlineStr">
        <is>
          <t>ÅNGE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4236-2025</t>
        </is>
      </c>
      <c r="B1187" s="1" t="n">
        <v>45685.56534722223</v>
      </c>
      <c r="C1187" s="1" t="n">
        <v>46059</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51131-2022</t>
        </is>
      </c>
      <c r="B1188" s="1" t="n">
        <v>44868</v>
      </c>
      <c r="C1188" s="1" t="n">
        <v>46059</v>
      </c>
      <c r="D1188" t="inlineStr">
        <is>
          <t>VÄSTERNORRLANDS LÄN</t>
        </is>
      </c>
      <c r="E1188" t="inlineStr">
        <is>
          <t>ÅNGE</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5999-2025</t>
        </is>
      </c>
      <c r="B1189" s="1" t="n">
        <v>45695</v>
      </c>
      <c r="C1189" s="1" t="n">
        <v>46059</v>
      </c>
      <c r="D1189" t="inlineStr">
        <is>
          <t>VÄSTERNORRLANDS LÄN</t>
        </is>
      </c>
      <c r="E1189" t="inlineStr">
        <is>
          <t>ÅNGE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26015-2024</t>
        </is>
      </c>
      <c r="B1190" s="1" t="n">
        <v>45467.95872685185</v>
      </c>
      <c r="C1190" s="1" t="n">
        <v>46059</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26010-2024</t>
        </is>
      </c>
      <c r="B1191" s="1" t="n">
        <v>45467.95819444444</v>
      </c>
      <c r="C1191" s="1" t="n">
        <v>46059</v>
      </c>
      <c r="D1191" t="inlineStr">
        <is>
          <t>VÄSTERNORRLANDS LÄN</t>
        </is>
      </c>
      <c r="E1191" t="inlineStr">
        <is>
          <t>ÅNGE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60365-2024</t>
        </is>
      </c>
      <c r="B1192" s="1" t="n">
        <v>45643</v>
      </c>
      <c r="C1192" s="1" t="n">
        <v>46059</v>
      </c>
      <c r="D1192" t="inlineStr">
        <is>
          <t>VÄSTERNORRLANDS LÄN</t>
        </is>
      </c>
      <c r="E1192" t="inlineStr">
        <is>
          <t>ÅNGE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11871-2025</t>
        </is>
      </c>
      <c r="B1193" s="1" t="n">
        <v>45728.42740740741</v>
      </c>
      <c r="C1193" s="1" t="n">
        <v>46059</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15799-2025</t>
        </is>
      </c>
      <c r="B1194" s="1" t="n">
        <v>45748.64768518518</v>
      </c>
      <c r="C1194" s="1" t="n">
        <v>46059</v>
      </c>
      <c r="D1194" t="inlineStr">
        <is>
          <t>VÄSTERNORRLANDS LÄN</t>
        </is>
      </c>
      <c r="E1194" t="inlineStr">
        <is>
          <t>ÅNGE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47488-2023</t>
        </is>
      </c>
      <c r="B1195" s="1" t="n">
        <v>45202.94168981481</v>
      </c>
      <c r="C1195" s="1" t="n">
        <v>46059</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54982-2023</t>
        </is>
      </c>
      <c r="B1196" s="1" t="n">
        <v>45236</v>
      </c>
      <c r="C1196" s="1" t="n">
        <v>46059</v>
      </c>
      <c r="D1196" t="inlineStr">
        <is>
          <t>VÄSTERNORRLANDS LÄN</t>
        </is>
      </c>
      <c r="E1196" t="inlineStr">
        <is>
          <t>ÅNGE</t>
        </is>
      </c>
      <c r="F1196" t="inlineStr">
        <is>
          <t>SCA</t>
        </is>
      </c>
      <c r="G1196" t="n">
        <v>26.2</v>
      </c>
      <c r="H1196" t="n">
        <v>0</v>
      </c>
      <c r="I1196" t="n">
        <v>0</v>
      </c>
      <c r="J1196" t="n">
        <v>0</v>
      </c>
      <c r="K1196" t="n">
        <v>0</v>
      </c>
      <c r="L1196" t="n">
        <v>0</v>
      </c>
      <c r="M1196" t="n">
        <v>0</v>
      </c>
      <c r="N1196" t="n">
        <v>0</v>
      </c>
      <c r="O1196" t="n">
        <v>0</v>
      </c>
      <c r="P1196" t="n">
        <v>0</v>
      </c>
      <c r="Q1196" t="n">
        <v>0</v>
      </c>
      <c r="R1196" s="2" t="inlineStr"/>
    </row>
    <row r="1197" ht="15" customHeight="1">
      <c r="A1197" t="inlineStr">
        <is>
          <t>A 57560-2023</t>
        </is>
      </c>
      <c r="B1197" s="1" t="n">
        <v>45243</v>
      </c>
      <c r="C1197" s="1" t="n">
        <v>46059</v>
      </c>
      <c r="D1197" t="inlineStr">
        <is>
          <t>VÄSTERNORRLANDS LÄN</t>
        </is>
      </c>
      <c r="E1197" t="inlineStr">
        <is>
          <t>ÅNGE</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57568-2023</t>
        </is>
      </c>
      <c r="B1198" s="1" t="n">
        <v>45246.50484953704</v>
      </c>
      <c r="C1198" s="1" t="n">
        <v>46059</v>
      </c>
      <c r="D1198" t="inlineStr">
        <is>
          <t>VÄSTERNORRLANDS LÄN</t>
        </is>
      </c>
      <c r="E1198" t="inlineStr">
        <is>
          <t>ÅNGE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63530-2023</t>
        </is>
      </c>
      <c r="B1199" s="1" t="n">
        <v>45274</v>
      </c>
      <c r="C1199" s="1" t="n">
        <v>46059</v>
      </c>
      <c r="D1199" t="inlineStr">
        <is>
          <t>VÄSTERNORRLANDS LÄN</t>
        </is>
      </c>
      <c r="E1199" t="inlineStr">
        <is>
          <t>ÅNGE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3253-2024</t>
        </is>
      </c>
      <c r="B1200" s="1" t="n">
        <v>45316</v>
      </c>
      <c r="C1200" s="1" t="n">
        <v>46059</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49945-2023</t>
        </is>
      </c>
      <c r="B1201" s="1" t="n">
        <v>45215.3625462963</v>
      </c>
      <c r="C1201" s="1" t="n">
        <v>46059</v>
      </c>
      <c r="D1201" t="inlineStr">
        <is>
          <t>VÄSTERNORRLANDS LÄN</t>
        </is>
      </c>
      <c r="E1201" t="inlineStr">
        <is>
          <t>ÅNGE</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25903-2022</t>
        </is>
      </c>
      <c r="B1202" s="1" t="n">
        <v>44733</v>
      </c>
      <c r="C1202" s="1" t="n">
        <v>46059</v>
      </c>
      <c r="D1202" t="inlineStr">
        <is>
          <t>VÄSTERNORRLANDS LÄN</t>
        </is>
      </c>
      <c r="E1202" t="inlineStr">
        <is>
          <t>ÅNGE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19709-2025</t>
        </is>
      </c>
      <c r="B1203" s="1" t="n">
        <v>45771.34263888889</v>
      </c>
      <c r="C1203" s="1" t="n">
        <v>46059</v>
      </c>
      <c r="D1203" t="inlineStr">
        <is>
          <t>VÄSTERNORRLANDS LÄN</t>
        </is>
      </c>
      <c r="E1203" t="inlineStr">
        <is>
          <t>ÅNGE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24324-2022</t>
        </is>
      </c>
      <c r="B1204" s="1" t="n">
        <v>44725.945</v>
      </c>
      <c r="C1204" s="1" t="n">
        <v>46059</v>
      </c>
      <c r="D1204" t="inlineStr">
        <is>
          <t>VÄSTERNORRLANDS LÄN</t>
        </is>
      </c>
      <c r="E1204" t="inlineStr">
        <is>
          <t>ÅNGE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24325-2022</t>
        </is>
      </c>
      <c r="B1205" s="1" t="n">
        <v>44725.94506944445</v>
      </c>
      <c r="C1205" s="1" t="n">
        <v>46059</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30803-2022</t>
        </is>
      </c>
      <c r="B1206" s="1" t="n">
        <v>44764</v>
      </c>
      <c r="C1206" s="1" t="n">
        <v>46059</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17744-2025</t>
        </is>
      </c>
      <c r="B1207" s="1" t="n">
        <v>45758</v>
      </c>
      <c r="C1207" s="1" t="n">
        <v>46059</v>
      </c>
      <c r="D1207" t="inlineStr">
        <is>
          <t>VÄSTERNORRLANDS LÄN</t>
        </is>
      </c>
      <c r="E1207" t="inlineStr">
        <is>
          <t>ÅNGE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2433-2024</t>
        </is>
      </c>
      <c r="B1208" s="1" t="n">
        <v>45310</v>
      </c>
      <c r="C1208" s="1" t="n">
        <v>46059</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56615-2023</t>
        </is>
      </c>
      <c r="B1209" s="1" t="n">
        <v>45243</v>
      </c>
      <c r="C1209" s="1" t="n">
        <v>46059</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61461-2023</t>
        </is>
      </c>
      <c r="B1210" s="1" t="n">
        <v>45264.9261574074</v>
      </c>
      <c r="C1210" s="1" t="n">
        <v>46059</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27661-2024</t>
        </is>
      </c>
      <c r="B1211" s="1" t="n">
        <v>45474.95365740741</v>
      </c>
      <c r="C1211" s="1" t="n">
        <v>46059</v>
      </c>
      <c r="D1211" t="inlineStr">
        <is>
          <t>VÄSTERNORRLANDS LÄN</t>
        </is>
      </c>
      <c r="E1211" t="inlineStr">
        <is>
          <t>ÅNGE</t>
        </is>
      </c>
      <c r="F1211" t="inlineStr">
        <is>
          <t>SCA</t>
        </is>
      </c>
      <c r="G1211" t="n">
        <v>19.1</v>
      </c>
      <c r="H1211" t="n">
        <v>0</v>
      </c>
      <c r="I1211" t="n">
        <v>0</v>
      </c>
      <c r="J1211" t="n">
        <v>0</v>
      </c>
      <c r="K1211" t="n">
        <v>0</v>
      </c>
      <c r="L1211" t="n">
        <v>0</v>
      </c>
      <c r="M1211" t="n">
        <v>0</v>
      </c>
      <c r="N1211" t="n">
        <v>0</v>
      </c>
      <c r="O1211" t="n">
        <v>0</v>
      </c>
      <c r="P1211" t="n">
        <v>0</v>
      </c>
      <c r="Q1211" t="n">
        <v>0</v>
      </c>
      <c r="R1211" s="2" t="inlineStr"/>
    </row>
    <row r="1212" ht="15" customHeight="1">
      <c r="A1212" t="inlineStr">
        <is>
          <t>A 45890-2021</t>
        </is>
      </c>
      <c r="B1212" s="1" t="n">
        <v>44441</v>
      </c>
      <c r="C1212" s="1" t="n">
        <v>46059</v>
      </c>
      <c r="D1212" t="inlineStr">
        <is>
          <t>VÄSTERNORRLANDS LÄN</t>
        </is>
      </c>
      <c r="E1212" t="inlineStr">
        <is>
          <t>ÅNGE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60003-2023</t>
        </is>
      </c>
      <c r="B1213" s="1" t="n">
        <v>45257</v>
      </c>
      <c r="C1213" s="1" t="n">
        <v>46059</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213-2024</t>
        </is>
      </c>
      <c r="B1214" s="1" t="n">
        <v>45293</v>
      </c>
      <c r="C1214" s="1" t="n">
        <v>46059</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40788-2024</t>
        </is>
      </c>
      <c r="B1215" s="1" t="n">
        <v>45558.50974537037</v>
      </c>
      <c r="C1215" s="1" t="n">
        <v>46059</v>
      </c>
      <c r="D1215" t="inlineStr">
        <is>
          <t>VÄSTERNORRLANDS LÄN</t>
        </is>
      </c>
      <c r="E1215" t="inlineStr">
        <is>
          <t>ÅNGE</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741-2024</t>
        </is>
      </c>
      <c r="B1216" s="1" t="n">
        <v>45300.46591435185</v>
      </c>
      <c r="C1216" s="1" t="n">
        <v>46059</v>
      </c>
      <c r="D1216" t="inlineStr">
        <is>
          <t>VÄSTERNORRLANDS LÄN</t>
        </is>
      </c>
      <c r="E1216" t="inlineStr">
        <is>
          <t>ÅNGE</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54611-2023</t>
        </is>
      </c>
      <c r="B1217" s="1" t="n">
        <v>45233</v>
      </c>
      <c r="C1217" s="1" t="n">
        <v>46059</v>
      </c>
      <c r="D1217" t="inlineStr">
        <is>
          <t>VÄSTERNORRLANDS LÄN</t>
        </is>
      </c>
      <c r="E1217" t="inlineStr">
        <is>
          <t>ÅNGE</t>
        </is>
      </c>
      <c r="F1217" t="inlineStr">
        <is>
          <t>SCA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14673-2025</t>
        </is>
      </c>
      <c r="B1218" s="1" t="n">
        <v>45742.55309027778</v>
      </c>
      <c r="C1218" s="1" t="n">
        <v>46059</v>
      </c>
      <c r="D1218" t="inlineStr">
        <is>
          <t>VÄSTERNORRLANDS LÄN</t>
        </is>
      </c>
      <c r="E1218" t="inlineStr">
        <is>
          <t>ÅNGE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15032-2025</t>
        </is>
      </c>
      <c r="B1219" s="1" t="n">
        <v>45743.67748842593</v>
      </c>
      <c r="C1219" s="1" t="n">
        <v>46059</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7692-2024</t>
        </is>
      </c>
      <c r="B1220" s="1" t="n">
        <v>45349</v>
      </c>
      <c r="C1220" s="1" t="n">
        <v>46059</v>
      </c>
      <c r="D1220" t="inlineStr">
        <is>
          <t>VÄSTERNORRLANDS LÄN</t>
        </is>
      </c>
      <c r="E1220" t="inlineStr">
        <is>
          <t>ÅNGE</t>
        </is>
      </c>
      <c r="F1220" t="inlineStr">
        <is>
          <t>SCA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29673-2024</t>
        </is>
      </c>
      <c r="B1221" s="1" t="n">
        <v>45484.94210648148</v>
      </c>
      <c r="C1221" s="1" t="n">
        <v>46059</v>
      </c>
      <c r="D1221" t="inlineStr">
        <is>
          <t>VÄSTERNORRLANDS LÄN</t>
        </is>
      </c>
      <c r="E1221" t="inlineStr">
        <is>
          <t>ÅNGE</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5602-2025</t>
        </is>
      </c>
      <c r="B1222" s="1" t="n">
        <v>45693</v>
      </c>
      <c r="C1222" s="1" t="n">
        <v>46059</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30751-2024</t>
        </is>
      </c>
      <c r="B1223" s="1" t="n">
        <v>45496.69339120371</v>
      </c>
      <c r="C1223" s="1" t="n">
        <v>46059</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38099-2024</t>
        </is>
      </c>
      <c r="B1224" s="1" t="n">
        <v>45545.35920138889</v>
      </c>
      <c r="C1224" s="1" t="n">
        <v>46059</v>
      </c>
      <c r="D1224" t="inlineStr">
        <is>
          <t>VÄSTERNORRLANDS LÄN</t>
        </is>
      </c>
      <c r="E1224" t="inlineStr">
        <is>
          <t>ÅNGE</t>
        </is>
      </c>
      <c r="F1224" t="inlineStr">
        <is>
          <t>Holmen skog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44636-2024</t>
        </is>
      </c>
      <c r="B1225" s="1" t="n">
        <v>45574.51491898148</v>
      </c>
      <c r="C1225" s="1" t="n">
        <v>46059</v>
      </c>
      <c r="D1225" t="inlineStr">
        <is>
          <t>VÄSTERNORRLANDS LÄN</t>
        </is>
      </c>
      <c r="E1225" t="inlineStr">
        <is>
          <t>ÅNGE</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64375-2023</t>
        </is>
      </c>
      <c r="B1226" s="1" t="n">
        <v>45280</v>
      </c>
      <c r="C1226" s="1" t="n">
        <v>46059</v>
      </c>
      <c r="D1226" t="inlineStr">
        <is>
          <t>VÄSTERNORRLANDS LÄN</t>
        </is>
      </c>
      <c r="E1226" t="inlineStr">
        <is>
          <t>ÅNGE</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60296-2021</t>
        </is>
      </c>
      <c r="B1227" s="1" t="n">
        <v>44495</v>
      </c>
      <c r="C1227" s="1" t="n">
        <v>46059</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63556-2021</t>
        </is>
      </c>
      <c r="B1228" s="1" t="n">
        <v>44508.70231481481</v>
      </c>
      <c r="C1228" s="1" t="n">
        <v>46059</v>
      </c>
      <c r="D1228" t="inlineStr">
        <is>
          <t>VÄSTERNORRLANDS LÄN</t>
        </is>
      </c>
      <c r="E1228" t="inlineStr">
        <is>
          <t>ÅNGE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10922-2024</t>
        </is>
      </c>
      <c r="B1229" s="1" t="n">
        <v>45370</v>
      </c>
      <c r="C1229" s="1" t="n">
        <v>46059</v>
      </c>
      <c r="D1229" t="inlineStr">
        <is>
          <t>VÄSTERNORRLANDS LÄN</t>
        </is>
      </c>
      <c r="E1229" t="inlineStr">
        <is>
          <t>ÅNGE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21089-2024</t>
        </is>
      </c>
      <c r="B1230" s="1" t="n">
        <v>45439.94987268518</v>
      </c>
      <c r="C1230" s="1" t="n">
        <v>46059</v>
      </c>
      <c r="D1230" t="inlineStr">
        <is>
          <t>VÄSTERNORRLANDS LÄN</t>
        </is>
      </c>
      <c r="E1230" t="inlineStr">
        <is>
          <t>ÅNGE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64950-2023</t>
        </is>
      </c>
      <c r="B1231" s="1" t="n">
        <v>45282</v>
      </c>
      <c r="C1231" s="1" t="n">
        <v>46059</v>
      </c>
      <c r="D1231" t="inlineStr">
        <is>
          <t>VÄSTERNORRLANDS LÄN</t>
        </is>
      </c>
      <c r="E1231" t="inlineStr">
        <is>
          <t>ÅNGE</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20393-2022</t>
        </is>
      </c>
      <c r="B1232" s="1" t="n">
        <v>44699</v>
      </c>
      <c r="C1232" s="1" t="n">
        <v>46059</v>
      </c>
      <c r="D1232" t="inlineStr">
        <is>
          <t>VÄSTERNORRLANDS LÄN</t>
        </is>
      </c>
      <c r="E1232" t="inlineStr">
        <is>
          <t>ÅNGE</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4727-2023</t>
        </is>
      </c>
      <c r="B1233" s="1" t="n">
        <v>44953</v>
      </c>
      <c r="C1233" s="1" t="n">
        <v>46059</v>
      </c>
      <c r="D1233" t="inlineStr">
        <is>
          <t>VÄSTERNORRLANDS LÄN</t>
        </is>
      </c>
      <c r="E1233" t="inlineStr">
        <is>
          <t>ÅNGE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35650-2024</t>
        </is>
      </c>
      <c r="B1234" s="1" t="n">
        <v>45532.34123842593</v>
      </c>
      <c r="C1234" s="1" t="n">
        <v>46059</v>
      </c>
      <c r="D1234" t="inlineStr">
        <is>
          <t>VÄSTERNORRLANDS LÄN</t>
        </is>
      </c>
      <c r="E1234" t="inlineStr">
        <is>
          <t>ÅNGE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3357-2024</t>
        </is>
      </c>
      <c r="B1235" s="1" t="n">
        <v>45317</v>
      </c>
      <c r="C1235" s="1" t="n">
        <v>46059</v>
      </c>
      <c r="D1235" t="inlineStr">
        <is>
          <t>VÄSTERNORRLANDS LÄN</t>
        </is>
      </c>
      <c r="E1235" t="inlineStr">
        <is>
          <t>ÅNGE</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46332-2023</t>
        </is>
      </c>
      <c r="B1236" s="1" t="n">
        <v>45196</v>
      </c>
      <c r="C1236" s="1" t="n">
        <v>46059</v>
      </c>
      <c r="D1236" t="inlineStr">
        <is>
          <t>VÄSTERNORRLANDS LÄN</t>
        </is>
      </c>
      <c r="E1236" t="inlineStr">
        <is>
          <t>ÅNGE</t>
        </is>
      </c>
      <c r="F1236" t="inlineStr">
        <is>
          <t>SCA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64945-2023</t>
        </is>
      </c>
      <c r="B1237" s="1" t="n">
        <v>45282.94668981482</v>
      </c>
      <c r="C1237" s="1" t="n">
        <v>46059</v>
      </c>
      <c r="D1237" t="inlineStr">
        <is>
          <t>VÄSTERNORRLANDS LÄN</t>
        </is>
      </c>
      <c r="E1237" t="inlineStr">
        <is>
          <t>ÅNGE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23018-2021</t>
        </is>
      </c>
      <c r="B1238" s="1" t="n">
        <v>44328</v>
      </c>
      <c r="C1238" s="1" t="n">
        <v>46059</v>
      </c>
      <c r="D1238" t="inlineStr">
        <is>
          <t>VÄSTERNORRLANDS LÄN</t>
        </is>
      </c>
      <c r="E1238" t="inlineStr">
        <is>
          <t>ÅNGE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31866-2024</t>
        </is>
      </c>
      <c r="B1239" s="1" t="n">
        <v>45509</v>
      </c>
      <c r="C1239" s="1" t="n">
        <v>46059</v>
      </c>
      <c r="D1239" t="inlineStr">
        <is>
          <t>VÄSTERNORRLANDS LÄN</t>
        </is>
      </c>
      <c r="E1239" t="inlineStr">
        <is>
          <t>ÅNGE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31867-2024</t>
        </is>
      </c>
      <c r="B1240" s="1" t="n">
        <v>45509</v>
      </c>
      <c r="C1240" s="1" t="n">
        <v>46059</v>
      </c>
      <c r="D1240" t="inlineStr">
        <is>
          <t>VÄSTERNORRLANDS LÄN</t>
        </is>
      </c>
      <c r="E1240" t="inlineStr">
        <is>
          <t>ÅNGE</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39178-2024</t>
        </is>
      </c>
      <c r="B1241" s="1" t="n">
        <v>45548.65692129629</v>
      </c>
      <c r="C1241" s="1" t="n">
        <v>46059</v>
      </c>
      <c r="D1241" t="inlineStr">
        <is>
          <t>VÄSTERNORRLANDS LÄN</t>
        </is>
      </c>
      <c r="E1241" t="inlineStr">
        <is>
          <t>ÅNGE</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29193-2024</t>
        </is>
      </c>
      <c r="B1242" s="1" t="n">
        <v>45482.56510416666</v>
      </c>
      <c r="C1242" s="1" t="n">
        <v>46059</v>
      </c>
      <c r="D1242" t="inlineStr">
        <is>
          <t>VÄSTERNORRLANDS LÄN</t>
        </is>
      </c>
      <c r="E1242" t="inlineStr">
        <is>
          <t>ÅNGE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42040-2024</t>
        </is>
      </c>
      <c r="B1243" s="1" t="n">
        <v>45561.80983796297</v>
      </c>
      <c r="C1243" s="1" t="n">
        <v>46059</v>
      </c>
      <c r="D1243" t="inlineStr">
        <is>
          <t>VÄSTERNORRLANDS LÄN</t>
        </is>
      </c>
      <c r="E1243" t="inlineStr">
        <is>
          <t>ÅNGE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34691-2024</t>
        </is>
      </c>
      <c r="B1244" s="1" t="n">
        <v>45526.54516203704</v>
      </c>
      <c r="C1244" s="1" t="n">
        <v>46059</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54210-2024</t>
        </is>
      </c>
      <c r="B1245" s="1" t="n">
        <v>45616.65662037037</v>
      </c>
      <c r="C1245" s="1" t="n">
        <v>46059</v>
      </c>
      <c r="D1245" t="inlineStr">
        <is>
          <t>VÄSTERNORRLANDS LÄN</t>
        </is>
      </c>
      <c r="E1245" t="inlineStr">
        <is>
          <t>ÅNGE</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52805-2024</t>
        </is>
      </c>
      <c r="B1246" s="1" t="n">
        <v>45610.57344907407</v>
      </c>
      <c r="C1246" s="1" t="n">
        <v>46059</v>
      </c>
      <c r="D1246" t="inlineStr">
        <is>
          <t>VÄSTERNORRLANDS LÄN</t>
        </is>
      </c>
      <c r="E1246" t="inlineStr">
        <is>
          <t>ÅNGE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61577-2023</t>
        </is>
      </c>
      <c r="B1247" s="1" t="n">
        <v>45265.47366898148</v>
      </c>
      <c r="C1247" s="1" t="n">
        <v>46059</v>
      </c>
      <c r="D1247" t="inlineStr">
        <is>
          <t>VÄSTERNORRLANDS LÄN</t>
        </is>
      </c>
      <c r="E1247" t="inlineStr">
        <is>
          <t>ÅNGE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1735-2025</t>
        </is>
      </c>
      <c r="B1248" s="1" t="n">
        <v>45671.38594907407</v>
      </c>
      <c r="C1248" s="1" t="n">
        <v>46059</v>
      </c>
      <c r="D1248" t="inlineStr">
        <is>
          <t>VÄSTERNORRLANDS LÄN</t>
        </is>
      </c>
      <c r="E1248" t="inlineStr">
        <is>
          <t>ÅNGE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45939-2023</t>
        </is>
      </c>
      <c r="B1249" s="1" t="n">
        <v>45195.94578703704</v>
      </c>
      <c r="C1249" s="1" t="n">
        <v>46059</v>
      </c>
      <c r="D1249" t="inlineStr">
        <is>
          <t>VÄSTERNORRLANDS LÄN</t>
        </is>
      </c>
      <c r="E1249" t="inlineStr">
        <is>
          <t>ÅNGE</t>
        </is>
      </c>
      <c r="F1249" t="inlineStr">
        <is>
          <t>SCA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61585-2022</t>
        </is>
      </c>
      <c r="B1250" s="1" t="n">
        <v>44916.63380787037</v>
      </c>
      <c r="C1250" s="1" t="n">
        <v>46059</v>
      </c>
      <c r="D1250" t="inlineStr">
        <is>
          <t>VÄSTERNORRLANDS LÄN</t>
        </is>
      </c>
      <c r="E1250" t="inlineStr">
        <is>
          <t>ÅNGE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3574-2025</t>
        </is>
      </c>
      <c r="B1251" s="1" t="n">
        <v>45680.71916666667</v>
      </c>
      <c r="C1251" s="1" t="n">
        <v>46059</v>
      </c>
      <c r="D1251" t="inlineStr">
        <is>
          <t>VÄSTERNORRLANDS LÄN</t>
        </is>
      </c>
      <c r="E1251" t="inlineStr">
        <is>
          <t>ÅNGE</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29048-2021</t>
        </is>
      </c>
      <c r="B1252" s="1" t="n">
        <v>44358</v>
      </c>
      <c r="C1252" s="1" t="n">
        <v>46059</v>
      </c>
      <c r="D1252" t="inlineStr">
        <is>
          <t>VÄSTERNORRLANDS LÄN</t>
        </is>
      </c>
      <c r="E1252" t="inlineStr">
        <is>
          <t>ÅNGE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3022-2023</t>
        </is>
      </c>
      <c r="B1253" s="1" t="n">
        <v>44945</v>
      </c>
      <c r="C1253" s="1" t="n">
        <v>46059</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39021-2024</t>
        </is>
      </c>
      <c r="B1254" s="1" t="n">
        <v>45548</v>
      </c>
      <c r="C1254" s="1" t="n">
        <v>46059</v>
      </c>
      <c r="D1254" t="inlineStr">
        <is>
          <t>VÄSTERNORRLANDS LÄN</t>
        </is>
      </c>
      <c r="E1254" t="inlineStr">
        <is>
          <t>ÅNGE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13875-2022</t>
        </is>
      </c>
      <c r="B1255" s="1" t="n">
        <v>44649</v>
      </c>
      <c r="C1255" s="1" t="n">
        <v>46059</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4876-2023</t>
        </is>
      </c>
      <c r="B1256" s="1" t="n">
        <v>44957.94023148148</v>
      </c>
      <c r="C1256" s="1" t="n">
        <v>46059</v>
      </c>
      <c r="D1256" t="inlineStr">
        <is>
          <t>VÄSTERNORRLANDS LÄN</t>
        </is>
      </c>
      <c r="E1256" t="inlineStr">
        <is>
          <t>ÅNGE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3362-2023</t>
        </is>
      </c>
      <c r="B1257" s="1" t="n">
        <v>44945</v>
      </c>
      <c r="C1257" s="1" t="n">
        <v>46059</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44415-2021</t>
        </is>
      </c>
      <c r="B1258" s="1" t="n">
        <v>44435</v>
      </c>
      <c r="C1258" s="1" t="n">
        <v>46059</v>
      </c>
      <c r="D1258" t="inlineStr">
        <is>
          <t>VÄSTERNORRLANDS LÄN</t>
        </is>
      </c>
      <c r="E1258" t="inlineStr">
        <is>
          <t>ÅNGE</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5455-2023</t>
        </is>
      </c>
      <c r="B1259" s="1" t="n">
        <v>44959.93983796296</v>
      </c>
      <c r="C1259" s="1" t="n">
        <v>46059</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59986-2021</t>
        </is>
      </c>
      <c r="B1260" s="1" t="n">
        <v>44494</v>
      </c>
      <c r="C1260" s="1" t="n">
        <v>46059</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50235-2021</t>
        </is>
      </c>
      <c r="B1261" s="1" t="n">
        <v>44457</v>
      </c>
      <c r="C1261" s="1" t="n">
        <v>46059</v>
      </c>
      <c r="D1261" t="inlineStr">
        <is>
          <t>VÄSTERNORRLANDS LÄN</t>
        </is>
      </c>
      <c r="E1261" t="inlineStr">
        <is>
          <t>ÅNGE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47950-2024</t>
        </is>
      </c>
      <c r="B1262" s="1" t="n">
        <v>45589.36511574074</v>
      </c>
      <c r="C1262" s="1" t="n">
        <v>46059</v>
      </c>
      <c r="D1262" t="inlineStr">
        <is>
          <t>VÄSTERNORRLANDS LÄN</t>
        </is>
      </c>
      <c r="E1262" t="inlineStr">
        <is>
          <t>ÅNGE</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11299-2023</t>
        </is>
      </c>
      <c r="B1263" s="1" t="n">
        <v>44993.01074074074</v>
      </c>
      <c r="C1263" s="1" t="n">
        <v>46059</v>
      </c>
      <c r="D1263" t="inlineStr">
        <is>
          <t>VÄSTERNORRLANDS LÄN</t>
        </is>
      </c>
      <c r="E1263" t="inlineStr">
        <is>
          <t>ÅNGE</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11309-2023</t>
        </is>
      </c>
      <c r="B1264" s="1" t="n">
        <v>44993.0118287037</v>
      </c>
      <c r="C1264" s="1" t="n">
        <v>46059</v>
      </c>
      <c r="D1264" t="inlineStr">
        <is>
          <t>VÄSTERNORRLANDS LÄN</t>
        </is>
      </c>
      <c r="E1264" t="inlineStr">
        <is>
          <t>ÅNGE</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62834-2021</t>
        </is>
      </c>
      <c r="B1265" s="1" t="n">
        <v>44503</v>
      </c>
      <c r="C1265" s="1" t="n">
        <v>46059</v>
      </c>
      <c r="D1265" t="inlineStr">
        <is>
          <t>VÄSTERNORRLANDS LÄN</t>
        </is>
      </c>
      <c r="E1265" t="inlineStr">
        <is>
          <t>ÅNGE</t>
        </is>
      </c>
      <c r="F1265" t="inlineStr">
        <is>
          <t>Övriga statliga verk och myndigheter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10557-2023</t>
        </is>
      </c>
      <c r="B1266" s="1" t="n">
        <v>44987</v>
      </c>
      <c r="C1266" s="1" t="n">
        <v>46059</v>
      </c>
      <c r="D1266" t="inlineStr">
        <is>
          <t>VÄSTERNORRLANDS LÄN</t>
        </is>
      </c>
      <c r="E1266" t="inlineStr">
        <is>
          <t>ÅNGE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8418-2023</t>
        </is>
      </c>
      <c r="B1267" s="1" t="n">
        <v>44971</v>
      </c>
      <c r="C1267" s="1" t="n">
        <v>46059</v>
      </c>
      <c r="D1267" t="inlineStr">
        <is>
          <t>VÄSTERNORRLANDS LÄN</t>
        </is>
      </c>
      <c r="E1267" t="inlineStr">
        <is>
          <t>ÅNGE</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4006-2022</t>
        </is>
      </c>
      <c r="B1268" s="1" t="n">
        <v>44587.92019675926</v>
      </c>
      <c r="C1268" s="1" t="n">
        <v>46059</v>
      </c>
      <c r="D1268" t="inlineStr">
        <is>
          <t>VÄSTERNORRLANDS LÄN</t>
        </is>
      </c>
      <c r="E1268" t="inlineStr">
        <is>
          <t>ÅNGE</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48725-2024</t>
        </is>
      </c>
      <c r="B1269" s="1" t="n">
        <v>45593.55793981482</v>
      </c>
      <c r="C1269" s="1" t="n">
        <v>46059</v>
      </c>
      <c r="D1269" t="inlineStr">
        <is>
          <t>VÄSTERNORRLANDS LÄN</t>
        </is>
      </c>
      <c r="E1269" t="inlineStr">
        <is>
          <t>ÅNGE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48988-2021</t>
        </is>
      </c>
      <c r="B1270" s="1" t="n">
        <v>44453.43</v>
      </c>
      <c r="C1270" s="1" t="n">
        <v>46059</v>
      </c>
      <c r="D1270" t="inlineStr">
        <is>
          <t>VÄSTERNORRLANDS LÄN</t>
        </is>
      </c>
      <c r="E1270" t="inlineStr">
        <is>
          <t>ÅNGE</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1886-2024</t>
        </is>
      </c>
      <c r="B1271" s="1" t="n">
        <v>45307.96335648148</v>
      </c>
      <c r="C1271" s="1" t="n">
        <v>46059</v>
      </c>
      <c r="D1271" t="inlineStr">
        <is>
          <t>VÄSTERNORRLANDS LÄN</t>
        </is>
      </c>
      <c r="E1271" t="inlineStr">
        <is>
          <t>ÅNGE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44979-2023</t>
        </is>
      </c>
      <c r="B1272" s="1" t="n">
        <v>45190.95752314815</v>
      </c>
      <c r="C1272" s="1" t="n">
        <v>46059</v>
      </c>
      <c r="D1272" t="inlineStr">
        <is>
          <t>VÄSTERNORRLANDS LÄN</t>
        </is>
      </c>
      <c r="E1272" t="inlineStr">
        <is>
          <t>ÅNGE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17923-2025</t>
        </is>
      </c>
      <c r="B1273" s="1" t="n">
        <v>45759.34415509259</v>
      </c>
      <c r="C1273" s="1" t="n">
        <v>46059</v>
      </c>
      <c r="D1273" t="inlineStr">
        <is>
          <t>VÄSTERNORRLANDS LÄN</t>
        </is>
      </c>
      <c r="E1273" t="inlineStr">
        <is>
          <t>ÅNGE</t>
        </is>
      </c>
      <c r="F1273" t="inlineStr">
        <is>
          <t>SCA</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1582-2025</t>
        </is>
      </c>
      <c r="B1274" s="1" t="n">
        <v>45670</v>
      </c>
      <c r="C1274" s="1" t="n">
        <v>46059</v>
      </c>
      <c r="D1274" t="inlineStr">
        <is>
          <t>VÄSTERNORRLANDS LÄN</t>
        </is>
      </c>
      <c r="E1274" t="inlineStr">
        <is>
          <t>ÅNGE</t>
        </is>
      </c>
      <c r="G1274" t="n">
        <v>7.3</v>
      </c>
      <c r="H1274" t="n">
        <v>0</v>
      </c>
      <c r="I1274" t="n">
        <v>0</v>
      </c>
      <c r="J1274" t="n">
        <v>0</v>
      </c>
      <c r="K1274" t="n">
        <v>0</v>
      </c>
      <c r="L1274" t="n">
        <v>0</v>
      </c>
      <c r="M1274" t="n">
        <v>0</v>
      </c>
      <c r="N1274" t="n">
        <v>0</v>
      </c>
      <c r="O1274" t="n">
        <v>0</v>
      </c>
      <c r="P1274" t="n">
        <v>0</v>
      </c>
      <c r="Q1274" t="n">
        <v>0</v>
      </c>
      <c r="R1274" s="2" t="inlineStr"/>
      <c r="U1274">
        <f>HYPERLINK("https://klasma.github.io/Logging_2260/knärot/A 1582-2025 karta knärot.png", "A 1582-2025")</f>
        <v/>
      </c>
      <c r="V1274">
        <f>HYPERLINK("https://klasma.github.io/Logging_2260/klagomål/A 1582-2025 FSC-klagomål.docx", "A 1582-2025")</f>
        <v/>
      </c>
      <c r="W1274">
        <f>HYPERLINK("https://klasma.github.io/Logging_2260/klagomålsmail/A 1582-2025 FSC-klagomål mail.docx", "A 1582-2025")</f>
        <v/>
      </c>
      <c r="X1274">
        <f>HYPERLINK("https://klasma.github.io/Logging_2260/tillsyn/A 1582-2025 tillsynsbegäran.docx", "A 1582-2025")</f>
        <v/>
      </c>
      <c r="Y1274">
        <f>HYPERLINK("https://klasma.github.io/Logging_2260/tillsynsmail/A 1582-2025 tillsynsbegäran mail.docx", "A 1582-2025")</f>
        <v/>
      </c>
    </row>
    <row r="1275" ht="15" customHeight="1">
      <c r="A1275" t="inlineStr">
        <is>
          <t>A 54908-2021</t>
        </is>
      </c>
      <c r="B1275" s="1" t="n">
        <v>44474.39769675926</v>
      </c>
      <c r="C1275" s="1" t="n">
        <v>46059</v>
      </c>
      <c r="D1275" t="inlineStr">
        <is>
          <t>VÄSTERNORRLANDS LÄN</t>
        </is>
      </c>
      <c r="E1275" t="inlineStr">
        <is>
          <t>ÅNGE</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27951-2021</t>
        </is>
      </c>
      <c r="B1276" s="1" t="n">
        <v>44354</v>
      </c>
      <c r="C1276" s="1" t="n">
        <v>46059</v>
      </c>
      <c r="D1276" t="inlineStr">
        <is>
          <t>VÄSTERNORRLANDS LÄN</t>
        </is>
      </c>
      <c r="E1276" t="inlineStr">
        <is>
          <t>ÅNGE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22990-2024</t>
        </is>
      </c>
      <c r="B1277" s="1" t="n">
        <v>45449.94548611111</v>
      </c>
      <c r="C1277" s="1" t="n">
        <v>46059</v>
      </c>
      <c r="D1277" t="inlineStr">
        <is>
          <t>VÄSTERNORRLANDS LÄN</t>
        </is>
      </c>
      <c r="E1277" t="inlineStr">
        <is>
          <t>ÅNGE</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39589-2022</t>
        </is>
      </c>
      <c r="B1278" s="1" t="n">
        <v>44818</v>
      </c>
      <c r="C1278" s="1" t="n">
        <v>46059</v>
      </c>
      <c r="D1278" t="inlineStr">
        <is>
          <t>VÄSTERNORRLANDS LÄN</t>
        </is>
      </c>
      <c r="E1278" t="inlineStr">
        <is>
          <t>ÅNGE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25320-2023</t>
        </is>
      </c>
      <c r="B1279" s="1" t="n">
        <v>45086.93929398148</v>
      </c>
      <c r="C1279" s="1" t="n">
        <v>46059</v>
      </c>
      <c r="D1279" t="inlineStr">
        <is>
          <t>VÄSTERNORRLANDS LÄN</t>
        </is>
      </c>
      <c r="E1279" t="inlineStr">
        <is>
          <t>ÅNGE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24541-2023</t>
        </is>
      </c>
      <c r="B1280" s="1" t="n">
        <v>45082.94135416667</v>
      </c>
      <c r="C1280" s="1" t="n">
        <v>46059</v>
      </c>
      <c r="D1280" t="inlineStr">
        <is>
          <t>VÄSTERNORRLANDS LÄN</t>
        </is>
      </c>
      <c r="E1280" t="inlineStr">
        <is>
          <t>ÅNGE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18542-2022</t>
        </is>
      </c>
      <c r="B1281" s="1" t="n">
        <v>44686</v>
      </c>
      <c r="C1281" s="1" t="n">
        <v>46059</v>
      </c>
      <c r="D1281" t="inlineStr">
        <is>
          <t>VÄSTERNORRLANDS LÄN</t>
        </is>
      </c>
      <c r="E1281" t="inlineStr">
        <is>
          <t>ÅNGE</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44600-2024</t>
        </is>
      </c>
      <c r="B1282" s="1" t="n">
        <v>45574.51113425926</v>
      </c>
      <c r="C1282" s="1" t="n">
        <v>46059</v>
      </c>
      <c r="D1282" t="inlineStr">
        <is>
          <t>VÄSTERNORRLANDS LÄN</t>
        </is>
      </c>
      <c r="E1282" t="inlineStr">
        <is>
          <t>ÅNGE</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26013-2024</t>
        </is>
      </c>
      <c r="B1283" s="1" t="n">
        <v>45467</v>
      </c>
      <c r="C1283" s="1" t="n">
        <v>46059</v>
      </c>
      <c r="D1283" t="inlineStr">
        <is>
          <t>VÄSTERNORRLANDS LÄN</t>
        </is>
      </c>
      <c r="E1283" t="inlineStr">
        <is>
          <t>ÅNGE</t>
        </is>
      </c>
      <c r="F1283" t="inlineStr">
        <is>
          <t>SCA</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25377-2024</t>
        </is>
      </c>
      <c r="B1284" s="1" t="n">
        <v>45462.96211805556</v>
      </c>
      <c r="C1284" s="1" t="n">
        <v>46059</v>
      </c>
      <c r="D1284" t="inlineStr">
        <is>
          <t>VÄSTERNORRLANDS LÄN</t>
        </is>
      </c>
      <c r="E1284" t="inlineStr">
        <is>
          <t>ÅNGE</t>
        </is>
      </c>
      <c r="F1284" t="inlineStr">
        <is>
          <t>SCA</t>
        </is>
      </c>
      <c r="G1284" t="n">
        <v>20.7</v>
      </c>
      <c r="H1284" t="n">
        <v>0</v>
      </c>
      <c r="I1284" t="n">
        <v>0</v>
      </c>
      <c r="J1284" t="n">
        <v>0</v>
      </c>
      <c r="K1284" t="n">
        <v>0</v>
      </c>
      <c r="L1284" t="n">
        <v>0</v>
      </c>
      <c r="M1284" t="n">
        <v>0</v>
      </c>
      <c r="N1284" t="n">
        <v>0</v>
      </c>
      <c r="O1284" t="n">
        <v>0</v>
      </c>
      <c r="P1284" t="n">
        <v>0</v>
      </c>
      <c r="Q1284" t="n">
        <v>0</v>
      </c>
      <c r="R1284" s="2" t="inlineStr"/>
    </row>
    <row r="1285" ht="15" customHeight="1">
      <c r="A1285" t="inlineStr">
        <is>
          <t>A 56956-2022</t>
        </is>
      </c>
      <c r="B1285" s="1" t="n">
        <v>44894</v>
      </c>
      <c r="C1285" s="1" t="n">
        <v>46059</v>
      </c>
      <c r="D1285" t="inlineStr">
        <is>
          <t>VÄSTERNORRLANDS LÄN</t>
        </is>
      </c>
      <c r="E1285" t="inlineStr">
        <is>
          <t>ÅNGE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4883-2023</t>
        </is>
      </c>
      <c r="B1286" s="1" t="n">
        <v>44957</v>
      </c>
      <c r="C1286" s="1" t="n">
        <v>46059</v>
      </c>
      <c r="D1286" t="inlineStr">
        <is>
          <t>VÄSTERNORRLANDS LÄN</t>
        </is>
      </c>
      <c r="E1286" t="inlineStr">
        <is>
          <t>ÅNGE</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8755-2022</t>
        </is>
      </c>
      <c r="B1287" s="1" t="n">
        <v>44614</v>
      </c>
      <c r="C1287" s="1" t="n">
        <v>46059</v>
      </c>
      <c r="D1287" t="inlineStr">
        <is>
          <t>VÄSTERNORRLANDS LÄN</t>
        </is>
      </c>
      <c r="E1287" t="inlineStr">
        <is>
          <t>ÅNGE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30747-2024</t>
        </is>
      </c>
      <c r="B1288" s="1" t="n">
        <v>45496</v>
      </c>
      <c r="C1288" s="1" t="n">
        <v>46059</v>
      </c>
      <c r="D1288" t="inlineStr">
        <is>
          <t>VÄSTERNORRLANDS LÄN</t>
        </is>
      </c>
      <c r="E1288" t="inlineStr">
        <is>
          <t>ÅNGE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58929-2024</t>
        </is>
      </c>
      <c r="B1289" s="1" t="n">
        <v>45636.51090277778</v>
      </c>
      <c r="C1289" s="1" t="n">
        <v>46059</v>
      </c>
      <c r="D1289" t="inlineStr">
        <is>
          <t>VÄSTERNORRLANDS LÄN</t>
        </is>
      </c>
      <c r="E1289" t="inlineStr">
        <is>
          <t>ÅNGE</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46254-2023</t>
        </is>
      </c>
      <c r="B1290" s="1" t="n">
        <v>45196</v>
      </c>
      <c r="C1290" s="1" t="n">
        <v>46059</v>
      </c>
      <c r="D1290" t="inlineStr">
        <is>
          <t>VÄSTERNORRLANDS LÄN</t>
        </is>
      </c>
      <c r="E1290" t="inlineStr">
        <is>
          <t>ÅNGE</t>
        </is>
      </c>
      <c r="F1290" t="inlineStr">
        <is>
          <t>SCA</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46262-2023</t>
        </is>
      </c>
      <c r="B1291" s="1" t="n">
        <v>45196.93855324074</v>
      </c>
      <c r="C1291" s="1" t="n">
        <v>46059</v>
      </c>
      <c r="D1291" t="inlineStr">
        <is>
          <t>VÄSTERNORRLANDS LÄN</t>
        </is>
      </c>
      <c r="E1291" t="inlineStr">
        <is>
          <t>ÅNGE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45027-2023</t>
        </is>
      </c>
      <c r="B1292" s="1" t="n">
        <v>45190.96303240741</v>
      </c>
      <c r="C1292" s="1" t="n">
        <v>46059</v>
      </c>
      <c r="D1292" t="inlineStr">
        <is>
          <t>VÄSTERNORRLANDS LÄN</t>
        </is>
      </c>
      <c r="E1292" t="inlineStr">
        <is>
          <t>ÅNGE</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21409-2022</t>
        </is>
      </c>
      <c r="B1293" s="1" t="n">
        <v>44705.9406712963</v>
      </c>
      <c r="C1293" s="1" t="n">
        <v>46059</v>
      </c>
      <c r="D1293" t="inlineStr">
        <is>
          <t>VÄSTERNORRLANDS LÄN</t>
        </is>
      </c>
      <c r="E1293" t="inlineStr">
        <is>
          <t>ÅNGE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55380-2024</t>
        </is>
      </c>
      <c r="B1294" s="1" t="n">
        <v>45622.28810185185</v>
      </c>
      <c r="C1294" s="1" t="n">
        <v>46059</v>
      </c>
      <c r="D1294" t="inlineStr">
        <is>
          <t>VÄSTERNORRLANDS LÄN</t>
        </is>
      </c>
      <c r="E1294" t="inlineStr">
        <is>
          <t>ÅNGE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22678-2024</t>
        </is>
      </c>
      <c r="B1295" s="1" t="n">
        <v>45447.94533564815</v>
      </c>
      <c r="C1295" s="1" t="n">
        <v>46059</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10084-2023</t>
        </is>
      </c>
      <c r="B1296" s="1" t="n">
        <v>44985.94465277778</v>
      </c>
      <c r="C1296" s="1" t="n">
        <v>46059</v>
      </c>
      <c r="D1296" t="inlineStr">
        <is>
          <t>VÄSTERNORRLANDS LÄN</t>
        </is>
      </c>
      <c r="E1296" t="inlineStr">
        <is>
          <t>ÅNGE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39991-2023</t>
        </is>
      </c>
      <c r="B1297" s="1" t="n">
        <v>45168.6043287037</v>
      </c>
      <c r="C1297" s="1" t="n">
        <v>46059</v>
      </c>
      <c r="D1297" t="inlineStr">
        <is>
          <t>VÄSTERNORRLANDS LÄN</t>
        </is>
      </c>
      <c r="E1297" t="inlineStr">
        <is>
          <t>ÅNGE</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15167-2025</t>
        </is>
      </c>
      <c r="B1298" s="1" t="n">
        <v>45744.49009259259</v>
      </c>
      <c r="C1298" s="1" t="n">
        <v>46059</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30556-2023</t>
        </is>
      </c>
      <c r="B1299" s="1" t="n">
        <v>45111.87935185185</v>
      </c>
      <c r="C1299" s="1" t="n">
        <v>46059</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5393-2025</t>
        </is>
      </c>
      <c r="B1300" s="1" t="n">
        <v>45692.63574074074</v>
      </c>
      <c r="C1300" s="1" t="n">
        <v>46059</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34971-2023</t>
        </is>
      </c>
      <c r="B1301" s="1" t="n">
        <v>45142.61635416667</v>
      </c>
      <c r="C1301" s="1" t="n">
        <v>46059</v>
      </c>
      <c r="D1301" t="inlineStr">
        <is>
          <t>VÄSTERNORRLANDS LÄN</t>
        </is>
      </c>
      <c r="E1301" t="inlineStr">
        <is>
          <t>ÅNGE</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9480-2022</t>
        </is>
      </c>
      <c r="B1302" s="1" t="n">
        <v>44616</v>
      </c>
      <c r="C1302" s="1" t="n">
        <v>46059</v>
      </c>
      <c r="D1302" t="inlineStr">
        <is>
          <t>VÄSTERNORRLANDS LÄN</t>
        </is>
      </c>
      <c r="E1302" t="inlineStr">
        <is>
          <t>ÅNGE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18617-2024</t>
        </is>
      </c>
      <c r="B1303" s="1" t="n">
        <v>45425</v>
      </c>
      <c r="C1303" s="1" t="n">
        <v>46059</v>
      </c>
      <c r="D1303" t="inlineStr">
        <is>
          <t>VÄSTERNORRLANDS LÄN</t>
        </is>
      </c>
      <c r="E1303" t="inlineStr">
        <is>
          <t>ÅNGE</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8868-2023</t>
        </is>
      </c>
      <c r="B1304" s="1" t="n">
        <v>44978</v>
      </c>
      <c r="C1304" s="1" t="n">
        <v>46059</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10917-2024</t>
        </is>
      </c>
      <c r="B1305" s="1" t="n">
        <v>45370</v>
      </c>
      <c r="C1305" s="1" t="n">
        <v>46059</v>
      </c>
      <c r="D1305" t="inlineStr">
        <is>
          <t>VÄSTERNORRLANDS LÄN</t>
        </is>
      </c>
      <c r="E1305" t="inlineStr">
        <is>
          <t>ÅNGE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43775-2022</t>
        </is>
      </c>
      <c r="B1306" s="1" t="n">
        <v>44837.95053240741</v>
      </c>
      <c r="C1306" s="1" t="n">
        <v>46059</v>
      </c>
      <c r="D1306" t="inlineStr">
        <is>
          <t>VÄSTERNORRLANDS LÄN</t>
        </is>
      </c>
      <c r="E1306" t="inlineStr">
        <is>
          <t>ÅNGE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27306-2024</t>
        </is>
      </c>
      <c r="B1307" s="1" t="n">
        <v>45471.94454861111</v>
      </c>
      <c r="C1307" s="1" t="n">
        <v>46059</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11396-2024</t>
        </is>
      </c>
      <c r="B1308" s="1" t="n">
        <v>45372</v>
      </c>
      <c r="C1308" s="1" t="n">
        <v>46059</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25680-2023</t>
        </is>
      </c>
      <c r="B1309" s="1" t="n">
        <v>45089</v>
      </c>
      <c r="C1309" s="1" t="n">
        <v>46059</v>
      </c>
      <c r="D1309" t="inlineStr">
        <is>
          <t>VÄSTERNORRLANDS LÄN</t>
        </is>
      </c>
      <c r="E1309" t="inlineStr">
        <is>
          <t>ÅNGE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59818-2024</t>
        </is>
      </c>
      <c r="B1310" s="1" t="n">
        <v>45639.63572916666</v>
      </c>
      <c r="C1310" s="1" t="n">
        <v>46059</v>
      </c>
      <c r="D1310" t="inlineStr">
        <is>
          <t>VÄSTERNORRLANDS LÄN</t>
        </is>
      </c>
      <c r="E1310" t="inlineStr">
        <is>
          <t>ÅNGE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1769-2023</t>
        </is>
      </c>
      <c r="B1311" s="1" t="n">
        <v>44938.58025462963</v>
      </c>
      <c r="C1311" s="1" t="n">
        <v>46059</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1775-2023</t>
        </is>
      </c>
      <c r="B1312" s="1" t="n">
        <v>44938</v>
      </c>
      <c r="C1312" s="1" t="n">
        <v>46059</v>
      </c>
      <c r="D1312" t="inlineStr">
        <is>
          <t>VÄSTERNORRLANDS LÄN</t>
        </is>
      </c>
      <c r="E1312" t="inlineStr">
        <is>
          <t>ÅNGE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10878-2024</t>
        </is>
      </c>
      <c r="B1313" s="1" t="n">
        <v>45370</v>
      </c>
      <c r="C1313" s="1" t="n">
        <v>46059</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19066-2024</t>
        </is>
      </c>
      <c r="B1314" s="1" t="n">
        <v>45427</v>
      </c>
      <c r="C1314" s="1" t="n">
        <v>46059</v>
      </c>
      <c r="D1314" t="inlineStr">
        <is>
          <t>VÄSTERNORRLANDS LÄN</t>
        </is>
      </c>
      <c r="E1314" t="inlineStr">
        <is>
          <t>ÅNGE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3629-2023</t>
        </is>
      </c>
      <c r="B1315" s="1" t="n">
        <v>44950</v>
      </c>
      <c r="C1315" s="1" t="n">
        <v>46059</v>
      </c>
      <c r="D1315" t="inlineStr">
        <is>
          <t>VÄSTERNORRLANDS LÄN</t>
        </is>
      </c>
      <c r="E1315" t="inlineStr">
        <is>
          <t>ÅNGE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3631-2023</t>
        </is>
      </c>
      <c r="B1316" s="1" t="n">
        <v>44950</v>
      </c>
      <c r="C1316" s="1" t="n">
        <v>46059</v>
      </c>
      <c r="D1316" t="inlineStr">
        <is>
          <t>VÄSTERNORRLANDS LÄN</t>
        </is>
      </c>
      <c r="E1316" t="inlineStr">
        <is>
          <t>ÅNGE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31177-2024</t>
        </is>
      </c>
      <c r="B1317" s="1" t="n">
        <v>45503</v>
      </c>
      <c r="C1317" s="1" t="n">
        <v>46059</v>
      </c>
      <c r="D1317" t="inlineStr">
        <is>
          <t>VÄSTERNORRLANDS LÄN</t>
        </is>
      </c>
      <c r="E1317" t="inlineStr">
        <is>
          <t>ÅNGE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50179-2024</t>
        </is>
      </c>
      <c r="B1318" s="1" t="n">
        <v>45600</v>
      </c>
      <c r="C1318" s="1" t="n">
        <v>46059</v>
      </c>
      <c r="D1318" t="inlineStr">
        <is>
          <t>VÄSTERNORRLANDS LÄN</t>
        </is>
      </c>
      <c r="E1318" t="inlineStr">
        <is>
          <t>ÅNGE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2140-2023</t>
        </is>
      </c>
      <c r="B1319" s="1" t="n">
        <v>44940</v>
      </c>
      <c r="C1319" s="1" t="n">
        <v>46059</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30347-2024</t>
        </is>
      </c>
      <c r="B1320" s="1" t="n">
        <v>45490.95515046296</v>
      </c>
      <c r="C1320" s="1" t="n">
        <v>46059</v>
      </c>
      <c r="D1320" t="inlineStr">
        <is>
          <t>VÄSTERNORRLANDS LÄN</t>
        </is>
      </c>
      <c r="E1320" t="inlineStr">
        <is>
          <t>ÅNGE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55177-2024</t>
        </is>
      </c>
      <c r="B1321" s="1" t="n">
        <v>45621.53179398148</v>
      </c>
      <c r="C1321" s="1" t="n">
        <v>46059</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43096-2023</t>
        </is>
      </c>
      <c r="B1322" s="1" t="n">
        <v>45182</v>
      </c>
      <c r="C1322" s="1" t="n">
        <v>46059</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3322-2025</t>
        </is>
      </c>
      <c r="B1323" s="1" t="n">
        <v>45679.6989699074</v>
      </c>
      <c r="C1323" s="1" t="n">
        <v>46059</v>
      </c>
      <c r="D1323" t="inlineStr">
        <is>
          <t>VÄSTERNORRLANDS LÄN</t>
        </is>
      </c>
      <c r="E1323" t="inlineStr">
        <is>
          <t>ÅNGE</t>
        </is>
      </c>
      <c r="F1323" t="inlineStr">
        <is>
          <t>SCA</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3327-2025</t>
        </is>
      </c>
      <c r="B1324" s="1" t="n">
        <v>45679.69967592593</v>
      </c>
      <c r="C1324" s="1" t="n">
        <v>46059</v>
      </c>
      <c r="D1324" t="inlineStr">
        <is>
          <t>VÄSTERNORRLANDS LÄN</t>
        </is>
      </c>
      <c r="E1324" t="inlineStr">
        <is>
          <t>ÅNGE</t>
        </is>
      </c>
      <c r="F1324" t="inlineStr">
        <is>
          <t>SCA</t>
        </is>
      </c>
      <c r="G1324" t="n">
        <v>12.9</v>
      </c>
      <c r="H1324" t="n">
        <v>0</v>
      </c>
      <c r="I1324" t="n">
        <v>0</v>
      </c>
      <c r="J1324" t="n">
        <v>0</v>
      </c>
      <c r="K1324" t="n">
        <v>0</v>
      </c>
      <c r="L1324" t="n">
        <v>0</v>
      </c>
      <c r="M1324" t="n">
        <v>0</v>
      </c>
      <c r="N1324" t="n">
        <v>0</v>
      </c>
      <c r="O1324" t="n">
        <v>0</v>
      </c>
      <c r="P1324" t="n">
        <v>0</v>
      </c>
      <c r="Q1324" t="n">
        <v>0</v>
      </c>
      <c r="R1324" s="2" t="inlineStr"/>
    </row>
    <row r="1325" ht="15" customHeight="1">
      <c r="A1325" t="inlineStr">
        <is>
          <t>A 3947-2025</t>
        </is>
      </c>
      <c r="B1325" s="1" t="n">
        <v>45684.49001157407</v>
      </c>
      <c r="C1325" s="1" t="n">
        <v>46059</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15603-2024</t>
        </is>
      </c>
      <c r="B1326" s="1" t="n">
        <v>45401.92501157407</v>
      </c>
      <c r="C1326" s="1" t="n">
        <v>46059</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52804-2024</t>
        </is>
      </c>
      <c r="B1327" s="1" t="n">
        <v>45610.57322916666</v>
      </c>
      <c r="C1327" s="1" t="n">
        <v>46059</v>
      </c>
      <c r="D1327" t="inlineStr">
        <is>
          <t>VÄSTERNORRLANDS LÄN</t>
        </is>
      </c>
      <c r="E1327" t="inlineStr">
        <is>
          <t>ÅNGE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21151-2024</t>
        </is>
      </c>
      <c r="B1328" s="1" t="n">
        <v>45440</v>
      </c>
      <c r="C1328" s="1" t="n">
        <v>46059</v>
      </c>
      <c r="D1328" t="inlineStr">
        <is>
          <t>VÄSTERNORRLANDS LÄN</t>
        </is>
      </c>
      <c r="E1328" t="inlineStr">
        <is>
          <t>ÅNGE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13706-2023</t>
        </is>
      </c>
      <c r="B1329" s="1" t="n">
        <v>45006</v>
      </c>
      <c r="C1329" s="1" t="n">
        <v>46059</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6462-2024</t>
        </is>
      </c>
      <c r="B1330" s="1" t="n">
        <v>45338</v>
      </c>
      <c r="C1330" s="1" t="n">
        <v>46059</v>
      </c>
      <c r="D1330" t="inlineStr">
        <is>
          <t>VÄSTERNORRLANDS LÄN</t>
        </is>
      </c>
      <c r="E1330" t="inlineStr">
        <is>
          <t>ÅNGE</t>
        </is>
      </c>
      <c r="F1330" t="inlineStr">
        <is>
          <t>Kyrkan</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26490-2024</t>
        </is>
      </c>
      <c r="B1331" s="1" t="n">
        <v>45469</v>
      </c>
      <c r="C1331" s="1" t="n">
        <v>46059</v>
      </c>
      <c r="D1331" t="inlineStr">
        <is>
          <t>VÄSTERNORRLANDS LÄN</t>
        </is>
      </c>
      <c r="E1331" t="inlineStr">
        <is>
          <t>ÅNGE</t>
        </is>
      </c>
      <c r="F1331" t="inlineStr">
        <is>
          <t>Sveaskog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33747-2024</t>
        </is>
      </c>
      <c r="B1332" s="1" t="n">
        <v>45520</v>
      </c>
      <c r="C1332" s="1" t="n">
        <v>46059</v>
      </c>
      <c r="D1332" t="inlineStr">
        <is>
          <t>VÄSTERNORRLANDS LÄN</t>
        </is>
      </c>
      <c r="E1332" t="inlineStr">
        <is>
          <t>ÅNGE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34754-2024</t>
        </is>
      </c>
      <c r="B1333" s="1" t="n">
        <v>45526</v>
      </c>
      <c r="C1333" s="1" t="n">
        <v>46059</v>
      </c>
      <c r="D1333" t="inlineStr">
        <is>
          <t>VÄSTERNORRLANDS LÄN</t>
        </is>
      </c>
      <c r="E1333" t="inlineStr">
        <is>
          <t>ÅNGE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22411-2023</t>
        </is>
      </c>
      <c r="B1334" s="1" t="n">
        <v>45070</v>
      </c>
      <c r="C1334" s="1" t="n">
        <v>46059</v>
      </c>
      <c r="D1334" t="inlineStr">
        <is>
          <t>VÄSTERNORRLANDS LÄN</t>
        </is>
      </c>
      <c r="E1334" t="inlineStr">
        <is>
          <t>ÅNGE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4071-2025</t>
        </is>
      </c>
      <c r="B1335" s="1" t="n">
        <v>45684.63579861111</v>
      </c>
      <c r="C1335" s="1" t="n">
        <v>46059</v>
      </c>
      <c r="D1335" t="inlineStr">
        <is>
          <t>VÄSTERNORRLANDS LÄN</t>
        </is>
      </c>
      <c r="E1335" t="inlineStr">
        <is>
          <t>ÅNGE</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6619-2025</t>
        </is>
      </c>
      <c r="B1336" s="1" t="n">
        <v>45700.36541666667</v>
      </c>
      <c r="C1336" s="1" t="n">
        <v>46059</v>
      </c>
      <c r="D1336" t="inlineStr">
        <is>
          <t>VÄSTERNORRLANDS LÄN</t>
        </is>
      </c>
      <c r="E1336" t="inlineStr">
        <is>
          <t>ÅNGE</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8070-2022</t>
        </is>
      </c>
      <c r="B1337" s="1" t="n">
        <v>44609.48665509259</v>
      </c>
      <c r="C1337" s="1" t="n">
        <v>46059</v>
      </c>
      <c r="D1337" t="inlineStr">
        <is>
          <t>VÄSTERNORRLANDS LÄN</t>
        </is>
      </c>
      <c r="E1337" t="inlineStr">
        <is>
          <t>ÅNGE</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14097-2022</t>
        </is>
      </c>
      <c r="B1338" s="1" t="n">
        <v>44651</v>
      </c>
      <c r="C1338" s="1" t="n">
        <v>46059</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29667-2024</t>
        </is>
      </c>
      <c r="B1339" s="1" t="n">
        <v>45484.94041666666</v>
      </c>
      <c r="C1339" s="1" t="n">
        <v>46059</v>
      </c>
      <c r="D1339" t="inlineStr">
        <is>
          <t>VÄSTERNORRLANDS LÄN</t>
        </is>
      </c>
      <c r="E1339" t="inlineStr">
        <is>
          <t>ÅNGE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39975-2023</t>
        </is>
      </c>
      <c r="B1340" s="1" t="n">
        <v>45168.58844907407</v>
      </c>
      <c r="C1340" s="1" t="n">
        <v>46059</v>
      </c>
      <c r="D1340" t="inlineStr">
        <is>
          <t>VÄSTERNORRLANDS LÄN</t>
        </is>
      </c>
      <c r="E1340" t="inlineStr">
        <is>
          <t>ÅNGE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32776-2022</t>
        </is>
      </c>
      <c r="B1341" s="1" t="n">
        <v>44783.94607638889</v>
      </c>
      <c r="C1341" s="1" t="n">
        <v>46059</v>
      </c>
      <c r="D1341" t="inlineStr">
        <is>
          <t>VÄSTERNORRLANDS LÄN</t>
        </is>
      </c>
      <c r="E1341" t="inlineStr">
        <is>
          <t>ÅNGE</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11032-2025</t>
        </is>
      </c>
      <c r="B1342" s="1" t="n">
        <v>45723.47601851852</v>
      </c>
      <c r="C1342" s="1" t="n">
        <v>46059</v>
      </c>
      <c r="D1342" t="inlineStr">
        <is>
          <t>VÄSTERNORRLANDS LÄN</t>
        </is>
      </c>
      <c r="E1342" t="inlineStr">
        <is>
          <t>ÅNGE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56874-2024</t>
        </is>
      </c>
      <c r="B1343" s="1" t="n">
        <v>45628</v>
      </c>
      <c r="C1343" s="1" t="n">
        <v>46059</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16657-2025</t>
        </is>
      </c>
      <c r="B1344" s="1" t="n">
        <v>45754.40700231482</v>
      </c>
      <c r="C1344" s="1" t="n">
        <v>46059</v>
      </c>
      <c r="D1344" t="inlineStr">
        <is>
          <t>VÄSTERNORRLANDS LÄN</t>
        </is>
      </c>
      <c r="E1344" t="inlineStr">
        <is>
          <t>ÅNGE</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6608-2025</t>
        </is>
      </c>
      <c r="B1345" s="1" t="n">
        <v>45700.34415509259</v>
      </c>
      <c r="C1345" s="1" t="n">
        <v>46059</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51871-2024</t>
        </is>
      </c>
      <c r="B1346" s="1" t="n">
        <v>45607</v>
      </c>
      <c r="C1346" s="1" t="n">
        <v>46059</v>
      </c>
      <c r="D1346" t="inlineStr">
        <is>
          <t>VÄSTERNORRLANDS LÄN</t>
        </is>
      </c>
      <c r="E1346" t="inlineStr">
        <is>
          <t>ÅNGE</t>
        </is>
      </c>
      <c r="F1346" t="inlineStr">
        <is>
          <t>SCA</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19065-2025</t>
        </is>
      </c>
      <c r="B1347" s="1" t="n">
        <v>45765</v>
      </c>
      <c r="C1347" s="1" t="n">
        <v>46059</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36290-2023</t>
        </is>
      </c>
      <c r="B1348" s="1" t="n">
        <v>45152.35467592593</v>
      </c>
      <c r="C1348" s="1" t="n">
        <v>46059</v>
      </c>
      <c r="D1348" t="inlineStr">
        <is>
          <t>VÄSTERNORRLANDS LÄN</t>
        </is>
      </c>
      <c r="E1348" t="inlineStr">
        <is>
          <t>ÅNGE</t>
        </is>
      </c>
      <c r="F1348" t="inlineStr">
        <is>
          <t>Övriga Aktiebolag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48369-2024</t>
        </is>
      </c>
      <c r="B1349" s="1" t="n">
        <v>45590.57960648148</v>
      </c>
      <c r="C1349" s="1" t="n">
        <v>46059</v>
      </c>
      <c r="D1349" t="inlineStr">
        <is>
          <t>VÄSTERNORRLANDS LÄN</t>
        </is>
      </c>
      <c r="E1349" t="inlineStr">
        <is>
          <t>ÅNGE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1714-2025</t>
        </is>
      </c>
      <c r="B1350" s="1" t="n">
        <v>45671.32474537037</v>
      </c>
      <c r="C1350" s="1" t="n">
        <v>46059</v>
      </c>
      <c r="D1350" t="inlineStr">
        <is>
          <t>VÄSTERNORRLANDS LÄN</t>
        </is>
      </c>
      <c r="E1350" t="inlineStr">
        <is>
          <t>ÅNGE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11529-2023</t>
        </is>
      </c>
      <c r="B1351" s="1" t="n">
        <v>44993</v>
      </c>
      <c r="C1351" s="1" t="n">
        <v>46059</v>
      </c>
      <c r="D1351" t="inlineStr">
        <is>
          <t>VÄSTERNORRLANDS LÄN</t>
        </is>
      </c>
      <c r="E1351" t="inlineStr">
        <is>
          <t>ÅNGE</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31182-2024</t>
        </is>
      </c>
      <c r="B1352" s="1" t="n">
        <v>45503</v>
      </c>
      <c r="C1352" s="1" t="n">
        <v>46059</v>
      </c>
      <c r="D1352" t="inlineStr">
        <is>
          <t>VÄSTERNORRLANDS LÄN</t>
        </is>
      </c>
      <c r="E1352" t="inlineStr">
        <is>
          <t>ÅNGE</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41758-2024</t>
        </is>
      </c>
      <c r="B1353" s="1" t="n">
        <v>45561.34478009259</v>
      </c>
      <c r="C1353" s="1" t="n">
        <v>46059</v>
      </c>
      <c r="D1353" t="inlineStr">
        <is>
          <t>VÄSTERNORRLANDS LÄN</t>
        </is>
      </c>
      <c r="E1353" t="inlineStr">
        <is>
          <t>ÅNGE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5433-2024</t>
        </is>
      </c>
      <c r="B1354" s="1" t="n">
        <v>45331</v>
      </c>
      <c r="C1354" s="1" t="n">
        <v>46059</v>
      </c>
      <c r="D1354" t="inlineStr">
        <is>
          <t>VÄSTERNORRLANDS LÄN</t>
        </is>
      </c>
      <c r="E1354" t="inlineStr">
        <is>
          <t>ÅNGE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19926-2025</t>
        </is>
      </c>
      <c r="B1355" s="1" t="n">
        <v>45771.6357175926</v>
      </c>
      <c r="C1355" s="1" t="n">
        <v>46059</v>
      </c>
      <c r="D1355" t="inlineStr">
        <is>
          <t>VÄSTERNORRLANDS LÄN</t>
        </is>
      </c>
      <c r="E1355" t="inlineStr">
        <is>
          <t>ÅNGE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51055-2023</t>
        </is>
      </c>
      <c r="B1356" s="1" t="n">
        <v>45218</v>
      </c>
      <c r="C1356" s="1" t="n">
        <v>46059</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6684-2024</t>
        </is>
      </c>
      <c r="B1357" s="1" t="n">
        <v>45341.92555555556</v>
      </c>
      <c r="C1357" s="1" t="n">
        <v>46059</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113-2025</t>
        </is>
      </c>
      <c r="B1358" s="1" t="n">
        <v>45659.5106712963</v>
      </c>
      <c r="C1358" s="1" t="n">
        <v>46059</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1403-2025</t>
        </is>
      </c>
      <c r="B1359" s="1" t="n">
        <v>45667.70548611111</v>
      </c>
      <c r="C1359" s="1" t="n">
        <v>46059</v>
      </c>
      <c r="D1359" t="inlineStr">
        <is>
          <t>VÄSTERNORRLANDS LÄN</t>
        </is>
      </c>
      <c r="E1359" t="inlineStr">
        <is>
          <t>ÅNGE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39619-2024</t>
        </is>
      </c>
      <c r="B1360" s="1" t="n">
        <v>45552</v>
      </c>
      <c r="C1360" s="1" t="n">
        <v>46059</v>
      </c>
      <c r="D1360" t="inlineStr">
        <is>
          <t>VÄSTERNORRLANDS LÄN</t>
        </is>
      </c>
      <c r="E1360" t="inlineStr">
        <is>
          <t>ÅNGE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58774-2023</t>
        </is>
      </c>
      <c r="B1361" s="1" t="n">
        <v>45251</v>
      </c>
      <c r="C1361" s="1" t="n">
        <v>46059</v>
      </c>
      <c r="D1361" t="inlineStr">
        <is>
          <t>VÄSTERNORRLANDS LÄN</t>
        </is>
      </c>
      <c r="E1361" t="inlineStr">
        <is>
          <t>ÅNGE</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4359-2025</t>
        </is>
      </c>
      <c r="B1362" s="1" t="n">
        <v>45686.33072916666</v>
      </c>
      <c r="C1362" s="1" t="n">
        <v>46059</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11399-2025</t>
        </is>
      </c>
      <c r="B1363" s="1" t="n">
        <v>45726.57364583333</v>
      </c>
      <c r="C1363" s="1" t="n">
        <v>46059</v>
      </c>
      <c r="D1363" t="inlineStr">
        <is>
          <t>VÄSTERNORRLANDS LÄN</t>
        </is>
      </c>
      <c r="E1363" t="inlineStr">
        <is>
          <t>ÅNGE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15822-2025</t>
        </is>
      </c>
      <c r="B1364" s="1" t="n">
        <v>45748.70172453704</v>
      </c>
      <c r="C1364" s="1" t="n">
        <v>46059</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57591-2022</t>
        </is>
      </c>
      <c r="B1365" s="1" t="n">
        <v>44896.97834490741</v>
      </c>
      <c r="C1365" s="1" t="n">
        <v>46059</v>
      </c>
      <c r="D1365" t="inlineStr">
        <is>
          <t>VÄSTERNORRLANDS LÄN</t>
        </is>
      </c>
      <c r="E1365" t="inlineStr">
        <is>
          <t>ÅNGE</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17044-2023</t>
        </is>
      </c>
      <c r="B1366" s="1" t="n">
        <v>45034</v>
      </c>
      <c r="C1366" s="1" t="n">
        <v>46059</v>
      </c>
      <c r="D1366" t="inlineStr">
        <is>
          <t>VÄSTERNORRLANDS LÄN</t>
        </is>
      </c>
      <c r="E1366" t="inlineStr">
        <is>
          <t>ÅNGE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60812-2024</t>
        </is>
      </c>
      <c r="B1367" s="1" t="n">
        <v>45644</v>
      </c>
      <c r="C1367" s="1" t="n">
        <v>46059</v>
      </c>
      <c r="D1367" t="inlineStr">
        <is>
          <t>VÄSTERNORRLANDS LÄN</t>
        </is>
      </c>
      <c r="E1367" t="inlineStr">
        <is>
          <t>ÅNGE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58943-2022</t>
        </is>
      </c>
      <c r="B1368" s="1" t="n">
        <v>44903.64400462963</v>
      </c>
      <c r="C1368" s="1" t="n">
        <v>46059</v>
      </c>
      <c r="D1368" t="inlineStr">
        <is>
          <t>VÄSTERNORRLANDS LÄN</t>
        </is>
      </c>
      <c r="E1368" t="inlineStr">
        <is>
          <t>ÅNGE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1103-2023</t>
        </is>
      </c>
      <c r="B1369" s="1" t="n">
        <v>44929</v>
      </c>
      <c r="C1369" s="1" t="n">
        <v>46059</v>
      </c>
      <c r="D1369" t="inlineStr">
        <is>
          <t>VÄSTERNORRLANDS LÄN</t>
        </is>
      </c>
      <c r="E1369" t="inlineStr">
        <is>
          <t>ÅNGE</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57526-2024</t>
        </is>
      </c>
      <c r="B1370" s="1" t="n">
        <v>45630</v>
      </c>
      <c r="C1370" s="1" t="n">
        <v>46059</v>
      </c>
      <c r="D1370" t="inlineStr">
        <is>
          <t>VÄSTERNORRLANDS LÄN</t>
        </is>
      </c>
      <c r="E1370" t="inlineStr">
        <is>
          <t>ÅNGE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18456-2024</t>
        </is>
      </c>
      <c r="B1371" s="1" t="n">
        <v>45425.46831018518</v>
      </c>
      <c r="C1371" s="1" t="n">
        <v>46059</v>
      </c>
      <c r="D1371" t="inlineStr">
        <is>
          <t>VÄSTERNORRLANDS LÄN</t>
        </is>
      </c>
      <c r="E1371" t="inlineStr">
        <is>
          <t>ÅNGE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44180-2023</t>
        </is>
      </c>
      <c r="B1372" s="1" t="n">
        <v>45183</v>
      </c>
      <c r="C1372" s="1" t="n">
        <v>46059</v>
      </c>
      <c r="D1372" t="inlineStr">
        <is>
          <t>VÄSTERNORRLANDS LÄN</t>
        </is>
      </c>
      <c r="E1372" t="inlineStr">
        <is>
          <t>ÅNGE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5197-2025</t>
        </is>
      </c>
      <c r="B1373" s="1" t="n">
        <v>45691.65701388889</v>
      </c>
      <c r="C1373" s="1" t="n">
        <v>46059</v>
      </c>
      <c r="D1373" t="inlineStr">
        <is>
          <t>VÄSTERNORRLANDS LÄN</t>
        </is>
      </c>
      <c r="E1373" t="inlineStr">
        <is>
          <t>ÅNGE</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5246-2025</t>
        </is>
      </c>
      <c r="B1374" s="1" t="n">
        <v>45692.34427083333</v>
      </c>
      <c r="C1374" s="1" t="n">
        <v>46059</v>
      </c>
      <c r="D1374" t="inlineStr">
        <is>
          <t>VÄSTERNORRLANDS LÄN</t>
        </is>
      </c>
      <c r="E1374" t="inlineStr">
        <is>
          <t>ÅNGE</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41829-2021</t>
        </is>
      </c>
      <c r="B1375" s="1" t="n">
        <v>44425.92202546296</v>
      </c>
      <c r="C1375" s="1" t="n">
        <v>46059</v>
      </c>
      <c r="D1375" t="inlineStr">
        <is>
          <t>VÄSTERNORRLANDS LÄN</t>
        </is>
      </c>
      <c r="E1375" t="inlineStr">
        <is>
          <t>ÅNGE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50612-2024</t>
        </is>
      </c>
      <c r="B1376" s="1" t="n">
        <v>45601</v>
      </c>
      <c r="C1376" s="1" t="n">
        <v>46059</v>
      </c>
      <c r="D1376" t="inlineStr">
        <is>
          <t>VÄSTERNORRLANDS LÄN</t>
        </is>
      </c>
      <c r="E1376" t="inlineStr">
        <is>
          <t>ÅNGE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13491-2023</t>
        </is>
      </c>
      <c r="B1377" s="1" t="n">
        <v>45005.93929398148</v>
      </c>
      <c r="C1377" s="1" t="n">
        <v>46059</v>
      </c>
      <c r="D1377" t="inlineStr">
        <is>
          <t>VÄSTERNORRLANDS LÄN</t>
        </is>
      </c>
      <c r="E1377" t="inlineStr">
        <is>
          <t>ÅNGE</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47243-2024</t>
        </is>
      </c>
      <c r="B1378" s="1" t="n">
        <v>45586.6987962963</v>
      </c>
      <c r="C1378" s="1" t="n">
        <v>46059</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37540-2024</t>
        </is>
      </c>
      <c r="B1379" s="1" t="n">
        <v>45541.42111111111</v>
      </c>
      <c r="C1379" s="1" t="n">
        <v>46059</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42948-2024</t>
        </is>
      </c>
      <c r="B1380" s="1" t="n">
        <v>45567.36628472222</v>
      </c>
      <c r="C1380" s="1" t="n">
        <v>46059</v>
      </c>
      <c r="D1380" t="inlineStr">
        <is>
          <t>VÄSTERNORRLANDS LÄN</t>
        </is>
      </c>
      <c r="E1380" t="inlineStr">
        <is>
          <t>ÅNGE</t>
        </is>
      </c>
      <c r="F1380" t="inlineStr">
        <is>
          <t>SCA</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54585-2024</t>
        </is>
      </c>
      <c r="B1381" s="1" t="n">
        <v>45617.65762731482</v>
      </c>
      <c r="C1381" s="1" t="n">
        <v>46059</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15404-2025</t>
        </is>
      </c>
      <c r="B1382" s="1" t="n">
        <v>45747.44665509259</v>
      </c>
      <c r="C1382" s="1" t="n">
        <v>46059</v>
      </c>
      <c r="D1382" t="inlineStr">
        <is>
          <t>VÄSTERNORRLANDS LÄN</t>
        </is>
      </c>
      <c r="E1382" t="inlineStr">
        <is>
          <t>ÅNGE</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17703-2025</t>
        </is>
      </c>
      <c r="B1383" s="1" t="n">
        <v>45758.4275462963</v>
      </c>
      <c r="C1383" s="1" t="n">
        <v>46059</v>
      </c>
      <c r="D1383" t="inlineStr">
        <is>
          <t>VÄSTERNORRLANDS LÄN</t>
        </is>
      </c>
      <c r="E1383" t="inlineStr">
        <is>
          <t>ÅNGE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42529-2024</t>
        </is>
      </c>
      <c r="B1384" s="1" t="n">
        <v>45565.57324074074</v>
      </c>
      <c r="C1384" s="1" t="n">
        <v>46059</v>
      </c>
      <c r="D1384" t="inlineStr">
        <is>
          <t>VÄSTERNORRLANDS LÄN</t>
        </is>
      </c>
      <c r="E1384" t="inlineStr">
        <is>
          <t>ÅNGE</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3966-2025</t>
        </is>
      </c>
      <c r="B1385" s="1" t="n">
        <v>45684.51072916666</v>
      </c>
      <c r="C1385" s="1" t="n">
        <v>46059</v>
      </c>
      <c r="D1385" t="inlineStr">
        <is>
          <t>VÄSTERNORRLANDS LÄN</t>
        </is>
      </c>
      <c r="E1385" t="inlineStr">
        <is>
          <t>ÅNGE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54316-2024</t>
        </is>
      </c>
      <c r="B1386" s="1" t="n">
        <v>45617.34443287037</v>
      </c>
      <c r="C1386" s="1" t="n">
        <v>46059</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4186-2025</t>
        </is>
      </c>
      <c r="B1387" s="1" t="n">
        <v>45685.44827546296</v>
      </c>
      <c r="C1387" s="1" t="n">
        <v>46059</v>
      </c>
      <c r="D1387" t="inlineStr">
        <is>
          <t>VÄSTERNORRLANDS LÄN</t>
        </is>
      </c>
      <c r="E1387" t="inlineStr">
        <is>
          <t>ÅNGE</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53209-2024</t>
        </is>
      </c>
      <c r="B1388" s="1" t="n">
        <v>45612.51079861111</v>
      </c>
      <c r="C1388" s="1" t="n">
        <v>46059</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15778-2025</t>
        </is>
      </c>
      <c r="B1389" s="1" t="n">
        <v>45748.60030092593</v>
      </c>
      <c r="C1389" s="1" t="n">
        <v>46059</v>
      </c>
      <c r="D1389" t="inlineStr">
        <is>
          <t>VÄSTERNORRLANDS LÄN</t>
        </is>
      </c>
      <c r="E1389" t="inlineStr">
        <is>
          <t>ÅNGE</t>
        </is>
      </c>
      <c r="F1389" t="inlineStr">
        <is>
          <t>SCA</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17718-2025</t>
        </is>
      </c>
      <c r="B1390" s="1" t="n">
        <v>45758.44815972223</v>
      </c>
      <c r="C1390" s="1" t="n">
        <v>46059</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38246-2024</t>
        </is>
      </c>
      <c r="B1391" s="1" t="n">
        <v>45545.57327546296</v>
      </c>
      <c r="C1391" s="1" t="n">
        <v>46059</v>
      </c>
      <c r="D1391" t="inlineStr">
        <is>
          <t>VÄSTERNORRLANDS LÄN</t>
        </is>
      </c>
      <c r="E1391" t="inlineStr">
        <is>
          <t>ÅNGE</t>
        </is>
      </c>
      <c r="F1391" t="inlineStr">
        <is>
          <t>SCA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26943-2024</t>
        </is>
      </c>
      <c r="B1392" s="1" t="n">
        <v>45470</v>
      </c>
      <c r="C1392" s="1" t="n">
        <v>46059</v>
      </c>
      <c r="D1392" t="inlineStr">
        <is>
          <t>VÄSTERNORRLANDS LÄN</t>
        </is>
      </c>
      <c r="E1392" t="inlineStr">
        <is>
          <t>ÅNGE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53512-2023</t>
        </is>
      </c>
      <c r="B1393" s="1" t="n">
        <v>45230</v>
      </c>
      <c r="C1393" s="1" t="n">
        <v>46059</v>
      </c>
      <c r="D1393" t="inlineStr">
        <is>
          <t>VÄSTERNORRLANDS LÄN</t>
        </is>
      </c>
      <c r="E1393" t="inlineStr">
        <is>
          <t>ÅNGE</t>
        </is>
      </c>
      <c r="F1393" t="inlineStr">
        <is>
          <t>Holmen skog AB</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20776-2025</t>
        </is>
      </c>
      <c r="B1394" s="1" t="n">
        <v>45776.59410879629</v>
      </c>
      <c r="C1394" s="1" t="n">
        <v>46059</v>
      </c>
      <c r="D1394" t="inlineStr">
        <is>
          <t>VÄSTERNORRLANDS LÄN</t>
        </is>
      </c>
      <c r="E1394" t="inlineStr">
        <is>
          <t>ÅNGE</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20718-2025</t>
        </is>
      </c>
      <c r="B1395" s="1" t="n">
        <v>45776.49047453704</v>
      </c>
      <c r="C1395" s="1" t="n">
        <v>46059</v>
      </c>
      <c r="D1395" t="inlineStr">
        <is>
          <t>VÄSTERNORRLANDS LÄN</t>
        </is>
      </c>
      <c r="E1395" t="inlineStr">
        <is>
          <t>ÅNGE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20864-2025</t>
        </is>
      </c>
      <c r="B1396" s="1" t="n">
        <v>45777.34417824074</v>
      </c>
      <c r="C1396" s="1" t="n">
        <v>46059</v>
      </c>
      <c r="D1396" t="inlineStr">
        <is>
          <t>VÄSTERNORRLANDS LÄN</t>
        </is>
      </c>
      <c r="E1396" t="inlineStr">
        <is>
          <t>ÅNGE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21068-2025</t>
        </is>
      </c>
      <c r="B1397" s="1" t="n">
        <v>45777.59413194445</v>
      </c>
      <c r="C1397" s="1" t="n">
        <v>46059</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20868-2025</t>
        </is>
      </c>
      <c r="B1398" s="1" t="n">
        <v>45777.34483796296</v>
      </c>
      <c r="C1398" s="1" t="n">
        <v>46059</v>
      </c>
      <c r="D1398" t="inlineStr">
        <is>
          <t>VÄSTERNORRLANDS LÄN</t>
        </is>
      </c>
      <c r="E1398" t="inlineStr">
        <is>
          <t>ÅNGE</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21176-2025</t>
        </is>
      </c>
      <c r="B1399" s="1" t="n">
        <v>45779.42798611111</v>
      </c>
      <c r="C1399" s="1" t="n">
        <v>46059</v>
      </c>
      <c r="D1399" t="inlineStr">
        <is>
          <t>VÄSTERNORRLANDS LÄN</t>
        </is>
      </c>
      <c r="E1399" t="inlineStr">
        <is>
          <t>ÅNGE</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21197-2025</t>
        </is>
      </c>
      <c r="B1400" s="1" t="n">
        <v>45779.46949074074</v>
      </c>
      <c r="C1400" s="1" t="n">
        <v>46059</v>
      </c>
      <c r="D1400" t="inlineStr">
        <is>
          <t>VÄSTERNORRLANDS LÄN</t>
        </is>
      </c>
      <c r="E1400" t="inlineStr">
        <is>
          <t>ÅNGE</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21563-2025</t>
        </is>
      </c>
      <c r="B1401" s="1" t="n">
        <v>45782.69822916666</v>
      </c>
      <c r="C1401" s="1" t="n">
        <v>46059</v>
      </c>
      <c r="D1401" t="inlineStr">
        <is>
          <t>VÄSTERNORRLANDS LÄN</t>
        </is>
      </c>
      <c r="E1401" t="inlineStr">
        <is>
          <t>ÅNGE</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45030-2024</t>
        </is>
      </c>
      <c r="B1402" s="1" t="n">
        <v>45575.52089120371</v>
      </c>
      <c r="C1402" s="1" t="n">
        <v>46059</v>
      </c>
      <c r="D1402" t="inlineStr">
        <is>
          <t>VÄSTERNORRLANDS LÄN</t>
        </is>
      </c>
      <c r="E1402" t="inlineStr">
        <is>
          <t>ÅNGE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21263-2025</t>
        </is>
      </c>
      <c r="B1403" s="1" t="n">
        <v>45779.61233796296</v>
      </c>
      <c r="C1403" s="1" t="n">
        <v>46059</v>
      </c>
      <c r="D1403" t="inlineStr">
        <is>
          <t>VÄSTERNORRLANDS LÄN</t>
        </is>
      </c>
      <c r="E1403" t="inlineStr">
        <is>
          <t>ÅNGE</t>
        </is>
      </c>
      <c r="F1403" t="inlineStr">
        <is>
          <t>Sveaskog</t>
        </is>
      </c>
      <c r="G1403" t="n">
        <v>14.9</v>
      </c>
      <c r="H1403" t="n">
        <v>0</v>
      </c>
      <c r="I1403" t="n">
        <v>0</v>
      </c>
      <c r="J1403" t="n">
        <v>0</v>
      </c>
      <c r="K1403" t="n">
        <v>0</v>
      </c>
      <c r="L1403" t="n">
        <v>0</v>
      </c>
      <c r="M1403" t="n">
        <v>0</v>
      </c>
      <c r="N1403" t="n">
        <v>0</v>
      </c>
      <c r="O1403" t="n">
        <v>0</v>
      </c>
      <c r="P1403" t="n">
        <v>0</v>
      </c>
      <c r="Q1403" t="n">
        <v>0</v>
      </c>
      <c r="R1403" s="2" t="inlineStr"/>
    </row>
    <row r="1404" ht="15" customHeight="1">
      <c r="A1404" t="inlineStr">
        <is>
          <t>A 21174-2025</t>
        </is>
      </c>
      <c r="B1404" s="1" t="n">
        <v>45779.42746527777</v>
      </c>
      <c r="C1404" s="1" t="n">
        <v>46059</v>
      </c>
      <c r="D1404" t="inlineStr">
        <is>
          <t>VÄSTERNORRLANDS LÄN</t>
        </is>
      </c>
      <c r="E1404" t="inlineStr">
        <is>
          <t>ÅNGE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21251-2025</t>
        </is>
      </c>
      <c r="B1405" s="1" t="n">
        <v>45779.57417824074</v>
      </c>
      <c r="C1405" s="1" t="n">
        <v>46059</v>
      </c>
      <c r="D1405" t="inlineStr">
        <is>
          <t>VÄSTERNORRLANDS LÄN</t>
        </is>
      </c>
      <c r="E1405" t="inlineStr">
        <is>
          <t>ÅNGE</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21712-2025</t>
        </is>
      </c>
      <c r="B1406" s="1" t="n">
        <v>45783.53210648148</v>
      </c>
      <c r="C1406" s="1" t="n">
        <v>46059</v>
      </c>
      <c r="D1406" t="inlineStr">
        <is>
          <t>VÄSTERNORRLANDS LÄN</t>
        </is>
      </c>
      <c r="E1406" t="inlineStr">
        <is>
          <t>ÅNGE</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2539-2025</t>
        </is>
      </c>
      <c r="B1407" s="1" t="n">
        <v>45674.61581018518</v>
      </c>
      <c r="C1407" s="1" t="n">
        <v>46059</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22187-2024</t>
        </is>
      </c>
      <c r="B1408" s="1" t="n">
        <v>45446.35222222222</v>
      </c>
      <c r="C1408" s="1" t="n">
        <v>46059</v>
      </c>
      <c r="D1408" t="inlineStr">
        <is>
          <t>VÄSTERNORRLANDS LÄN</t>
        </is>
      </c>
      <c r="E1408" t="inlineStr">
        <is>
          <t>ÅNGE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21883-2025</t>
        </is>
      </c>
      <c r="B1409" s="1" t="n">
        <v>45784.41361111111</v>
      </c>
      <c r="C1409" s="1" t="n">
        <v>46059</v>
      </c>
      <c r="D1409" t="inlineStr">
        <is>
          <t>VÄSTERNORRLANDS LÄN</t>
        </is>
      </c>
      <c r="E1409" t="inlineStr">
        <is>
          <t>ÅNGE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21597-2025</t>
        </is>
      </c>
      <c r="B1410" s="1" t="n">
        <v>45783.34493055556</v>
      </c>
      <c r="C1410" s="1" t="n">
        <v>46059</v>
      </c>
      <c r="D1410" t="inlineStr">
        <is>
          <t>VÄSTERNORRLANDS LÄN</t>
        </is>
      </c>
      <c r="E1410" t="inlineStr">
        <is>
          <t>ÅNGE</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25867-2024</t>
        </is>
      </c>
      <c r="B1411" s="1" t="n">
        <v>45463</v>
      </c>
      <c r="C1411" s="1" t="n">
        <v>46059</v>
      </c>
      <c r="D1411" t="inlineStr">
        <is>
          <t>VÄSTERNORRLANDS LÄN</t>
        </is>
      </c>
      <c r="E1411" t="inlineStr">
        <is>
          <t>ÅNGE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17669-2023</t>
        </is>
      </c>
      <c r="B1412" s="1" t="n">
        <v>45036.94457175926</v>
      </c>
      <c r="C1412" s="1" t="n">
        <v>46059</v>
      </c>
      <c r="D1412" t="inlineStr">
        <is>
          <t>VÄSTERNORRLANDS LÄN</t>
        </is>
      </c>
      <c r="E1412" t="inlineStr">
        <is>
          <t>ÅNGE</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29395-2023</t>
        </is>
      </c>
      <c r="B1413" s="1" t="n">
        <v>45106.4359837963</v>
      </c>
      <c r="C1413" s="1" t="n">
        <v>46059</v>
      </c>
      <c r="D1413" t="inlineStr">
        <is>
          <t>VÄSTERNORRLANDS LÄN</t>
        </is>
      </c>
      <c r="E1413" t="inlineStr">
        <is>
          <t>ÅNGE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21862-2025</t>
        </is>
      </c>
      <c r="B1414" s="1" t="n">
        <v>45784.36519675926</v>
      </c>
      <c r="C1414" s="1" t="n">
        <v>46059</v>
      </c>
      <c r="D1414" t="inlineStr">
        <is>
          <t>VÄSTERNORRLANDS LÄN</t>
        </is>
      </c>
      <c r="E1414" t="inlineStr">
        <is>
          <t>ÅNGE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21982-2025</t>
        </is>
      </c>
      <c r="B1415" s="1" t="n">
        <v>45784.65660879629</v>
      </c>
      <c r="C1415" s="1" t="n">
        <v>46059</v>
      </c>
      <c r="D1415" t="inlineStr">
        <is>
          <t>VÄSTERNORRLANDS LÄN</t>
        </is>
      </c>
      <c r="E1415" t="inlineStr">
        <is>
          <t>ÅNGE</t>
        </is>
      </c>
      <c r="F1415" t="inlineStr">
        <is>
          <t>SCA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54295-2024</t>
        </is>
      </c>
      <c r="B1416" s="1" t="n">
        <v>45617</v>
      </c>
      <c r="C1416" s="1" t="n">
        <v>46059</v>
      </c>
      <c r="D1416" t="inlineStr">
        <is>
          <t>VÄSTERNORRLANDS LÄN</t>
        </is>
      </c>
      <c r="E1416" t="inlineStr">
        <is>
          <t>ÅNGE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21686-2025</t>
        </is>
      </c>
      <c r="B1417" s="1" t="n">
        <v>45783.490625</v>
      </c>
      <c r="C1417" s="1" t="n">
        <v>46059</v>
      </c>
      <c r="D1417" t="inlineStr">
        <is>
          <t>VÄSTERNORRLANDS LÄN</t>
        </is>
      </c>
      <c r="E1417" t="inlineStr">
        <is>
          <t>ÅNGE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21741-2025</t>
        </is>
      </c>
      <c r="B1418" s="1" t="n">
        <v>45783.59415509259</v>
      </c>
      <c r="C1418" s="1" t="n">
        <v>46059</v>
      </c>
      <c r="D1418" t="inlineStr">
        <is>
          <t>VÄSTERNORRLANDS LÄN</t>
        </is>
      </c>
      <c r="E1418" t="inlineStr">
        <is>
          <t>ÅNGE</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39119-2024</t>
        </is>
      </c>
      <c r="B1419" s="1" t="n">
        <v>45548.58939814815</v>
      </c>
      <c r="C1419" s="1" t="n">
        <v>46059</v>
      </c>
      <c r="D1419" t="inlineStr">
        <is>
          <t>VÄSTERNORRLANDS LÄN</t>
        </is>
      </c>
      <c r="E1419" t="inlineStr">
        <is>
          <t>ÅNGE</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21685-2025</t>
        </is>
      </c>
      <c r="B1420" s="1" t="n">
        <v>45783.49050925926</v>
      </c>
      <c r="C1420" s="1" t="n">
        <v>46059</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32257-2024</t>
        </is>
      </c>
      <c r="B1421" s="1" t="n">
        <v>45511</v>
      </c>
      <c r="C1421" s="1" t="n">
        <v>46059</v>
      </c>
      <c r="D1421" t="inlineStr">
        <is>
          <t>VÄSTERNORRLANDS LÄN</t>
        </is>
      </c>
      <c r="E1421" t="inlineStr">
        <is>
          <t>ÅNGE</t>
        </is>
      </c>
      <c r="F1421" t="inlineStr">
        <is>
          <t>SCA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31492-2024</t>
        </is>
      </c>
      <c r="B1422" s="1" t="n">
        <v>45505</v>
      </c>
      <c r="C1422" s="1" t="n">
        <v>46059</v>
      </c>
      <c r="D1422" t="inlineStr">
        <is>
          <t>VÄSTERNORRLANDS LÄN</t>
        </is>
      </c>
      <c r="E1422" t="inlineStr">
        <is>
          <t>ÅNGE</t>
        </is>
      </c>
      <c r="F1422" t="inlineStr">
        <is>
          <t>SCA</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38800-2024</t>
        </is>
      </c>
      <c r="B1423" s="1" t="n">
        <v>45547</v>
      </c>
      <c r="C1423" s="1" t="n">
        <v>46059</v>
      </c>
      <c r="D1423" t="inlineStr">
        <is>
          <t>VÄSTERNORRLANDS LÄN</t>
        </is>
      </c>
      <c r="E1423" t="inlineStr">
        <is>
          <t>ÅNGE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20880-2025</t>
        </is>
      </c>
      <c r="B1424" s="1" t="n">
        <v>45777</v>
      </c>
      <c r="C1424" s="1" t="n">
        <v>46059</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22219-2025</t>
        </is>
      </c>
      <c r="B1425" s="1" t="n">
        <v>45785.65849537037</v>
      </c>
      <c r="C1425" s="1" t="n">
        <v>46059</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22206-2025</t>
        </is>
      </c>
      <c r="B1426" s="1" t="n">
        <v>45785.65699074074</v>
      </c>
      <c r="C1426" s="1" t="n">
        <v>46059</v>
      </c>
      <c r="D1426" t="inlineStr">
        <is>
          <t>VÄSTERNORRLANDS LÄN</t>
        </is>
      </c>
      <c r="E1426" t="inlineStr">
        <is>
          <t>ÅNGE</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26640-2024</t>
        </is>
      </c>
      <c r="B1427" s="1" t="n">
        <v>45469.92831018518</v>
      </c>
      <c r="C1427" s="1" t="n">
        <v>46059</v>
      </c>
      <c r="D1427" t="inlineStr">
        <is>
          <t>VÄSTERNORRLANDS LÄN</t>
        </is>
      </c>
      <c r="E1427" t="inlineStr">
        <is>
          <t>ÅNGE</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22489-2025</t>
        </is>
      </c>
      <c r="B1428" s="1" t="n">
        <v>45786.64946759259</v>
      </c>
      <c r="C1428" s="1" t="n">
        <v>46059</v>
      </c>
      <c r="D1428" t="inlineStr">
        <is>
          <t>VÄSTERNORRLANDS LÄN</t>
        </is>
      </c>
      <c r="E1428" t="inlineStr">
        <is>
          <t>ÅNGE</t>
        </is>
      </c>
      <c r="F1428" t="inlineStr">
        <is>
          <t>Sveaskog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22549-2025</t>
        </is>
      </c>
      <c r="B1429" s="1" t="n">
        <v>45788.48113425926</v>
      </c>
      <c r="C1429" s="1" t="n">
        <v>46059</v>
      </c>
      <c r="D1429" t="inlineStr">
        <is>
          <t>VÄSTERNORRLANDS LÄN</t>
        </is>
      </c>
      <c r="E1429" t="inlineStr">
        <is>
          <t>ÅNGE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22926-2025</t>
        </is>
      </c>
      <c r="B1430" s="1" t="n">
        <v>45790</v>
      </c>
      <c r="C1430" s="1" t="n">
        <v>46059</v>
      </c>
      <c r="D1430" t="inlineStr">
        <is>
          <t>VÄSTERNORRLANDS LÄN</t>
        </is>
      </c>
      <c r="E1430" t="inlineStr">
        <is>
          <t>ÅNGE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22928-2025</t>
        </is>
      </c>
      <c r="B1431" s="1" t="n">
        <v>45790.44825231482</v>
      </c>
      <c r="C1431" s="1" t="n">
        <v>46059</v>
      </c>
      <c r="D1431" t="inlineStr">
        <is>
          <t>VÄSTERNORRLANDS LÄN</t>
        </is>
      </c>
      <c r="E1431" t="inlineStr">
        <is>
          <t>ÅNGE</t>
        </is>
      </c>
      <c r="F1431" t="inlineStr">
        <is>
          <t>SCA</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22791-2025</t>
        </is>
      </c>
      <c r="B1432" s="1" t="n">
        <v>45789.65663194445</v>
      </c>
      <c r="C1432" s="1" t="n">
        <v>46059</v>
      </c>
      <c r="D1432" t="inlineStr">
        <is>
          <t>VÄSTERNORRLANDS LÄN</t>
        </is>
      </c>
      <c r="E1432" t="inlineStr">
        <is>
          <t>ÅNGE</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23091-2025</t>
        </is>
      </c>
      <c r="B1433" s="1" t="n">
        <v>45791.34456018519</v>
      </c>
      <c r="C1433" s="1" t="n">
        <v>46059</v>
      </c>
      <c r="D1433" t="inlineStr">
        <is>
          <t>VÄSTERNORRLANDS LÄN</t>
        </is>
      </c>
      <c r="E1433" t="inlineStr">
        <is>
          <t>ÅNGE</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23580-2025</t>
        </is>
      </c>
      <c r="B1434" s="1" t="n">
        <v>45792.62555555555</v>
      </c>
      <c r="C1434" s="1" t="n">
        <v>46059</v>
      </c>
      <c r="D1434" t="inlineStr">
        <is>
          <t>VÄSTERNORRLANDS LÄN</t>
        </is>
      </c>
      <c r="E1434" t="inlineStr">
        <is>
          <t>ÅNGE</t>
        </is>
      </c>
      <c r="F1434" t="inlineStr">
        <is>
          <t>Kyrkan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23343-2025</t>
        </is>
      </c>
      <c r="B1435" s="1" t="n">
        <v>45791.65702546296</v>
      </c>
      <c r="C1435" s="1" t="n">
        <v>46059</v>
      </c>
      <c r="D1435" t="inlineStr">
        <is>
          <t>VÄSTERNORRLANDS LÄN</t>
        </is>
      </c>
      <c r="E1435" t="inlineStr">
        <is>
          <t>ÅNGE</t>
        </is>
      </c>
      <c r="F1435" t="inlineStr">
        <is>
          <t>SCA</t>
        </is>
      </c>
      <c r="G1435" t="n">
        <v>12.6</v>
      </c>
      <c r="H1435" t="n">
        <v>0</v>
      </c>
      <c r="I1435" t="n">
        <v>0</v>
      </c>
      <c r="J1435" t="n">
        <v>0</v>
      </c>
      <c r="K1435" t="n">
        <v>0</v>
      </c>
      <c r="L1435" t="n">
        <v>0</v>
      </c>
      <c r="M1435" t="n">
        <v>0</v>
      </c>
      <c r="N1435" t="n">
        <v>0</v>
      </c>
      <c r="O1435" t="n">
        <v>0</v>
      </c>
      <c r="P1435" t="n">
        <v>0</v>
      </c>
      <c r="Q1435" t="n">
        <v>0</v>
      </c>
      <c r="R1435" s="2" t="inlineStr"/>
    </row>
    <row r="1436" ht="15" customHeight="1">
      <c r="A1436" t="inlineStr">
        <is>
          <t>A 23573-2025</t>
        </is>
      </c>
      <c r="B1436" s="1" t="n">
        <v>45792.61497685185</v>
      </c>
      <c r="C1436" s="1" t="n">
        <v>46059</v>
      </c>
      <c r="D1436" t="inlineStr">
        <is>
          <t>VÄSTERNORRLANDS LÄN</t>
        </is>
      </c>
      <c r="E1436" t="inlineStr">
        <is>
          <t>ÅNGE</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23590-2025</t>
        </is>
      </c>
      <c r="B1437" s="1" t="n">
        <v>45792.63627314815</v>
      </c>
      <c r="C1437" s="1" t="n">
        <v>46059</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23495-2025</t>
        </is>
      </c>
      <c r="B1438" s="1" t="n">
        <v>45792.46967592592</v>
      </c>
      <c r="C1438" s="1" t="n">
        <v>46059</v>
      </c>
      <c r="D1438" t="inlineStr">
        <is>
          <t>VÄSTERNORRLANDS LÄN</t>
        </is>
      </c>
      <c r="E1438" t="inlineStr">
        <is>
          <t>ÅNGE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23589-2025</t>
        </is>
      </c>
      <c r="B1439" s="1" t="n">
        <v>45792.63618055556</v>
      </c>
      <c r="C1439" s="1" t="n">
        <v>46059</v>
      </c>
      <c r="D1439" t="inlineStr">
        <is>
          <t>VÄSTERNORRLANDS LÄN</t>
        </is>
      </c>
      <c r="E1439" t="inlineStr">
        <is>
          <t>ÅNGE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23252-2025</t>
        </is>
      </c>
      <c r="B1440" s="1" t="n">
        <v>45791.53157407408</v>
      </c>
      <c r="C1440" s="1" t="n">
        <v>46059</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23529-2025</t>
        </is>
      </c>
      <c r="B1441" s="1" t="n">
        <v>45792.53158564815</v>
      </c>
      <c r="C1441" s="1" t="n">
        <v>46059</v>
      </c>
      <c r="D1441" t="inlineStr">
        <is>
          <t>VÄSTERNORRLANDS LÄN</t>
        </is>
      </c>
      <c r="E1441" t="inlineStr">
        <is>
          <t>ÅNGE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23552-2025</t>
        </is>
      </c>
      <c r="B1442" s="1" t="n">
        <v>45792.5738425926</v>
      </c>
      <c r="C1442" s="1" t="n">
        <v>46059</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23748-2025</t>
        </is>
      </c>
      <c r="B1443" s="1" t="n">
        <v>45793.44755787037</v>
      </c>
      <c r="C1443" s="1" t="n">
        <v>46059</v>
      </c>
      <c r="D1443" t="inlineStr">
        <is>
          <t>VÄSTERNORRLANDS LÄN</t>
        </is>
      </c>
      <c r="E1443" t="inlineStr">
        <is>
          <t>ÅNGE</t>
        </is>
      </c>
      <c r="F1443" t="inlineStr">
        <is>
          <t>Sveaskog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43145-2024</t>
        </is>
      </c>
      <c r="B1444" s="1" t="n">
        <v>45567.63030092593</v>
      </c>
      <c r="C1444" s="1" t="n">
        <v>46059</v>
      </c>
      <c r="D1444" t="inlineStr">
        <is>
          <t>VÄSTERNORRLANDS LÄN</t>
        </is>
      </c>
      <c r="E1444" t="inlineStr">
        <is>
          <t>ÅNGE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23899-2025</t>
        </is>
      </c>
      <c r="B1445" s="1" t="n">
        <v>45794.34414351852</v>
      </c>
      <c r="C1445" s="1" t="n">
        <v>46059</v>
      </c>
      <c r="D1445" t="inlineStr">
        <is>
          <t>VÄSTERNORRLANDS LÄN</t>
        </is>
      </c>
      <c r="E1445" t="inlineStr">
        <is>
          <t>ÅNGE</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23917-2025</t>
        </is>
      </c>
      <c r="B1446" s="1" t="n">
        <v>45795.34481481482</v>
      </c>
      <c r="C1446" s="1" t="n">
        <v>46059</v>
      </c>
      <c r="D1446" t="inlineStr">
        <is>
          <t>VÄSTERNORRLANDS LÄN</t>
        </is>
      </c>
      <c r="E1446" t="inlineStr">
        <is>
          <t>ÅNGE</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56188-2024</t>
        </is>
      </c>
      <c r="B1447" s="1" t="n">
        <v>45624.57800925926</v>
      </c>
      <c r="C1447" s="1" t="n">
        <v>46059</v>
      </c>
      <c r="D1447" t="inlineStr">
        <is>
          <t>VÄSTERNORRLANDS LÄN</t>
        </is>
      </c>
      <c r="E1447" t="inlineStr">
        <is>
          <t>ÅNGE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39843-2023</t>
        </is>
      </c>
      <c r="B1448" s="1" t="n">
        <v>45168</v>
      </c>
      <c r="C1448" s="1" t="n">
        <v>46059</v>
      </c>
      <c r="D1448" t="inlineStr">
        <is>
          <t>VÄSTERNORRLANDS LÄN</t>
        </is>
      </c>
      <c r="E1448" t="inlineStr">
        <is>
          <t>ÅNGE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23975-2025</t>
        </is>
      </c>
      <c r="B1449" s="1" t="n">
        <v>45796.38614583333</v>
      </c>
      <c r="C1449" s="1" t="n">
        <v>46059</v>
      </c>
      <c r="D1449" t="inlineStr">
        <is>
          <t>VÄSTERNORRLANDS LÄN</t>
        </is>
      </c>
      <c r="E1449" t="inlineStr">
        <is>
          <t>ÅNGE</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23976-2025</t>
        </is>
      </c>
      <c r="B1450" s="1" t="n">
        <v>45796.38625</v>
      </c>
      <c r="C1450" s="1" t="n">
        <v>46059</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23921-2025</t>
        </is>
      </c>
      <c r="B1451" s="1" t="n">
        <v>45795.34513888889</v>
      </c>
      <c r="C1451" s="1" t="n">
        <v>46059</v>
      </c>
      <c r="D1451" t="inlineStr">
        <is>
          <t>VÄSTERNORRLANDS LÄN</t>
        </is>
      </c>
      <c r="E1451" t="inlineStr">
        <is>
          <t>ÅNGE</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54079-2023</t>
        </is>
      </c>
      <c r="B1452" s="1" t="n">
        <v>45231</v>
      </c>
      <c r="C1452" s="1" t="n">
        <v>46059</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29702-2024</t>
        </is>
      </c>
      <c r="B1453" s="1" t="n">
        <v>45485.31525462963</v>
      </c>
      <c r="C1453" s="1" t="n">
        <v>46059</v>
      </c>
      <c r="D1453" t="inlineStr">
        <is>
          <t>VÄSTERNORRLANDS LÄN</t>
        </is>
      </c>
      <c r="E1453" t="inlineStr">
        <is>
          <t>ÅNGE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26641-2024</t>
        </is>
      </c>
      <c r="B1454" s="1" t="n">
        <v>45469.92836805555</v>
      </c>
      <c r="C1454" s="1" t="n">
        <v>46059</v>
      </c>
      <c r="D1454" t="inlineStr">
        <is>
          <t>VÄSTERNORRLANDS LÄN</t>
        </is>
      </c>
      <c r="E1454" t="inlineStr">
        <is>
          <t>ÅNGE</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41741-2023</t>
        </is>
      </c>
      <c r="B1455" s="1" t="n">
        <v>45176.42164351852</v>
      </c>
      <c r="C1455" s="1" t="n">
        <v>46059</v>
      </c>
      <c r="D1455" t="inlineStr">
        <is>
          <t>VÄSTERNORRLANDS LÄN</t>
        </is>
      </c>
      <c r="E1455" t="inlineStr">
        <is>
          <t>ÅNGE</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37992-2024</t>
        </is>
      </c>
      <c r="B1456" s="1" t="n">
        <v>45544.59524305556</v>
      </c>
      <c r="C1456" s="1" t="n">
        <v>46059</v>
      </c>
      <c r="D1456" t="inlineStr">
        <is>
          <t>VÄSTERNORRLANDS LÄN</t>
        </is>
      </c>
      <c r="E1456" t="inlineStr">
        <is>
          <t>ÅNGE</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57516-2023</t>
        </is>
      </c>
      <c r="B1457" s="1" t="n">
        <v>45246.44665509259</v>
      </c>
      <c r="C1457" s="1" t="n">
        <v>46059</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23069-2024</t>
        </is>
      </c>
      <c r="B1458" s="1" t="n">
        <v>45450</v>
      </c>
      <c r="C1458" s="1" t="n">
        <v>46059</v>
      </c>
      <c r="D1458" t="inlineStr">
        <is>
          <t>VÄSTERNORRLANDS LÄN</t>
        </is>
      </c>
      <c r="E1458" t="inlineStr">
        <is>
          <t>ÅNGE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41575-2024</t>
        </is>
      </c>
      <c r="B1459" s="1" t="n">
        <v>45560.55106481481</v>
      </c>
      <c r="C1459" s="1" t="n">
        <v>46059</v>
      </c>
      <c r="D1459" t="inlineStr">
        <is>
          <t>VÄSTERNORRLANDS LÄN</t>
        </is>
      </c>
      <c r="E1459" t="inlineStr">
        <is>
          <t>ÅNGE</t>
        </is>
      </c>
      <c r="F1459" t="inlineStr">
        <is>
          <t>Holmen skog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24008-2025</t>
        </is>
      </c>
      <c r="B1460" s="1" t="n">
        <v>45796.43841435185</v>
      </c>
      <c r="C1460" s="1" t="n">
        <v>46059</v>
      </c>
      <c r="D1460" t="inlineStr">
        <is>
          <t>VÄSTERNORRLANDS LÄN</t>
        </is>
      </c>
      <c r="E1460" t="inlineStr">
        <is>
          <t>ÅNGE</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19007-2025</t>
        </is>
      </c>
      <c r="B1461" s="1" t="n">
        <v>45764.58515046296</v>
      </c>
      <c r="C1461" s="1" t="n">
        <v>46059</v>
      </c>
      <c r="D1461" t="inlineStr">
        <is>
          <t>VÄSTERNORRLANDS LÄN</t>
        </is>
      </c>
      <c r="E1461" t="inlineStr">
        <is>
          <t>ÅNGE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60004-2023</t>
        </is>
      </c>
      <c r="B1462" s="1" t="n">
        <v>45257</v>
      </c>
      <c r="C1462" s="1" t="n">
        <v>46059</v>
      </c>
      <c r="D1462" t="inlineStr">
        <is>
          <t>VÄSTERNORRLANDS LÄN</t>
        </is>
      </c>
      <c r="E1462" t="inlineStr">
        <is>
          <t>ÅNGE</t>
        </is>
      </c>
      <c r="F1462" t="inlineStr">
        <is>
          <t>SCA</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43622-2023</t>
        </is>
      </c>
      <c r="B1463" s="1" t="n">
        <v>45184.70777777778</v>
      </c>
      <c r="C1463" s="1" t="n">
        <v>46059</v>
      </c>
      <c r="D1463" t="inlineStr">
        <is>
          <t>VÄSTERNORRLANDS LÄN</t>
        </is>
      </c>
      <c r="E1463" t="inlineStr">
        <is>
          <t>ÅNGE</t>
        </is>
      </c>
      <c r="F1463" t="inlineStr">
        <is>
          <t>Holmen skog AB</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24458-2025</t>
        </is>
      </c>
      <c r="B1464" s="1" t="n">
        <v>45798.34476851852</v>
      </c>
      <c r="C1464" s="1" t="n">
        <v>46059</v>
      </c>
      <c r="D1464" t="inlineStr">
        <is>
          <t>VÄSTERNORRLANDS LÄN</t>
        </is>
      </c>
      <c r="E1464" t="inlineStr">
        <is>
          <t>ÅNGE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29390-2021</t>
        </is>
      </c>
      <c r="B1465" s="1" t="n">
        <v>44361</v>
      </c>
      <c r="C1465" s="1" t="n">
        <v>46059</v>
      </c>
      <c r="D1465" t="inlineStr">
        <is>
          <t>VÄSTERNORRLANDS LÄN</t>
        </is>
      </c>
      <c r="E1465" t="inlineStr">
        <is>
          <t>ÅNGE</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30054-2024</t>
        </is>
      </c>
      <c r="B1466" s="1" t="n">
        <v>45488.94758101852</v>
      </c>
      <c r="C1466" s="1" t="n">
        <v>46059</v>
      </c>
      <c r="D1466" t="inlineStr">
        <is>
          <t>VÄSTERNORRLANDS LÄN</t>
        </is>
      </c>
      <c r="E1466" t="inlineStr">
        <is>
          <t>ÅNGE</t>
        </is>
      </c>
      <c r="F1466" t="inlineStr">
        <is>
          <t>SCA</t>
        </is>
      </c>
      <c r="G1466" t="n">
        <v>11.7</v>
      </c>
      <c r="H1466" t="n">
        <v>0</v>
      </c>
      <c r="I1466" t="n">
        <v>0</v>
      </c>
      <c r="J1466" t="n">
        <v>0</v>
      </c>
      <c r="K1466" t="n">
        <v>0</v>
      </c>
      <c r="L1466" t="n">
        <v>0</v>
      </c>
      <c r="M1466" t="n">
        <v>0</v>
      </c>
      <c r="N1466" t="n">
        <v>0</v>
      </c>
      <c r="O1466" t="n">
        <v>0</v>
      </c>
      <c r="P1466" t="n">
        <v>0</v>
      </c>
      <c r="Q1466" t="n">
        <v>0</v>
      </c>
      <c r="R1466" s="2" t="inlineStr"/>
    </row>
    <row r="1467" ht="15" customHeight="1">
      <c r="A1467" t="inlineStr">
        <is>
          <t>A 24357-2025</t>
        </is>
      </c>
      <c r="B1467" s="1" t="n">
        <v>45797.59467592592</v>
      </c>
      <c r="C1467" s="1" t="n">
        <v>46059</v>
      </c>
      <c r="D1467" t="inlineStr">
        <is>
          <t>VÄSTERNORRLANDS LÄN</t>
        </is>
      </c>
      <c r="E1467" t="inlineStr">
        <is>
          <t>ÅNGE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24207-2025</t>
        </is>
      </c>
      <c r="B1468" s="1" t="n">
        <v>45797.34439814815</v>
      </c>
      <c r="C1468" s="1" t="n">
        <v>46059</v>
      </c>
      <c r="D1468" t="inlineStr">
        <is>
          <t>VÄSTERNORRLANDS LÄN</t>
        </is>
      </c>
      <c r="E1468" t="inlineStr">
        <is>
          <t>ÅNGE</t>
        </is>
      </c>
      <c r="F1468" t="inlineStr">
        <is>
          <t>SCA</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24292-2025</t>
        </is>
      </c>
      <c r="B1469" s="1" t="n">
        <v>45797.46657407407</v>
      </c>
      <c r="C1469" s="1" t="n">
        <v>46059</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4142-2024</t>
        </is>
      </c>
      <c r="B1470" s="1" t="n">
        <v>45323</v>
      </c>
      <c r="C1470" s="1" t="n">
        <v>46059</v>
      </c>
      <c r="D1470" t="inlineStr">
        <is>
          <t>VÄSTERNORRLANDS LÄN</t>
        </is>
      </c>
      <c r="E1470" t="inlineStr">
        <is>
          <t>ÅNGE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27853-2024</t>
        </is>
      </c>
      <c r="B1471" s="1" t="n">
        <v>45475</v>
      </c>
      <c r="C1471" s="1" t="n">
        <v>46059</v>
      </c>
      <c r="D1471" t="inlineStr">
        <is>
          <t>VÄSTERNORRLANDS LÄN</t>
        </is>
      </c>
      <c r="E1471" t="inlineStr">
        <is>
          <t>ÅNGE</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10781-2024</t>
        </is>
      </c>
      <c r="B1472" s="1" t="n">
        <v>45369.59635416666</v>
      </c>
      <c r="C1472" s="1" t="n">
        <v>46059</v>
      </c>
      <c r="D1472" t="inlineStr">
        <is>
          <t>VÄSTERNORRLANDS LÄN</t>
        </is>
      </c>
      <c r="E1472" t="inlineStr">
        <is>
          <t>ÅNGE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24627-2025</t>
        </is>
      </c>
      <c r="B1473" s="1" t="n">
        <v>45798.59471064815</v>
      </c>
      <c r="C1473" s="1" t="n">
        <v>46059</v>
      </c>
      <c r="D1473" t="inlineStr">
        <is>
          <t>VÄSTERNORRLANDS LÄN</t>
        </is>
      </c>
      <c r="E1473" t="inlineStr">
        <is>
          <t>ÅNGE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24209-2025</t>
        </is>
      </c>
      <c r="B1474" s="1" t="n">
        <v>45797.3446875</v>
      </c>
      <c r="C1474" s="1" t="n">
        <v>46059</v>
      </c>
      <c r="D1474" t="inlineStr">
        <is>
          <t>VÄSTERNORRLANDS LÄN</t>
        </is>
      </c>
      <c r="E1474" t="inlineStr">
        <is>
          <t>ÅNGE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24232-2025</t>
        </is>
      </c>
      <c r="B1475" s="1" t="n">
        <v>45797.37846064815</v>
      </c>
      <c r="C1475" s="1" t="n">
        <v>46059</v>
      </c>
      <c r="D1475" t="inlineStr">
        <is>
          <t>VÄSTERNORRLANDS LÄN</t>
        </is>
      </c>
      <c r="E1475" t="inlineStr">
        <is>
          <t>ÅNGE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25340-2025</t>
        </is>
      </c>
      <c r="B1476" s="1" t="n">
        <v>45800.60074074074</v>
      </c>
      <c r="C1476" s="1" t="n">
        <v>46059</v>
      </c>
      <c r="D1476" t="inlineStr">
        <is>
          <t>VÄSTERNORRLANDS LÄN</t>
        </is>
      </c>
      <c r="E1476" t="inlineStr">
        <is>
          <t>ÅNGE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25273-2025</t>
        </is>
      </c>
      <c r="B1477" s="1" t="n">
        <v>45800.55253472222</v>
      </c>
      <c r="C1477" s="1" t="n">
        <v>46059</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25352-2025</t>
        </is>
      </c>
      <c r="B1478" s="1" t="n">
        <v>45800.61552083334</v>
      </c>
      <c r="C1478" s="1" t="n">
        <v>46059</v>
      </c>
      <c r="D1478" t="inlineStr">
        <is>
          <t>VÄSTERNORRLANDS LÄN</t>
        </is>
      </c>
      <c r="E1478" t="inlineStr">
        <is>
          <t>ÅNGE</t>
        </is>
      </c>
      <c r="F1478" t="inlineStr">
        <is>
          <t>SCA</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25017-2025</t>
        </is>
      </c>
      <c r="B1479" s="1" t="n">
        <v>45799.63791666667</v>
      </c>
      <c r="C1479" s="1" t="n">
        <v>46059</v>
      </c>
      <c r="D1479" t="inlineStr">
        <is>
          <t>VÄSTERNORRLANDS LÄN</t>
        </is>
      </c>
      <c r="E1479" t="inlineStr">
        <is>
          <t>ÅNGE</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25241-2025</t>
        </is>
      </c>
      <c r="B1480" s="1" t="n">
        <v>45800.49053240741</v>
      </c>
      <c r="C1480" s="1" t="n">
        <v>46059</v>
      </c>
      <c r="D1480" t="inlineStr">
        <is>
          <t>VÄSTERNORRLANDS LÄN</t>
        </is>
      </c>
      <c r="E1480" t="inlineStr">
        <is>
          <t>ÅNGE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25274-2025</t>
        </is>
      </c>
      <c r="B1481" s="1" t="n">
        <v>45800.55276620371</v>
      </c>
      <c r="C1481" s="1" t="n">
        <v>46059</v>
      </c>
      <c r="D1481" t="inlineStr">
        <is>
          <t>VÄSTERNORRLANDS LÄN</t>
        </is>
      </c>
      <c r="E1481" t="inlineStr">
        <is>
          <t>ÅNGE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24852-2025</t>
        </is>
      </c>
      <c r="B1482" s="1" t="n">
        <v>45799.46975694445</v>
      </c>
      <c r="C1482" s="1" t="n">
        <v>46059</v>
      </c>
      <c r="D1482" t="inlineStr">
        <is>
          <t>VÄSTERNORRLANDS LÄN</t>
        </is>
      </c>
      <c r="E1482" t="inlineStr">
        <is>
          <t>ÅNGE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24847-2025</t>
        </is>
      </c>
      <c r="B1483" s="1" t="n">
        <v>45799.46907407408</v>
      </c>
      <c r="C1483" s="1" t="n">
        <v>46059</v>
      </c>
      <c r="D1483" t="inlineStr">
        <is>
          <t>VÄSTERNORRLANDS LÄN</t>
        </is>
      </c>
      <c r="E1483" t="inlineStr">
        <is>
          <t>ÅNGE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25067-2025</t>
        </is>
      </c>
      <c r="B1484" s="1" t="n">
        <v>45799.71908564815</v>
      </c>
      <c r="C1484" s="1" t="n">
        <v>46059</v>
      </c>
      <c r="D1484" t="inlineStr">
        <is>
          <t>VÄSTERNORRLANDS LÄN</t>
        </is>
      </c>
      <c r="E1484" t="inlineStr">
        <is>
          <t>ÅNGE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25532-2025</t>
        </is>
      </c>
      <c r="B1485" s="1" t="n">
        <v>45803.4065162037</v>
      </c>
      <c r="C1485" s="1" t="n">
        <v>46059</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25810-2025</t>
        </is>
      </c>
      <c r="B1486" s="1" t="n">
        <v>45804.42083333333</v>
      </c>
      <c r="C1486" s="1" t="n">
        <v>46059</v>
      </c>
      <c r="D1486" t="inlineStr">
        <is>
          <t>VÄSTERNORRLANDS LÄN</t>
        </is>
      </c>
      <c r="E1486" t="inlineStr">
        <is>
          <t>ÅNGE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31863-2024</t>
        </is>
      </c>
      <c r="B1487" s="1" t="n">
        <v>45509.74121527778</v>
      </c>
      <c r="C1487" s="1" t="n">
        <v>46059</v>
      </c>
      <c r="D1487" t="inlineStr">
        <is>
          <t>VÄSTERNORRLANDS LÄN</t>
        </is>
      </c>
      <c r="E1487" t="inlineStr">
        <is>
          <t>ÅNGE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53651-2023</t>
        </is>
      </c>
      <c r="B1488" s="1" t="n">
        <v>45230.60815972222</v>
      </c>
      <c r="C1488" s="1" t="n">
        <v>46059</v>
      </c>
      <c r="D1488" t="inlineStr">
        <is>
          <t>VÄSTERNORRLANDS LÄN</t>
        </is>
      </c>
      <c r="E1488" t="inlineStr">
        <is>
          <t>ÅNGE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36877-2024</t>
        </is>
      </c>
      <c r="B1489" s="1" t="n">
        <v>45538.59418981482</v>
      </c>
      <c r="C1489" s="1" t="n">
        <v>46059</v>
      </c>
      <c r="D1489" t="inlineStr">
        <is>
          <t>VÄSTERNORRLANDS LÄN</t>
        </is>
      </c>
      <c r="E1489" t="inlineStr">
        <is>
          <t>ÅNGE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25499-2025</t>
        </is>
      </c>
      <c r="B1490" s="1" t="n">
        <v>45803.344375</v>
      </c>
      <c r="C1490" s="1" t="n">
        <v>46059</v>
      </c>
      <c r="D1490" t="inlineStr">
        <is>
          <t>VÄSTERNORRLANDS LÄN</t>
        </is>
      </c>
      <c r="E1490" t="inlineStr">
        <is>
          <t>ÅNGE</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25772-2025</t>
        </is>
      </c>
      <c r="B1491" s="1" t="n">
        <v>45804.34520833333</v>
      </c>
      <c r="C1491" s="1" t="n">
        <v>46059</v>
      </c>
      <c r="D1491" t="inlineStr">
        <is>
          <t>VÄSTERNORRLANDS LÄN</t>
        </is>
      </c>
      <c r="E1491" t="inlineStr">
        <is>
          <t>ÅNGE</t>
        </is>
      </c>
      <c r="F1491" t="inlineStr">
        <is>
          <t>SCA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15863-2022</t>
        </is>
      </c>
      <c r="B1492" s="1" t="n">
        <v>44664</v>
      </c>
      <c r="C1492" s="1" t="n">
        <v>46059</v>
      </c>
      <c r="D1492" t="inlineStr">
        <is>
          <t>VÄSTERNORRLANDS LÄN</t>
        </is>
      </c>
      <c r="E1492" t="inlineStr">
        <is>
          <t>ÅNGE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26193-2025</t>
        </is>
      </c>
      <c r="B1493" s="1" t="n">
        <v>45805.48922453704</v>
      </c>
      <c r="C1493" s="1" t="n">
        <v>46059</v>
      </c>
      <c r="D1493" t="inlineStr">
        <is>
          <t>VÄSTERNORRLANDS LÄN</t>
        </is>
      </c>
      <c r="E1493" t="inlineStr">
        <is>
          <t>ÅNGE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26388-2025</t>
        </is>
      </c>
      <c r="B1494" s="1" t="n">
        <v>45806.51069444444</v>
      </c>
      <c r="C1494" s="1" t="n">
        <v>46059</v>
      </c>
      <c r="D1494" t="inlineStr">
        <is>
          <t>VÄSTERNORRLANDS LÄN</t>
        </is>
      </c>
      <c r="E1494" t="inlineStr">
        <is>
          <t>ÅNGE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26365-2025</t>
        </is>
      </c>
      <c r="B1495" s="1" t="n">
        <v>45806.34412037037</v>
      </c>
      <c r="C1495" s="1" t="n">
        <v>46059</v>
      </c>
      <c r="D1495" t="inlineStr">
        <is>
          <t>VÄSTERNORRLANDS LÄN</t>
        </is>
      </c>
      <c r="E1495" t="inlineStr">
        <is>
          <t>ÅNGE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26389-2025</t>
        </is>
      </c>
      <c r="B1496" s="1" t="n">
        <v>45806.51078703703</v>
      </c>
      <c r="C1496" s="1" t="n">
        <v>46059</v>
      </c>
      <c r="D1496" t="inlineStr">
        <is>
          <t>VÄSTERNORRLANDS LÄN</t>
        </is>
      </c>
      <c r="E1496" t="inlineStr">
        <is>
          <t>ÅNGE</t>
        </is>
      </c>
      <c r="F1496" t="inlineStr">
        <is>
          <t>SCA</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21262-2025</t>
        </is>
      </c>
      <c r="B1497" s="1" t="n">
        <v>45779</v>
      </c>
      <c r="C1497" s="1" t="n">
        <v>46059</v>
      </c>
      <c r="D1497" t="inlineStr">
        <is>
          <t>VÄSTERNORRLANDS LÄN</t>
        </is>
      </c>
      <c r="E1497" t="inlineStr">
        <is>
          <t>ÅNGE</t>
        </is>
      </c>
      <c r="F1497" t="inlineStr">
        <is>
          <t>Sveaskog</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26366-2025</t>
        </is>
      </c>
      <c r="B1498" s="1" t="n">
        <v>45806.34424768519</v>
      </c>
      <c r="C1498" s="1" t="n">
        <v>46059</v>
      </c>
      <c r="D1498" t="inlineStr">
        <is>
          <t>VÄSTERNORRLANDS LÄN</t>
        </is>
      </c>
      <c r="E1498" t="inlineStr">
        <is>
          <t>ÅNGE</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26655-2025</t>
        </is>
      </c>
      <c r="B1499" s="1" t="n">
        <v>45810.39047453704</v>
      </c>
      <c r="C1499" s="1" t="n">
        <v>46059</v>
      </c>
      <c r="D1499" t="inlineStr">
        <is>
          <t>VÄSTERNORRLANDS LÄN</t>
        </is>
      </c>
      <c r="E1499" t="inlineStr">
        <is>
          <t>ÅNGE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25973-2022</t>
        </is>
      </c>
      <c r="B1500" s="1" t="n">
        <v>44734</v>
      </c>
      <c r="C1500" s="1" t="n">
        <v>46059</v>
      </c>
      <c r="D1500" t="inlineStr">
        <is>
          <t>VÄSTERNORRLANDS LÄN</t>
        </is>
      </c>
      <c r="E1500" t="inlineStr">
        <is>
          <t>ÅNGE</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26608-2025</t>
        </is>
      </c>
      <c r="B1501" s="1" t="n">
        <v>45809.98600694445</v>
      </c>
      <c r="C1501" s="1" t="n">
        <v>46059</v>
      </c>
      <c r="D1501" t="inlineStr">
        <is>
          <t>VÄSTERNORRLANDS LÄN</t>
        </is>
      </c>
      <c r="E1501" t="inlineStr">
        <is>
          <t>ÅNGE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45180.35025462963</v>
      </c>
      <c r="C1502" s="1" t="n">
        <v>46059</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36790-2023</t>
        </is>
      </c>
      <c r="B1503" s="1" t="n">
        <v>45154.36418981481</v>
      </c>
      <c r="C1503" s="1" t="n">
        <v>46059</v>
      </c>
      <c r="D1503" t="inlineStr">
        <is>
          <t>VÄSTERNORRLANDS LÄN</t>
        </is>
      </c>
      <c r="E1503" t="inlineStr">
        <is>
          <t>ÅNGE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26734-2025</t>
        </is>
      </c>
      <c r="B1504" s="1" t="n">
        <v>45810.51087962963</v>
      </c>
      <c r="C1504" s="1" t="n">
        <v>46059</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27023-2025</t>
        </is>
      </c>
      <c r="B1505" s="1" t="n">
        <v>45811.57342592593</v>
      </c>
      <c r="C1505" s="1" t="n">
        <v>46059</v>
      </c>
      <c r="D1505" t="inlineStr">
        <is>
          <t>VÄSTERNORRLANDS LÄN</t>
        </is>
      </c>
      <c r="E1505" t="inlineStr">
        <is>
          <t>ÅNGE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27164-2025</t>
        </is>
      </c>
      <c r="B1506" s="1" t="n">
        <v>45812.34430555555</v>
      </c>
      <c r="C1506" s="1" t="n">
        <v>46059</v>
      </c>
      <c r="D1506" t="inlineStr">
        <is>
          <t>VÄSTERNORRLANDS LÄN</t>
        </is>
      </c>
      <c r="E1506" t="inlineStr">
        <is>
          <t>ÅNGE</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26901-2025</t>
        </is>
      </c>
      <c r="B1507" s="1" t="n">
        <v>45811.34457175926</v>
      </c>
      <c r="C1507" s="1" t="n">
        <v>46059</v>
      </c>
      <c r="D1507" t="inlineStr">
        <is>
          <t>VÄSTERNORRLANDS LÄN</t>
        </is>
      </c>
      <c r="E1507" t="inlineStr">
        <is>
          <t>ÅNGE</t>
        </is>
      </c>
      <c r="F1507" t="inlineStr">
        <is>
          <t>SCA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33750-2024</t>
        </is>
      </c>
      <c r="B1508" s="1" t="n">
        <v>45520.56475694444</v>
      </c>
      <c r="C1508" s="1" t="n">
        <v>46059</v>
      </c>
      <c r="D1508" t="inlineStr">
        <is>
          <t>VÄSTERNORRLANDS LÄN</t>
        </is>
      </c>
      <c r="E1508" t="inlineStr">
        <is>
          <t>ÅNGE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27165-2025</t>
        </is>
      </c>
      <c r="B1509" s="1" t="n">
        <v>45812.34440972222</v>
      </c>
      <c r="C1509" s="1" t="n">
        <v>46059</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5931-2025</t>
        </is>
      </c>
      <c r="B1510" s="1" t="n">
        <v>45695.44827546296</v>
      </c>
      <c r="C1510" s="1" t="n">
        <v>46059</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27545-2025</t>
        </is>
      </c>
      <c r="B1511" s="1" t="n">
        <v>45813.46942129629</v>
      </c>
      <c r="C1511" s="1" t="n">
        <v>46059</v>
      </c>
      <c r="D1511" t="inlineStr">
        <is>
          <t>VÄSTERNORRLANDS LÄN</t>
        </is>
      </c>
      <c r="E1511" t="inlineStr">
        <is>
          <t>ÅNGE</t>
        </is>
      </c>
      <c r="F1511" t="inlineStr">
        <is>
          <t>SCA</t>
        </is>
      </c>
      <c r="G1511" t="n">
        <v>14.3</v>
      </c>
      <c r="H1511" t="n">
        <v>0</v>
      </c>
      <c r="I1511" t="n">
        <v>0</v>
      </c>
      <c r="J1511" t="n">
        <v>0</v>
      </c>
      <c r="K1511" t="n">
        <v>0</v>
      </c>
      <c r="L1511" t="n">
        <v>0</v>
      </c>
      <c r="M1511" t="n">
        <v>0</v>
      </c>
      <c r="N1511" t="n">
        <v>0</v>
      </c>
      <c r="O1511" t="n">
        <v>0</v>
      </c>
      <c r="P1511" t="n">
        <v>0</v>
      </c>
      <c r="Q1511" t="n">
        <v>0</v>
      </c>
      <c r="R1511" s="2" t="inlineStr"/>
    </row>
    <row r="1512" ht="15" customHeight="1">
      <c r="A1512" t="inlineStr">
        <is>
          <t>A 27572-2025</t>
        </is>
      </c>
      <c r="B1512" s="1" t="n">
        <v>45813.49049768518</v>
      </c>
      <c r="C1512" s="1" t="n">
        <v>46059</v>
      </c>
      <c r="D1512" t="inlineStr">
        <is>
          <t>VÄSTERNORRLANDS LÄN</t>
        </is>
      </c>
      <c r="E1512" t="inlineStr">
        <is>
          <t>ÅNGE</t>
        </is>
      </c>
      <c r="F1512" t="inlineStr">
        <is>
          <t>SCA</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27606-2025</t>
        </is>
      </c>
      <c r="B1513" s="1" t="n">
        <v>45813.53200231482</v>
      </c>
      <c r="C1513" s="1" t="n">
        <v>46059</v>
      </c>
      <c r="D1513" t="inlineStr">
        <is>
          <t>VÄSTERNORRLANDS LÄN</t>
        </is>
      </c>
      <c r="E1513" t="inlineStr">
        <is>
          <t>ÅNGE</t>
        </is>
      </c>
      <c r="F1513" t="inlineStr">
        <is>
          <t>SCA</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27639-2025</t>
        </is>
      </c>
      <c r="B1514" s="1" t="n">
        <v>45813</v>
      </c>
      <c r="C1514" s="1" t="n">
        <v>46059</v>
      </c>
      <c r="D1514" t="inlineStr">
        <is>
          <t>VÄSTERNORRLANDS LÄN</t>
        </is>
      </c>
      <c r="E1514" t="inlineStr">
        <is>
          <t>ÅNGE</t>
        </is>
      </c>
      <c r="G1514" t="n">
        <v>22.9</v>
      </c>
      <c r="H1514" t="n">
        <v>0</v>
      </c>
      <c r="I1514" t="n">
        <v>0</v>
      </c>
      <c r="J1514" t="n">
        <v>0</v>
      </c>
      <c r="K1514" t="n">
        <v>0</v>
      </c>
      <c r="L1514" t="n">
        <v>0</v>
      </c>
      <c r="M1514" t="n">
        <v>0</v>
      </c>
      <c r="N1514" t="n">
        <v>0</v>
      </c>
      <c r="O1514" t="n">
        <v>0</v>
      </c>
      <c r="P1514" t="n">
        <v>0</v>
      </c>
      <c r="Q1514" t="n">
        <v>0</v>
      </c>
      <c r="R1514" s="2" t="inlineStr"/>
    </row>
    <row r="1515" ht="15" customHeight="1">
      <c r="A1515" t="inlineStr">
        <is>
          <t>A 28070-2025</t>
        </is>
      </c>
      <c r="B1515" s="1" t="n">
        <v>45817.67739583334</v>
      </c>
      <c r="C1515" s="1" t="n">
        <v>46059</v>
      </c>
      <c r="D1515" t="inlineStr">
        <is>
          <t>VÄSTERNORRLANDS LÄN</t>
        </is>
      </c>
      <c r="E1515" t="inlineStr">
        <is>
          <t>ÅNGE</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28085-2025</t>
        </is>
      </c>
      <c r="B1516" s="1" t="n">
        <v>45817.71924768519</v>
      </c>
      <c r="C1516" s="1" t="n">
        <v>46059</v>
      </c>
      <c r="D1516" t="inlineStr">
        <is>
          <t>VÄSTERNORRLANDS LÄN</t>
        </is>
      </c>
      <c r="E1516" t="inlineStr">
        <is>
          <t>ÅNGE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28143-2025</t>
        </is>
      </c>
      <c r="B1517" s="1" t="n">
        <v>45818.34546296296</v>
      </c>
      <c r="C1517" s="1" t="n">
        <v>46059</v>
      </c>
      <c r="D1517" t="inlineStr">
        <is>
          <t>VÄSTERNORRLANDS LÄN</t>
        </is>
      </c>
      <c r="E1517" t="inlineStr">
        <is>
          <t>ÅNGE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28404-2025</t>
        </is>
      </c>
      <c r="B1518" s="1" t="n">
        <v>45819.34532407407</v>
      </c>
      <c r="C1518" s="1" t="n">
        <v>46059</v>
      </c>
      <c r="D1518" t="inlineStr">
        <is>
          <t>VÄSTERNORRLANDS LÄN</t>
        </is>
      </c>
      <c r="E1518" t="inlineStr">
        <is>
          <t>ÅNGE</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28896-2025</t>
        </is>
      </c>
      <c r="B1519" s="1" t="n">
        <v>45820.63584490741</v>
      </c>
      <c r="C1519" s="1" t="n">
        <v>46059</v>
      </c>
      <c r="D1519" t="inlineStr">
        <is>
          <t>VÄSTERNORRLANDS LÄN</t>
        </is>
      </c>
      <c r="E1519" t="inlineStr">
        <is>
          <t>ÅNGE</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28819-2025</t>
        </is>
      </c>
      <c r="B1520" s="1" t="n">
        <v>45820.53758101852</v>
      </c>
      <c r="C1520" s="1" t="n">
        <v>46059</v>
      </c>
      <c r="D1520" t="inlineStr">
        <is>
          <t>VÄSTERNORRLANDS LÄN</t>
        </is>
      </c>
      <c r="E1520" t="inlineStr">
        <is>
          <t>ÅNGE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28845-2025</t>
        </is>
      </c>
      <c r="B1521" s="1" t="n">
        <v>45820.57324074074</v>
      </c>
      <c r="C1521" s="1" t="n">
        <v>46059</v>
      </c>
      <c r="D1521" t="inlineStr">
        <is>
          <t>VÄSTERNORRLANDS LÄN</t>
        </is>
      </c>
      <c r="E1521" t="inlineStr">
        <is>
          <t>ÅNGE</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28814-2025</t>
        </is>
      </c>
      <c r="B1522" s="1" t="n">
        <v>45820.52846064815</v>
      </c>
      <c r="C1522" s="1" t="n">
        <v>46059</v>
      </c>
      <c r="D1522" t="inlineStr">
        <is>
          <t>VÄSTERNORRLANDS LÄN</t>
        </is>
      </c>
      <c r="E1522" t="inlineStr">
        <is>
          <t>ÅNGE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28717-2025</t>
        </is>
      </c>
      <c r="B1523" s="1" t="n">
        <v>45820</v>
      </c>
      <c r="C1523" s="1" t="n">
        <v>46059</v>
      </c>
      <c r="D1523" t="inlineStr">
        <is>
          <t>VÄSTERNORRLANDS LÄN</t>
        </is>
      </c>
      <c r="E1523" t="inlineStr">
        <is>
          <t>ÅNGE</t>
        </is>
      </c>
      <c r="F1523" t="inlineStr">
        <is>
          <t>SCA</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29350-2025</t>
        </is>
      </c>
      <c r="B1524" s="1" t="n">
        <v>45824.53206018519</v>
      </c>
      <c r="C1524" s="1" t="n">
        <v>46059</v>
      </c>
      <c r="D1524" t="inlineStr">
        <is>
          <t>VÄSTERNORRLANDS LÄN</t>
        </is>
      </c>
      <c r="E1524" t="inlineStr">
        <is>
          <t>ÅNGE</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29153-2025</t>
        </is>
      </c>
      <c r="B1525" s="1" t="n">
        <v>45821.63574074074</v>
      </c>
      <c r="C1525" s="1" t="n">
        <v>46059</v>
      </c>
      <c r="D1525" t="inlineStr">
        <is>
          <t>VÄSTERNORRLANDS LÄN</t>
        </is>
      </c>
      <c r="E1525" t="inlineStr">
        <is>
          <t>ÅNGE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29862-2025</t>
        </is>
      </c>
      <c r="B1526" s="1" t="n">
        <v>45826.3465625</v>
      </c>
      <c r="C1526" s="1" t="n">
        <v>46059</v>
      </c>
      <c r="D1526" t="inlineStr">
        <is>
          <t>VÄSTERNORRLANDS LÄN</t>
        </is>
      </c>
      <c r="E1526" t="inlineStr">
        <is>
          <t>ÅNGE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29882-2025</t>
        </is>
      </c>
      <c r="B1527" s="1" t="n">
        <v>45826.36548611111</v>
      </c>
      <c r="C1527" s="1" t="n">
        <v>46059</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29916-2025</t>
        </is>
      </c>
      <c r="B1528" s="1" t="n">
        <v>45826.41822916667</v>
      </c>
      <c r="C1528" s="1" t="n">
        <v>46059</v>
      </c>
      <c r="D1528" t="inlineStr">
        <is>
          <t>VÄSTERNORRLANDS LÄN</t>
        </is>
      </c>
      <c r="E1528" t="inlineStr">
        <is>
          <t>ÅNGE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29560-2025</t>
        </is>
      </c>
      <c r="B1529" s="1" t="n">
        <v>45825.36497685185</v>
      </c>
      <c r="C1529" s="1" t="n">
        <v>46059</v>
      </c>
      <c r="D1529" t="inlineStr">
        <is>
          <t>VÄSTERNORRLANDS LÄN</t>
        </is>
      </c>
      <c r="E1529" t="inlineStr">
        <is>
          <t>ÅNGE</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29786-2025</t>
        </is>
      </c>
      <c r="B1530" s="1" t="n">
        <v>45825.65663194445</v>
      </c>
      <c r="C1530" s="1" t="n">
        <v>46059</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30475-2025</t>
        </is>
      </c>
      <c r="B1531" s="1" t="n">
        <v>45828.34444444445</v>
      </c>
      <c r="C1531" s="1" t="n">
        <v>46059</v>
      </c>
      <c r="D1531" t="inlineStr">
        <is>
          <t>VÄSTERNORRLANDS LÄN</t>
        </is>
      </c>
      <c r="E1531" t="inlineStr">
        <is>
          <t>ÅNGE</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30875-2025</t>
        </is>
      </c>
      <c r="B1532" s="1" t="n">
        <v>45832.34447916667</v>
      </c>
      <c r="C1532" s="1" t="n">
        <v>46059</v>
      </c>
      <c r="D1532" t="inlineStr">
        <is>
          <t>VÄSTERNORRLANDS LÄN</t>
        </is>
      </c>
      <c r="E1532" t="inlineStr">
        <is>
          <t>ÅNGE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31211-2025</t>
        </is>
      </c>
      <c r="B1533" s="1" t="n">
        <v>45832.71938657408</v>
      </c>
      <c r="C1533" s="1" t="n">
        <v>46059</v>
      </c>
      <c r="D1533" t="inlineStr">
        <is>
          <t>VÄSTERNORRLANDS LÄN</t>
        </is>
      </c>
      <c r="E1533" t="inlineStr">
        <is>
          <t>ÅNGE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30618-2025</t>
        </is>
      </c>
      <c r="B1534" s="1" t="n">
        <v>45831.46909722222</v>
      </c>
      <c r="C1534" s="1" t="n">
        <v>46059</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31188-2025</t>
        </is>
      </c>
      <c r="B1535" s="1" t="n">
        <v>45832.67842592593</v>
      </c>
      <c r="C1535" s="1" t="n">
        <v>46059</v>
      </c>
      <c r="D1535" t="inlineStr">
        <is>
          <t>VÄSTERNORRLANDS LÄN</t>
        </is>
      </c>
      <c r="E1535" t="inlineStr">
        <is>
          <t>ÅNGE</t>
        </is>
      </c>
      <c r="F1535" t="inlineStr">
        <is>
          <t>SCA</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31042-2025</t>
        </is>
      </c>
      <c r="B1536" s="1" t="n">
        <v>45832.55267361111</v>
      </c>
      <c r="C1536" s="1" t="n">
        <v>46059</v>
      </c>
      <c r="D1536" t="inlineStr">
        <is>
          <t>VÄSTERNORRLANDS LÄN</t>
        </is>
      </c>
      <c r="E1536" t="inlineStr">
        <is>
          <t>ÅNGE</t>
        </is>
      </c>
      <c r="F1536" t="inlineStr">
        <is>
          <t>SCA</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31135-2025</t>
        </is>
      </c>
      <c r="B1537" s="1" t="n">
        <v>45832.63581018519</v>
      </c>
      <c r="C1537" s="1" t="n">
        <v>46059</v>
      </c>
      <c r="D1537" t="inlineStr">
        <is>
          <t>VÄSTERNORRLANDS LÄN</t>
        </is>
      </c>
      <c r="E1537" t="inlineStr">
        <is>
          <t>ÅNGE</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30892-2025</t>
        </is>
      </c>
      <c r="B1538" s="1" t="n">
        <v>45832.34663194444</v>
      </c>
      <c r="C1538" s="1" t="n">
        <v>46059</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30598-2025</t>
        </is>
      </c>
      <c r="B1539" s="1" t="n">
        <v>45831.44834490741</v>
      </c>
      <c r="C1539" s="1" t="n">
        <v>46059</v>
      </c>
      <c r="D1539" t="inlineStr">
        <is>
          <t>VÄSTERNORRLANDS LÄN</t>
        </is>
      </c>
      <c r="E1539" t="inlineStr">
        <is>
          <t>ÅNGE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31041-2025</t>
        </is>
      </c>
      <c r="B1540" s="1" t="n">
        <v>45832.55247685185</v>
      </c>
      <c r="C1540" s="1" t="n">
        <v>46059</v>
      </c>
      <c r="D1540" t="inlineStr">
        <is>
          <t>VÄSTERNORRLANDS LÄN</t>
        </is>
      </c>
      <c r="E1540" t="inlineStr">
        <is>
          <t>ÅNGE</t>
        </is>
      </c>
      <c r="F1540" t="inlineStr">
        <is>
          <t>SCA</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31139-2025</t>
        </is>
      </c>
      <c r="B1541" s="1" t="n">
        <v>45832.63633101852</v>
      </c>
      <c r="C1541" s="1" t="n">
        <v>46059</v>
      </c>
      <c r="D1541" t="inlineStr">
        <is>
          <t>VÄSTERNORRLANDS LÄN</t>
        </is>
      </c>
      <c r="E1541" t="inlineStr">
        <is>
          <t>ÅNGE</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30877-2025</t>
        </is>
      </c>
      <c r="B1542" s="1" t="n">
        <v>45832.34478009259</v>
      </c>
      <c r="C1542" s="1" t="n">
        <v>46059</v>
      </c>
      <c r="D1542" t="inlineStr">
        <is>
          <t>VÄSTERNORRLANDS LÄN</t>
        </is>
      </c>
      <c r="E1542" t="inlineStr">
        <is>
          <t>ÅNGE</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30888-2025</t>
        </is>
      </c>
      <c r="B1543" s="1" t="n">
        <v>45832.34606481482</v>
      </c>
      <c r="C1543" s="1" t="n">
        <v>46059</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31275-2025</t>
        </is>
      </c>
      <c r="B1544" s="1" t="n">
        <v>45833.34459490741</v>
      </c>
      <c r="C1544" s="1" t="n">
        <v>46059</v>
      </c>
      <c r="D1544" t="inlineStr">
        <is>
          <t>VÄSTERNORRLANDS LÄN</t>
        </is>
      </c>
      <c r="E1544" t="inlineStr">
        <is>
          <t>ÅNGE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31452-2025</t>
        </is>
      </c>
      <c r="B1545" s="1" t="n">
        <v>45833.53179398148</v>
      </c>
      <c r="C1545" s="1" t="n">
        <v>46059</v>
      </c>
      <c r="D1545" t="inlineStr">
        <is>
          <t>VÄSTERNORRLANDS LÄN</t>
        </is>
      </c>
      <c r="E1545" t="inlineStr">
        <is>
          <t>ÅNGE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31544-2025</t>
        </is>
      </c>
      <c r="B1546" s="1" t="n">
        <v>45833.63597222222</v>
      </c>
      <c r="C1546" s="1" t="n">
        <v>46059</v>
      </c>
      <c r="D1546" t="inlineStr">
        <is>
          <t>VÄSTERNORRLANDS LÄN</t>
        </is>
      </c>
      <c r="E1546" t="inlineStr">
        <is>
          <t>ÅNGE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31646-2025</t>
        </is>
      </c>
      <c r="B1547" s="1" t="n">
        <v>45834.34563657407</v>
      </c>
      <c r="C1547" s="1" t="n">
        <v>46059</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31484-2025</t>
        </is>
      </c>
      <c r="B1548" s="1" t="n">
        <v>45833.57418981481</v>
      </c>
      <c r="C1548" s="1" t="n">
        <v>46059</v>
      </c>
      <c r="D1548" t="inlineStr">
        <is>
          <t>VÄSTERNORRLANDS LÄN</t>
        </is>
      </c>
      <c r="E1548" t="inlineStr">
        <is>
          <t>ÅNGE</t>
        </is>
      </c>
      <c r="F1548" t="inlineStr">
        <is>
          <t>SCA</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31642-2025</t>
        </is>
      </c>
      <c r="B1549" s="1" t="n">
        <v>45834.34474537037</v>
      </c>
      <c r="C1549" s="1" t="n">
        <v>46059</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31666-2025</t>
        </is>
      </c>
      <c r="B1550" s="1" t="n">
        <v>45834.36519675926</v>
      </c>
      <c r="C1550" s="1" t="n">
        <v>46059</v>
      </c>
      <c r="D1550" t="inlineStr">
        <is>
          <t>VÄSTERNORRLANDS LÄN</t>
        </is>
      </c>
      <c r="E1550" t="inlineStr">
        <is>
          <t>ÅNGE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32025-2025</t>
        </is>
      </c>
      <c r="B1551" s="1" t="n">
        <v>45835.40721064815</v>
      </c>
      <c r="C1551" s="1" t="n">
        <v>46059</v>
      </c>
      <c r="D1551" t="inlineStr">
        <is>
          <t>VÄSTERNORRLANDS LÄN</t>
        </is>
      </c>
      <c r="E1551" t="inlineStr">
        <is>
          <t>ÅNGE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26092-2025</t>
        </is>
      </c>
      <c r="B1552" s="1" t="n">
        <v>45805</v>
      </c>
      <c r="C1552" s="1" t="n">
        <v>46059</v>
      </c>
      <c r="D1552" t="inlineStr">
        <is>
          <t>VÄSTERNORRLANDS LÄN</t>
        </is>
      </c>
      <c r="E1552" t="inlineStr">
        <is>
          <t>ÅNGE</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32024-2025</t>
        </is>
      </c>
      <c r="B1553" s="1" t="n">
        <v>45835.40706018519</v>
      </c>
      <c r="C1553" s="1" t="n">
        <v>46059</v>
      </c>
      <c r="D1553" t="inlineStr">
        <is>
          <t>VÄSTERNORRLANDS LÄN</t>
        </is>
      </c>
      <c r="E1553" t="inlineStr">
        <is>
          <t>ÅNGE</t>
        </is>
      </c>
      <c r="F1553" t="inlineStr">
        <is>
          <t>SCA</t>
        </is>
      </c>
      <c r="G1553" t="n">
        <v>12.3</v>
      </c>
      <c r="H1553" t="n">
        <v>0</v>
      </c>
      <c r="I1553" t="n">
        <v>0</v>
      </c>
      <c r="J1553" t="n">
        <v>0</v>
      </c>
      <c r="K1553" t="n">
        <v>0</v>
      </c>
      <c r="L1553" t="n">
        <v>0</v>
      </c>
      <c r="M1553" t="n">
        <v>0</v>
      </c>
      <c r="N1553" t="n">
        <v>0</v>
      </c>
      <c r="O1553" t="n">
        <v>0</v>
      </c>
      <c r="P1553" t="n">
        <v>0</v>
      </c>
      <c r="Q1553" t="n">
        <v>0</v>
      </c>
      <c r="R1553" s="2" t="inlineStr"/>
    </row>
    <row r="1554" ht="15" customHeight="1">
      <c r="A1554" t="inlineStr">
        <is>
          <t>A 32847-2025</t>
        </is>
      </c>
      <c r="B1554" s="1" t="n">
        <v>45839.57354166666</v>
      </c>
      <c r="C1554" s="1" t="n">
        <v>46059</v>
      </c>
      <c r="D1554" t="inlineStr">
        <is>
          <t>VÄSTERNORRLANDS LÄN</t>
        </is>
      </c>
      <c r="E1554" t="inlineStr">
        <is>
          <t>ÅNGE</t>
        </is>
      </c>
      <c r="F1554" t="inlineStr">
        <is>
          <t>SCA</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33782-2025</t>
        </is>
      </c>
      <c r="B1555" s="1" t="n">
        <v>45842.40678240741</v>
      </c>
      <c r="C1555" s="1" t="n">
        <v>46059</v>
      </c>
      <c r="D1555" t="inlineStr">
        <is>
          <t>VÄSTERNORRLANDS LÄN</t>
        </is>
      </c>
      <c r="E1555" t="inlineStr">
        <is>
          <t>ÅNGE</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33717-2025</t>
        </is>
      </c>
      <c r="B1556" s="1" t="n">
        <v>45841.89357638889</v>
      </c>
      <c r="C1556" s="1" t="n">
        <v>46059</v>
      </c>
      <c r="D1556" t="inlineStr">
        <is>
          <t>VÄSTERNORRLANDS LÄN</t>
        </is>
      </c>
      <c r="E1556" t="inlineStr">
        <is>
          <t>ÅNGE</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33738-2025</t>
        </is>
      </c>
      <c r="B1557" s="1" t="n">
        <v>45842.33795138889</v>
      </c>
      <c r="C1557" s="1" t="n">
        <v>46059</v>
      </c>
      <c r="D1557" t="inlineStr">
        <is>
          <t>VÄSTERNORRLANDS LÄN</t>
        </is>
      </c>
      <c r="E1557" t="inlineStr">
        <is>
          <t>ÅNGE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34019-2025</t>
        </is>
      </c>
      <c r="B1558" s="1" t="n">
        <v>45845.34416666667</v>
      </c>
      <c r="C1558" s="1" t="n">
        <v>46059</v>
      </c>
      <c r="D1558" t="inlineStr">
        <is>
          <t>VÄSTERNORRLANDS LÄN</t>
        </is>
      </c>
      <c r="E1558" t="inlineStr">
        <is>
          <t>ÅNGE</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34031-2025</t>
        </is>
      </c>
      <c r="B1559" s="1" t="n">
        <v>45845.36508101852</v>
      </c>
      <c r="C1559" s="1" t="n">
        <v>46059</v>
      </c>
      <c r="D1559" t="inlineStr">
        <is>
          <t>VÄSTERNORRLANDS LÄN</t>
        </is>
      </c>
      <c r="E1559" t="inlineStr">
        <is>
          <t>ÅNGE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34785-2025</t>
        </is>
      </c>
      <c r="B1560" s="1" t="n">
        <v>45848.67771990741</v>
      </c>
      <c r="C1560" s="1" t="n">
        <v>46059</v>
      </c>
      <c r="D1560" t="inlineStr">
        <is>
          <t>VÄSTERNORRLANDS LÄN</t>
        </is>
      </c>
      <c r="E1560" t="inlineStr">
        <is>
          <t>ÅNGE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34591-2025</t>
        </is>
      </c>
      <c r="B1561" s="1" t="n">
        <v>45847.62920138889</v>
      </c>
      <c r="C1561" s="1" t="n">
        <v>46059</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34593-2025</t>
        </is>
      </c>
      <c r="B1562" s="1" t="n">
        <v>45847.6316087963</v>
      </c>
      <c r="C1562" s="1" t="n">
        <v>46059</v>
      </c>
      <c r="D1562" t="inlineStr">
        <is>
          <t>VÄSTERNORRLANDS LÄN</t>
        </is>
      </c>
      <c r="E1562" t="inlineStr">
        <is>
          <t>ÅNGE</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35143-2025</t>
        </is>
      </c>
      <c r="B1563" s="1" t="n">
        <v>45852.65660879629</v>
      </c>
      <c r="C1563" s="1" t="n">
        <v>46059</v>
      </c>
      <c r="D1563" t="inlineStr">
        <is>
          <t>VÄSTERNORRLANDS LÄN</t>
        </is>
      </c>
      <c r="E1563" t="inlineStr">
        <is>
          <t>ÅNGE</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35061-2025</t>
        </is>
      </c>
      <c r="B1564" s="1" t="n">
        <v>45852</v>
      </c>
      <c r="C1564" s="1" t="n">
        <v>46059</v>
      </c>
      <c r="D1564" t="inlineStr">
        <is>
          <t>VÄSTERNORRLANDS LÄN</t>
        </is>
      </c>
      <c r="E1564" t="inlineStr">
        <is>
          <t>ÅNGE</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35503-2025</t>
        </is>
      </c>
      <c r="B1565" s="1" t="n">
        <v>45856</v>
      </c>
      <c r="C1565" s="1" t="n">
        <v>46059</v>
      </c>
      <c r="D1565" t="inlineStr">
        <is>
          <t>VÄSTERNORRLANDS LÄN</t>
        </is>
      </c>
      <c r="E1565" t="inlineStr">
        <is>
          <t>ÅNGE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35540-2025</t>
        </is>
      </c>
      <c r="B1566" s="1" t="n">
        <v>45856.46912037037</v>
      </c>
      <c r="C1566" s="1" t="n">
        <v>46059</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35548-2025</t>
        </is>
      </c>
      <c r="B1567" s="1" t="n">
        <v>45856.48995370371</v>
      </c>
      <c r="C1567" s="1" t="n">
        <v>46059</v>
      </c>
      <c r="D1567" t="inlineStr">
        <is>
          <t>VÄSTERNORRLANDS LÄN</t>
        </is>
      </c>
      <c r="E1567" t="inlineStr">
        <is>
          <t>ÅNGE</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35575-2025</t>
        </is>
      </c>
      <c r="B1568" s="1" t="n">
        <v>45856.63591435185</v>
      </c>
      <c r="C1568" s="1" t="n">
        <v>46059</v>
      </c>
      <c r="D1568" t="inlineStr">
        <is>
          <t>VÄSTERNORRLANDS LÄN</t>
        </is>
      </c>
      <c r="E1568" t="inlineStr">
        <is>
          <t>ÅNGE</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35497-2025</t>
        </is>
      </c>
      <c r="B1569" s="1" t="n">
        <v>45856.29752314815</v>
      </c>
      <c r="C1569" s="1" t="n">
        <v>46059</v>
      </c>
      <c r="D1569" t="inlineStr">
        <is>
          <t>VÄSTERNORRLANDS LÄN</t>
        </is>
      </c>
      <c r="E1569" t="inlineStr">
        <is>
          <t>ÅNGE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35432-2025</t>
        </is>
      </c>
      <c r="B1570" s="1" t="n">
        <v>45855.44831018519</v>
      </c>
      <c r="C1570" s="1" t="n">
        <v>46059</v>
      </c>
      <c r="D1570" t="inlineStr">
        <is>
          <t>VÄSTERNORRLANDS LÄN</t>
        </is>
      </c>
      <c r="E1570" t="inlineStr">
        <is>
          <t>ÅNGE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35577-2025</t>
        </is>
      </c>
      <c r="B1571" s="1" t="n">
        <v>45856.67762731481</v>
      </c>
      <c r="C1571" s="1" t="n">
        <v>46059</v>
      </c>
      <c r="D1571" t="inlineStr">
        <is>
          <t>VÄSTERNORRLANDS LÄN</t>
        </is>
      </c>
      <c r="E1571" t="inlineStr">
        <is>
          <t>ÅNGE</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35690-2025</t>
        </is>
      </c>
      <c r="B1572" s="1" t="n">
        <v>45860.34421296296</v>
      </c>
      <c r="C1572" s="1" t="n">
        <v>46059</v>
      </c>
      <c r="D1572" t="inlineStr">
        <is>
          <t>VÄSTERNORRLANDS LÄN</t>
        </is>
      </c>
      <c r="E1572" t="inlineStr">
        <is>
          <t>ÅNGE</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35781-2025</t>
        </is>
      </c>
      <c r="B1573" s="1" t="n">
        <v>45860.70613425926</v>
      </c>
      <c r="C1573" s="1" t="n">
        <v>46059</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35766-2025</t>
        </is>
      </c>
      <c r="B1574" s="1" t="n">
        <v>45860.63077546296</v>
      </c>
      <c r="C1574" s="1" t="n">
        <v>46059</v>
      </c>
      <c r="D1574" t="inlineStr">
        <is>
          <t>VÄSTERNORRLANDS LÄN</t>
        </is>
      </c>
      <c r="E1574" t="inlineStr">
        <is>
          <t>ÅNGE</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35826-2025</t>
        </is>
      </c>
      <c r="B1575" s="1" t="n">
        <v>45861.48997685185</v>
      </c>
      <c r="C1575" s="1" t="n">
        <v>46059</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35838-2025</t>
        </is>
      </c>
      <c r="B1576" s="1" t="n">
        <v>45861.53829861111</v>
      </c>
      <c r="C1576" s="1" t="n">
        <v>46059</v>
      </c>
      <c r="D1576" t="inlineStr">
        <is>
          <t>VÄSTERNORRLANDS LÄN</t>
        </is>
      </c>
      <c r="E1576" t="inlineStr">
        <is>
          <t>ÅNGE</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35827-2025</t>
        </is>
      </c>
      <c r="B1577" s="1" t="n">
        <v>45861.49017361111</v>
      </c>
      <c r="C1577" s="1" t="n">
        <v>46059</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c r="A1578" t="inlineStr">
        <is>
          <t>A 30683-2024</t>
        </is>
      </c>
      <c r="B1578" s="1" t="n">
        <v>45495</v>
      </c>
      <c r="C1578" s="1" t="n">
        <v>46059</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2026-02-06T11:12:10Z</dcterms:created>
  <dcterms:modified xmlns:dcterms="http://purl.org/dc/terms/" xmlns:xsi="http://www.w3.org/2001/XMLSchema-instance" xsi:type="dcterms:W3CDTF">2026-02-06T11:12:11Z</dcterms:modified>
</cp:coreProperties>
</file>