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46032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46032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46032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46032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46032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46032</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46032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46032</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46032</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46032</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46032</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46032</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46032</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46032</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46032</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46032</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46032</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46032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46032</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46032</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46032</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46032</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46032</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46032</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46032</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46032</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46032</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46032</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46032</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30840-2023</t>
        </is>
      </c>
      <c r="B39" s="1" t="n">
        <v>45112</v>
      </c>
      <c r="C39" s="1" t="n">
        <v>46032</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30474-2025</t>
        </is>
      </c>
      <c r="B40" s="1" t="n">
        <v>45828.34430555555</v>
      </c>
      <c r="C40" s="1" t="n">
        <v>46032</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61524-2025</t>
        </is>
      </c>
      <c r="B41" s="1" t="n">
        <v>46001.68811342592</v>
      </c>
      <c r="C41" s="1" t="n">
        <v>46032</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46032</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46032</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46032</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34786-2021</t>
        </is>
      </c>
      <c r="B45" s="1" t="n">
        <v>44382</v>
      </c>
      <c r="C45" s="1" t="n">
        <v>46032</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46032</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26473-2025</t>
        </is>
      </c>
      <c r="B47" s="1" t="n">
        <v>45807</v>
      </c>
      <c r="C47" s="1" t="n">
        <v>46032</v>
      </c>
      <c r="D47" t="inlineStr">
        <is>
          <t>VÄSTERNORRLANDS LÄN</t>
        </is>
      </c>
      <c r="E47" t="inlineStr">
        <is>
          <t>ÅNGE</t>
        </is>
      </c>
      <c r="F47" t="inlineStr">
        <is>
          <t>SCA</t>
        </is>
      </c>
      <c r="G47" t="n">
        <v>1.1</v>
      </c>
      <c r="H47" t="n">
        <v>3</v>
      </c>
      <c r="I47" t="n">
        <v>4</v>
      </c>
      <c r="J47" t="n">
        <v>4</v>
      </c>
      <c r="K47" t="n">
        <v>1</v>
      </c>
      <c r="L47" t="n">
        <v>0</v>
      </c>
      <c r="M47" t="n">
        <v>0</v>
      </c>
      <c r="N47" t="n">
        <v>0</v>
      </c>
      <c r="O47" t="n">
        <v>5</v>
      </c>
      <c r="P47" t="n">
        <v>1</v>
      </c>
      <c r="Q47" t="n">
        <v>9</v>
      </c>
      <c r="R47" s="2" t="inlineStr">
        <is>
          <t>Knärot
Garnlav
Lunglav
Rosenticka
Spillkråka
Dropptaggsvamp
Luddlav
Skinnlav
Spindelblomster</t>
        </is>
      </c>
      <c r="S47">
        <f>HYPERLINK("https://klasma.github.io/Logging_2260/artfynd/A 26473-2025 artfynd.xlsx", "A 26473-2025")</f>
        <v/>
      </c>
      <c r="T47">
        <f>HYPERLINK("https://klasma.github.io/Logging_2260/kartor/A 26473-2025 karta.png", "A 26473-2025")</f>
        <v/>
      </c>
      <c r="U47">
        <f>HYPERLINK("https://klasma.github.io/Logging_2260/knärot/A 26473-2025 karta knärot.png", "A 26473-2025")</f>
        <v/>
      </c>
      <c r="V47">
        <f>HYPERLINK("https://klasma.github.io/Logging_2260/klagomål/A 26473-2025 FSC-klagomål.docx", "A 26473-2025")</f>
        <v/>
      </c>
      <c r="W47">
        <f>HYPERLINK("https://klasma.github.io/Logging_2260/klagomålsmail/A 26473-2025 FSC-klagomål mail.docx", "A 26473-2025")</f>
        <v/>
      </c>
      <c r="X47">
        <f>HYPERLINK("https://klasma.github.io/Logging_2260/tillsyn/A 26473-2025 tillsynsbegäran.docx", "A 26473-2025")</f>
        <v/>
      </c>
      <c r="Y47">
        <f>HYPERLINK("https://klasma.github.io/Logging_2260/tillsynsmail/A 26473-2025 tillsynsbegäran mail.docx", "A 26473-2025")</f>
        <v/>
      </c>
      <c r="Z47">
        <f>HYPERLINK("https://klasma.github.io/Logging_2260/fåglar/A 26473-2025 prioriterade fågelarter.docx", "A 26473-2025")</f>
        <v/>
      </c>
    </row>
    <row r="48" ht="15" customHeight="1">
      <c r="A48" t="inlineStr">
        <is>
          <t>A 40545-2024</t>
        </is>
      </c>
      <c r="B48" s="1" t="n">
        <v>45555</v>
      </c>
      <c r="C48" s="1" t="n">
        <v>46032</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42962-2024</t>
        </is>
      </c>
      <c r="B49" s="1" t="n">
        <v>45567.37194444444</v>
      </c>
      <c r="C49" s="1" t="n">
        <v>46032</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34519-2022</t>
        </is>
      </c>
      <c r="B50" s="1" t="n">
        <v>44792</v>
      </c>
      <c r="C50" s="1" t="n">
        <v>46032</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46032</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46032</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31113-2025</t>
        </is>
      </c>
      <c r="B53" s="1" t="n">
        <v>45832.61501157407</v>
      </c>
      <c r="C53" s="1" t="n">
        <v>46032</v>
      </c>
      <c r="D53" t="inlineStr">
        <is>
          <t>VÄSTERNORRLANDS LÄN</t>
        </is>
      </c>
      <c r="E53" t="inlineStr">
        <is>
          <t>ÅNGE</t>
        </is>
      </c>
      <c r="F53" t="inlineStr">
        <is>
          <t>SCA</t>
        </is>
      </c>
      <c r="G53" t="n">
        <v>1.5</v>
      </c>
      <c r="H53" t="n">
        <v>3</v>
      </c>
      <c r="I53" t="n">
        <v>4</v>
      </c>
      <c r="J53" t="n">
        <v>3</v>
      </c>
      <c r="K53" t="n">
        <v>0</v>
      </c>
      <c r="L53" t="n">
        <v>0</v>
      </c>
      <c r="M53" t="n">
        <v>0</v>
      </c>
      <c r="N53" t="n">
        <v>0</v>
      </c>
      <c r="O53" t="n">
        <v>3</v>
      </c>
      <c r="P53" t="n">
        <v>0</v>
      </c>
      <c r="Q53" t="n">
        <v>8</v>
      </c>
      <c r="R53" s="2" t="inlineStr">
        <is>
          <t>Brunklöver
Månlåsbräken
Skogsklocka
Finbräken
Guckusko
Trådfräken
Tvåblad
Brudsporre</t>
        </is>
      </c>
      <c r="S53">
        <f>HYPERLINK("https://klasma.github.io/Logging_2260/artfynd/A 31113-2025 artfynd.xlsx", "A 31113-2025")</f>
        <v/>
      </c>
      <c r="T53">
        <f>HYPERLINK("https://klasma.github.io/Logging_2260/kartor/A 31113-2025 karta.png", "A 31113-2025")</f>
        <v/>
      </c>
      <c r="V53">
        <f>HYPERLINK("https://klasma.github.io/Logging_2260/klagomål/A 31113-2025 FSC-klagomål.docx", "A 31113-2025")</f>
        <v/>
      </c>
      <c r="W53">
        <f>HYPERLINK("https://klasma.github.io/Logging_2260/klagomålsmail/A 31113-2025 FSC-klagomål mail.docx", "A 31113-2025")</f>
        <v/>
      </c>
      <c r="X53">
        <f>HYPERLINK("https://klasma.github.io/Logging_2260/tillsyn/A 31113-2025 tillsynsbegäran.docx", "A 31113-2025")</f>
        <v/>
      </c>
      <c r="Y53">
        <f>HYPERLINK("https://klasma.github.io/Logging_2260/tillsynsmail/A 31113-2025 tillsynsbegäran mail.docx", "A 31113-2025")</f>
        <v/>
      </c>
    </row>
    <row r="54" ht="15" customHeight="1">
      <c r="A54" t="inlineStr">
        <is>
          <t>A 37450-2025</t>
        </is>
      </c>
      <c r="B54" s="1" t="n">
        <v>45877.55261574074</v>
      </c>
      <c r="C54" s="1" t="n">
        <v>46032</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10086-2023</t>
        </is>
      </c>
      <c r="B55" s="1" t="n">
        <v>44985</v>
      </c>
      <c r="C55" s="1" t="n">
        <v>46032</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57843-2024</t>
        </is>
      </c>
      <c r="B56" s="1" t="n">
        <v>45631</v>
      </c>
      <c r="C56" s="1" t="n">
        <v>46032</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22737-2023</t>
        </is>
      </c>
      <c r="B57" s="1" t="n">
        <v>45071</v>
      </c>
      <c r="C57" s="1" t="n">
        <v>46032</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46032</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46032</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46032</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46032</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46032</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60116-2025</t>
        </is>
      </c>
      <c r="B63" s="1" t="n">
        <v>45994.318125</v>
      </c>
      <c r="C63" s="1" t="n">
        <v>46032</v>
      </c>
      <c r="D63" t="inlineStr">
        <is>
          <t>VÄSTERNORRLANDS LÄN</t>
        </is>
      </c>
      <c r="E63" t="inlineStr">
        <is>
          <t>ÅNGE</t>
        </is>
      </c>
      <c r="G63" t="n">
        <v>4.1</v>
      </c>
      <c r="H63" t="n">
        <v>1</v>
      </c>
      <c r="I63" t="n">
        <v>1</v>
      </c>
      <c r="J63" t="n">
        <v>5</v>
      </c>
      <c r="K63" t="n">
        <v>1</v>
      </c>
      <c r="L63" t="n">
        <v>0</v>
      </c>
      <c r="M63" t="n">
        <v>0</v>
      </c>
      <c r="N63" t="n">
        <v>0</v>
      </c>
      <c r="O63" t="n">
        <v>6</v>
      </c>
      <c r="P63" t="n">
        <v>1</v>
      </c>
      <c r="Q63" t="n">
        <v>7</v>
      </c>
      <c r="R63" s="2" t="inlineStr">
        <is>
          <t>Rynkskinn
Garnlav
Lunglav
Rosenticka
Tretåig hackspett
Ullticka
Luddlav</t>
        </is>
      </c>
      <c r="S63">
        <f>HYPERLINK("https://klasma.github.io/Logging_2260/artfynd/A 60116-2025 artfynd.xlsx", "A 60116-2025")</f>
        <v/>
      </c>
      <c r="T63">
        <f>HYPERLINK("https://klasma.github.io/Logging_2260/kartor/A 60116-2025 karta.png", "A 60116-2025")</f>
        <v/>
      </c>
      <c r="V63">
        <f>HYPERLINK("https://klasma.github.io/Logging_2260/klagomål/A 60116-2025 FSC-klagomål.docx", "A 60116-2025")</f>
        <v/>
      </c>
      <c r="W63">
        <f>HYPERLINK("https://klasma.github.io/Logging_2260/klagomålsmail/A 60116-2025 FSC-klagomål mail.docx", "A 60116-2025")</f>
        <v/>
      </c>
      <c r="X63">
        <f>HYPERLINK("https://klasma.github.io/Logging_2260/tillsyn/A 60116-2025 tillsynsbegäran.docx", "A 60116-2025")</f>
        <v/>
      </c>
      <c r="Y63">
        <f>HYPERLINK("https://klasma.github.io/Logging_2260/tillsynsmail/A 60116-2025 tillsynsbegäran mail.docx", "A 60116-2025")</f>
        <v/>
      </c>
      <c r="Z63">
        <f>HYPERLINK("https://klasma.github.io/Logging_2260/fåglar/A 60116-2025 prioriterade fågelarter.docx", "A 60116-2025")</f>
        <v/>
      </c>
    </row>
    <row r="64" ht="15" customHeight="1">
      <c r="A64" t="inlineStr">
        <is>
          <t>A 26313-2024</t>
        </is>
      </c>
      <c r="B64" s="1" t="n">
        <v>45468</v>
      </c>
      <c r="C64" s="1" t="n">
        <v>46032</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60240-2025</t>
        </is>
      </c>
      <c r="B65" s="1" t="n">
        <v>45994.57857638889</v>
      </c>
      <c r="C65" s="1" t="n">
        <v>46032</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21682-2023</t>
        </is>
      </c>
      <c r="B66" s="1" t="n">
        <v>45063.94219907407</v>
      </c>
      <c r="C66" s="1" t="n">
        <v>46032</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55176-2024</t>
        </is>
      </c>
      <c r="B67" s="1" t="n">
        <v>45621</v>
      </c>
      <c r="C67" s="1" t="n">
        <v>46032</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46032</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39570-2025</t>
        </is>
      </c>
      <c r="B69" s="1" t="n">
        <v>45890.49009259259</v>
      </c>
      <c r="C69" s="1" t="n">
        <v>46032</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53456-2023</t>
        </is>
      </c>
      <c r="B70" s="1" t="n">
        <v>45229</v>
      </c>
      <c r="C70" s="1" t="n">
        <v>46032</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45402-2025</t>
        </is>
      </c>
      <c r="B71" s="1" t="n">
        <v>45922.4278587963</v>
      </c>
      <c r="C71" s="1" t="n">
        <v>46032</v>
      </c>
      <c r="D71" t="inlineStr">
        <is>
          <t>VÄSTERNORRLANDS LÄN</t>
        </is>
      </c>
      <c r="E71" t="inlineStr">
        <is>
          <t>ÅNGE</t>
        </is>
      </c>
      <c r="F71" t="inlineStr">
        <is>
          <t>SCA</t>
        </is>
      </c>
      <c r="G71" t="n">
        <v>2.9</v>
      </c>
      <c r="H71" t="n">
        <v>0</v>
      </c>
      <c r="I71" t="n">
        <v>2</v>
      </c>
      <c r="J71" t="n">
        <v>4</v>
      </c>
      <c r="K71" t="n">
        <v>0</v>
      </c>
      <c r="L71" t="n">
        <v>0</v>
      </c>
      <c r="M71" t="n">
        <v>0</v>
      </c>
      <c r="N71" t="n">
        <v>0</v>
      </c>
      <c r="O71" t="n">
        <v>4</v>
      </c>
      <c r="P71" t="n">
        <v>0</v>
      </c>
      <c r="Q71" t="n">
        <v>6</v>
      </c>
      <c r="R71" s="2" t="inlineStr">
        <is>
          <t>Garnlav
Kolflarnlav
Lunglav
Ullticka
Dropptaggsvamp
Vedticka</t>
        </is>
      </c>
      <c r="S71">
        <f>HYPERLINK("https://klasma.github.io/Logging_2260/artfynd/A 45402-2025 artfynd.xlsx", "A 45402-2025")</f>
        <v/>
      </c>
      <c r="T71">
        <f>HYPERLINK("https://klasma.github.io/Logging_2260/kartor/A 45402-2025 karta.png", "A 45402-2025")</f>
        <v/>
      </c>
      <c r="V71">
        <f>HYPERLINK("https://klasma.github.io/Logging_2260/klagomål/A 45402-2025 FSC-klagomål.docx", "A 45402-2025")</f>
        <v/>
      </c>
      <c r="W71">
        <f>HYPERLINK("https://klasma.github.io/Logging_2260/klagomålsmail/A 45402-2025 FSC-klagomål mail.docx", "A 45402-2025")</f>
        <v/>
      </c>
      <c r="X71">
        <f>HYPERLINK("https://klasma.github.io/Logging_2260/tillsyn/A 45402-2025 tillsynsbegäran.docx", "A 45402-2025")</f>
        <v/>
      </c>
      <c r="Y71">
        <f>HYPERLINK("https://klasma.github.io/Logging_2260/tillsynsmail/A 45402-2025 tillsynsbegäran mail.docx", "A 45402-2025")</f>
        <v/>
      </c>
    </row>
    <row r="72" ht="15" customHeight="1">
      <c r="A72" t="inlineStr">
        <is>
          <t>A 48191-2025</t>
        </is>
      </c>
      <c r="B72" s="1" t="n">
        <v>45933.46956018519</v>
      </c>
      <c r="C72" s="1" t="n">
        <v>46032</v>
      </c>
      <c r="D72" t="inlineStr">
        <is>
          <t>VÄSTERNORRLANDS LÄN</t>
        </is>
      </c>
      <c r="E72" t="inlineStr">
        <is>
          <t>ÅNGE</t>
        </is>
      </c>
      <c r="F72" t="inlineStr">
        <is>
          <t>SCA</t>
        </is>
      </c>
      <c r="G72" t="n">
        <v>9.6</v>
      </c>
      <c r="H72" t="n">
        <v>1</v>
      </c>
      <c r="I72" t="n">
        <v>1</v>
      </c>
      <c r="J72" t="n">
        <v>5</v>
      </c>
      <c r="K72" t="n">
        <v>0</v>
      </c>
      <c r="L72" t="n">
        <v>0</v>
      </c>
      <c r="M72" t="n">
        <v>0</v>
      </c>
      <c r="N72" t="n">
        <v>0</v>
      </c>
      <c r="O72" t="n">
        <v>5</v>
      </c>
      <c r="P72" t="n">
        <v>0</v>
      </c>
      <c r="Q72" t="n">
        <v>6</v>
      </c>
      <c r="R72" s="2" t="inlineStr">
        <is>
          <t>Dvärgbägarlav
Kolflarnlav
Mörk kolflarnlav
Talltita
Vedskivlav
Dropptaggsvamp</t>
        </is>
      </c>
      <c r="S72">
        <f>HYPERLINK("https://klasma.github.io/Logging_2260/artfynd/A 48191-2025 artfynd.xlsx", "A 48191-2025")</f>
        <v/>
      </c>
      <c r="T72">
        <f>HYPERLINK("https://klasma.github.io/Logging_2260/kartor/A 48191-2025 karta.png", "A 48191-2025")</f>
        <v/>
      </c>
      <c r="V72">
        <f>HYPERLINK("https://klasma.github.io/Logging_2260/klagomål/A 48191-2025 FSC-klagomål.docx", "A 48191-2025")</f>
        <v/>
      </c>
      <c r="W72">
        <f>HYPERLINK("https://klasma.github.io/Logging_2260/klagomålsmail/A 48191-2025 FSC-klagomål mail.docx", "A 48191-2025")</f>
        <v/>
      </c>
      <c r="X72">
        <f>HYPERLINK("https://klasma.github.io/Logging_2260/tillsyn/A 48191-2025 tillsynsbegäran.docx", "A 48191-2025")</f>
        <v/>
      </c>
      <c r="Y72">
        <f>HYPERLINK("https://klasma.github.io/Logging_2260/tillsynsmail/A 48191-2025 tillsynsbegäran mail.docx", "A 48191-2025")</f>
        <v/>
      </c>
      <c r="Z72">
        <f>HYPERLINK("https://klasma.github.io/Logging_2260/fåglar/A 48191-2025 prioriterade fågelarter.docx", "A 48191-2025")</f>
        <v/>
      </c>
    </row>
    <row r="73" ht="15" customHeight="1">
      <c r="A73" t="inlineStr">
        <is>
          <t>A 49528-2025</t>
        </is>
      </c>
      <c r="B73" s="1" t="n">
        <v>45939.40664351852</v>
      </c>
      <c r="C73" s="1" t="n">
        <v>46032</v>
      </c>
      <c r="D73" t="inlineStr">
        <is>
          <t>VÄSTERNORRLANDS LÄN</t>
        </is>
      </c>
      <c r="E73" t="inlineStr">
        <is>
          <t>ÅNGE</t>
        </is>
      </c>
      <c r="F73" t="inlineStr">
        <is>
          <t>SCA</t>
        </is>
      </c>
      <c r="G73" t="n">
        <v>5.6</v>
      </c>
      <c r="H73" t="n">
        <v>1</v>
      </c>
      <c r="I73" t="n">
        <v>0</v>
      </c>
      <c r="J73" t="n">
        <v>4</v>
      </c>
      <c r="K73" t="n">
        <v>1</v>
      </c>
      <c r="L73" t="n">
        <v>0</v>
      </c>
      <c r="M73" t="n">
        <v>0</v>
      </c>
      <c r="N73" t="n">
        <v>0</v>
      </c>
      <c r="O73" t="n">
        <v>5</v>
      </c>
      <c r="P73" t="n">
        <v>1</v>
      </c>
      <c r="Q73" t="n">
        <v>6</v>
      </c>
      <c r="R73" s="2" t="inlineStr">
        <is>
          <t>Rynkskinn
Garnlav
Lunglav
Ullticka
Vitgrynig nållav
Fläcknycklar</t>
        </is>
      </c>
      <c r="S73">
        <f>HYPERLINK("https://klasma.github.io/Logging_2260/artfynd/A 49528-2025 artfynd.xlsx", "A 49528-2025")</f>
        <v/>
      </c>
      <c r="T73">
        <f>HYPERLINK("https://klasma.github.io/Logging_2260/kartor/A 49528-2025 karta.png", "A 49528-2025")</f>
        <v/>
      </c>
      <c r="V73">
        <f>HYPERLINK("https://klasma.github.io/Logging_2260/klagomål/A 49528-2025 FSC-klagomål.docx", "A 49528-2025")</f>
        <v/>
      </c>
      <c r="W73">
        <f>HYPERLINK("https://klasma.github.io/Logging_2260/klagomålsmail/A 49528-2025 FSC-klagomål mail.docx", "A 49528-2025")</f>
        <v/>
      </c>
      <c r="X73">
        <f>HYPERLINK("https://klasma.github.io/Logging_2260/tillsyn/A 49528-2025 tillsynsbegäran.docx", "A 49528-2025")</f>
        <v/>
      </c>
      <c r="Y73">
        <f>HYPERLINK("https://klasma.github.io/Logging_2260/tillsynsmail/A 49528-2025 tillsynsbegäran mail.docx", "A 49528-2025")</f>
        <v/>
      </c>
    </row>
    <row r="74" ht="15" customHeight="1">
      <c r="A74" t="inlineStr">
        <is>
          <t>A 31509-2024</t>
        </is>
      </c>
      <c r="B74" s="1" t="n">
        <v>45505</v>
      </c>
      <c r="C74" s="1" t="n">
        <v>46032</v>
      </c>
      <c r="D74" t="inlineStr">
        <is>
          <t>VÄSTERNORRLANDS LÄN</t>
        </is>
      </c>
      <c r="E74" t="inlineStr">
        <is>
          <t>ÅNGE</t>
        </is>
      </c>
      <c r="F74" t="inlineStr">
        <is>
          <t>SCA</t>
        </is>
      </c>
      <c r="G74" t="n">
        <v>21.3</v>
      </c>
      <c r="H74" t="n">
        <v>0</v>
      </c>
      <c r="I74" t="n">
        <v>2</v>
      </c>
      <c r="J74" t="n">
        <v>4</v>
      </c>
      <c r="K74" t="n">
        <v>0</v>
      </c>
      <c r="L74" t="n">
        <v>0</v>
      </c>
      <c r="M74" t="n">
        <v>0</v>
      </c>
      <c r="N74" t="n">
        <v>0</v>
      </c>
      <c r="O74" t="n">
        <v>4</v>
      </c>
      <c r="P74" t="n">
        <v>0</v>
      </c>
      <c r="Q74" t="n">
        <v>6</v>
      </c>
      <c r="R74" s="2" t="inlineStr">
        <is>
          <t>Doftskinn
Granticka
Rosenticka
Ullticka
Bollvitmossa
Trådticka</t>
        </is>
      </c>
      <c r="S74">
        <f>HYPERLINK("https://klasma.github.io/Logging_2260/artfynd/A 31509-2024 artfynd.xlsx", "A 31509-2024")</f>
        <v/>
      </c>
      <c r="T74">
        <f>HYPERLINK("https://klasma.github.io/Logging_2260/kartor/A 31509-2024 karta.png", "A 31509-2024")</f>
        <v/>
      </c>
      <c r="V74">
        <f>HYPERLINK("https://klasma.github.io/Logging_2260/klagomål/A 31509-2024 FSC-klagomål.docx", "A 31509-2024")</f>
        <v/>
      </c>
      <c r="W74">
        <f>HYPERLINK("https://klasma.github.io/Logging_2260/klagomålsmail/A 31509-2024 FSC-klagomål mail.docx", "A 31509-2024")</f>
        <v/>
      </c>
      <c r="X74">
        <f>HYPERLINK("https://klasma.github.io/Logging_2260/tillsyn/A 31509-2024 tillsynsbegäran.docx", "A 31509-2024")</f>
        <v/>
      </c>
      <c r="Y74">
        <f>HYPERLINK("https://klasma.github.io/Logging_2260/tillsynsmail/A 31509-2024 tillsynsbegäran mail.docx", "A 31509-2024")</f>
        <v/>
      </c>
    </row>
    <row r="75" ht="15" customHeight="1">
      <c r="A75" t="inlineStr">
        <is>
          <t>A 19010-2025</t>
        </is>
      </c>
      <c r="B75" s="1" t="n">
        <v>45764</v>
      </c>
      <c r="C75" s="1" t="n">
        <v>46032</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26363-2023</t>
        </is>
      </c>
      <c r="B76" s="1" t="n">
        <v>45091</v>
      </c>
      <c r="C76" s="1" t="n">
        <v>46032</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4130-2023</t>
        </is>
      </c>
      <c r="B77" s="1" t="n">
        <v>44952</v>
      </c>
      <c r="C77" s="1" t="n">
        <v>46032</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27955-2021</t>
        </is>
      </c>
      <c r="B78" s="1" t="n">
        <v>44354</v>
      </c>
      <c r="C78" s="1" t="n">
        <v>46032</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46032</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34694-2023</t>
        </is>
      </c>
      <c r="B80" s="1" t="n">
        <v>45140.96324074074</v>
      </c>
      <c r="C80" s="1" t="n">
        <v>46032</v>
      </c>
      <c r="D80" t="inlineStr">
        <is>
          <t>VÄSTERNORRLANDS LÄN</t>
        </is>
      </c>
      <c r="E80" t="inlineStr">
        <is>
          <t>ÅNGE</t>
        </is>
      </c>
      <c r="F80" t="inlineStr">
        <is>
          <t>SCA</t>
        </is>
      </c>
      <c r="G80" t="n">
        <v>3</v>
      </c>
      <c r="H80" t="n">
        <v>1</v>
      </c>
      <c r="I80" t="n">
        <v>3</v>
      </c>
      <c r="J80" t="n">
        <v>2</v>
      </c>
      <c r="K80" t="n">
        <v>1</v>
      </c>
      <c r="L80" t="n">
        <v>0</v>
      </c>
      <c r="M80" t="n">
        <v>0</v>
      </c>
      <c r="N80" t="n">
        <v>0</v>
      </c>
      <c r="O80" t="n">
        <v>3</v>
      </c>
      <c r="P80" t="n">
        <v>1</v>
      </c>
      <c r="Q80" t="n">
        <v>6</v>
      </c>
      <c r="R80" s="2" t="inlineStr">
        <is>
          <t>Laxgröppa
Garnlav
Vedskivlav
Dropptaggsvamp
Spindelblomster
Vedticka</t>
        </is>
      </c>
      <c r="S80">
        <f>HYPERLINK("https://klasma.github.io/Logging_2260/artfynd/A 34694-2023 artfynd.xlsx", "A 34694-2023")</f>
        <v/>
      </c>
      <c r="T80">
        <f>HYPERLINK("https://klasma.github.io/Logging_2260/kartor/A 34694-2023 karta.png", "A 34694-2023")</f>
        <v/>
      </c>
      <c r="V80">
        <f>HYPERLINK("https://klasma.github.io/Logging_2260/klagomål/A 34694-2023 FSC-klagomål.docx", "A 34694-2023")</f>
        <v/>
      </c>
      <c r="W80">
        <f>HYPERLINK("https://klasma.github.io/Logging_2260/klagomålsmail/A 34694-2023 FSC-klagomål mail.docx", "A 34694-2023")</f>
        <v/>
      </c>
      <c r="X80">
        <f>HYPERLINK("https://klasma.github.io/Logging_2260/tillsyn/A 34694-2023 tillsynsbegäran.docx", "A 34694-2023")</f>
        <v/>
      </c>
      <c r="Y80">
        <f>HYPERLINK("https://klasma.github.io/Logging_2260/tillsynsmail/A 34694-2023 tillsynsbegäran mail.docx", "A 34694-2023")</f>
        <v/>
      </c>
    </row>
    <row r="81" ht="15" customHeight="1">
      <c r="A81" t="inlineStr">
        <is>
          <t>A 31364-2022</t>
        </is>
      </c>
      <c r="B81" s="1" t="n">
        <v>44774</v>
      </c>
      <c r="C81" s="1" t="n">
        <v>46032</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23601-2025</t>
        </is>
      </c>
      <c r="B82" s="1" t="n">
        <v>45792</v>
      </c>
      <c r="C82" s="1" t="n">
        <v>46032</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59971-2025</t>
        </is>
      </c>
      <c r="B83" s="1" t="n">
        <v>45993.49002314815</v>
      </c>
      <c r="C83" s="1" t="n">
        <v>46032</v>
      </c>
      <c r="D83" t="inlineStr">
        <is>
          <t>VÄSTERNORRLANDS LÄN</t>
        </is>
      </c>
      <c r="E83" t="inlineStr">
        <is>
          <t>ÅNGE</t>
        </is>
      </c>
      <c r="F83" t="inlineStr">
        <is>
          <t>SCA</t>
        </is>
      </c>
      <c r="G83" t="n">
        <v>2.4</v>
      </c>
      <c r="H83" t="n">
        <v>3</v>
      </c>
      <c r="I83" t="n">
        <v>1</v>
      </c>
      <c r="J83" t="n">
        <v>3</v>
      </c>
      <c r="K83" t="n">
        <v>0</v>
      </c>
      <c r="L83" t="n">
        <v>0</v>
      </c>
      <c r="M83" t="n">
        <v>0</v>
      </c>
      <c r="N83" t="n">
        <v>0</v>
      </c>
      <c r="O83" t="n">
        <v>3</v>
      </c>
      <c r="P83" t="n">
        <v>0</v>
      </c>
      <c r="Q83" t="n">
        <v>5</v>
      </c>
      <c r="R83" s="2" t="inlineStr">
        <is>
          <t>Motaggsvamp
Talltita
Tretåig hackspett
Dropptaggsvamp
Lavskrika</t>
        </is>
      </c>
      <c r="S83">
        <f>HYPERLINK("https://klasma.github.io/Logging_2260/artfynd/A 59971-2025 artfynd.xlsx", "A 59971-2025")</f>
        <v/>
      </c>
      <c r="T83">
        <f>HYPERLINK("https://klasma.github.io/Logging_2260/kartor/A 59971-2025 karta.png", "A 59971-2025")</f>
        <v/>
      </c>
      <c r="V83">
        <f>HYPERLINK("https://klasma.github.io/Logging_2260/klagomål/A 59971-2025 FSC-klagomål.docx", "A 59971-2025")</f>
        <v/>
      </c>
      <c r="W83">
        <f>HYPERLINK("https://klasma.github.io/Logging_2260/klagomålsmail/A 59971-2025 FSC-klagomål mail.docx", "A 59971-2025")</f>
        <v/>
      </c>
      <c r="X83">
        <f>HYPERLINK("https://klasma.github.io/Logging_2260/tillsyn/A 59971-2025 tillsynsbegäran.docx", "A 59971-2025")</f>
        <v/>
      </c>
      <c r="Y83">
        <f>HYPERLINK("https://klasma.github.io/Logging_2260/tillsynsmail/A 59971-2025 tillsynsbegäran mail.docx", "A 59971-2025")</f>
        <v/>
      </c>
      <c r="Z83">
        <f>HYPERLINK("https://klasma.github.io/Logging_2260/fåglar/A 59971-2025 prioriterade fågelarter.docx", "A 59971-2025")</f>
        <v/>
      </c>
    </row>
    <row r="84" ht="15" customHeight="1">
      <c r="A84" t="inlineStr">
        <is>
          <t>A 52269-2024</t>
        </is>
      </c>
      <c r="B84" s="1" t="n">
        <v>45608.65660879629</v>
      </c>
      <c r="C84" s="1" t="n">
        <v>46032</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46032</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43520-2025</t>
        </is>
      </c>
      <c r="B86" s="1" t="n">
        <v>45911.57364583333</v>
      </c>
      <c r="C86" s="1" t="n">
        <v>46032</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51065-2024</t>
        </is>
      </c>
      <c r="B87" s="1" t="n">
        <v>45603</v>
      </c>
      <c r="C87" s="1" t="n">
        <v>46032</v>
      </c>
      <c r="D87" t="inlineStr">
        <is>
          <t>VÄSTERNORRLANDS LÄN</t>
        </is>
      </c>
      <c r="E87" t="inlineStr">
        <is>
          <t>ÅNGE</t>
        </is>
      </c>
      <c r="F87" t="inlineStr">
        <is>
          <t>SCA</t>
        </is>
      </c>
      <c r="G87" t="n">
        <v>4.1</v>
      </c>
      <c r="H87" t="n">
        <v>2</v>
      </c>
      <c r="I87" t="n">
        <v>0</v>
      </c>
      <c r="J87" t="n">
        <v>4</v>
      </c>
      <c r="K87" t="n">
        <v>1</v>
      </c>
      <c r="L87" t="n">
        <v>0</v>
      </c>
      <c r="M87" t="n">
        <v>0</v>
      </c>
      <c r="N87" t="n">
        <v>0</v>
      </c>
      <c r="O87" t="n">
        <v>5</v>
      </c>
      <c r="P87" t="n">
        <v>1</v>
      </c>
      <c r="Q87" t="n">
        <v>5</v>
      </c>
      <c r="R87" s="2" t="inlineStr">
        <is>
          <t>Knärot
Garnlav
Granticka
Järpe
Lunglav</t>
        </is>
      </c>
      <c r="S87">
        <f>HYPERLINK("https://klasma.github.io/Logging_2260/artfynd/A 51065-2024 artfynd.xlsx", "A 51065-2024")</f>
        <v/>
      </c>
      <c r="T87">
        <f>HYPERLINK("https://klasma.github.io/Logging_2260/kartor/A 51065-2024 karta.png", "A 51065-2024")</f>
        <v/>
      </c>
      <c r="U87">
        <f>HYPERLINK("https://klasma.github.io/Logging_2260/knärot/A 51065-2024 karta knärot.png", "A 51065-2024")</f>
        <v/>
      </c>
      <c r="V87">
        <f>HYPERLINK("https://klasma.github.io/Logging_2260/klagomål/A 51065-2024 FSC-klagomål.docx", "A 51065-2024")</f>
        <v/>
      </c>
      <c r="W87">
        <f>HYPERLINK("https://klasma.github.io/Logging_2260/klagomålsmail/A 51065-2024 FSC-klagomål mail.docx", "A 51065-2024")</f>
        <v/>
      </c>
      <c r="X87">
        <f>HYPERLINK("https://klasma.github.io/Logging_2260/tillsyn/A 51065-2024 tillsynsbegäran.docx", "A 51065-2024")</f>
        <v/>
      </c>
      <c r="Y87">
        <f>HYPERLINK("https://klasma.github.io/Logging_2260/tillsynsmail/A 51065-2024 tillsynsbegäran mail.docx", "A 51065-2024")</f>
        <v/>
      </c>
      <c r="Z87">
        <f>HYPERLINK("https://klasma.github.io/Logging_2260/fåglar/A 51065-2024 prioriterade fågelarter.docx", "A 51065-2024")</f>
        <v/>
      </c>
    </row>
    <row r="88" ht="15" customHeight="1">
      <c r="A88" t="inlineStr">
        <is>
          <t>A 46375-2025</t>
        </is>
      </c>
      <c r="B88" s="1" t="n">
        <v>45925.51097222222</v>
      </c>
      <c r="C88" s="1" t="n">
        <v>46032</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47102-2025</t>
        </is>
      </c>
      <c r="B89" s="1" t="n">
        <v>45929</v>
      </c>
      <c r="C89" s="1" t="n">
        <v>46032</v>
      </c>
      <c r="D89" t="inlineStr">
        <is>
          <t>VÄSTERNORRLANDS LÄN</t>
        </is>
      </c>
      <c r="E89" t="inlineStr">
        <is>
          <t>ÅNGE</t>
        </is>
      </c>
      <c r="G89" t="n">
        <v>1.3</v>
      </c>
      <c r="H89" t="n">
        <v>1</v>
      </c>
      <c r="I89" t="n">
        <v>1</v>
      </c>
      <c r="J89" t="n">
        <v>3</v>
      </c>
      <c r="K89" t="n">
        <v>1</v>
      </c>
      <c r="L89" t="n">
        <v>0</v>
      </c>
      <c r="M89" t="n">
        <v>0</v>
      </c>
      <c r="N89" t="n">
        <v>0</v>
      </c>
      <c r="O89" t="n">
        <v>4</v>
      </c>
      <c r="P89" t="n">
        <v>1</v>
      </c>
      <c r="Q89" t="n">
        <v>5</v>
      </c>
      <c r="R89" s="2" t="inlineStr">
        <is>
          <t>Knärot
Garnlav
Rosenticka
Ullticka
Dropptaggsvamp</t>
        </is>
      </c>
      <c r="S89">
        <f>HYPERLINK("https://klasma.github.io/Logging_2260/artfynd/A 47102-2025 artfynd.xlsx", "A 47102-2025")</f>
        <v/>
      </c>
      <c r="T89">
        <f>HYPERLINK("https://klasma.github.io/Logging_2260/kartor/A 47102-2025 karta.png", "A 47102-2025")</f>
        <v/>
      </c>
      <c r="U89">
        <f>HYPERLINK("https://klasma.github.io/Logging_2260/knärot/A 47102-2025 karta knärot.png", "A 47102-2025")</f>
        <v/>
      </c>
      <c r="V89">
        <f>HYPERLINK("https://klasma.github.io/Logging_2260/klagomål/A 47102-2025 FSC-klagomål.docx", "A 47102-2025")</f>
        <v/>
      </c>
      <c r="W89">
        <f>HYPERLINK("https://klasma.github.io/Logging_2260/klagomålsmail/A 47102-2025 FSC-klagomål mail.docx", "A 47102-2025")</f>
        <v/>
      </c>
      <c r="X89">
        <f>HYPERLINK("https://klasma.github.io/Logging_2260/tillsyn/A 47102-2025 tillsynsbegäran.docx", "A 47102-2025")</f>
        <v/>
      </c>
      <c r="Y89">
        <f>HYPERLINK("https://klasma.github.io/Logging_2260/tillsynsmail/A 47102-2025 tillsynsbegäran mail.docx", "A 47102-2025")</f>
        <v/>
      </c>
    </row>
    <row r="90" ht="15" customHeight="1">
      <c r="A90" t="inlineStr">
        <is>
          <t>A 26958-2024</t>
        </is>
      </c>
      <c r="B90" s="1" t="n">
        <v>45470</v>
      </c>
      <c r="C90" s="1" t="n">
        <v>46032</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46032</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38327-2025</t>
        </is>
      </c>
      <c r="B92" s="1" t="n">
        <v>45883.49084490741</v>
      </c>
      <c r="C92" s="1" t="n">
        <v>46032</v>
      </c>
      <c r="D92" t="inlineStr">
        <is>
          <t>VÄSTERNORRLANDS LÄN</t>
        </is>
      </c>
      <c r="E92" t="inlineStr">
        <is>
          <t>ÅNGE</t>
        </is>
      </c>
      <c r="F92" t="inlineStr">
        <is>
          <t>SCA</t>
        </is>
      </c>
      <c r="G92" t="n">
        <v>2.1</v>
      </c>
      <c r="H92" t="n">
        <v>1</v>
      </c>
      <c r="I92" t="n">
        <v>0</v>
      </c>
      <c r="J92" t="n">
        <v>4</v>
      </c>
      <c r="K92" t="n">
        <v>0</v>
      </c>
      <c r="L92" t="n">
        <v>0</v>
      </c>
      <c r="M92" t="n">
        <v>0</v>
      </c>
      <c r="N92" t="n">
        <v>0</v>
      </c>
      <c r="O92" t="n">
        <v>4</v>
      </c>
      <c r="P92" t="n">
        <v>0</v>
      </c>
      <c r="Q92" t="n">
        <v>5</v>
      </c>
      <c r="R92" s="2" t="inlineStr">
        <is>
          <t>Gammelgransskål
Garnlav
Ullticka
Violettgrå tagellav
Revlummer</t>
        </is>
      </c>
      <c r="S92">
        <f>HYPERLINK("https://klasma.github.io/Logging_2260/artfynd/A 38327-2025 artfynd.xlsx", "A 38327-2025")</f>
        <v/>
      </c>
      <c r="T92">
        <f>HYPERLINK("https://klasma.github.io/Logging_2260/kartor/A 38327-2025 karta.png", "A 38327-2025")</f>
        <v/>
      </c>
      <c r="V92">
        <f>HYPERLINK("https://klasma.github.io/Logging_2260/klagomål/A 38327-2025 FSC-klagomål.docx", "A 38327-2025")</f>
        <v/>
      </c>
      <c r="W92">
        <f>HYPERLINK("https://klasma.github.io/Logging_2260/klagomålsmail/A 38327-2025 FSC-klagomål mail.docx", "A 38327-2025")</f>
        <v/>
      </c>
      <c r="X92">
        <f>HYPERLINK("https://klasma.github.io/Logging_2260/tillsyn/A 38327-2025 tillsynsbegäran.docx", "A 38327-2025")</f>
        <v/>
      </c>
      <c r="Y92">
        <f>HYPERLINK("https://klasma.github.io/Logging_2260/tillsynsmail/A 38327-2025 tillsynsbegäran mail.docx", "A 38327-2025")</f>
        <v/>
      </c>
    </row>
    <row r="93" ht="15" customHeight="1">
      <c r="A93" t="inlineStr">
        <is>
          <t>A 52601-2025</t>
        </is>
      </c>
      <c r="B93" s="1" t="n">
        <v>45954</v>
      </c>
      <c r="C93" s="1" t="n">
        <v>46032</v>
      </c>
      <c r="D93" t="inlineStr">
        <is>
          <t>VÄSTERNORRLANDS LÄN</t>
        </is>
      </c>
      <c r="E93" t="inlineStr">
        <is>
          <t>ÅNGE</t>
        </is>
      </c>
      <c r="F93" t="inlineStr">
        <is>
          <t>SCA</t>
        </is>
      </c>
      <c r="G93" t="n">
        <v>3.1</v>
      </c>
      <c r="H93" t="n">
        <v>4</v>
      </c>
      <c r="I93" t="n">
        <v>4</v>
      </c>
      <c r="J93" t="n">
        <v>0</v>
      </c>
      <c r="K93" t="n">
        <v>1</v>
      </c>
      <c r="L93" t="n">
        <v>0</v>
      </c>
      <c r="M93" t="n">
        <v>0</v>
      </c>
      <c r="N93" t="n">
        <v>0</v>
      </c>
      <c r="O93" t="n">
        <v>1</v>
      </c>
      <c r="P93" t="n">
        <v>1</v>
      </c>
      <c r="Q93" t="n">
        <v>5</v>
      </c>
      <c r="R93" s="2" t="inlineStr">
        <is>
          <t>Knärot
Bågpraktmossa
Korallrot
Spindelblomster
Tvåblad</t>
        </is>
      </c>
      <c r="S93">
        <f>HYPERLINK("https://klasma.github.io/Logging_2260/artfynd/A 52601-2025 artfynd.xlsx", "A 52601-2025")</f>
        <v/>
      </c>
      <c r="T93">
        <f>HYPERLINK("https://klasma.github.io/Logging_2260/kartor/A 52601-2025 karta.png", "A 52601-2025")</f>
        <v/>
      </c>
      <c r="U93">
        <f>HYPERLINK("https://klasma.github.io/Logging_2260/knärot/A 52601-2025 karta knärot.png", "A 52601-2025")</f>
        <v/>
      </c>
      <c r="V93">
        <f>HYPERLINK("https://klasma.github.io/Logging_2260/klagomål/A 52601-2025 FSC-klagomål.docx", "A 52601-2025")</f>
        <v/>
      </c>
      <c r="W93">
        <f>HYPERLINK("https://klasma.github.io/Logging_2260/klagomålsmail/A 52601-2025 FSC-klagomål mail.docx", "A 52601-2025")</f>
        <v/>
      </c>
      <c r="X93">
        <f>HYPERLINK("https://klasma.github.io/Logging_2260/tillsyn/A 52601-2025 tillsynsbegäran.docx", "A 52601-2025")</f>
        <v/>
      </c>
      <c r="Y93">
        <f>HYPERLINK("https://klasma.github.io/Logging_2260/tillsynsmail/A 52601-2025 tillsynsbegäran mail.docx", "A 52601-2025")</f>
        <v/>
      </c>
    </row>
    <row r="94" ht="15" customHeight="1">
      <c r="A94" t="inlineStr">
        <is>
          <t>A 27914-2024</t>
        </is>
      </c>
      <c r="B94" s="1" t="n">
        <v>45475</v>
      </c>
      <c r="C94" s="1" t="n">
        <v>46032</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55004-2023</t>
        </is>
      </c>
      <c r="B95" s="1" t="n">
        <v>45236</v>
      </c>
      <c r="C95" s="1" t="n">
        <v>46032</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32911-2024</t>
        </is>
      </c>
      <c r="B96" s="1" t="n">
        <v>45516</v>
      </c>
      <c r="C96" s="1" t="n">
        <v>46032</v>
      </c>
      <c r="D96" t="inlineStr">
        <is>
          <t>VÄSTERNORRLANDS LÄN</t>
        </is>
      </c>
      <c r="E96" t="inlineStr">
        <is>
          <t>ÅNGE</t>
        </is>
      </c>
      <c r="F96" t="inlineStr">
        <is>
          <t>SCA</t>
        </is>
      </c>
      <c r="G96" t="n">
        <v>1</v>
      </c>
      <c r="H96" t="n">
        <v>3</v>
      </c>
      <c r="I96" t="n">
        <v>0</v>
      </c>
      <c r="J96" t="n">
        <v>2</v>
      </c>
      <c r="K96" t="n">
        <v>2</v>
      </c>
      <c r="L96" t="n">
        <v>0</v>
      </c>
      <c r="M96" t="n">
        <v>0</v>
      </c>
      <c r="N96" t="n">
        <v>0</v>
      </c>
      <c r="O96" t="n">
        <v>4</v>
      </c>
      <c r="P96" t="n">
        <v>2</v>
      </c>
      <c r="Q96" t="n">
        <v>5</v>
      </c>
      <c r="R96" s="2" t="inlineStr">
        <is>
          <t>Doftticka
Knärot
Garnlav
Lunglav
Revlummer</t>
        </is>
      </c>
      <c r="S96">
        <f>HYPERLINK("https://klasma.github.io/Logging_2260/artfynd/A 32911-2024 artfynd.xlsx", "A 32911-2024")</f>
        <v/>
      </c>
      <c r="T96">
        <f>HYPERLINK("https://klasma.github.io/Logging_2260/kartor/A 32911-2024 karta.png", "A 32911-2024")</f>
        <v/>
      </c>
      <c r="U96">
        <f>HYPERLINK("https://klasma.github.io/Logging_2260/knärot/A 32911-2024 karta knärot.png", "A 32911-2024")</f>
        <v/>
      </c>
      <c r="V96">
        <f>HYPERLINK("https://klasma.github.io/Logging_2260/klagomål/A 32911-2024 FSC-klagomål.docx", "A 32911-2024")</f>
        <v/>
      </c>
      <c r="W96">
        <f>HYPERLINK("https://klasma.github.io/Logging_2260/klagomålsmail/A 32911-2024 FSC-klagomål mail.docx", "A 32911-2024")</f>
        <v/>
      </c>
      <c r="X96">
        <f>HYPERLINK("https://klasma.github.io/Logging_2260/tillsyn/A 32911-2024 tillsynsbegäran.docx", "A 32911-2024")</f>
        <v/>
      </c>
      <c r="Y96">
        <f>HYPERLINK("https://klasma.github.io/Logging_2260/tillsynsmail/A 32911-2024 tillsynsbegäran mail.docx", "A 32911-2024")</f>
        <v/>
      </c>
    </row>
    <row r="97" ht="15" customHeight="1">
      <c r="A97" t="inlineStr">
        <is>
          <t>A 24796-2024</t>
        </is>
      </c>
      <c r="B97" s="1" t="n">
        <v>45460</v>
      </c>
      <c r="C97" s="1" t="n">
        <v>46032</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46032</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46032</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61487-2025</t>
        </is>
      </c>
      <c r="B100" s="1" t="n">
        <v>46001.63628472222</v>
      </c>
      <c r="C100" s="1" t="n">
        <v>46032</v>
      </c>
      <c r="D100" t="inlineStr">
        <is>
          <t>VÄSTERNORRLANDS LÄN</t>
        </is>
      </c>
      <c r="E100" t="inlineStr">
        <is>
          <t>ÅNGE</t>
        </is>
      </c>
      <c r="F100" t="inlineStr">
        <is>
          <t>SCA</t>
        </is>
      </c>
      <c r="G100" t="n">
        <v>5.4</v>
      </c>
      <c r="H100" t="n">
        <v>1</v>
      </c>
      <c r="I100" t="n">
        <v>0</v>
      </c>
      <c r="J100" t="n">
        <v>3</v>
      </c>
      <c r="K100" t="n">
        <v>1</v>
      </c>
      <c r="L100" t="n">
        <v>0</v>
      </c>
      <c r="M100" t="n">
        <v>0</v>
      </c>
      <c r="N100" t="n">
        <v>0</v>
      </c>
      <c r="O100" t="n">
        <v>4</v>
      </c>
      <c r="P100" t="n">
        <v>1</v>
      </c>
      <c r="Q100" t="n">
        <v>4</v>
      </c>
      <c r="R100" s="2" t="inlineStr">
        <is>
          <t>Rynkskinn
Garnlav
Tretåig hackspett
Vedtrappmossa</t>
        </is>
      </c>
      <c r="S100">
        <f>HYPERLINK("https://klasma.github.io/Logging_2260/artfynd/A 61487-2025 artfynd.xlsx", "A 61487-2025")</f>
        <v/>
      </c>
      <c r="T100">
        <f>HYPERLINK("https://klasma.github.io/Logging_2260/kartor/A 61487-2025 karta.png", "A 61487-2025")</f>
        <v/>
      </c>
      <c r="V100">
        <f>HYPERLINK("https://klasma.github.io/Logging_2260/klagomål/A 61487-2025 FSC-klagomål.docx", "A 61487-2025")</f>
        <v/>
      </c>
      <c r="W100">
        <f>HYPERLINK("https://klasma.github.io/Logging_2260/klagomålsmail/A 61487-2025 FSC-klagomål mail.docx", "A 61487-2025")</f>
        <v/>
      </c>
      <c r="X100">
        <f>HYPERLINK("https://klasma.github.io/Logging_2260/tillsyn/A 61487-2025 tillsynsbegäran.docx", "A 61487-2025")</f>
        <v/>
      </c>
      <c r="Y100">
        <f>HYPERLINK("https://klasma.github.io/Logging_2260/tillsynsmail/A 61487-2025 tillsynsbegäran mail.docx", "A 61487-2025")</f>
        <v/>
      </c>
      <c r="Z100">
        <f>HYPERLINK("https://klasma.github.io/Logging_2260/fåglar/A 61487-2025 prioriterade fågelarter.docx", "A 61487-2025")</f>
        <v/>
      </c>
    </row>
    <row r="101" ht="15" customHeight="1">
      <c r="A101" t="inlineStr">
        <is>
          <t>A 61007-2025</t>
        </is>
      </c>
      <c r="B101" s="1" t="n">
        <v>45998</v>
      </c>
      <c r="C101" s="1" t="n">
        <v>46032</v>
      </c>
      <c r="D101" t="inlineStr">
        <is>
          <t>VÄSTERNORRLANDS LÄN</t>
        </is>
      </c>
      <c r="E101" t="inlineStr">
        <is>
          <t>ÅNGE</t>
        </is>
      </c>
      <c r="F101" t="inlineStr">
        <is>
          <t>SCA</t>
        </is>
      </c>
      <c r="G101" t="n">
        <v>5.6</v>
      </c>
      <c r="H101" t="n">
        <v>0</v>
      </c>
      <c r="I101" t="n">
        <v>0</v>
      </c>
      <c r="J101" t="n">
        <v>4</v>
      </c>
      <c r="K101" t="n">
        <v>0</v>
      </c>
      <c r="L101" t="n">
        <v>0</v>
      </c>
      <c r="M101" t="n">
        <v>0</v>
      </c>
      <c r="N101" t="n">
        <v>0</v>
      </c>
      <c r="O101" t="n">
        <v>4</v>
      </c>
      <c r="P101" t="n">
        <v>0</v>
      </c>
      <c r="Q101" t="n">
        <v>4</v>
      </c>
      <c r="R101" s="2" t="inlineStr">
        <is>
          <t>Gammelgransskål
Garnlav
Granticka
Violettgrå tagellav</t>
        </is>
      </c>
      <c r="S101">
        <f>HYPERLINK("https://klasma.github.io/Logging_2260/artfynd/A 61007-2025 artfynd.xlsx", "A 61007-2025")</f>
        <v/>
      </c>
      <c r="T101">
        <f>HYPERLINK("https://klasma.github.io/Logging_2260/kartor/A 61007-2025 karta.png", "A 61007-2025")</f>
        <v/>
      </c>
      <c r="V101">
        <f>HYPERLINK("https://klasma.github.io/Logging_2260/klagomål/A 61007-2025 FSC-klagomål.docx", "A 61007-2025")</f>
        <v/>
      </c>
      <c r="W101">
        <f>HYPERLINK("https://klasma.github.io/Logging_2260/klagomålsmail/A 61007-2025 FSC-klagomål mail.docx", "A 61007-2025")</f>
        <v/>
      </c>
      <c r="X101">
        <f>HYPERLINK("https://klasma.github.io/Logging_2260/tillsyn/A 61007-2025 tillsynsbegäran.docx", "A 61007-2025")</f>
        <v/>
      </c>
      <c r="Y101">
        <f>HYPERLINK("https://klasma.github.io/Logging_2260/tillsynsmail/A 61007-2025 tillsynsbegäran mail.docx", "A 61007-2025")</f>
        <v/>
      </c>
    </row>
    <row r="102" ht="15" customHeight="1">
      <c r="A102" t="inlineStr">
        <is>
          <t>A 54095-2025</t>
        </is>
      </c>
      <c r="B102" s="1" t="n">
        <v>45964.40685185185</v>
      </c>
      <c r="C102" s="1" t="n">
        <v>46032</v>
      </c>
      <c r="D102" t="inlineStr">
        <is>
          <t>VÄSTERNORRLANDS LÄN</t>
        </is>
      </c>
      <c r="E102" t="inlineStr">
        <is>
          <t>ÅNGE</t>
        </is>
      </c>
      <c r="F102" t="inlineStr">
        <is>
          <t>SCA</t>
        </is>
      </c>
      <c r="G102" t="n">
        <v>14.1</v>
      </c>
      <c r="H102" t="n">
        <v>1</v>
      </c>
      <c r="I102" t="n">
        <v>1</v>
      </c>
      <c r="J102" t="n">
        <v>2</v>
      </c>
      <c r="K102" t="n">
        <v>1</v>
      </c>
      <c r="L102" t="n">
        <v>0</v>
      </c>
      <c r="M102" t="n">
        <v>0</v>
      </c>
      <c r="N102" t="n">
        <v>0</v>
      </c>
      <c r="O102" t="n">
        <v>3</v>
      </c>
      <c r="P102" t="n">
        <v>1</v>
      </c>
      <c r="Q102" t="n">
        <v>4</v>
      </c>
      <c r="R102" s="2" t="inlineStr">
        <is>
          <t>Knärot
Mörk kolflarnlav
Vedtrappmossa
Skarp dropptaggsvamp</t>
        </is>
      </c>
      <c r="S102">
        <f>HYPERLINK("https://klasma.github.io/Logging_2260/artfynd/A 54095-2025 artfynd.xlsx", "A 54095-2025")</f>
        <v/>
      </c>
      <c r="T102">
        <f>HYPERLINK("https://klasma.github.io/Logging_2260/kartor/A 54095-2025 karta.png", "A 54095-2025")</f>
        <v/>
      </c>
      <c r="U102">
        <f>HYPERLINK("https://klasma.github.io/Logging_2260/knärot/A 54095-2025 karta knärot.png", "A 54095-2025")</f>
        <v/>
      </c>
      <c r="V102">
        <f>HYPERLINK("https://klasma.github.io/Logging_2260/klagomål/A 54095-2025 FSC-klagomål.docx", "A 54095-2025")</f>
        <v/>
      </c>
      <c r="W102">
        <f>HYPERLINK("https://klasma.github.io/Logging_2260/klagomålsmail/A 54095-2025 FSC-klagomål mail.docx", "A 54095-2025")</f>
        <v/>
      </c>
      <c r="X102">
        <f>HYPERLINK("https://klasma.github.io/Logging_2260/tillsyn/A 54095-2025 tillsynsbegäran.docx", "A 54095-2025")</f>
        <v/>
      </c>
      <c r="Y102">
        <f>HYPERLINK("https://klasma.github.io/Logging_2260/tillsynsmail/A 54095-2025 tillsynsbegäran mail.docx", "A 54095-2025")</f>
        <v/>
      </c>
    </row>
    <row r="103" ht="15" customHeight="1">
      <c r="A103" t="inlineStr">
        <is>
          <t>A 26953-2024</t>
        </is>
      </c>
      <c r="B103" s="1" t="n">
        <v>45470</v>
      </c>
      <c r="C103" s="1" t="n">
        <v>46032</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38713-2025</t>
        </is>
      </c>
      <c r="B104" s="1" t="n">
        <v>45886.34479166667</v>
      </c>
      <c r="C104" s="1" t="n">
        <v>46032</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44558-2024</t>
        </is>
      </c>
      <c r="B105" s="1" t="n">
        <v>45574.47001157407</v>
      </c>
      <c r="C105" s="1" t="n">
        <v>46032</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57299-2022</t>
        </is>
      </c>
      <c r="B106" s="1" t="n">
        <v>44895.95090277777</v>
      </c>
      <c r="C106" s="1" t="n">
        <v>46032</v>
      </c>
      <c r="D106" t="inlineStr">
        <is>
          <t>VÄSTERNORRLANDS LÄN</t>
        </is>
      </c>
      <c r="E106" t="inlineStr">
        <is>
          <t>ÅNGE</t>
        </is>
      </c>
      <c r="F106" t="inlineStr">
        <is>
          <t>SCA</t>
        </is>
      </c>
      <c r="G106" t="n">
        <v>3.4</v>
      </c>
      <c r="H106" t="n">
        <v>0</v>
      </c>
      <c r="I106" t="n">
        <v>0</v>
      </c>
      <c r="J106" t="n">
        <v>4</v>
      </c>
      <c r="K106" t="n">
        <v>0</v>
      </c>
      <c r="L106" t="n">
        <v>0</v>
      </c>
      <c r="M106" t="n">
        <v>0</v>
      </c>
      <c r="N106" t="n">
        <v>0</v>
      </c>
      <c r="O106" t="n">
        <v>4</v>
      </c>
      <c r="P106" t="n">
        <v>0</v>
      </c>
      <c r="Q106" t="n">
        <v>4</v>
      </c>
      <c r="R106" s="2" t="inlineStr">
        <is>
          <t>Garnlav
Lunglav
Ullticka
Violmussling</t>
        </is>
      </c>
      <c r="S106">
        <f>HYPERLINK("https://klasma.github.io/Logging_2260/artfynd/A 57299-2022 artfynd.xlsx", "A 57299-2022")</f>
        <v/>
      </c>
      <c r="T106">
        <f>HYPERLINK("https://klasma.github.io/Logging_2260/kartor/A 57299-2022 karta.png", "A 57299-2022")</f>
        <v/>
      </c>
      <c r="V106">
        <f>HYPERLINK("https://klasma.github.io/Logging_2260/klagomål/A 57299-2022 FSC-klagomål.docx", "A 57299-2022")</f>
        <v/>
      </c>
      <c r="W106">
        <f>HYPERLINK("https://klasma.github.io/Logging_2260/klagomålsmail/A 57299-2022 FSC-klagomål mail.docx", "A 57299-2022")</f>
        <v/>
      </c>
      <c r="X106">
        <f>HYPERLINK("https://klasma.github.io/Logging_2260/tillsyn/A 57299-2022 tillsynsbegäran.docx", "A 57299-2022")</f>
        <v/>
      </c>
      <c r="Y106">
        <f>HYPERLINK("https://klasma.github.io/Logging_2260/tillsynsmail/A 57299-2022 tillsynsbegäran mail.docx", "A 57299-2022")</f>
        <v/>
      </c>
    </row>
    <row r="107" ht="15" customHeight="1">
      <c r="A107" t="inlineStr">
        <is>
          <t>A 55179-2024</t>
        </is>
      </c>
      <c r="B107" s="1" t="n">
        <v>45621.53204861111</v>
      </c>
      <c r="C107" s="1" t="n">
        <v>46032</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39176-2024</t>
        </is>
      </c>
      <c r="B108" s="1" t="n">
        <v>45548</v>
      </c>
      <c r="C108" s="1" t="n">
        <v>46032</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46032</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46032</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46032</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46032</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46032</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39029-2025</t>
        </is>
      </c>
      <c r="B114" s="1" t="n">
        <v>45888.40684027778</v>
      </c>
      <c r="C114" s="1" t="n">
        <v>46032</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23754-2025</t>
        </is>
      </c>
      <c r="B115" s="1" t="n">
        <v>45793.45782407407</v>
      </c>
      <c r="C115" s="1" t="n">
        <v>46032</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46032</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22996-2023</t>
        </is>
      </c>
      <c r="B117" s="1" t="n">
        <v>45072</v>
      </c>
      <c r="C117" s="1" t="n">
        <v>46032</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41868-2025</t>
        </is>
      </c>
      <c r="B118" s="1" t="n">
        <v>45903.34429398148</v>
      </c>
      <c r="C118" s="1" t="n">
        <v>46032</v>
      </c>
      <c r="D118" t="inlineStr">
        <is>
          <t>VÄSTERNORRLANDS LÄN</t>
        </is>
      </c>
      <c r="E118" t="inlineStr">
        <is>
          <t>ÅNGE</t>
        </is>
      </c>
      <c r="F118" t="inlineStr">
        <is>
          <t>SCA</t>
        </is>
      </c>
      <c r="G118" t="n">
        <v>5.4</v>
      </c>
      <c r="H118" t="n">
        <v>2</v>
      </c>
      <c r="I118" t="n">
        <v>1</v>
      </c>
      <c r="J118" t="n">
        <v>1</v>
      </c>
      <c r="K118" t="n">
        <v>0</v>
      </c>
      <c r="L118" t="n">
        <v>0</v>
      </c>
      <c r="M118" t="n">
        <v>0</v>
      </c>
      <c r="N118" t="n">
        <v>0</v>
      </c>
      <c r="O118" t="n">
        <v>1</v>
      </c>
      <c r="P118" t="n">
        <v>0</v>
      </c>
      <c r="Q118" t="n">
        <v>3</v>
      </c>
      <c r="R118" s="2" t="inlineStr">
        <is>
          <t>Garnlav
Spindelblomster
Revlummer</t>
        </is>
      </c>
      <c r="S118">
        <f>HYPERLINK("https://klasma.github.io/Logging_2260/artfynd/A 41868-2025 artfynd.xlsx", "A 41868-2025")</f>
        <v/>
      </c>
      <c r="T118">
        <f>HYPERLINK("https://klasma.github.io/Logging_2260/kartor/A 41868-2025 karta.png", "A 41868-2025")</f>
        <v/>
      </c>
      <c r="V118">
        <f>HYPERLINK("https://klasma.github.io/Logging_2260/klagomål/A 41868-2025 FSC-klagomål.docx", "A 41868-2025")</f>
        <v/>
      </c>
      <c r="W118">
        <f>HYPERLINK("https://klasma.github.io/Logging_2260/klagomålsmail/A 41868-2025 FSC-klagomål mail.docx", "A 41868-2025")</f>
        <v/>
      </c>
      <c r="X118">
        <f>HYPERLINK("https://klasma.github.io/Logging_2260/tillsyn/A 41868-2025 tillsynsbegäran.docx", "A 41868-2025")</f>
        <v/>
      </c>
      <c r="Y118">
        <f>HYPERLINK("https://klasma.github.io/Logging_2260/tillsynsmail/A 41868-2025 tillsynsbegäran mail.docx", "A 41868-2025")</f>
        <v/>
      </c>
    </row>
    <row r="119" ht="15" customHeight="1">
      <c r="A119" t="inlineStr">
        <is>
          <t>A 29665-2024</t>
        </is>
      </c>
      <c r="B119" s="1" t="n">
        <v>45484</v>
      </c>
      <c r="C119" s="1" t="n">
        <v>46032</v>
      </c>
      <c r="D119" t="inlineStr">
        <is>
          <t>VÄSTERNORRLANDS LÄN</t>
        </is>
      </c>
      <c r="E119" t="inlineStr">
        <is>
          <t>ÅNGE</t>
        </is>
      </c>
      <c r="F119" t="inlineStr">
        <is>
          <t>SCA</t>
        </is>
      </c>
      <c r="G119" t="n">
        <v>3.3</v>
      </c>
      <c r="H119" t="n">
        <v>1</v>
      </c>
      <c r="I119" t="n">
        <v>0</v>
      </c>
      <c r="J119" t="n">
        <v>3</v>
      </c>
      <c r="K119" t="n">
        <v>0</v>
      </c>
      <c r="L119" t="n">
        <v>0</v>
      </c>
      <c r="M119" t="n">
        <v>0</v>
      </c>
      <c r="N119" t="n">
        <v>0</v>
      </c>
      <c r="O119" t="n">
        <v>3</v>
      </c>
      <c r="P119" t="n">
        <v>0</v>
      </c>
      <c r="Q119" t="n">
        <v>3</v>
      </c>
      <c r="R119" s="2" t="inlineStr">
        <is>
          <t>Garnlav
Granticka
Utter</t>
        </is>
      </c>
      <c r="S119">
        <f>HYPERLINK("https://klasma.github.io/Logging_2260/artfynd/A 29665-2024 artfynd.xlsx", "A 29665-2024")</f>
        <v/>
      </c>
      <c r="T119">
        <f>HYPERLINK("https://klasma.github.io/Logging_2260/kartor/A 29665-2024 karta.png", "A 29665-2024")</f>
        <v/>
      </c>
      <c r="V119">
        <f>HYPERLINK("https://klasma.github.io/Logging_2260/klagomål/A 29665-2024 FSC-klagomål.docx", "A 29665-2024")</f>
        <v/>
      </c>
      <c r="W119">
        <f>HYPERLINK("https://klasma.github.io/Logging_2260/klagomålsmail/A 29665-2024 FSC-klagomål mail.docx", "A 29665-2024")</f>
        <v/>
      </c>
      <c r="X119">
        <f>HYPERLINK("https://klasma.github.io/Logging_2260/tillsyn/A 29665-2024 tillsynsbegäran.docx", "A 29665-2024")</f>
        <v/>
      </c>
      <c r="Y119">
        <f>HYPERLINK("https://klasma.github.io/Logging_2260/tillsynsmail/A 29665-2024 tillsynsbegäran mail.docx", "A 29665-2024")</f>
        <v/>
      </c>
    </row>
    <row r="120" ht="15" customHeight="1">
      <c r="A120" t="inlineStr">
        <is>
          <t>A 26679-2025</t>
        </is>
      </c>
      <c r="B120" s="1" t="n">
        <v>45810</v>
      </c>
      <c r="C120" s="1" t="n">
        <v>46032</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39179-2024</t>
        </is>
      </c>
      <c r="B121" s="1" t="n">
        <v>45548.65703703704</v>
      </c>
      <c r="C121" s="1" t="n">
        <v>46032</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43319-2025</t>
        </is>
      </c>
      <c r="B122" s="1" t="n">
        <v>45910.65681712963</v>
      </c>
      <c r="C122" s="1" t="n">
        <v>46032</v>
      </c>
      <c r="D122" t="inlineStr">
        <is>
          <t>VÄSTERNORRLANDS LÄN</t>
        </is>
      </c>
      <c r="E122" t="inlineStr">
        <is>
          <t>ÅNGE</t>
        </is>
      </c>
      <c r="F122" t="inlineStr">
        <is>
          <t>SCA</t>
        </is>
      </c>
      <c r="G122" t="n">
        <v>6.6</v>
      </c>
      <c r="H122" t="n">
        <v>0</v>
      </c>
      <c r="I122" t="n">
        <v>1</v>
      </c>
      <c r="J122" t="n">
        <v>2</v>
      </c>
      <c r="K122" t="n">
        <v>0</v>
      </c>
      <c r="L122" t="n">
        <v>0</v>
      </c>
      <c r="M122" t="n">
        <v>0</v>
      </c>
      <c r="N122" t="n">
        <v>0</v>
      </c>
      <c r="O122" t="n">
        <v>2</v>
      </c>
      <c r="P122" t="n">
        <v>0</v>
      </c>
      <c r="Q122" t="n">
        <v>3</v>
      </c>
      <c r="R122" s="2" t="inlineStr">
        <is>
          <t>Ullticka
Violettgrå tagellav
Korallblylav</t>
        </is>
      </c>
      <c r="S122">
        <f>HYPERLINK("https://klasma.github.io/Logging_2260/artfynd/A 43319-2025 artfynd.xlsx", "A 43319-2025")</f>
        <v/>
      </c>
      <c r="T122">
        <f>HYPERLINK("https://klasma.github.io/Logging_2260/kartor/A 43319-2025 karta.png", "A 43319-2025")</f>
        <v/>
      </c>
      <c r="V122">
        <f>HYPERLINK("https://klasma.github.io/Logging_2260/klagomål/A 43319-2025 FSC-klagomål.docx", "A 43319-2025")</f>
        <v/>
      </c>
      <c r="W122">
        <f>HYPERLINK("https://klasma.github.io/Logging_2260/klagomålsmail/A 43319-2025 FSC-klagomål mail.docx", "A 43319-2025")</f>
        <v/>
      </c>
      <c r="X122">
        <f>HYPERLINK("https://klasma.github.io/Logging_2260/tillsyn/A 43319-2025 tillsynsbegäran.docx", "A 43319-2025")</f>
        <v/>
      </c>
      <c r="Y122">
        <f>HYPERLINK("https://klasma.github.io/Logging_2260/tillsynsmail/A 43319-2025 tillsynsbegäran mail.docx", "A 43319-2025")</f>
        <v/>
      </c>
    </row>
    <row r="123" ht="15" customHeight="1">
      <c r="A123" t="inlineStr">
        <is>
          <t>A 16307-2025</t>
        </is>
      </c>
      <c r="B123" s="1" t="n">
        <v>45751.34686342593</v>
      </c>
      <c r="C123" s="1" t="n">
        <v>46032</v>
      </c>
      <c r="D123" t="inlineStr">
        <is>
          <t>VÄSTERNORRLANDS LÄN</t>
        </is>
      </c>
      <c r="E123" t="inlineStr">
        <is>
          <t>ÅNGE</t>
        </is>
      </c>
      <c r="F123" t="inlineStr">
        <is>
          <t>SCA</t>
        </is>
      </c>
      <c r="G123" t="n">
        <v>12.3</v>
      </c>
      <c r="H123" t="n">
        <v>1</v>
      </c>
      <c r="I123" t="n">
        <v>2</v>
      </c>
      <c r="J123" t="n">
        <v>0</v>
      </c>
      <c r="K123" t="n">
        <v>0</v>
      </c>
      <c r="L123" t="n">
        <v>0</v>
      </c>
      <c r="M123" t="n">
        <v>0</v>
      </c>
      <c r="N123" t="n">
        <v>0</v>
      </c>
      <c r="O123" t="n">
        <v>0</v>
      </c>
      <c r="P123" t="n">
        <v>0</v>
      </c>
      <c r="Q123" t="n">
        <v>3</v>
      </c>
      <c r="R123" s="2" t="inlineStr">
        <is>
          <t>Stor aspticka
Vårärt
Blåsippa</t>
        </is>
      </c>
      <c r="S123">
        <f>HYPERLINK("https://klasma.github.io/Logging_2260/artfynd/A 16307-2025 artfynd.xlsx", "A 16307-2025")</f>
        <v/>
      </c>
      <c r="T123">
        <f>HYPERLINK("https://klasma.github.io/Logging_2260/kartor/A 16307-2025 karta.png", "A 16307-2025")</f>
        <v/>
      </c>
      <c r="V123">
        <f>HYPERLINK("https://klasma.github.io/Logging_2260/klagomål/A 16307-2025 FSC-klagomål.docx", "A 16307-2025")</f>
        <v/>
      </c>
      <c r="W123">
        <f>HYPERLINK("https://klasma.github.io/Logging_2260/klagomålsmail/A 16307-2025 FSC-klagomål mail.docx", "A 16307-2025")</f>
        <v/>
      </c>
      <c r="X123">
        <f>HYPERLINK("https://klasma.github.io/Logging_2260/tillsyn/A 16307-2025 tillsynsbegäran.docx", "A 16307-2025")</f>
        <v/>
      </c>
      <c r="Y123">
        <f>HYPERLINK("https://klasma.github.io/Logging_2260/tillsynsmail/A 16307-2025 tillsynsbegäran mail.docx", "A 16307-2025")</f>
        <v/>
      </c>
    </row>
    <row r="124" ht="15" customHeight="1">
      <c r="A124" t="inlineStr">
        <is>
          <t>A 43880-2025</t>
        </is>
      </c>
      <c r="B124" s="1" t="n">
        <v>45912</v>
      </c>
      <c r="C124" s="1" t="n">
        <v>46032</v>
      </c>
      <c r="D124" t="inlineStr">
        <is>
          <t>VÄSTERNORRLANDS LÄN</t>
        </is>
      </c>
      <c r="E124" t="inlineStr">
        <is>
          <t>ÅNGE</t>
        </is>
      </c>
      <c r="F124" t="inlineStr">
        <is>
          <t>SCA</t>
        </is>
      </c>
      <c r="G124" t="n">
        <v>3.5</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HYPERLINK("https://klasma.github.io/Logging_2260/artfynd/A 43880-2025 artfynd.xlsx", "A 43880-2025")</f>
        <v/>
      </c>
      <c r="T124">
        <f>HYPERLINK("https://klasma.github.io/Logging_2260/kartor/A 43880-2025 karta.png", "A 43880-2025")</f>
        <v/>
      </c>
      <c r="V124">
        <f>HYPERLINK("https://klasma.github.io/Logging_2260/klagomål/A 43880-2025 FSC-klagomål.docx", "A 43880-2025")</f>
        <v/>
      </c>
      <c r="W124">
        <f>HYPERLINK("https://klasma.github.io/Logging_2260/klagomålsmail/A 43880-2025 FSC-klagomål mail.docx", "A 43880-2025")</f>
        <v/>
      </c>
      <c r="X124">
        <f>HYPERLINK("https://klasma.github.io/Logging_2260/tillsyn/A 43880-2025 tillsynsbegäran.docx", "A 43880-2025")</f>
        <v/>
      </c>
      <c r="Y124">
        <f>HYPERLINK("https://klasma.github.io/Logging_2260/tillsynsmail/A 43880-2025 tillsynsbegäran mail.docx", "A 43880-2025")</f>
        <v/>
      </c>
      <c r="Z124">
        <f>HYPERLINK("https://klasma.github.io/Logging_2260/fåglar/A 43880-2025 prioriterade fågelarter.docx", "A 43880-2025")</f>
        <v/>
      </c>
    </row>
    <row r="125" ht="15" customHeight="1">
      <c r="A125" t="inlineStr">
        <is>
          <t>A 46417-2025</t>
        </is>
      </c>
      <c r="B125" s="1" t="n">
        <v>45925.59454861111</v>
      </c>
      <c r="C125" s="1" t="n">
        <v>46032</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31212-2025</t>
        </is>
      </c>
      <c r="B126" s="1" t="n">
        <v>45832.71978009259</v>
      </c>
      <c r="C126" s="1" t="n">
        <v>46032</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49530-2025</t>
        </is>
      </c>
      <c r="B127" s="1" t="n">
        <v>45939.40700231482</v>
      </c>
      <c r="C127" s="1" t="n">
        <v>46032</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33806-2025</t>
        </is>
      </c>
      <c r="B128" s="1" t="n">
        <v>45842.44865740741</v>
      </c>
      <c r="C128" s="1" t="n">
        <v>46032</v>
      </c>
      <c r="D128" t="inlineStr">
        <is>
          <t>VÄSTERNORRLANDS LÄN</t>
        </is>
      </c>
      <c r="E128" t="inlineStr">
        <is>
          <t>ÅNGE</t>
        </is>
      </c>
      <c r="F128" t="inlineStr">
        <is>
          <t>SCA</t>
        </is>
      </c>
      <c r="G128" t="n">
        <v>24.6</v>
      </c>
      <c r="H128" t="n">
        <v>3</v>
      </c>
      <c r="I128" t="n">
        <v>1</v>
      </c>
      <c r="J128" t="n">
        <v>0</v>
      </c>
      <c r="K128" t="n">
        <v>1</v>
      </c>
      <c r="L128" t="n">
        <v>0</v>
      </c>
      <c r="M128" t="n">
        <v>0</v>
      </c>
      <c r="N128" t="n">
        <v>0</v>
      </c>
      <c r="O128" t="n">
        <v>1</v>
      </c>
      <c r="P128" t="n">
        <v>1</v>
      </c>
      <c r="Q128" t="n">
        <v>3</v>
      </c>
      <c r="R128" s="2" t="inlineStr">
        <is>
          <t>Knärot
Grönkulla
Nattviol</t>
        </is>
      </c>
      <c r="S128">
        <f>HYPERLINK("https://klasma.github.io/Logging_2260/artfynd/A 33806-2025 artfynd.xlsx", "A 33806-2025")</f>
        <v/>
      </c>
      <c r="T128">
        <f>HYPERLINK("https://klasma.github.io/Logging_2260/kartor/A 33806-2025 karta.png", "A 33806-2025")</f>
        <v/>
      </c>
      <c r="U128">
        <f>HYPERLINK("https://klasma.github.io/Logging_2260/knärot/A 33806-2025 karta knärot.png", "A 33806-2025")</f>
        <v/>
      </c>
      <c r="V128">
        <f>HYPERLINK("https://klasma.github.io/Logging_2260/klagomål/A 33806-2025 FSC-klagomål.docx", "A 33806-2025")</f>
        <v/>
      </c>
      <c r="W128">
        <f>HYPERLINK("https://klasma.github.io/Logging_2260/klagomålsmail/A 33806-2025 FSC-klagomål mail.docx", "A 33806-2025")</f>
        <v/>
      </c>
      <c r="X128">
        <f>HYPERLINK("https://klasma.github.io/Logging_2260/tillsyn/A 33806-2025 tillsynsbegäran.docx", "A 33806-2025")</f>
        <v/>
      </c>
      <c r="Y128">
        <f>HYPERLINK("https://klasma.github.io/Logging_2260/tillsynsmail/A 33806-2025 tillsynsbegäran mail.docx", "A 33806-2025")</f>
        <v/>
      </c>
    </row>
    <row r="129" ht="15" customHeight="1">
      <c r="A129" t="inlineStr">
        <is>
          <t>A 50259-2025</t>
        </is>
      </c>
      <c r="B129" s="1" t="n">
        <v>45944.34498842592</v>
      </c>
      <c r="C129" s="1" t="n">
        <v>46032</v>
      </c>
      <c r="D129" t="inlineStr">
        <is>
          <t>VÄSTERNORRLANDS LÄN</t>
        </is>
      </c>
      <c r="E129" t="inlineStr">
        <is>
          <t>ÅNGE</t>
        </is>
      </c>
      <c r="F129" t="inlineStr">
        <is>
          <t>SCA</t>
        </is>
      </c>
      <c r="G129" t="n">
        <v>1.7</v>
      </c>
      <c r="H129" t="n">
        <v>1</v>
      </c>
      <c r="I129" t="n">
        <v>1</v>
      </c>
      <c r="J129" t="n">
        <v>1</v>
      </c>
      <c r="K129" t="n">
        <v>0</v>
      </c>
      <c r="L129" t="n">
        <v>0</v>
      </c>
      <c r="M129" t="n">
        <v>0</v>
      </c>
      <c r="N129" t="n">
        <v>0</v>
      </c>
      <c r="O129" t="n">
        <v>1</v>
      </c>
      <c r="P129" t="n">
        <v>0</v>
      </c>
      <c r="Q129" t="n">
        <v>3</v>
      </c>
      <c r="R129" s="2" t="inlineStr">
        <is>
          <t>Lunglav
Bollvitmossa
Fläcknycklar</t>
        </is>
      </c>
      <c r="S129">
        <f>HYPERLINK("https://klasma.github.io/Logging_2260/artfynd/A 50259-2025 artfynd.xlsx", "A 50259-2025")</f>
        <v/>
      </c>
      <c r="T129">
        <f>HYPERLINK("https://klasma.github.io/Logging_2260/kartor/A 50259-2025 karta.png", "A 50259-2025")</f>
        <v/>
      </c>
      <c r="V129">
        <f>HYPERLINK("https://klasma.github.io/Logging_2260/klagomål/A 50259-2025 FSC-klagomål.docx", "A 50259-2025")</f>
        <v/>
      </c>
      <c r="W129">
        <f>HYPERLINK("https://klasma.github.io/Logging_2260/klagomålsmail/A 50259-2025 FSC-klagomål mail.docx", "A 50259-2025")</f>
        <v/>
      </c>
      <c r="X129">
        <f>HYPERLINK("https://klasma.github.io/Logging_2260/tillsyn/A 50259-2025 tillsynsbegäran.docx", "A 50259-2025")</f>
        <v/>
      </c>
      <c r="Y129">
        <f>HYPERLINK("https://klasma.github.io/Logging_2260/tillsynsmail/A 50259-2025 tillsynsbegäran mail.docx", "A 50259-2025")</f>
        <v/>
      </c>
    </row>
    <row r="130" ht="15" customHeight="1">
      <c r="A130" t="inlineStr">
        <is>
          <t>A 47617-2024</t>
        </is>
      </c>
      <c r="B130" s="1" t="n">
        <v>45588.32125</v>
      </c>
      <c r="C130" s="1" t="n">
        <v>46032</v>
      </c>
      <c r="D130" t="inlineStr">
        <is>
          <t>VÄSTERNORRLANDS LÄN</t>
        </is>
      </c>
      <c r="E130" t="inlineStr">
        <is>
          <t>ÅNGE</t>
        </is>
      </c>
      <c r="F130" t="inlineStr">
        <is>
          <t>Holmen skog AB</t>
        </is>
      </c>
      <c r="G130" t="n">
        <v>8.300000000000001</v>
      </c>
      <c r="H130" t="n">
        <v>0</v>
      </c>
      <c r="I130" t="n">
        <v>0</v>
      </c>
      <c r="J130" t="n">
        <v>3</v>
      </c>
      <c r="K130" t="n">
        <v>0</v>
      </c>
      <c r="L130" t="n">
        <v>0</v>
      </c>
      <c r="M130" t="n">
        <v>0</v>
      </c>
      <c r="N130" t="n">
        <v>0</v>
      </c>
      <c r="O130" t="n">
        <v>3</v>
      </c>
      <c r="P130" t="n">
        <v>0</v>
      </c>
      <c r="Q130" t="n">
        <v>3</v>
      </c>
      <c r="R130" s="2" t="inlineStr">
        <is>
          <t>Granticka
Gränsticka
Lunglav</t>
        </is>
      </c>
      <c r="S130">
        <f>HYPERLINK("https://klasma.github.io/Logging_2260/artfynd/A 47617-2024 artfynd.xlsx", "A 47617-2024")</f>
        <v/>
      </c>
      <c r="T130">
        <f>HYPERLINK("https://klasma.github.io/Logging_2260/kartor/A 47617-2024 karta.png", "A 47617-2024")</f>
        <v/>
      </c>
      <c r="V130">
        <f>HYPERLINK("https://klasma.github.io/Logging_2260/klagomål/A 47617-2024 FSC-klagomål.docx", "A 47617-2024")</f>
        <v/>
      </c>
      <c r="W130">
        <f>HYPERLINK("https://klasma.github.io/Logging_2260/klagomålsmail/A 47617-2024 FSC-klagomål mail.docx", "A 47617-2024")</f>
        <v/>
      </c>
      <c r="X130">
        <f>HYPERLINK("https://klasma.github.io/Logging_2260/tillsyn/A 47617-2024 tillsynsbegäran.docx", "A 47617-2024")</f>
        <v/>
      </c>
      <c r="Y130">
        <f>HYPERLINK("https://klasma.github.io/Logging_2260/tillsynsmail/A 47617-2024 tillsynsbegäran mail.docx", "A 47617-2024")</f>
        <v/>
      </c>
    </row>
    <row r="131" ht="15" customHeight="1">
      <c r="A131" t="inlineStr">
        <is>
          <t>A 37184-2025</t>
        </is>
      </c>
      <c r="B131" s="1" t="n">
        <v>45875.63591435185</v>
      </c>
      <c r="C131" s="1" t="n">
        <v>46032</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53710-2025</t>
        </is>
      </c>
      <c r="B132" s="1" t="n">
        <v>45960.6153125</v>
      </c>
      <c r="C132" s="1" t="n">
        <v>46032</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38238-2025</t>
        </is>
      </c>
      <c r="B133" s="1" t="n">
        <v>45883.36497685185</v>
      </c>
      <c r="C133" s="1" t="n">
        <v>46032</v>
      </c>
      <c r="D133" t="inlineStr">
        <is>
          <t>VÄSTERNORRLANDS LÄN</t>
        </is>
      </c>
      <c r="E133" t="inlineStr">
        <is>
          <t>ÅNGE</t>
        </is>
      </c>
      <c r="F133" t="inlineStr">
        <is>
          <t>SCA</t>
        </is>
      </c>
      <c r="G133" t="n">
        <v>5.6</v>
      </c>
      <c r="H133" t="n">
        <v>0</v>
      </c>
      <c r="I133" t="n">
        <v>1</v>
      </c>
      <c r="J133" t="n">
        <v>1</v>
      </c>
      <c r="K133" t="n">
        <v>1</v>
      </c>
      <c r="L133" t="n">
        <v>0</v>
      </c>
      <c r="M133" t="n">
        <v>0</v>
      </c>
      <c r="N133" t="n">
        <v>0</v>
      </c>
      <c r="O133" t="n">
        <v>2</v>
      </c>
      <c r="P133" t="n">
        <v>1</v>
      </c>
      <c r="Q133" t="n">
        <v>3</v>
      </c>
      <c r="R133" s="2" t="inlineStr">
        <is>
          <t>Tajgataggsvamp
Vitplätt
Grönpyrola</t>
        </is>
      </c>
      <c r="S133">
        <f>HYPERLINK("https://klasma.github.io/Logging_2260/artfynd/A 38238-2025 artfynd.xlsx", "A 38238-2025")</f>
        <v/>
      </c>
      <c r="T133">
        <f>HYPERLINK("https://klasma.github.io/Logging_2260/kartor/A 38238-2025 karta.png", "A 38238-2025")</f>
        <v/>
      </c>
      <c r="U133">
        <f>HYPERLINK("https://klasma.github.io/Logging_2260/knärot/A 38238-2025 karta knärot.png", "A 38238-2025")</f>
        <v/>
      </c>
      <c r="V133">
        <f>HYPERLINK("https://klasma.github.io/Logging_2260/klagomål/A 38238-2025 FSC-klagomål.docx", "A 38238-2025")</f>
        <v/>
      </c>
      <c r="W133">
        <f>HYPERLINK("https://klasma.github.io/Logging_2260/klagomålsmail/A 38238-2025 FSC-klagomål mail.docx", "A 38238-2025")</f>
        <v/>
      </c>
      <c r="X133">
        <f>HYPERLINK("https://klasma.github.io/Logging_2260/tillsyn/A 38238-2025 tillsynsbegäran.docx", "A 38238-2025")</f>
        <v/>
      </c>
      <c r="Y133">
        <f>HYPERLINK("https://klasma.github.io/Logging_2260/tillsynsmail/A 38238-2025 tillsynsbegäran mail.docx", "A 38238-2025")</f>
        <v/>
      </c>
    </row>
    <row r="134" ht="15" customHeight="1">
      <c r="A134" t="inlineStr">
        <is>
          <t>A 63330-2025</t>
        </is>
      </c>
      <c r="B134" s="1" t="n">
        <v>46010</v>
      </c>
      <c r="C134" s="1" t="n">
        <v>46032</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7533-2023</t>
        </is>
      </c>
      <c r="B135" s="1" t="n">
        <v>44971</v>
      </c>
      <c r="C135" s="1" t="n">
        <v>46032</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39708-2024</t>
        </is>
      </c>
      <c r="B136" s="1" t="n">
        <v>45552.59408564815</v>
      </c>
      <c r="C136" s="1" t="n">
        <v>46032</v>
      </c>
      <c r="D136" t="inlineStr">
        <is>
          <t>VÄSTERNORRLANDS LÄN</t>
        </is>
      </c>
      <c r="E136" t="inlineStr">
        <is>
          <t>ÅNGE</t>
        </is>
      </c>
      <c r="F136" t="inlineStr">
        <is>
          <t>SCA</t>
        </is>
      </c>
      <c r="G136" t="n">
        <v>6.2</v>
      </c>
      <c r="H136" t="n">
        <v>0</v>
      </c>
      <c r="I136" t="n">
        <v>0</v>
      </c>
      <c r="J136" t="n">
        <v>3</v>
      </c>
      <c r="K136" t="n">
        <v>0</v>
      </c>
      <c r="L136" t="n">
        <v>0</v>
      </c>
      <c r="M136" t="n">
        <v>0</v>
      </c>
      <c r="N136" t="n">
        <v>0</v>
      </c>
      <c r="O136" t="n">
        <v>3</v>
      </c>
      <c r="P136" t="n">
        <v>0</v>
      </c>
      <c r="Q136" t="n">
        <v>3</v>
      </c>
      <c r="R136" s="2" t="inlineStr">
        <is>
          <t>Granticka
Ullticka
Vitgrynig nållav</t>
        </is>
      </c>
      <c r="S136">
        <f>HYPERLINK("https://klasma.github.io/Logging_2260/artfynd/A 39708-2024 artfynd.xlsx", "A 39708-2024")</f>
        <v/>
      </c>
      <c r="T136">
        <f>HYPERLINK("https://klasma.github.io/Logging_2260/kartor/A 39708-2024 karta.png", "A 39708-2024")</f>
        <v/>
      </c>
      <c r="V136">
        <f>HYPERLINK("https://klasma.github.io/Logging_2260/klagomål/A 39708-2024 FSC-klagomål.docx", "A 39708-2024")</f>
        <v/>
      </c>
      <c r="W136">
        <f>HYPERLINK("https://klasma.github.io/Logging_2260/klagomålsmail/A 39708-2024 FSC-klagomål mail.docx", "A 39708-2024")</f>
        <v/>
      </c>
      <c r="X136">
        <f>HYPERLINK("https://klasma.github.io/Logging_2260/tillsyn/A 39708-2024 tillsynsbegäran.docx", "A 39708-2024")</f>
        <v/>
      </c>
      <c r="Y136">
        <f>HYPERLINK("https://klasma.github.io/Logging_2260/tillsynsmail/A 39708-2024 tillsynsbegäran mail.docx", "A 39708-2024")</f>
        <v/>
      </c>
    </row>
    <row r="137" ht="15" customHeight="1">
      <c r="A137" t="inlineStr">
        <is>
          <t>A 29691-2024</t>
        </is>
      </c>
      <c r="B137" s="1" t="n">
        <v>45484.9446875</v>
      </c>
      <c r="C137" s="1" t="n">
        <v>46032</v>
      </c>
      <c r="D137" t="inlineStr">
        <is>
          <t>VÄSTERNORRLANDS LÄN</t>
        </is>
      </c>
      <c r="E137" t="inlineStr">
        <is>
          <t>ÅNGE</t>
        </is>
      </c>
      <c r="F137" t="inlineStr">
        <is>
          <t>SCA</t>
        </is>
      </c>
      <c r="G137" t="n">
        <v>6.8</v>
      </c>
      <c r="H137" t="n">
        <v>0</v>
      </c>
      <c r="I137" t="n">
        <v>1</v>
      </c>
      <c r="J137" t="n">
        <v>2</v>
      </c>
      <c r="K137" t="n">
        <v>0</v>
      </c>
      <c r="L137" t="n">
        <v>0</v>
      </c>
      <c r="M137" t="n">
        <v>0</v>
      </c>
      <c r="N137" t="n">
        <v>0</v>
      </c>
      <c r="O137" t="n">
        <v>2</v>
      </c>
      <c r="P137" t="n">
        <v>0</v>
      </c>
      <c r="Q137" t="n">
        <v>3</v>
      </c>
      <c r="R137" s="2" t="inlineStr">
        <is>
          <t>Lunglav
Rosenticka
Vedticka</t>
        </is>
      </c>
      <c r="S137">
        <f>HYPERLINK("https://klasma.github.io/Logging_2260/artfynd/A 29691-2024 artfynd.xlsx", "A 29691-2024")</f>
        <v/>
      </c>
      <c r="T137">
        <f>HYPERLINK("https://klasma.github.io/Logging_2260/kartor/A 29691-2024 karta.png", "A 29691-2024")</f>
        <v/>
      </c>
      <c r="V137">
        <f>HYPERLINK("https://klasma.github.io/Logging_2260/klagomål/A 29691-2024 FSC-klagomål.docx", "A 29691-2024")</f>
        <v/>
      </c>
      <c r="W137">
        <f>HYPERLINK("https://klasma.github.io/Logging_2260/klagomålsmail/A 29691-2024 FSC-klagomål mail.docx", "A 29691-2024")</f>
        <v/>
      </c>
      <c r="X137">
        <f>HYPERLINK("https://klasma.github.io/Logging_2260/tillsyn/A 29691-2024 tillsynsbegäran.docx", "A 29691-2024")</f>
        <v/>
      </c>
      <c r="Y137">
        <f>HYPERLINK("https://klasma.github.io/Logging_2260/tillsynsmail/A 29691-2024 tillsynsbegäran mail.docx", "A 29691-2024")</f>
        <v/>
      </c>
    </row>
    <row r="138" ht="15" customHeight="1">
      <c r="A138" t="inlineStr">
        <is>
          <t>A 39181-2024</t>
        </is>
      </c>
      <c r="B138" s="1" t="n">
        <v>45548</v>
      </c>
      <c r="C138" s="1" t="n">
        <v>46032</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24795-2024</t>
        </is>
      </c>
      <c r="B139" s="1" t="n">
        <v>45460.95252314815</v>
      </c>
      <c r="C139" s="1" t="n">
        <v>46032</v>
      </c>
      <c r="D139" t="inlineStr">
        <is>
          <t>VÄSTERNORRLANDS LÄN</t>
        </is>
      </c>
      <c r="E139" t="inlineStr">
        <is>
          <t>ÅNGE</t>
        </is>
      </c>
      <c r="F139" t="inlineStr">
        <is>
          <t>SCA</t>
        </is>
      </c>
      <c r="G139" t="n">
        <v>2.2</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HYPERLINK("https://klasma.github.io/Logging_2260/artfynd/A 24795-2024 artfynd.xlsx", "A 24795-2024")</f>
        <v/>
      </c>
      <c r="T139">
        <f>HYPERLINK("https://klasma.github.io/Logging_2260/kartor/A 24795-2024 karta.png", "A 24795-2024")</f>
        <v/>
      </c>
      <c r="V139">
        <f>HYPERLINK("https://klasma.github.io/Logging_2260/klagomål/A 24795-2024 FSC-klagomål.docx", "A 24795-2024")</f>
        <v/>
      </c>
      <c r="W139">
        <f>HYPERLINK("https://klasma.github.io/Logging_2260/klagomålsmail/A 24795-2024 FSC-klagomål mail.docx", "A 24795-2024")</f>
        <v/>
      </c>
      <c r="X139">
        <f>HYPERLINK("https://klasma.github.io/Logging_2260/tillsyn/A 24795-2024 tillsynsbegäran.docx", "A 24795-2024")</f>
        <v/>
      </c>
      <c r="Y139">
        <f>HYPERLINK("https://klasma.github.io/Logging_2260/tillsynsmail/A 24795-2024 tillsynsbegäran mail.docx", "A 24795-2024")</f>
        <v/>
      </c>
    </row>
    <row r="140" ht="15" customHeight="1">
      <c r="A140" t="inlineStr">
        <is>
          <t>A 28274-2023</t>
        </is>
      </c>
      <c r="B140" s="1" t="n">
        <v>45099</v>
      </c>
      <c r="C140" s="1" t="n">
        <v>46032</v>
      </c>
      <c r="D140" t="inlineStr">
        <is>
          <t>VÄSTERNORRLANDS LÄN</t>
        </is>
      </c>
      <c r="E140" t="inlineStr">
        <is>
          <t>ÅNGE</t>
        </is>
      </c>
      <c r="G140" t="n">
        <v>19.2</v>
      </c>
      <c r="H140" t="n">
        <v>1</v>
      </c>
      <c r="I140" t="n">
        <v>1</v>
      </c>
      <c r="J140" t="n">
        <v>1</v>
      </c>
      <c r="K140" t="n">
        <v>1</v>
      </c>
      <c r="L140" t="n">
        <v>0</v>
      </c>
      <c r="M140" t="n">
        <v>0</v>
      </c>
      <c r="N140" t="n">
        <v>0</v>
      </c>
      <c r="O140" t="n">
        <v>2</v>
      </c>
      <c r="P140" t="n">
        <v>1</v>
      </c>
      <c r="Q140" t="n">
        <v>3</v>
      </c>
      <c r="R140" s="2" t="inlineStr">
        <is>
          <t>Knärot
Lunglav
Grönpyrola</t>
        </is>
      </c>
      <c r="S140">
        <f>HYPERLINK("https://klasma.github.io/Logging_2260/artfynd/A 28274-2023 artfynd.xlsx", "A 28274-2023")</f>
        <v/>
      </c>
      <c r="T140">
        <f>HYPERLINK("https://klasma.github.io/Logging_2260/kartor/A 28274-2023 karta.png", "A 28274-2023")</f>
        <v/>
      </c>
      <c r="U140">
        <f>HYPERLINK("https://klasma.github.io/Logging_2260/knärot/A 28274-2023 karta knärot.png", "A 28274-2023")</f>
        <v/>
      </c>
      <c r="V140">
        <f>HYPERLINK("https://klasma.github.io/Logging_2260/klagomål/A 28274-2023 FSC-klagomål.docx", "A 28274-2023")</f>
        <v/>
      </c>
      <c r="W140">
        <f>HYPERLINK("https://klasma.github.io/Logging_2260/klagomålsmail/A 28274-2023 FSC-klagomål mail.docx", "A 28274-2023")</f>
        <v/>
      </c>
      <c r="X140">
        <f>HYPERLINK("https://klasma.github.io/Logging_2260/tillsyn/A 28274-2023 tillsynsbegäran.docx", "A 28274-2023")</f>
        <v/>
      </c>
      <c r="Y140">
        <f>HYPERLINK("https://klasma.github.io/Logging_2260/tillsynsmail/A 28274-2023 tillsynsbegäran mail.docx", "A 28274-2023")</f>
        <v/>
      </c>
    </row>
    <row r="141" ht="15" customHeight="1">
      <c r="A141" t="inlineStr">
        <is>
          <t>A 21267-2025</t>
        </is>
      </c>
      <c r="B141" s="1" t="n">
        <v>45779</v>
      </c>
      <c r="C141" s="1" t="n">
        <v>46032</v>
      </c>
      <c r="D141" t="inlineStr">
        <is>
          <t>VÄSTERNORRLANDS LÄN</t>
        </is>
      </c>
      <c r="E141" t="inlineStr">
        <is>
          <t>ÅNGE</t>
        </is>
      </c>
      <c r="F141" t="inlineStr">
        <is>
          <t>Sveaskog</t>
        </is>
      </c>
      <c r="G141" t="n">
        <v>3.7</v>
      </c>
      <c r="H141" t="n">
        <v>2</v>
      </c>
      <c r="I141" t="n">
        <v>2</v>
      </c>
      <c r="J141" t="n">
        <v>1</v>
      </c>
      <c r="K141" t="n">
        <v>0</v>
      </c>
      <c r="L141" t="n">
        <v>0</v>
      </c>
      <c r="M141" t="n">
        <v>0</v>
      </c>
      <c r="N141" t="n">
        <v>0</v>
      </c>
      <c r="O141" t="n">
        <v>1</v>
      </c>
      <c r="P141" t="n">
        <v>0</v>
      </c>
      <c r="Q141" t="n">
        <v>3</v>
      </c>
      <c r="R141" s="2" t="inlineStr">
        <is>
          <t>Lunglav
Korallrot
Spindelblomster</t>
        </is>
      </c>
      <c r="S141">
        <f>HYPERLINK("https://klasma.github.io/Logging_2260/artfynd/A 21267-2025 artfynd.xlsx", "A 21267-2025")</f>
        <v/>
      </c>
      <c r="T141">
        <f>HYPERLINK("https://klasma.github.io/Logging_2260/kartor/A 21267-2025 karta.png", "A 21267-2025")</f>
        <v/>
      </c>
      <c r="V141">
        <f>HYPERLINK("https://klasma.github.io/Logging_2260/klagomål/A 21267-2025 FSC-klagomål.docx", "A 21267-2025")</f>
        <v/>
      </c>
      <c r="W141">
        <f>HYPERLINK("https://klasma.github.io/Logging_2260/klagomålsmail/A 21267-2025 FSC-klagomål mail.docx", "A 21267-2025")</f>
        <v/>
      </c>
      <c r="X141">
        <f>HYPERLINK("https://klasma.github.io/Logging_2260/tillsyn/A 21267-2025 tillsynsbegäran.docx", "A 21267-2025")</f>
        <v/>
      </c>
      <c r="Y141">
        <f>HYPERLINK("https://klasma.github.io/Logging_2260/tillsynsmail/A 21267-2025 tillsynsbegäran mail.docx", "A 21267-2025")</f>
        <v/>
      </c>
    </row>
    <row r="142" ht="15" customHeight="1">
      <c r="A142" t="inlineStr">
        <is>
          <t>A 47798-2022</t>
        </is>
      </c>
      <c r="B142" s="1" t="n">
        <v>44854.95365740741</v>
      </c>
      <c r="C142" s="1" t="n">
        <v>46032</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36635-2021</t>
        </is>
      </c>
      <c r="B143" s="1" t="n">
        <v>44391</v>
      </c>
      <c r="C143" s="1" t="n">
        <v>46032</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46032</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48152-2022</t>
        </is>
      </c>
      <c r="B145" s="1" t="n">
        <v>44853</v>
      </c>
      <c r="C145" s="1" t="n">
        <v>46032</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46032</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46032</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46032</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55591-2021</t>
        </is>
      </c>
      <c r="B149" s="1" t="n">
        <v>44475</v>
      </c>
      <c r="C149" s="1" t="n">
        <v>46032</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21453-2025</t>
        </is>
      </c>
      <c r="B150" s="1" t="n">
        <v>45782.55311342593</v>
      </c>
      <c r="C150" s="1" t="n">
        <v>46032</v>
      </c>
      <c r="D150" t="inlineStr">
        <is>
          <t>VÄSTERNORRLANDS LÄN</t>
        </is>
      </c>
      <c r="E150" t="inlineStr">
        <is>
          <t>ÅNGE</t>
        </is>
      </c>
      <c r="F150" t="inlineStr">
        <is>
          <t>SCA</t>
        </is>
      </c>
      <c r="G150" t="n">
        <v>1</v>
      </c>
      <c r="H150" t="n">
        <v>0</v>
      </c>
      <c r="I150" t="n">
        <v>2</v>
      </c>
      <c r="J150" t="n">
        <v>0</v>
      </c>
      <c r="K150" t="n">
        <v>0</v>
      </c>
      <c r="L150" t="n">
        <v>0</v>
      </c>
      <c r="M150" t="n">
        <v>0</v>
      </c>
      <c r="N150" t="n">
        <v>0</v>
      </c>
      <c r="O150" t="n">
        <v>0</v>
      </c>
      <c r="P150" t="n">
        <v>0</v>
      </c>
      <c r="Q150" t="n">
        <v>2</v>
      </c>
      <c r="R150" s="2" t="inlineStr">
        <is>
          <t>Svart trolldruva
Tibast</t>
        </is>
      </c>
      <c r="S150">
        <f>HYPERLINK("https://klasma.github.io/Logging_2260/artfynd/A 21453-2025 artfynd.xlsx", "A 21453-2025")</f>
        <v/>
      </c>
      <c r="T150">
        <f>HYPERLINK("https://klasma.github.io/Logging_2260/kartor/A 21453-2025 karta.png", "A 21453-2025")</f>
        <v/>
      </c>
      <c r="V150">
        <f>HYPERLINK("https://klasma.github.io/Logging_2260/klagomål/A 21453-2025 FSC-klagomål.docx", "A 21453-2025")</f>
        <v/>
      </c>
      <c r="W150">
        <f>HYPERLINK("https://klasma.github.io/Logging_2260/klagomålsmail/A 21453-2025 FSC-klagomål mail.docx", "A 21453-2025")</f>
        <v/>
      </c>
      <c r="X150">
        <f>HYPERLINK("https://klasma.github.io/Logging_2260/tillsyn/A 21453-2025 tillsynsbegäran.docx", "A 21453-2025")</f>
        <v/>
      </c>
      <c r="Y150">
        <f>HYPERLINK("https://klasma.github.io/Logging_2260/tillsynsmail/A 21453-2025 tillsynsbegäran mail.docx", "A 21453-2025")</f>
        <v/>
      </c>
    </row>
    <row r="151" ht="15" customHeight="1">
      <c r="A151" t="inlineStr">
        <is>
          <t>A 24176-2025</t>
        </is>
      </c>
      <c r="B151" s="1" t="n">
        <v>45796.69832175926</v>
      </c>
      <c r="C151" s="1" t="n">
        <v>46032</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42864-2025</t>
        </is>
      </c>
      <c r="B152" s="1" t="n">
        <v>45908</v>
      </c>
      <c r="C152" s="1" t="n">
        <v>46032</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Mörk kolflarnlav
Vedflamlav</t>
        </is>
      </c>
      <c r="S152">
        <f>HYPERLINK("https://klasma.github.io/Logging_2260/artfynd/A 42864-2025 artfynd.xlsx", "A 42864-2025")</f>
        <v/>
      </c>
      <c r="T152">
        <f>HYPERLINK("https://klasma.github.io/Logging_2260/kartor/A 42864-2025 karta.png", "A 42864-2025")</f>
        <v/>
      </c>
      <c r="V152">
        <f>HYPERLINK("https://klasma.github.io/Logging_2260/klagomål/A 42864-2025 FSC-klagomål.docx", "A 42864-2025")</f>
        <v/>
      </c>
      <c r="W152">
        <f>HYPERLINK("https://klasma.github.io/Logging_2260/klagomålsmail/A 42864-2025 FSC-klagomål mail.docx", "A 42864-2025")</f>
        <v/>
      </c>
      <c r="X152">
        <f>HYPERLINK("https://klasma.github.io/Logging_2260/tillsyn/A 42864-2025 tillsynsbegäran.docx", "A 42864-2025")</f>
        <v/>
      </c>
      <c r="Y152">
        <f>HYPERLINK("https://klasma.github.io/Logging_2260/tillsynsmail/A 42864-2025 tillsynsbegäran mail.docx", "A 42864-2025")</f>
        <v/>
      </c>
    </row>
    <row r="153" ht="15" customHeight="1">
      <c r="A153" t="inlineStr">
        <is>
          <t>A 26906-2025</t>
        </is>
      </c>
      <c r="B153" s="1" t="n">
        <v>45811.34552083333</v>
      </c>
      <c r="C153" s="1" t="n">
        <v>46032</v>
      </c>
      <c r="D153" t="inlineStr">
        <is>
          <t>VÄSTERNORRLANDS LÄN</t>
        </is>
      </c>
      <c r="E153" t="inlineStr">
        <is>
          <t>ÅNGE</t>
        </is>
      </c>
      <c r="F153" t="inlineStr">
        <is>
          <t>SCA</t>
        </is>
      </c>
      <c r="G153" t="n">
        <v>7</v>
      </c>
      <c r="H153" t="n">
        <v>0</v>
      </c>
      <c r="I153" t="n">
        <v>0</v>
      </c>
      <c r="J153" t="n">
        <v>2</v>
      </c>
      <c r="K153" t="n">
        <v>0</v>
      </c>
      <c r="L153" t="n">
        <v>0</v>
      </c>
      <c r="M153" t="n">
        <v>0</v>
      </c>
      <c r="N153" t="n">
        <v>0</v>
      </c>
      <c r="O153" t="n">
        <v>2</v>
      </c>
      <c r="P153" t="n">
        <v>0</v>
      </c>
      <c r="Q153" t="n">
        <v>2</v>
      </c>
      <c r="R153" s="2" t="inlineStr">
        <is>
          <t>Garnlav
Vitgrynig nållav</t>
        </is>
      </c>
      <c r="S153">
        <f>HYPERLINK("https://klasma.github.io/Logging_2260/artfynd/A 26906-2025 artfynd.xlsx", "A 26906-2025")</f>
        <v/>
      </c>
      <c r="T153">
        <f>HYPERLINK("https://klasma.github.io/Logging_2260/kartor/A 26906-2025 karta.png", "A 26906-2025")</f>
        <v/>
      </c>
      <c r="V153">
        <f>HYPERLINK("https://klasma.github.io/Logging_2260/klagomål/A 26906-2025 FSC-klagomål.docx", "A 26906-2025")</f>
        <v/>
      </c>
      <c r="W153">
        <f>HYPERLINK("https://klasma.github.io/Logging_2260/klagomålsmail/A 26906-2025 FSC-klagomål mail.docx", "A 26906-2025")</f>
        <v/>
      </c>
      <c r="X153">
        <f>HYPERLINK("https://klasma.github.io/Logging_2260/tillsyn/A 26906-2025 tillsynsbegäran.docx", "A 26906-2025")</f>
        <v/>
      </c>
      <c r="Y153">
        <f>HYPERLINK("https://klasma.github.io/Logging_2260/tillsynsmail/A 26906-2025 tillsynsbegäran mail.docx", "A 26906-2025")</f>
        <v/>
      </c>
    </row>
    <row r="154" ht="15" customHeight="1">
      <c r="A154" t="inlineStr">
        <is>
          <t>A 18081-2025</t>
        </is>
      </c>
      <c r="B154" s="1" t="n">
        <v>45761.51086805556</v>
      </c>
      <c r="C154" s="1" t="n">
        <v>46032</v>
      </c>
      <c r="D154" t="inlineStr">
        <is>
          <t>VÄSTERNORRLANDS LÄN</t>
        </is>
      </c>
      <c r="E154" t="inlineStr">
        <is>
          <t>ÅNGE</t>
        </is>
      </c>
      <c r="F154" t="inlineStr">
        <is>
          <t>SCA</t>
        </is>
      </c>
      <c r="G154" t="n">
        <v>2.6</v>
      </c>
      <c r="H154" t="n">
        <v>1</v>
      </c>
      <c r="I154" t="n">
        <v>1</v>
      </c>
      <c r="J154" t="n">
        <v>0</v>
      </c>
      <c r="K154" t="n">
        <v>1</v>
      </c>
      <c r="L154" t="n">
        <v>0</v>
      </c>
      <c r="M154" t="n">
        <v>0</v>
      </c>
      <c r="N154" t="n">
        <v>0</v>
      </c>
      <c r="O154" t="n">
        <v>1</v>
      </c>
      <c r="P154" t="n">
        <v>1</v>
      </c>
      <c r="Q154" t="n">
        <v>2</v>
      </c>
      <c r="R154" s="2" t="inlineStr">
        <is>
          <t>Knärot
Dropptaggsvamp</t>
        </is>
      </c>
      <c r="S154">
        <f>HYPERLINK("https://klasma.github.io/Logging_2260/artfynd/A 18081-2025 artfynd.xlsx", "A 18081-2025")</f>
        <v/>
      </c>
      <c r="T154">
        <f>HYPERLINK("https://klasma.github.io/Logging_2260/kartor/A 18081-2025 karta.png", "A 18081-2025")</f>
        <v/>
      </c>
      <c r="U154">
        <f>HYPERLINK("https://klasma.github.io/Logging_2260/knärot/A 18081-2025 karta knärot.png", "A 18081-2025")</f>
        <v/>
      </c>
      <c r="V154">
        <f>HYPERLINK("https://klasma.github.io/Logging_2260/klagomål/A 18081-2025 FSC-klagomål.docx", "A 18081-2025")</f>
        <v/>
      </c>
      <c r="W154">
        <f>HYPERLINK("https://klasma.github.io/Logging_2260/klagomålsmail/A 18081-2025 FSC-klagomål mail.docx", "A 18081-2025")</f>
        <v/>
      </c>
      <c r="X154">
        <f>HYPERLINK("https://klasma.github.io/Logging_2260/tillsyn/A 18081-2025 tillsynsbegäran.docx", "A 18081-2025")</f>
        <v/>
      </c>
      <c r="Y154">
        <f>HYPERLINK("https://klasma.github.io/Logging_2260/tillsynsmail/A 18081-2025 tillsynsbegäran mail.docx", "A 18081-2025")</f>
        <v/>
      </c>
    </row>
    <row r="155" ht="15" customHeight="1">
      <c r="A155" t="inlineStr">
        <is>
          <t>A 57597-2022</t>
        </is>
      </c>
      <c r="B155" s="1" t="n">
        <v>44896.97878472223</v>
      </c>
      <c r="C155" s="1" t="n">
        <v>46032</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43721-2025</t>
        </is>
      </c>
      <c r="B156" s="1" t="n">
        <v>45912.42800925926</v>
      </c>
      <c r="C156" s="1" t="n">
        <v>46032</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62861-2021</t>
        </is>
      </c>
      <c r="B157" s="1" t="n">
        <v>44503</v>
      </c>
      <c r="C157" s="1" t="n">
        <v>46032</v>
      </c>
      <c r="D157" t="inlineStr">
        <is>
          <t>VÄSTERNORRLANDS LÄN</t>
        </is>
      </c>
      <c r="E157" t="inlineStr">
        <is>
          <t>ÅNGE</t>
        </is>
      </c>
      <c r="F157" t="inlineStr">
        <is>
          <t>Övriga statliga verk och myndigheter</t>
        </is>
      </c>
      <c r="G157" t="n">
        <v>12.1</v>
      </c>
      <c r="H157" t="n">
        <v>1</v>
      </c>
      <c r="I157" t="n">
        <v>0</v>
      </c>
      <c r="J157" t="n">
        <v>1</v>
      </c>
      <c r="K157" t="n">
        <v>1</v>
      </c>
      <c r="L157" t="n">
        <v>0</v>
      </c>
      <c r="M157" t="n">
        <v>0</v>
      </c>
      <c r="N157" t="n">
        <v>0</v>
      </c>
      <c r="O157" t="n">
        <v>2</v>
      </c>
      <c r="P157" t="n">
        <v>1</v>
      </c>
      <c r="Q157" t="n">
        <v>2</v>
      </c>
      <c r="R157" s="2" t="inlineStr">
        <is>
          <t>Knärot
Rosenticka</t>
        </is>
      </c>
      <c r="S157">
        <f>HYPERLINK("https://klasma.github.io/Logging_2260/artfynd/A 62861-2021 artfynd.xlsx", "A 62861-2021")</f>
        <v/>
      </c>
      <c r="T157">
        <f>HYPERLINK("https://klasma.github.io/Logging_2260/kartor/A 62861-2021 karta.png", "A 62861-2021")</f>
        <v/>
      </c>
      <c r="U157">
        <f>HYPERLINK("https://klasma.github.io/Logging_2260/knärot/A 62861-2021 karta knärot.png", "A 62861-2021")</f>
        <v/>
      </c>
      <c r="V157">
        <f>HYPERLINK("https://klasma.github.io/Logging_2260/klagomål/A 62861-2021 FSC-klagomål.docx", "A 62861-2021")</f>
        <v/>
      </c>
      <c r="W157">
        <f>HYPERLINK("https://klasma.github.io/Logging_2260/klagomålsmail/A 62861-2021 FSC-klagomål mail.docx", "A 62861-2021")</f>
        <v/>
      </c>
      <c r="X157">
        <f>HYPERLINK("https://klasma.github.io/Logging_2260/tillsyn/A 62861-2021 tillsynsbegäran.docx", "A 62861-2021")</f>
        <v/>
      </c>
      <c r="Y157">
        <f>HYPERLINK("https://klasma.github.io/Logging_2260/tillsynsmail/A 62861-2021 tillsynsbegäran mail.docx", "A 62861-2021")</f>
        <v/>
      </c>
    </row>
    <row r="158" ht="15" customHeight="1">
      <c r="A158" t="inlineStr">
        <is>
          <t>A 25034-2024</t>
        </is>
      </c>
      <c r="B158" s="1" t="n">
        <v>45461.96458333333</v>
      </c>
      <c r="C158" s="1" t="n">
        <v>46032</v>
      </c>
      <c r="D158" t="inlineStr">
        <is>
          <t>VÄSTERNORRLANDS LÄN</t>
        </is>
      </c>
      <c r="E158" t="inlineStr">
        <is>
          <t>ÅNGE</t>
        </is>
      </c>
      <c r="F158" t="inlineStr">
        <is>
          <t>SCA</t>
        </is>
      </c>
      <c r="G158" t="n">
        <v>3.3</v>
      </c>
      <c r="H158" t="n">
        <v>0</v>
      </c>
      <c r="I158" t="n">
        <v>0</v>
      </c>
      <c r="J158" t="n">
        <v>2</v>
      </c>
      <c r="K158" t="n">
        <v>0</v>
      </c>
      <c r="L158" t="n">
        <v>0</v>
      </c>
      <c r="M158" t="n">
        <v>0</v>
      </c>
      <c r="N158" t="n">
        <v>0</v>
      </c>
      <c r="O158" t="n">
        <v>2</v>
      </c>
      <c r="P158" t="n">
        <v>0</v>
      </c>
      <c r="Q158" t="n">
        <v>2</v>
      </c>
      <c r="R158" s="2" t="inlineStr">
        <is>
          <t>Rosenticka
Ullticka</t>
        </is>
      </c>
      <c r="S158">
        <f>HYPERLINK("https://klasma.github.io/Logging_2260/artfynd/A 25034-2024 artfynd.xlsx", "A 25034-2024")</f>
        <v/>
      </c>
      <c r="T158">
        <f>HYPERLINK("https://klasma.github.io/Logging_2260/kartor/A 25034-2024 karta.png", "A 25034-2024")</f>
        <v/>
      </c>
      <c r="V158">
        <f>HYPERLINK("https://klasma.github.io/Logging_2260/klagomål/A 25034-2024 FSC-klagomål.docx", "A 25034-2024")</f>
        <v/>
      </c>
      <c r="W158">
        <f>HYPERLINK("https://klasma.github.io/Logging_2260/klagomålsmail/A 25034-2024 FSC-klagomål mail.docx", "A 25034-2024")</f>
        <v/>
      </c>
      <c r="X158">
        <f>HYPERLINK("https://klasma.github.io/Logging_2260/tillsyn/A 25034-2024 tillsynsbegäran.docx", "A 25034-2024")</f>
        <v/>
      </c>
      <c r="Y158">
        <f>HYPERLINK("https://klasma.github.io/Logging_2260/tillsynsmail/A 25034-2024 tillsynsbegäran mail.docx", "A 25034-2024")</f>
        <v/>
      </c>
    </row>
    <row r="159" ht="15" customHeight="1">
      <c r="A159" t="inlineStr">
        <is>
          <t>A 48374-2024</t>
        </is>
      </c>
      <c r="B159" s="1" t="n">
        <v>45590.58028935185</v>
      </c>
      <c r="C159" s="1" t="n">
        <v>46032</v>
      </c>
      <c r="D159" t="inlineStr">
        <is>
          <t>VÄSTERNORRLANDS LÄN</t>
        </is>
      </c>
      <c r="E159" t="inlineStr">
        <is>
          <t>ÅNGE</t>
        </is>
      </c>
      <c r="G159" t="n">
        <v>6.6</v>
      </c>
      <c r="H159" t="n">
        <v>0</v>
      </c>
      <c r="I159" t="n">
        <v>1</v>
      </c>
      <c r="J159" t="n">
        <v>1</v>
      </c>
      <c r="K159" t="n">
        <v>0</v>
      </c>
      <c r="L159" t="n">
        <v>0</v>
      </c>
      <c r="M159" t="n">
        <v>0</v>
      </c>
      <c r="N159" t="n">
        <v>0</v>
      </c>
      <c r="O159" t="n">
        <v>1</v>
      </c>
      <c r="P159" t="n">
        <v>0</v>
      </c>
      <c r="Q159" t="n">
        <v>2</v>
      </c>
      <c r="R159" s="2" t="inlineStr">
        <is>
          <t>Kolflarnlav
Bollvitmossa</t>
        </is>
      </c>
      <c r="S159">
        <f>HYPERLINK("https://klasma.github.io/Logging_2260/artfynd/A 48374-2024 artfynd.xlsx", "A 48374-2024")</f>
        <v/>
      </c>
      <c r="T159">
        <f>HYPERLINK("https://klasma.github.io/Logging_2260/kartor/A 48374-2024 karta.png", "A 48374-2024")</f>
        <v/>
      </c>
      <c r="V159">
        <f>HYPERLINK("https://klasma.github.io/Logging_2260/klagomål/A 48374-2024 FSC-klagomål.docx", "A 48374-2024")</f>
        <v/>
      </c>
      <c r="W159">
        <f>HYPERLINK("https://klasma.github.io/Logging_2260/klagomålsmail/A 48374-2024 FSC-klagomål mail.docx", "A 48374-2024")</f>
        <v/>
      </c>
      <c r="X159">
        <f>HYPERLINK("https://klasma.github.io/Logging_2260/tillsyn/A 48374-2024 tillsynsbegäran.docx", "A 48374-2024")</f>
        <v/>
      </c>
      <c r="Y159">
        <f>HYPERLINK("https://klasma.github.io/Logging_2260/tillsynsmail/A 48374-2024 tillsynsbegäran mail.docx", "A 48374-2024")</f>
        <v/>
      </c>
    </row>
    <row r="160" ht="15" customHeight="1">
      <c r="A160" t="inlineStr">
        <is>
          <t>A 55178-2024</t>
        </is>
      </c>
      <c r="B160" s="1" t="n">
        <v>45621</v>
      </c>
      <c r="C160" s="1" t="n">
        <v>46032</v>
      </c>
      <c r="D160" t="inlineStr">
        <is>
          <t>VÄSTERNORRLANDS LÄN</t>
        </is>
      </c>
      <c r="E160" t="inlineStr">
        <is>
          <t>ÅNGE</t>
        </is>
      </c>
      <c r="F160" t="inlineStr">
        <is>
          <t>SCA</t>
        </is>
      </c>
      <c r="G160" t="n">
        <v>4.8</v>
      </c>
      <c r="H160" t="n">
        <v>1</v>
      </c>
      <c r="I160" t="n">
        <v>0</v>
      </c>
      <c r="J160" t="n">
        <v>1</v>
      </c>
      <c r="K160" t="n">
        <v>1</v>
      </c>
      <c r="L160" t="n">
        <v>0</v>
      </c>
      <c r="M160" t="n">
        <v>0</v>
      </c>
      <c r="N160" t="n">
        <v>0</v>
      </c>
      <c r="O160" t="n">
        <v>2</v>
      </c>
      <c r="P160" t="n">
        <v>1</v>
      </c>
      <c r="Q160" t="n">
        <v>2</v>
      </c>
      <c r="R160" s="2" t="inlineStr">
        <is>
          <t>Knärot
Stiftgelélav</t>
        </is>
      </c>
      <c r="S160">
        <f>HYPERLINK("https://klasma.github.io/Logging_2260/artfynd/A 55178-2024 artfynd.xlsx", "A 55178-2024")</f>
        <v/>
      </c>
      <c r="T160">
        <f>HYPERLINK("https://klasma.github.io/Logging_2260/kartor/A 55178-2024 karta.png", "A 55178-2024")</f>
        <v/>
      </c>
      <c r="U160">
        <f>HYPERLINK("https://klasma.github.io/Logging_2260/knärot/A 55178-2024 karta knärot.png", "A 55178-2024")</f>
        <v/>
      </c>
      <c r="V160">
        <f>HYPERLINK("https://klasma.github.io/Logging_2260/klagomål/A 55178-2024 FSC-klagomål.docx", "A 55178-2024")</f>
        <v/>
      </c>
      <c r="W160">
        <f>HYPERLINK("https://klasma.github.io/Logging_2260/klagomålsmail/A 55178-2024 FSC-klagomål mail.docx", "A 55178-2024")</f>
        <v/>
      </c>
      <c r="X160">
        <f>HYPERLINK("https://klasma.github.io/Logging_2260/tillsyn/A 55178-2024 tillsynsbegäran.docx", "A 55178-2024")</f>
        <v/>
      </c>
      <c r="Y160">
        <f>HYPERLINK("https://klasma.github.io/Logging_2260/tillsynsmail/A 55178-2024 tillsynsbegäran mail.docx", "A 55178-2024")</f>
        <v/>
      </c>
    </row>
    <row r="161" ht="15" customHeight="1">
      <c r="A161" t="inlineStr">
        <is>
          <t>A 49871-2024</t>
        </is>
      </c>
      <c r="B161" s="1" t="n">
        <v>45597.4903125</v>
      </c>
      <c r="C161" s="1" t="n">
        <v>46032</v>
      </c>
      <c r="D161" t="inlineStr">
        <is>
          <t>VÄSTERNORRLANDS LÄN</t>
        </is>
      </c>
      <c r="E161" t="inlineStr">
        <is>
          <t>ÅNGE</t>
        </is>
      </c>
      <c r="F161" t="inlineStr">
        <is>
          <t>SCA</t>
        </is>
      </c>
      <c r="G161" t="n">
        <v>6.3</v>
      </c>
      <c r="H161" t="n">
        <v>1</v>
      </c>
      <c r="I161" t="n">
        <v>0</v>
      </c>
      <c r="J161" t="n">
        <v>1</v>
      </c>
      <c r="K161" t="n">
        <v>1</v>
      </c>
      <c r="L161" t="n">
        <v>0</v>
      </c>
      <c r="M161" t="n">
        <v>0</v>
      </c>
      <c r="N161" t="n">
        <v>0</v>
      </c>
      <c r="O161" t="n">
        <v>2</v>
      </c>
      <c r="P161" t="n">
        <v>1</v>
      </c>
      <c r="Q161" t="n">
        <v>2</v>
      </c>
      <c r="R161" s="2" t="inlineStr">
        <is>
          <t>Knärot
Garnlav</t>
        </is>
      </c>
      <c r="S161">
        <f>HYPERLINK("https://klasma.github.io/Logging_2260/artfynd/A 49871-2024 artfynd.xlsx", "A 49871-2024")</f>
        <v/>
      </c>
      <c r="T161">
        <f>HYPERLINK("https://klasma.github.io/Logging_2260/kartor/A 49871-2024 karta.png", "A 49871-2024")</f>
        <v/>
      </c>
      <c r="U161">
        <f>HYPERLINK("https://klasma.github.io/Logging_2260/knärot/A 49871-2024 karta knärot.png", "A 49871-2024")</f>
        <v/>
      </c>
      <c r="V161">
        <f>HYPERLINK("https://klasma.github.io/Logging_2260/klagomål/A 49871-2024 FSC-klagomål.docx", "A 49871-2024")</f>
        <v/>
      </c>
      <c r="W161">
        <f>HYPERLINK("https://klasma.github.io/Logging_2260/klagomålsmail/A 49871-2024 FSC-klagomål mail.docx", "A 49871-2024")</f>
        <v/>
      </c>
      <c r="X161">
        <f>HYPERLINK("https://klasma.github.io/Logging_2260/tillsyn/A 49871-2024 tillsynsbegäran.docx", "A 49871-2024")</f>
        <v/>
      </c>
      <c r="Y161">
        <f>HYPERLINK("https://klasma.github.io/Logging_2260/tillsynsmail/A 49871-2024 tillsynsbegäran mail.docx", "A 49871-2024")</f>
        <v/>
      </c>
    </row>
    <row r="162" ht="15" customHeight="1">
      <c r="A162" t="inlineStr">
        <is>
          <t>A 36414-2025</t>
        </is>
      </c>
      <c r="B162" s="1" t="n">
        <v>45868.69246527777</v>
      </c>
      <c r="C162" s="1" t="n">
        <v>46032</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26020-2024</t>
        </is>
      </c>
      <c r="B163" s="1" t="n">
        <v>45467.9603125</v>
      </c>
      <c r="C163" s="1" t="n">
        <v>46032</v>
      </c>
      <c r="D163" t="inlineStr">
        <is>
          <t>VÄSTERNORRLANDS LÄN</t>
        </is>
      </c>
      <c r="E163" t="inlineStr">
        <is>
          <t>ÅNGE</t>
        </is>
      </c>
      <c r="F163" t="inlineStr">
        <is>
          <t>SCA</t>
        </is>
      </c>
      <c r="G163" t="n">
        <v>4.8</v>
      </c>
      <c r="H163" t="n">
        <v>0</v>
      </c>
      <c r="I163" t="n">
        <v>1</v>
      </c>
      <c r="J163" t="n">
        <v>1</v>
      </c>
      <c r="K163" t="n">
        <v>0</v>
      </c>
      <c r="L163" t="n">
        <v>0</v>
      </c>
      <c r="M163" t="n">
        <v>0</v>
      </c>
      <c r="N163" t="n">
        <v>0</v>
      </c>
      <c r="O163" t="n">
        <v>1</v>
      </c>
      <c r="P163" t="n">
        <v>0</v>
      </c>
      <c r="Q163" t="n">
        <v>2</v>
      </c>
      <c r="R163" s="2" t="inlineStr">
        <is>
          <t>Lunglav
Stuplav</t>
        </is>
      </c>
      <c r="S163">
        <f>HYPERLINK("https://klasma.github.io/Logging_2260/artfynd/A 26020-2024 artfynd.xlsx", "A 26020-2024")</f>
        <v/>
      </c>
      <c r="T163">
        <f>HYPERLINK("https://klasma.github.io/Logging_2260/kartor/A 26020-2024 karta.png", "A 26020-2024")</f>
        <v/>
      </c>
      <c r="V163">
        <f>HYPERLINK("https://klasma.github.io/Logging_2260/klagomål/A 26020-2024 FSC-klagomål.docx", "A 26020-2024")</f>
        <v/>
      </c>
      <c r="W163">
        <f>HYPERLINK("https://klasma.github.io/Logging_2260/klagomålsmail/A 26020-2024 FSC-klagomål mail.docx", "A 26020-2024")</f>
        <v/>
      </c>
      <c r="X163">
        <f>HYPERLINK("https://klasma.github.io/Logging_2260/tillsyn/A 26020-2024 tillsynsbegäran.docx", "A 26020-2024")</f>
        <v/>
      </c>
      <c r="Y163">
        <f>HYPERLINK("https://klasma.github.io/Logging_2260/tillsynsmail/A 26020-2024 tillsynsbegäran mail.docx", "A 26020-2024")</f>
        <v/>
      </c>
    </row>
    <row r="164" ht="15" customHeight="1">
      <c r="A164" t="inlineStr">
        <is>
          <t>A 37800-2025</t>
        </is>
      </c>
      <c r="B164" s="1" t="n">
        <v>45881.34420138889</v>
      </c>
      <c r="C164" s="1" t="n">
        <v>46032</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38298-2025</t>
        </is>
      </c>
      <c r="B165" s="1" t="n">
        <v>45883.4568287037</v>
      </c>
      <c r="C165" s="1" t="n">
        <v>46032</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8324-2025</t>
        </is>
      </c>
      <c r="B166" s="1" t="n">
        <v>45708.63621527778</v>
      </c>
      <c r="C166" s="1" t="n">
        <v>46032</v>
      </c>
      <c r="D166" t="inlineStr">
        <is>
          <t>VÄSTERNORRLANDS LÄN</t>
        </is>
      </c>
      <c r="E166" t="inlineStr">
        <is>
          <t>ÅNGE</t>
        </is>
      </c>
      <c r="F166" t="inlineStr">
        <is>
          <t>SCA</t>
        </is>
      </c>
      <c r="G166" t="n">
        <v>7.8</v>
      </c>
      <c r="H166" t="n">
        <v>0</v>
      </c>
      <c r="I166" t="n">
        <v>1</v>
      </c>
      <c r="J166" t="n">
        <v>1</v>
      </c>
      <c r="K166" t="n">
        <v>0</v>
      </c>
      <c r="L166" t="n">
        <v>0</v>
      </c>
      <c r="M166" t="n">
        <v>0</v>
      </c>
      <c r="N166" t="n">
        <v>0</v>
      </c>
      <c r="O166" t="n">
        <v>1</v>
      </c>
      <c r="P166" t="n">
        <v>0</v>
      </c>
      <c r="Q166" t="n">
        <v>2</v>
      </c>
      <c r="R166" s="2" t="inlineStr">
        <is>
          <t>Vitgrynig nållav
Bollvitmossa</t>
        </is>
      </c>
      <c r="S166">
        <f>HYPERLINK("https://klasma.github.io/Logging_2260/artfynd/A 8324-2025 artfynd.xlsx", "A 8324-2025")</f>
        <v/>
      </c>
      <c r="T166">
        <f>HYPERLINK("https://klasma.github.io/Logging_2260/kartor/A 8324-2025 karta.png", "A 8324-2025")</f>
        <v/>
      </c>
      <c r="V166">
        <f>HYPERLINK("https://klasma.github.io/Logging_2260/klagomål/A 8324-2025 FSC-klagomål.docx", "A 8324-2025")</f>
        <v/>
      </c>
      <c r="W166">
        <f>HYPERLINK("https://klasma.github.io/Logging_2260/klagomålsmail/A 8324-2025 FSC-klagomål mail.docx", "A 8324-2025")</f>
        <v/>
      </c>
      <c r="X166">
        <f>HYPERLINK("https://klasma.github.io/Logging_2260/tillsyn/A 8324-2025 tillsynsbegäran.docx", "A 8324-2025")</f>
        <v/>
      </c>
      <c r="Y166">
        <f>HYPERLINK("https://klasma.github.io/Logging_2260/tillsynsmail/A 8324-2025 tillsynsbegäran mail.docx", "A 8324-2025")</f>
        <v/>
      </c>
    </row>
    <row r="167" ht="15" customHeight="1">
      <c r="A167" t="inlineStr">
        <is>
          <t>A 54625-2025</t>
        </is>
      </c>
      <c r="B167" s="1" t="n">
        <v>45966.34552083333</v>
      </c>
      <c r="C167" s="1" t="n">
        <v>46032</v>
      </c>
      <c r="D167" t="inlineStr">
        <is>
          <t>VÄSTERNORRLANDS LÄN</t>
        </is>
      </c>
      <c r="E167" t="inlineStr">
        <is>
          <t>ÅNGE</t>
        </is>
      </c>
      <c r="F167" t="inlineStr">
        <is>
          <t>SCA</t>
        </is>
      </c>
      <c r="G167" t="n">
        <v>2.5</v>
      </c>
      <c r="H167" t="n">
        <v>1</v>
      </c>
      <c r="I167" t="n">
        <v>1</v>
      </c>
      <c r="J167" t="n">
        <v>1</v>
      </c>
      <c r="K167" t="n">
        <v>0</v>
      </c>
      <c r="L167" t="n">
        <v>0</v>
      </c>
      <c r="M167" t="n">
        <v>0</v>
      </c>
      <c r="N167" t="n">
        <v>0</v>
      </c>
      <c r="O167" t="n">
        <v>1</v>
      </c>
      <c r="P167" t="n">
        <v>0</v>
      </c>
      <c r="Q167" t="n">
        <v>2</v>
      </c>
      <c r="R167" s="2" t="inlineStr">
        <is>
          <t>Talltita
Dropptaggsvamp</t>
        </is>
      </c>
      <c r="S167">
        <f>HYPERLINK("https://klasma.github.io/Logging_2260/artfynd/A 54625-2025 artfynd.xlsx", "A 54625-2025")</f>
        <v/>
      </c>
      <c r="T167">
        <f>HYPERLINK("https://klasma.github.io/Logging_2260/kartor/A 54625-2025 karta.png", "A 54625-2025")</f>
        <v/>
      </c>
      <c r="V167">
        <f>HYPERLINK("https://klasma.github.io/Logging_2260/klagomål/A 54625-2025 FSC-klagomål.docx", "A 54625-2025")</f>
        <v/>
      </c>
      <c r="W167">
        <f>HYPERLINK("https://klasma.github.io/Logging_2260/klagomålsmail/A 54625-2025 FSC-klagomål mail.docx", "A 54625-2025")</f>
        <v/>
      </c>
      <c r="X167">
        <f>HYPERLINK("https://klasma.github.io/Logging_2260/tillsyn/A 54625-2025 tillsynsbegäran.docx", "A 54625-2025")</f>
        <v/>
      </c>
      <c r="Y167">
        <f>HYPERLINK("https://klasma.github.io/Logging_2260/tillsynsmail/A 54625-2025 tillsynsbegäran mail.docx", "A 54625-2025")</f>
        <v/>
      </c>
      <c r="Z167">
        <f>HYPERLINK("https://klasma.github.io/Logging_2260/fåglar/A 54625-2025 prioriterade fågelarter.docx", "A 54625-2025")</f>
        <v/>
      </c>
    </row>
    <row r="168" ht="15" customHeight="1">
      <c r="A168" t="inlineStr">
        <is>
          <t>A 48695-2024</t>
        </is>
      </c>
      <c r="B168" s="1" t="n">
        <v>45593.5109837963</v>
      </c>
      <c r="C168" s="1" t="n">
        <v>46032</v>
      </c>
      <c r="D168" t="inlineStr">
        <is>
          <t>VÄSTERNORRLANDS LÄN</t>
        </is>
      </c>
      <c r="E168" t="inlineStr">
        <is>
          <t>ÅNGE</t>
        </is>
      </c>
      <c r="F168" t="inlineStr">
        <is>
          <t>SCA</t>
        </is>
      </c>
      <c r="G168" t="n">
        <v>1.2</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48695-2024 artfynd.xlsx", "A 48695-2024")</f>
        <v/>
      </c>
      <c r="T168">
        <f>HYPERLINK("https://klasma.github.io/Logging_2260/kartor/A 48695-2024 karta.png", "A 48695-2024")</f>
        <v/>
      </c>
      <c r="V168">
        <f>HYPERLINK("https://klasma.github.io/Logging_2260/klagomål/A 48695-2024 FSC-klagomål.docx", "A 48695-2024")</f>
        <v/>
      </c>
      <c r="W168">
        <f>HYPERLINK("https://klasma.github.io/Logging_2260/klagomålsmail/A 48695-2024 FSC-klagomål mail.docx", "A 48695-2024")</f>
        <v/>
      </c>
      <c r="X168">
        <f>HYPERLINK("https://klasma.github.io/Logging_2260/tillsyn/A 48695-2024 tillsynsbegäran.docx", "A 48695-2024")</f>
        <v/>
      </c>
      <c r="Y168">
        <f>HYPERLINK("https://klasma.github.io/Logging_2260/tillsynsmail/A 48695-2024 tillsynsbegäran mail.docx", "A 48695-2024")</f>
        <v/>
      </c>
    </row>
    <row r="169" ht="15" customHeight="1">
      <c r="A169" t="inlineStr">
        <is>
          <t>A 4873-2025</t>
        </is>
      </c>
      <c r="B169" s="1" t="n">
        <v>45688.67633101852</v>
      </c>
      <c r="C169" s="1" t="n">
        <v>46032</v>
      </c>
      <c r="D169" t="inlineStr">
        <is>
          <t>VÄSTERNORRLANDS LÄN</t>
        </is>
      </c>
      <c r="E169" t="inlineStr">
        <is>
          <t>ÅNGE</t>
        </is>
      </c>
      <c r="F169" t="inlineStr">
        <is>
          <t>SCA</t>
        </is>
      </c>
      <c r="G169" t="n">
        <v>3.3</v>
      </c>
      <c r="H169" t="n">
        <v>0</v>
      </c>
      <c r="I169" t="n">
        <v>0</v>
      </c>
      <c r="J169" t="n">
        <v>2</v>
      </c>
      <c r="K169" t="n">
        <v>0</v>
      </c>
      <c r="L169" t="n">
        <v>0</v>
      </c>
      <c r="M169" t="n">
        <v>0</v>
      </c>
      <c r="N169" t="n">
        <v>0</v>
      </c>
      <c r="O169" t="n">
        <v>2</v>
      </c>
      <c r="P169" t="n">
        <v>0</v>
      </c>
      <c r="Q169" t="n">
        <v>2</v>
      </c>
      <c r="R169" s="2" t="inlineStr">
        <is>
          <t>Garnlav
Vitgrynig nållav</t>
        </is>
      </c>
      <c r="S169">
        <f>HYPERLINK("https://klasma.github.io/Logging_2260/artfynd/A 4873-2025 artfynd.xlsx", "A 4873-2025")</f>
        <v/>
      </c>
      <c r="T169">
        <f>HYPERLINK("https://klasma.github.io/Logging_2260/kartor/A 4873-2025 karta.png", "A 4873-2025")</f>
        <v/>
      </c>
      <c r="V169">
        <f>HYPERLINK("https://klasma.github.io/Logging_2260/klagomål/A 4873-2025 FSC-klagomål.docx", "A 4873-2025")</f>
        <v/>
      </c>
      <c r="W169">
        <f>HYPERLINK("https://klasma.github.io/Logging_2260/klagomålsmail/A 4873-2025 FSC-klagomål mail.docx", "A 4873-2025")</f>
        <v/>
      </c>
      <c r="X169">
        <f>HYPERLINK("https://klasma.github.io/Logging_2260/tillsyn/A 4873-2025 tillsynsbegäran.docx", "A 4873-2025")</f>
        <v/>
      </c>
      <c r="Y169">
        <f>HYPERLINK("https://klasma.github.io/Logging_2260/tillsynsmail/A 4873-2025 tillsynsbegäran mail.docx", "A 4873-2025")</f>
        <v/>
      </c>
    </row>
    <row r="170" ht="15" customHeight="1">
      <c r="A170" t="inlineStr">
        <is>
          <t>A 57089-2024</t>
        </is>
      </c>
      <c r="B170" s="1" t="n">
        <v>45629.35665509259</v>
      </c>
      <c r="C170" s="1" t="n">
        <v>46032</v>
      </c>
      <c r="D170" t="inlineStr">
        <is>
          <t>VÄSTERNORRLANDS LÄN</t>
        </is>
      </c>
      <c r="E170" t="inlineStr">
        <is>
          <t>ÅNGE</t>
        </is>
      </c>
      <c r="F170" t="inlineStr">
        <is>
          <t>SCA</t>
        </is>
      </c>
      <c r="G170" t="n">
        <v>1.5</v>
      </c>
      <c r="H170" t="n">
        <v>0</v>
      </c>
      <c r="I170" t="n">
        <v>0</v>
      </c>
      <c r="J170" t="n">
        <v>2</v>
      </c>
      <c r="K170" t="n">
        <v>0</v>
      </c>
      <c r="L170" t="n">
        <v>0</v>
      </c>
      <c r="M170" t="n">
        <v>0</v>
      </c>
      <c r="N170" t="n">
        <v>0</v>
      </c>
      <c r="O170" t="n">
        <v>2</v>
      </c>
      <c r="P170" t="n">
        <v>0</v>
      </c>
      <c r="Q170" t="n">
        <v>2</v>
      </c>
      <c r="R170" s="2" t="inlineStr">
        <is>
          <t>Lunglav
Ullticka</t>
        </is>
      </c>
      <c r="S170">
        <f>HYPERLINK("https://klasma.github.io/Logging_2260/artfynd/A 57089-2024 artfynd.xlsx", "A 57089-2024")</f>
        <v/>
      </c>
      <c r="T170">
        <f>HYPERLINK("https://klasma.github.io/Logging_2260/kartor/A 57089-2024 karta.png", "A 57089-2024")</f>
        <v/>
      </c>
      <c r="V170">
        <f>HYPERLINK("https://klasma.github.io/Logging_2260/klagomål/A 57089-2024 FSC-klagomål.docx", "A 57089-2024")</f>
        <v/>
      </c>
      <c r="W170">
        <f>HYPERLINK("https://klasma.github.io/Logging_2260/klagomålsmail/A 57089-2024 FSC-klagomål mail.docx", "A 57089-2024")</f>
        <v/>
      </c>
      <c r="X170">
        <f>HYPERLINK("https://klasma.github.io/Logging_2260/tillsyn/A 57089-2024 tillsynsbegäran.docx", "A 57089-2024")</f>
        <v/>
      </c>
      <c r="Y170">
        <f>HYPERLINK("https://klasma.github.io/Logging_2260/tillsynsmail/A 57089-2024 tillsynsbegäran mail.docx", "A 57089-2024")</f>
        <v/>
      </c>
    </row>
    <row r="171" ht="15" customHeight="1">
      <c r="A171" t="inlineStr">
        <is>
          <t>A 47719-2024</t>
        </is>
      </c>
      <c r="B171" s="1" t="n">
        <v>45588.48996527777</v>
      </c>
      <c r="C171" s="1" t="n">
        <v>46032</v>
      </c>
      <c r="D171" t="inlineStr">
        <is>
          <t>VÄSTERNORRLANDS LÄN</t>
        </is>
      </c>
      <c r="E171" t="inlineStr">
        <is>
          <t>ÅNGE</t>
        </is>
      </c>
      <c r="F171" t="inlineStr">
        <is>
          <t>SCA</t>
        </is>
      </c>
      <c r="G171" t="n">
        <v>1.4</v>
      </c>
      <c r="H171" t="n">
        <v>0</v>
      </c>
      <c r="I171" t="n">
        <v>0</v>
      </c>
      <c r="J171" t="n">
        <v>2</v>
      </c>
      <c r="K171" t="n">
        <v>0</v>
      </c>
      <c r="L171" t="n">
        <v>0</v>
      </c>
      <c r="M171" t="n">
        <v>0</v>
      </c>
      <c r="N171" t="n">
        <v>0</v>
      </c>
      <c r="O171" t="n">
        <v>2</v>
      </c>
      <c r="P171" t="n">
        <v>0</v>
      </c>
      <c r="Q171" t="n">
        <v>2</v>
      </c>
      <c r="R171" s="2" t="inlineStr">
        <is>
          <t>Dvärgbägarlav
Vedskivlav</t>
        </is>
      </c>
      <c r="S171">
        <f>HYPERLINK("https://klasma.github.io/Logging_2260/artfynd/A 47719-2024 artfynd.xlsx", "A 47719-2024")</f>
        <v/>
      </c>
      <c r="T171">
        <f>HYPERLINK("https://klasma.github.io/Logging_2260/kartor/A 47719-2024 karta.png", "A 47719-2024")</f>
        <v/>
      </c>
      <c r="V171">
        <f>HYPERLINK("https://klasma.github.io/Logging_2260/klagomål/A 47719-2024 FSC-klagomål.docx", "A 47719-2024")</f>
        <v/>
      </c>
      <c r="W171">
        <f>HYPERLINK("https://klasma.github.io/Logging_2260/klagomålsmail/A 47719-2024 FSC-klagomål mail.docx", "A 47719-2024")</f>
        <v/>
      </c>
      <c r="X171">
        <f>HYPERLINK("https://klasma.github.io/Logging_2260/tillsyn/A 47719-2024 tillsynsbegäran.docx", "A 47719-2024")</f>
        <v/>
      </c>
      <c r="Y171">
        <f>HYPERLINK("https://klasma.github.io/Logging_2260/tillsynsmail/A 47719-2024 tillsynsbegäran mail.docx", "A 47719-2024")</f>
        <v/>
      </c>
    </row>
    <row r="172" ht="15" customHeight="1">
      <c r="A172" t="inlineStr">
        <is>
          <t>A 29325-2023</t>
        </is>
      </c>
      <c r="B172" s="1" t="n">
        <v>45105</v>
      </c>
      <c r="C172" s="1" t="n">
        <v>46032</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57594-2022</t>
        </is>
      </c>
      <c r="B173" s="1" t="n">
        <v>44896.97854166666</v>
      </c>
      <c r="C173" s="1" t="n">
        <v>46032</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4093-2025</t>
        </is>
      </c>
      <c r="B174" s="1" t="n">
        <v>45684.67762731481</v>
      </c>
      <c r="C174" s="1" t="n">
        <v>46032</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31493-2024</t>
        </is>
      </c>
      <c r="B175" s="1" t="n">
        <v>45505</v>
      </c>
      <c r="C175" s="1" t="n">
        <v>46032</v>
      </c>
      <c r="D175" t="inlineStr">
        <is>
          <t>VÄSTERNORRLANDS LÄN</t>
        </is>
      </c>
      <c r="E175" t="inlineStr">
        <is>
          <t>ÅNGE</t>
        </is>
      </c>
      <c r="F175" t="inlineStr">
        <is>
          <t>SCA</t>
        </is>
      </c>
      <c r="G175" t="n">
        <v>4.4</v>
      </c>
      <c r="H175" t="n">
        <v>1</v>
      </c>
      <c r="I175" t="n">
        <v>1</v>
      </c>
      <c r="J175" t="n">
        <v>0</v>
      </c>
      <c r="K175" t="n">
        <v>1</v>
      </c>
      <c r="L175" t="n">
        <v>0</v>
      </c>
      <c r="M175" t="n">
        <v>0</v>
      </c>
      <c r="N175" t="n">
        <v>0</v>
      </c>
      <c r="O175" t="n">
        <v>1</v>
      </c>
      <c r="P175" t="n">
        <v>1</v>
      </c>
      <c r="Q175" t="n">
        <v>2</v>
      </c>
      <c r="R175" s="2" t="inlineStr">
        <is>
          <t>Knärot
Korallblylav</t>
        </is>
      </c>
      <c r="S175">
        <f>HYPERLINK("https://klasma.github.io/Logging_2260/artfynd/A 31493-2024 artfynd.xlsx", "A 31493-2024")</f>
        <v/>
      </c>
      <c r="T175">
        <f>HYPERLINK("https://klasma.github.io/Logging_2260/kartor/A 31493-2024 karta.png", "A 31493-2024")</f>
        <v/>
      </c>
      <c r="U175">
        <f>HYPERLINK("https://klasma.github.io/Logging_2260/knärot/A 31493-2024 karta knärot.png", "A 31493-2024")</f>
        <v/>
      </c>
      <c r="V175">
        <f>HYPERLINK("https://klasma.github.io/Logging_2260/klagomål/A 31493-2024 FSC-klagomål.docx", "A 31493-2024")</f>
        <v/>
      </c>
      <c r="W175">
        <f>HYPERLINK("https://klasma.github.io/Logging_2260/klagomålsmail/A 31493-2024 FSC-klagomål mail.docx", "A 31493-2024")</f>
        <v/>
      </c>
      <c r="X175">
        <f>HYPERLINK("https://klasma.github.io/Logging_2260/tillsyn/A 31493-2024 tillsynsbegäran.docx", "A 31493-2024")</f>
        <v/>
      </c>
      <c r="Y175">
        <f>HYPERLINK("https://klasma.github.io/Logging_2260/tillsynsmail/A 31493-2024 tillsynsbegäran mail.docx", "A 31493-2024")</f>
        <v/>
      </c>
    </row>
    <row r="176" ht="15" customHeight="1">
      <c r="A176" t="inlineStr">
        <is>
          <t>A 165-2025</t>
        </is>
      </c>
      <c r="B176" s="1" t="n">
        <v>45659</v>
      </c>
      <c r="C176" s="1" t="n">
        <v>46032</v>
      </c>
      <c r="D176" t="inlineStr">
        <is>
          <t>VÄSTERNORRLANDS LÄN</t>
        </is>
      </c>
      <c r="E176" t="inlineStr">
        <is>
          <t>ÅNGE</t>
        </is>
      </c>
      <c r="G176" t="n">
        <v>13.9</v>
      </c>
      <c r="H176" t="n">
        <v>1</v>
      </c>
      <c r="I176" t="n">
        <v>0</v>
      </c>
      <c r="J176" t="n">
        <v>2</v>
      </c>
      <c r="K176" t="n">
        <v>0</v>
      </c>
      <c r="L176" t="n">
        <v>0</v>
      </c>
      <c r="M176" t="n">
        <v>0</v>
      </c>
      <c r="N176" t="n">
        <v>0</v>
      </c>
      <c r="O176" t="n">
        <v>2</v>
      </c>
      <c r="P176" t="n">
        <v>0</v>
      </c>
      <c r="Q176" t="n">
        <v>2</v>
      </c>
      <c r="R176" s="2" t="inlineStr">
        <is>
          <t>Doftskinn
Tretåig hackspett</t>
        </is>
      </c>
      <c r="S176">
        <f>HYPERLINK("https://klasma.github.io/Logging_2260/artfynd/A 165-2025 artfynd.xlsx", "A 165-2025")</f>
        <v/>
      </c>
      <c r="T176">
        <f>HYPERLINK("https://klasma.github.io/Logging_2260/kartor/A 165-2025 karta.png", "A 165-2025")</f>
        <v/>
      </c>
      <c r="V176">
        <f>HYPERLINK("https://klasma.github.io/Logging_2260/klagomål/A 165-2025 FSC-klagomål.docx", "A 165-2025")</f>
        <v/>
      </c>
      <c r="W176">
        <f>HYPERLINK("https://klasma.github.io/Logging_2260/klagomålsmail/A 165-2025 FSC-klagomål mail.docx", "A 165-2025")</f>
        <v/>
      </c>
      <c r="X176">
        <f>HYPERLINK("https://klasma.github.io/Logging_2260/tillsyn/A 165-2025 tillsynsbegäran.docx", "A 165-2025")</f>
        <v/>
      </c>
      <c r="Y176">
        <f>HYPERLINK("https://klasma.github.io/Logging_2260/tillsynsmail/A 165-2025 tillsynsbegäran mail.docx", "A 165-2025")</f>
        <v/>
      </c>
      <c r="Z176">
        <f>HYPERLINK("https://klasma.github.io/Logging_2260/fåglar/A 165-2025 prioriterade fågelarter.docx", "A 165-2025")</f>
        <v/>
      </c>
    </row>
    <row r="177" ht="15" customHeight="1">
      <c r="A177" t="inlineStr">
        <is>
          <t>A 17861-2023</t>
        </is>
      </c>
      <c r="B177" s="1" t="n">
        <v>45037.94171296297</v>
      </c>
      <c r="C177" s="1" t="n">
        <v>46032</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32659-2024</t>
        </is>
      </c>
      <c r="B178" s="1" t="n">
        <v>45513</v>
      </c>
      <c r="C178" s="1" t="n">
        <v>46032</v>
      </c>
      <c r="D178" t="inlineStr">
        <is>
          <t>VÄSTERNORRLANDS LÄN</t>
        </is>
      </c>
      <c r="E178" t="inlineStr">
        <is>
          <t>ÅNGE</t>
        </is>
      </c>
      <c r="F178" t="inlineStr">
        <is>
          <t>SCA</t>
        </is>
      </c>
      <c r="G178" t="n">
        <v>6.9</v>
      </c>
      <c r="H178" t="n">
        <v>0</v>
      </c>
      <c r="I178" t="n">
        <v>0</v>
      </c>
      <c r="J178" t="n">
        <v>2</v>
      </c>
      <c r="K178" t="n">
        <v>0</v>
      </c>
      <c r="L178" t="n">
        <v>0</v>
      </c>
      <c r="M178" t="n">
        <v>0</v>
      </c>
      <c r="N178" t="n">
        <v>0</v>
      </c>
      <c r="O178" t="n">
        <v>2</v>
      </c>
      <c r="P178" t="n">
        <v>0</v>
      </c>
      <c r="Q178" t="n">
        <v>2</v>
      </c>
      <c r="R178" s="2" t="inlineStr">
        <is>
          <t>Lunglav
Stjärntagging</t>
        </is>
      </c>
      <c r="S178">
        <f>HYPERLINK("https://klasma.github.io/Logging_2260/artfynd/A 32659-2024 artfynd.xlsx", "A 32659-2024")</f>
        <v/>
      </c>
      <c r="T178">
        <f>HYPERLINK("https://klasma.github.io/Logging_2260/kartor/A 32659-2024 karta.png", "A 32659-2024")</f>
        <v/>
      </c>
      <c r="V178">
        <f>HYPERLINK("https://klasma.github.io/Logging_2260/klagomål/A 32659-2024 FSC-klagomål.docx", "A 32659-2024")</f>
        <v/>
      </c>
      <c r="W178">
        <f>HYPERLINK("https://klasma.github.io/Logging_2260/klagomålsmail/A 32659-2024 FSC-klagomål mail.docx", "A 32659-2024")</f>
        <v/>
      </c>
      <c r="X178">
        <f>HYPERLINK("https://klasma.github.io/Logging_2260/tillsyn/A 32659-2024 tillsynsbegäran.docx", "A 32659-2024")</f>
        <v/>
      </c>
      <c r="Y178">
        <f>HYPERLINK("https://klasma.github.io/Logging_2260/tillsynsmail/A 32659-2024 tillsynsbegäran mail.docx", "A 32659-2024")</f>
        <v/>
      </c>
    </row>
    <row r="179" ht="15" customHeight="1">
      <c r="A179" t="inlineStr">
        <is>
          <t>A 20367-2022</t>
        </is>
      </c>
      <c r="B179" s="1" t="n">
        <v>44699</v>
      </c>
      <c r="C179" s="1" t="n">
        <v>46032</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46032</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46032</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46032</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46032</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46032</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23490-2025</t>
        </is>
      </c>
      <c r="B185" s="1" t="n">
        <v>45792.46907407408</v>
      </c>
      <c r="C185" s="1" t="n">
        <v>46032</v>
      </c>
      <c r="D185" t="inlineStr">
        <is>
          <t>VÄSTERNORRLANDS LÄN</t>
        </is>
      </c>
      <c r="E185" t="inlineStr">
        <is>
          <t>ÅNGE</t>
        </is>
      </c>
      <c r="F185" t="inlineStr">
        <is>
          <t>SCA</t>
        </is>
      </c>
      <c r="G185" t="n">
        <v>3.3</v>
      </c>
      <c r="H185" t="n">
        <v>0</v>
      </c>
      <c r="I185" t="n">
        <v>0</v>
      </c>
      <c r="J185" t="n">
        <v>1</v>
      </c>
      <c r="K185" t="n">
        <v>0</v>
      </c>
      <c r="L185" t="n">
        <v>0</v>
      </c>
      <c r="M185" t="n">
        <v>0</v>
      </c>
      <c r="N185" t="n">
        <v>0</v>
      </c>
      <c r="O185" t="n">
        <v>1</v>
      </c>
      <c r="P185" t="n">
        <v>0</v>
      </c>
      <c r="Q185" t="n">
        <v>1</v>
      </c>
      <c r="R185" s="2" t="inlineStr">
        <is>
          <t>Garnlav</t>
        </is>
      </c>
      <c r="S185">
        <f>HYPERLINK("https://klasma.github.io/Logging_2260/artfynd/A 23490-2025 artfynd.xlsx", "A 23490-2025")</f>
        <v/>
      </c>
      <c r="T185">
        <f>HYPERLINK("https://klasma.github.io/Logging_2260/kartor/A 23490-2025 karta.png", "A 23490-2025")</f>
        <v/>
      </c>
      <c r="V185">
        <f>HYPERLINK("https://klasma.github.io/Logging_2260/klagomål/A 23490-2025 FSC-klagomål.docx", "A 23490-2025")</f>
        <v/>
      </c>
      <c r="W185">
        <f>HYPERLINK("https://klasma.github.io/Logging_2260/klagomålsmail/A 23490-2025 FSC-klagomål mail.docx", "A 23490-2025")</f>
        <v/>
      </c>
      <c r="X185">
        <f>HYPERLINK("https://klasma.github.io/Logging_2260/tillsyn/A 23490-2025 tillsynsbegäran.docx", "A 23490-2025")</f>
        <v/>
      </c>
      <c r="Y185">
        <f>HYPERLINK("https://klasma.github.io/Logging_2260/tillsynsmail/A 23490-2025 tillsynsbegäran mail.docx", "A 23490-2025")</f>
        <v/>
      </c>
    </row>
    <row r="186" ht="15" customHeight="1">
      <c r="A186" t="inlineStr">
        <is>
          <t>A 71366-2021</t>
        </is>
      </c>
      <c r="B186" s="1" t="n">
        <v>44539</v>
      </c>
      <c r="C186" s="1" t="n">
        <v>46032</v>
      </c>
      <c r="D186" t="inlineStr">
        <is>
          <t>VÄSTERNORRLANDS LÄN</t>
        </is>
      </c>
      <c r="E186" t="inlineStr">
        <is>
          <t>ÅNGE</t>
        </is>
      </c>
      <c r="F186" t="inlineStr">
        <is>
          <t>SCA</t>
        </is>
      </c>
      <c r="G186" t="n">
        <v>2.3</v>
      </c>
      <c r="H186" t="n">
        <v>1</v>
      </c>
      <c r="I186" t="n">
        <v>0</v>
      </c>
      <c r="J186" t="n">
        <v>0</v>
      </c>
      <c r="K186" t="n">
        <v>1</v>
      </c>
      <c r="L186" t="n">
        <v>0</v>
      </c>
      <c r="M186" t="n">
        <v>0</v>
      </c>
      <c r="N186" t="n">
        <v>0</v>
      </c>
      <c r="O186" t="n">
        <v>1</v>
      </c>
      <c r="P186" t="n">
        <v>1</v>
      </c>
      <c r="Q186" t="n">
        <v>1</v>
      </c>
      <c r="R186" s="2" t="inlineStr">
        <is>
          <t>Knärot</t>
        </is>
      </c>
      <c r="S186">
        <f>HYPERLINK("https://klasma.github.io/Logging_2260/artfynd/A 71366-2021 artfynd.xlsx", "A 71366-2021")</f>
        <v/>
      </c>
      <c r="T186">
        <f>HYPERLINK("https://klasma.github.io/Logging_2260/kartor/A 71366-2021 karta.png", "A 71366-2021")</f>
        <v/>
      </c>
      <c r="U186">
        <f>HYPERLINK("https://klasma.github.io/Logging_2260/knärot/A 71366-2021 karta knärot.png", "A 71366-2021")</f>
        <v/>
      </c>
      <c r="V186">
        <f>HYPERLINK("https://klasma.github.io/Logging_2260/klagomål/A 71366-2021 FSC-klagomål.docx", "A 71366-2021")</f>
        <v/>
      </c>
      <c r="W186">
        <f>HYPERLINK("https://klasma.github.io/Logging_2260/klagomålsmail/A 71366-2021 FSC-klagomål mail.docx", "A 71366-2021")</f>
        <v/>
      </c>
      <c r="X186">
        <f>HYPERLINK("https://klasma.github.io/Logging_2260/tillsyn/A 71366-2021 tillsynsbegäran.docx", "A 71366-2021")</f>
        <v/>
      </c>
      <c r="Y186">
        <f>HYPERLINK("https://klasma.github.io/Logging_2260/tillsynsmail/A 71366-2021 tillsynsbegäran mail.docx", "A 71366-2021")</f>
        <v/>
      </c>
    </row>
    <row r="187" ht="15" customHeight="1">
      <c r="A187" t="inlineStr">
        <is>
          <t>A 32457-2024</t>
        </is>
      </c>
      <c r="B187" s="1" t="n">
        <v>45512</v>
      </c>
      <c r="C187" s="1" t="n">
        <v>46032</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Ullticka</t>
        </is>
      </c>
      <c r="S187">
        <f>HYPERLINK("https://klasma.github.io/Logging_2260/artfynd/A 32457-2024 artfynd.xlsx", "A 32457-2024")</f>
        <v/>
      </c>
      <c r="T187">
        <f>HYPERLINK("https://klasma.github.io/Logging_2260/kartor/A 32457-2024 karta.png", "A 32457-2024")</f>
        <v/>
      </c>
      <c r="V187">
        <f>HYPERLINK("https://klasma.github.io/Logging_2260/klagomål/A 32457-2024 FSC-klagomål.docx", "A 32457-2024")</f>
        <v/>
      </c>
      <c r="W187">
        <f>HYPERLINK("https://klasma.github.io/Logging_2260/klagomålsmail/A 32457-2024 FSC-klagomål mail.docx", "A 32457-2024")</f>
        <v/>
      </c>
      <c r="X187">
        <f>HYPERLINK("https://klasma.github.io/Logging_2260/tillsyn/A 32457-2024 tillsynsbegäran.docx", "A 32457-2024")</f>
        <v/>
      </c>
      <c r="Y187">
        <f>HYPERLINK("https://klasma.github.io/Logging_2260/tillsynsmail/A 32457-2024 tillsynsbegäran mail.docx", "A 32457-2024")</f>
        <v/>
      </c>
    </row>
    <row r="188" ht="15" customHeight="1">
      <c r="A188" t="inlineStr">
        <is>
          <t>A 30774-2024</t>
        </is>
      </c>
      <c r="B188" s="1" t="n">
        <v>45496.949375</v>
      </c>
      <c r="C188" s="1" t="n">
        <v>46032</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42524-2025</t>
        </is>
      </c>
      <c r="B189" s="1" t="n">
        <v>45905.55262731481</v>
      </c>
      <c r="C189" s="1" t="n">
        <v>46032</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HYPERLINK("https://klasma.github.io/Logging_2260/artfynd/A 42524-2025 artfynd.xlsx", "A 42524-2025")</f>
        <v/>
      </c>
      <c r="T189">
        <f>HYPERLINK("https://klasma.github.io/Logging_2260/kartor/A 42524-2025 karta.png", "A 42524-2025")</f>
        <v/>
      </c>
      <c r="V189">
        <f>HYPERLINK("https://klasma.github.io/Logging_2260/klagomål/A 42524-2025 FSC-klagomål.docx", "A 42524-2025")</f>
        <v/>
      </c>
      <c r="W189">
        <f>HYPERLINK("https://klasma.github.io/Logging_2260/klagomålsmail/A 42524-2025 FSC-klagomål mail.docx", "A 42524-2025")</f>
        <v/>
      </c>
      <c r="X189">
        <f>HYPERLINK("https://klasma.github.io/Logging_2260/tillsyn/A 42524-2025 tillsynsbegäran.docx", "A 42524-2025")</f>
        <v/>
      </c>
      <c r="Y189">
        <f>HYPERLINK("https://klasma.github.io/Logging_2260/tillsynsmail/A 42524-2025 tillsynsbegäran mail.docx", "A 42524-2025")</f>
        <v/>
      </c>
    </row>
    <row r="190" ht="15" customHeight="1">
      <c r="A190" t="inlineStr">
        <is>
          <t>A 54386-2024</t>
        </is>
      </c>
      <c r="B190" s="1" t="n">
        <v>45617.44822916666</v>
      </c>
      <c r="C190" s="1" t="n">
        <v>46032</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43590-2025</t>
        </is>
      </c>
      <c r="B191" s="1" t="n">
        <v>45911.65665509259</v>
      </c>
      <c r="C191" s="1" t="n">
        <v>46032</v>
      </c>
      <c r="D191" t="inlineStr">
        <is>
          <t>VÄSTERNORRLANDS LÄN</t>
        </is>
      </c>
      <c r="E191" t="inlineStr">
        <is>
          <t>ÅNGE</t>
        </is>
      </c>
      <c r="F191" t="inlineStr">
        <is>
          <t>SCA</t>
        </is>
      </c>
      <c r="G191" t="n">
        <v>2.9</v>
      </c>
      <c r="H191" t="n">
        <v>0</v>
      </c>
      <c r="I191" t="n">
        <v>0</v>
      </c>
      <c r="J191" t="n">
        <v>1</v>
      </c>
      <c r="K191" t="n">
        <v>0</v>
      </c>
      <c r="L191" t="n">
        <v>0</v>
      </c>
      <c r="M191" t="n">
        <v>0</v>
      </c>
      <c r="N191" t="n">
        <v>0</v>
      </c>
      <c r="O191" t="n">
        <v>1</v>
      </c>
      <c r="P191" t="n">
        <v>0</v>
      </c>
      <c r="Q191" t="n">
        <v>1</v>
      </c>
      <c r="R191" s="2" t="inlineStr">
        <is>
          <t>Granticka</t>
        </is>
      </c>
      <c r="S191">
        <f>HYPERLINK("https://klasma.github.io/Logging_2260/artfynd/A 43590-2025 artfynd.xlsx", "A 43590-2025")</f>
        <v/>
      </c>
      <c r="T191">
        <f>HYPERLINK("https://klasma.github.io/Logging_2260/kartor/A 43590-2025 karta.png", "A 43590-2025")</f>
        <v/>
      </c>
      <c r="V191">
        <f>HYPERLINK("https://klasma.github.io/Logging_2260/klagomål/A 43590-2025 FSC-klagomål.docx", "A 43590-2025")</f>
        <v/>
      </c>
      <c r="W191">
        <f>HYPERLINK("https://klasma.github.io/Logging_2260/klagomålsmail/A 43590-2025 FSC-klagomål mail.docx", "A 43590-2025")</f>
        <v/>
      </c>
      <c r="X191">
        <f>HYPERLINK("https://klasma.github.io/Logging_2260/tillsyn/A 43590-2025 tillsynsbegäran.docx", "A 43590-2025")</f>
        <v/>
      </c>
      <c r="Y191">
        <f>HYPERLINK("https://klasma.github.io/Logging_2260/tillsynsmail/A 43590-2025 tillsynsbegäran mail.docx", "A 43590-2025")</f>
        <v/>
      </c>
    </row>
    <row r="192" ht="15" customHeight="1">
      <c r="A192" t="inlineStr">
        <is>
          <t>A 39933-2022</t>
        </is>
      </c>
      <c r="B192" s="1" t="n">
        <v>44819</v>
      </c>
      <c r="C192" s="1" t="n">
        <v>46032</v>
      </c>
      <c r="D192" t="inlineStr">
        <is>
          <t>VÄSTERNORRLANDS LÄN</t>
        </is>
      </c>
      <c r="E192" t="inlineStr">
        <is>
          <t>ÅNGE</t>
        </is>
      </c>
      <c r="F192" t="inlineStr">
        <is>
          <t>SCA</t>
        </is>
      </c>
      <c r="G192" t="n">
        <v>13.8</v>
      </c>
      <c r="H192" t="n">
        <v>1</v>
      </c>
      <c r="I192" t="n">
        <v>0</v>
      </c>
      <c r="J192" t="n">
        <v>0</v>
      </c>
      <c r="K192" t="n">
        <v>1</v>
      </c>
      <c r="L192" t="n">
        <v>0</v>
      </c>
      <c r="M192" t="n">
        <v>0</v>
      </c>
      <c r="N192" t="n">
        <v>0</v>
      </c>
      <c r="O192" t="n">
        <v>1</v>
      </c>
      <c r="P192" t="n">
        <v>1</v>
      </c>
      <c r="Q192" t="n">
        <v>1</v>
      </c>
      <c r="R192" s="2" t="inlineStr">
        <is>
          <t>Knärot</t>
        </is>
      </c>
      <c r="S192">
        <f>HYPERLINK("https://klasma.github.io/Logging_2260/artfynd/A 39933-2022 artfynd.xlsx", "A 39933-2022")</f>
        <v/>
      </c>
      <c r="T192">
        <f>HYPERLINK("https://klasma.github.io/Logging_2260/kartor/A 39933-2022 karta.png", "A 39933-2022")</f>
        <v/>
      </c>
      <c r="U192">
        <f>HYPERLINK("https://klasma.github.io/Logging_2260/knärot/A 39933-2022 karta knärot.png", "A 39933-2022")</f>
        <v/>
      </c>
      <c r="V192">
        <f>HYPERLINK("https://klasma.github.io/Logging_2260/klagomål/A 39933-2022 FSC-klagomål.docx", "A 39933-2022")</f>
        <v/>
      </c>
      <c r="W192">
        <f>HYPERLINK("https://klasma.github.io/Logging_2260/klagomålsmail/A 39933-2022 FSC-klagomål mail.docx", "A 39933-2022")</f>
        <v/>
      </c>
      <c r="X192">
        <f>HYPERLINK("https://klasma.github.io/Logging_2260/tillsyn/A 39933-2022 tillsynsbegäran.docx", "A 39933-2022")</f>
        <v/>
      </c>
      <c r="Y192">
        <f>HYPERLINK("https://klasma.github.io/Logging_2260/tillsynsmail/A 39933-2022 tillsynsbegäran mail.docx", "A 39933-2022")</f>
        <v/>
      </c>
    </row>
    <row r="193" ht="15" customHeight="1">
      <c r="A193" t="inlineStr">
        <is>
          <t>A 46094-2025</t>
        </is>
      </c>
      <c r="B193" s="1" t="n">
        <v>45924</v>
      </c>
      <c r="C193" s="1" t="n">
        <v>46032</v>
      </c>
      <c r="D193" t="inlineStr">
        <is>
          <t>VÄSTERNORRLANDS LÄN</t>
        </is>
      </c>
      <c r="E193" t="inlineStr">
        <is>
          <t>ÅNGE</t>
        </is>
      </c>
      <c r="F193" t="inlineStr">
        <is>
          <t>SCA</t>
        </is>
      </c>
      <c r="G193" t="n">
        <v>1.1</v>
      </c>
      <c r="H193" t="n">
        <v>1</v>
      </c>
      <c r="I193" t="n">
        <v>0</v>
      </c>
      <c r="J193" t="n">
        <v>1</v>
      </c>
      <c r="K193" t="n">
        <v>0</v>
      </c>
      <c r="L193" t="n">
        <v>0</v>
      </c>
      <c r="M193" t="n">
        <v>0</v>
      </c>
      <c r="N193" t="n">
        <v>0</v>
      </c>
      <c r="O193" t="n">
        <v>1</v>
      </c>
      <c r="P193" t="n">
        <v>0</v>
      </c>
      <c r="Q193" t="n">
        <v>1</v>
      </c>
      <c r="R193" s="2" t="inlineStr">
        <is>
          <t>Utter</t>
        </is>
      </c>
      <c r="S193">
        <f>HYPERLINK("https://klasma.github.io/Logging_2260/artfynd/A 46094-2025 artfynd.xlsx", "A 46094-2025")</f>
        <v/>
      </c>
      <c r="T193">
        <f>HYPERLINK("https://klasma.github.io/Logging_2260/kartor/A 46094-2025 karta.png", "A 46094-2025")</f>
        <v/>
      </c>
      <c r="V193">
        <f>HYPERLINK("https://klasma.github.io/Logging_2260/klagomål/A 46094-2025 FSC-klagomål.docx", "A 46094-2025")</f>
        <v/>
      </c>
      <c r="W193">
        <f>HYPERLINK("https://klasma.github.io/Logging_2260/klagomålsmail/A 46094-2025 FSC-klagomål mail.docx", "A 46094-2025")</f>
        <v/>
      </c>
      <c r="X193">
        <f>HYPERLINK("https://klasma.github.io/Logging_2260/tillsyn/A 46094-2025 tillsynsbegäran.docx", "A 46094-2025")</f>
        <v/>
      </c>
      <c r="Y193">
        <f>HYPERLINK("https://klasma.github.io/Logging_2260/tillsynsmail/A 46094-2025 tillsynsbegäran mail.docx", "A 46094-2025")</f>
        <v/>
      </c>
    </row>
    <row r="194" ht="15" customHeight="1">
      <c r="A194" t="inlineStr">
        <is>
          <t>A 27025-2025</t>
        </is>
      </c>
      <c r="B194" s="1" t="n">
        <v>45811</v>
      </c>
      <c r="C194" s="1" t="n">
        <v>46032</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38606-2024</t>
        </is>
      </c>
      <c r="B195" s="1" t="n">
        <v>45546.67804398148</v>
      </c>
      <c r="C195" s="1" t="n">
        <v>46032</v>
      </c>
      <c r="D195" t="inlineStr">
        <is>
          <t>VÄSTERNORRLANDS LÄN</t>
        </is>
      </c>
      <c r="E195" t="inlineStr">
        <is>
          <t>ÅNGE</t>
        </is>
      </c>
      <c r="F195" t="inlineStr">
        <is>
          <t>SCA</t>
        </is>
      </c>
      <c r="G195" t="n">
        <v>2.4</v>
      </c>
      <c r="H195" t="n">
        <v>0</v>
      </c>
      <c r="I195" t="n">
        <v>0</v>
      </c>
      <c r="J195" t="n">
        <v>1</v>
      </c>
      <c r="K195" t="n">
        <v>0</v>
      </c>
      <c r="L195" t="n">
        <v>0</v>
      </c>
      <c r="M195" t="n">
        <v>0</v>
      </c>
      <c r="N195" t="n">
        <v>0</v>
      </c>
      <c r="O195" t="n">
        <v>1</v>
      </c>
      <c r="P195" t="n">
        <v>0</v>
      </c>
      <c r="Q195" t="n">
        <v>1</v>
      </c>
      <c r="R195" s="2" t="inlineStr">
        <is>
          <t>Ullticka</t>
        </is>
      </c>
      <c r="S195">
        <f>HYPERLINK("https://klasma.github.io/Logging_2260/artfynd/A 38606-2024 artfynd.xlsx", "A 38606-2024")</f>
        <v/>
      </c>
      <c r="T195">
        <f>HYPERLINK("https://klasma.github.io/Logging_2260/kartor/A 38606-2024 karta.png", "A 38606-2024")</f>
        <v/>
      </c>
      <c r="V195">
        <f>HYPERLINK("https://klasma.github.io/Logging_2260/klagomål/A 38606-2024 FSC-klagomål.docx", "A 38606-2024")</f>
        <v/>
      </c>
      <c r="W195">
        <f>HYPERLINK("https://klasma.github.io/Logging_2260/klagomålsmail/A 38606-2024 FSC-klagomål mail.docx", "A 38606-2024")</f>
        <v/>
      </c>
      <c r="X195">
        <f>HYPERLINK("https://klasma.github.io/Logging_2260/tillsyn/A 38606-2024 tillsynsbegäran.docx", "A 38606-2024")</f>
        <v/>
      </c>
      <c r="Y195">
        <f>HYPERLINK("https://klasma.github.io/Logging_2260/tillsynsmail/A 38606-2024 tillsynsbegäran mail.docx", "A 38606-2024")</f>
        <v/>
      </c>
    </row>
    <row r="196" ht="15" customHeight="1">
      <c r="A196" t="inlineStr">
        <is>
          <t>A 47857-2025</t>
        </is>
      </c>
      <c r="B196" s="1" t="n">
        <v>45932.4068287037</v>
      </c>
      <c r="C196" s="1" t="n">
        <v>46032</v>
      </c>
      <c r="D196" t="inlineStr">
        <is>
          <t>VÄSTERNORRLANDS LÄN</t>
        </is>
      </c>
      <c r="E196" t="inlineStr">
        <is>
          <t>ÅNGE</t>
        </is>
      </c>
      <c r="G196" t="n">
        <v>2.5</v>
      </c>
      <c r="H196" t="n">
        <v>1</v>
      </c>
      <c r="I196" t="n">
        <v>0</v>
      </c>
      <c r="J196" t="n">
        <v>1</v>
      </c>
      <c r="K196" t="n">
        <v>0</v>
      </c>
      <c r="L196" t="n">
        <v>0</v>
      </c>
      <c r="M196" t="n">
        <v>0</v>
      </c>
      <c r="N196" t="n">
        <v>0</v>
      </c>
      <c r="O196" t="n">
        <v>1</v>
      </c>
      <c r="P196" t="n">
        <v>0</v>
      </c>
      <c r="Q196" t="n">
        <v>1</v>
      </c>
      <c r="R196" s="2" t="inlineStr">
        <is>
          <t>Kungsörn</t>
        </is>
      </c>
      <c r="S196">
        <f>HYPERLINK("https://klasma.github.io/Logging_2260/artfynd/A 47857-2025 artfynd.xlsx", "A 47857-2025")</f>
        <v/>
      </c>
      <c r="T196">
        <f>HYPERLINK("https://klasma.github.io/Logging_2260/kartor/A 47857-2025 karta.png", "A 47857-2025")</f>
        <v/>
      </c>
      <c r="V196">
        <f>HYPERLINK("https://klasma.github.io/Logging_2260/klagomål/A 47857-2025 FSC-klagomål.docx", "A 47857-2025")</f>
        <v/>
      </c>
      <c r="W196">
        <f>HYPERLINK("https://klasma.github.io/Logging_2260/klagomålsmail/A 47857-2025 FSC-klagomål mail.docx", "A 47857-2025")</f>
        <v/>
      </c>
      <c r="X196">
        <f>HYPERLINK("https://klasma.github.io/Logging_2260/tillsyn/A 47857-2025 tillsynsbegäran.docx", "A 47857-2025")</f>
        <v/>
      </c>
      <c r="Y196">
        <f>HYPERLINK("https://klasma.github.io/Logging_2260/tillsynsmail/A 47857-2025 tillsynsbegäran mail.docx", "A 47857-2025")</f>
        <v/>
      </c>
      <c r="Z196">
        <f>HYPERLINK("https://klasma.github.io/Logging_2260/fåglar/A 47857-2025 prioriterade fågelarter.docx", "A 47857-2025")</f>
        <v/>
      </c>
    </row>
    <row r="197" ht="15" customHeight="1">
      <c r="A197" t="inlineStr">
        <is>
          <t>A 48237-2025</t>
        </is>
      </c>
      <c r="B197" s="1" t="n">
        <v>45933</v>
      </c>
      <c r="C197" s="1" t="n">
        <v>46032</v>
      </c>
      <c r="D197" t="inlineStr">
        <is>
          <t>VÄSTERNORRLANDS LÄN</t>
        </is>
      </c>
      <c r="E197" t="inlineStr">
        <is>
          <t>ÅNGE</t>
        </is>
      </c>
      <c r="F197" t="inlineStr">
        <is>
          <t>SCA</t>
        </is>
      </c>
      <c r="G197" t="n">
        <v>1.9</v>
      </c>
      <c r="H197" t="n">
        <v>1</v>
      </c>
      <c r="I197" t="n">
        <v>0</v>
      </c>
      <c r="J197" t="n">
        <v>0</v>
      </c>
      <c r="K197" t="n">
        <v>1</v>
      </c>
      <c r="L197" t="n">
        <v>0</v>
      </c>
      <c r="M197" t="n">
        <v>0</v>
      </c>
      <c r="N197" t="n">
        <v>0</v>
      </c>
      <c r="O197" t="n">
        <v>1</v>
      </c>
      <c r="P197" t="n">
        <v>1</v>
      </c>
      <c r="Q197" t="n">
        <v>1</v>
      </c>
      <c r="R197" s="2" t="inlineStr">
        <is>
          <t>Knärot</t>
        </is>
      </c>
      <c r="S197">
        <f>HYPERLINK("https://klasma.github.io/Logging_2260/artfynd/A 48237-2025 artfynd.xlsx", "A 48237-2025")</f>
        <v/>
      </c>
      <c r="T197">
        <f>HYPERLINK("https://klasma.github.io/Logging_2260/kartor/A 48237-2025 karta.png", "A 48237-2025")</f>
        <v/>
      </c>
      <c r="U197">
        <f>HYPERLINK("https://klasma.github.io/Logging_2260/knärot/A 48237-2025 karta knärot.png", "A 48237-2025")</f>
        <v/>
      </c>
      <c r="V197">
        <f>HYPERLINK("https://klasma.github.io/Logging_2260/klagomål/A 48237-2025 FSC-klagomål.docx", "A 48237-2025")</f>
        <v/>
      </c>
      <c r="W197">
        <f>HYPERLINK("https://klasma.github.io/Logging_2260/klagomålsmail/A 48237-2025 FSC-klagomål mail.docx", "A 48237-2025")</f>
        <v/>
      </c>
      <c r="X197">
        <f>HYPERLINK("https://klasma.github.io/Logging_2260/tillsyn/A 48237-2025 tillsynsbegäran.docx", "A 48237-2025")</f>
        <v/>
      </c>
      <c r="Y197">
        <f>HYPERLINK("https://klasma.github.io/Logging_2260/tillsynsmail/A 48237-2025 tillsynsbegäran mail.docx", "A 48237-2025")</f>
        <v/>
      </c>
    </row>
    <row r="198" ht="15" customHeight="1">
      <c r="A198" t="inlineStr">
        <is>
          <t>A 35648-2025</t>
        </is>
      </c>
      <c r="B198" s="1" t="n">
        <v>45859.51670138889</v>
      </c>
      <c r="C198" s="1" t="n">
        <v>46032</v>
      </c>
      <c r="D198" t="inlineStr">
        <is>
          <t>VÄSTERNORRLANDS LÄN</t>
        </is>
      </c>
      <c r="E198" t="inlineStr">
        <is>
          <t>ÅNGE</t>
        </is>
      </c>
      <c r="F198" t="inlineStr">
        <is>
          <t>Sveaskog</t>
        </is>
      </c>
      <c r="G198" t="n">
        <v>9.1</v>
      </c>
      <c r="H198" t="n">
        <v>0</v>
      </c>
      <c r="I198" t="n">
        <v>0</v>
      </c>
      <c r="J198" t="n">
        <v>1</v>
      </c>
      <c r="K198" t="n">
        <v>0</v>
      </c>
      <c r="L198" t="n">
        <v>0</v>
      </c>
      <c r="M198" t="n">
        <v>0</v>
      </c>
      <c r="N198" t="n">
        <v>0</v>
      </c>
      <c r="O198" t="n">
        <v>1</v>
      </c>
      <c r="P198" t="n">
        <v>0</v>
      </c>
      <c r="Q198" t="n">
        <v>1</v>
      </c>
      <c r="R198" s="2" t="inlineStr">
        <is>
          <t>Lunglav</t>
        </is>
      </c>
      <c r="S198">
        <f>HYPERLINK("https://klasma.github.io/Logging_2260/artfynd/A 35648-2025 artfynd.xlsx", "A 35648-2025")</f>
        <v/>
      </c>
      <c r="T198">
        <f>HYPERLINK("https://klasma.github.io/Logging_2260/kartor/A 35648-2025 karta.png", "A 35648-2025")</f>
        <v/>
      </c>
      <c r="V198">
        <f>HYPERLINK("https://klasma.github.io/Logging_2260/klagomål/A 35648-2025 FSC-klagomål.docx", "A 35648-2025")</f>
        <v/>
      </c>
      <c r="W198">
        <f>HYPERLINK("https://klasma.github.io/Logging_2260/klagomålsmail/A 35648-2025 FSC-klagomål mail.docx", "A 35648-2025")</f>
        <v/>
      </c>
      <c r="X198">
        <f>HYPERLINK("https://klasma.github.io/Logging_2260/tillsyn/A 35648-2025 tillsynsbegäran.docx", "A 35648-2025")</f>
        <v/>
      </c>
      <c r="Y198">
        <f>HYPERLINK("https://klasma.github.io/Logging_2260/tillsynsmail/A 35648-2025 tillsynsbegäran mail.docx", "A 35648-2025")</f>
        <v/>
      </c>
    </row>
    <row r="199" ht="15" customHeight="1">
      <c r="A199" t="inlineStr">
        <is>
          <t>A 35839-2025</t>
        </is>
      </c>
      <c r="B199" s="1" t="n">
        <v>45861.53943287037</v>
      </c>
      <c r="C199" s="1" t="n">
        <v>46032</v>
      </c>
      <c r="D199" t="inlineStr">
        <is>
          <t>VÄSTERNORRLANDS LÄN</t>
        </is>
      </c>
      <c r="E199" t="inlineStr">
        <is>
          <t>ÅNGE</t>
        </is>
      </c>
      <c r="F199" t="inlineStr">
        <is>
          <t>Sveaskog</t>
        </is>
      </c>
      <c r="G199" t="n">
        <v>7.9</v>
      </c>
      <c r="H199" t="n">
        <v>0</v>
      </c>
      <c r="I199" t="n">
        <v>0</v>
      </c>
      <c r="J199" t="n">
        <v>1</v>
      </c>
      <c r="K199" t="n">
        <v>0</v>
      </c>
      <c r="L199" t="n">
        <v>0</v>
      </c>
      <c r="M199" t="n">
        <v>0</v>
      </c>
      <c r="N199" t="n">
        <v>0</v>
      </c>
      <c r="O199" t="n">
        <v>1</v>
      </c>
      <c r="P199" t="n">
        <v>0</v>
      </c>
      <c r="Q199" t="n">
        <v>1</v>
      </c>
      <c r="R199" s="2" t="inlineStr">
        <is>
          <t>Lunglav</t>
        </is>
      </c>
      <c r="S199">
        <f>HYPERLINK("https://klasma.github.io/Logging_2260/artfynd/A 35839-2025 artfynd.xlsx", "A 35839-2025")</f>
        <v/>
      </c>
      <c r="T199">
        <f>HYPERLINK("https://klasma.github.io/Logging_2260/kartor/A 35839-2025 karta.png", "A 35839-2025")</f>
        <v/>
      </c>
      <c r="V199">
        <f>HYPERLINK("https://klasma.github.io/Logging_2260/klagomål/A 35839-2025 FSC-klagomål.docx", "A 35839-2025")</f>
        <v/>
      </c>
      <c r="W199">
        <f>HYPERLINK("https://klasma.github.io/Logging_2260/klagomålsmail/A 35839-2025 FSC-klagomål mail.docx", "A 35839-2025")</f>
        <v/>
      </c>
      <c r="X199">
        <f>HYPERLINK("https://klasma.github.io/Logging_2260/tillsyn/A 35839-2025 tillsynsbegäran.docx", "A 35839-2025")</f>
        <v/>
      </c>
      <c r="Y199">
        <f>HYPERLINK("https://klasma.github.io/Logging_2260/tillsynsmail/A 35839-2025 tillsynsbegäran mail.docx", "A 35839-2025")</f>
        <v/>
      </c>
    </row>
    <row r="200" ht="15" customHeight="1">
      <c r="A200" t="inlineStr">
        <is>
          <t>A 61076-2025</t>
        </is>
      </c>
      <c r="B200" s="1" t="n">
        <v>46000.39689814814</v>
      </c>
      <c r="C200" s="1" t="n">
        <v>46032</v>
      </c>
      <c r="D200" t="inlineStr">
        <is>
          <t>VÄSTERNORRLANDS LÄN</t>
        </is>
      </c>
      <c r="E200" t="inlineStr">
        <is>
          <t>ÅNGE</t>
        </is>
      </c>
      <c r="F200" t="inlineStr">
        <is>
          <t>Holmen skog AB</t>
        </is>
      </c>
      <c r="G200" t="n">
        <v>2.7</v>
      </c>
      <c r="H200" t="n">
        <v>0</v>
      </c>
      <c r="I200" t="n">
        <v>1</v>
      </c>
      <c r="J200" t="n">
        <v>0</v>
      </c>
      <c r="K200" t="n">
        <v>0</v>
      </c>
      <c r="L200" t="n">
        <v>0</v>
      </c>
      <c r="M200" t="n">
        <v>0</v>
      </c>
      <c r="N200" t="n">
        <v>0</v>
      </c>
      <c r="O200" t="n">
        <v>0</v>
      </c>
      <c r="P200" t="n">
        <v>0</v>
      </c>
      <c r="Q200" t="n">
        <v>1</v>
      </c>
      <c r="R200" s="2" t="inlineStr">
        <is>
          <t>Stor aspticka</t>
        </is>
      </c>
      <c r="S200">
        <f>HYPERLINK("https://klasma.github.io/Logging_2260/artfynd/A 61076-2025 artfynd.xlsx", "A 61076-2025")</f>
        <v/>
      </c>
      <c r="T200">
        <f>HYPERLINK("https://klasma.github.io/Logging_2260/kartor/A 61076-2025 karta.png", "A 61076-2025")</f>
        <v/>
      </c>
      <c r="V200">
        <f>HYPERLINK("https://klasma.github.io/Logging_2260/klagomål/A 61076-2025 FSC-klagomål.docx", "A 61076-2025")</f>
        <v/>
      </c>
      <c r="W200">
        <f>HYPERLINK("https://klasma.github.io/Logging_2260/klagomålsmail/A 61076-2025 FSC-klagomål mail.docx", "A 61076-2025")</f>
        <v/>
      </c>
      <c r="X200">
        <f>HYPERLINK("https://klasma.github.io/Logging_2260/tillsyn/A 61076-2025 tillsynsbegäran.docx", "A 61076-2025")</f>
        <v/>
      </c>
      <c r="Y200">
        <f>HYPERLINK("https://klasma.github.io/Logging_2260/tillsynsmail/A 61076-2025 tillsynsbegäran mail.docx", "A 61076-2025")</f>
        <v/>
      </c>
    </row>
    <row r="201" ht="15" customHeight="1">
      <c r="A201" t="inlineStr">
        <is>
          <t>A 64510-2023</t>
        </is>
      </c>
      <c r="B201" s="1" t="n">
        <v>45281</v>
      </c>
      <c r="C201" s="1" t="n">
        <v>46032</v>
      </c>
      <c r="D201" t="inlineStr">
        <is>
          <t>VÄSTERNORRLANDS LÄN</t>
        </is>
      </c>
      <c r="E201" t="inlineStr">
        <is>
          <t>ÅNGE</t>
        </is>
      </c>
      <c r="G201" t="n">
        <v>3.7</v>
      </c>
      <c r="H201" t="n">
        <v>0</v>
      </c>
      <c r="I201" t="n">
        <v>1</v>
      </c>
      <c r="J201" t="n">
        <v>0</v>
      </c>
      <c r="K201" t="n">
        <v>0</v>
      </c>
      <c r="L201" t="n">
        <v>0</v>
      </c>
      <c r="M201" t="n">
        <v>0</v>
      </c>
      <c r="N201" t="n">
        <v>0</v>
      </c>
      <c r="O201" t="n">
        <v>0</v>
      </c>
      <c r="P201" t="n">
        <v>0</v>
      </c>
      <c r="Q201" t="n">
        <v>1</v>
      </c>
      <c r="R201" s="2" t="inlineStr">
        <is>
          <t>Dropptaggsvamp</t>
        </is>
      </c>
      <c r="S201">
        <f>HYPERLINK("https://klasma.github.io/Logging_2260/artfynd/A 64510-2023 artfynd.xlsx", "A 64510-2023")</f>
        <v/>
      </c>
      <c r="T201">
        <f>HYPERLINK("https://klasma.github.io/Logging_2260/kartor/A 64510-2023 karta.png", "A 64510-2023")</f>
        <v/>
      </c>
      <c r="V201">
        <f>HYPERLINK("https://klasma.github.io/Logging_2260/klagomål/A 64510-2023 FSC-klagomål.docx", "A 64510-2023")</f>
        <v/>
      </c>
      <c r="W201">
        <f>HYPERLINK("https://klasma.github.io/Logging_2260/klagomålsmail/A 64510-2023 FSC-klagomål mail.docx", "A 64510-2023")</f>
        <v/>
      </c>
      <c r="X201">
        <f>HYPERLINK("https://klasma.github.io/Logging_2260/tillsyn/A 64510-2023 tillsynsbegäran.docx", "A 64510-2023")</f>
        <v/>
      </c>
      <c r="Y201">
        <f>HYPERLINK("https://klasma.github.io/Logging_2260/tillsynsmail/A 64510-2023 tillsynsbegäran mail.docx", "A 64510-2023")</f>
        <v/>
      </c>
    </row>
    <row r="202" ht="15" customHeight="1">
      <c r="A202" t="inlineStr">
        <is>
          <t>A 24798-2024</t>
        </is>
      </c>
      <c r="B202" s="1" t="n">
        <v>45460.95277777778</v>
      </c>
      <c r="C202" s="1" t="n">
        <v>46032</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46032</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27308-2024</t>
        </is>
      </c>
      <c r="B204" s="1" t="n">
        <v>45471</v>
      </c>
      <c r="C204" s="1" t="n">
        <v>46032</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38603-2024</t>
        </is>
      </c>
      <c r="B205" s="1" t="n">
        <v>45546</v>
      </c>
      <c r="C205" s="1" t="n">
        <v>46032</v>
      </c>
      <c r="D205" t="inlineStr">
        <is>
          <t>VÄSTERNORRLANDS LÄN</t>
        </is>
      </c>
      <c r="E205" t="inlineStr">
        <is>
          <t>ÅNGE</t>
        </is>
      </c>
      <c r="F205" t="inlineStr">
        <is>
          <t>SCA</t>
        </is>
      </c>
      <c r="G205" t="n">
        <v>5.6</v>
      </c>
      <c r="H205" t="n">
        <v>0</v>
      </c>
      <c r="I205" t="n">
        <v>0</v>
      </c>
      <c r="J205" t="n">
        <v>0</v>
      </c>
      <c r="K205" t="n">
        <v>1</v>
      </c>
      <c r="L205" t="n">
        <v>0</v>
      </c>
      <c r="M205" t="n">
        <v>0</v>
      </c>
      <c r="N205" t="n">
        <v>0</v>
      </c>
      <c r="O205" t="n">
        <v>1</v>
      </c>
      <c r="P205" t="n">
        <v>1</v>
      </c>
      <c r="Q205" t="n">
        <v>1</v>
      </c>
      <c r="R205" s="2" t="inlineStr">
        <is>
          <t>Rynkskinn</t>
        </is>
      </c>
      <c r="S205">
        <f>HYPERLINK("https://klasma.github.io/Logging_2260/artfynd/A 38603-2024 artfynd.xlsx", "A 38603-2024")</f>
        <v/>
      </c>
      <c r="T205">
        <f>HYPERLINK("https://klasma.github.io/Logging_2260/kartor/A 38603-2024 karta.png", "A 38603-2024")</f>
        <v/>
      </c>
      <c r="V205">
        <f>HYPERLINK("https://klasma.github.io/Logging_2260/klagomål/A 38603-2024 FSC-klagomål.docx", "A 38603-2024")</f>
        <v/>
      </c>
      <c r="W205">
        <f>HYPERLINK("https://klasma.github.io/Logging_2260/klagomålsmail/A 38603-2024 FSC-klagomål mail.docx", "A 38603-2024")</f>
        <v/>
      </c>
      <c r="X205">
        <f>HYPERLINK("https://klasma.github.io/Logging_2260/tillsyn/A 38603-2024 tillsynsbegäran.docx", "A 38603-2024")</f>
        <v/>
      </c>
      <c r="Y205">
        <f>HYPERLINK("https://klasma.github.io/Logging_2260/tillsynsmail/A 38603-2024 tillsynsbegäran mail.docx", "A 38603-2024")</f>
        <v/>
      </c>
    </row>
    <row r="206" ht="15" customHeight="1">
      <c r="A206" t="inlineStr">
        <is>
          <t>A 34696-2024</t>
        </is>
      </c>
      <c r="B206" s="1" t="n">
        <v>45526</v>
      </c>
      <c r="C206" s="1" t="n">
        <v>46032</v>
      </c>
      <c r="D206" t="inlineStr">
        <is>
          <t>VÄSTERNORRLANDS LÄN</t>
        </is>
      </c>
      <c r="E206" t="inlineStr">
        <is>
          <t>ÅNGE</t>
        </is>
      </c>
      <c r="G206" t="n">
        <v>3.6</v>
      </c>
      <c r="H206" t="n">
        <v>1</v>
      </c>
      <c r="I206" t="n">
        <v>0</v>
      </c>
      <c r="J206" t="n">
        <v>0</v>
      </c>
      <c r="K206" t="n">
        <v>0</v>
      </c>
      <c r="L206" t="n">
        <v>0</v>
      </c>
      <c r="M206" t="n">
        <v>0</v>
      </c>
      <c r="N206" t="n">
        <v>0</v>
      </c>
      <c r="O206" t="n">
        <v>0</v>
      </c>
      <c r="P206" t="n">
        <v>0</v>
      </c>
      <c r="Q206" t="n">
        <v>1</v>
      </c>
      <c r="R206" s="2" t="inlineStr">
        <is>
          <t>Revlummer</t>
        </is>
      </c>
      <c r="S206">
        <f>HYPERLINK("https://klasma.github.io/Logging_2260/artfynd/A 34696-2024 artfynd.xlsx", "A 34696-2024")</f>
        <v/>
      </c>
      <c r="T206">
        <f>HYPERLINK("https://klasma.github.io/Logging_2260/kartor/A 34696-2024 karta.png", "A 34696-2024")</f>
        <v/>
      </c>
      <c r="V206">
        <f>HYPERLINK("https://klasma.github.io/Logging_2260/klagomål/A 34696-2024 FSC-klagomål.docx", "A 34696-2024")</f>
        <v/>
      </c>
      <c r="W206">
        <f>HYPERLINK("https://klasma.github.io/Logging_2260/klagomålsmail/A 34696-2024 FSC-klagomål mail.docx", "A 34696-2024")</f>
        <v/>
      </c>
      <c r="X206">
        <f>HYPERLINK("https://klasma.github.io/Logging_2260/tillsyn/A 34696-2024 tillsynsbegäran.docx", "A 34696-2024")</f>
        <v/>
      </c>
      <c r="Y206">
        <f>HYPERLINK("https://klasma.github.io/Logging_2260/tillsynsmail/A 34696-2024 tillsynsbegäran mail.docx", "A 34696-2024")</f>
        <v/>
      </c>
    </row>
    <row r="207" ht="15" customHeight="1">
      <c r="A207" t="inlineStr">
        <is>
          <t>A 37432-2025</t>
        </is>
      </c>
      <c r="B207" s="1" t="n">
        <v>45877.51106481482</v>
      </c>
      <c r="C207" s="1" t="n">
        <v>46032</v>
      </c>
      <c r="D207" t="inlineStr">
        <is>
          <t>VÄSTERNORRLANDS LÄN</t>
        </is>
      </c>
      <c r="E207" t="inlineStr">
        <is>
          <t>ÅNGE</t>
        </is>
      </c>
      <c r="F207" t="inlineStr">
        <is>
          <t>SCA</t>
        </is>
      </c>
      <c r="G207" t="n">
        <v>1.2</v>
      </c>
      <c r="H207" t="n">
        <v>1</v>
      </c>
      <c r="I207" t="n">
        <v>1</v>
      </c>
      <c r="J207" t="n">
        <v>0</v>
      </c>
      <c r="K207" t="n">
        <v>0</v>
      </c>
      <c r="L207" t="n">
        <v>0</v>
      </c>
      <c r="M207" t="n">
        <v>0</v>
      </c>
      <c r="N207" t="n">
        <v>0</v>
      </c>
      <c r="O207" t="n">
        <v>0</v>
      </c>
      <c r="P207" t="n">
        <v>0</v>
      </c>
      <c r="Q207" t="n">
        <v>1</v>
      </c>
      <c r="R207" s="2" t="inlineStr">
        <is>
          <t>Spindelblomster</t>
        </is>
      </c>
      <c r="S207">
        <f>HYPERLINK("https://klasma.github.io/Logging_2260/artfynd/A 37432-2025 artfynd.xlsx", "A 37432-2025")</f>
        <v/>
      </c>
      <c r="T207">
        <f>HYPERLINK("https://klasma.github.io/Logging_2260/kartor/A 37432-2025 karta.png", "A 37432-2025")</f>
        <v/>
      </c>
      <c r="V207">
        <f>HYPERLINK("https://klasma.github.io/Logging_2260/klagomål/A 37432-2025 FSC-klagomål.docx", "A 37432-2025")</f>
        <v/>
      </c>
      <c r="W207">
        <f>HYPERLINK("https://klasma.github.io/Logging_2260/klagomålsmail/A 37432-2025 FSC-klagomål mail.docx", "A 37432-2025")</f>
        <v/>
      </c>
      <c r="X207">
        <f>HYPERLINK("https://klasma.github.io/Logging_2260/tillsyn/A 37432-2025 tillsynsbegäran.docx", "A 37432-2025")</f>
        <v/>
      </c>
      <c r="Y207">
        <f>HYPERLINK("https://klasma.github.io/Logging_2260/tillsynsmail/A 37432-2025 tillsynsbegäran mail.docx", "A 37432-2025")</f>
        <v/>
      </c>
    </row>
    <row r="208" ht="15" customHeight="1">
      <c r="A208" t="inlineStr">
        <is>
          <t>A 53683-2025</t>
        </is>
      </c>
      <c r="B208" s="1" t="n">
        <v>45960</v>
      </c>
      <c r="C208" s="1" t="n">
        <v>46032</v>
      </c>
      <c r="D208" t="inlineStr">
        <is>
          <t>VÄSTERNORRLANDS LÄN</t>
        </is>
      </c>
      <c r="E208" t="inlineStr">
        <is>
          <t>ÅNGE</t>
        </is>
      </c>
      <c r="F208" t="inlineStr">
        <is>
          <t>SCA</t>
        </is>
      </c>
      <c r="G208" t="n">
        <v>3.6</v>
      </c>
      <c r="H208" t="n">
        <v>0</v>
      </c>
      <c r="I208" t="n">
        <v>1</v>
      </c>
      <c r="J208" t="n">
        <v>0</v>
      </c>
      <c r="K208" t="n">
        <v>0</v>
      </c>
      <c r="L208" t="n">
        <v>0</v>
      </c>
      <c r="M208" t="n">
        <v>0</v>
      </c>
      <c r="N208" t="n">
        <v>0</v>
      </c>
      <c r="O208" t="n">
        <v>0</v>
      </c>
      <c r="P208" t="n">
        <v>0</v>
      </c>
      <c r="Q208" t="n">
        <v>1</v>
      </c>
      <c r="R208" s="2" t="inlineStr">
        <is>
          <t>Ögonpyrola</t>
        </is>
      </c>
      <c r="S208">
        <f>HYPERLINK("https://klasma.github.io/Logging_2260/artfynd/A 53683-2025 artfynd.xlsx", "A 53683-2025")</f>
        <v/>
      </c>
      <c r="T208">
        <f>HYPERLINK("https://klasma.github.io/Logging_2260/kartor/A 53683-2025 karta.png", "A 53683-2025")</f>
        <v/>
      </c>
      <c r="U208">
        <f>HYPERLINK("https://klasma.github.io/Logging_2260/knärot/A 53683-2025 karta knärot.png", "A 53683-2025")</f>
        <v/>
      </c>
      <c r="V208">
        <f>HYPERLINK("https://klasma.github.io/Logging_2260/klagomål/A 53683-2025 FSC-klagomål.docx", "A 53683-2025")</f>
        <v/>
      </c>
      <c r="W208">
        <f>HYPERLINK("https://klasma.github.io/Logging_2260/klagomålsmail/A 53683-2025 FSC-klagomål mail.docx", "A 53683-2025")</f>
        <v/>
      </c>
      <c r="X208">
        <f>HYPERLINK("https://klasma.github.io/Logging_2260/tillsyn/A 53683-2025 tillsynsbegäran.docx", "A 53683-2025")</f>
        <v/>
      </c>
      <c r="Y208">
        <f>HYPERLINK("https://klasma.github.io/Logging_2260/tillsynsmail/A 53683-2025 tillsynsbegäran mail.docx", "A 53683-2025")</f>
        <v/>
      </c>
    </row>
    <row r="209" ht="15" customHeight="1">
      <c r="A209" t="inlineStr">
        <is>
          <t>A 29327-2023</t>
        </is>
      </c>
      <c r="B209" s="1" t="n">
        <v>45105.94349537037</v>
      </c>
      <c r="C209" s="1" t="n">
        <v>46032</v>
      </c>
      <c r="D209" t="inlineStr">
        <is>
          <t>VÄSTERNORRLANDS LÄN</t>
        </is>
      </c>
      <c r="E209" t="inlineStr">
        <is>
          <t>ÅNGE</t>
        </is>
      </c>
      <c r="G209" t="n">
        <v>7.8</v>
      </c>
      <c r="H209" t="n">
        <v>0</v>
      </c>
      <c r="I209" t="n">
        <v>0</v>
      </c>
      <c r="J209" t="n">
        <v>1</v>
      </c>
      <c r="K209" t="n">
        <v>0</v>
      </c>
      <c r="L209" t="n">
        <v>0</v>
      </c>
      <c r="M209" t="n">
        <v>0</v>
      </c>
      <c r="N209" t="n">
        <v>0</v>
      </c>
      <c r="O209" t="n">
        <v>1</v>
      </c>
      <c r="P209" t="n">
        <v>0</v>
      </c>
      <c r="Q209" t="n">
        <v>1</v>
      </c>
      <c r="R209" s="2" t="inlineStr">
        <is>
          <t>Mörk kolflarnlav</t>
        </is>
      </c>
      <c r="S209">
        <f>HYPERLINK("https://klasma.github.io/Logging_2260/artfynd/A 29327-2023 artfynd.xlsx", "A 29327-2023")</f>
        <v/>
      </c>
      <c r="T209">
        <f>HYPERLINK("https://klasma.github.io/Logging_2260/kartor/A 29327-2023 karta.png", "A 29327-2023")</f>
        <v/>
      </c>
      <c r="V209">
        <f>HYPERLINK("https://klasma.github.io/Logging_2260/klagomål/A 29327-2023 FSC-klagomål.docx", "A 29327-2023")</f>
        <v/>
      </c>
      <c r="W209">
        <f>HYPERLINK("https://klasma.github.io/Logging_2260/klagomålsmail/A 29327-2023 FSC-klagomål mail.docx", "A 29327-2023")</f>
        <v/>
      </c>
      <c r="X209">
        <f>HYPERLINK("https://klasma.github.io/Logging_2260/tillsyn/A 29327-2023 tillsynsbegäran.docx", "A 29327-2023")</f>
        <v/>
      </c>
      <c r="Y209">
        <f>HYPERLINK("https://klasma.github.io/Logging_2260/tillsynsmail/A 29327-2023 tillsynsbegäran mail.docx", "A 29327-2023")</f>
        <v/>
      </c>
    </row>
    <row r="210" ht="15" customHeight="1">
      <c r="A210" t="inlineStr">
        <is>
          <t>A 31878-2024</t>
        </is>
      </c>
      <c r="B210" s="1" t="n">
        <v>45509</v>
      </c>
      <c r="C210" s="1" t="n">
        <v>46032</v>
      </c>
      <c r="D210" t="inlineStr">
        <is>
          <t>VÄSTERNORRLANDS LÄN</t>
        </is>
      </c>
      <c r="E210" t="inlineStr">
        <is>
          <t>ÅNGE</t>
        </is>
      </c>
      <c r="F210" t="inlineStr">
        <is>
          <t>SCA</t>
        </is>
      </c>
      <c r="G210" t="n">
        <v>5.1</v>
      </c>
      <c r="H210" t="n">
        <v>0</v>
      </c>
      <c r="I210" t="n">
        <v>1</v>
      </c>
      <c r="J210" t="n">
        <v>0</v>
      </c>
      <c r="K210" t="n">
        <v>0</v>
      </c>
      <c r="L210" t="n">
        <v>0</v>
      </c>
      <c r="M210" t="n">
        <v>0</v>
      </c>
      <c r="N210" t="n">
        <v>0</v>
      </c>
      <c r="O210" t="n">
        <v>0</v>
      </c>
      <c r="P210" t="n">
        <v>0</v>
      </c>
      <c r="Q210" t="n">
        <v>1</v>
      </c>
      <c r="R210" s="2" t="inlineStr">
        <is>
          <t>Grönpyrola</t>
        </is>
      </c>
      <c r="S210">
        <f>HYPERLINK("https://klasma.github.io/Logging_2260/artfynd/A 31878-2024 artfynd.xlsx", "A 31878-2024")</f>
        <v/>
      </c>
      <c r="T210">
        <f>HYPERLINK("https://klasma.github.io/Logging_2260/kartor/A 31878-2024 karta.png", "A 31878-2024")</f>
        <v/>
      </c>
      <c r="V210">
        <f>HYPERLINK("https://klasma.github.io/Logging_2260/klagomål/A 31878-2024 FSC-klagomål.docx", "A 31878-2024")</f>
        <v/>
      </c>
      <c r="W210">
        <f>HYPERLINK("https://klasma.github.io/Logging_2260/klagomålsmail/A 31878-2024 FSC-klagomål mail.docx", "A 31878-2024")</f>
        <v/>
      </c>
      <c r="X210">
        <f>HYPERLINK("https://klasma.github.io/Logging_2260/tillsyn/A 31878-2024 tillsynsbegäran.docx", "A 31878-2024")</f>
        <v/>
      </c>
      <c r="Y210">
        <f>HYPERLINK("https://klasma.github.io/Logging_2260/tillsynsmail/A 31878-2024 tillsynsbegäran mail.docx", "A 31878-2024")</f>
        <v/>
      </c>
    </row>
    <row r="211" ht="15" customHeight="1">
      <c r="A211" t="inlineStr">
        <is>
          <t>A 25705-2024</t>
        </is>
      </c>
      <c r="B211" s="1" t="n">
        <v>45463.9428587963</v>
      </c>
      <c r="C211" s="1" t="n">
        <v>46032</v>
      </c>
      <c r="D211" t="inlineStr">
        <is>
          <t>VÄSTERNORRLANDS LÄN</t>
        </is>
      </c>
      <c r="E211" t="inlineStr">
        <is>
          <t>ÅNGE</t>
        </is>
      </c>
      <c r="F211" t="inlineStr">
        <is>
          <t>SCA</t>
        </is>
      </c>
      <c r="G211" t="n">
        <v>10.6</v>
      </c>
      <c r="H211" t="n">
        <v>1</v>
      </c>
      <c r="I211" t="n">
        <v>1</v>
      </c>
      <c r="J211" t="n">
        <v>0</v>
      </c>
      <c r="K211" t="n">
        <v>0</v>
      </c>
      <c r="L211" t="n">
        <v>0</v>
      </c>
      <c r="M211" t="n">
        <v>0</v>
      </c>
      <c r="N211" t="n">
        <v>0</v>
      </c>
      <c r="O211" t="n">
        <v>0</v>
      </c>
      <c r="P211" t="n">
        <v>0</v>
      </c>
      <c r="Q211" t="n">
        <v>1</v>
      </c>
      <c r="R211" s="2" t="inlineStr">
        <is>
          <t>Korallrot</t>
        </is>
      </c>
      <c r="S211">
        <f>HYPERLINK("https://klasma.github.io/Logging_2260/artfynd/A 25705-2024 artfynd.xlsx", "A 25705-2024")</f>
        <v/>
      </c>
      <c r="T211">
        <f>HYPERLINK("https://klasma.github.io/Logging_2260/kartor/A 25705-2024 karta.png", "A 25705-2024")</f>
        <v/>
      </c>
      <c r="V211">
        <f>HYPERLINK("https://klasma.github.io/Logging_2260/klagomål/A 25705-2024 FSC-klagomål.docx", "A 25705-2024")</f>
        <v/>
      </c>
      <c r="W211">
        <f>HYPERLINK("https://klasma.github.io/Logging_2260/klagomålsmail/A 25705-2024 FSC-klagomål mail.docx", "A 25705-2024")</f>
        <v/>
      </c>
      <c r="X211">
        <f>HYPERLINK("https://klasma.github.io/Logging_2260/tillsyn/A 25705-2024 tillsynsbegäran.docx", "A 25705-2024")</f>
        <v/>
      </c>
      <c r="Y211">
        <f>HYPERLINK("https://klasma.github.io/Logging_2260/tillsynsmail/A 25705-2024 tillsynsbegäran mail.docx", "A 25705-2024")</f>
        <v/>
      </c>
    </row>
    <row r="212" ht="15" customHeight="1">
      <c r="A212" t="inlineStr">
        <is>
          <t>A 20192-2025</t>
        </is>
      </c>
      <c r="B212" s="1" t="n">
        <v>45772.60177083333</v>
      </c>
      <c r="C212" s="1" t="n">
        <v>46032</v>
      </c>
      <c r="D212" t="inlineStr">
        <is>
          <t>VÄSTERNORRLANDS LÄN</t>
        </is>
      </c>
      <c r="E212" t="inlineStr">
        <is>
          <t>ÅNGE</t>
        </is>
      </c>
      <c r="F212" t="inlineStr">
        <is>
          <t>Sveaskog</t>
        </is>
      </c>
      <c r="G212" t="n">
        <v>8.800000000000001</v>
      </c>
      <c r="H212" t="n">
        <v>1</v>
      </c>
      <c r="I212" t="n">
        <v>0</v>
      </c>
      <c r="J212" t="n">
        <v>0</v>
      </c>
      <c r="K212" t="n">
        <v>0</v>
      </c>
      <c r="L212" t="n">
        <v>0</v>
      </c>
      <c r="M212" t="n">
        <v>0</v>
      </c>
      <c r="N212" t="n">
        <v>0</v>
      </c>
      <c r="O212" t="n">
        <v>0</v>
      </c>
      <c r="P212" t="n">
        <v>0</v>
      </c>
      <c r="Q212" t="n">
        <v>1</v>
      </c>
      <c r="R212" s="2" t="inlineStr">
        <is>
          <t>Blåsippa</t>
        </is>
      </c>
      <c r="S212">
        <f>HYPERLINK("https://klasma.github.io/Logging_2260/artfynd/A 20192-2025 artfynd.xlsx", "A 20192-2025")</f>
        <v/>
      </c>
      <c r="T212">
        <f>HYPERLINK("https://klasma.github.io/Logging_2260/kartor/A 20192-2025 karta.png", "A 20192-2025")</f>
        <v/>
      </c>
      <c r="V212">
        <f>HYPERLINK("https://klasma.github.io/Logging_2260/klagomål/A 20192-2025 FSC-klagomål.docx", "A 20192-2025")</f>
        <v/>
      </c>
      <c r="W212">
        <f>HYPERLINK("https://klasma.github.io/Logging_2260/klagomålsmail/A 20192-2025 FSC-klagomål mail.docx", "A 20192-2025")</f>
        <v/>
      </c>
      <c r="X212">
        <f>HYPERLINK("https://klasma.github.io/Logging_2260/tillsyn/A 20192-2025 tillsynsbegäran.docx", "A 20192-2025")</f>
        <v/>
      </c>
      <c r="Y212">
        <f>HYPERLINK("https://klasma.github.io/Logging_2260/tillsynsmail/A 20192-2025 tillsynsbegäran mail.docx", "A 20192-2025")</f>
        <v/>
      </c>
    </row>
    <row r="213" ht="15" customHeight="1">
      <c r="A213" t="inlineStr">
        <is>
          <t>A 39638-2024</t>
        </is>
      </c>
      <c r="B213" s="1" t="n">
        <v>45552</v>
      </c>
      <c r="C213" s="1" t="n">
        <v>46032</v>
      </c>
      <c r="D213" t="inlineStr">
        <is>
          <t>VÄSTERNORRLANDS LÄN</t>
        </is>
      </c>
      <c r="E213" t="inlineStr">
        <is>
          <t>ÅNGE</t>
        </is>
      </c>
      <c r="G213" t="n">
        <v>3</v>
      </c>
      <c r="H213" t="n">
        <v>1</v>
      </c>
      <c r="I213" t="n">
        <v>0</v>
      </c>
      <c r="J213" t="n">
        <v>0</v>
      </c>
      <c r="K213" t="n">
        <v>0</v>
      </c>
      <c r="L213" t="n">
        <v>0</v>
      </c>
      <c r="M213" t="n">
        <v>0</v>
      </c>
      <c r="N213" t="n">
        <v>0</v>
      </c>
      <c r="O213" t="n">
        <v>0</v>
      </c>
      <c r="P213" t="n">
        <v>0</v>
      </c>
      <c r="Q213" t="n">
        <v>1</v>
      </c>
      <c r="R213" s="2" t="inlineStr">
        <is>
          <t>Tjäder</t>
        </is>
      </c>
      <c r="S213">
        <f>HYPERLINK("https://klasma.github.io/Logging_2260/artfynd/A 39638-2024 artfynd.xlsx", "A 39638-2024")</f>
        <v/>
      </c>
      <c r="T213">
        <f>HYPERLINK("https://klasma.github.io/Logging_2260/kartor/A 39638-2024 karta.png", "A 39638-2024")</f>
        <v/>
      </c>
      <c r="V213">
        <f>HYPERLINK("https://klasma.github.io/Logging_2260/klagomål/A 39638-2024 FSC-klagomål.docx", "A 39638-2024")</f>
        <v/>
      </c>
      <c r="W213">
        <f>HYPERLINK("https://klasma.github.io/Logging_2260/klagomålsmail/A 39638-2024 FSC-klagomål mail.docx", "A 39638-2024")</f>
        <v/>
      </c>
      <c r="X213">
        <f>HYPERLINK("https://klasma.github.io/Logging_2260/tillsyn/A 39638-2024 tillsynsbegäran.docx", "A 39638-2024")</f>
        <v/>
      </c>
      <c r="Y213">
        <f>HYPERLINK("https://klasma.github.io/Logging_2260/tillsynsmail/A 39638-2024 tillsynsbegäran mail.docx", "A 39638-2024")</f>
        <v/>
      </c>
      <c r="Z213">
        <f>HYPERLINK("https://klasma.github.io/Logging_2260/fåglar/A 39638-2024 prioriterade fågelarter.docx", "A 39638-2024")</f>
        <v/>
      </c>
    </row>
    <row r="214" ht="15" customHeight="1">
      <c r="A214" t="inlineStr">
        <is>
          <t>A 57272-2024</t>
        </is>
      </c>
      <c r="B214" s="1" t="n">
        <v>45629.57380787037</v>
      </c>
      <c r="C214" s="1" t="n">
        <v>46032</v>
      </c>
      <c r="D214" t="inlineStr">
        <is>
          <t>VÄSTERNORRLANDS LÄN</t>
        </is>
      </c>
      <c r="E214" t="inlineStr">
        <is>
          <t>ÅNGE</t>
        </is>
      </c>
      <c r="F214" t="inlineStr">
        <is>
          <t>SCA</t>
        </is>
      </c>
      <c r="G214" t="n">
        <v>5.4</v>
      </c>
      <c r="H214" t="n">
        <v>0</v>
      </c>
      <c r="I214" t="n">
        <v>0</v>
      </c>
      <c r="J214" t="n">
        <v>1</v>
      </c>
      <c r="K214" t="n">
        <v>0</v>
      </c>
      <c r="L214" t="n">
        <v>0</v>
      </c>
      <c r="M214" t="n">
        <v>0</v>
      </c>
      <c r="N214" t="n">
        <v>0</v>
      </c>
      <c r="O214" t="n">
        <v>1</v>
      </c>
      <c r="P214" t="n">
        <v>0</v>
      </c>
      <c r="Q214" t="n">
        <v>1</v>
      </c>
      <c r="R214" s="2" t="inlineStr">
        <is>
          <t>Orange taggsvamp</t>
        </is>
      </c>
      <c r="S214">
        <f>HYPERLINK("https://klasma.github.io/Logging_2260/artfynd/A 57272-2024 artfynd.xlsx", "A 57272-2024")</f>
        <v/>
      </c>
      <c r="T214">
        <f>HYPERLINK("https://klasma.github.io/Logging_2260/kartor/A 57272-2024 karta.png", "A 57272-2024")</f>
        <v/>
      </c>
      <c r="V214">
        <f>HYPERLINK("https://klasma.github.io/Logging_2260/klagomål/A 57272-2024 FSC-klagomål.docx", "A 57272-2024")</f>
        <v/>
      </c>
      <c r="W214">
        <f>HYPERLINK("https://klasma.github.io/Logging_2260/klagomålsmail/A 57272-2024 FSC-klagomål mail.docx", "A 57272-2024")</f>
        <v/>
      </c>
      <c r="X214">
        <f>HYPERLINK("https://klasma.github.io/Logging_2260/tillsyn/A 57272-2024 tillsynsbegäran.docx", "A 57272-2024")</f>
        <v/>
      </c>
      <c r="Y214">
        <f>HYPERLINK("https://klasma.github.io/Logging_2260/tillsynsmail/A 57272-2024 tillsynsbegäran mail.docx", "A 57272-2024")</f>
        <v/>
      </c>
    </row>
    <row r="215" ht="15" customHeight="1">
      <c r="A215" t="inlineStr">
        <is>
          <t>A 1449-2025</t>
        </is>
      </c>
      <c r="B215" s="1" t="n">
        <v>45670.27537037037</v>
      </c>
      <c r="C215" s="1" t="n">
        <v>46032</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4351-2024</t>
        </is>
      </c>
      <c r="B216" s="1" t="n">
        <v>45324</v>
      </c>
      <c r="C216" s="1" t="n">
        <v>46032</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329-2026</t>
        </is>
      </c>
      <c r="B217" s="1" t="n">
        <v>46027.59431712963</v>
      </c>
      <c r="C217" s="1" t="n">
        <v>46032</v>
      </c>
      <c r="D217" t="inlineStr">
        <is>
          <t>VÄSTERNORRLANDS LÄN</t>
        </is>
      </c>
      <c r="E217" t="inlineStr">
        <is>
          <t>ÅNGE</t>
        </is>
      </c>
      <c r="F217" t="inlineStr">
        <is>
          <t>SCA</t>
        </is>
      </c>
      <c r="G217" t="n">
        <v>3.3</v>
      </c>
      <c r="H217" t="n">
        <v>1</v>
      </c>
      <c r="I217" t="n">
        <v>0</v>
      </c>
      <c r="J217" t="n">
        <v>0</v>
      </c>
      <c r="K217" t="n">
        <v>0</v>
      </c>
      <c r="L217" t="n">
        <v>0</v>
      </c>
      <c r="M217" t="n">
        <v>0</v>
      </c>
      <c r="N217" t="n">
        <v>0</v>
      </c>
      <c r="O217" t="n">
        <v>0</v>
      </c>
      <c r="P217" t="n">
        <v>0</v>
      </c>
      <c r="Q217" t="n">
        <v>1</v>
      </c>
      <c r="R217" s="2" t="inlineStr">
        <is>
          <t>Revlummer</t>
        </is>
      </c>
      <c r="S217">
        <f>HYPERLINK("https://klasma.github.io/Logging_2260/artfynd/A 329-2026 artfynd.xlsx", "A 329-2026")</f>
        <v/>
      </c>
      <c r="T217">
        <f>HYPERLINK("https://klasma.github.io/Logging_2260/kartor/A 329-2026 karta.png", "A 329-2026")</f>
        <v/>
      </c>
      <c r="V217">
        <f>HYPERLINK("https://klasma.github.io/Logging_2260/klagomål/A 329-2026 FSC-klagomål.docx", "A 329-2026")</f>
        <v/>
      </c>
      <c r="W217">
        <f>HYPERLINK("https://klasma.github.io/Logging_2260/klagomålsmail/A 329-2026 FSC-klagomål mail.docx", "A 329-2026")</f>
        <v/>
      </c>
      <c r="X217">
        <f>HYPERLINK("https://klasma.github.io/Logging_2260/tillsyn/A 329-2026 tillsynsbegäran.docx", "A 329-2026")</f>
        <v/>
      </c>
      <c r="Y217">
        <f>HYPERLINK("https://klasma.github.io/Logging_2260/tillsynsmail/A 329-2026 tillsynsbegäran mail.docx", "A 329-2026")</f>
        <v/>
      </c>
    </row>
    <row r="218" ht="15" customHeight="1">
      <c r="A218" t="inlineStr">
        <is>
          <t>A 58534-2025</t>
        </is>
      </c>
      <c r="B218" s="1" t="n">
        <v>45985.80396990741</v>
      </c>
      <c r="C218" s="1" t="n">
        <v>46032</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40214-2024</t>
        </is>
      </c>
      <c r="B219" s="1" t="n">
        <v>45554.59460648148</v>
      </c>
      <c r="C219" s="1" t="n">
        <v>46032</v>
      </c>
      <c r="D219" t="inlineStr">
        <is>
          <t>VÄSTERNORRLANDS LÄN</t>
        </is>
      </c>
      <c r="E219" t="inlineStr">
        <is>
          <t>ÅNGE</t>
        </is>
      </c>
      <c r="F219" t="inlineStr">
        <is>
          <t>SCA</t>
        </is>
      </c>
      <c r="G219" t="n">
        <v>7.7</v>
      </c>
      <c r="H219" t="n">
        <v>0</v>
      </c>
      <c r="I219" t="n">
        <v>0</v>
      </c>
      <c r="J219" t="n">
        <v>1</v>
      </c>
      <c r="K219" t="n">
        <v>0</v>
      </c>
      <c r="L219" t="n">
        <v>0</v>
      </c>
      <c r="M219" t="n">
        <v>0</v>
      </c>
      <c r="N219" t="n">
        <v>0</v>
      </c>
      <c r="O219" t="n">
        <v>1</v>
      </c>
      <c r="P219" t="n">
        <v>0</v>
      </c>
      <c r="Q219" t="n">
        <v>1</v>
      </c>
      <c r="R219" s="2" t="inlineStr">
        <is>
          <t>Lunglav</t>
        </is>
      </c>
      <c r="S219">
        <f>HYPERLINK("https://klasma.github.io/Logging_2260/artfynd/A 40214-2024 artfynd.xlsx", "A 40214-2024")</f>
        <v/>
      </c>
      <c r="T219">
        <f>HYPERLINK("https://klasma.github.io/Logging_2260/kartor/A 40214-2024 karta.png", "A 40214-2024")</f>
        <v/>
      </c>
      <c r="V219">
        <f>HYPERLINK("https://klasma.github.io/Logging_2260/klagomål/A 40214-2024 FSC-klagomål.docx", "A 40214-2024")</f>
        <v/>
      </c>
      <c r="W219">
        <f>HYPERLINK("https://klasma.github.io/Logging_2260/klagomålsmail/A 40214-2024 FSC-klagomål mail.docx", "A 40214-2024")</f>
        <v/>
      </c>
      <c r="X219">
        <f>HYPERLINK("https://klasma.github.io/Logging_2260/tillsyn/A 40214-2024 tillsynsbegäran.docx", "A 40214-2024")</f>
        <v/>
      </c>
      <c r="Y219">
        <f>HYPERLINK("https://klasma.github.io/Logging_2260/tillsynsmail/A 40214-2024 tillsynsbegäran mail.docx", "A 40214-2024")</f>
        <v/>
      </c>
    </row>
    <row r="220" ht="15" customHeight="1">
      <c r="A220" t="inlineStr">
        <is>
          <t>A 52424-2023</t>
        </is>
      </c>
      <c r="B220" s="1" t="n">
        <v>45217</v>
      </c>
      <c r="C220" s="1" t="n">
        <v>46032</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31544-2024</t>
        </is>
      </c>
      <c r="B221" s="1" t="n">
        <v>45505</v>
      </c>
      <c r="C221" s="1" t="n">
        <v>46032</v>
      </c>
      <c r="D221" t="inlineStr">
        <is>
          <t>VÄSTERNORRLANDS LÄN</t>
        </is>
      </c>
      <c r="E221" t="inlineStr">
        <is>
          <t>ÅNGE</t>
        </is>
      </c>
      <c r="F221" t="inlineStr">
        <is>
          <t>SCA</t>
        </is>
      </c>
      <c r="G221" t="n">
        <v>3.5</v>
      </c>
      <c r="H221" t="n">
        <v>0</v>
      </c>
      <c r="I221" t="n">
        <v>0</v>
      </c>
      <c r="J221" t="n">
        <v>1</v>
      </c>
      <c r="K221" t="n">
        <v>0</v>
      </c>
      <c r="L221" t="n">
        <v>0</v>
      </c>
      <c r="M221" t="n">
        <v>0</v>
      </c>
      <c r="N221" t="n">
        <v>0</v>
      </c>
      <c r="O221" t="n">
        <v>1</v>
      </c>
      <c r="P221" t="n">
        <v>0</v>
      </c>
      <c r="Q221" t="n">
        <v>1</v>
      </c>
      <c r="R221" s="2" t="inlineStr">
        <is>
          <t>Granticka</t>
        </is>
      </c>
      <c r="S221">
        <f>HYPERLINK("https://klasma.github.io/Logging_2260/artfynd/A 31544-2024 artfynd.xlsx", "A 31544-2024")</f>
        <v/>
      </c>
      <c r="T221">
        <f>HYPERLINK("https://klasma.github.io/Logging_2260/kartor/A 31544-2024 karta.png", "A 31544-2024")</f>
        <v/>
      </c>
      <c r="V221">
        <f>HYPERLINK("https://klasma.github.io/Logging_2260/klagomål/A 31544-2024 FSC-klagomål.docx", "A 31544-2024")</f>
        <v/>
      </c>
      <c r="W221">
        <f>HYPERLINK("https://klasma.github.io/Logging_2260/klagomålsmail/A 31544-2024 FSC-klagomål mail.docx", "A 31544-2024")</f>
        <v/>
      </c>
      <c r="X221">
        <f>HYPERLINK("https://klasma.github.io/Logging_2260/tillsyn/A 31544-2024 tillsynsbegäran.docx", "A 31544-2024")</f>
        <v/>
      </c>
      <c r="Y221">
        <f>HYPERLINK("https://klasma.github.io/Logging_2260/tillsynsmail/A 31544-2024 tillsynsbegäran mail.docx", "A 31544-2024")</f>
        <v/>
      </c>
    </row>
    <row r="222" ht="15" customHeight="1">
      <c r="A222" t="inlineStr">
        <is>
          <t>A 56091-2024</t>
        </is>
      </c>
      <c r="B222" s="1" t="n">
        <v>45624.40678240741</v>
      </c>
      <c r="C222" s="1" t="n">
        <v>46032</v>
      </c>
      <c r="D222" t="inlineStr">
        <is>
          <t>VÄSTERNORRLANDS LÄN</t>
        </is>
      </c>
      <c r="E222" t="inlineStr">
        <is>
          <t>ÅNGE</t>
        </is>
      </c>
      <c r="F222" t="inlineStr">
        <is>
          <t>SCA</t>
        </is>
      </c>
      <c r="G222" t="n">
        <v>2.5</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56091-2024 artfynd.xlsx", "A 56091-2024")</f>
        <v/>
      </c>
      <c r="T222">
        <f>HYPERLINK("https://klasma.github.io/Logging_2260/kartor/A 56091-2024 karta.png", "A 56091-2024")</f>
        <v/>
      </c>
      <c r="V222">
        <f>HYPERLINK("https://klasma.github.io/Logging_2260/klagomål/A 56091-2024 FSC-klagomål.docx", "A 56091-2024")</f>
        <v/>
      </c>
      <c r="W222">
        <f>HYPERLINK("https://klasma.github.io/Logging_2260/klagomålsmail/A 56091-2024 FSC-klagomål mail.docx", "A 56091-2024")</f>
        <v/>
      </c>
      <c r="X222">
        <f>HYPERLINK("https://klasma.github.io/Logging_2260/tillsyn/A 56091-2024 tillsynsbegäran.docx", "A 56091-2024")</f>
        <v/>
      </c>
      <c r="Y222">
        <f>HYPERLINK("https://klasma.github.io/Logging_2260/tillsynsmail/A 56091-2024 tillsynsbegäran mail.docx", "A 56091-2024")</f>
        <v/>
      </c>
    </row>
    <row r="223" ht="15" customHeight="1">
      <c r="A223" t="inlineStr">
        <is>
          <t>A 13934-2024</t>
        </is>
      </c>
      <c r="B223" s="1" t="n">
        <v>45391</v>
      </c>
      <c r="C223" s="1" t="n">
        <v>46032</v>
      </c>
      <c r="D223" t="inlineStr">
        <is>
          <t>VÄSTERNORRLANDS LÄN</t>
        </is>
      </c>
      <c r="E223" t="inlineStr">
        <is>
          <t>ÅNGE</t>
        </is>
      </c>
      <c r="F223" t="inlineStr">
        <is>
          <t>SCA</t>
        </is>
      </c>
      <c r="G223" t="n">
        <v>5.8</v>
      </c>
      <c r="H223" t="n">
        <v>0</v>
      </c>
      <c r="I223" t="n">
        <v>0</v>
      </c>
      <c r="J223" t="n">
        <v>1</v>
      </c>
      <c r="K223" t="n">
        <v>0</v>
      </c>
      <c r="L223" t="n">
        <v>0</v>
      </c>
      <c r="M223" t="n">
        <v>0</v>
      </c>
      <c r="N223" t="n">
        <v>0</v>
      </c>
      <c r="O223" t="n">
        <v>1</v>
      </c>
      <c r="P223" t="n">
        <v>0</v>
      </c>
      <c r="Q223" t="n">
        <v>1</v>
      </c>
      <c r="R223" s="2" t="inlineStr">
        <is>
          <t>Ullticka</t>
        </is>
      </c>
      <c r="S223">
        <f>HYPERLINK("https://klasma.github.io/Logging_2260/artfynd/A 13934-2024 artfynd.xlsx", "A 13934-2024")</f>
        <v/>
      </c>
      <c r="T223">
        <f>HYPERLINK("https://klasma.github.io/Logging_2260/kartor/A 13934-2024 karta.png", "A 13934-2024")</f>
        <v/>
      </c>
      <c r="V223">
        <f>HYPERLINK("https://klasma.github.io/Logging_2260/klagomål/A 13934-2024 FSC-klagomål.docx", "A 13934-2024")</f>
        <v/>
      </c>
      <c r="W223">
        <f>HYPERLINK("https://klasma.github.io/Logging_2260/klagomålsmail/A 13934-2024 FSC-klagomål mail.docx", "A 13934-2024")</f>
        <v/>
      </c>
      <c r="X223">
        <f>HYPERLINK("https://klasma.github.io/Logging_2260/tillsyn/A 13934-2024 tillsynsbegäran.docx", "A 13934-2024")</f>
        <v/>
      </c>
      <c r="Y223">
        <f>HYPERLINK("https://klasma.github.io/Logging_2260/tillsynsmail/A 13934-2024 tillsynsbegäran mail.docx", "A 13934-2024")</f>
        <v/>
      </c>
    </row>
    <row r="224" ht="15" customHeight="1">
      <c r="A224" t="inlineStr">
        <is>
          <t>A 43171-2024</t>
        </is>
      </c>
      <c r="B224" s="1" t="n">
        <v>45567</v>
      </c>
      <c r="C224" s="1" t="n">
        <v>46032</v>
      </c>
      <c r="D224" t="inlineStr">
        <is>
          <t>VÄSTERNORRLANDS LÄN</t>
        </is>
      </c>
      <c r="E224" t="inlineStr">
        <is>
          <t>ÅNGE</t>
        </is>
      </c>
      <c r="F224" t="inlineStr">
        <is>
          <t>SCA</t>
        </is>
      </c>
      <c r="G224" t="n">
        <v>3.4</v>
      </c>
      <c r="H224" t="n">
        <v>0</v>
      </c>
      <c r="I224" t="n">
        <v>0</v>
      </c>
      <c r="J224" t="n">
        <v>1</v>
      </c>
      <c r="K224" t="n">
        <v>0</v>
      </c>
      <c r="L224" t="n">
        <v>0</v>
      </c>
      <c r="M224" t="n">
        <v>0</v>
      </c>
      <c r="N224" t="n">
        <v>0</v>
      </c>
      <c r="O224" t="n">
        <v>1</v>
      </c>
      <c r="P224" t="n">
        <v>0</v>
      </c>
      <c r="Q224" t="n">
        <v>1</v>
      </c>
      <c r="R224" s="2" t="inlineStr">
        <is>
          <t>Rosenticka</t>
        </is>
      </c>
      <c r="S224">
        <f>HYPERLINK("https://klasma.github.io/Logging_2260/artfynd/A 43171-2024 artfynd.xlsx", "A 43171-2024")</f>
        <v/>
      </c>
      <c r="T224">
        <f>HYPERLINK("https://klasma.github.io/Logging_2260/kartor/A 43171-2024 karta.png", "A 43171-2024")</f>
        <v/>
      </c>
      <c r="V224">
        <f>HYPERLINK("https://klasma.github.io/Logging_2260/klagomål/A 43171-2024 FSC-klagomål.docx", "A 43171-2024")</f>
        <v/>
      </c>
      <c r="W224">
        <f>HYPERLINK("https://klasma.github.io/Logging_2260/klagomålsmail/A 43171-2024 FSC-klagomål mail.docx", "A 43171-2024")</f>
        <v/>
      </c>
      <c r="X224">
        <f>HYPERLINK("https://klasma.github.io/Logging_2260/tillsyn/A 43171-2024 tillsynsbegäran.docx", "A 43171-2024")</f>
        <v/>
      </c>
      <c r="Y224">
        <f>HYPERLINK("https://klasma.github.io/Logging_2260/tillsynsmail/A 43171-2024 tillsynsbegäran mail.docx", "A 43171-2024")</f>
        <v/>
      </c>
    </row>
    <row r="225" ht="15" customHeight="1">
      <c r="A225" t="inlineStr">
        <is>
          <t>A 55015-2023</t>
        </is>
      </c>
      <c r="B225" s="1" t="n">
        <v>45237.32185185186</v>
      </c>
      <c r="C225" s="1" t="n">
        <v>46032</v>
      </c>
      <c r="D225" t="inlineStr">
        <is>
          <t>VÄSTERNORRLANDS LÄN</t>
        </is>
      </c>
      <c r="E225" t="inlineStr">
        <is>
          <t>ÅNGE</t>
        </is>
      </c>
      <c r="F225" t="inlineStr">
        <is>
          <t>Sveaskog</t>
        </is>
      </c>
      <c r="G225" t="n">
        <v>2.7</v>
      </c>
      <c r="H225" t="n">
        <v>0</v>
      </c>
      <c r="I225" t="n">
        <v>0</v>
      </c>
      <c r="J225" t="n">
        <v>1</v>
      </c>
      <c r="K225" t="n">
        <v>0</v>
      </c>
      <c r="L225" t="n">
        <v>0</v>
      </c>
      <c r="M225" t="n">
        <v>0</v>
      </c>
      <c r="N225" t="n">
        <v>0</v>
      </c>
      <c r="O225" t="n">
        <v>1</v>
      </c>
      <c r="P225" t="n">
        <v>0</v>
      </c>
      <c r="Q225" t="n">
        <v>1</v>
      </c>
      <c r="R225" s="2" t="inlineStr">
        <is>
          <t>Lunglav</t>
        </is>
      </c>
      <c r="S225">
        <f>HYPERLINK("https://klasma.github.io/Logging_2260/artfynd/A 55015-2023 artfynd.xlsx", "A 55015-2023")</f>
        <v/>
      </c>
      <c r="T225">
        <f>HYPERLINK("https://klasma.github.io/Logging_2260/kartor/A 55015-2023 karta.png", "A 55015-2023")</f>
        <v/>
      </c>
      <c r="V225">
        <f>HYPERLINK("https://klasma.github.io/Logging_2260/klagomål/A 55015-2023 FSC-klagomål.docx", "A 55015-2023")</f>
        <v/>
      </c>
      <c r="W225">
        <f>HYPERLINK("https://klasma.github.io/Logging_2260/klagomålsmail/A 55015-2023 FSC-klagomål mail.docx", "A 55015-2023")</f>
        <v/>
      </c>
      <c r="X225">
        <f>HYPERLINK("https://klasma.github.io/Logging_2260/tillsyn/A 55015-2023 tillsynsbegäran.docx", "A 55015-2023")</f>
        <v/>
      </c>
      <c r="Y225">
        <f>HYPERLINK("https://klasma.github.io/Logging_2260/tillsynsmail/A 55015-2023 tillsynsbegäran mail.docx", "A 55015-2023")</f>
        <v/>
      </c>
    </row>
    <row r="226" ht="15" customHeight="1">
      <c r="A226" t="inlineStr">
        <is>
          <t>A 41493-2021</t>
        </is>
      </c>
      <c r="B226" s="1" t="n">
        <v>44424</v>
      </c>
      <c r="C226" s="1" t="n">
        <v>46032</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31510-2024</t>
        </is>
      </c>
      <c r="B227" s="1" t="n">
        <v>45505</v>
      </c>
      <c r="C227" s="1" t="n">
        <v>46032</v>
      </c>
      <c r="D227" t="inlineStr">
        <is>
          <t>VÄSTERNORRLANDS LÄN</t>
        </is>
      </c>
      <c r="E227" t="inlineStr">
        <is>
          <t>ÅNGE</t>
        </is>
      </c>
      <c r="F227" t="inlineStr">
        <is>
          <t>SCA</t>
        </is>
      </c>
      <c r="G227" t="n">
        <v>6</v>
      </c>
      <c r="H227" t="n">
        <v>1</v>
      </c>
      <c r="I227" t="n">
        <v>0</v>
      </c>
      <c r="J227" t="n">
        <v>0</v>
      </c>
      <c r="K227" t="n">
        <v>1</v>
      </c>
      <c r="L227" t="n">
        <v>0</v>
      </c>
      <c r="M227" t="n">
        <v>0</v>
      </c>
      <c r="N227" t="n">
        <v>0</v>
      </c>
      <c r="O227" t="n">
        <v>1</v>
      </c>
      <c r="P227" t="n">
        <v>1</v>
      </c>
      <c r="Q227" t="n">
        <v>1</v>
      </c>
      <c r="R227" s="2" t="inlineStr">
        <is>
          <t>Doftticka</t>
        </is>
      </c>
      <c r="S227">
        <f>HYPERLINK("https://klasma.github.io/Logging_2260/artfynd/A 31510-2024 artfynd.xlsx", "A 31510-2024")</f>
        <v/>
      </c>
      <c r="T227">
        <f>HYPERLINK("https://klasma.github.io/Logging_2260/kartor/A 31510-2024 karta.png", "A 31510-2024")</f>
        <v/>
      </c>
      <c r="V227">
        <f>HYPERLINK("https://klasma.github.io/Logging_2260/klagomål/A 31510-2024 FSC-klagomål.docx", "A 31510-2024")</f>
        <v/>
      </c>
      <c r="W227">
        <f>HYPERLINK("https://klasma.github.io/Logging_2260/klagomålsmail/A 31510-2024 FSC-klagomål mail.docx", "A 31510-2024")</f>
        <v/>
      </c>
      <c r="X227">
        <f>HYPERLINK("https://klasma.github.io/Logging_2260/tillsyn/A 31510-2024 tillsynsbegäran.docx", "A 31510-2024")</f>
        <v/>
      </c>
      <c r="Y227">
        <f>HYPERLINK("https://klasma.github.io/Logging_2260/tillsynsmail/A 31510-2024 tillsynsbegäran mail.docx", "A 31510-2024")</f>
        <v/>
      </c>
    </row>
    <row r="228" ht="15" customHeight="1">
      <c r="A228" t="inlineStr">
        <is>
          <t>A 37914-2024</t>
        </is>
      </c>
      <c r="B228" s="1" t="n">
        <v>45544</v>
      </c>
      <c r="C228" s="1" t="n">
        <v>46032</v>
      </c>
      <c r="D228" t="inlineStr">
        <is>
          <t>VÄSTERNORRLANDS LÄN</t>
        </is>
      </c>
      <c r="E228" t="inlineStr">
        <is>
          <t>ÅNGE</t>
        </is>
      </c>
      <c r="F228" t="inlineStr">
        <is>
          <t>SCA</t>
        </is>
      </c>
      <c r="G228" t="n">
        <v>9</v>
      </c>
      <c r="H228" t="n">
        <v>0</v>
      </c>
      <c r="I228" t="n">
        <v>0</v>
      </c>
      <c r="J228" t="n">
        <v>1</v>
      </c>
      <c r="K228" t="n">
        <v>0</v>
      </c>
      <c r="L228" t="n">
        <v>0</v>
      </c>
      <c r="M228" t="n">
        <v>0</v>
      </c>
      <c r="N228" t="n">
        <v>0</v>
      </c>
      <c r="O228" t="n">
        <v>1</v>
      </c>
      <c r="P228" t="n">
        <v>0</v>
      </c>
      <c r="Q228" t="n">
        <v>1</v>
      </c>
      <c r="R228" s="2" t="inlineStr">
        <is>
          <t>Granticka</t>
        </is>
      </c>
      <c r="S228">
        <f>HYPERLINK("https://klasma.github.io/Logging_2260/artfynd/A 37914-2024 artfynd.xlsx", "A 37914-2024")</f>
        <v/>
      </c>
      <c r="T228">
        <f>HYPERLINK("https://klasma.github.io/Logging_2260/kartor/A 37914-2024 karta.png", "A 37914-2024")</f>
        <v/>
      </c>
      <c r="V228">
        <f>HYPERLINK("https://klasma.github.io/Logging_2260/klagomål/A 37914-2024 FSC-klagomål.docx", "A 37914-2024")</f>
        <v/>
      </c>
      <c r="W228">
        <f>HYPERLINK("https://klasma.github.io/Logging_2260/klagomålsmail/A 37914-2024 FSC-klagomål mail.docx", "A 37914-2024")</f>
        <v/>
      </c>
      <c r="X228">
        <f>HYPERLINK("https://klasma.github.io/Logging_2260/tillsyn/A 37914-2024 tillsynsbegäran.docx", "A 37914-2024")</f>
        <v/>
      </c>
      <c r="Y228">
        <f>HYPERLINK("https://klasma.github.io/Logging_2260/tillsynsmail/A 37914-2024 tillsynsbegäran mail.docx", "A 37914-2024")</f>
        <v/>
      </c>
    </row>
    <row r="229" ht="15" customHeight="1">
      <c r="A229" t="inlineStr">
        <is>
          <t>A 54751-2021</t>
        </is>
      </c>
      <c r="B229" s="1" t="n">
        <v>44473</v>
      </c>
      <c r="C229" s="1" t="n">
        <v>46032</v>
      </c>
      <c r="D229" t="inlineStr">
        <is>
          <t>VÄSTERNORRLANDS LÄN</t>
        </is>
      </c>
      <c r="E229" t="inlineStr">
        <is>
          <t>ÅNGE</t>
        </is>
      </c>
      <c r="G229" t="n">
        <v>6.5</v>
      </c>
      <c r="H229" t="n">
        <v>0</v>
      </c>
      <c r="I229" t="n">
        <v>0</v>
      </c>
      <c r="J229" t="n">
        <v>0</v>
      </c>
      <c r="K229" t="n">
        <v>1</v>
      </c>
      <c r="L229" t="n">
        <v>0</v>
      </c>
      <c r="M229" t="n">
        <v>0</v>
      </c>
      <c r="N229" t="n">
        <v>0</v>
      </c>
      <c r="O229" t="n">
        <v>1</v>
      </c>
      <c r="P229" t="n">
        <v>1</v>
      </c>
      <c r="Q229" t="n">
        <v>1</v>
      </c>
      <c r="R229" s="2" t="inlineStr">
        <is>
          <t>Gräddporing</t>
        </is>
      </c>
      <c r="S229">
        <f>HYPERLINK("https://klasma.github.io/Logging_2260/artfynd/A 54751-2021 artfynd.xlsx", "A 54751-2021")</f>
        <v/>
      </c>
      <c r="T229">
        <f>HYPERLINK("https://klasma.github.io/Logging_2260/kartor/A 54751-2021 karta.png", "A 54751-2021")</f>
        <v/>
      </c>
      <c r="V229">
        <f>HYPERLINK("https://klasma.github.io/Logging_2260/klagomål/A 54751-2021 FSC-klagomål.docx", "A 54751-2021")</f>
        <v/>
      </c>
      <c r="W229">
        <f>HYPERLINK("https://klasma.github.io/Logging_2260/klagomålsmail/A 54751-2021 FSC-klagomål mail.docx", "A 54751-2021")</f>
        <v/>
      </c>
      <c r="X229">
        <f>HYPERLINK("https://klasma.github.io/Logging_2260/tillsyn/A 54751-2021 tillsynsbegäran.docx", "A 54751-2021")</f>
        <v/>
      </c>
      <c r="Y229">
        <f>HYPERLINK("https://klasma.github.io/Logging_2260/tillsynsmail/A 54751-2021 tillsynsbegäran mail.docx", "A 54751-2021")</f>
        <v/>
      </c>
    </row>
    <row r="230" ht="15" customHeight="1">
      <c r="A230" t="inlineStr">
        <is>
          <t>A 39180-2024</t>
        </is>
      </c>
      <c r="B230" s="1" t="n">
        <v>45548.6571412037</v>
      </c>
      <c r="C230" s="1" t="n">
        <v>46032</v>
      </c>
      <c r="D230" t="inlineStr">
        <is>
          <t>VÄSTERNORRLANDS LÄN</t>
        </is>
      </c>
      <c r="E230" t="inlineStr">
        <is>
          <t>ÅNGE</t>
        </is>
      </c>
      <c r="F230" t="inlineStr">
        <is>
          <t>SCA</t>
        </is>
      </c>
      <c r="G230" t="n">
        <v>8.699999999999999</v>
      </c>
      <c r="H230" t="n">
        <v>0</v>
      </c>
      <c r="I230" t="n">
        <v>0</v>
      </c>
      <c r="J230" t="n">
        <v>1</v>
      </c>
      <c r="K230" t="n">
        <v>0</v>
      </c>
      <c r="L230" t="n">
        <v>0</v>
      </c>
      <c r="M230" t="n">
        <v>0</v>
      </c>
      <c r="N230" t="n">
        <v>0</v>
      </c>
      <c r="O230" t="n">
        <v>1</v>
      </c>
      <c r="P230" t="n">
        <v>0</v>
      </c>
      <c r="Q230" t="n">
        <v>1</v>
      </c>
      <c r="R230" s="2" t="inlineStr">
        <is>
          <t>Lunglav</t>
        </is>
      </c>
      <c r="S230">
        <f>HYPERLINK("https://klasma.github.io/Logging_2260/artfynd/A 39180-2024 artfynd.xlsx", "A 39180-2024")</f>
        <v/>
      </c>
      <c r="T230">
        <f>HYPERLINK("https://klasma.github.io/Logging_2260/kartor/A 39180-2024 karta.png", "A 39180-2024")</f>
        <v/>
      </c>
      <c r="V230">
        <f>HYPERLINK("https://klasma.github.io/Logging_2260/klagomål/A 39180-2024 FSC-klagomål.docx", "A 39180-2024")</f>
        <v/>
      </c>
      <c r="W230">
        <f>HYPERLINK("https://klasma.github.io/Logging_2260/klagomålsmail/A 39180-2024 FSC-klagomål mail.docx", "A 39180-2024")</f>
        <v/>
      </c>
      <c r="X230">
        <f>HYPERLINK("https://klasma.github.io/Logging_2260/tillsyn/A 39180-2024 tillsynsbegäran.docx", "A 39180-2024")</f>
        <v/>
      </c>
      <c r="Y230">
        <f>HYPERLINK("https://klasma.github.io/Logging_2260/tillsynsmail/A 39180-2024 tillsynsbegäran mail.docx", "A 39180-2024")</f>
        <v/>
      </c>
    </row>
    <row r="231" ht="15" customHeight="1">
      <c r="A231" t="inlineStr">
        <is>
          <t>A 8057-2021</t>
        </is>
      </c>
      <c r="B231" s="1" t="n">
        <v>44238</v>
      </c>
      <c r="C231" s="1" t="n">
        <v>46032</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46032</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46032</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37624-2021</t>
        </is>
      </c>
      <c r="B234" s="1" t="n">
        <v>44399</v>
      </c>
      <c r="C234" s="1" t="n">
        <v>46032</v>
      </c>
      <c r="D234" t="inlineStr">
        <is>
          <t>VÄSTERNORRLANDS LÄN</t>
        </is>
      </c>
      <c r="E234" t="inlineStr">
        <is>
          <t>ÅNGE</t>
        </is>
      </c>
      <c r="G234" t="n">
        <v>4.1</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46032</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46032</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5381-2022</t>
        </is>
      </c>
      <c r="B237" s="1" t="n">
        <v>44594.9337037037</v>
      </c>
      <c r="C237" s="1" t="n">
        <v>46032</v>
      </c>
      <c r="D237" t="inlineStr">
        <is>
          <t>VÄSTERNORRLANDS LÄN</t>
        </is>
      </c>
      <c r="E237" t="inlineStr">
        <is>
          <t>ÅNGE</t>
        </is>
      </c>
      <c r="F237" t="inlineStr">
        <is>
          <t>SCA</t>
        </is>
      </c>
      <c r="G237" t="n">
        <v>4.3</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46032</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46032</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46032</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46032</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46032</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46032</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46032</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46032</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46032</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46032</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46032</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46032</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46032</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46032</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46032</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46032</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46032</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46032</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46032</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46032</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52726-2021</t>
        </is>
      </c>
      <c r="B258" s="1" t="n">
        <v>44466</v>
      </c>
      <c r="C258" s="1" t="n">
        <v>46032</v>
      </c>
      <c r="D258" t="inlineStr">
        <is>
          <t>VÄSTERNORRLANDS LÄN</t>
        </is>
      </c>
      <c r="E258" t="inlineStr">
        <is>
          <t>ÅNGE</t>
        </is>
      </c>
      <c r="F258" t="inlineStr">
        <is>
          <t>SCA</t>
        </is>
      </c>
      <c r="G258" t="n">
        <v>9.5</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46032</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46032</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46032</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46032</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46032</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46032</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46032</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46032</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46032</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46032</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46032</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46032</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46032</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46032</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46032</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46032</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46032</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46032</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46032</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46032</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46032</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46032</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46032</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46032</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46032</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46032</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46032</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46032</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46032</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46032</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46032</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46032</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46032</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46032</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46032</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46032</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46032</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46032</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46032</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46032</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46032</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46032</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46032</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46032</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46032</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46032</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46032</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46032</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46032</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46032</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46032</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46032</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46032</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46032</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46032</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46032</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46032</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46032</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46032</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46032</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46032</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46032</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46032</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46032</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46032</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46032</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46032</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46032</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46032</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46032</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46032</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46032</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46032</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46032</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46032</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46032</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46032</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46032</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46032</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46032</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46032</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46032</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46032</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35283-2022</t>
        </is>
      </c>
      <c r="B342" s="1" t="n">
        <v>44798.39916666667</v>
      </c>
      <c r="C342" s="1" t="n">
        <v>46032</v>
      </c>
      <c r="D342" t="inlineStr">
        <is>
          <t>VÄSTERNORRLANDS LÄN</t>
        </is>
      </c>
      <c r="E342" t="inlineStr">
        <is>
          <t>ÅNGE</t>
        </is>
      </c>
      <c r="G342" t="n">
        <v>4.5</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46032</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46032</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46032</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46032</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46032</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46032</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46032</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46032</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13149-2021</t>
        </is>
      </c>
      <c r="B351" s="1" t="n">
        <v>44272</v>
      </c>
      <c r="C351" s="1" t="n">
        <v>46032</v>
      </c>
      <c r="D351" t="inlineStr">
        <is>
          <t>VÄSTERNORRLANDS LÄN</t>
        </is>
      </c>
      <c r="E351" t="inlineStr">
        <is>
          <t>ÅNGE</t>
        </is>
      </c>
      <c r="G351" t="n">
        <v>3.4</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46032</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46032</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46032</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46032</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46032</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46032</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46032</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46032</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46032</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46032</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46032</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46032</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46032</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46032</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46032</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46032</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46032</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46032</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46032</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46032</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46032</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46032</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46032</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46032</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46032</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17963-2022</t>
        </is>
      </c>
      <c r="B377" s="1" t="n">
        <v>44683</v>
      </c>
      <c r="C377" s="1" t="n">
        <v>46032</v>
      </c>
      <c r="D377" t="inlineStr">
        <is>
          <t>VÄSTERNORRLANDS LÄN</t>
        </is>
      </c>
      <c r="E377" t="inlineStr">
        <is>
          <t>ÅNGE</t>
        </is>
      </c>
      <c r="G377" t="n">
        <v>0.2</v>
      </c>
      <c r="H377" t="n">
        <v>0</v>
      </c>
      <c r="I377" t="n">
        <v>0</v>
      </c>
      <c r="J377" t="n">
        <v>0</v>
      </c>
      <c r="K377" t="n">
        <v>0</v>
      </c>
      <c r="L377" t="n">
        <v>0</v>
      </c>
      <c r="M377" t="n">
        <v>0</v>
      </c>
      <c r="N377" t="n">
        <v>0</v>
      </c>
      <c r="O377" t="n">
        <v>0</v>
      </c>
      <c r="P377" t="n">
        <v>0</v>
      </c>
      <c r="Q377" t="n">
        <v>0</v>
      </c>
      <c r="R377" s="2" t="inlineStr"/>
    </row>
    <row r="378" ht="15" customHeight="1">
      <c r="A378" t="inlineStr">
        <is>
          <t>A 18024-2022</t>
        </is>
      </c>
      <c r="B378" s="1" t="n">
        <v>44683.94383101852</v>
      </c>
      <c r="C378" s="1" t="n">
        <v>46032</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46032</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46032</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46032</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46032</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46032</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46032</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46032</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46032</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46032</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46032</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46032</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46032</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46032</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46032</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46032</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46032</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11529-2023</t>
        </is>
      </c>
      <c r="B395" s="1" t="n">
        <v>44993</v>
      </c>
      <c r="C395" s="1" t="n">
        <v>46032</v>
      </c>
      <c r="D395" t="inlineStr">
        <is>
          <t>VÄSTERNORRLANDS LÄN</t>
        </is>
      </c>
      <c r="E395" t="inlineStr">
        <is>
          <t>ÅNGE</t>
        </is>
      </c>
      <c r="G395" t="n">
        <v>8.9</v>
      </c>
      <c r="H395" t="n">
        <v>0</v>
      </c>
      <c r="I395" t="n">
        <v>0</v>
      </c>
      <c r="J395" t="n">
        <v>0</v>
      </c>
      <c r="K395" t="n">
        <v>0</v>
      </c>
      <c r="L395" t="n">
        <v>0</v>
      </c>
      <c r="M395" t="n">
        <v>0</v>
      </c>
      <c r="N395" t="n">
        <v>0</v>
      </c>
      <c r="O395" t="n">
        <v>0</v>
      </c>
      <c r="P395" t="n">
        <v>0</v>
      </c>
      <c r="Q395" t="n">
        <v>0</v>
      </c>
      <c r="R395" s="2" t="inlineStr"/>
    </row>
    <row r="396" ht="15" customHeight="1">
      <c r="A396" t="inlineStr">
        <is>
          <t>A 19829-2025</t>
        </is>
      </c>
      <c r="B396" s="1" t="n">
        <v>45771.46944444445</v>
      </c>
      <c r="C396" s="1" t="n">
        <v>46032</v>
      </c>
      <c r="D396" t="inlineStr">
        <is>
          <t>VÄSTERNORRLANDS LÄN</t>
        </is>
      </c>
      <c r="E396" t="inlineStr">
        <is>
          <t>ÅNGE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34851-2023</t>
        </is>
      </c>
      <c r="B397" s="1" t="n">
        <v>45141</v>
      </c>
      <c r="C397" s="1" t="n">
        <v>46032</v>
      </c>
      <c r="D397" t="inlineStr">
        <is>
          <t>VÄSTERNORRLANDS LÄN</t>
        </is>
      </c>
      <c r="E397" t="inlineStr">
        <is>
          <t>ÅNGE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16362-2023</t>
        </is>
      </c>
      <c r="B398" s="1" t="n">
        <v>45028.9250462963</v>
      </c>
      <c r="C398" s="1" t="n">
        <v>46032</v>
      </c>
      <c r="D398" t="inlineStr">
        <is>
          <t>VÄSTERNORRLANDS LÄN</t>
        </is>
      </c>
      <c r="E398" t="inlineStr">
        <is>
          <t>ÅNGE</t>
        </is>
      </c>
      <c r="G398" t="n">
        <v>4.8</v>
      </c>
      <c r="H398" t="n">
        <v>0</v>
      </c>
      <c r="I398" t="n">
        <v>0</v>
      </c>
      <c r="J398" t="n">
        <v>0</v>
      </c>
      <c r="K398" t="n">
        <v>0</v>
      </c>
      <c r="L398" t="n">
        <v>0</v>
      </c>
      <c r="M398" t="n">
        <v>0</v>
      </c>
      <c r="N398" t="n">
        <v>0</v>
      </c>
      <c r="O398" t="n">
        <v>0</v>
      </c>
      <c r="P398" t="n">
        <v>0</v>
      </c>
      <c r="Q398" t="n">
        <v>0</v>
      </c>
      <c r="R398" s="2" t="inlineStr"/>
    </row>
    <row r="399" ht="15" customHeight="1">
      <c r="A399" t="inlineStr">
        <is>
          <t>A 27002-2023</t>
        </is>
      </c>
      <c r="B399" s="1" t="n">
        <v>45093</v>
      </c>
      <c r="C399" s="1" t="n">
        <v>46032</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39973-2023</t>
        </is>
      </c>
      <c r="B400" s="1" t="n">
        <v>45168.5858912037</v>
      </c>
      <c r="C400" s="1" t="n">
        <v>46032</v>
      </c>
      <c r="D400" t="inlineStr">
        <is>
          <t>VÄSTERNORRLANDS LÄN</t>
        </is>
      </c>
      <c r="E400" t="inlineStr">
        <is>
          <t>ÅNGE</t>
        </is>
      </c>
      <c r="G400" t="n">
        <v>3.6</v>
      </c>
      <c r="H400" t="n">
        <v>0</v>
      </c>
      <c r="I400" t="n">
        <v>0</v>
      </c>
      <c r="J400" t="n">
        <v>0</v>
      </c>
      <c r="K400" t="n">
        <v>0</v>
      </c>
      <c r="L400" t="n">
        <v>0</v>
      </c>
      <c r="M400" t="n">
        <v>0</v>
      </c>
      <c r="N400" t="n">
        <v>0</v>
      </c>
      <c r="O400" t="n">
        <v>0</v>
      </c>
      <c r="P400" t="n">
        <v>0</v>
      </c>
      <c r="Q400" t="n">
        <v>0</v>
      </c>
      <c r="R400" s="2" t="inlineStr"/>
    </row>
    <row r="401" ht="15" customHeight="1">
      <c r="A401" t="inlineStr">
        <is>
          <t>A 33747-2024</t>
        </is>
      </c>
      <c r="B401" s="1" t="n">
        <v>45520</v>
      </c>
      <c r="C401" s="1" t="n">
        <v>46032</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113-2025</t>
        </is>
      </c>
      <c r="B402" s="1" t="n">
        <v>45659.5106712963</v>
      </c>
      <c r="C402" s="1" t="n">
        <v>46032</v>
      </c>
      <c r="D402" t="inlineStr">
        <is>
          <t>VÄSTERNORRLANDS LÄN</t>
        </is>
      </c>
      <c r="E402" t="inlineStr">
        <is>
          <t>ÅNGE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54946-2021</t>
        </is>
      </c>
      <c r="B403" s="1" t="n">
        <v>44474.46466435185</v>
      </c>
      <c r="C403" s="1" t="n">
        <v>46032</v>
      </c>
      <c r="D403" t="inlineStr">
        <is>
          <t>VÄSTERNORRLANDS LÄN</t>
        </is>
      </c>
      <c r="E403" t="inlineStr">
        <is>
          <t>ÅNGE</t>
        </is>
      </c>
      <c r="G403" t="n">
        <v>5.4</v>
      </c>
      <c r="H403" t="n">
        <v>0</v>
      </c>
      <c r="I403" t="n">
        <v>0</v>
      </c>
      <c r="J403" t="n">
        <v>0</v>
      </c>
      <c r="K403" t="n">
        <v>0</v>
      </c>
      <c r="L403" t="n">
        <v>0</v>
      </c>
      <c r="M403" t="n">
        <v>0</v>
      </c>
      <c r="N403" t="n">
        <v>0</v>
      </c>
      <c r="O403" t="n">
        <v>0</v>
      </c>
      <c r="P403" t="n">
        <v>0</v>
      </c>
      <c r="Q403" t="n">
        <v>0</v>
      </c>
      <c r="R403" s="2" t="inlineStr"/>
    </row>
    <row r="404" ht="15" customHeight="1">
      <c r="A404" t="inlineStr">
        <is>
          <t>A 38960-2021</t>
        </is>
      </c>
      <c r="B404" s="1" t="n">
        <v>44411</v>
      </c>
      <c r="C404" s="1" t="n">
        <v>46032</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24231-2024</t>
        </is>
      </c>
      <c r="B405" s="1" t="n">
        <v>45457.34393518518</v>
      </c>
      <c r="C405" s="1" t="n">
        <v>46032</v>
      </c>
      <c r="D405" t="inlineStr">
        <is>
          <t>VÄSTERNORRLANDS LÄN</t>
        </is>
      </c>
      <c r="E405" t="inlineStr">
        <is>
          <t>ÅNGE</t>
        </is>
      </c>
      <c r="F405" t="inlineStr">
        <is>
          <t>Sveaskog</t>
        </is>
      </c>
      <c r="G405" t="n">
        <v>7</v>
      </c>
      <c r="H405" t="n">
        <v>0</v>
      </c>
      <c r="I405" t="n">
        <v>0</v>
      </c>
      <c r="J405" t="n">
        <v>0</v>
      </c>
      <c r="K405" t="n">
        <v>0</v>
      </c>
      <c r="L405" t="n">
        <v>0</v>
      </c>
      <c r="M405" t="n">
        <v>0</v>
      </c>
      <c r="N405" t="n">
        <v>0</v>
      </c>
      <c r="O405" t="n">
        <v>0</v>
      </c>
      <c r="P405" t="n">
        <v>0</v>
      </c>
      <c r="Q405" t="n">
        <v>0</v>
      </c>
      <c r="R405" s="2" t="inlineStr"/>
    </row>
    <row r="406" ht="15" customHeight="1">
      <c r="A406" t="inlineStr">
        <is>
          <t>A 36290-2023</t>
        </is>
      </c>
      <c r="B406" s="1" t="n">
        <v>45152.35467592593</v>
      </c>
      <c r="C406" s="1" t="n">
        <v>46032</v>
      </c>
      <c r="D406" t="inlineStr">
        <is>
          <t>VÄSTERNORRLANDS LÄN</t>
        </is>
      </c>
      <c r="E406" t="inlineStr">
        <is>
          <t>ÅNGE</t>
        </is>
      </c>
      <c r="F406" t="inlineStr">
        <is>
          <t>Övriga Aktiebolag</t>
        </is>
      </c>
      <c r="G406" t="n">
        <v>3.4</v>
      </c>
      <c r="H406" t="n">
        <v>0</v>
      </c>
      <c r="I406" t="n">
        <v>0</v>
      </c>
      <c r="J406" t="n">
        <v>0</v>
      </c>
      <c r="K406" t="n">
        <v>0</v>
      </c>
      <c r="L406" t="n">
        <v>0</v>
      </c>
      <c r="M406" t="n">
        <v>0</v>
      </c>
      <c r="N406" t="n">
        <v>0</v>
      </c>
      <c r="O406" t="n">
        <v>0</v>
      </c>
      <c r="P406" t="n">
        <v>0</v>
      </c>
      <c r="Q406" t="n">
        <v>0</v>
      </c>
      <c r="R406" s="2" t="inlineStr"/>
    </row>
    <row r="407" ht="15" customHeight="1">
      <c r="A407" t="inlineStr">
        <is>
          <t>A 45027-2023</t>
        </is>
      </c>
      <c r="B407" s="1" t="n">
        <v>45190.96303240741</v>
      </c>
      <c r="C407" s="1" t="n">
        <v>46032</v>
      </c>
      <c r="D407" t="inlineStr">
        <is>
          <t>VÄSTERNORRLANDS LÄN</t>
        </is>
      </c>
      <c r="E407" t="inlineStr">
        <is>
          <t>ÅNGE</t>
        </is>
      </c>
      <c r="F407" t="inlineStr">
        <is>
          <t>SCA</t>
        </is>
      </c>
      <c r="G407" t="n">
        <v>5.7</v>
      </c>
      <c r="H407" t="n">
        <v>0</v>
      </c>
      <c r="I407" t="n">
        <v>0</v>
      </c>
      <c r="J407" t="n">
        <v>0</v>
      </c>
      <c r="K407" t="n">
        <v>0</v>
      </c>
      <c r="L407" t="n">
        <v>0</v>
      </c>
      <c r="M407" t="n">
        <v>0</v>
      </c>
      <c r="N407" t="n">
        <v>0</v>
      </c>
      <c r="O407" t="n">
        <v>0</v>
      </c>
      <c r="P407" t="n">
        <v>0</v>
      </c>
      <c r="Q407" t="n">
        <v>0</v>
      </c>
      <c r="R407" s="2" t="inlineStr"/>
    </row>
    <row r="408" ht="15" customHeight="1">
      <c r="A408" t="inlineStr">
        <is>
          <t>A 30273-2023</t>
        </is>
      </c>
      <c r="B408" s="1" t="n">
        <v>45099</v>
      </c>
      <c r="C408" s="1" t="n">
        <v>46032</v>
      </c>
      <c r="D408" t="inlineStr">
        <is>
          <t>VÄSTERNORRLANDS LÄN</t>
        </is>
      </c>
      <c r="E408" t="inlineStr">
        <is>
          <t>ÅNGE</t>
        </is>
      </c>
      <c r="G408" t="n">
        <v>3.9</v>
      </c>
      <c r="H408" t="n">
        <v>0</v>
      </c>
      <c r="I408" t="n">
        <v>0</v>
      </c>
      <c r="J408" t="n">
        <v>0</v>
      </c>
      <c r="K408" t="n">
        <v>0</v>
      </c>
      <c r="L408" t="n">
        <v>0</v>
      </c>
      <c r="M408" t="n">
        <v>0</v>
      </c>
      <c r="N408" t="n">
        <v>0</v>
      </c>
      <c r="O408" t="n">
        <v>0</v>
      </c>
      <c r="P408" t="n">
        <v>0</v>
      </c>
      <c r="Q408" t="n">
        <v>0</v>
      </c>
      <c r="R408" s="2" t="inlineStr"/>
    </row>
    <row r="409" ht="15" customHeight="1">
      <c r="A409" t="inlineStr">
        <is>
          <t>A 21686-2025</t>
        </is>
      </c>
      <c r="B409" s="1" t="n">
        <v>45783.490625</v>
      </c>
      <c r="C409" s="1" t="n">
        <v>46032</v>
      </c>
      <c r="D409" t="inlineStr">
        <is>
          <t>VÄSTERNORRLANDS LÄN</t>
        </is>
      </c>
      <c r="E409" t="inlineStr">
        <is>
          <t>ÅNGE</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54295-2024</t>
        </is>
      </c>
      <c r="B410" s="1" t="n">
        <v>45617</v>
      </c>
      <c r="C410" s="1" t="n">
        <v>46032</v>
      </c>
      <c r="D410" t="inlineStr">
        <is>
          <t>VÄSTERNORRLANDS LÄN</t>
        </is>
      </c>
      <c r="E410" t="inlineStr">
        <is>
          <t>ÅNGE</t>
        </is>
      </c>
      <c r="G410" t="n">
        <v>1.2</v>
      </c>
      <c r="H410" t="n">
        <v>0</v>
      </c>
      <c r="I410" t="n">
        <v>0</v>
      </c>
      <c r="J410" t="n">
        <v>0</v>
      </c>
      <c r="K410" t="n">
        <v>0</v>
      </c>
      <c r="L410" t="n">
        <v>0</v>
      </c>
      <c r="M410" t="n">
        <v>0</v>
      </c>
      <c r="N410" t="n">
        <v>0</v>
      </c>
      <c r="O410" t="n">
        <v>0</v>
      </c>
      <c r="P410" t="n">
        <v>0</v>
      </c>
      <c r="Q410" t="n">
        <v>0</v>
      </c>
      <c r="R410" s="2" t="inlineStr"/>
    </row>
    <row r="411" ht="15" customHeight="1">
      <c r="A411" t="inlineStr">
        <is>
          <t>A 20716-2025</t>
        </is>
      </c>
      <c r="B411" s="1" t="n">
        <v>45776.49026620371</v>
      </c>
      <c r="C411" s="1" t="n">
        <v>46032</v>
      </c>
      <c r="D411" t="inlineStr">
        <is>
          <t>VÄSTERNORRLANDS LÄN</t>
        </is>
      </c>
      <c r="E411" t="inlineStr">
        <is>
          <t>ÅNGE</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46032</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46032</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21563-2025</t>
        </is>
      </c>
      <c r="B414" s="1" t="n">
        <v>45782.69822916666</v>
      </c>
      <c r="C414" s="1" t="n">
        <v>46032</v>
      </c>
      <c r="D414" t="inlineStr">
        <is>
          <t>VÄSTERNORRLANDS LÄN</t>
        </is>
      </c>
      <c r="E414" t="inlineStr">
        <is>
          <t>ÅNGE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21712-2025</t>
        </is>
      </c>
      <c r="B415" s="1" t="n">
        <v>45783.53210648148</v>
      </c>
      <c r="C415" s="1" t="n">
        <v>46032</v>
      </c>
      <c r="D415" t="inlineStr">
        <is>
          <t>VÄSTERNORRLANDS LÄN</t>
        </is>
      </c>
      <c r="E415" t="inlineStr">
        <is>
          <t>ÅNGE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17009-2023</t>
        </is>
      </c>
      <c r="B416" s="1" t="n">
        <v>45033.9455787037</v>
      </c>
      <c r="C416" s="1" t="n">
        <v>46032</v>
      </c>
      <c r="D416" t="inlineStr">
        <is>
          <t>VÄSTERNORRLANDS LÄN</t>
        </is>
      </c>
      <c r="E416" t="inlineStr">
        <is>
          <t>ÅNGE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26640-2024</t>
        </is>
      </c>
      <c r="B417" s="1" t="n">
        <v>45469.92831018518</v>
      </c>
      <c r="C417" s="1" t="n">
        <v>46032</v>
      </c>
      <c r="D417" t="inlineStr">
        <is>
          <t>VÄSTERNORRLANDS LÄN</t>
        </is>
      </c>
      <c r="E417" t="inlineStr">
        <is>
          <t>ÅNGE</t>
        </is>
      </c>
      <c r="G417" t="n">
        <v>9.9</v>
      </c>
      <c r="H417" t="n">
        <v>0</v>
      </c>
      <c r="I417" t="n">
        <v>0</v>
      </c>
      <c r="J417" t="n">
        <v>0</v>
      </c>
      <c r="K417" t="n">
        <v>0</v>
      </c>
      <c r="L417" t="n">
        <v>0</v>
      </c>
      <c r="M417" t="n">
        <v>0</v>
      </c>
      <c r="N417" t="n">
        <v>0</v>
      </c>
      <c r="O417" t="n">
        <v>0</v>
      </c>
      <c r="P417" t="n">
        <v>0</v>
      </c>
      <c r="Q417" t="n">
        <v>0</v>
      </c>
      <c r="R417" s="2" t="inlineStr"/>
    </row>
    <row r="418" ht="15" customHeight="1">
      <c r="A418" t="inlineStr">
        <is>
          <t>A 39119-2024</t>
        </is>
      </c>
      <c r="B418" s="1" t="n">
        <v>45548.58939814815</v>
      </c>
      <c r="C418" s="1" t="n">
        <v>46032</v>
      </c>
      <c r="D418" t="inlineStr">
        <is>
          <t>VÄSTERNORRLANDS LÄN</t>
        </is>
      </c>
      <c r="E418" t="inlineStr">
        <is>
          <t>ÅNGE</t>
        </is>
      </c>
      <c r="G418" t="n">
        <v>8</v>
      </c>
      <c r="H418" t="n">
        <v>0</v>
      </c>
      <c r="I418" t="n">
        <v>0</v>
      </c>
      <c r="J418" t="n">
        <v>0</v>
      </c>
      <c r="K418" t="n">
        <v>0</v>
      </c>
      <c r="L418" t="n">
        <v>0</v>
      </c>
      <c r="M418" t="n">
        <v>0</v>
      </c>
      <c r="N418" t="n">
        <v>0</v>
      </c>
      <c r="O418" t="n">
        <v>0</v>
      </c>
      <c r="P418" t="n">
        <v>0</v>
      </c>
      <c r="Q418" t="n">
        <v>0</v>
      </c>
      <c r="R418" s="2" t="inlineStr"/>
    </row>
    <row r="419" ht="15" customHeight="1">
      <c r="A419" t="inlineStr">
        <is>
          <t>A 32257-2024</t>
        </is>
      </c>
      <c r="B419" s="1" t="n">
        <v>45511</v>
      </c>
      <c r="C419" s="1" t="n">
        <v>46032</v>
      </c>
      <c r="D419" t="inlineStr">
        <is>
          <t>VÄSTERNORRLANDS LÄN</t>
        </is>
      </c>
      <c r="E419" t="inlineStr">
        <is>
          <t>ÅNGE</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17044-2023</t>
        </is>
      </c>
      <c r="B420" s="1" t="n">
        <v>45034</v>
      </c>
      <c r="C420" s="1" t="n">
        <v>46032</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20880-2025</t>
        </is>
      </c>
      <c r="B421" s="1" t="n">
        <v>45777</v>
      </c>
      <c r="C421" s="1" t="n">
        <v>46032</v>
      </c>
      <c r="D421" t="inlineStr">
        <is>
          <t>VÄSTERNORRLANDS LÄN</t>
        </is>
      </c>
      <c r="E421" t="inlineStr">
        <is>
          <t>ÅNGE</t>
        </is>
      </c>
      <c r="G421" t="n">
        <v>1.6</v>
      </c>
      <c r="H421" t="n">
        <v>0</v>
      </c>
      <c r="I421" t="n">
        <v>0</v>
      </c>
      <c r="J421" t="n">
        <v>0</v>
      </c>
      <c r="K421" t="n">
        <v>0</v>
      </c>
      <c r="L421" t="n">
        <v>0</v>
      </c>
      <c r="M421" t="n">
        <v>0</v>
      </c>
      <c r="N421" t="n">
        <v>0</v>
      </c>
      <c r="O421" t="n">
        <v>0</v>
      </c>
      <c r="P421" t="n">
        <v>0</v>
      </c>
      <c r="Q421" t="n">
        <v>0</v>
      </c>
      <c r="R421" s="2" t="inlineStr"/>
    </row>
    <row r="422" ht="15" customHeight="1">
      <c r="A422" t="inlineStr">
        <is>
          <t>A 22219-2025</t>
        </is>
      </c>
      <c r="B422" s="1" t="n">
        <v>45785.65849537037</v>
      </c>
      <c r="C422" s="1" t="n">
        <v>46032</v>
      </c>
      <c r="D422" t="inlineStr">
        <is>
          <t>VÄSTERNORRLANDS LÄN</t>
        </is>
      </c>
      <c r="E422" t="inlineStr">
        <is>
          <t>ÅNGE</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21862-2025</t>
        </is>
      </c>
      <c r="B423" s="1" t="n">
        <v>45784.36519675926</v>
      </c>
      <c r="C423" s="1" t="n">
        <v>46032</v>
      </c>
      <c r="D423" t="inlineStr">
        <is>
          <t>VÄSTERNORRLANDS LÄN</t>
        </is>
      </c>
      <c r="E423" t="inlineStr">
        <is>
          <t>ÅNGE</t>
        </is>
      </c>
      <c r="F423" t="inlineStr">
        <is>
          <t>SCA</t>
        </is>
      </c>
      <c r="G423" t="n">
        <v>4.6</v>
      </c>
      <c r="H423" t="n">
        <v>0</v>
      </c>
      <c r="I423" t="n">
        <v>0</v>
      </c>
      <c r="J423" t="n">
        <v>0</v>
      </c>
      <c r="K423" t="n">
        <v>0</v>
      </c>
      <c r="L423" t="n">
        <v>0</v>
      </c>
      <c r="M423" t="n">
        <v>0</v>
      </c>
      <c r="N423" t="n">
        <v>0</v>
      </c>
      <c r="O423" t="n">
        <v>0</v>
      </c>
      <c r="P423" t="n">
        <v>0</v>
      </c>
      <c r="Q423" t="n">
        <v>0</v>
      </c>
      <c r="R423" s="2" t="inlineStr"/>
    </row>
    <row r="424" ht="15" customHeight="1">
      <c r="A424" t="inlineStr">
        <is>
          <t>A 24324-2022</t>
        </is>
      </c>
      <c r="B424" s="1" t="n">
        <v>44725.945</v>
      </c>
      <c r="C424" s="1" t="n">
        <v>46032</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24325-2022</t>
        </is>
      </c>
      <c r="B425" s="1" t="n">
        <v>44725.94506944445</v>
      </c>
      <c r="C425" s="1" t="n">
        <v>46032</v>
      </c>
      <c r="D425" t="inlineStr">
        <is>
          <t>VÄSTERNORRLANDS LÄN</t>
        </is>
      </c>
      <c r="E425" t="inlineStr">
        <is>
          <t>ÅNGE</t>
        </is>
      </c>
      <c r="G425" t="n">
        <v>1.6</v>
      </c>
      <c r="H425" t="n">
        <v>0</v>
      </c>
      <c r="I425" t="n">
        <v>0</v>
      </c>
      <c r="J425" t="n">
        <v>0</v>
      </c>
      <c r="K425" t="n">
        <v>0</v>
      </c>
      <c r="L425" t="n">
        <v>0</v>
      </c>
      <c r="M425" t="n">
        <v>0</v>
      </c>
      <c r="N425" t="n">
        <v>0</v>
      </c>
      <c r="O425" t="n">
        <v>0</v>
      </c>
      <c r="P425" t="n">
        <v>0</v>
      </c>
      <c r="Q425" t="n">
        <v>0</v>
      </c>
      <c r="R425" s="2" t="inlineStr"/>
    </row>
    <row r="426" ht="15" customHeight="1">
      <c r="A426" t="inlineStr">
        <is>
          <t>A 22206-2025</t>
        </is>
      </c>
      <c r="B426" s="1" t="n">
        <v>45785.65699074074</v>
      </c>
      <c r="C426" s="1" t="n">
        <v>46032</v>
      </c>
      <c r="D426" t="inlineStr">
        <is>
          <t>VÄSTERNORRLANDS LÄN</t>
        </is>
      </c>
      <c r="E426" t="inlineStr">
        <is>
          <t>ÅNGE</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29395-2023</t>
        </is>
      </c>
      <c r="B427" s="1" t="n">
        <v>45106.4359837963</v>
      </c>
      <c r="C427" s="1" t="n">
        <v>46032</v>
      </c>
      <c r="D427" t="inlineStr">
        <is>
          <t>VÄSTERNORRLANDS LÄN</t>
        </is>
      </c>
      <c r="E427" t="inlineStr">
        <is>
          <t>ÅNGE</t>
        </is>
      </c>
      <c r="G427" t="n">
        <v>3.5</v>
      </c>
      <c r="H427" t="n">
        <v>0</v>
      </c>
      <c r="I427" t="n">
        <v>0</v>
      </c>
      <c r="J427" t="n">
        <v>0</v>
      </c>
      <c r="K427" t="n">
        <v>0</v>
      </c>
      <c r="L427" t="n">
        <v>0</v>
      </c>
      <c r="M427" t="n">
        <v>0</v>
      </c>
      <c r="N427" t="n">
        <v>0</v>
      </c>
      <c r="O427" t="n">
        <v>0</v>
      </c>
      <c r="P427" t="n">
        <v>0</v>
      </c>
      <c r="Q427" t="n">
        <v>0</v>
      </c>
      <c r="R427" s="2" t="inlineStr"/>
    </row>
    <row r="428" ht="15" customHeight="1">
      <c r="A428" t="inlineStr">
        <is>
          <t>A 38800-2024</t>
        </is>
      </c>
      <c r="B428" s="1" t="n">
        <v>45547</v>
      </c>
      <c r="C428" s="1" t="n">
        <v>46032</v>
      </c>
      <c r="D428" t="inlineStr">
        <is>
          <t>VÄSTERNORRLANDS LÄN</t>
        </is>
      </c>
      <c r="E428" t="inlineStr">
        <is>
          <t>ÅNGE</t>
        </is>
      </c>
      <c r="G428" t="n">
        <v>2.6</v>
      </c>
      <c r="H428" t="n">
        <v>0</v>
      </c>
      <c r="I428" t="n">
        <v>0</v>
      </c>
      <c r="J428" t="n">
        <v>0</v>
      </c>
      <c r="K428" t="n">
        <v>0</v>
      </c>
      <c r="L428" t="n">
        <v>0</v>
      </c>
      <c r="M428" t="n">
        <v>0</v>
      </c>
      <c r="N428" t="n">
        <v>0</v>
      </c>
      <c r="O428" t="n">
        <v>0</v>
      </c>
      <c r="P428" t="n">
        <v>0</v>
      </c>
      <c r="Q428" t="n">
        <v>0</v>
      </c>
      <c r="R428" s="2" t="inlineStr"/>
    </row>
    <row r="429" ht="15" customHeight="1">
      <c r="A429" t="inlineStr">
        <is>
          <t>A 21883-2025</t>
        </is>
      </c>
      <c r="B429" s="1" t="n">
        <v>45784.41361111111</v>
      </c>
      <c r="C429" s="1" t="n">
        <v>46032</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31492-2024</t>
        </is>
      </c>
      <c r="B430" s="1" t="n">
        <v>45505</v>
      </c>
      <c r="C430" s="1" t="n">
        <v>46032</v>
      </c>
      <c r="D430" t="inlineStr">
        <is>
          <t>VÄSTERNORRLANDS LÄN</t>
        </is>
      </c>
      <c r="E430" t="inlineStr">
        <is>
          <t>ÅNGE</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3352-2021</t>
        </is>
      </c>
      <c r="B431" s="1" t="n">
        <v>44217</v>
      </c>
      <c r="C431" s="1" t="n">
        <v>46032</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38693-2025</t>
        </is>
      </c>
      <c r="B432" s="1" t="n">
        <v>45884.69829861111</v>
      </c>
      <c r="C432" s="1" t="n">
        <v>46032</v>
      </c>
      <c r="D432" t="inlineStr">
        <is>
          <t>VÄSTERNORRLANDS LÄN</t>
        </is>
      </c>
      <c r="E432" t="inlineStr">
        <is>
          <t>ÅNGE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38703-2025</t>
        </is>
      </c>
      <c r="B433" s="1" t="n">
        <v>45885.34440972222</v>
      </c>
      <c r="C433" s="1" t="n">
        <v>46032</v>
      </c>
      <c r="D433" t="inlineStr">
        <is>
          <t>VÄSTERNORRLANDS LÄN</t>
        </is>
      </c>
      <c r="E433" t="inlineStr">
        <is>
          <t>ÅNGE</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38711-2025</t>
        </is>
      </c>
      <c r="B434" s="1" t="n">
        <v>45886.34450231482</v>
      </c>
      <c r="C434" s="1" t="n">
        <v>46032</v>
      </c>
      <c r="D434" t="inlineStr">
        <is>
          <t>VÄSTERNORRLANDS LÄN</t>
        </is>
      </c>
      <c r="E434" t="inlineStr">
        <is>
          <t>ÅNGE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38715-2025</t>
        </is>
      </c>
      <c r="B435" s="1" t="n">
        <v>45886.34501157407</v>
      </c>
      <c r="C435" s="1" t="n">
        <v>46032</v>
      </c>
      <c r="D435" t="inlineStr">
        <is>
          <t>VÄSTERNORRLANDS LÄN</t>
        </is>
      </c>
      <c r="E435" t="inlineStr">
        <is>
          <t>ÅNGE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10087-2023</t>
        </is>
      </c>
      <c r="B436" s="1" t="n">
        <v>44985</v>
      </c>
      <c r="C436" s="1" t="n">
        <v>46032</v>
      </c>
      <c r="D436" t="inlineStr">
        <is>
          <t>VÄSTERNORRLANDS LÄN</t>
        </is>
      </c>
      <c r="E436" t="inlineStr">
        <is>
          <t>ÅNGE</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21982-2025</t>
        </is>
      </c>
      <c r="B437" s="1" t="n">
        <v>45784.65660879629</v>
      </c>
      <c r="C437" s="1" t="n">
        <v>46032</v>
      </c>
      <c r="D437" t="inlineStr">
        <is>
          <t>VÄSTERNORRLANDS LÄN</t>
        </is>
      </c>
      <c r="E437" t="inlineStr">
        <is>
          <t>ÅNGE</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15288-2025</t>
        </is>
      </c>
      <c r="B438" s="1" t="n">
        <v>45745.34423611111</v>
      </c>
      <c r="C438" s="1" t="n">
        <v>46032</v>
      </c>
      <c r="D438" t="inlineStr">
        <is>
          <t>VÄSTERNORRLANDS LÄN</t>
        </is>
      </c>
      <c r="E438" t="inlineStr">
        <is>
          <t>ÅNGE</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22187-2024</t>
        </is>
      </c>
      <c r="B439" s="1" t="n">
        <v>45446.35222222222</v>
      </c>
      <c r="C439" s="1" t="n">
        <v>46032</v>
      </c>
      <c r="D439" t="inlineStr">
        <is>
          <t>VÄSTERNORRLANDS LÄN</t>
        </is>
      </c>
      <c r="E439" t="inlineStr">
        <is>
          <t>ÅNGE</t>
        </is>
      </c>
      <c r="G439" t="n">
        <v>2.3</v>
      </c>
      <c r="H439" t="n">
        <v>0</v>
      </c>
      <c r="I439" t="n">
        <v>0</v>
      </c>
      <c r="J439" t="n">
        <v>0</v>
      </c>
      <c r="K439" t="n">
        <v>0</v>
      </c>
      <c r="L439" t="n">
        <v>0</v>
      </c>
      <c r="M439" t="n">
        <v>0</v>
      </c>
      <c r="N439" t="n">
        <v>0</v>
      </c>
      <c r="O439" t="n">
        <v>0</v>
      </c>
      <c r="P439" t="n">
        <v>0</v>
      </c>
      <c r="Q439" t="n">
        <v>0</v>
      </c>
      <c r="R439" s="2" t="inlineStr"/>
    </row>
    <row r="440" ht="15" customHeight="1">
      <c r="A440" t="inlineStr">
        <is>
          <t>A 17670-2023</t>
        </is>
      </c>
      <c r="B440" s="1" t="n">
        <v>45036</v>
      </c>
      <c r="C440" s="1" t="n">
        <v>46032</v>
      </c>
      <c r="D440" t="inlineStr">
        <is>
          <t>VÄSTERNORRLANDS LÄN</t>
        </is>
      </c>
      <c r="E440" t="inlineStr">
        <is>
          <t>ÅNGE</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57109-2023</t>
        </is>
      </c>
      <c r="B441" s="1" t="n">
        <v>45239</v>
      </c>
      <c r="C441" s="1" t="n">
        <v>46032</v>
      </c>
      <c r="D441" t="inlineStr">
        <is>
          <t>VÄSTERNORRLANDS LÄN</t>
        </is>
      </c>
      <c r="E441" t="inlineStr">
        <is>
          <t>ÅNGE</t>
        </is>
      </c>
      <c r="G441" t="n">
        <v>7</v>
      </c>
      <c r="H441" t="n">
        <v>0</v>
      </c>
      <c r="I441" t="n">
        <v>0</v>
      </c>
      <c r="J441" t="n">
        <v>0</v>
      </c>
      <c r="K441" t="n">
        <v>0</v>
      </c>
      <c r="L441" t="n">
        <v>0</v>
      </c>
      <c r="M441" t="n">
        <v>0</v>
      </c>
      <c r="N441" t="n">
        <v>0</v>
      </c>
      <c r="O441" t="n">
        <v>0</v>
      </c>
      <c r="P441" t="n">
        <v>0</v>
      </c>
      <c r="Q441" t="n">
        <v>0</v>
      </c>
      <c r="R441" s="2" t="inlineStr"/>
    </row>
    <row r="442" ht="15" customHeight="1">
      <c r="A442" t="inlineStr">
        <is>
          <t>A 50767-2025</t>
        </is>
      </c>
      <c r="B442" s="1" t="n">
        <v>45946</v>
      </c>
      <c r="C442" s="1" t="n">
        <v>46032</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50769-2025</t>
        </is>
      </c>
      <c r="B443" s="1" t="n">
        <v>45946.44864583333</v>
      </c>
      <c r="C443" s="1" t="n">
        <v>46032</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38686-2025</t>
        </is>
      </c>
      <c r="B444" s="1" t="n">
        <v>45884.65658564815</v>
      </c>
      <c r="C444" s="1" t="n">
        <v>46032</v>
      </c>
      <c r="D444" t="inlineStr">
        <is>
          <t>VÄSTERNORRLANDS LÄN</t>
        </is>
      </c>
      <c r="E444" t="inlineStr">
        <is>
          <t>ÅNGE</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61577-2023</t>
        </is>
      </c>
      <c r="B445" s="1" t="n">
        <v>45265.47366898148</v>
      </c>
      <c r="C445" s="1" t="n">
        <v>46032</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51024-2024</t>
        </is>
      </c>
      <c r="B446" s="1" t="n">
        <v>45603.4141087963</v>
      </c>
      <c r="C446" s="1" t="n">
        <v>46032</v>
      </c>
      <c r="D446" t="inlineStr">
        <is>
          <t>VÄSTERNORRLANDS LÄN</t>
        </is>
      </c>
      <c r="E446" t="inlineStr">
        <is>
          <t>ÅNGE</t>
        </is>
      </c>
      <c r="G446" t="n">
        <v>8.9</v>
      </c>
      <c r="H446" t="n">
        <v>0</v>
      </c>
      <c r="I446" t="n">
        <v>0</v>
      </c>
      <c r="J446" t="n">
        <v>0</v>
      </c>
      <c r="K446" t="n">
        <v>0</v>
      </c>
      <c r="L446" t="n">
        <v>0</v>
      </c>
      <c r="M446" t="n">
        <v>0</v>
      </c>
      <c r="N446" t="n">
        <v>0</v>
      </c>
      <c r="O446" t="n">
        <v>0</v>
      </c>
      <c r="P446" t="n">
        <v>0</v>
      </c>
      <c r="Q446" t="n">
        <v>0</v>
      </c>
      <c r="R446" s="2" t="inlineStr"/>
    </row>
    <row r="447" ht="15" customHeight="1">
      <c r="A447" t="inlineStr">
        <is>
          <t>A 54456-2024</t>
        </is>
      </c>
      <c r="B447" s="1" t="n">
        <v>45617.53160879629</v>
      </c>
      <c r="C447" s="1" t="n">
        <v>46032</v>
      </c>
      <c r="D447" t="inlineStr">
        <is>
          <t>VÄSTERNORRLANDS LÄN</t>
        </is>
      </c>
      <c r="E447" t="inlineStr">
        <is>
          <t>ÅNGE</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23035-2024</t>
        </is>
      </c>
      <c r="B448" s="1" t="n">
        <v>45450.39016203704</v>
      </c>
      <c r="C448" s="1" t="n">
        <v>46032</v>
      </c>
      <c r="D448" t="inlineStr">
        <is>
          <t>VÄSTERNORRLANDS LÄN</t>
        </is>
      </c>
      <c r="E448" t="inlineStr">
        <is>
          <t>ÅNGE</t>
        </is>
      </c>
      <c r="G448" t="n">
        <v>12.1</v>
      </c>
      <c r="H448" t="n">
        <v>0</v>
      </c>
      <c r="I448" t="n">
        <v>0</v>
      </c>
      <c r="J448" t="n">
        <v>0</v>
      </c>
      <c r="K448" t="n">
        <v>0</v>
      </c>
      <c r="L448" t="n">
        <v>0</v>
      </c>
      <c r="M448" t="n">
        <v>0</v>
      </c>
      <c r="N448" t="n">
        <v>0</v>
      </c>
      <c r="O448" t="n">
        <v>0</v>
      </c>
      <c r="P448" t="n">
        <v>0</v>
      </c>
      <c r="Q448" t="n">
        <v>0</v>
      </c>
      <c r="R448" s="2" t="inlineStr"/>
    </row>
    <row r="449" ht="15" customHeight="1">
      <c r="A449" t="inlineStr">
        <is>
          <t>A 22489-2025</t>
        </is>
      </c>
      <c r="B449" s="1" t="n">
        <v>45786.64946759259</v>
      </c>
      <c r="C449" s="1" t="n">
        <v>46032</v>
      </c>
      <c r="D449" t="inlineStr">
        <is>
          <t>VÄSTERNORRLANDS LÄN</t>
        </is>
      </c>
      <c r="E449" t="inlineStr">
        <is>
          <t>ÅNGE</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22791-2025</t>
        </is>
      </c>
      <c r="B450" s="1" t="n">
        <v>45789.65663194445</v>
      </c>
      <c r="C450" s="1" t="n">
        <v>46032</v>
      </c>
      <c r="D450" t="inlineStr">
        <is>
          <t>VÄSTERNORRLANDS LÄN</t>
        </is>
      </c>
      <c r="E450" t="inlineStr">
        <is>
          <t>ÅNGE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51109-2025</t>
        </is>
      </c>
      <c r="B451" s="1" t="n">
        <v>45947.50263888889</v>
      </c>
      <c r="C451" s="1" t="n">
        <v>46032</v>
      </c>
      <c r="D451" t="inlineStr">
        <is>
          <t>VÄSTERNORRLANDS LÄN</t>
        </is>
      </c>
      <c r="E451" t="inlineStr">
        <is>
          <t>ÅNGE</t>
        </is>
      </c>
      <c r="F451" t="inlineStr">
        <is>
          <t>Holmen skog AB</t>
        </is>
      </c>
      <c r="G451" t="n">
        <v>2.4</v>
      </c>
      <c r="H451" t="n">
        <v>0</v>
      </c>
      <c r="I451" t="n">
        <v>0</v>
      </c>
      <c r="J451" t="n">
        <v>0</v>
      </c>
      <c r="K451" t="n">
        <v>0</v>
      </c>
      <c r="L451" t="n">
        <v>0</v>
      </c>
      <c r="M451" t="n">
        <v>0</v>
      </c>
      <c r="N451" t="n">
        <v>0</v>
      </c>
      <c r="O451" t="n">
        <v>0</v>
      </c>
      <c r="P451" t="n">
        <v>0</v>
      </c>
      <c r="Q451" t="n">
        <v>0</v>
      </c>
      <c r="R451" s="2" t="inlineStr"/>
    </row>
    <row r="452" ht="15" customHeight="1">
      <c r="A452" t="inlineStr">
        <is>
          <t>A 34959-2023</t>
        </is>
      </c>
      <c r="B452" s="1" t="n">
        <v>45142</v>
      </c>
      <c r="C452" s="1" t="n">
        <v>46032</v>
      </c>
      <c r="D452" t="inlineStr">
        <is>
          <t>VÄSTERNORRLANDS LÄN</t>
        </is>
      </c>
      <c r="E452" t="inlineStr">
        <is>
          <t>ÅNGE</t>
        </is>
      </c>
      <c r="F452" t="inlineStr">
        <is>
          <t>Sveaskog</t>
        </is>
      </c>
      <c r="G452" t="n">
        <v>6.6</v>
      </c>
      <c r="H452" t="n">
        <v>0</v>
      </c>
      <c r="I452" t="n">
        <v>0</v>
      </c>
      <c r="J452" t="n">
        <v>0</v>
      </c>
      <c r="K452" t="n">
        <v>0</v>
      </c>
      <c r="L452" t="n">
        <v>0</v>
      </c>
      <c r="M452" t="n">
        <v>0</v>
      </c>
      <c r="N452" t="n">
        <v>0</v>
      </c>
      <c r="O452" t="n">
        <v>0</v>
      </c>
      <c r="P452" t="n">
        <v>0</v>
      </c>
      <c r="Q452" t="n">
        <v>0</v>
      </c>
      <c r="R452" s="2" t="inlineStr"/>
    </row>
    <row r="453" ht="15" customHeight="1">
      <c r="A453" t="inlineStr">
        <is>
          <t>A 22549-2025</t>
        </is>
      </c>
      <c r="B453" s="1" t="n">
        <v>45788.48113425926</v>
      </c>
      <c r="C453" s="1" t="n">
        <v>46032</v>
      </c>
      <c r="D453" t="inlineStr">
        <is>
          <t>VÄSTERNORRLANDS LÄN</t>
        </is>
      </c>
      <c r="E453" t="inlineStr">
        <is>
          <t>ÅNGE</t>
        </is>
      </c>
      <c r="G453" t="n">
        <v>2.6</v>
      </c>
      <c r="H453" t="n">
        <v>0</v>
      </c>
      <c r="I453" t="n">
        <v>0</v>
      </c>
      <c r="J453" t="n">
        <v>0</v>
      </c>
      <c r="K453" t="n">
        <v>0</v>
      </c>
      <c r="L453" t="n">
        <v>0</v>
      </c>
      <c r="M453" t="n">
        <v>0</v>
      </c>
      <c r="N453" t="n">
        <v>0</v>
      </c>
      <c r="O453" t="n">
        <v>0</v>
      </c>
      <c r="P453" t="n">
        <v>0</v>
      </c>
      <c r="Q453" t="n">
        <v>0</v>
      </c>
      <c r="R453" s="2" t="inlineStr"/>
    </row>
    <row r="454" ht="15" customHeight="1">
      <c r="A454" t="inlineStr">
        <is>
          <t>A 8406-2023</t>
        </is>
      </c>
      <c r="B454" s="1" t="n">
        <v>44971</v>
      </c>
      <c r="C454" s="1" t="n">
        <v>46032</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23091-2025</t>
        </is>
      </c>
      <c r="B455" s="1" t="n">
        <v>45791.34456018519</v>
      </c>
      <c r="C455" s="1" t="n">
        <v>46032</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42857-2022</t>
        </is>
      </c>
      <c r="B456" s="1" t="n">
        <v>44832</v>
      </c>
      <c r="C456" s="1" t="n">
        <v>46032</v>
      </c>
      <c r="D456" t="inlineStr">
        <is>
          <t>VÄSTERNORRLANDS LÄN</t>
        </is>
      </c>
      <c r="E456" t="inlineStr">
        <is>
          <t>ÅNGE</t>
        </is>
      </c>
      <c r="G456" t="n">
        <v>3.4</v>
      </c>
      <c r="H456" t="n">
        <v>0</v>
      </c>
      <c r="I456" t="n">
        <v>0</v>
      </c>
      <c r="J456" t="n">
        <v>0</v>
      </c>
      <c r="K456" t="n">
        <v>0</v>
      </c>
      <c r="L456" t="n">
        <v>0</v>
      </c>
      <c r="M456" t="n">
        <v>0</v>
      </c>
      <c r="N456" t="n">
        <v>0</v>
      </c>
      <c r="O456" t="n">
        <v>0</v>
      </c>
      <c r="P456" t="n">
        <v>0</v>
      </c>
      <c r="Q456" t="n">
        <v>0</v>
      </c>
      <c r="R456" s="2" t="inlineStr"/>
    </row>
    <row r="457" ht="15" customHeight="1">
      <c r="A457" t="inlineStr">
        <is>
          <t>A 23343-2025</t>
        </is>
      </c>
      <c r="B457" s="1" t="n">
        <v>45791.65702546296</v>
      </c>
      <c r="C457" s="1" t="n">
        <v>46032</v>
      </c>
      <c r="D457" t="inlineStr">
        <is>
          <t>VÄSTERNORRLANDS LÄN</t>
        </is>
      </c>
      <c r="E457" t="inlineStr">
        <is>
          <t>ÅNGE</t>
        </is>
      </c>
      <c r="F457" t="inlineStr">
        <is>
          <t>SCA</t>
        </is>
      </c>
      <c r="G457" t="n">
        <v>12.6</v>
      </c>
      <c r="H457" t="n">
        <v>0</v>
      </c>
      <c r="I457" t="n">
        <v>0</v>
      </c>
      <c r="J457" t="n">
        <v>0</v>
      </c>
      <c r="K457" t="n">
        <v>0</v>
      </c>
      <c r="L457" t="n">
        <v>0</v>
      </c>
      <c r="M457" t="n">
        <v>0</v>
      </c>
      <c r="N457" t="n">
        <v>0</v>
      </c>
      <c r="O457" t="n">
        <v>0</v>
      </c>
      <c r="P457" t="n">
        <v>0</v>
      </c>
      <c r="Q457" t="n">
        <v>0</v>
      </c>
      <c r="R457" s="2" t="inlineStr"/>
    </row>
    <row r="458" ht="15" customHeight="1">
      <c r="A458" t="inlineStr">
        <is>
          <t>A 23252-2025</t>
        </is>
      </c>
      <c r="B458" s="1" t="n">
        <v>45791.53157407408</v>
      </c>
      <c r="C458" s="1" t="n">
        <v>46032</v>
      </c>
      <c r="D458" t="inlineStr">
        <is>
          <t>VÄSTERNORRLANDS LÄN</t>
        </is>
      </c>
      <c r="E458" t="inlineStr">
        <is>
          <t>ÅNGE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6-2025</t>
        </is>
      </c>
      <c r="B459" s="1" t="n">
        <v>45658.50759259259</v>
      </c>
      <c r="C459" s="1" t="n">
        <v>46032</v>
      </c>
      <c r="D459" t="inlineStr">
        <is>
          <t>VÄSTERNORRLANDS LÄN</t>
        </is>
      </c>
      <c r="E459" t="inlineStr">
        <is>
          <t>ÅNGE</t>
        </is>
      </c>
      <c r="G459" t="n">
        <v>4.3</v>
      </c>
      <c r="H459" t="n">
        <v>0</v>
      </c>
      <c r="I459" t="n">
        <v>0</v>
      </c>
      <c r="J459" t="n">
        <v>0</v>
      </c>
      <c r="K459" t="n">
        <v>0</v>
      </c>
      <c r="L459" t="n">
        <v>0</v>
      </c>
      <c r="M459" t="n">
        <v>0</v>
      </c>
      <c r="N459" t="n">
        <v>0</v>
      </c>
      <c r="O459" t="n">
        <v>0</v>
      </c>
      <c r="P459" t="n">
        <v>0</v>
      </c>
      <c r="Q459" t="n">
        <v>0</v>
      </c>
      <c r="R459" s="2" t="inlineStr"/>
    </row>
    <row r="460" ht="15" customHeight="1">
      <c r="A460" t="inlineStr">
        <is>
          <t>A 51370-2025</t>
        </is>
      </c>
      <c r="B460" s="1" t="n">
        <v>45950.44818287037</v>
      </c>
      <c r="C460" s="1" t="n">
        <v>46032</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51382-2025</t>
        </is>
      </c>
      <c r="B461" s="1" t="n">
        <v>45950.46019675926</v>
      </c>
      <c r="C461" s="1" t="n">
        <v>46032</v>
      </c>
      <c r="D461" t="inlineStr">
        <is>
          <t>VÄSTERNORRLANDS LÄN</t>
        </is>
      </c>
      <c r="E461" t="inlineStr">
        <is>
          <t>ÅNGE</t>
        </is>
      </c>
      <c r="G461" t="n">
        <v>3</v>
      </c>
      <c r="H461" t="n">
        <v>0</v>
      </c>
      <c r="I461" t="n">
        <v>0</v>
      </c>
      <c r="J461" t="n">
        <v>0</v>
      </c>
      <c r="K461" t="n">
        <v>0</v>
      </c>
      <c r="L461" t="n">
        <v>0</v>
      </c>
      <c r="M461" t="n">
        <v>0</v>
      </c>
      <c r="N461" t="n">
        <v>0</v>
      </c>
      <c r="O461" t="n">
        <v>0</v>
      </c>
      <c r="P461" t="n">
        <v>0</v>
      </c>
      <c r="Q461" t="n">
        <v>0</v>
      </c>
      <c r="R461" s="2" t="inlineStr"/>
    </row>
    <row r="462" ht="15" customHeight="1">
      <c r="A462" t="inlineStr">
        <is>
          <t>A 51416-2025</t>
        </is>
      </c>
      <c r="B462" s="1" t="n">
        <v>45950.51097222222</v>
      </c>
      <c r="C462" s="1" t="n">
        <v>46032</v>
      </c>
      <c r="D462" t="inlineStr">
        <is>
          <t>VÄSTERNORRLANDS LÄN</t>
        </is>
      </c>
      <c r="E462" t="inlineStr">
        <is>
          <t>ÅNGE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39434-2025</t>
        </is>
      </c>
      <c r="B463" s="1" t="n">
        <v>45889.67811342593</v>
      </c>
      <c r="C463" s="1" t="n">
        <v>46032</v>
      </c>
      <c r="D463" t="inlineStr">
        <is>
          <t>VÄSTERNORRLANDS LÄN</t>
        </is>
      </c>
      <c r="E463" t="inlineStr">
        <is>
          <t>ÅNGE</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39444-2025</t>
        </is>
      </c>
      <c r="B464" s="1" t="n">
        <v>45889.69826388889</v>
      </c>
      <c r="C464" s="1" t="n">
        <v>46032</v>
      </c>
      <c r="D464" t="inlineStr">
        <is>
          <t>VÄSTERNORRLANDS LÄN</t>
        </is>
      </c>
      <c r="E464" t="inlineStr">
        <is>
          <t>ÅNGE</t>
        </is>
      </c>
      <c r="F464" t="inlineStr">
        <is>
          <t>SCA</t>
        </is>
      </c>
      <c r="G464" t="n">
        <v>7.9</v>
      </c>
      <c r="H464" t="n">
        <v>0</v>
      </c>
      <c r="I464" t="n">
        <v>0</v>
      </c>
      <c r="J464" t="n">
        <v>0</v>
      </c>
      <c r="K464" t="n">
        <v>0</v>
      </c>
      <c r="L464" t="n">
        <v>0</v>
      </c>
      <c r="M464" t="n">
        <v>0</v>
      </c>
      <c r="N464" t="n">
        <v>0</v>
      </c>
      <c r="O464" t="n">
        <v>0</v>
      </c>
      <c r="P464" t="n">
        <v>0</v>
      </c>
      <c r="Q464" t="n">
        <v>0</v>
      </c>
      <c r="R464" s="2" t="inlineStr"/>
    </row>
    <row r="465" ht="15" customHeight="1">
      <c r="A465" t="inlineStr">
        <is>
          <t>A 22926-2025</t>
        </is>
      </c>
      <c r="B465" s="1" t="n">
        <v>45790</v>
      </c>
      <c r="C465" s="1" t="n">
        <v>46032</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22928-2025</t>
        </is>
      </c>
      <c r="B466" s="1" t="n">
        <v>45790.44825231482</v>
      </c>
      <c r="C466" s="1" t="n">
        <v>46032</v>
      </c>
      <c r="D466" t="inlineStr">
        <is>
          <t>VÄSTERNORRLANDS LÄN</t>
        </is>
      </c>
      <c r="E466" t="inlineStr">
        <is>
          <t>ÅNGE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24232-2024</t>
        </is>
      </c>
      <c r="B467" s="1" t="n">
        <v>45457.34686342593</v>
      </c>
      <c r="C467" s="1" t="n">
        <v>46032</v>
      </c>
      <c r="D467" t="inlineStr">
        <is>
          <t>VÄSTERNORRLANDS LÄN</t>
        </is>
      </c>
      <c r="E467" t="inlineStr">
        <is>
          <t>ÅNGE</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31325-2022</t>
        </is>
      </c>
      <c r="B468" s="1" t="n">
        <v>44774.41421296296</v>
      </c>
      <c r="C468" s="1" t="n">
        <v>46032</v>
      </c>
      <c r="D468" t="inlineStr">
        <is>
          <t>VÄSTERNORRLANDS LÄN</t>
        </is>
      </c>
      <c r="E468" t="inlineStr">
        <is>
          <t>ÅNGE</t>
        </is>
      </c>
      <c r="G468" t="n">
        <v>6.3</v>
      </c>
      <c r="H468" t="n">
        <v>0</v>
      </c>
      <c r="I468" t="n">
        <v>0</v>
      </c>
      <c r="J468" t="n">
        <v>0</v>
      </c>
      <c r="K468" t="n">
        <v>0</v>
      </c>
      <c r="L468" t="n">
        <v>0</v>
      </c>
      <c r="M468" t="n">
        <v>0</v>
      </c>
      <c r="N468" t="n">
        <v>0</v>
      </c>
      <c r="O468" t="n">
        <v>0</v>
      </c>
      <c r="P468" t="n">
        <v>0</v>
      </c>
      <c r="Q468" t="n">
        <v>0</v>
      </c>
      <c r="R468" s="2" t="inlineStr"/>
    </row>
    <row r="469" ht="15" customHeight="1">
      <c r="A469" t="inlineStr">
        <is>
          <t>A 23748-2025</t>
        </is>
      </c>
      <c r="B469" s="1" t="n">
        <v>45793.44755787037</v>
      </c>
      <c r="C469" s="1" t="n">
        <v>46032</v>
      </c>
      <c r="D469" t="inlineStr">
        <is>
          <t>VÄSTERNORRLANDS LÄN</t>
        </is>
      </c>
      <c r="E469" t="inlineStr">
        <is>
          <t>ÅNGE</t>
        </is>
      </c>
      <c r="F469" t="inlineStr">
        <is>
          <t>Sveaskog</t>
        </is>
      </c>
      <c r="G469" t="n">
        <v>6.5</v>
      </c>
      <c r="H469" t="n">
        <v>0</v>
      </c>
      <c r="I469" t="n">
        <v>0</v>
      </c>
      <c r="J469" t="n">
        <v>0</v>
      </c>
      <c r="K469" t="n">
        <v>0</v>
      </c>
      <c r="L469" t="n">
        <v>0</v>
      </c>
      <c r="M469" t="n">
        <v>0</v>
      </c>
      <c r="N469" t="n">
        <v>0</v>
      </c>
      <c r="O469" t="n">
        <v>0</v>
      </c>
      <c r="P469" t="n">
        <v>0</v>
      </c>
      <c r="Q469" t="n">
        <v>0</v>
      </c>
      <c r="R469" s="2" t="inlineStr"/>
    </row>
    <row r="470" ht="15" customHeight="1">
      <c r="A470" t="inlineStr">
        <is>
          <t>A 23589-2025</t>
        </is>
      </c>
      <c r="B470" s="1" t="n">
        <v>45792.63618055556</v>
      </c>
      <c r="C470" s="1" t="n">
        <v>46032</v>
      </c>
      <c r="D470" t="inlineStr">
        <is>
          <t>VÄSTERNORRLANDS LÄN</t>
        </is>
      </c>
      <c r="E470" t="inlineStr">
        <is>
          <t>ÅNGE</t>
        </is>
      </c>
      <c r="F470" t="inlineStr">
        <is>
          <t>SCA</t>
        </is>
      </c>
      <c r="G470" t="n">
        <v>10.7</v>
      </c>
      <c r="H470" t="n">
        <v>0</v>
      </c>
      <c r="I470" t="n">
        <v>0</v>
      </c>
      <c r="J470" t="n">
        <v>0</v>
      </c>
      <c r="K470" t="n">
        <v>0</v>
      </c>
      <c r="L470" t="n">
        <v>0</v>
      </c>
      <c r="M470" t="n">
        <v>0</v>
      </c>
      <c r="N470" t="n">
        <v>0</v>
      </c>
      <c r="O470" t="n">
        <v>0</v>
      </c>
      <c r="P470" t="n">
        <v>0</v>
      </c>
      <c r="Q470" t="n">
        <v>0</v>
      </c>
      <c r="R470" s="2" t="inlineStr"/>
    </row>
    <row r="471" ht="15" customHeight="1">
      <c r="A471" t="inlineStr">
        <is>
          <t>A 23495-2025</t>
        </is>
      </c>
      <c r="B471" s="1" t="n">
        <v>45792.46967592592</v>
      </c>
      <c r="C471" s="1" t="n">
        <v>46032</v>
      </c>
      <c r="D471" t="inlineStr">
        <is>
          <t>VÄSTERNORRLANDS LÄN</t>
        </is>
      </c>
      <c r="E471" t="inlineStr">
        <is>
          <t>ÅNGE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23580-2025</t>
        </is>
      </c>
      <c r="B472" s="1" t="n">
        <v>45792.62555555555</v>
      </c>
      <c r="C472" s="1" t="n">
        <v>46032</v>
      </c>
      <c r="D472" t="inlineStr">
        <is>
          <t>VÄSTERNORRLANDS LÄN</t>
        </is>
      </c>
      <c r="E472" t="inlineStr">
        <is>
          <t>ÅNGE</t>
        </is>
      </c>
      <c r="F472" t="inlineStr">
        <is>
          <t>Kyrkan</t>
        </is>
      </c>
      <c r="G472" t="n">
        <v>2.6</v>
      </c>
      <c r="H472" t="n">
        <v>0</v>
      </c>
      <c r="I472" t="n">
        <v>0</v>
      </c>
      <c r="J472" t="n">
        <v>0</v>
      </c>
      <c r="K472" t="n">
        <v>0</v>
      </c>
      <c r="L472" t="n">
        <v>0</v>
      </c>
      <c r="M472" t="n">
        <v>0</v>
      </c>
      <c r="N472" t="n">
        <v>0</v>
      </c>
      <c r="O472" t="n">
        <v>0</v>
      </c>
      <c r="P472" t="n">
        <v>0</v>
      </c>
      <c r="Q472" t="n">
        <v>0</v>
      </c>
      <c r="R472" s="2" t="inlineStr"/>
    </row>
    <row r="473" ht="15" customHeight="1">
      <c r="A473" t="inlineStr">
        <is>
          <t>A 23590-2025</t>
        </is>
      </c>
      <c r="B473" s="1" t="n">
        <v>45792.63627314815</v>
      </c>
      <c r="C473" s="1" t="n">
        <v>46032</v>
      </c>
      <c r="D473" t="inlineStr">
        <is>
          <t>VÄSTERNORRLANDS LÄN</t>
        </is>
      </c>
      <c r="E473" t="inlineStr">
        <is>
          <t>ÅNGE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32051-2025</t>
        </is>
      </c>
      <c r="B474" s="1" t="n">
        <v>45835.44185185185</v>
      </c>
      <c r="C474" s="1" t="n">
        <v>46032</v>
      </c>
      <c r="D474" t="inlineStr">
        <is>
          <t>VÄSTERNORRLANDS LÄN</t>
        </is>
      </c>
      <c r="E474" t="inlineStr">
        <is>
          <t>ÅNGE</t>
        </is>
      </c>
      <c r="G474" t="n">
        <v>4</v>
      </c>
      <c r="H474" t="n">
        <v>0</v>
      </c>
      <c r="I474" t="n">
        <v>0</v>
      </c>
      <c r="J474" t="n">
        <v>0</v>
      </c>
      <c r="K474" t="n">
        <v>0</v>
      </c>
      <c r="L474" t="n">
        <v>0</v>
      </c>
      <c r="M474" t="n">
        <v>0</v>
      </c>
      <c r="N474" t="n">
        <v>0</v>
      </c>
      <c r="O474" t="n">
        <v>0</v>
      </c>
      <c r="P474" t="n">
        <v>0</v>
      </c>
      <c r="Q474" t="n">
        <v>0</v>
      </c>
      <c r="R474" s="2" t="inlineStr"/>
    </row>
    <row r="475" ht="15" customHeight="1">
      <c r="A475" t="inlineStr">
        <is>
          <t>A 23573-2025</t>
        </is>
      </c>
      <c r="B475" s="1" t="n">
        <v>45792.61497685185</v>
      </c>
      <c r="C475" s="1" t="n">
        <v>46032</v>
      </c>
      <c r="D475" t="inlineStr">
        <is>
          <t>VÄSTERNORRLANDS LÄN</t>
        </is>
      </c>
      <c r="E475" t="inlineStr">
        <is>
          <t>ÅNGE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23552-2025</t>
        </is>
      </c>
      <c r="B476" s="1" t="n">
        <v>45792.5738425926</v>
      </c>
      <c r="C476" s="1" t="n">
        <v>46032</v>
      </c>
      <c r="D476" t="inlineStr">
        <is>
          <t>VÄSTERNORRLANDS LÄN</t>
        </is>
      </c>
      <c r="E476" t="inlineStr">
        <is>
          <t>ÅNGE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23529-2025</t>
        </is>
      </c>
      <c r="B477" s="1" t="n">
        <v>45792.53158564815</v>
      </c>
      <c r="C477" s="1" t="n">
        <v>46032</v>
      </c>
      <c r="D477" t="inlineStr">
        <is>
          <t>VÄSTERNORRLANDS LÄN</t>
        </is>
      </c>
      <c r="E477" t="inlineStr">
        <is>
          <t>ÅNGE</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60004-2023</t>
        </is>
      </c>
      <c r="B478" s="1" t="n">
        <v>45257</v>
      </c>
      <c r="C478" s="1" t="n">
        <v>46032</v>
      </c>
      <c r="D478" t="inlineStr">
        <is>
          <t>VÄSTERNORRLANDS LÄN</t>
        </is>
      </c>
      <c r="E478" t="inlineStr">
        <is>
          <t>ÅNGE</t>
        </is>
      </c>
      <c r="F478" t="inlineStr">
        <is>
          <t>SCA</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4142-2024</t>
        </is>
      </c>
      <c r="B479" s="1" t="n">
        <v>45323</v>
      </c>
      <c r="C479" s="1" t="n">
        <v>46032</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22411-2023</t>
        </is>
      </c>
      <c r="B480" s="1" t="n">
        <v>45070</v>
      </c>
      <c r="C480" s="1" t="n">
        <v>46032</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39843-2023</t>
        </is>
      </c>
      <c r="B481" s="1" t="n">
        <v>45168</v>
      </c>
      <c r="C481" s="1" t="n">
        <v>46032</v>
      </c>
      <c r="D481" t="inlineStr">
        <is>
          <t>VÄSTERNORRLANDS LÄN</t>
        </is>
      </c>
      <c r="E481" t="inlineStr">
        <is>
          <t>ÅNGE</t>
        </is>
      </c>
      <c r="G481" t="n">
        <v>2.1</v>
      </c>
      <c r="H481" t="n">
        <v>0</v>
      </c>
      <c r="I481" t="n">
        <v>0</v>
      </c>
      <c r="J481" t="n">
        <v>0</v>
      </c>
      <c r="K481" t="n">
        <v>0</v>
      </c>
      <c r="L481" t="n">
        <v>0</v>
      </c>
      <c r="M481" t="n">
        <v>0</v>
      </c>
      <c r="N481" t="n">
        <v>0</v>
      </c>
      <c r="O481" t="n">
        <v>0</v>
      </c>
      <c r="P481" t="n">
        <v>0</v>
      </c>
      <c r="Q481" t="n">
        <v>0</v>
      </c>
      <c r="R481" s="2" t="inlineStr"/>
    </row>
    <row r="482" ht="15" customHeight="1">
      <c r="A482" t="inlineStr">
        <is>
          <t>A 39768-2025</t>
        </is>
      </c>
      <c r="B482" s="1" t="n">
        <v>45891.44842592593</v>
      </c>
      <c r="C482" s="1" t="n">
        <v>46032</v>
      </c>
      <c r="D482" t="inlineStr">
        <is>
          <t>VÄSTERNORRLANDS LÄN</t>
        </is>
      </c>
      <c r="E482" t="inlineStr">
        <is>
          <t>ÅNGE</t>
        </is>
      </c>
      <c r="G482" t="n">
        <v>10.4</v>
      </c>
      <c r="H482" t="n">
        <v>0</v>
      </c>
      <c r="I482" t="n">
        <v>0</v>
      </c>
      <c r="J482" t="n">
        <v>0</v>
      </c>
      <c r="K482" t="n">
        <v>0</v>
      </c>
      <c r="L482" t="n">
        <v>0</v>
      </c>
      <c r="M482" t="n">
        <v>0</v>
      </c>
      <c r="N482" t="n">
        <v>0</v>
      </c>
      <c r="O482" t="n">
        <v>0</v>
      </c>
      <c r="P482" t="n">
        <v>0</v>
      </c>
      <c r="Q482" t="n">
        <v>0</v>
      </c>
      <c r="R482" s="2" t="inlineStr"/>
    </row>
    <row r="483" ht="15" customHeight="1">
      <c r="A483" t="inlineStr">
        <is>
          <t>A 23899-2025</t>
        </is>
      </c>
      <c r="B483" s="1" t="n">
        <v>45794.34414351852</v>
      </c>
      <c r="C483" s="1" t="n">
        <v>46032</v>
      </c>
      <c r="D483" t="inlineStr">
        <is>
          <t>VÄSTERNORRLANDS LÄN</t>
        </is>
      </c>
      <c r="E483" t="inlineStr">
        <is>
          <t>ÅNGE</t>
        </is>
      </c>
      <c r="F483" t="inlineStr">
        <is>
          <t>SCA</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54079-2023</t>
        </is>
      </c>
      <c r="B484" s="1" t="n">
        <v>45231</v>
      </c>
      <c r="C484" s="1" t="n">
        <v>46032</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24357-2025</t>
        </is>
      </c>
      <c r="B485" s="1" t="n">
        <v>45797.59467592592</v>
      </c>
      <c r="C485" s="1" t="n">
        <v>46032</v>
      </c>
      <c r="D485" t="inlineStr">
        <is>
          <t>VÄSTERNORRLANDS LÄN</t>
        </is>
      </c>
      <c r="E485" t="inlineStr">
        <is>
          <t>ÅNGE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39729-2025</t>
        </is>
      </c>
      <c r="B486" s="1" t="n">
        <v>45891</v>
      </c>
      <c r="C486" s="1" t="n">
        <v>46032</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24292-2025</t>
        </is>
      </c>
      <c r="B487" s="1" t="n">
        <v>45797.46657407407</v>
      </c>
      <c r="C487" s="1" t="n">
        <v>46032</v>
      </c>
      <c r="D487" t="inlineStr">
        <is>
          <t>VÄSTERNORRLANDS LÄN</t>
        </is>
      </c>
      <c r="E487" t="inlineStr">
        <is>
          <t>ÅNGE</t>
        </is>
      </c>
      <c r="G487" t="n">
        <v>2.8</v>
      </c>
      <c r="H487" t="n">
        <v>0</v>
      </c>
      <c r="I487" t="n">
        <v>0</v>
      </c>
      <c r="J487" t="n">
        <v>0</v>
      </c>
      <c r="K487" t="n">
        <v>0</v>
      </c>
      <c r="L487" t="n">
        <v>0</v>
      </c>
      <c r="M487" t="n">
        <v>0</v>
      </c>
      <c r="N487" t="n">
        <v>0</v>
      </c>
      <c r="O487" t="n">
        <v>0</v>
      </c>
      <c r="P487" t="n">
        <v>0</v>
      </c>
      <c r="Q487" t="n">
        <v>0</v>
      </c>
      <c r="R487" s="2" t="inlineStr"/>
    </row>
    <row r="488" ht="15" customHeight="1">
      <c r="A488" t="inlineStr">
        <is>
          <t>A 24008-2025</t>
        </is>
      </c>
      <c r="B488" s="1" t="n">
        <v>45796.43841435185</v>
      </c>
      <c r="C488" s="1" t="n">
        <v>46032</v>
      </c>
      <c r="D488" t="inlineStr">
        <is>
          <t>VÄSTERNORRLANDS LÄN</t>
        </is>
      </c>
      <c r="E488" t="inlineStr">
        <is>
          <t>ÅNGE</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41575-2024</t>
        </is>
      </c>
      <c r="B489" s="1" t="n">
        <v>45560.55106481481</v>
      </c>
      <c r="C489" s="1" t="n">
        <v>46032</v>
      </c>
      <c r="D489" t="inlineStr">
        <is>
          <t>VÄSTERNORRLANDS LÄN</t>
        </is>
      </c>
      <c r="E489" t="inlineStr">
        <is>
          <t>ÅNGE</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19007-2025</t>
        </is>
      </c>
      <c r="B490" s="1" t="n">
        <v>45764.58515046296</v>
      </c>
      <c r="C490" s="1" t="n">
        <v>46032</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16450-2025</t>
        </is>
      </c>
      <c r="B491" s="1" t="n">
        <v>45751.51081018519</v>
      </c>
      <c r="C491" s="1" t="n">
        <v>46032</v>
      </c>
      <c r="D491" t="inlineStr">
        <is>
          <t>VÄSTERNORRLANDS LÄN</t>
        </is>
      </c>
      <c r="E491" t="inlineStr">
        <is>
          <t>ÅNGE</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16606-2023</t>
        </is>
      </c>
      <c r="B492" s="1" t="n">
        <v>45030.3990625</v>
      </c>
      <c r="C492" s="1" t="n">
        <v>46032</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41741-2023</t>
        </is>
      </c>
      <c r="B493" s="1" t="n">
        <v>45176.42164351852</v>
      </c>
      <c r="C493" s="1" t="n">
        <v>46032</v>
      </c>
      <c r="D493" t="inlineStr">
        <is>
          <t>VÄSTERNORRLANDS LÄN</t>
        </is>
      </c>
      <c r="E493" t="inlineStr">
        <is>
          <t>ÅNGE</t>
        </is>
      </c>
      <c r="G493" t="n">
        <v>7.8</v>
      </c>
      <c r="H493" t="n">
        <v>0</v>
      </c>
      <c r="I493" t="n">
        <v>0</v>
      </c>
      <c r="J493" t="n">
        <v>0</v>
      </c>
      <c r="K493" t="n">
        <v>0</v>
      </c>
      <c r="L493" t="n">
        <v>0</v>
      </c>
      <c r="M493" t="n">
        <v>0</v>
      </c>
      <c r="N493" t="n">
        <v>0</v>
      </c>
      <c r="O493" t="n">
        <v>0</v>
      </c>
      <c r="P493" t="n">
        <v>0</v>
      </c>
      <c r="Q493" t="n">
        <v>0</v>
      </c>
      <c r="R493" s="2" t="inlineStr"/>
    </row>
    <row r="494" ht="15" customHeight="1">
      <c r="A494" t="inlineStr">
        <is>
          <t>A 60368-2024</t>
        </is>
      </c>
      <c r="B494" s="1" t="n">
        <v>45643</v>
      </c>
      <c r="C494" s="1" t="n">
        <v>46032</v>
      </c>
      <c r="D494" t="inlineStr">
        <is>
          <t>VÄSTERNORRLANDS LÄN</t>
        </is>
      </c>
      <c r="E494" t="inlineStr">
        <is>
          <t>ÅNGE</t>
        </is>
      </c>
      <c r="G494" t="n">
        <v>1.8</v>
      </c>
      <c r="H494" t="n">
        <v>0</v>
      </c>
      <c r="I494" t="n">
        <v>0</v>
      </c>
      <c r="J494" t="n">
        <v>0</v>
      </c>
      <c r="K494" t="n">
        <v>0</v>
      </c>
      <c r="L494" t="n">
        <v>0</v>
      </c>
      <c r="M494" t="n">
        <v>0</v>
      </c>
      <c r="N494" t="n">
        <v>0</v>
      </c>
      <c r="O494" t="n">
        <v>0</v>
      </c>
      <c r="P494" t="n">
        <v>0</v>
      </c>
      <c r="Q494" t="n">
        <v>0</v>
      </c>
      <c r="R494" s="2" t="inlineStr"/>
    </row>
    <row r="495" ht="15" customHeight="1">
      <c r="A495" t="inlineStr">
        <is>
          <t>A 29702-2024</t>
        </is>
      </c>
      <c r="B495" s="1" t="n">
        <v>45485.31525462963</v>
      </c>
      <c r="C495" s="1" t="n">
        <v>46032</v>
      </c>
      <c r="D495" t="inlineStr">
        <is>
          <t>VÄSTERNORRLANDS LÄN</t>
        </is>
      </c>
      <c r="E495" t="inlineStr">
        <is>
          <t>ÅNGE</t>
        </is>
      </c>
      <c r="G495" t="n">
        <v>2.6</v>
      </c>
      <c r="H495" t="n">
        <v>0</v>
      </c>
      <c r="I495" t="n">
        <v>0</v>
      </c>
      <c r="J495" t="n">
        <v>0</v>
      </c>
      <c r="K495" t="n">
        <v>0</v>
      </c>
      <c r="L495" t="n">
        <v>0</v>
      </c>
      <c r="M495" t="n">
        <v>0</v>
      </c>
      <c r="N495" t="n">
        <v>0</v>
      </c>
      <c r="O495" t="n">
        <v>0</v>
      </c>
      <c r="P495" t="n">
        <v>0</v>
      </c>
      <c r="Q495" t="n">
        <v>0</v>
      </c>
      <c r="R495" s="2" t="inlineStr"/>
    </row>
    <row r="496" ht="15" customHeight="1">
      <c r="A496" t="inlineStr">
        <is>
          <t>A 23069-2024</t>
        </is>
      </c>
      <c r="B496" s="1" t="n">
        <v>45450</v>
      </c>
      <c r="C496" s="1" t="n">
        <v>46032</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24209-2025</t>
        </is>
      </c>
      <c r="B497" s="1" t="n">
        <v>45797.3446875</v>
      </c>
      <c r="C497" s="1" t="n">
        <v>46032</v>
      </c>
      <c r="D497" t="inlineStr">
        <is>
          <t>VÄSTERNORRLANDS LÄN</t>
        </is>
      </c>
      <c r="E497" t="inlineStr">
        <is>
          <t>ÅNGE</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10781-2024</t>
        </is>
      </c>
      <c r="B498" s="1" t="n">
        <v>45369.59635416666</v>
      </c>
      <c r="C498" s="1" t="n">
        <v>46032</v>
      </c>
      <c r="D498" t="inlineStr">
        <is>
          <t>VÄSTERNORRLANDS LÄN</t>
        </is>
      </c>
      <c r="E498" t="inlineStr">
        <is>
          <t>ÅNGE</t>
        </is>
      </c>
      <c r="G498" t="n">
        <v>1.9</v>
      </c>
      <c r="H498" t="n">
        <v>0</v>
      </c>
      <c r="I498" t="n">
        <v>0</v>
      </c>
      <c r="J498" t="n">
        <v>0</v>
      </c>
      <c r="K498" t="n">
        <v>0</v>
      </c>
      <c r="L498" t="n">
        <v>0</v>
      </c>
      <c r="M498" t="n">
        <v>0</v>
      </c>
      <c r="N498" t="n">
        <v>0</v>
      </c>
      <c r="O498" t="n">
        <v>0</v>
      </c>
      <c r="P498" t="n">
        <v>0</v>
      </c>
      <c r="Q498" t="n">
        <v>0</v>
      </c>
      <c r="R498" s="2" t="inlineStr"/>
    </row>
    <row r="499" ht="15" customHeight="1">
      <c r="A499" t="inlineStr">
        <is>
          <t>A 23975-2025</t>
        </is>
      </c>
      <c r="B499" s="1" t="n">
        <v>45796.38614583333</v>
      </c>
      <c r="C499" s="1" t="n">
        <v>46032</v>
      </c>
      <c r="D499" t="inlineStr">
        <is>
          <t>VÄSTERNORRLANDS LÄN</t>
        </is>
      </c>
      <c r="E499" t="inlineStr">
        <is>
          <t>ÅNGE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23976-2025</t>
        </is>
      </c>
      <c r="B500" s="1" t="n">
        <v>45796.38625</v>
      </c>
      <c r="C500" s="1" t="n">
        <v>46032</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57516-2023</t>
        </is>
      </c>
      <c r="B501" s="1" t="n">
        <v>45246.44665509259</v>
      </c>
      <c r="C501" s="1" t="n">
        <v>46032</v>
      </c>
      <c r="D501" t="inlineStr">
        <is>
          <t>VÄSTERNORRLANDS LÄN</t>
        </is>
      </c>
      <c r="E501" t="inlineStr">
        <is>
          <t>ÅNGE</t>
        </is>
      </c>
      <c r="G501" t="n">
        <v>2.2</v>
      </c>
      <c r="H501" t="n">
        <v>0</v>
      </c>
      <c r="I501" t="n">
        <v>0</v>
      </c>
      <c r="J501" t="n">
        <v>0</v>
      </c>
      <c r="K501" t="n">
        <v>0</v>
      </c>
      <c r="L501" t="n">
        <v>0</v>
      </c>
      <c r="M501" t="n">
        <v>0</v>
      </c>
      <c r="N501" t="n">
        <v>0</v>
      </c>
      <c r="O501" t="n">
        <v>0</v>
      </c>
      <c r="P501" t="n">
        <v>0</v>
      </c>
      <c r="Q501" t="n">
        <v>0</v>
      </c>
      <c r="R501" s="2" t="inlineStr"/>
    </row>
    <row r="502" ht="15" customHeight="1">
      <c r="A502" t="inlineStr">
        <is>
          <t>A 59641-2025</t>
        </is>
      </c>
      <c r="B502" s="1" t="n">
        <v>45992.4175925926</v>
      </c>
      <c r="C502" s="1" t="n">
        <v>46032</v>
      </c>
      <c r="D502" t="inlineStr">
        <is>
          <t>VÄSTERNORRLANDS LÄN</t>
        </is>
      </c>
      <c r="E502" t="inlineStr">
        <is>
          <t>ÅNGE</t>
        </is>
      </c>
      <c r="G502" t="n">
        <v>6.2</v>
      </c>
      <c r="H502" t="n">
        <v>0</v>
      </c>
      <c r="I502" t="n">
        <v>0</v>
      </c>
      <c r="J502" t="n">
        <v>0</v>
      </c>
      <c r="K502" t="n">
        <v>0</v>
      </c>
      <c r="L502" t="n">
        <v>0</v>
      </c>
      <c r="M502" t="n">
        <v>0</v>
      </c>
      <c r="N502" t="n">
        <v>0</v>
      </c>
      <c r="O502" t="n">
        <v>0</v>
      </c>
      <c r="P502" t="n">
        <v>0</v>
      </c>
      <c r="Q502" t="n">
        <v>0</v>
      </c>
      <c r="R502" s="2" t="inlineStr"/>
    </row>
    <row r="503" ht="15" customHeight="1">
      <c r="A503" t="inlineStr">
        <is>
          <t>A 26641-2024</t>
        </is>
      </c>
      <c r="B503" s="1" t="n">
        <v>45469.92836805555</v>
      </c>
      <c r="C503" s="1" t="n">
        <v>46032</v>
      </c>
      <c r="D503" t="inlineStr">
        <is>
          <t>VÄSTERNORRLANDS LÄN</t>
        </is>
      </c>
      <c r="E503" t="inlineStr">
        <is>
          <t>ÅNGE</t>
        </is>
      </c>
      <c r="G503" t="n">
        <v>4.5</v>
      </c>
      <c r="H503" t="n">
        <v>0</v>
      </c>
      <c r="I503" t="n">
        <v>0</v>
      </c>
      <c r="J503" t="n">
        <v>0</v>
      </c>
      <c r="K503" t="n">
        <v>0</v>
      </c>
      <c r="L503" t="n">
        <v>0</v>
      </c>
      <c r="M503" t="n">
        <v>0</v>
      </c>
      <c r="N503" t="n">
        <v>0</v>
      </c>
      <c r="O503" t="n">
        <v>0</v>
      </c>
      <c r="P503" t="n">
        <v>0</v>
      </c>
      <c r="Q503" t="n">
        <v>0</v>
      </c>
      <c r="R503" s="2" t="inlineStr"/>
    </row>
    <row r="504" ht="15" customHeight="1">
      <c r="A504" t="inlineStr">
        <is>
          <t>A 37992-2024</t>
        </is>
      </c>
      <c r="B504" s="1" t="n">
        <v>45544.59524305556</v>
      </c>
      <c r="C504" s="1" t="n">
        <v>46032</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24207-2025</t>
        </is>
      </c>
      <c r="B505" s="1" t="n">
        <v>45797.34439814815</v>
      </c>
      <c r="C505" s="1" t="n">
        <v>46032</v>
      </c>
      <c r="D505" t="inlineStr">
        <is>
          <t>VÄSTERNORRLANDS LÄN</t>
        </is>
      </c>
      <c r="E505" t="inlineStr">
        <is>
          <t>ÅNGE</t>
        </is>
      </c>
      <c r="F505" t="inlineStr">
        <is>
          <t>SCA</t>
        </is>
      </c>
      <c r="G505" t="n">
        <v>10.3</v>
      </c>
      <c r="H505" t="n">
        <v>0</v>
      </c>
      <c r="I505" t="n">
        <v>0</v>
      </c>
      <c r="J505" t="n">
        <v>0</v>
      </c>
      <c r="K505" t="n">
        <v>0</v>
      </c>
      <c r="L505" t="n">
        <v>0</v>
      </c>
      <c r="M505" t="n">
        <v>0</v>
      </c>
      <c r="N505" t="n">
        <v>0</v>
      </c>
      <c r="O505" t="n">
        <v>0</v>
      </c>
      <c r="P505" t="n">
        <v>0</v>
      </c>
      <c r="Q505" t="n">
        <v>0</v>
      </c>
      <c r="R505" s="2" t="inlineStr"/>
    </row>
    <row r="506" ht="15" customHeight="1">
      <c r="A506" t="inlineStr">
        <is>
          <t>A 43145-2024</t>
        </is>
      </c>
      <c r="B506" s="1" t="n">
        <v>45567.63030092593</v>
      </c>
      <c r="C506" s="1" t="n">
        <v>46032</v>
      </c>
      <c r="D506" t="inlineStr">
        <is>
          <t>VÄSTERNORRLANDS LÄN</t>
        </is>
      </c>
      <c r="E506" t="inlineStr">
        <is>
          <t>ÅNGE</t>
        </is>
      </c>
      <c r="G506" t="n">
        <v>1.4</v>
      </c>
      <c r="H506" t="n">
        <v>0</v>
      </c>
      <c r="I506" t="n">
        <v>0</v>
      </c>
      <c r="J506" t="n">
        <v>0</v>
      </c>
      <c r="K506" t="n">
        <v>0</v>
      </c>
      <c r="L506" t="n">
        <v>0</v>
      </c>
      <c r="M506" t="n">
        <v>0</v>
      </c>
      <c r="N506" t="n">
        <v>0</v>
      </c>
      <c r="O506" t="n">
        <v>0</v>
      </c>
      <c r="P506" t="n">
        <v>0</v>
      </c>
      <c r="Q506" t="n">
        <v>0</v>
      </c>
      <c r="R506" s="2" t="inlineStr"/>
    </row>
    <row r="507" ht="15" customHeight="1">
      <c r="A507" t="inlineStr">
        <is>
          <t>A 23917-2025</t>
        </is>
      </c>
      <c r="B507" s="1" t="n">
        <v>45795.34481481482</v>
      </c>
      <c r="C507" s="1" t="n">
        <v>46032</v>
      </c>
      <c r="D507" t="inlineStr">
        <is>
          <t>VÄSTERNORRLANDS LÄN</t>
        </is>
      </c>
      <c r="E507" t="inlineStr">
        <is>
          <t>ÅNGE</t>
        </is>
      </c>
      <c r="F507" t="inlineStr">
        <is>
          <t>SCA</t>
        </is>
      </c>
      <c r="G507" t="n">
        <v>3.1</v>
      </c>
      <c r="H507" t="n">
        <v>0</v>
      </c>
      <c r="I507" t="n">
        <v>0</v>
      </c>
      <c r="J507" t="n">
        <v>0</v>
      </c>
      <c r="K507" t="n">
        <v>0</v>
      </c>
      <c r="L507" t="n">
        <v>0</v>
      </c>
      <c r="M507" t="n">
        <v>0</v>
      </c>
      <c r="N507" t="n">
        <v>0</v>
      </c>
      <c r="O507" t="n">
        <v>0</v>
      </c>
      <c r="P507" t="n">
        <v>0</v>
      </c>
      <c r="Q507" t="n">
        <v>0</v>
      </c>
      <c r="R507" s="2" t="inlineStr"/>
    </row>
    <row r="508" ht="15" customHeight="1">
      <c r="A508" t="inlineStr">
        <is>
          <t>A 23921-2025</t>
        </is>
      </c>
      <c r="B508" s="1" t="n">
        <v>45795.34513888889</v>
      </c>
      <c r="C508" s="1" t="n">
        <v>46032</v>
      </c>
      <c r="D508" t="inlineStr">
        <is>
          <t>VÄSTERNORRLANDS LÄN</t>
        </is>
      </c>
      <c r="E508" t="inlineStr">
        <is>
          <t>ÅNGE</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33720-2025</t>
        </is>
      </c>
      <c r="B509" s="1" t="n">
        <v>45841.90605324074</v>
      </c>
      <c r="C509" s="1" t="n">
        <v>46032</v>
      </c>
      <c r="D509" t="inlineStr">
        <is>
          <t>VÄSTERNORRLANDS LÄN</t>
        </is>
      </c>
      <c r="E509" t="inlineStr">
        <is>
          <t>ÅNGE</t>
        </is>
      </c>
      <c r="G509" t="n">
        <v>6.4</v>
      </c>
      <c r="H509" t="n">
        <v>0</v>
      </c>
      <c r="I509" t="n">
        <v>0</v>
      </c>
      <c r="J509" t="n">
        <v>0</v>
      </c>
      <c r="K509" t="n">
        <v>0</v>
      </c>
      <c r="L509" t="n">
        <v>0</v>
      </c>
      <c r="M509" t="n">
        <v>0</v>
      </c>
      <c r="N509" t="n">
        <v>0</v>
      </c>
      <c r="O509" t="n">
        <v>0</v>
      </c>
      <c r="P509" t="n">
        <v>0</v>
      </c>
      <c r="Q509" t="n">
        <v>0</v>
      </c>
      <c r="R509" s="2" t="inlineStr"/>
    </row>
    <row r="510" ht="15" customHeight="1">
      <c r="A510" t="inlineStr">
        <is>
          <t>A 60061-2025</t>
        </is>
      </c>
      <c r="B510" s="1" t="n">
        <v>45993.65673611111</v>
      </c>
      <c r="C510" s="1" t="n">
        <v>46032</v>
      </c>
      <c r="D510" t="inlineStr">
        <is>
          <t>VÄSTERNORRLANDS LÄN</t>
        </is>
      </c>
      <c r="E510" t="inlineStr">
        <is>
          <t>ÅNGE</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24232-2025</t>
        </is>
      </c>
      <c r="B511" s="1" t="n">
        <v>45797.37846064815</v>
      </c>
      <c r="C511" s="1" t="n">
        <v>46032</v>
      </c>
      <c r="D511" t="inlineStr">
        <is>
          <t>VÄSTERNORRLANDS LÄN</t>
        </is>
      </c>
      <c r="E511" t="inlineStr">
        <is>
          <t>ÅNGE</t>
        </is>
      </c>
      <c r="G511" t="n">
        <v>2.8</v>
      </c>
      <c r="H511" t="n">
        <v>0</v>
      </c>
      <c r="I511" t="n">
        <v>0</v>
      </c>
      <c r="J511" t="n">
        <v>0</v>
      </c>
      <c r="K511" t="n">
        <v>0</v>
      </c>
      <c r="L511" t="n">
        <v>0</v>
      </c>
      <c r="M511" t="n">
        <v>0</v>
      </c>
      <c r="N511" t="n">
        <v>0</v>
      </c>
      <c r="O511" t="n">
        <v>0</v>
      </c>
      <c r="P511" t="n">
        <v>0</v>
      </c>
      <c r="Q511" t="n">
        <v>0</v>
      </c>
      <c r="R511" s="2" t="inlineStr"/>
    </row>
    <row r="512" ht="15" customHeight="1">
      <c r="A512" t="inlineStr">
        <is>
          <t>A 56188-2024</t>
        </is>
      </c>
      <c r="B512" s="1" t="n">
        <v>45624.57800925926</v>
      </c>
      <c r="C512" s="1" t="n">
        <v>46032</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9382-2025</t>
        </is>
      </c>
      <c r="B513" s="1" t="n">
        <v>45715.34425925926</v>
      </c>
      <c r="C513" s="1" t="n">
        <v>46032</v>
      </c>
      <c r="D513" t="inlineStr">
        <is>
          <t>VÄSTERNORRLANDS LÄN</t>
        </is>
      </c>
      <c r="E513" t="inlineStr">
        <is>
          <t>ÅNGE</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56434-2021</t>
        </is>
      </c>
      <c r="B514" s="1" t="n">
        <v>44477</v>
      </c>
      <c r="C514" s="1" t="n">
        <v>46032</v>
      </c>
      <c r="D514" t="inlineStr">
        <is>
          <t>VÄSTERNORRLANDS LÄN</t>
        </is>
      </c>
      <c r="E514" t="inlineStr">
        <is>
          <t>ÅNGE</t>
        </is>
      </c>
      <c r="G514" t="n">
        <v>2.7</v>
      </c>
      <c r="H514" t="n">
        <v>0</v>
      </c>
      <c r="I514" t="n">
        <v>0</v>
      </c>
      <c r="J514" t="n">
        <v>0</v>
      </c>
      <c r="K514" t="n">
        <v>0</v>
      </c>
      <c r="L514" t="n">
        <v>0</v>
      </c>
      <c r="M514" t="n">
        <v>0</v>
      </c>
      <c r="N514" t="n">
        <v>0</v>
      </c>
      <c r="O514" t="n">
        <v>0</v>
      </c>
      <c r="P514" t="n">
        <v>0</v>
      </c>
      <c r="Q514" t="n">
        <v>0</v>
      </c>
      <c r="R514" s="2" t="inlineStr"/>
    </row>
    <row r="515" ht="15" customHeight="1">
      <c r="A515" t="inlineStr">
        <is>
          <t>A 24458-2025</t>
        </is>
      </c>
      <c r="B515" s="1" t="n">
        <v>45798.34476851852</v>
      </c>
      <c r="C515" s="1" t="n">
        <v>46032</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35578-2025</t>
        </is>
      </c>
      <c r="B516" s="1" t="n">
        <v>45856.67797453704</v>
      </c>
      <c r="C516" s="1" t="n">
        <v>46032</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18067-2025</t>
        </is>
      </c>
      <c r="B517" s="1" t="n">
        <v>45761.49016203704</v>
      </c>
      <c r="C517" s="1" t="n">
        <v>46032</v>
      </c>
      <c r="D517" t="inlineStr">
        <is>
          <t>VÄSTERNORRLANDS LÄN</t>
        </is>
      </c>
      <c r="E517" t="inlineStr">
        <is>
          <t>ÅNGE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24627-2025</t>
        </is>
      </c>
      <c r="B518" s="1" t="n">
        <v>45798.59471064815</v>
      </c>
      <c r="C518" s="1" t="n">
        <v>46032</v>
      </c>
      <c r="D518" t="inlineStr">
        <is>
          <t>VÄSTERNORRLANDS LÄN</t>
        </is>
      </c>
      <c r="E518" t="inlineStr">
        <is>
          <t>ÅNGE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11396-2024</t>
        </is>
      </c>
      <c r="B519" s="1" t="n">
        <v>45372</v>
      </c>
      <c r="C519" s="1" t="n">
        <v>46032</v>
      </c>
      <c r="D519" t="inlineStr">
        <is>
          <t>VÄSTERNORRLANDS LÄN</t>
        </is>
      </c>
      <c r="E519" t="inlineStr">
        <is>
          <t>ÅNGE</t>
        </is>
      </c>
      <c r="G519" t="n">
        <v>2.2</v>
      </c>
      <c r="H519" t="n">
        <v>0</v>
      </c>
      <c r="I519" t="n">
        <v>0</v>
      </c>
      <c r="J519" t="n">
        <v>0</v>
      </c>
      <c r="K519" t="n">
        <v>0</v>
      </c>
      <c r="L519" t="n">
        <v>0</v>
      </c>
      <c r="M519" t="n">
        <v>0</v>
      </c>
      <c r="N519" t="n">
        <v>0</v>
      </c>
      <c r="O519" t="n">
        <v>0</v>
      </c>
      <c r="P519" t="n">
        <v>0</v>
      </c>
      <c r="Q519" t="n">
        <v>0</v>
      </c>
      <c r="R519" s="2" t="inlineStr"/>
    </row>
    <row r="520" ht="15" customHeight="1">
      <c r="A520" t="inlineStr">
        <is>
          <t>A 27853-2024</t>
        </is>
      </c>
      <c r="B520" s="1" t="n">
        <v>45475</v>
      </c>
      <c r="C520" s="1" t="n">
        <v>46032</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40818-2025</t>
        </is>
      </c>
      <c r="B521" s="1" t="n">
        <v>45897.48881944444</v>
      </c>
      <c r="C521" s="1" t="n">
        <v>46032</v>
      </c>
      <c r="D521" t="inlineStr">
        <is>
          <t>VÄSTERNORRLANDS LÄN</t>
        </is>
      </c>
      <c r="E521" t="inlineStr">
        <is>
          <t>ÅNGE</t>
        </is>
      </c>
      <c r="G521" t="n">
        <v>2.9</v>
      </c>
      <c r="H521" t="n">
        <v>0</v>
      </c>
      <c r="I521" t="n">
        <v>0</v>
      </c>
      <c r="J521" t="n">
        <v>0</v>
      </c>
      <c r="K521" t="n">
        <v>0</v>
      </c>
      <c r="L521" t="n">
        <v>0</v>
      </c>
      <c r="M521" t="n">
        <v>0</v>
      </c>
      <c r="N521" t="n">
        <v>0</v>
      </c>
      <c r="O521" t="n">
        <v>0</v>
      </c>
      <c r="P521" t="n">
        <v>0</v>
      </c>
      <c r="Q521" t="n">
        <v>0</v>
      </c>
      <c r="R521" s="2" t="inlineStr"/>
    </row>
    <row r="522" ht="15" customHeight="1">
      <c r="A522" t="inlineStr">
        <is>
          <t>A 40830-2025</t>
        </is>
      </c>
      <c r="B522" s="1" t="n">
        <v>45897.51079861111</v>
      </c>
      <c r="C522" s="1" t="n">
        <v>46032</v>
      </c>
      <c r="D522" t="inlineStr">
        <is>
          <t>VÄSTERNORRLANDS LÄN</t>
        </is>
      </c>
      <c r="E522" t="inlineStr">
        <is>
          <t>ÅNGE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15778-2025</t>
        </is>
      </c>
      <c r="B523" s="1" t="n">
        <v>45748.60030092593</v>
      </c>
      <c r="C523" s="1" t="n">
        <v>46032</v>
      </c>
      <c r="D523" t="inlineStr">
        <is>
          <t>VÄSTERNORRLANDS LÄN</t>
        </is>
      </c>
      <c r="E523" t="inlineStr">
        <is>
          <t>ÅNGE</t>
        </is>
      </c>
      <c r="F523" t="inlineStr">
        <is>
          <t>SCA</t>
        </is>
      </c>
      <c r="G523" t="n">
        <v>13.6</v>
      </c>
      <c r="H523" t="n">
        <v>0</v>
      </c>
      <c r="I523" t="n">
        <v>0</v>
      </c>
      <c r="J523" t="n">
        <v>0</v>
      </c>
      <c r="K523" t="n">
        <v>0</v>
      </c>
      <c r="L523" t="n">
        <v>0</v>
      </c>
      <c r="M523" t="n">
        <v>0</v>
      </c>
      <c r="N523" t="n">
        <v>0</v>
      </c>
      <c r="O523" t="n">
        <v>0</v>
      </c>
      <c r="P523" t="n">
        <v>0</v>
      </c>
      <c r="Q523" t="n">
        <v>0</v>
      </c>
      <c r="R523" s="2" t="inlineStr"/>
    </row>
    <row r="524" ht="15" customHeight="1">
      <c r="A524" t="inlineStr">
        <is>
          <t>A 39764-2024</t>
        </is>
      </c>
      <c r="B524" s="1" t="n">
        <v>45552.7190162037</v>
      </c>
      <c r="C524" s="1" t="n">
        <v>46032</v>
      </c>
      <c r="D524" t="inlineStr">
        <is>
          <t>VÄSTERNORRLANDS LÄN</t>
        </is>
      </c>
      <c r="E524" t="inlineStr">
        <is>
          <t>ÅNGE</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24847-2025</t>
        </is>
      </c>
      <c r="B525" s="1" t="n">
        <v>45799.46907407408</v>
      </c>
      <c r="C525" s="1" t="n">
        <v>46032</v>
      </c>
      <c r="D525" t="inlineStr">
        <is>
          <t>VÄSTERNORRLANDS LÄN</t>
        </is>
      </c>
      <c r="E525" t="inlineStr">
        <is>
          <t>ÅNGE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25017-2025</t>
        </is>
      </c>
      <c r="B526" s="1" t="n">
        <v>45799.63791666667</v>
      </c>
      <c r="C526" s="1" t="n">
        <v>46032</v>
      </c>
      <c r="D526" t="inlineStr">
        <is>
          <t>VÄSTERNORRLANDS LÄN</t>
        </is>
      </c>
      <c r="E526" t="inlineStr">
        <is>
          <t>ÅNGE</t>
        </is>
      </c>
      <c r="F526" t="inlineStr">
        <is>
          <t>Sveaskog</t>
        </is>
      </c>
      <c r="G526" t="n">
        <v>2</v>
      </c>
      <c r="H526" t="n">
        <v>0</v>
      </c>
      <c r="I526" t="n">
        <v>0</v>
      </c>
      <c r="J526" t="n">
        <v>0</v>
      </c>
      <c r="K526" t="n">
        <v>0</v>
      </c>
      <c r="L526" t="n">
        <v>0</v>
      </c>
      <c r="M526" t="n">
        <v>0</v>
      </c>
      <c r="N526" t="n">
        <v>0</v>
      </c>
      <c r="O526" t="n">
        <v>0</v>
      </c>
      <c r="P526" t="n">
        <v>0</v>
      </c>
      <c r="Q526" t="n">
        <v>0</v>
      </c>
      <c r="R526" s="2" t="inlineStr"/>
    </row>
    <row r="527" ht="15" customHeight="1">
      <c r="A527" t="inlineStr">
        <is>
          <t>A 40872-2025</t>
        </is>
      </c>
      <c r="B527" s="1" t="n">
        <v>45897.574375</v>
      </c>
      <c r="C527" s="1" t="n">
        <v>46032</v>
      </c>
      <c r="D527" t="inlineStr">
        <is>
          <t>VÄSTERNORRLANDS LÄN</t>
        </is>
      </c>
      <c r="E527" t="inlineStr">
        <is>
          <t>ÅNGE</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40665-2025</t>
        </is>
      </c>
      <c r="B528" s="1" t="n">
        <v>45896.65663194445</v>
      </c>
      <c r="C528" s="1" t="n">
        <v>46032</v>
      </c>
      <c r="D528" t="inlineStr">
        <is>
          <t>VÄSTERNORRLANDS LÄN</t>
        </is>
      </c>
      <c r="E528" t="inlineStr">
        <is>
          <t>ÅNGE</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40898-2025</t>
        </is>
      </c>
      <c r="B529" s="1" t="n">
        <v>45897.61503472222</v>
      </c>
      <c r="C529" s="1" t="n">
        <v>46032</v>
      </c>
      <c r="D529" t="inlineStr">
        <is>
          <t>VÄSTERNORRLANDS LÄN</t>
        </is>
      </c>
      <c r="E529" t="inlineStr">
        <is>
          <t>ÅNGE</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40899-2025</t>
        </is>
      </c>
      <c r="B530" s="1" t="n">
        <v>45897.61528935185</v>
      </c>
      <c r="C530" s="1" t="n">
        <v>46032</v>
      </c>
      <c r="D530" t="inlineStr">
        <is>
          <t>VÄSTERNORRLANDS LÄN</t>
        </is>
      </c>
      <c r="E530" t="inlineStr">
        <is>
          <t>ÅNGE</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59815-2025</t>
        </is>
      </c>
      <c r="B531" s="1" t="n">
        <v>45992.6359837963</v>
      </c>
      <c r="C531" s="1" t="n">
        <v>46032</v>
      </c>
      <c r="D531" t="inlineStr">
        <is>
          <t>VÄSTERNORRLANDS LÄN</t>
        </is>
      </c>
      <c r="E531" t="inlineStr">
        <is>
          <t>ÅNGE</t>
        </is>
      </c>
      <c r="G531" t="n">
        <v>2.2</v>
      </c>
      <c r="H531" t="n">
        <v>0</v>
      </c>
      <c r="I531" t="n">
        <v>0</v>
      </c>
      <c r="J531" t="n">
        <v>0</v>
      </c>
      <c r="K531" t="n">
        <v>0</v>
      </c>
      <c r="L531" t="n">
        <v>0</v>
      </c>
      <c r="M531" t="n">
        <v>0</v>
      </c>
      <c r="N531" t="n">
        <v>0</v>
      </c>
      <c r="O531" t="n">
        <v>0</v>
      </c>
      <c r="P531" t="n">
        <v>0</v>
      </c>
      <c r="Q531" t="n">
        <v>0</v>
      </c>
      <c r="R531" s="2" t="inlineStr"/>
    </row>
    <row r="532" ht="15" customHeight="1">
      <c r="A532" t="inlineStr">
        <is>
          <t>A 30054-2024</t>
        </is>
      </c>
      <c r="B532" s="1" t="n">
        <v>45488.94758101852</v>
      </c>
      <c r="C532" s="1" t="n">
        <v>46032</v>
      </c>
      <c r="D532" t="inlineStr">
        <is>
          <t>VÄSTERNORRLANDS LÄN</t>
        </is>
      </c>
      <c r="E532" t="inlineStr">
        <is>
          <t>ÅNGE</t>
        </is>
      </c>
      <c r="F532" t="inlineStr">
        <is>
          <t>SCA</t>
        </is>
      </c>
      <c r="G532" t="n">
        <v>11.7</v>
      </c>
      <c r="H532" t="n">
        <v>0</v>
      </c>
      <c r="I532" t="n">
        <v>0</v>
      </c>
      <c r="J532" t="n">
        <v>0</v>
      </c>
      <c r="K532" t="n">
        <v>0</v>
      </c>
      <c r="L532" t="n">
        <v>0</v>
      </c>
      <c r="M532" t="n">
        <v>0</v>
      </c>
      <c r="N532" t="n">
        <v>0</v>
      </c>
      <c r="O532" t="n">
        <v>0</v>
      </c>
      <c r="P532" t="n">
        <v>0</v>
      </c>
      <c r="Q532" t="n">
        <v>0</v>
      </c>
      <c r="R532" s="2" t="inlineStr"/>
    </row>
    <row r="533" ht="15" customHeight="1">
      <c r="A533" t="inlineStr">
        <is>
          <t>A 41179-2025</t>
        </is>
      </c>
      <c r="B533" s="1" t="n">
        <v>45898.55277777778</v>
      </c>
      <c r="C533" s="1" t="n">
        <v>46032</v>
      </c>
      <c r="D533" t="inlineStr">
        <is>
          <t>VÄSTERNORRLANDS LÄN</t>
        </is>
      </c>
      <c r="E533" t="inlineStr">
        <is>
          <t>ÅNGE</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24852-2025</t>
        </is>
      </c>
      <c r="B534" s="1" t="n">
        <v>45799.46975694445</v>
      </c>
      <c r="C534" s="1" t="n">
        <v>46032</v>
      </c>
      <c r="D534" t="inlineStr">
        <is>
          <t>VÄSTERNORRLANDS LÄN</t>
        </is>
      </c>
      <c r="E534" t="inlineStr">
        <is>
          <t>ÅNGE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43622-2023</t>
        </is>
      </c>
      <c r="B535" s="1" t="n">
        <v>45184.70777777778</v>
      </c>
      <c r="C535" s="1" t="n">
        <v>46032</v>
      </c>
      <c r="D535" t="inlineStr">
        <is>
          <t>VÄSTERNORRLANDS LÄN</t>
        </is>
      </c>
      <c r="E535" t="inlineStr">
        <is>
          <t>ÅNGE</t>
        </is>
      </c>
      <c r="F535" t="inlineStr">
        <is>
          <t>Holmen skog AB</t>
        </is>
      </c>
      <c r="G535" t="n">
        <v>5.9</v>
      </c>
      <c r="H535" t="n">
        <v>0</v>
      </c>
      <c r="I535" t="n">
        <v>0</v>
      </c>
      <c r="J535" t="n">
        <v>0</v>
      </c>
      <c r="K535" t="n">
        <v>0</v>
      </c>
      <c r="L535" t="n">
        <v>0</v>
      </c>
      <c r="M535" t="n">
        <v>0</v>
      </c>
      <c r="N535" t="n">
        <v>0</v>
      </c>
      <c r="O535" t="n">
        <v>0</v>
      </c>
      <c r="P535" t="n">
        <v>0</v>
      </c>
      <c r="Q535" t="n">
        <v>0</v>
      </c>
      <c r="R535" s="2" t="inlineStr"/>
    </row>
    <row r="536" ht="15" customHeight="1">
      <c r="A536" t="inlineStr">
        <is>
          <t>A 41173-2025</t>
        </is>
      </c>
      <c r="B536" s="1" t="n">
        <v>45898</v>
      </c>
      <c r="C536" s="1" t="n">
        <v>46032</v>
      </c>
      <c r="D536" t="inlineStr">
        <is>
          <t>VÄSTERNORRLANDS LÄN</t>
        </is>
      </c>
      <c r="E536" t="inlineStr">
        <is>
          <t>ÅNGE</t>
        </is>
      </c>
      <c r="G536" t="n">
        <v>3.6</v>
      </c>
      <c r="H536" t="n">
        <v>0</v>
      </c>
      <c r="I536" t="n">
        <v>0</v>
      </c>
      <c r="J536" t="n">
        <v>0</v>
      </c>
      <c r="K536" t="n">
        <v>0</v>
      </c>
      <c r="L536" t="n">
        <v>0</v>
      </c>
      <c r="M536" t="n">
        <v>0</v>
      </c>
      <c r="N536" t="n">
        <v>0</v>
      </c>
      <c r="O536" t="n">
        <v>0</v>
      </c>
      <c r="P536" t="n">
        <v>0</v>
      </c>
      <c r="Q536" t="n">
        <v>0</v>
      </c>
      <c r="R536" s="2" t="inlineStr"/>
    </row>
    <row r="537" ht="15" customHeight="1">
      <c r="A537" t="inlineStr">
        <is>
          <t>A 25067-2025</t>
        </is>
      </c>
      <c r="B537" s="1" t="n">
        <v>45799.71908564815</v>
      </c>
      <c r="C537" s="1" t="n">
        <v>46032</v>
      </c>
      <c r="D537" t="inlineStr">
        <is>
          <t>VÄSTERNORRLANDS LÄN</t>
        </is>
      </c>
      <c r="E537" t="inlineStr">
        <is>
          <t>ÅNGE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41355-2025</t>
        </is>
      </c>
      <c r="B538" s="1" t="n">
        <v>45900.34425925926</v>
      </c>
      <c r="C538" s="1" t="n">
        <v>46032</v>
      </c>
      <c r="D538" t="inlineStr">
        <is>
          <t>VÄSTERNORRLANDS LÄN</t>
        </is>
      </c>
      <c r="E538" t="inlineStr">
        <is>
          <t>ÅNGE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29390-2021</t>
        </is>
      </c>
      <c r="B539" s="1" t="n">
        <v>44361</v>
      </c>
      <c r="C539" s="1" t="n">
        <v>46032</v>
      </c>
      <c r="D539" t="inlineStr">
        <is>
          <t>VÄSTERNORRLANDS LÄN</t>
        </is>
      </c>
      <c r="E539" t="inlineStr">
        <is>
          <t>ÅNGE</t>
        </is>
      </c>
      <c r="F539" t="inlineStr">
        <is>
          <t>Holmen skog AB</t>
        </is>
      </c>
      <c r="G539" t="n">
        <v>1.7</v>
      </c>
      <c r="H539" t="n">
        <v>0</v>
      </c>
      <c r="I539" t="n">
        <v>0</v>
      </c>
      <c r="J539" t="n">
        <v>0</v>
      </c>
      <c r="K539" t="n">
        <v>0</v>
      </c>
      <c r="L539" t="n">
        <v>0</v>
      </c>
      <c r="M539" t="n">
        <v>0</v>
      </c>
      <c r="N539" t="n">
        <v>0</v>
      </c>
      <c r="O539" t="n">
        <v>0</v>
      </c>
      <c r="P539" t="n">
        <v>0</v>
      </c>
      <c r="Q539" t="n">
        <v>0</v>
      </c>
      <c r="R539" s="2" t="inlineStr"/>
    </row>
    <row r="540" ht="15" customHeight="1">
      <c r="A540" t="inlineStr">
        <is>
          <t>A 36877-2024</t>
        </is>
      </c>
      <c r="B540" s="1" t="n">
        <v>45538.59418981482</v>
      </c>
      <c r="C540" s="1" t="n">
        <v>46032</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25352-2025</t>
        </is>
      </c>
      <c r="B541" s="1" t="n">
        <v>45800.61552083334</v>
      </c>
      <c r="C541" s="1" t="n">
        <v>46032</v>
      </c>
      <c r="D541" t="inlineStr">
        <is>
          <t>VÄSTERNORRLANDS LÄN</t>
        </is>
      </c>
      <c r="E541" t="inlineStr">
        <is>
          <t>ÅNGE</t>
        </is>
      </c>
      <c r="F541" t="inlineStr">
        <is>
          <t>SCA</t>
        </is>
      </c>
      <c r="G541" t="n">
        <v>6.3</v>
      </c>
      <c r="H541" t="n">
        <v>0</v>
      </c>
      <c r="I541" t="n">
        <v>0</v>
      </c>
      <c r="J541" t="n">
        <v>0</v>
      </c>
      <c r="K541" t="n">
        <v>0</v>
      </c>
      <c r="L541" t="n">
        <v>0</v>
      </c>
      <c r="M541" t="n">
        <v>0</v>
      </c>
      <c r="N541" t="n">
        <v>0</v>
      </c>
      <c r="O541" t="n">
        <v>0</v>
      </c>
      <c r="P541" t="n">
        <v>0</v>
      </c>
      <c r="Q541" t="n">
        <v>0</v>
      </c>
      <c r="R541" s="2" t="inlineStr"/>
    </row>
    <row r="542" ht="15" customHeight="1">
      <c r="A542" t="inlineStr">
        <is>
          <t>A 46775-2024</t>
        </is>
      </c>
      <c r="B542" s="1" t="n">
        <v>45583.49711805556</v>
      </c>
      <c r="C542" s="1" t="n">
        <v>46032</v>
      </c>
      <c r="D542" t="inlineStr">
        <is>
          <t>VÄSTERNORRLANDS LÄN</t>
        </is>
      </c>
      <c r="E542" t="inlineStr">
        <is>
          <t>ÅNGE</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46780-2024</t>
        </is>
      </c>
      <c r="B543" s="1" t="n">
        <v>45583.51076388889</v>
      </c>
      <c r="C543" s="1" t="n">
        <v>46032</v>
      </c>
      <c r="D543" t="inlineStr">
        <is>
          <t>VÄSTERNORRLANDS LÄN</t>
        </is>
      </c>
      <c r="E543" t="inlineStr">
        <is>
          <t>ÅNGE</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53651-2023</t>
        </is>
      </c>
      <c r="B544" s="1" t="n">
        <v>45230.60815972222</v>
      </c>
      <c r="C544" s="1" t="n">
        <v>46032</v>
      </c>
      <c r="D544" t="inlineStr">
        <is>
          <t>VÄSTERNORRLANDS LÄN</t>
        </is>
      </c>
      <c r="E544" t="inlineStr">
        <is>
          <t>ÅNGE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41355-2024</t>
        </is>
      </c>
      <c r="B545" s="1" t="n">
        <v>45559.69833333333</v>
      </c>
      <c r="C545" s="1" t="n">
        <v>46032</v>
      </c>
      <c r="D545" t="inlineStr">
        <is>
          <t>VÄSTERNORRLANDS LÄN</t>
        </is>
      </c>
      <c r="E545" t="inlineStr">
        <is>
          <t>ÅNGE</t>
        </is>
      </c>
      <c r="F545" t="inlineStr">
        <is>
          <t>SCA</t>
        </is>
      </c>
      <c r="G545" t="n">
        <v>6.1</v>
      </c>
      <c r="H545" t="n">
        <v>0</v>
      </c>
      <c r="I545" t="n">
        <v>0</v>
      </c>
      <c r="J545" t="n">
        <v>0</v>
      </c>
      <c r="K545" t="n">
        <v>0</v>
      </c>
      <c r="L545" t="n">
        <v>0</v>
      </c>
      <c r="M545" t="n">
        <v>0</v>
      </c>
      <c r="N545" t="n">
        <v>0</v>
      </c>
      <c r="O545" t="n">
        <v>0</v>
      </c>
      <c r="P545" t="n">
        <v>0</v>
      </c>
      <c r="Q545" t="n">
        <v>0</v>
      </c>
      <c r="R545" s="2" t="inlineStr"/>
    </row>
    <row r="546" ht="15" customHeight="1">
      <c r="A546" t="inlineStr">
        <is>
          <t>A 25340-2025</t>
        </is>
      </c>
      <c r="B546" s="1" t="n">
        <v>45800.60074074074</v>
      </c>
      <c r="C546" s="1" t="n">
        <v>46032</v>
      </c>
      <c r="D546" t="inlineStr">
        <is>
          <t>VÄSTERNORRLANDS LÄN</t>
        </is>
      </c>
      <c r="E546" t="inlineStr">
        <is>
          <t>ÅNGE</t>
        </is>
      </c>
      <c r="G546" t="n">
        <v>2.7</v>
      </c>
      <c r="H546" t="n">
        <v>0</v>
      </c>
      <c r="I546" t="n">
        <v>0</v>
      </c>
      <c r="J546" t="n">
        <v>0</v>
      </c>
      <c r="K546" t="n">
        <v>0</v>
      </c>
      <c r="L546" t="n">
        <v>0</v>
      </c>
      <c r="M546" t="n">
        <v>0</v>
      </c>
      <c r="N546" t="n">
        <v>0</v>
      </c>
      <c r="O546" t="n">
        <v>0</v>
      </c>
      <c r="P546" t="n">
        <v>0</v>
      </c>
      <c r="Q546" t="n">
        <v>0</v>
      </c>
      <c r="R546" s="2" t="inlineStr"/>
    </row>
    <row r="547" ht="15" customHeight="1">
      <c r="A547" t="inlineStr">
        <is>
          <t>A 732-2023</t>
        </is>
      </c>
      <c r="B547" s="1" t="n">
        <v>44931.29981481482</v>
      </c>
      <c r="C547" s="1" t="n">
        <v>46032</v>
      </c>
      <c r="D547" t="inlineStr">
        <is>
          <t>VÄSTERNORRLANDS LÄN</t>
        </is>
      </c>
      <c r="E547" t="inlineStr">
        <is>
          <t>ÅNGE</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25532-2025</t>
        </is>
      </c>
      <c r="B548" s="1" t="n">
        <v>45803.4065162037</v>
      </c>
      <c r="C548" s="1" t="n">
        <v>46032</v>
      </c>
      <c r="D548" t="inlineStr">
        <is>
          <t>VÄSTERNORRLANDS LÄN</t>
        </is>
      </c>
      <c r="E548" t="inlineStr">
        <is>
          <t>ÅNGE</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25499-2025</t>
        </is>
      </c>
      <c r="B549" s="1" t="n">
        <v>45803.344375</v>
      </c>
      <c r="C549" s="1" t="n">
        <v>46032</v>
      </c>
      <c r="D549" t="inlineStr">
        <is>
          <t>VÄSTERNORRLANDS LÄN</t>
        </is>
      </c>
      <c r="E549" t="inlineStr">
        <is>
          <t>ÅNGE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25274-2025</t>
        </is>
      </c>
      <c r="B550" s="1" t="n">
        <v>45800.55276620371</v>
      </c>
      <c r="C550" s="1" t="n">
        <v>46032</v>
      </c>
      <c r="D550" t="inlineStr">
        <is>
          <t>VÄSTERNORRLANDS LÄN</t>
        </is>
      </c>
      <c r="E550" t="inlineStr">
        <is>
          <t>ÅNGE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25241-2025</t>
        </is>
      </c>
      <c r="B551" s="1" t="n">
        <v>45800.49053240741</v>
      </c>
      <c r="C551" s="1" t="n">
        <v>46032</v>
      </c>
      <c r="D551" t="inlineStr">
        <is>
          <t>VÄSTERNORRLANDS LÄN</t>
        </is>
      </c>
      <c r="E551" t="inlineStr">
        <is>
          <t>ÅNGE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58943-2022</t>
        </is>
      </c>
      <c r="B552" s="1" t="n">
        <v>44903.64400462963</v>
      </c>
      <c r="C552" s="1" t="n">
        <v>46032</v>
      </c>
      <c r="D552" t="inlineStr">
        <is>
          <t>VÄSTERNORRLANDS LÄN</t>
        </is>
      </c>
      <c r="E552" t="inlineStr">
        <is>
          <t>ÅNGE</t>
        </is>
      </c>
      <c r="G552" t="n">
        <v>5.6</v>
      </c>
      <c r="H552" t="n">
        <v>0</v>
      </c>
      <c r="I552" t="n">
        <v>0</v>
      </c>
      <c r="J552" t="n">
        <v>0</v>
      </c>
      <c r="K552" t="n">
        <v>0</v>
      </c>
      <c r="L552" t="n">
        <v>0</v>
      </c>
      <c r="M552" t="n">
        <v>0</v>
      </c>
      <c r="N552" t="n">
        <v>0</v>
      </c>
      <c r="O552" t="n">
        <v>0</v>
      </c>
      <c r="P552" t="n">
        <v>0</v>
      </c>
      <c r="Q552" t="n">
        <v>0</v>
      </c>
      <c r="R552" s="2" t="inlineStr"/>
    </row>
    <row r="553" ht="15" customHeight="1">
      <c r="A553" t="inlineStr">
        <is>
          <t>A 41872-2025</t>
        </is>
      </c>
      <c r="B553" s="1" t="n">
        <v>45903.34497685185</v>
      </c>
      <c r="C553" s="1" t="n">
        <v>46032</v>
      </c>
      <c r="D553" t="inlineStr">
        <is>
          <t>VÄSTERNORRLANDS LÄN</t>
        </is>
      </c>
      <c r="E553" t="inlineStr">
        <is>
          <t>ÅNGE</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41870-2025</t>
        </is>
      </c>
      <c r="B554" s="1" t="n">
        <v>45903.3446412037</v>
      </c>
      <c r="C554" s="1" t="n">
        <v>46032</v>
      </c>
      <c r="D554" t="inlineStr">
        <is>
          <t>VÄSTERNORRLANDS LÄN</t>
        </is>
      </c>
      <c r="E554" t="inlineStr">
        <is>
          <t>ÅNGE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31863-2024</t>
        </is>
      </c>
      <c r="B555" s="1" t="n">
        <v>45509.74121527778</v>
      </c>
      <c r="C555" s="1" t="n">
        <v>46032</v>
      </c>
      <c r="D555" t="inlineStr">
        <is>
          <t>VÄSTERNORRLANDS LÄN</t>
        </is>
      </c>
      <c r="E555" t="inlineStr">
        <is>
          <t>ÅNGE</t>
        </is>
      </c>
      <c r="G555" t="n">
        <v>4.5</v>
      </c>
      <c r="H555" t="n">
        <v>0</v>
      </c>
      <c r="I555" t="n">
        <v>0</v>
      </c>
      <c r="J555" t="n">
        <v>0</v>
      </c>
      <c r="K555" t="n">
        <v>0</v>
      </c>
      <c r="L555" t="n">
        <v>0</v>
      </c>
      <c r="M555" t="n">
        <v>0</v>
      </c>
      <c r="N555" t="n">
        <v>0</v>
      </c>
      <c r="O555" t="n">
        <v>0</v>
      </c>
      <c r="P555" t="n">
        <v>0</v>
      </c>
      <c r="Q555" t="n">
        <v>0</v>
      </c>
      <c r="R555" s="2" t="inlineStr"/>
    </row>
    <row r="556" ht="15" customHeight="1">
      <c r="A556" t="inlineStr">
        <is>
          <t>A 25273-2025</t>
        </is>
      </c>
      <c r="B556" s="1" t="n">
        <v>45800.55253472222</v>
      </c>
      <c r="C556" s="1" t="n">
        <v>46032</v>
      </c>
      <c r="D556" t="inlineStr">
        <is>
          <t>VÄSTERNORRLANDS LÄN</t>
        </is>
      </c>
      <c r="E556" t="inlineStr">
        <is>
          <t>ÅNGE</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25332-2025</t>
        </is>
      </c>
      <c r="B557" s="1" t="n">
        <v>45800.59418981482</v>
      </c>
      <c r="C557" s="1" t="n">
        <v>46032</v>
      </c>
      <c r="D557" t="inlineStr">
        <is>
          <t>VÄSTERNORRLANDS LÄN</t>
        </is>
      </c>
      <c r="E557" t="inlineStr">
        <is>
          <t>ÅNGE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29462-2024</t>
        </is>
      </c>
      <c r="B558" s="1" t="n">
        <v>45483.96979166667</v>
      </c>
      <c r="C558" s="1" t="n">
        <v>46032</v>
      </c>
      <c r="D558" t="inlineStr">
        <is>
          <t>VÄSTERNORRLANDS LÄN</t>
        </is>
      </c>
      <c r="E558" t="inlineStr">
        <is>
          <t>ÅNGE</t>
        </is>
      </c>
      <c r="F558" t="inlineStr">
        <is>
          <t>SCA</t>
        </is>
      </c>
      <c r="G558" t="n">
        <v>8.4</v>
      </c>
      <c r="H558" t="n">
        <v>0</v>
      </c>
      <c r="I558" t="n">
        <v>0</v>
      </c>
      <c r="J558" t="n">
        <v>0</v>
      </c>
      <c r="K558" t="n">
        <v>0</v>
      </c>
      <c r="L558" t="n">
        <v>0</v>
      </c>
      <c r="M558" t="n">
        <v>0</v>
      </c>
      <c r="N558" t="n">
        <v>0</v>
      </c>
      <c r="O558" t="n">
        <v>0</v>
      </c>
      <c r="P558" t="n">
        <v>0</v>
      </c>
      <c r="Q558" t="n">
        <v>0</v>
      </c>
      <c r="R558" s="2" t="inlineStr"/>
    </row>
    <row r="559" ht="15" customHeight="1">
      <c r="A559" t="inlineStr">
        <is>
          <t>A 25772-2025</t>
        </is>
      </c>
      <c r="B559" s="1" t="n">
        <v>45804.34520833333</v>
      </c>
      <c r="C559" s="1" t="n">
        <v>46032</v>
      </c>
      <c r="D559" t="inlineStr">
        <is>
          <t>VÄSTERNORRLANDS LÄN</t>
        </is>
      </c>
      <c r="E559" t="inlineStr">
        <is>
          <t>ÅNGE</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21262-2025</t>
        </is>
      </c>
      <c r="B560" s="1" t="n">
        <v>45779</v>
      </c>
      <c r="C560" s="1" t="n">
        <v>46032</v>
      </c>
      <c r="D560" t="inlineStr">
        <is>
          <t>VÄSTERNORRLANDS LÄN</t>
        </is>
      </c>
      <c r="E560" t="inlineStr">
        <is>
          <t>ÅNGE</t>
        </is>
      </c>
      <c r="F560" t="inlineStr">
        <is>
          <t>Sveaskog</t>
        </is>
      </c>
      <c r="G560" t="n">
        <v>9</v>
      </c>
      <c r="H560" t="n">
        <v>0</v>
      </c>
      <c r="I560" t="n">
        <v>0</v>
      </c>
      <c r="J560" t="n">
        <v>0</v>
      </c>
      <c r="K560" t="n">
        <v>0</v>
      </c>
      <c r="L560" t="n">
        <v>0</v>
      </c>
      <c r="M560" t="n">
        <v>0</v>
      </c>
      <c r="N560" t="n">
        <v>0</v>
      </c>
      <c r="O560" t="n">
        <v>0</v>
      </c>
      <c r="P560" t="n">
        <v>0</v>
      </c>
      <c r="Q560" t="n">
        <v>0</v>
      </c>
      <c r="R560" s="2" t="inlineStr"/>
    </row>
    <row r="561" ht="15" customHeight="1">
      <c r="A561" t="inlineStr">
        <is>
          <t>A 55177-2024</t>
        </is>
      </c>
      <c r="B561" s="1" t="n">
        <v>45621.53179398148</v>
      </c>
      <c r="C561" s="1" t="n">
        <v>46032</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15863-2022</t>
        </is>
      </c>
      <c r="B562" s="1" t="n">
        <v>44664</v>
      </c>
      <c r="C562" s="1" t="n">
        <v>46032</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51393-2025</t>
        </is>
      </c>
      <c r="B563" s="1" t="n">
        <v>45950.46957175926</v>
      </c>
      <c r="C563" s="1" t="n">
        <v>46032</v>
      </c>
      <c r="D563" t="inlineStr">
        <is>
          <t>VÄSTERNORRLANDS LÄN</t>
        </is>
      </c>
      <c r="E563" t="inlineStr">
        <is>
          <t>ÅNGE</t>
        </is>
      </c>
      <c r="F563" t="inlineStr">
        <is>
          <t>SCA</t>
        </is>
      </c>
      <c r="G563" t="n">
        <v>17.9</v>
      </c>
      <c r="H563" t="n">
        <v>0</v>
      </c>
      <c r="I563" t="n">
        <v>0</v>
      </c>
      <c r="J563" t="n">
        <v>0</v>
      </c>
      <c r="K563" t="n">
        <v>0</v>
      </c>
      <c r="L563" t="n">
        <v>0</v>
      </c>
      <c r="M563" t="n">
        <v>0</v>
      </c>
      <c r="N563" t="n">
        <v>0</v>
      </c>
      <c r="O563" t="n">
        <v>0</v>
      </c>
      <c r="P563" t="n">
        <v>0</v>
      </c>
      <c r="Q563" t="n">
        <v>0</v>
      </c>
      <c r="R563" s="2" t="inlineStr"/>
    </row>
    <row r="564" ht="15" customHeight="1">
      <c r="A564" t="inlineStr">
        <is>
          <t>A 33305-2024</t>
        </is>
      </c>
      <c r="B564" s="1" t="n">
        <v>45518</v>
      </c>
      <c r="C564" s="1" t="n">
        <v>46032</v>
      </c>
      <c r="D564" t="inlineStr">
        <is>
          <t>VÄSTERNORRLANDS LÄN</t>
        </is>
      </c>
      <c r="E564" t="inlineStr">
        <is>
          <t>ÅNGE</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33306-2024</t>
        </is>
      </c>
      <c r="B565" s="1" t="n">
        <v>45518</v>
      </c>
      <c r="C565" s="1" t="n">
        <v>46032</v>
      </c>
      <c r="D565" t="inlineStr">
        <is>
          <t>VÄSTERNORRLANDS LÄN</t>
        </is>
      </c>
      <c r="E565" t="inlineStr">
        <is>
          <t>ÅNGE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25810-2025</t>
        </is>
      </c>
      <c r="B566" s="1" t="n">
        <v>45804.42083333333</v>
      </c>
      <c r="C566" s="1" t="n">
        <v>46032</v>
      </c>
      <c r="D566" t="inlineStr">
        <is>
          <t>VÄSTERNORRLANDS LÄN</t>
        </is>
      </c>
      <c r="E566" t="inlineStr">
        <is>
          <t>ÅNGE</t>
        </is>
      </c>
      <c r="G566" t="n">
        <v>6.2</v>
      </c>
      <c r="H566" t="n">
        <v>0</v>
      </c>
      <c r="I566" t="n">
        <v>0</v>
      </c>
      <c r="J566" t="n">
        <v>0</v>
      </c>
      <c r="K566" t="n">
        <v>0</v>
      </c>
      <c r="L566" t="n">
        <v>0</v>
      </c>
      <c r="M566" t="n">
        <v>0</v>
      </c>
      <c r="N566" t="n">
        <v>0</v>
      </c>
      <c r="O566" t="n">
        <v>0</v>
      </c>
      <c r="P566" t="n">
        <v>0</v>
      </c>
      <c r="Q566" t="n">
        <v>0</v>
      </c>
      <c r="R566" s="2" t="inlineStr"/>
    </row>
    <row r="567" ht="15" customHeight="1">
      <c r="A567" t="inlineStr">
        <is>
          <t>A 5035-2025</t>
        </is>
      </c>
      <c r="B567" s="1" t="n">
        <v>45691</v>
      </c>
      <c r="C567" s="1" t="n">
        <v>46032</v>
      </c>
      <c r="D567" t="inlineStr">
        <is>
          <t>VÄSTERNORRLANDS LÄN</t>
        </is>
      </c>
      <c r="E567" t="inlineStr">
        <is>
          <t>ÅNGE</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29270-2024</t>
        </is>
      </c>
      <c r="B568" s="1" t="n">
        <v>45482.94979166667</v>
      </c>
      <c r="C568" s="1" t="n">
        <v>46032</v>
      </c>
      <c r="D568" t="inlineStr">
        <is>
          <t>VÄSTERNORRLANDS LÄN</t>
        </is>
      </c>
      <c r="E568" t="inlineStr">
        <is>
          <t>ÅNGE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28506-2024</t>
        </is>
      </c>
      <c r="B569" s="1" t="n">
        <v>45477.9475</v>
      </c>
      <c r="C569" s="1" t="n">
        <v>46032</v>
      </c>
      <c r="D569" t="inlineStr">
        <is>
          <t>VÄSTERNORRLANDS LÄN</t>
        </is>
      </c>
      <c r="E569" t="inlineStr">
        <is>
          <t>ÅNGE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21456-2025</t>
        </is>
      </c>
      <c r="B570" s="1" t="n">
        <v>45782.55342592593</v>
      </c>
      <c r="C570" s="1" t="n">
        <v>46032</v>
      </c>
      <c r="D570" t="inlineStr">
        <is>
          <t>VÄSTERNORRLANDS LÄN</t>
        </is>
      </c>
      <c r="E570" t="inlineStr">
        <is>
          <t>ÅNGE</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42589-2025</t>
        </is>
      </c>
      <c r="B571" s="1" t="n">
        <v>45905.63585648148</v>
      </c>
      <c r="C571" s="1" t="n">
        <v>46032</v>
      </c>
      <c r="D571" t="inlineStr">
        <is>
          <t>VÄSTERNORRLANDS LÄN</t>
        </is>
      </c>
      <c r="E571" t="inlineStr">
        <is>
          <t>ÅNGE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9619-2021</t>
        </is>
      </c>
      <c r="B572" s="1" t="n">
        <v>44251</v>
      </c>
      <c r="C572" s="1" t="n">
        <v>46032</v>
      </c>
      <c r="D572" t="inlineStr">
        <is>
          <t>VÄSTERNORRLANDS LÄN</t>
        </is>
      </c>
      <c r="E572" t="inlineStr">
        <is>
          <t>ÅNGE</t>
        </is>
      </c>
      <c r="G572" t="n">
        <v>10.4</v>
      </c>
      <c r="H572" t="n">
        <v>0</v>
      </c>
      <c r="I572" t="n">
        <v>0</v>
      </c>
      <c r="J572" t="n">
        <v>0</v>
      </c>
      <c r="K572" t="n">
        <v>0</v>
      </c>
      <c r="L572" t="n">
        <v>0</v>
      </c>
      <c r="M572" t="n">
        <v>0</v>
      </c>
      <c r="N572" t="n">
        <v>0</v>
      </c>
      <c r="O572" t="n">
        <v>0</v>
      </c>
      <c r="P572" t="n">
        <v>0</v>
      </c>
      <c r="Q572" t="n">
        <v>0</v>
      </c>
      <c r="R572" s="2" t="inlineStr"/>
    </row>
    <row r="573" ht="15" customHeight="1">
      <c r="A573" t="inlineStr">
        <is>
          <t>A 26193-2025</t>
        </is>
      </c>
      <c r="B573" s="1" t="n">
        <v>45805.48922453704</v>
      </c>
      <c r="C573" s="1" t="n">
        <v>46032</v>
      </c>
      <c r="D573" t="inlineStr">
        <is>
          <t>VÄSTERNORRLANDS LÄN</t>
        </is>
      </c>
      <c r="E573" t="inlineStr">
        <is>
          <t>ÅNGE</t>
        </is>
      </c>
      <c r="G573" t="n">
        <v>2.3</v>
      </c>
      <c r="H573" t="n">
        <v>0</v>
      </c>
      <c r="I573" t="n">
        <v>0</v>
      </c>
      <c r="J573" t="n">
        <v>0</v>
      </c>
      <c r="K573" t="n">
        <v>0</v>
      </c>
      <c r="L573" t="n">
        <v>0</v>
      </c>
      <c r="M573" t="n">
        <v>0</v>
      </c>
      <c r="N573" t="n">
        <v>0</v>
      </c>
      <c r="O573" t="n">
        <v>0</v>
      </c>
      <c r="P573" t="n">
        <v>0</v>
      </c>
      <c r="Q573" t="n">
        <v>0</v>
      </c>
      <c r="R573" s="2" t="inlineStr"/>
    </row>
    <row r="574" ht="15" customHeight="1">
      <c r="A574" t="inlineStr">
        <is>
          <t>A 26365-2025</t>
        </is>
      </c>
      <c r="B574" s="1" t="n">
        <v>45806.34412037037</v>
      </c>
      <c r="C574" s="1" t="n">
        <v>46032</v>
      </c>
      <c r="D574" t="inlineStr">
        <is>
          <t>VÄSTERNORRLANDS LÄN</t>
        </is>
      </c>
      <c r="E574" t="inlineStr">
        <is>
          <t>ÅNGE</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34861-2024</t>
        </is>
      </c>
      <c r="B575" s="1" t="n">
        <v>45527.339375</v>
      </c>
      <c r="C575" s="1" t="n">
        <v>46032</v>
      </c>
      <c r="D575" t="inlineStr">
        <is>
          <t>VÄSTERNORRLANDS LÄN</t>
        </is>
      </c>
      <c r="E575" t="inlineStr">
        <is>
          <t>ÅNGE</t>
        </is>
      </c>
      <c r="F575" t="inlineStr">
        <is>
          <t>SCA</t>
        </is>
      </c>
      <c r="G575" t="n">
        <v>9.1</v>
      </c>
      <c r="H575" t="n">
        <v>0</v>
      </c>
      <c r="I575" t="n">
        <v>0</v>
      </c>
      <c r="J575" t="n">
        <v>0</v>
      </c>
      <c r="K575" t="n">
        <v>0</v>
      </c>
      <c r="L575" t="n">
        <v>0</v>
      </c>
      <c r="M575" t="n">
        <v>0</v>
      </c>
      <c r="N575" t="n">
        <v>0</v>
      </c>
      <c r="O575" t="n">
        <v>0</v>
      </c>
      <c r="P575" t="n">
        <v>0</v>
      </c>
      <c r="Q575" t="n">
        <v>0</v>
      </c>
      <c r="R575" s="2" t="inlineStr"/>
    </row>
    <row r="576" ht="15" customHeight="1">
      <c r="A576" t="inlineStr">
        <is>
          <t>A 26389-2025</t>
        </is>
      </c>
      <c r="B576" s="1" t="n">
        <v>45806.51078703703</v>
      </c>
      <c r="C576" s="1" t="n">
        <v>46032</v>
      </c>
      <c r="D576" t="inlineStr">
        <is>
          <t>VÄSTERNORRLANDS LÄN</t>
        </is>
      </c>
      <c r="E576" t="inlineStr">
        <is>
          <t>ÅNGE</t>
        </is>
      </c>
      <c r="F576" t="inlineStr">
        <is>
          <t>SCA</t>
        </is>
      </c>
      <c r="G576" t="n">
        <v>11.9</v>
      </c>
      <c r="H576" t="n">
        <v>0</v>
      </c>
      <c r="I576" t="n">
        <v>0</v>
      </c>
      <c r="J576" t="n">
        <v>0</v>
      </c>
      <c r="K576" t="n">
        <v>0</v>
      </c>
      <c r="L576" t="n">
        <v>0</v>
      </c>
      <c r="M576" t="n">
        <v>0</v>
      </c>
      <c r="N576" t="n">
        <v>0</v>
      </c>
      <c r="O576" t="n">
        <v>0</v>
      </c>
      <c r="P576" t="n">
        <v>0</v>
      </c>
      <c r="Q576" t="n">
        <v>0</v>
      </c>
      <c r="R576" s="2" t="inlineStr"/>
    </row>
    <row r="577" ht="15" customHeight="1">
      <c r="A577" t="inlineStr">
        <is>
          <t>A 26388-2025</t>
        </is>
      </c>
      <c r="B577" s="1" t="n">
        <v>45806.51069444444</v>
      </c>
      <c r="C577" s="1" t="n">
        <v>46032</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26366-2025</t>
        </is>
      </c>
      <c r="B578" s="1" t="n">
        <v>45806.34424768519</v>
      </c>
      <c r="C578" s="1" t="n">
        <v>46032</v>
      </c>
      <c r="D578" t="inlineStr">
        <is>
          <t>VÄSTERNORRLANDS LÄN</t>
        </is>
      </c>
      <c r="E578" t="inlineStr">
        <is>
          <t>ÅNGE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26734-2025</t>
        </is>
      </c>
      <c r="B579" s="1" t="n">
        <v>45810.51087962963</v>
      </c>
      <c r="C579" s="1" t="n">
        <v>46032</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26901-2025</t>
        </is>
      </c>
      <c r="B580" s="1" t="n">
        <v>45811.34457175926</v>
      </c>
      <c r="C580" s="1" t="n">
        <v>46032</v>
      </c>
      <c r="D580" t="inlineStr">
        <is>
          <t>VÄSTERNORRLANDS LÄN</t>
        </is>
      </c>
      <c r="E580" t="inlineStr">
        <is>
          <t>ÅNGE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61461-2023</t>
        </is>
      </c>
      <c r="B581" s="1" t="n">
        <v>45264.9261574074</v>
      </c>
      <c r="C581" s="1" t="n">
        <v>46032</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39005-2024</t>
        </is>
      </c>
      <c r="B582" s="1" t="n">
        <v>45548.42743055556</v>
      </c>
      <c r="C582" s="1" t="n">
        <v>46032</v>
      </c>
      <c r="D582" t="inlineStr">
        <is>
          <t>VÄSTERNORRLANDS LÄN</t>
        </is>
      </c>
      <c r="E582" t="inlineStr">
        <is>
          <t>ÅNGE</t>
        </is>
      </c>
      <c r="F582" t="inlineStr">
        <is>
          <t>SCA</t>
        </is>
      </c>
      <c r="G582" t="n">
        <v>2.6</v>
      </c>
      <c r="H582" t="n">
        <v>0</v>
      </c>
      <c r="I582" t="n">
        <v>0</v>
      </c>
      <c r="J582" t="n">
        <v>0</v>
      </c>
      <c r="K582" t="n">
        <v>0</v>
      </c>
      <c r="L582" t="n">
        <v>0</v>
      </c>
      <c r="M582" t="n">
        <v>0</v>
      </c>
      <c r="N582" t="n">
        <v>0</v>
      </c>
      <c r="O582" t="n">
        <v>0</v>
      </c>
      <c r="P582" t="n">
        <v>0</v>
      </c>
      <c r="Q582" t="n">
        <v>0</v>
      </c>
      <c r="R582" s="2" t="inlineStr"/>
      <c r="U582">
        <f>HYPERLINK("https://klasma.github.io/Logging_2260/knärot/A 39005-2024 karta knärot.png", "A 39005-2024")</f>
        <v/>
      </c>
      <c r="V582">
        <f>HYPERLINK("https://klasma.github.io/Logging_2260/klagomål/A 39005-2024 FSC-klagomål.docx", "A 39005-2024")</f>
        <v/>
      </c>
      <c r="W582">
        <f>HYPERLINK("https://klasma.github.io/Logging_2260/klagomålsmail/A 39005-2024 FSC-klagomål mail.docx", "A 39005-2024")</f>
        <v/>
      </c>
      <c r="X582">
        <f>HYPERLINK("https://klasma.github.io/Logging_2260/tillsyn/A 39005-2024 tillsynsbegäran.docx", "A 39005-2024")</f>
        <v/>
      </c>
      <c r="Y582">
        <f>HYPERLINK("https://klasma.github.io/Logging_2260/tillsynsmail/A 39005-2024 tillsynsbegäran mail.docx", "A 39005-2024")</f>
        <v/>
      </c>
    </row>
    <row r="583" ht="15" customHeight="1">
      <c r="A583" t="inlineStr">
        <is>
          <t>A 42786-2025</t>
        </is>
      </c>
      <c r="B583" s="1" t="n">
        <v>45908.51097222222</v>
      </c>
      <c r="C583" s="1" t="n">
        <v>46032</v>
      </c>
      <c r="D583" t="inlineStr">
        <is>
          <t>VÄSTERNORRLANDS LÄN</t>
        </is>
      </c>
      <c r="E583" t="inlineStr">
        <is>
          <t>ÅNGE</t>
        </is>
      </c>
      <c r="G583" t="n">
        <v>0.4</v>
      </c>
      <c r="H583" t="n">
        <v>0</v>
      </c>
      <c r="I583" t="n">
        <v>0</v>
      </c>
      <c r="J583" t="n">
        <v>0</v>
      </c>
      <c r="K583" t="n">
        <v>0</v>
      </c>
      <c r="L583" t="n">
        <v>0</v>
      </c>
      <c r="M583" t="n">
        <v>0</v>
      </c>
      <c r="N583" t="n">
        <v>0</v>
      </c>
      <c r="O583" t="n">
        <v>0</v>
      </c>
      <c r="P583" t="n">
        <v>0</v>
      </c>
      <c r="Q583" t="n">
        <v>0</v>
      </c>
      <c r="R583" s="2" t="inlineStr"/>
    </row>
    <row r="584" ht="15" customHeight="1">
      <c r="A584" t="inlineStr">
        <is>
          <t>A 42863-2025</t>
        </is>
      </c>
      <c r="B584" s="1" t="n">
        <v>45908.61527777778</v>
      </c>
      <c r="C584" s="1" t="n">
        <v>46032</v>
      </c>
      <c r="D584" t="inlineStr">
        <is>
          <t>VÄSTERNORRLANDS LÄN</t>
        </is>
      </c>
      <c r="E584" t="inlineStr">
        <is>
          <t>ÅNGE</t>
        </is>
      </c>
      <c r="G584" t="n">
        <v>1.1</v>
      </c>
      <c r="H584" t="n">
        <v>0</v>
      </c>
      <c r="I584" t="n">
        <v>0</v>
      </c>
      <c r="J584" t="n">
        <v>0</v>
      </c>
      <c r="K584" t="n">
        <v>0</v>
      </c>
      <c r="L584" t="n">
        <v>0</v>
      </c>
      <c r="M584" t="n">
        <v>0</v>
      </c>
      <c r="N584" t="n">
        <v>0</v>
      </c>
      <c r="O584" t="n">
        <v>0</v>
      </c>
      <c r="P584" t="n">
        <v>0</v>
      </c>
      <c r="Q584" t="n">
        <v>0</v>
      </c>
      <c r="R584" s="2" t="inlineStr"/>
    </row>
    <row r="585" ht="15" customHeight="1">
      <c r="A585" t="inlineStr">
        <is>
          <t>A 26655-2025</t>
        </is>
      </c>
      <c r="B585" s="1" t="n">
        <v>45810.39047453704</v>
      </c>
      <c r="C585" s="1" t="n">
        <v>46032</v>
      </c>
      <c r="D585" t="inlineStr">
        <is>
          <t>VÄSTERNORRLANDS LÄN</t>
        </is>
      </c>
      <c r="E585" t="inlineStr">
        <is>
          <t>ÅNGE</t>
        </is>
      </c>
      <c r="G585" t="n">
        <v>0.6</v>
      </c>
      <c r="H585" t="n">
        <v>0</v>
      </c>
      <c r="I585" t="n">
        <v>0</v>
      </c>
      <c r="J585" t="n">
        <v>0</v>
      </c>
      <c r="K585" t="n">
        <v>0</v>
      </c>
      <c r="L585" t="n">
        <v>0</v>
      </c>
      <c r="M585" t="n">
        <v>0</v>
      </c>
      <c r="N585" t="n">
        <v>0</v>
      </c>
      <c r="O585" t="n">
        <v>0</v>
      </c>
      <c r="P585" t="n">
        <v>0</v>
      </c>
      <c r="Q585" t="n">
        <v>0</v>
      </c>
      <c r="R585" s="2" t="inlineStr"/>
    </row>
    <row r="586" ht="15" customHeight="1">
      <c r="A586" t="inlineStr">
        <is>
          <t>A 42785-2025</t>
        </is>
      </c>
      <c r="B586" s="1" t="n">
        <v>45908.51083333333</v>
      </c>
      <c r="C586" s="1" t="n">
        <v>46032</v>
      </c>
      <c r="D586" t="inlineStr">
        <is>
          <t>VÄSTERNORRLANDS LÄN</t>
        </is>
      </c>
      <c r="E586" t="inlineStr">
        <is>
          <t>ÅNGE</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42889-2025</t>
        </is>
      </c>
      <c r="B587" s="1" t="n">
        <v>45908.65546296296</v>
      </c>
      <c r="C587" s="1" t="n">
        <v>46032</v>
      </c>
      <c r="D587" t="inlineStr">
        <is>
          <t>VÄSTERNORRLANDS LÄN</t>
        </is>
      </c>
      <c r="E587" t="inlineStr">
        <is>
          <t>ÅNGE</t>
        </is>
      </c>
      <c r="G587" t="n">
        <v>11.9</v>
      </c>
      <c r="H587" t="n">
        <v>0</v>
      </c>
      <c r="I587" t="n">
        <v>0</v>
      </c>
      <c r="J587" t="n">
        <v>0</v>
      </c>
      <c r="K587" t="n">
        <v>0</v>
      </c>
      <c r="L587" t="n">
        <v>0</v>
      </c>
      <c r="M587" t="n">
        <v>0</v>
      </c>
      <c r="N587" t="n">
        <v>0</v>
      </c>
      <c r="O587" t="n">
        <v>0</v>
      </c>
      <c r="P587" t="n">
        <v>0</v>
      </c>
      <c r="Q587" t="n">
        <v>0</v>
      </c>
      <c r="R587" s="2" t="inlineStr"/>
    </row>
    <row r="588" ht="15" customHeight="1">
      <c r="A588" t="inlineStr">
        <is>
          <t>A 5931-2025</t>
        </is>
      </c>
      <c r="B588" s="1" t="n">
        <v>45695.44827546296</v>
      </c>
      <c r="C588" s="1" t="n">
        <v>46032</v>
      </c>
      <c r="D588" t="inlineStr">
        <is>
          <t>VÄSTERNORRLANDS LÄN</t>
        </is>
      </c>
      <c r="E588" t="inlineStr">
        <is>
          <t>ÅNGE</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42764-2025</t>
        </is>
      </c>
      <c r="B589" s="1" t="n">
        <v>45908.46943287037</v>
      </c>
      <c r="C589" s="1" t="n">
        <v>46032</v>
      </c>
      <c r="D589" t="inlineStr">
        <is>
          <t>VÄSTERNORRLANDS LÄN</t>
        </is>
      </c>
      <c r="E589" t="inlineStr">
        <is>
          <t>ÅNGE</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42731-2025</t>
        </is>
      </c>
      <c r="B590" s="1" t="n">
        <v>45908.40686342592</v>
      </c>
      <c r="C590" s="1" t="n">
        <v>46032</v>
      </c>
      <c r="D590" t="inlineStr">
        <is>
          <t>VÄSTERNORRLANDS LÄN</t>
        </is>
      </c>
      <c r="E590" t="inlineStr">
        <is>
          <t>ÅNGE</t>
        </is>
      </c>
      <c r="G590" t="n">
        <v>14.1</v>
      </c>
      <c r="H590" t="n">
        <v>0</v>
      </c>
      <c r="I590" t="n">
        <v>0</v>
      </c>
      <c r="J590" t="n">
        <v>0</v>
      </c>
      <c r="K590" t="n">
        <v>0</v>
      </c>
      <c r="L590" t="n">
        <v>0</v>
      </c>
      <c r="M590" t="n">
        <v>0</v>
      </c>
      <c r="N590" t="n">
        <v>0</v>
      </c>
      <c r="O590" t="n">
        <v>0</v>
      </c>
      <c r="P590" t="n">
        <v>0</v>
      </c>
      <c r="Q590" t="n">
        <v>0</v>
      </c>
      <c r="R590" s="2" t="inlineStr"/>
    </row>
    <row r="591" ht="15" customHeight="1">
      <c r="A591" t="inlineStr">
        <is>
          <t>A 43077-2025</t>
        </is>
      </c>
      <c r="B591" s="1" t="n">
        <v>45909.6046412037</v>
      </c>
      <c r="C591" s="1" t="n">
        <v>46032</v>
      </c>
      <c r="D591" t="inlineStr">
        <is>
          <t>VÄSTERNORRLANDS LÄN</t>
        </is>
      </c>
      <c r="E591" t="inlineStr">
        <is>
          <t>ÅNGE</t>
        </is>
      </c>
      <c r="F591" t="inlineStr">
        <is>
          <t>Kyrkan</t>
        </is>
      </c>
      <c r="G591" t="n">
        <v>7.6</v>
      </c>
      <c r="H591" t="n">
        <v>0</v>
      </c>
      <c r="I591" t="n">
        <v>0</v>
      </c>
      <c r="J591" t="n">
        <v>0</v>
      </c>
      <c r="K591" t="n">
        <v>0</v>
      </c>
      <c r="L591" t="n">
        <v>0</v>
      </c>
      <c r="M591" t="n">
        <v>0</v>
      </c>
      <c r="N591" t="n">
        <v>0</v>
      </c>
      <c r="O591" t="n">
        <v>0</v>
      </c>
      <c r="P591" t="n">
        <v>0</v>
      </c>
      <c r="Q591" t="n">
        <v>0</v>
      </c>
      <c r="R591" s="2" t="inlineStr"/>
    </row>
    <row r="592" ht="15" customHeight="1">
      <c r="A592" t="inlineStr">
        <is>
          <t>A 42880-2025</t>
        </is>
      </c>
      <c r="B592" s="1" t="n">
        <v>45908.63599537037</v>
      </c>
      <c r="C592" s="1" t="n">
        <v>46032</v>
      </c>
      <c r="D592" t="inlineStr">
        <is>
          <t>VÄSTERNORRLANDS LÄN</t>
        </is>
      </c>
      <c r="E592" t="inlineStr">
        <is>
          <t>ÅNGE</t>
        </is>
      </c>
      <c r="G592" t="n">
        <v>4.3</v>
      </c>
      <c r="H592" t="n">
        <v>0</v>
      </c>
      <c r="I592" t="n">
        <v>0</v>
      </c>
      <c r="J592" t="n">
        <v>0</v>
      </c>
      <c r="K592" t="n">
        <v>0</v>
      </c>
      <c r="L592" t="n">
        <v>0</v>
      </c>
      <c r="M592" t="n">
        <v>0</v>
      </c>
      <c r="N592" t="n">
        <v>0</v>
      </c>
      <c r="O592" t="n">
        <v>0</v>
      </c>
      <c r="P592" t="n">
        <v>0</v>
      </c>
      <c r="Q592" t="n">
        <v>0</v>
      </c>
      <c r="R592" s="2" t="inlineStr"/>
    </row>
    <row r="593" ht="15" customHeight="1">
      <c r="A593" t="inlineStr">
        <is>
          <t>A 26608-2025</t>
        </is>
      </c>
      <c r="B593" s="1" t="n">
        <v>45809.98600694445</v>
      </c>
      <c r="C593" s="1" t="n">
        <v>46032</v>
      </c>
      <c r="D593" t="inlineStr">
        <is>
          <t>VÄSTERNORRLANDS LÄN</t>
        </is>
      </c>
      <c r="E593" t="inlineStr">
        <is>
          <t>ÅNGE</t>
        </is>
      </c>
      <c r="G593" t="n">
        <v>4.5</v>
      </c>
      <c r="H593" t="n">
        <v>0</v>
      </c>
      <c r="I593" t="n">
        <v>0</v>
      </c>
      <c r="J593" t="n">
        <v>0</v>
      </c>
      <c r="K593" t="n">
        <v>0</v>
      </c>
      <c r="L593" t="n">
        <v>0</v>
      </c>
      <c r="M593" t="n">
        <v>0</v>
      </c>
      <c r="N593" t="n">
        <v>0</v>
      </c>
      <c r="O593" t="n">
        <v>0</v>
      </c>
      <c r="P593" t="n">
        <v>0</v>
      </c>
      <c r="Q593" t="n">
        <v>0</v>
      </c>
      <c r="R593" s="2" t="inlineStr"/>
    </row>
    <row r="594" ht="15" customHeight="1">
      <c r="A594" t="inlineStr">
        <is>
          <t>A 53858-2024</t>
        </is>
      </c>
      <c r="B594" s="1" t="n">
        <v>45615</v>
      </c>
      <c r="C594" s="1" t="n">
        <v>46032</v>
      </c>
      <c r="D594" t="inlineStr">
        <is>
          <t>VÄSTERNORRLANDS LÄN</t>
        </is>
      </c>
      <c r="E594" t="inlineStr">
        <is>
          <t>ÅNGE</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27023-2025</t>
        </is>
      </c>
      <c r="B595" s="1" t="n">
        <v>45811.57342592593</v>
      </c>
      <c r="C595" s="1" t="n">
        <v>46032</v>
      </c>
      <c r="D595" t="inlineStr">
        <is>
          <t>VÄSTERNORRLANDS LÄN</t>
        </is>
      </c>
      <c r="E595" t="inlineStr">
        <is>
          <t>ÅNGE</t>
        </is>
      </c>
      <c r="G595" t="n">
        <v>0.3</v>
      </c>
      <c r="H595" t="n">
        <v>0</v>
      </c>
      <c r="I595" t="n">
        <v>0</v>
      </c>
      <c r="J595" t="n">
        <v>0</v>
      </c>
      <c r="K595" t="n">
        <v>0</v>
      </c>
      <c r="L595" t="n">
        <v>0</v>
      </c>
      <c r="M595" t="n">
        <v>0</v>
      </c>
      <c r="N595" t="n">
        <v>0</v>
      </c>
      <c r="O595" t="n">
        <v>0</v>
      </c>
      <c r="P595" t="n">
        <v>0</v>
      </c>
      <c r="Q595" t="n">
        <v>0</v>
      </c>
      <c r="R595" s="2" t="inlineStr"/>
    </row>
    <row r="596" ht="15" customHeight="1">
      <c r="A596" t="inlineStr">
        <is>
          <t>A 3-2025</t>
        </is>
      </c>
      <c r="B596" s="1" t="n">
        <v>45658.49819444444</v>
      </c>
      <c r="C596" s="1" t="n">
        <v>46032</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36790-2023</t>
        </is>
      </c>
      <c r="B597" s="1" t="n">
        <v>45154.36418981481</v>
      </c>
      <c r="C597" s="1" t="n">
        <v>46032</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42242-2023</t>
        </is>
      </c>
      <c r="B598" s="1" t="n">
        <v>45180.35025462963</v>
      </c>
      <c r="C598" s="1" t="n">
        <v>46032</v>
      </c>
      <c r="D598" t="inlineStr">
        <is>
          <t>VÄSTERNORRLANDS LÄN</t>
        </is>
      </c>
      <c r="E598" t="inlineStr">
        <is>
          <t>ÅNGE</t>
        </is>
      </c>
      <c r="G598" t="n">
        <v>5.7</v>
      </c>
      <c r="H598" t="n">
        <v>0</v>
      </c>
      <c r="I598" t="n">
        <v>0</v>
      </c>
      <c r="J598" t="n">
        <v>0</v>
      </c>
      <c r="K598" t="n">
        <v>0</v>
      </c>
      <c r="L598" t="n">
        <v>0</v>
      </c>
      <c r="M598" t="n">
        <v>0</v>
      </c>
      <c r="N598" t="n">
        <v>0</v>
      </c>
      <c r="O598" t="n">
        <v>0</v>
      </c>
      <c r="P598" t="n">
        <v>0</v>
      </c>
      <c r="Q598" t="n">
        <v>0</v>
      </c>
      <c r="R598" s="2" t="inlineStr"/>
    </row>
    <row r="599" ht="15" customHeight="1">
      <c r="A599" t="inlineStr">
        <is>
          <t>A 57593-2022</t>
        </is>
      </c>
      <c r="B599" s="1" t="n">
        <v>44896.97847222222</v>
      </c>
      <c r="C599" s="1" t="n">
        <v>46032</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57596-2022</t>
        </is>
      </c>
      <c r="B600" s="1" t="n">
        <v>44896.97871527778</v>
      </c>
      <c r="C600" s="1" t="n">
        <v>46032</v>
      </c>
      <c r="D600" t="inlineStr">
        <is>
          <t>VÄSTERNORRLANDS LÄN</t>
        </is>
      </c>
      <c r="E600" t="inlineStr">
        <is>
          <t>ÅNGE</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57598-2022</t>
        </is>
      </c>
      <c r="B601" s="1" t="n">
        <v>44896</v>
      </c>
      <c r="C601" s="1" t="n">
        <v>46032</v>
      </c>
      <c r="D601" t="inlineStr">
        <is>
          <t>VÄSTERNORRLANDS LÄN</t>
        </is>
      </c>
      <c r="E601" t="inlineStr">
        <is>
          <t>ÅNGE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43091-2025</t>
        </is>
      </c>
      <c r="B602" s="1" t="n">
        <v>45909.62511574074</v>
      </c>
      <c r="C602" s="1" t="n">
        <v>46032</v>
      </c>
      <c r="D602" t="inlineStr">
        <is>
          <t>VÄSTERNORRLANDS LÄN</t>
        </is>
      </c>
      <c r="E602" t="inlineStr">
        <is>
          <t>ÅNGE</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23063-2024</t>
        </is>
      </c>
      <c r="B603" s="1" t="n">
        <v>45450.44278935185</v>
      </c>
      <c r="C603" s="1" t="n">
        <v>46032</v>
      </c>
      <c r="D603" t="inlineStr">
        <is>
          <t>VÄSTERNORRLANDS LÄN</t>
        </is>
      </c>
      <c r="E603" t="inlineStr">
        <is>
          <t>ÅNGE</t>
        </is>
      </c>
      <c r="G603" t="n">
        <v>0.8</v>
      </c>
      <c r="H603" t="n">
        <v>0</v>
      </c>
      <c r="I603" t="n">
        <v>0</v>
      </c>
      <c r="J603" t="n">
        <v>0</v>
      </c>
      <c r="K603" t="n">
        <v>0</v>
      </c>
      <c r="L603" t="n">
        <v>0</v>
      </c>
      <c r="M603" t="n">
        <v>0</v>
      </c>
      <c r="N603" t="n">
        <v>0</v>
      </c>
      <c r="O603" t="n">
        <v>0</v>
      </c>
      <c r="P603" t="n">
        <v>0</v>
      </c>
      <c r="Q603" t="n">
        <v>0</v>
      </c>
      <c r="R603" s="2" t="inlineStr"/>
    </row>
    <row r="604" ht="15" customHeight="1">
      <c r="A604" t="inlineStr">
        <is>
          <t>A 25973-2022</t>
        </is>
      </c>
      <c r="B604" s="1" t="n">
        <v>44734</v>
      </c>
      <c r="C604" s="1" t="n">
        <v>46032</v>
      </c>
      <c r="D604" t="inlineStr">
        <is>
          <t>VÄSTERNORRLANDS LÄN</t>
        </is>
      </c>
      <c r="E604" t="inlineStr">
        <is>
          <t>ÅNGE</t>
        </is>
      </c>
      <c r="G604" t="n">
        <v>4.1</v>
      </c>
      <c r="H604" t="n">
        <v>0</v>
      </c>
      <c r="I604" t="n">
        <v>0</v>
      </c>
      <c r="J604" t="n">
        <v>0</v>
      </c>
      <c r="K604" t="n">
        <v>0</v>
      </c>
      <c r="L604" t="n">
        <v>0</v>
      </c>
      <c r="M604" t="n">
        <v>0</v>
      </c>
      <c r="N604" t="n">
        <v>0</v>
      </c>
      <c r="O604" t="n">
        <v>0</v>
      </c>
      <c r="P604" t="n">
        <v>0</v>
      </c>
      <c r="Q604" t="n">
        <v>0</v>
      </c>
      <c r="R604" s="2" t="inlineStr"/>
    </row>
    <row r="605" ht="15" customHeight="1">
      <c r="A605" t="inlineStr">
        <is>
          <t>A 51389-2025</t>
        </is>
      </c>
      <c r="B605" s="1" t="n">
        <v>45950.46767361111</v>
      </c>
      <c r="C605" s="1" t="n">
        <v>46032</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42730-2025</t>
        </is>
      </c>
      <c r="B606" s="1" t="n">
        <v>45908.40666666667</v>
      </c>
      <c r="C606" s="1" t="n">
        <v>46032</v>
      </c>
      <c r="D606" t="inlineStr">
        <is>
          <t>VÄSTERNORRLANDS LÄN</t>
        </is>
      </c>
      <c r="E606" t="inlineStr">
        <is>
          <t>ÅNGE</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43237-2025</t>
        </is>
      </c>
      <c r="B607" s="1" t="n">
        <v>45910.51670138889</v>
      </c>
      <c r="C607" s="1" t="n">
        <v>46032</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43250-2025</t>
        </is>
      </c>
      <c r="B608" s="1" t="n">
        <v>45910.5525462963</v>
      </c>
      <c r="C608" s="1" t="n">
        <v>46032</v>
      </c>
      <c r="D608" t="inlineStr">
        <is>
          <t>VÄSTERNORRLANDS LÄN</t>
        </is>
      </c>
      <c r="E608" t="inlineStr">
        <is>
          <t>ÅNGE</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10558-2023</t>
        </is>
      </c>
      <c r="B609" s="1" t="n">
        <v>44987.94438657408</v>
      </c>
      <c r="C609" s="1" t="n">
        <v>46032</v>
      </c>
      <c r="D609" t="inlineStr">
        <is>
          <t>VÄSTERNORRLANDS LÄN</t>
        </is>
      </c>
      <c r="E609" t="inlineStr">
        <is>
          <t>ÅNGE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43252-2025</t>
        </is>
      </c>
      <c r="B610" s="1" t="n">
        <v>45910.55292824074</v>
      </c>
      <c r="C610" s="1" t="n">
        <v>46032</v>
      </c>
      <c r="D610" t="inlineStr">
        <is>
          <t>VÄSTERNORRLANDS LÄN</t>
        </is>
      </c>
      <c r="E610" t="inlineStr">
        <is>
          <t>ÅNGE</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43415-2025</t>
        </is>
      </c>
      <c r="B611" s="1" t="n">
        <v>45911.40662037037</v>
      </c>
      <c r="C611" s="1" t="n">
        <v>46032</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43386-2025</t>
        </is>
      </c>
      <c r="B612" s="1" t="n">
        <v>45911.36520833334</v>
      </c>
      <c r="C612" s="1" t="n">
        <v>46032</v>
      </c>
      <c r="D612" t="inlineStr">
        <is>
          <t>VÄSTERNORRLANDS LÄN</t>
        </is>
      </c>
      <c r="E612" t="inlineStr">
        <is>
          <t>ÅNGE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27164-2025</t>
        </is>
      </c>
      <c r="B613" s="1" t="n">
        <v>45812.34430555555</v>
      </c>
      <c r="C613" s="1" t="n">
        <v>46032</v>
      </c>
      <c r="D613" t="inlineStr">
        <is>
          <t>VÄSTERNORRLANDS LÄN</t>
        </is>
      </c>
      <c r="E613" t="inlineStr">
        <is>
          <t>ÅNGE</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44158-2024</t>
        </is>
      </c>
      <c r="B614" s="1" t="n">
        <v>45572</v>
      </c>
      <c r="C614" s="1" t="n">
        <v>46032</v>
      </c>
      <c r="D614" t="inlineStr">
        <is>
          <t>VÄSTERNORRLANDS LÄN</t>
        </is>
      </c>
      <c r="E614" t="inlineStr">
        <is>
          <t>ÅNGE</t>
        </is>
      </c>
      <c r="G614" t="n">
        <v>2.6</v>
      </c>
      <c r="H614" t="n">
        <v>0</v>
      </c>
      <c r="I614" t="n">
        <v>0</v>
      </c>
      <c r="J614" t="n">
        <v>0</v>
      </c>
      <c r="K614" t="n">
        <v>0</v>
      </c>
      <c r="L614" t="n">
        <v>0</v>
      </c>
      <c r="M614" t="n">
        <v>0</v>
      </c>
      <c r="N614" t="n">
        <v>0</v>
      </c>
      <c r="O614" t="n">
        <v>0</v>
      </c>
      <c r="P614" t="n">
        <v>0</v>
      </c>
      <c r="Q614" t="n">
        <v>0</v>
      </c>
      <c r="R614" s="2" t="inlineStr"/>
    </row>
    <row r="615" ht="15" customHeight="1">
      <c r="A615" t="inlineStr">
        <is>
          <t>A 43385-2025</t>
        </is>
      </c>
      <c r="B615" s="1" t="n">
        <v>45911.36508101852</v>
      </c>
      <c r="C615" s="1" t="n">
        <v>46032</v>
      </c>
      <c r="D615" t="inlineStr">
        <is>
          <t>VÄSTERNORRLANDS LÄN</t>
        </is>
      </c>
      <c r="E615" t="inlineStr">
        <is>
          <t>ÅNGE</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27606-2025</t>
        </is>
      </c>
      <c r="B616" s="1" t="n">
        <v>45813.53200231482</v>
      </c>
      <c r="C616" s="1" t="n">
        <v>46032</v>
      </c>
      <c r="D616" t="inlineStr">
        <is>
          <t>VÄSTERNORRLANDS LÄN</t>
        </is>
      </c>
      <c r="E616" t="inlineStr">
        <is>
          <t>ÅNGE</t>
        </is>
      </c>
      <c r="F616" t="inlineStr">
        <is>
          <t>SCA</t>
        </is>
      </c>
      <c r="G616" t="n">
        <v>6.3</v>
      </c>
      <c r="H616" t="n">
        <v>0</v>
      </c>
      <c r="I616" t="n">
        <v>0</v>
      </c>
      <c r="J616" t="n">
        <v>0</v>
      </c>
      <c r="K616" t="n">
        <v>0</v>
      </c>
      <c r="L616" t="n">
        <v>0</v>
      </c>
      <c r="M616" t="n">
        <v>0</v>
      </c>
      <c r="N616" t="n">
        <v>0</v>
      </c>
      <c r="O616" t="n">
        <v>0</v>
      </c>
      <c r="P616" t="n">
        <v>0</v>
      </c>
      <c r="Q616" t="n">
        <v>0</v>
      </c>
      <c r="R616" s="2" t="inlineStr"/>
    </row>
    <row r="617" ht="15" customHeight="1">
      <c r="A617" t="inlineStr">
        <is>
          <t>A 43546-2025</t>
        </is>
      </c>
      <c r="B617" s="1" t="n">
        <v>45911.6153125</v>
      </c>
      <c r="C617" s="1" t="n">
        <v>46032</v>
      </c>
      <c r="D617" t="inlineStr">
        <is>
          <t>VÄSTERNORRLANDS LÄN</t>
        </is>
      </c>
      <c r="E617" t="inlineStr">
        <is>
          <t>ÅNGE</t>
        </is>
      </c>
      <c r="F617" t="inlineStr">
        <is>
          <t>SCA</t>
        </is>
      </c>
      <c r="G617" t="n">
        <v>9.6</v>
      </c>
      <c r="H617" t="n">
        <v>0</v>
      </c>
      <c r="I617" t="n">
        <v>0</v>
      </c>
      <c r="J617" t="n">
        <v>0</v>
      </c>
      <c r="K617" t="n">
        <v>0</v>
      </c>
      <c r="L617" t="n">
        <v>0</v>
      </c>
      <c r="M617" t="n">
        <v>0</v>
      </c>
      <c r="N617" t="n">
        <v>0</v>
      </c>
      <c r="O617" t="n">
        <v>0</v>
      </c>
      <c r="P617" t="n">
        <v>0</v>
      </c>
      <c r="Q617" t="n">
        <v>0</v>
      </c>
      <c r="R617" s="2" t="inlineStr"/>
    </row>
    <row r="618" ht="15" customHeight="1">
      <c r="A618" t="inlineStr">
        <is>
          <t>A 27951-2021</t>
        </is>
      </c>
      <c r="B618" s="1" t="n">
        <v>44354</v>
      </c>
      <c r="C618" s="1" t="n">
        <v>46032</v>
      </c>
      <c r="D618" t="inlineStr">
        <is>
          <t>VÄSTERNORRLANDS LÄN</t>
        </is>
      </c>
      <c r="E618" t="inlineStr">
        <is>
          <t>ÅNGE</t>
        </is>
      </c>
      <c r="G618" t="n">
        <v>3</v>
      </c>
      <c r="H618" t="n">
        <v>0</v>
      </c>
      <c r="I618" t="n">
        <v>0</v>
      </c>
      <c r="J618" t="n">
        <v>0</v>
      </c>
      <c r="K618" t="n">
        <v>0</v>
      </c>
      <c r="L618" t="n">
        <v>0</v>
      </c>
      <c r="M618" t="n">
        <v>0</v>
      </c>
      <c r="N618" t="n">
        <v>0</v>
      </c>
      <c r="O618" t="n">
        <v>0</v>
      </c>
      <c r="P618" t="n">
        <v>0</v>
      </c>
      <c r="Q618" t="n">
        <v>0</v>
      </c>
      <c r="R618" s="2" t="inlineStr"/>
    </row>
    <row r="619" ht="15" customHeight="1">
      <c r="A619" t="inlineStr">
        <is>
          <t>A 43389-2025</t>
        </is>
      </c>
      <c r="B619" s="1" t="n">
        <v>45911.36560185185</v>
      </c>
      <c r="C619" s="1" t="n">
        <v>46032</v>
      </c>
      <c r="D619" t="inlineStr">
        <is>
          <t>VÄSTERNORRLANDS LÄN</t>
        </is>
      </c>
      <c r="E619" t="inlineStr">
        <is>
          <t>ÅNGE</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41829-2021</t>
        </is>
      </c>
      <c r="B620" s="1" t="n">
        <v>44425.92202546296</v>
      </c>
      <c r="C620" s="1" t="n">
        <v>46032</v>
      </c>
      <c r="D620" t="inlineStr">
        <is>
          <t>VÄSTERNORRLANDS LÄN</t>
        </is>
      </c>
      <c r="E620" t="inlineStr">
        <is>
          <t>ÅNGE</t>
        </is>
      </c>
      <c r="G620" t="n">
        <v>1.6</v>
      </c>
      <c r="H620" t="n">
        <v>0</v>
      </c>
      <c r="I620" t="n">
        <v>0</v>
      </c>
      <c r="J620" t="n">
        <v>0</v>
      </c>
      <c r="K620" t="n">
        <v>0</v>
      </c>
      <c r="L620" t="n">
        <v>0</v>
      </c>
      <c r="M620" t="n">
        <v>0</v>
      </c>
      <c r="N620" t="n">
        <v>0</v>
      </c>
      <c r="O620" t="n">
        <v>0</v>
      </c>
      <c r="P620" t="n">
        <v>0</v>
      </c>
      <c r="Q620" t="n">
        <v>0</v>
      </c>
      <c r="R620" s="2" t="inlineStr"/>
    </row>
    <row r="621" ht="15" customHeight="1">
      <c r="A621" t="inlineStr">
        <is>
          <t>A 33750-2024</t>
        </is>
      </c>
      <c r="B621" s="1" t="n">
        <v>45520.56475694444</v>
      </c>
      <c r="C621" s="1" t="n">
        <v>46032</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60118-2025</t>
        </is>
      </c>
      <c r="B622" s="1" t="n">
        <v>45994.3242824074</v>
      </c>
      <c r="C622" s="1" t="n">
        <v>46032</v>
      </c>
      <c r="D622" t="inlineStr">
        <is>
          <t>VÄSTERNORRLANDS LÄN</t>
        </is>
      </c>
      <c r="E622" t="inlineStr">
        <is>
          <t>ÅNGE</t>
        </is>
      </c>
      <c r="G622" t="n">
        <v>1.1</v>
      </c>
      <c r="H622" t="n">
        <v>0</v>
      </c>
      <c r="I622" t="n">
        <v>0</v>
      </c>
      <c r="J622" t="n">
        <v>0</v>
      </c>
      <c r="K622" t="n">
        <v>0</v>
      </c>
      <c r="L622" t="n">
        <v>0</v>
      </c>
      <c r="M622" t="n">
        <v>0</v>
      </c>
      <c r="N622" t="n">
        <v>0</v>
      </c>
      <c r="O622" t="n">
        <v>0</v>
      </c>
      <c r="P622" t="n">
        <v>0</v>
      </c>
      <c r="Q622" t="n">
        <v>0</v>
      </c>
      <c r="R622" s="2" t="inlineStr"/>
    </row>
    <row r="623" ht="15" customHeight="1">
      <c r="A623" t="inlineStr">
        <is>
          <t>A 43221-2025</t>
        </is>
      </c>
      <c r="B623" s="1" t="n">
        <v>45910.47981481482</v>
      </c>
      <c r="C623" s="1" t="n">
        <v>46032</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60079-2025</t>
        </is>
      </c>
      <c r="B624" s="1" t="n">
        <v>45993.6834375</v>
      </c>
      <c r="C624" s="1" t="n">
        <v>46032</v>
      </c>
      <c r="D624" t="inlineStr">
        <is>
          <t>VÄSTERNORRLANDS LÄN</t>
        </is>
      </c>
      <c r="E624" t="inlineStr">
        <is>
          <t>ÅNGE</t>
        </is>
      </c>
      <c r="G624" t="n">
        <v>3.6</v>
      </c>
      <c r="H624" t="n">
        <v>0</v>
      </c>
      <c r="I624" t="n">
        <v>0</v>
      </c>
      <c r="J624" t="n">
        <v>0</v>
      </c>
      <c r="K624" t="n">
        <v>0</v>
      </c>
      <c r="L624" t="n">
        <v>0</v>
      </c>
      <c r="M624" t="n">
        <v>0</v>
      </c>
      <c r="N624" t="n">
        <v>0</v>
      </c>
      <c r="O624" t="n">
        <v>0</v>
      </c>
      <c r="P624" t="n">
        <v>0</v>
      </c>
      <c r="Q624" t="n">
        <v>0</v>
      </c>
      <c r="R624" s="2" t="inlineStr"/>
    </row>
    <row r="625" ht="15" customHeight="1">
      <c r="A625" t="inlineStr">
        <is>
          <t>A 43265-2025</t>
        </is>
      </c>
      <c r="B625" s="1" t="n">
        <v>45910.57377314815</v>
      </c>
      <c r="C625" s="1" t="n">
        <v>46032</v>
      </c>
      <c r="D625" t="inlineStr">
        <is>
          <t>VÄSTERNORRLANDS LÄN</t>
        </is>
      </c>
      <c r="E625" t="inlineStr">
        <is>
          <t>ÅNGE</t>
        </is>
      </c>
      <c r="F625" t="inlineStr">
        <is>
          <t>SCA</t>
        </is>
      </c>
      <c r="G625" t="n">
        <v>7</v>
      </c>
      <c r="H625" t="n">
        <v>0</v>
      </c>
      <c r="I625" t="n">
        <v>0</v>
      </c>
      <c r="J625" t="n">
        <v>0</v>
      </c>
      <c r="K625" t="n">
        <v>0</v>
      </c>
      <c r="L625" t="n">
        <v>0</v>
      </c>
      <c r="M625" t="n">
        <v>0</v>
      </c>
      <c r="N625" t="n">
        <v>0</v>
      </c>
      <c r="O625" t="n">
        <v>0</v>
      </c>
      <c r="P625" t="n">
        <v>0</v>
      </c>
      <c r="Q625" t="n">
        <v>0</v>
      </c>
      <c r="R625" s="2" t="inlineStr"/>
    </row>
    <row r="626" ht="15" customHeight="1">
      <c r="A626" t="inlineStr">
        <is>
          <t>A 52060-2025</t>
        </is>
      </c>
      <c r="B626" s="1" t="n">
        <v>45952.63641203703</v>
      </c>
      <c r="C626" s="1" t="n">
        <v>46032</v>
      </c>
      <c r="D626" t="inlineStr">
        <is>
          <t>VÄSTERNORRLANDS LÄN</t>
        </is>
      </c>
      <c r="E626" t="inlineStr">
        <is>
          <t>ÅNGE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27639-2025</t>
        </is>
      </c>
      <c r="B627" s="1" t="n">
        <v>45813</v>
      </c>
      <c r="C627" s="1" t="n">
        <v>46032</v>
      </c>
      <c r="D627" t="inlineStr">
        <is>
          <t>VÄSTERNORRLANDS LÄN</t>
        </is>
      </c>
      <c r="E627" t="inlineStr">
        <is>
          <t>ÅNGE</t>
        </is>
      </c>
      <c r="G627" t="n">
        <v>22.9</v>
      </c>
      <c r="H627" t="n">
        <v>0</v>
      </c>
      <c r="I627" t="n">
        <v>0</v>
      </c>
      <c r="J627" t="n">
        <v>0</v>
      </c>
      <c r="K627" t="n">
        <v>0</v>
      </c>
      <c r="L627" t="n">
        <v>0</v>
      </c>
      <c r="M627" t="n">
        <v>0</v>
      </c>
      <c r="N627" t="n">
        <v>0</v>
      </c>
      <c r="O627" t="n">
        <v>0</v>
      </c>
      <c r="P627" t="n">
        <v>0</v>
      </c>
      <c r="Q627" t="n">
        <v>0</v>
      </c>
      <c r="R627" s="2" t="inlineStr"/>
    </row>
    <row r="628" ht="15" customHeight="1">
      <c r="A628" t="inlineStr">
        <is>
          <t>A 25903-2022</t>
        </is>
      </c>
      <c r="B628" s="1" t="n">
        <v>44733</v>
      </c>
      <c r="C628" s="1" t="n">
        <v>46032</v>
      </c>
      <c r="D628" t="inlineStr">
        <is>
          <t>VÄSTERNORRLANDS LÄN</t>
        </is>
      </c>
      <c r="E628" t="inlineStr">
        <is>
          <t>ÅNGE</t>
        </is>
      </c>
      <c r="G628" t="n">
        <v>1</v>
      </c>
      <c r="H628" t="n">
        <v>0</v>
      </c>
      <c r="I628" t="n">
        <v>0</v>
      </c>
      <c r="J628" t="n">
        <v>0</v>
      </c>
      <c r="K628" t="n">
        <v>0</v>
      </c>
      <c r="L628" t="n">
        <v>0</v>
      </c>
      <c r="M628" t="n">
        <v>0</v>
      </c>
      <c r="N628" t="n">
        <v>0</v>
      </c>
      <c r="O628" t="n">
        <v>0</v>
      </c>
      <c r="P628" t="n">
        <v>0</v>
      </c>
      <c r="Q628" t="n">
        <v>0</v>
      </c>
      <c r="R628" s="2" t="inlineStr"/>
    </row>
    <row r="629" ht="15" customHeight="1">
      <c r="A629" t="inlineStr">
        <is>
          <t>A 27572-2025</t>
        </is>
      </c>
      <c r="B629" s="1" t="n">
        <v>45813.49049768518</v>
      </c>
      <c r="C629" s="1" t="n">
        <v>46032</v>
      </c>
      <c r="D629" t="inlineStr">
        <is>
          <t>VÄSTERNORRLANDS LÄN</t>
        </is>
      </c>
      <c r="E629" t="inlineStr">
        <is>
          <t>ÅNGE</t>
        </is>
      </c>
      <c r="F629" t="inlineStr">
        <is>
          <t>SCA</t>
        </is>
      </c>
      <c r="G629" t="n">
        <v>14.3</v>
      </c>
      <c r="H629" t="n">
        <v>0</v>
      </c>
      <c r="I629" t="n">
        <v>0</v>
      </c>
      <c r="J629" t="n">
        <v>0</v>
      </c>
      <c r="K629" t="n">
        <v>0</v>
      </c>
      <c r="L629" t="n">
        <v>0</v>
      </c>
      <c r="M629" t="n">
        <v>0</v>
      </c>
      <c r="N629" t="n">
        <v>0</v>
      </c>
      <c r="O629" t="n">
        <v>0</v>
      </c>
      <c r="P629" t="n">
        <v>0</v>
      </c>
      <c r="Q629" t="n">
        <v>0</v>
      </c>
      <c r="R629" s="2" t="inlineStr"/>
    </row>
    <row r="630" ht="15" customHeight="1">
      <c r="A630" t="inlineStr">
        <is>
          <t>A 27165-2025</t>
        </is>
      </c>
      <c r="B630" s="1" t="n">
        <v>45812.34440972222</v>
      </c>
      <c r="C630" s="1" t="n">
        <v>46032</v>
      </c>
      <c r="D630" t="inlineStr">
        <is>
          <t>VÄSTERNORRLANDS LÄN</t>
        </is>
      </c>
      <c r="E630" t="inlineStr">
        <is>
          <t>ÅNGE</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53856-2024</t>
        </is>
      </c>
      <c r="B631" s="1" t="n">
        <v>45615</v>
      </c>
      <c r="C631" s="1" t="n">
        <v>46032</v>
      </c>
      <c r="D631" t="inlineStr">
        <is>
          <t>VÄSTERNORRLANDS LÄN</t>
        </is>
      </c>
      <c r="E631" t="inlineStr">
        <is>
          <t>ÅNGE</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27545-2025</t>
        </is>
      </c>
      <c r="B632" s="1" t="n">
        <v>45813.46942129629</v>
      </c>
      <c r="C632" s="1" t="n">
        <v>46032</v>
      </c>
      <c r="D632" t="inlineStr">
        <is>
          <t>VÄSTERNORRLANDS LÄN</t>
        </is>
      </c>
      <c r="E632" t="inlineStr">
        <is>
          <t>ÅNGE</t>
        </is>
      </c>
      <c r="F632" t="inlineStr">
        <is>
          <t>SCA</t>
        </is>
      </c>
      <c r="G632" t="n">
        <v>14.3</v>
      </c>
      <c r="H632" t="n">
        <v>0</v>
      </c>
      <c r="I632" t="n">
        <v>0</v>
      </c>
      <c r="J632" t="n">
        <v>0</v>
      </c>
      <c r="K632" t="n">
        <v>0</v>
      </c>
      <c r="L632" t="n">
        <v>0</v>
      </c>
      <c r="M632" t="n">
        <v>0</v>
      </c>
      <c r="N632" t="n">
        <v>0</v>
      </c>
      <c r="O632" t="n">
        <v>0</v>
      </c>
      <c r="P632" t="n">
        <v>0</v>
      </c>
      <c r="Q632" t="n">
        <v>0</v>
      </c>
      <c r="R632" s="2" t="inlineStr"/>
    </row>
    <row r="633" ht="15" customHeight="1">
      <c r="A633" t="inlineStr">
        <is>
          <t>A 1103-2023</t>
        </is>
      </c>
      <c r="B633" s="1" t="n">
        <v>44929</v>
      </c>
      <c r="C633" s="1" t="n">
        <v>46032</v>
      </c>
      <c r="D633" t="inlineStr">
        <is>
          <t>VÄSTERNORRLANDS LÄN</t>
        </is>
      </c>
      <c r="E633" t="inlineStr">
        <is>
          <t>ÅNGE</t>
        </is>
      </c>
      <c r="G633" t="n">
        <v>7.3</v>
      </c>
      <c r="H633" t="n">
        <v>0</v>
      </c>
      <c r="I633" t="n">
        <v>0</v>
      </c>
      <c r="J633" t="n">
        <v>0</v>
      </c>
      <c r="K633" t="n">
        <v>0</v>
      </c>
      <c r="L633" t="n">
        <v>0</v>
      </c>
      <c r="M633" t="n">
        <v>0</v>
      </c>
      <c r="N633" t="n">
        <v>0</v>
      </c>
      <c r="O633" t="n">
        <v>0</v>
      </c>
      <c r="P633" t="n">
        <v>0</v>
      </c>
      <c r="Q633" t="n">
        <v>0</v>
      </c>
      <c r="R633" s="2" t="inlineStr"/>
    </row>
    <row r="634" ht="15" customHeight="1">
      <c r="A634" t="inlineStr">
        <is>
          <t>A 2140-2023</t>
        </is>
      </c>
      <c r="B634" s="1" t="n">
        <v>44940</v>
      </c>
      <c r="C634" s="1" t="n">
        <v>46032</v>
      </c>
      <c r="D634" t="inlineStr">
        <is>
          <t>VÄSTERNORRLANDS LÄN</t>
        </is>
      </c>
      <c r="E634" t="inlineStr">
        <is>
          <t>ÅNGE</t>
        </is>
      </c>
      <c r="G634" t="n">
        <v>2.9</v>
      </c>
      <c r="H634" t="n">
        <v>0</v>
      </c>
      <c r="I634" t="n">
        <v>0</v>
      </c>
      <c r="J634" t="n">
        <v>0</v>
      </c>
      <c r="K634" t="n">
        <v>0</v>
      </c>
      <c r="L634" t="n">
        <v>0</v>
      </c>
      <c r="M634" t="n">
        <v>0</v>
      </c>
      <c r="N634" t="n">
        <v>0</v>
      </c>
      <c r="O634" t="n">
        <v>0</v>
      </c>
      <c r="P634" t="n">
        <v>0</v>
      </c>
      <c r="Q634" t="n">
        <v>0</v>
      </c>
      <c r="R634" s="2" t="inlineStr"/>
    </row>
    <row r="635" ht="15" customHeight="1">
      <c r="A635" t="inlineStr">
        <is>
          <t>A 44165-2025</t>
        </is>
      </c>
      <c r="B635" s="1" t="n">
        <v>45915.59840277778</v>
      </c>
      <c r="C635" s="1" t="n">
        <v>46032</v>
      </c>
      <c r="D635" t="inlineStr">
        <is>
          <t>VÄSTERNORRLANDS LÄN</t>
        </is>
      </c>
      <c r="E635" t="inlineStr">
        <is>
          <t>ÅNGE</t>
        </is>
      </c>
      <c r="G635" t="n">
        <v>0.7</v>
      </c>
      <c r="H635" t="n">
        <v>0</v>
      </c>
      <c r="I635" t="n">
        <v>0</v>
      </c>
      <c r="J635" t="n">
        <v>0</v>
      </c>
      <c r="K635" t="n">
        <v>0</v>
      </c>
      <c r="L635" t="n">
        <v>0</v>
      </c>
      <c r="M635" t="n">
        <v>0</v>
      </c>
      <c r="N635" t="n">
        <v>0</v>
      </c>
      <c r="O635" t="n">
        <v>0</v>
      </c>
      <c r="P635" t="n">
        <v>0</v>
      </c>
      <c r="Q635" t="n">
        <v>0</v>
      </c>
      <c r="R635" s="2" t="inlineStr"/>
    </row>
    <row r="636" ht="15" customHeight="1">
      <c r="A636" t="inlineStr">
        <is>
          <t>A 60119-2025</t>
        </is>
      </c>
      <c r="B636" s="1" t="n">
        <v>45994.33081018519</v>
      </c>
      <c r="C636" s="1" t="n">
        <v>46032</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60124-2025</t>
        </is>
      </c>
      <c r="B637" s="1" t="n">
        <v>45994.33722222222</v>
      </c>
      <c r="C637" s="1" t="n">
        <v>46032</v>
      </c>
      <c r="D637" t="inlineStr">
        <is>
          <t>VÄSTERNORRLANDS LÄN</t>
        </is>
      </c>
      <c r="E637" t="inlineStr">
        <is>
          <t>ÅNGE</t>
        </is>
      </c>
      <c r="G637" t="n">
        <v>2.2</v>
      </c>
      <c r="H637" t="n">
        <v>0</v>
      </c>
      <c r="I637" t="n">
        <v>0</v>
      </c>
      <c r="J637" t="n">
        <v>0</v>
      </c>
      <c r="K637" t="n">
        <v>0</v>
      </c>
      <c r="L637" t="n">
        <v>0</v>
      </c>
      <c r="M637" t="n">
        <v>0</v>
      </c>
      <c r="N637" t="n">
        <v>0</v>
      </c>
      <c r="O637" t="n">
        <v>0</v>
      </c>
      <c r="P637" t="n">
        <v>0</v>
      </c>
      <c r="Q637" t="n">
        <v>0</v>
      </c>
      <c r="R637" s="2" t="inlineStr"/>
    </row>
    <row r="638" ht="15" customHeight="1">
      <c r="A638" t="inlineStr">
        <is>
          <t>A 51059-2024</t>
        </is>
      </c>
      <c r="B638" s="1" t="n">
        <v>45603</v>
      </c>
      <c r="C638" s="1" t="n">
        <v>46032</v>
      </c>
      <c r="D638" t="inlineStr">
        <is>
          <t>VÄSTERNORRLANDS LÄN</t>
        </is>
      </c>
      <c r="E638" t="inlineStr">
        <is>
          <t>ÅNGE</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28085-2025</t>
        </is>
      </c>
      <c r="B639" s="1" t="n">
        <v>45817.71924768519</v>
      </c>
      <c r="C639" s="1" t="n">
        <v>46032</v>
      </c>
      <c r="D639" t="inlineStr">
        <is>
          <t>VÄSTERNORRLANDS LÄN</t>
        </is>
      </c>
      <c r="E639" t="inlineStr">
        <is>
          <t>ÅNGE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51054-2024</t>
        </is>
      </c>
      <c r="B640" s="1" t="n">
        <v>45603</v>
      </c>
      <c r="C640" s="1" t="n">
        <v>46032</v>
      </c>
      <c r="D640" t="inlineStr">
        <is>
          <t>VÄSTERNORRLANDS LÄN</t>
        </is>
      </c>
      <c r="E640" t="inlineStr">
        <is>
          <t>ÅNGE</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47488-2023</t>
        </is>
      </c>
      <c r="B641" s="1" t="n">
        <v>45202.94168981481</v>
      </c>
      <c r="C641" s="1" t="n">
        <v>46032</v>
      </c>
      <c r="D641" t="inlineStr">
        <is>
          <t>VÄSTERNORRLANDS LÄN</t>
        </is>
      </c>
      <c r="E641" t="inlineStr">
        <is>
          <t>ÅNGE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34754-2024</t>
        </is>
      </c>
      <c r="B642" s="1" t="n">
        <v>45526</v>
      </c>
      <c r="C642" s="1" t="n">
        <v>46032</v>
      </c>
      <c r="D642" t="inlineStr">
        <is>
          <t>VÄSTERNORRLANDS LÄN</t>
        </is>
      </c>
      <c r="E642" t="inlineStr">
        <is>
          <t>ÅNGE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28070-2025</t>
        </is>
      </c>
      <c r="B643" s="1" t="n">
        <v>45817.67739583334</v>
      </c>
      <c r="C643" s="1" t="n">
        <v>46032</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3362-2023</t>
        </is>
      </c>
      <c r="B644" s="1" t="n">
        <v>44945</v>
      </c>
      <c r="C644" s="1" t="n">
        <v>46032</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60403-2025</t>
        </is>
      </c>
      <c r="B645" s="1" t="n">
        <v>45995.42762731481</v>
      </c>
      <c r="C645" s="1" t="n">
        <v>46032</v>
      </c>
      <c r="D645" t="inlineStr">
        <is>
          <t>VÄSTERNORRLANDS LÄN</t>
        </is>
      </c>
      <c r="E645" t="inlineStr">
        <is>
          <t>ÅNGE</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59600-2024</t>
        </is>
      </c>
      <c r="B646" s="1" t="n">
        <v>45638.71763888889</v>
      </c>
      <c r="C646" s="1" t="n">
        <v>46032</v>
      </c>
      <c r="D646" t="inlineStr">
        <is>
          <t>VÄSTERNORRLANDS LÄN</t>
        </is>
      </c>
      <c r="E646" t="inlineStr">
        <is>
          <t>ÅNGE</t>
        </is>
      </c>
      <c r="G646" t="n">
        <v>1.3</v>
      </c>
      <c r="H646" t="n">
        <v>0</v>
      </c>
      <c r="I646" t="n">
        <v>0</v>
      </c>
      <c r="J646" t="n">
        <v>0</v>
      </c>
      <c r="K646" t="n">
        <v>0</v>
      </c>
      <c r="L646" t="n">
        <v>0</v>
      </c>
      <c r="M646" t="n">
        <v>0</v>
      </c>
      <c r="N646" t="n">
        <v>0</v>
      </c>
      <c r="O646" t="n">
        <v>0</v>
      </c>
      <c r="P646" t="n">
        <v>0</v>
      </c>
      <c r="Q646" t="n">
        <v>0</v>
      </c>
      <c r="R646" s="2" t="inlineStr"/>
    </row>
    <row r="647" ht="15" customHeight="1">
      <c r="A647" t="inlineStr">
        <is>
          <t>A 60422-2025</t>
        </is>
      </c>
      <c r="B647" s="1" t="n">
        <v>45995.46922453704</v>
      </c>
      <c r="C647" s="1" t="n">
        <v>46032</v>
      </c>
      <c r="D647" t="inlineStr">
        <is>
          <t>VÄSTERNORRLANDS LÄN</t>
        </is>
      </c>
      <c r="E647" t="inlineStr">
        <is>
          <t>ÅNGE</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52121-2025</t>
        </is>
      </c>
      <c r="B648" s="1" t="n">
        <v>45952.71921296296</v>
      </c>
      <c r="C648" s="1" t="n">
        <v>46032</v>
      </c>
      <c r="D648" t="inlineStr">
        <is>
          <t>VÄSTERNORRLANDS LÄN</t>
        </is>
      </c>
      <c r="E648" t="inlineStr">
        <is>
          <t>ÅNGE</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43707-2025</t>
        </is>
      </c>
      <c r="B649" s="1" t="n">
        <v>45912.40668981482</v>
      </c>
      <c r="C649" s="1" t="n">
        <v>46032</v>
      </c>
      <c r="D649" t="inlineStr">
        <is>
          <t>VÄSTERNORRLANDS LÄN</t>
        </is>
      </c>
      <c r="E649" t="inlineStr">
        <is>
          <t>ÅNGE</t>
        </is>
      </c>
      <c r="F649" t="inlineStr">
        <is>
          <t>SCA</t>
        </is>
      </c>
      <c r="G649" t="n">
        <v>12.5</v>
      </c>
      <c r="H649" t="n">
        <v>0</v>
      </c>
      <c r="I649" t="n">
        <v>0</v>
      </c>
      <c r="J649" t="n">
        <v>0</v>
      </c>
      <c r="K649" t="n">
        <v>0</v>
      </c>
      <c r="L649" t="n">
        <v>0</v>
      </c>
      <c r="M649" t="n">
        <v>0</v>
      </c>
      <c r="N649" t="n">
        <v>0</v>
      </c>
      <c r="O649" t="n">
        <v>0</v>
      </c>
      <c r="P649" t="n">
        <v>0</v>
      </c>
      <c r="Q649" t="n">
        <v>0</v>
      </c>
      <c r="R649" s="2" t="inlineStr"/>
      <c r="U649">
        <f>HYPERLINK("https://klasma.github.io/Logging_2260/knärot/A 43707-2025 karta knärot.png", "A 43707-2025")</f>
        <v/>
      </c>
      <c r="V649">
        <f>HYPERLINK("https://klasma.github.io/Logging_2260/klagomål/A 43707-2025 FSC-klagomål.docx", "A 43707-2025")</f>
        <v/>
      </c>
      <c r="W649">
        <f>HYPERLINK("https://klasma.github.io/Logging_2260/klagomålsmail/A 43707-2025 FSC-klagomål mail.docx", "A 43707-2025")</f>
        <v/>
      </c>
      <c r="X649">
        <f>HYPERLINK("https://klasma.github.io/Logging_2260/tillsyn/A 43707-2025 tillsynsbegäran.docx", "A 43707-2025")</f>
        <v/>
      </c>
      <c r="Y649">
        <f>HYPERLINK("https://klasma.github.io/Logging_2260/tillsynsmail/A 43707-2025 tillsynsbegäran mail.docx", "A 43707-2025")</f>
        <v/>
      </c>
    </row>
    <row r="650" ht="15" customHeight="1">
      <c r="A650" t="inlineStr">
        <is>
          <t>A 52685-2024</t>
        </is>
      </c>
      <c r="B650" s="1" t="n">
        <v>45610</v>
      </c>
      <c r="C650" s="1" t="n">
        <v>46032</v>
      </c>
      <c r="D650" t="inlineStr">
        <is>
          <t>VÄSTERNORRLANDS LÄN</t>
        </is>
      </c>
      <c r="E650" t="inlineStr">
        <is>
          <t>ÅNGE</t>
        </is>
      </c>
      <c r="G650" t="n">
        <v>2.3</v>
      </c>
      <c r="H650" t="n">
        <v>0</v>
      </c>
      <c r="I650" t="n">
        <v>0</v>
      </c>
      <c r="J650" t="n">
        <v>0</v>
      </c>
      <c r="K650" t="n">
        <v>0</v>
      </c>
      <c r="L650" t="n">
        <v>0</v>
      </c>
      <c r="M650" t="n">
        <v>0</v>
      </c>
      <c r="N650" t="n">
        <v>0</v>
      </c>
      <c r="O650" t="n">
        <v>0</v>
      </c>
      <c r="P650" t="n">
        <v>0</v>
      </c>
      <c r="Q650" t="n">
        <v>0</v>
      </c>
      <c r="R650" s="2" t="inlineStr"/>
    </row>
    <row r="651" ht="15" customHeight="1">
      <c r="A651" t="inlineStr">
        <is>
          <t>A 52306-2025</t>
        </is>
      </c>
      <c r="B651" s="1" t="n">
        <v>45953.63600694444</v>
      </c>
      <c r="C651" s="1" t="n">
        <v>46032</v>
      </c>
      <c r="D651" t="inlineStr">
        <is>
          <t>VÄSTERNORRLANDS LÄN</t>
        </is>
      </c>
      <c r="E651" t="inlineStr">
        <is>
          <t>ÅNGE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24552-2023</t>
        </is>
      </c>
      <c r="B652" s="1" t="n">
        <v>45082.94226851852</v>
      </c>
      <c r="C652" s="1" t="n">
        <v>46032</v>
      </c>
      <c r="D652" t="inlineStr">
        <is>
          <t>VÄSTERNORRLANDS LÄN</t>
        </is>
      </c>
      <c r="E652" t="inlineStr">
        <is>
          <t>ÅNGE</t>
        </is>
      </c>
      <c r="G652" t="n">
        <v>1.5</v>
      </c>
      <c r="H652" t="n">
        <v>0</v>
      </c>
      <c r="I652" t="n">
        <v>0</v>
      </c>
      <c r="J652" t="n">
        <v>0</v>
      </c>
      <c r="K652" t="n">
        <v>0</v>
      </c>
      <c r="L652" t="n">
        <v>0</v>
      </c>
      <c r="M652" t="n">
        <v>0</v>
      </c>
      <c r="N652" t="n">
        <v>0</v>
      </c>
      <c r="O652" t="n">
        <v>0</v>
      </c>
      <c r="P652" t="n">
        <v>0</v>
      </c>
      <c r="Q652" t="n">
        <v>0</v>
      </c>
      <c r="R652" s="2" t="inlineStr"/>
    </row>
    <row r="653" ht="15" customHeight="1">
      <c r="A653" t="inlineStr">
        <is>
          <t>A 36466-2024</t>
        </is>
      </c>
      <c r="B653" s="1" t="n">
        <v>45537.35872685185</v>
      </c>
      <c r="C653" s="1" t="n">
        <v>46032</v>
      </c>
      <c r="D653" t="inlineStr">
        <is>
          <t>VÄSTERNORRLANDS LÄN</t>
        </is>
      </c>
      <c r="E653" t="inlineStr">
        <is>
          <t>ÅNGE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54720-2024</t>
        </is>
      </c>
      <c r="B654" s="1" t="n">
        <v>45618.43715277778</v>
      </c>
      <c r="C654" s="1" t="n">
        <v>46032</v>
      </c>
      <c r="D654" t="inlineStr">
        <is>
          <t>VÄSTERNORRLANDS LÄN</t>
        </is>
      </c>
      <c r="E654" t="inlineStr">
        <is>
          <t>ÅNGE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35650-2024</t>
        </is>
      </c>
      <c r="B655" s="1" t="n">
        <v>45532.34123842593</v>
      </c>
      <c r="C655" s="1" t="n">
        <v>46032</v>
      </c>
      <c r="D655" t="inlineStr">
        <is>
          <t>VÄSTERNORRLANDS LÄN</t>
        </is>
      </c>
      <c r="E655" t="inlineStr">
        <is>
          <t>ÅNGE</t>
        </is>
      </c>
      <c r="G655" t="n">
        <v>3.8</v>
      </c>
      <c r="H655" t="n">
        <v>0</v>
      </c>
      <c r="I655" t="n">
        <v>0</v>
      </c>
      <c r="J655" t="n">
        <v>0</v>
      </c>
      <c r="K655" t="n">
        <v>0</v>
      </c>
      <c r="L655" t="n">
        <v>0</v>
      </c>
      <c r="M655" t="n">
        <v>0</v>
      </c>
      <c r="N655" t="n">
        <v>0</v>
      </c>
      <c r="O655" t="n">
        <v>0</v>
      </c>
      <c r="P655" t="n">
        <v>0</v>
      </c>
      <c r="Q655" t="n">
        <v>0</v>
      </c>
      <c r="R655" s="2" t="inlineStr"/>
    </row>
    <row r="656" ht="15" customHeight="1">
      <c r="A656" t="inlineStr">
        <is>
          <t>A 28143-2025</t>
        </is>
      </c>
      <c r="B656" s="1" t="n">
        <v>45818.34546296296</v>
      </c>
      <c r="C656" s="1" t="n">
        <v>46032</v>
      </c>
      <c r="D656" t="inlineStr">
        <is>
          <t>VÄSTERNORRLANDS LÄN</t>
        </is>
      </c>
      <c r="E656" t="inlineStr">
        <is>
          <t>ÅNGE</t>
        </is>
      </c>
      <c r="F656" t="inlineStr">
        <is>
          <t>SCA</t>
        </is>
      </c>
      <c r="G656" t="n">
        <v>6.8</v>
      </c>
      <c r="H656" t="n">
        <v>0</v>
      </c>
      <c r="I656" t="n">
        <v>0</v>
      </c>
      <c r="J656" t="n">
        <v>0</v>
      </c>
      <c r="K656" t="n">
        <v>0</v>
      </c>
      <c r="L656" t="n">
        <v>0</v>
      </c>
      <c r="M656" t="n">
        <v>0</v>
      </c>
      <c r="N656" t="n">
        <v>0</v>
      </c>
      <c r="O656" t="n">
        <v>0</v>
      </c>
      <c r="P656" t="n">
        <v>0</v>
      </c>
      <c r="Q656" t="n">
        <v>0</v>
      </c>
      <c r="R656" s="2" t="inlineStr"/>
    </row>
    <row r="657" ht="15" customHeight="1">
      <c r="A657" t="inlineStr">
        <is>
          <t>A 19709-2025</t>
        </is>
      </c>
      <c r="B657" s="1" t="n">
        <v>45771.34263888889</v>
      </c>
      <c r="C657" s="1" t="n">
        <v>46032</v>
      </c>
      <c r="D657" t="inlineStr">
        <is>
          <t>VÄSTERNORRLANDS LÄN</t>
        </is>
      </c>
      <c r="E657" t="inlineStr">
        <is>
          <t>ÅNGE</t>
        </is>
      </c>
      <c r="G657" t="n">
        <v>3.8</v>
      </c>
      <c r="H657" t="n">
        <v>0</v>
      </c>
      <c r="I657" t="n">
        <v>0</v>
      </c>
      <c r="J657" t="n">
        <v>0</v>
      </c>
      <c r="K657" t="n">
        <v>0</v>
      </c>
      <c r="L657" t="n">
        <v>0</v>
      </c>
      <c r="M657" t="n">
        <v>0</v>
      </c>
      <c r="N657" t="n">
        <v>0</v>
      </c>
      <c r="O657" t="n">
        <v>0</v>
      </c>
      <c r="P657" t="n">
        <v>0</v>
      </c>
      <c r="Q657" t="n">
        <v>0</v>
      </c>
      <c r="R657" s="2" t="inlineStr"/>
    </row>
    <row r="658" ht="15" customHeight="1">
      <c r="A658" t="inlineStr">
        <is>
          <t>A 28404-2025</t>
        </is>
      </c>
      <c r="B658" s="1" t="n">
        <v>45819.34532407407</v>
      </c>
      <c r="C658" s="1" t="n">
        <v>46032</v>
      </c>
      <c r="D658" t="inlineStr">
        <is>
          <t>VÄSTERNORRLANDS LÄN</t>
        </is>
      </c>
      <c r="E658" t="inlineStr">
        <is>
          <t>ÅNGE</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29153-2025</t>
        </is>
      </c>
      <c r="B659" s="1" t="n">
        <v>45821.63574074074</v>
      </c>
      <c r="C659" s="1" t="n">
        <v>46032</v>
      </c>
      <c r="D659" t="inlineStr">
        <is>
          <t>VÄSTERNORRLANDS LÄN</t>
        </is>
      </c>
      <c r="E659" t="inlineStr">
        <is>
          <t>ÅNGE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28896-2025</t>
        </is>
      </c>
      <c r="B660" s="1" t="n">
        <v>45820.63584490741</v>
      </c>
      <c r="C660" s="1" t="n">
        <v>46032</v>
      </c>
      <c r="D660" t="inlineStr">
        <is>
          <t>VÄSTERNORRLANDS LÄN</t>
        </is>
      </c>
      <c r="E660" t="inlineStr">
        <is>
          <t>ÅNGE</t>
        </is>
      </c>
      <c r="F660" t="inlineStr">
        <is>
          <t>SCA</t>
        </is>
      </c>
      <c r="G660" t="n">
        <v>4.4</v>
      </c>
      <c r="H660" t="n">
        <v>0</v>
      </c>
      <c r="I660" t="n">
        <v>0</v>
      </c>
      <c r="J660" t="n">
        <v>0</v>
      </c>
      <c r="K660" t="n">
        <v>0</v>
      </c>
      <c r="L660" t="n">
        <v>0</v>
      </c>
      <c r="M660" t="n">
        <v>0</v>
      </c>
      <c r="N660" t="n">
        <v>0</v>
      </c>
      <c r="O660" t="n">
        <v>0</v>
      </c>
      <c r="P660" t="n">
        <v>0</v>
      </c>
      <c r="Q660" t="n">
        <v>0</v>
      </c>
      <c r="R660" s="2" t="inlineStr"/>
    </row>
    <row r="661" ht="15" customHeight="1">
      <c r="A661" t="inlineStr">
        <is>
          <t>A 51857-2025</t>
        </is>
      </c>
      <c r="B661" s="1" t="n">
        <v>45952.36506944444</v>
      </c>
      <c r="C661" s="1" t="n">
        <v>46032</v>
      </c>
      <c r="D661" t="inlineStr">
        <is>
          <t>VÄSTERNORRLANDS LÄN</t>
        </is>
      </c>
      <c r="E661" t="inlineStr">
        <is>
          <t>ÅNGE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28814-2025</t>
        </is>
      </c>
      <c r="B662" s="1" t="n">
        <v>45820.52846064815</v>
      </c>
      <c r="C662" s="1" t="n">
        <v>46032</v>
      </c>
      <c r="D662" t="inlineStr">
        <is>
          <t>VÄSTERNORRLANDS LÄN</t>
        </is>
      </c>
      <c r="E662" t="inlineStr">
        <is>
          <t>ÅNGE</t>
        </is>
      </c>
      <c r="G662" t="n">
        <v>2.6</v>
      </c>
      <c r="H662" t="n">
        <v>0</v>
      </c>
      <c r="I662" t="n">
        <v>0</v>
      </c>
      <c r="J662" t="n">
        <v>0</v>
      </c>
      <c r="K662" t="n">
        <v>0</v>
      </c>
      <c r="L662" t="n">
        <v>0</v>
      </c>
      <c r="M662" t="n">
        <v>0</v>
      </c>
      <c r="N662" t="n">
        <v>0</v>
      </c>
      <c r="O662" t="n">
        <v>0</v>
      </c>
      <c r="P662" t="n">
        <v>0</v>
      </c>
      <c r="Q662" t="n">
        <v>0</v>
      </c>
      <c r="R662" s="2" t="inlineStr"/>
    </row>
    <row r="663" ht="15" customHeight="1">
      <c r="A663" t="inlineStr">
        <is>
          <t>A 44919-2025</t>
        </is>
      </c>
      <c r="B663" s="1" t="n">
        <v>45918.55246527777</v>
      </c>
      <c r="C663" s="1" t="n">
        <v>46032</v>
      </c>
      <c r="D663" t="inlineStr">
        <is>
          <t>VÄSTERNORRLANDS LÄN</t>
        </is>
      </c>
      <c r="E663" t="inlineStr">
        <is>
          <t>ÅNGE</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44935-2025</t>
        </is>
      </c>
      <c r="B664" s="1" t="n">
        <v>45918.57392361111</v>
      </c>
      <c r="C664" s="1" t="n">
        <v>46032</v>
      </c>
      <c r="D664" t="inlineStr">
        <is>
          <t>VÄSTERNORRLANDS LÄN</t>
        </is>
      </c>
      <c r="E664" t="inlineStr">
        <is>
          <t>ÅNGE</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60286-2025</t>
        </is>
      </c>
      <c r="B665" s="1" t="n">
        <v>45994.64612268518</v>
      </c>
      <c r="C665" s="1" t="n">
        <v>46032</v>
      </c>
      <c r="D665" t="inlineStr">
        <is>
          <t>VÄSTERNORRLANDS LÄN</t>
        </is>
      </c>
      <c r="E665" t="inlineStr">
        <is>
          <t>ÅNGE</t>
        </is>
      </c>
      <c r="G665" t="n">
        <v>0.7</v>
      </c>
      <c r="H665" t="n">
        <v>0</v>
      </c>
      <c r="I665" t="n">
        <v>0</v>
      </c>
      <c r="J665" t="n">
        <v>0</v>
      </c>
      <c r="K665" t="n">
        <v>0</v>
      </c>
      <c r="L665" t="n">
        <v>0</v>
      </c>
      <c r="M665" t="n">
        <v>0</v>
      </c>
      <c r="N665" t="n">
        <v>0</v>
      </c>
      <c r="O665" t="n">
        <v>0</v>
      </c>
      <c r="P665" t="n">
        <v>0</v>
      </c>
      <c r="Q665" t="n">
        <v>0</v>
      </c>
      <c r="R665" s="2" t="inlineStr"/>
    </row>
    <row r="666" ht="15" customHeight="1">
      <c r="A666" t="inlineStr">
        <is>
          <t>A 28717-2025</t>
        </is>
      </c>
      <c r="B666" s="1" t="n">
        <v>45820</v>
      </c>
      <c r="C666" s="1" t="n">
        <v>46032</v>
      </c>
      <c r="D666" t="inlineStr">
        <is>
          <t>VÄSTERNORRLANDS LÄN</t>
        </is>
      </c>
      <c r="E666" t="inlineStr">
        <is>
          <t>ÅNGE</t>
        </is>
      </c>
      <c r="F666" t="inlineStr">
        <is>
          <t>SCA</t>
        </is>
      </c>
      <c r="G666" t="n">
        <v>6.2</v>
      </c>
      <c r="H666" t="n">
        <v>0</v>
      </c>
      <c r="I666" t="n">
        <v>0</v>
      </c>
      <c r="J666" t="n">
        <v>0</v>
      </c>
      <c r="K666" t="n">
        <v>0</v>
      </c>
      <c r="L666" t="n">
        <v>0</v>
      </c>
      <c r="M666" t="n">
        <v>0</v>
      </c>
      <c r="N666" t="n">
        <v>0</v>
      </c>
      <c r="O666" t="n">
        <v>0</v>
      </c>
      <c r="P666" t="n">
        <v>0</v>
      </c>
      <c r="Q666" t="n">
        <v>0</v>
      </c>
      <c r="R666" s="2" t="inlineStr"/>
    </row>
    <row r="667" ht="15" customHeight="1">
      <c r="A667" t="inlineStr">
        <is>
          <t>A 11531-2023</t>
        </is>
      </c>
      <c r="B667" s="1" t="n">
        <v>44993.77038194444</v>
      </c>
      <c r="C667" s="1" t="n">
        <v>46032</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11532-2023</t>
        </is>
      </c>
      <c r="B668" s="1" t="n">
        <v>44993.77212962963</v>
      </c>
      <c r="C668" s="1" t="n">
        <v>46032</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45459-2022</t>
        </is>
      </c>
      <c r="B669" s="1" t="n">
        <v>44845</v>
      </c>
      <c r="C669" s="1" t="n">
        <v>46032</v>
      </c>
      <c r="D669" t="inlineStr">
        <is>
          <t>VÄSTERNORRLANDS LÄN</t>
        </is>
      </c>
      <c r="E669" t="inlineStr">
        <is>
          <t>ÅNGE</t>
        </is>
      </c>
      <c r="G669" t="n">
        <v>0.9</v>
      </c>
      <c r="H669" t="n">
        <v>0</v>
      </c>
      <c r="I669" t="n">
        <v>0</v>
      </c>
      <c r="J669" t="n">
        <v>0</v>
      </c>
      <c r="K669" t="n">
        <v>0</v>
      </c>
      <c r="L669" t="n">
        <v>0</v>
      </c>
      <c r="M669" t="n">
        <v>0</v>
      </c>
      <c r="N669" t="n">
        <v>0</v>
      </c>
      <c r="O669" t="n">
        <v>0</v>
      </c>
      <c r="P669" t="n">
        <v>0</v>
      </c>
      <c r="Q669" t="n">
        <v>0</v>
      </c>
      <c r="R669" s="2" t="inlineStr"/>
    </row>
    <row r="670" ht="15" customHeight="1">
      <c r="A670" t="inlineStr">
        <is>
          <t>A 41758-2024</t>
        </is>
      </c>
      <c r="B670" s="1" t="n">
        <v>45561.34478009259</v>
      </c>
      <c r="C670" s="1" t="n">
        <v>46032</v>
      </c>
      <c r="D670" t="inlineStr">
        <is>
          <t>VÄSTERNORRLANDS LÄN</t>
        </is>
      </c>
      <c r="E670" t="inlineStr">
        <is>
          <t>ÅNGE</t>
        </is>
      </c>
      <c r="F670" t="inlineStr">
        <is>
          <t>SCA</t>
        </is>
      </c>
      <c r="G670" t="n">
        <v>4.2</v>
      </c>
      <c r="H670" t="n">
        <v>0</v>
      </c>
      <c r="I670" t="n">
        <v>0</v>
      </c>
      <c r="J670" t="n">
        <v>0</v>
      </c>
      <c r="K670" t="n">
        <v>0</v>
      </c>
      <c r="L670" t="n">
        <v>0</v>
      </c>
      <c r="M670" t="n">
        <v>0</v>
      </c>
      <c r="N670" t="n">
        <v>0</v>
      </c>
      <c r="O670" t="n">
        <v>0</v>
      </c>
      <c r="P670" t="n">
        <v>0</v>
      </c>
      <c r="Q670" t="n">
        <v>0</v>
      </c>
      <c r="R670" s="2" t="inlineStr"/>
    </row>
    <row r="671" ht="15" customHeight="1">
      <c r="A671" t="inlineStr">
        <is>
          <t>A 9759-2024</t>
        </is>
      </c>
      <c r="B671" s="1" t="n">
        <v>45362</v>
      </c>
      <c r="C671" s="1" t="n">
        <v>46032</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55328-2023</t>
        </is>
      </c>
      <c r="B672" s="1" t="n">
        <v>45237</v>
      </c>
      <c r="C672" s="1" t="n">
        <v>46032</v>
      </c>
      <c r="D672" t="inlineStr">
        <is>
          <t>VÄSTERNORRLANDS LÄN</t>
        </is>
      </c>
      <c r="E672" t="inlineStr">
        <is>
          <t>ÅNGE</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28819-2025</t>
        </is>
      </c>
      <c r="B673" s="1" t="n">
        <v>45820.53758101852</v>
      </c>
      <c r="C673" s="1" t="n">
        <v>46032</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28845-2025</t>
        </is>
      </c>
      <c r="B674" s="1" t="n">
        <v>45820.57324074074</v>
      </c>
      <c r="C674" s="1" t="n">
        <v>46032</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29786-2025</t>
        </is>
      </c>
      <c r="B675" s="1" t="n">
        <v>45825.65663194445</v>
      </c>
      <c r="C675" s="1" t="n">
        <v>46032</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5369-2022</t>
        </is>
      </c>
      <c r="B676" s="1" t="n">
        <v>44594.92113425926</v>
      </c>
      <c r="C676" s="1" t="n">
        <v>46032</v>
      </c>
      <c r="D676" t="inlineStr">
        <is>
          <t>VÄSTERNORRLANDS LÄN</t>
        </is>
      </c>
      <c r="E676" t="inlineStr">
        <is>
          <t>ÅNGE</t>
        </is>
      </c>
      <c r="G676" t="n">
        <v>1.3</v>
      </c>
      <c r="H676" t="n">
        <v>0</v>
      </c>
      <c r="I676" t="n">
        <v>0</v>
      </c>
      <c r="J676" t="n">
        <v>0</v>
      </c>
      <c r="K676" t="n">
        <v>0</v>
      </c>
      <c r="L676" t="n">
        <v>0</v>
      </c>
      <c r="M676" t="n">
        <v>0</v>
      </c>
      <c r="N676" t="n">
        <v>0</v>
      </c>
      <c r="O676" t="n">
        <v>0</v>
      </c>
      <c r="P676" t="n">
        <v>0</v>
      </c>
      <c r="Q676" t="n">
        <v>0</v>
      </c>
      <c r="R676" s="2" t="inlineStr"/>
    </row>
    <row r="677" ht="15" customHeight="1">
      <c r="A677" t="inlineStr">
        <is>
          <t>A 29350-2025</t>
        </is>
      </c>
      <c r="B677" s="1" t="n">
        <v>45824.53206018519</v>
      </c>
      <c r="C677" s="1" t="n">
        <v>46032</v>
      </c>
      <c r="D677" t="inlineStr">
        <is>
          <t>VÄSTERNORRLANDS LÄN</t>
        </is>
      </c>
      <c r="E677" t="inlineStr">
        <is>
          <t>ÅNGE</t>
        </is>
      </c>
      <c r="G677" t="n">
        <v>8.6</v>
      </c>
      <c r="H677" t="n">
        <v>0</v>
      </c>
      <c r="I677" t="n">
        <v>0</v>
      </c>
      <c r="J677" t="n">
        <v>0</v>
      </c>
      <c r="K677" t="n">
        <v>0</v>
      </c>
      <c r="L677" t="n">
        <v>0</v>
      </c>
      <c r="M677" t="n">
        <v>0</v>
      </c>
      <c r="N677" t="n">
        <v>0</v>
      </c>
      <c r="O677" t="n">
        <v>0</v>
      </c>
      <c r="P677" t="n">
        <v>0</v>
      </c>
      <c r="Q677" t="n">
        <v>0</v>
      </c>
      <c r="R677" s="2" t="inlineStr"/>
    </row>
    <row r="678" ht="15" customHeight="1">
      <c r="A678" t="inlineStr">
        <is>
          <t>A 213-2024</t>
        </is>
      </c>
      <c r="B678" s="1" t="n">
        <v>45293</v>
      </c>
      <c r="C678" s="1" t="n">
        <v>46032</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45403-2025</t>
        </is>
      </c>
      <c r="B679" s="1" t="n">
        <v>45922.42803240741</v>
      </c>
      <c r="C679" s="1" t="n">
        <v>46032</v>
      </c>
      <c r="D679" t="inlineStr">
        <is>
          <t>VÄSTERNORRLANDS LÄN</t>
        </is>
      </c>
      <c r="E679" t="inlineStr">
        <is>
          <t>ÅNGE</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60278-2025</t>
        </is>
      </c>
      <c r="B680" s="1" t="n">
        <v>45994.63739583334</v>
      </c>
      <c r="C680" s="1" t="n">
        <v>46032</v>
      </c>
      <c r="D680" t="inlineStr">
        <is>
          <t>VÄSTERNORRLANDS LÄN</t>
        </is>
      </c>
      <c r="E680" t="inlineStr">
        <is>
          <t>ÅNGE</t>
        </is>
      </c>
      <c r="G680" t="n">
        <v>1.2</v>
      </c>
      <c r="H680" t="n">
        <v>0</v>
      </c>
      <c r="I680" t="n">
        <v>0</v>
      </c>
      <c r="J680" t="n">
        <v>0</v>
      </c>
      <c r="K680" t="n">
        <v>0</v>
      </c>
      <c r="L680" t="n">
        <v>0</v>
      </c>
      <c r="M680" t="n">
        <v>0</v>
      </c>
      <c r="N680" t="n">
        <v>0</v>
      </c>
      <c r="O680" t="n">
        <v>0</v>
      </c>
      <c r="P680" t="n">
        <v>0</v>
      </c>
      <c r="Q680" t="n">
        <v>0</v>
      </c>
      <c r="R680" s="2" t="inlineStr"/>
    </row>
    <row r="681" ht="15" customHeight="1">
      <c r="A681" t="inlineStr">
        <is>
          <t>A 60342-2025</t>
        </is>
      </c>
      <c r="B681" s="1" t="n">
        <v>45994.86804398148</v>
      </c>
      <c r="C681" s="1" t="n">
        <v>46032</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51813-2025</t>
        </is>
      </c>
      <c r="B682" s="1" t="n">
        <v>45951.83082175926</v>
      </c>
      <c r="C682" s="1" t="n">
        <v>46032</v>
      </c>
      <c r="D682" t="inlineStr">
        <is>
          <t>VÄSTERNORRLANDS LÄN</t>
        </is>
      </c>
      <c r="E682" t="inlineStr">
        <is>
          <t>ÅNGE</t>
        </is>
      </c>
      <c r="G682" t="n">
        <v>2.5</v>
      </c>
      <c r="H682" t="n">
        <v>0</v>
      </c>
      <c r="I682" t="n">
        <v>0</v>
      </c>
      <c r="J682" t="n">
        <v>0</v>
      </c>
      <c r="K682" t="n">
        <v>0</v>
      </c>
      <c r="L682" t="n">
        <v>0</v>
      </c>
      <c r="M682" t="n">
        <v>0</v>
      </c>
      <c r="N682" t="n">
        <v>0</v>
      </c>
      <c r="O682" t="n">
        <v>0</v>
      </c>
      <c r="P682" t="n">
        <v>0</v>
      </c>
      <c r="Q682" t="n">
        <v>0</v>
      </c>
      <c r="R682" s="2" t="inlineStr"/>
    </row>
    <row r="683" ht="15" customHeight="1">
      <c r="A683" t="inlineStr">
        <is>
          <t>A 4872-2025</t>
        </is>
      </c>
      <c r="B683" s="1" t="n">
        <v>45688.67619212963</v>
      </c>
      <c r="C683" s="1" t="n">
        <v>46032</v>
      </c>
      <c r="D683" t="inlineStr">
        <is>
          <t>VÄSTERNORRLANDS LÄN</t>
        </is>
      </c>
      <c r="E683" t="inlineStr">
        <is>
          <t>ÅNGE</t>
        </is>
      </c>
      <c r="F683" t="inlineStr">
        <is>
          <t>SCA</t>
        </is>
      </c>
      <c r="G683" t="n">
        <v>31.3</v>
      </c>
      <c r="H683" t="n">
        <v>0</v>
      </c>
      <c r="I683" t="n">
        <v>0</v>
      </c>
      <c r="J683" t="n">
        <v>0</v>
      </c>
      <c r="K683" t="n">
        <v>0</v>
      </c>
      <c r="L683" t="n">
        <v>0</v>
      </c>
      <c r="M683" t="n">
        <v>0</v>
      </c>
      <c r="N683" t="n">
        <v>0</v>
      </c>
      <c r="O683" t="n">
        <v>0</v>
      </c>
      <c r="P683" t="n">
        <v>0</v>
      </c>
      <c r="Q683" t="n">
        <v>0</v>
      </c>
      <c r="R683" s="2" t="inlineStr"/>
      <c r="U683">
        <f>HYPERLINK("https://klasma.github.io/Logging_2260/knärot/A 4872-2025 karta knärot.png", "A 4872-2025")</f>
        <v/>
      </c>
      <c r="V683">
        <f>HYPERLINK("https://klasma.github.io/Logging_2260/klagomål/A 4872-2025 FSC-klagomål.docx", "A 4872-2025")</f>
        <v/>
      </c>
      <c r="W683">
        <f>HYPERLINK("https://klasma.github.io/Logging_2260/klagomålsmail/A 4872-2025 FSC-klagomål mail.docx", "A 4872-2025")</f>
        <v/>
      </c>
      <c r="X683">
        <f>HYPERLINK("https://klasma.github.io/Logging_2260/tillsyn/A 4872-2025 tillsynsbegäran.docx", "A 4872-2025")</f>
        <v/>
      </c>
      <c r="Y683">
        <f>HYPERLINK("https://klasma.github.io/Logging_2260/tillsynsmail/A 4872-2025 tillsynsbegäran mail.docx", "A 4872-2025")</f>
        <v/>
      </c>
    </row>
    <row r="684" ht="15" customHeight="1">
      <c r="A684" t="inlineStr">
        <is>
          <t>A 45401-2025</t>
        </is>
      </c>
      <c r="B684" s="1" t="n">
        <v>45922.42767361111</v>
      </c>
      <c r="C684" s="1" t="n">
        <v>46032</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29560-2025</t>
        </is>
      </c>
      <c r="B685" s="1" t="n">
        <v>45825.36497685185</v>
      </c>
      <c r="C685" s="1" t="n">
        <v>46032</v>
      </c>
      <c r="D685" t="inlineStr">
        <is>
          <t>VÄSTERNORRLANDS LÄN</t>
        </is>
      </c>
      <c r="E685" t="inlineStr">
        <is>
          <t>ÅNGE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35426-2024</t>
        </is>
      </c>
      <c r="B686" s="1" t="n">
        <v>45531</v>
      </c>
      <c r="C686" s="1" t="n">
        <v>46032</v>
      </c>
      <c r="D686" t="inlineStr">
        <is>
          <t>VÄSTERNORRLANDS LÄN</t>
        </is>
      </c>
      <c r="E686" t="inlineStr">
        <is>
          <t>ÅNGE</t>
        </is>
      </c>
      <c r="F686" t="inlineStr">
        <is>
          <t>SCA</t>
        </is>
      </c>
      <c r="G686" t="n">
        <v>10.9</v>
      </c>
      <c r="H686" t="n">
        <v>0</v>
      </c>
      <c r="I686" t="n">
        <v>0</v>
      </c>
      <c r="J686" t="n">
        <v>0</v>
      </c>
      <c r="K686" t="n">
        <v>0</v>
      </c>
      <c r="L686" t="n">
        <v>0</v>
      </c>
      <c r="M686" t="n">
        <v>0</v>
      </c>
      <c r="N686" t="n">
        <v>0</v>
      </c>
      <c r="O686" t="n">
        <v>0</v>
      </c>
      <c r="P686" t="n">
        <v>0</v>
      </c>
      <c r="Q686" t="n">
        <v>0</v>
      </c>
      <c r="R686" s="2" t="inlineStr"/>
    </row>
    <row r="687" ht="15" customHeight="1">
      <c r="A687" t="inlineStr">
        <is>
          <t>A 35488-2024</t>
        </is>
      </c>
      <c r="B687" s="1" t="n">
        <v>45531</v>
      </c>
      <c r="C687" s="1" t="n">
        <v>46032</v>
      </c>
      <c r="D687" t="inlineStr">
        <is>
          <t>VÄSTERNORRLANDS LÄN</t>
        </is>
      </c>
      <c r="E687" t="inlineStr">
        <is>
          <t>ÅNGE</t>
        </is>
      </c>
      <c r="G687" t="n">
        <v>2.4</v>
      </c>
      <c r="H687" t="n">
        <v>0</v>
      </c>
      <c r="I687" t="n">
        <v>0</v>
      </c>
      <c r="J687" t="n">
        <v>0</v>
      </c>
      <c r="K687" t="n">
        <v>0</v>
      </c>
      <c r="L687" t="n">
        <v>0</v>
      </c>
      <c r="M687" t="n">
        <v>0</v>
      </c>
      <c r="N687" t="n">
        <v>0</v>
      </c>
      <c r="O687" t="n">
        <v>0</v>
      </c>
      <c r="P687" t="n">
        <v>0</v>
      </c>
      <c r="Q687" t="n">
        <v>0</v>
      </c>
      <c r="R687" s="2" t="inlineStr"/>
    </row>
    <row r="688" ht="15" customHeight="1">
      <c r="A688" t="inlineStr">
        <is>
          <t>A 3347-2024</t>
        </is>
      </c>
      <c r="B688" s="1" t="n">
        <v>45317</v>
      </c>
      <c r="C688" s="1" t="n">
        <v>46032</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45404-2025</t>
        </is>
      </c>
      <c r="B689" s="1" t="n">
        <v>45922.42820601852</v>
      </c>
      <c r="C689" s="1" t="n">
        <v>46032</v>
      </c>
      <c r="D689" t="inlineStr">
        <is>
          <t>VÄSTERNORRLANDS LÄN</t>
        </is>
      </c>
      <c r="E689" t="inlineStr">
        <is>
          <t>ÅNGE</t>
        </is>
      </c>
      <c r="F689" t="inlineStr">
        <is>
          <t>SCA</t>
        </is>
      </c>
      <c r="G689" t="n">
        <v>6.6</v>
      </c>
      <c r="H689" t="n">
        <v>0</v>
      </c>
      <c r="I689" t="n">
        <v>0</v>
      </c>
      <c r="J689" t="n">
        <v>0</v>
      </c>
      <c r="K689" t="n">
        <v>0</v>
      </c>
      <c r="L689" t="n">
        <v>0</v>
      </c>
      <c r="M689" t="n">
        <v>0</v>
      </c>
      <c r="N689" t="n">
        <v>0</v>
      </c>
      <c r="O689" t="n">
        <v>0</v>
      </c>
      <c r="P689" t="n">
        <v>0</v>
      </c>
      <c r="Q689" t="n">
        <v>0</v>
      </c>
      <c r="R689" s="2" t="inlineStr"/>
    </row>
    <row r="690" ht="15" customHeight="1">
      <c r="A690" t="inlineStr">
        <is>
          <t>A 31563-2024</t>
        </is>
      </c>
      <c r="B690" s="1" t="n">
        <v>45505</v>
      </c>
      <c r="C690" s="1" t="n">
        <v>46032</v>
      </c>
      <c r="D690" t="inlineStr">
        <is>
          <t>VÄSTERNORRLANDS LÄN</t>
        </is>
      </c>
      <c r="E690" t="inlineStr">
        <is>
          <t>ÅNGE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45660-2025</t>
        </is>
      </c>
      <c r="B691" s="1" t="n">
        <v>45923.34494212963</v>
      </c>
      <c r="C691" s="1" t="n">
        <v>46032</v>
      </c>
      <c r="D691" t="inlineStr">
        <is>
          <t>VÄSTERNORRLANDS LÄN</t>
        </is>
      </c>
      <c r="E691" t="inlineStr">
        <is>
          <t>ÅNGE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45875-2025</t>
        </is>
      </c>
      <c r="B692" s="1" t="n">
        <v>45923.65690972222</v>
      </c>
      <c r="C692" s="1" t="n">
        <v>46032</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45659-2025</t>
        </is>
      </c>
      <c r="B693" s="1" t="n">
        <v>45923.34471064815</v>
      </c>
      <c r="C693" s="1" t="n">
        <v>46032</v>
      </c>
      <c r="D693" t="inlineStr">
        <is>
          <t>VÄSTERNORRLANDS LÄN</t>
        </is>
      </c>
      <c r="E693" t="inlineStr">
        <is>
          <t>ÅNGE</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60134-2025</t>
        </is>
      </c>
      <c r="B694" s="1" t="n">
        <v>45994.34793981481</v>
      </c>
      <c r="C694" s="1" t="n">
        <v>46032</v>
      </c>
      <c r="D694" t="inlineStr">
        <is>
          <t>VÄSTERNORRLANDS LÄN</t>
        </is>
      </c>
      <c r="E694" t="inlineStr">
        <is>
          <t>ÅNGE</t>
        </is>
      </c>
      <c r="G694" t="n">
        <v>5.1</v>
      </c>
      <c r="H694" t="n">
        <v>0</v>
      </c>
      <c r="I694" t="n">
        <v>0</v>
      </c>
      <c r="J694" t="n">
        <v>0</v>
      </c>
      <c r="K694" t="n">
        <v>0</v>
      </c>
      <c r="L694" t="n">
        <v>0</v>
      </c>
      <c r="M694" t="n">
        <v>0</v>
      </c>
      <c r="N694" t="n">
        <v>0</v>
      </c>
      <c r="O694" t="n">
        <v>0</v>
      </c>
      <c r="P694" t="n">
        <v>0</v>
      </c>
      <c r="Q694" t="n">
        <v>0</v>
      </c>
      <c r="R694" s="2" t="inlineStr"/>
    </row>
    <row r="695" ht="15" customHeight="1">
      <c r="A695" t="inlineStr">
        <is>
          <t>A 46419-2025</t>
        </is>
      </c>
      <c r="B695" s="1" t="n">
        <v>45925.5949537037</v>
      </c>
      <c r="C695" s="1" t="n">
        <v>46032</v>
      </c>
      <c r="D695" t="inlineStr">
        <is>
          <t>VÄSTERNORRLANDS LÄN</t>
        </is>
      </c>
      <c r="E695" t="inlineStr">
        <is>
          <t>ÅNGE</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46111-2025</t>
        </is>
      </c>
      <c r="B696" s="1" t="n">
        <v>45924.56684027778</v>
      </c>
      <c r="C696" s="1" t="n">
        <v>46032</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46267-2025</t>
        </is>
      </c>
      <c r="B697" s="1" t="n">
        <v>45925.36578703704</v>
      </c>
      <c r="C697" s="1" t="n">
        <v>46032</v>
      </c>
      <c r="D697" t="inlineStr">
        <is>
          <t>VÄSTERNORRLANDS LÄN</t>
        </is>
      </c>
      <c r="E697" t="inlineStr">
        <is>
          <t>ÅNGE</t>
        </is>
      </c>
      <c r="G697" t="n">
        <v>1.9</v>
      </c>
      <c r="H697" t="n">
        <v>0</v>
      </c>
      <c r="I697" t="n">
        <v>0</v>
      </c>
      <c r="J697" t="n">
        <v>0</v>
      </c>
      <c r="K697" t="n">
        <v>0</v>
      </c>
      <c r="L697" t="n">
        <v>0</v>
      </c>
      <c r="M697" t="n">
        <v>0</v>
      </c>
      <c r="N697" t="n">
        <v>0</v>
      </c>
      <c r="O697" t="n">
        <v>0</v>
      </c>
      <c r="P697" t="n">
        <v>0</v>
      </c>
      <c r="Q697" t="n">
        <v>0</v>
      </c>
      <c r="R697" s="2" t="inlineStr"/>
    </row>
    <row r="698" ht="15" customHeight="1">
      <c r="A698" t="inlineStr">
        <is>
          <t>A 741-2024</t>
        </is>
      </c>
      <c r="B698" s="1" t="n">
        <v>45300.46591435185</v>
      </c>
      <c r="C698" s="1" t="n">
        <v>46032</v>
      </c>
      <c r="D698" t="inlineStr">
        <is>
          <t>VÄSTERNORRLANDS LÄN</t>
        </is>
      </c>
      <c r="E698" t="inlineStr">
        <is>
          <t>ÅNGE</t>
        </is>
      </c>
      <c r="G698" t="n">
        <v>8</v>
      </c>
      <c r="H698" t="n">
        <v>0</v>
      </c>
      <c r="I698" t="n">
        <v>0</v>
      </c>
      <c r="J698" t="n">
        <v>0</v>
      </c>
      <c r="K698" t="n">
        <v>0</v>
      </c>
      <c r="L698" t="n">
        <v>0</v>
      </c>
      <c r="M698" t="n">
        <v>0</v>
      </c>
      <c r="N698" t="n">
        <v>0</v>
      </c>
      <c r="O698" t="n">
        <v>0</v>
      </c>
      <c r="P698" t="n">
        <v>0</v>
      </c>
      <c r="Q698" t="n">
        <v>0</v>
      </c>
      <c r="R698" s="2" t="inlineStr"/>
    </row>
    <row r="699" ht="15" customHeight="1">
      <c r="A699" t="inlineStr">
        <is>
          <t>A 48369-2024</t>
        </is>
      </c>
      <c r="B699" s="1" t="n">
        <v>45590.57960648148</v>
      </c>
      <c r="C699" s="1" t="n">
        <v>46032</v>
      </c>
      <c r="D699" t="inlineStr">
        <is>
          <t>VÄSTERNORRLANDS LÄN</t>
        </is>
      </c>
      <c r="E699" t="inlineStr">
        <is>
          <t>ÅNGE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29862-2025</t>
        </is>
      </c>
      <c r="B700" s="1" t="n">
        <v>45826.3465625</v>
      </c>
      <c r="C700" s="1" t="n">
        <v>46032</v>
      </c>
      <c r="D700" t="inlineStr">
        <is>
          <t>VÄSTERNORRLANDS LÄN</t>
        </is>
      </c>
      <c r="E700" t="inlineStr">
        <is>
          <t>ÅNGE</t>
        </is>
      </c>
      <c r="G700" t="n">
        <v>0.8</v>
      </c>
      <c r="H700" t="n">
        <v>0</v>
      </c>
      <c r="I700" t="n">
        <v>0</v>
      </c>
      <c r="J700" t="n">
        <v>0</v>
      </c>
      <c r="K700" t="n">
        <v>0</v>
      </c>
      <c r="L700" t="n">
        <v>0</v>
      </c>
      <c r="M700" t="n">
        <v>0</v>
      </c>
      <c r="N700" t="n">
        <v>0</v>
      </c>
      <c r="O700" t="n">
        <v>0</v>
      </c>
      <c r="P700" t="n">
        <v>0</v>
      </c>
      <c r="Q700" t="n">
        <v>0</v>
      </c>
      <c r="R700" s="2" t="inlineStr"/>
    </row>
    <row r="701" ht="15" customHeight="1">
      <c r="A701" t="inlineStr">
        <is>
          <t>A 29882-2025</t>
        </is>
      </c>
      <c r="B701" s="1" t="n">
        <v>45826.36548611111</v>
      </c>
      <c r="C701" s="1" t="n">
        <v>46032</v>
      </c>
      <c r="D701" t="inlineStr">
        <is>
          <t>VÄSTERNORRLANDS LÄN</t>
        </is>
      </c>
      <c r="E701" t="inlineStr">
        <is>
          <t>ÅNGE</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46416-2025</t>
        </is>
      </c>
      <c r="B702" s="1" t="n">
        <v>45925.594375</v>
      </c>
      <c r="C702" s="1" t="n">
        <v>46032</v>
      </c>
      <c r="D702" t="inlineStr">
        <is>
          <t>VÄSTERNORRLANDS LÄN</t>
        </is>
      </c>
      <c r="E702" t="inlineStr">
        <is>
          <t>ÅNGE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29916-2025</t>
        </is>
      </c>
      <c r="B703" s="1" t="n">
        <v>45826.41822916667</v>
      </c>
      <c r="C703" s="1" t="n">
        <v>46032</v>
      </c>
      <c r="D703" t="inlineStr">
        <is>
          <t>VÄSTERNORRLANDS LÄN</t>
        </is>
      </c>
      <c r="E703" t="inlineStr">
        <is>
          <t>ÅNGE</t>
        </is>
      </c>
      <c r="G703" t="n">
        <v>3.4</v>
      </c>
      <c r="H703" t="n">
        <v>0</v>
      </c>
      <c r="I703" t="n">
        <v>0</v>
      </c>
      <c r="J703" t="n">
        <v>0</v>
      </c>
      <c r="K703" t="n">
        <v>0</v>
      </c>
      <c r="L703" t="n">
        <v>0</v>
      </c>
      <c r="M703" t="n">
        <v>0</v>
      </c>
      <c r="N703" t="n">
        <v>0</v>
      </c>
      <c r="O703" t="n">
        <v>0</v>
      </c>
      <c r="P703" t="n">
        <v>0</v>
      </c>
      <c r="Q703" t="n">
        <v>0</v>
      </c>
      <c r="R703" s="2" t="inlineStr"/>
    </row>
    <row r="704" ht="15" customHeight="1">
      <c r="A704" t="inlineStr">
        <is>
          <t>A 16524-2025</t>
        </is>
      </c>
      <c r="B704" s="1" t="n">
        <v>45751.64310185185</v>
      </c>
      <c r="C704" s="1" t="n">
        <v>46032</v>
      </c>
      <c r="D704" t="inlineStr">
        <is>
          <t>VÄSTERNORRLANDS LÄN</t>
        </is>
      </c>
      <c r="E704" t="inlineStr">
        <is>
          <t>ÅNGE</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52683-2024</t>
        </is>
      </c>
      <c r="B705" s="1" t="n">
        <v>45610</v>
      </c>
      <c r="C705" s="1" t="n">
        <v>46032</v>
      </c>
      <c r="D705" t="inlineStr">
        <is>
          <t>VÄSTERNORRLANDS LÄN</t>
        </is>
      </c>
      <c r="E705" t="inlineStr">
        <is>
          <t>ÅNGE</t>
        </is>
      </c>
      <c r="G705" t="n">
        <v>1.8</v>
      </c>
      <c r="H705" t="n">
        <v>0</v>
      </c>
      <c r="I705" t="n">
        <v>0</v>
      </c>
      <c r="J705" t="n">
        <v>0</v>
      </c>
      <c r="K705" t="n">
        <v>0</v>
      </c>
      <c r="L705" t="n">
        <v>0</v>
      </c>
      <c r="M705" t="n">
        <v>0</v>
      </c>
      <c r="N705" t="n">
        <v>0</v>
      </c>
      <c r="O705" t="n">
        <v>0</v>
      </c>
      <c r="P705" t="n">
        <v>0</v>
      </c>
      <c r="Q705" t="n">
        <v>0</v>
      </c>
      <c r="R705" s="2" t="inlineStr"/>
    </row>
    <row r="706" ht="15" customHeight="1">
      <c r="A706" t="inlineStr">
        <is>
          <t>A 40790-2023</t>
        </is>
      </c>
      <c r="B706" s="1" t="n">
        <v>45170.95814814815</v>
      </c>
      <c r="C706" s="1" t="n">
        <v>46032</v>
      </c>
      <c r="D706" t="inlineStr">
        <is>
          <t>VÄSTERNORRLANDS LÄN</t>
        </is>
      </c>
      <c r="E706" t="inlineStr">
        <is>
          <t>ÅNGE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46109-2025</t>
        </is>
      </c>
      <c r="B707" s="1" t="n">
        <v>45924.5596412037</v>
      </c>
      <c r="C707" s="1" t="n">
        <v>46032</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45970-2025</t>
        </is>
      </c>
      <c r="B708" s="1" t="n">
        <v>45924.36519675926</v>
      </c>
      <c r="C708" s="1" t="n">
        <v>46032</v>
      </c>
      <c r="D708" t="inlineStr">
        <is>
          <t>VÄSTERNORRLANDS LÄN</t>
        </is>
      </c>
      <c r="E708" t="inlineStr">
        <is>
          <t>ÅNGE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38002-2024</t>
        </is>
      </c>
      <c r="B709" s="1" t="n">
        <v>45544.61484953704</v>
      </c>
      <c r="C709" s="1" t="n">
        <v>46032</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30475-2025</t>
        </is>
      </c>
      <c r="B710" s="1" t="n">
        <v>45828.34444444445</v>
      </c>
      <c r="C710" s="1" t="n">
        <v>46032</v>
      </c>
      <c r="D710" t="inlineStr">
        <is>
          <t>VÄSTERNORRLANDS LÄN</t>
        </is>
      </c>
      <c r="E710" t="inlineStr">
        <is>
          <t>ÅNGE</t>
        </is>
      </c>
      <c r="F710" t="inlineStr">
        <is>
          <t>SCA</t>
        </is>
      </c>
      <c r="G710" t="n">
        <v>5.1</v>
      </c>
      <c r="H710" t="n">
        <v>0</v>
      </c>
      <c r="I710" t="n">
        <v>0</v>
      </c>
      <c r="J710" t="n">
        <v>0</v>
      </c>
      <c r="K710" t="n">
        <v>0</v>
      </c>
      <c r="L710" t="n">
        <v>0</v>
      </c>
      <c r="M710" t="n">
        <v>0</v>
      </c>
      <c r="N710" t="n">
        <v>0</v>
      </c>
      <c r="O710" t="n">
        <v>0</v>
      </c>
      <c r="P710" t="n">
        <v>0</v>
      </c>
      <c r="Q710" t="n">
        <v>0</v>
      </c>
      <c r="R710" s="2" t="inlineStr"/>
    </row>
    <row r="711" ht="15" customHeight="1">
      <c r="A711" t="inlineStr">
        <is>
          <t>A 60514-2024</t>
        </is>
      </c>
      <c r="B711" s="1" t="n">
        <v>45643.67474537037</v>
      </c>
      <c r="C711" s="1" t="n">
        <v>46032</v>
      </c>
      <c r="D711" t="inlineStr">
        <is>
          <t>VÄSTERNORRLANDS LÄN</t>
        </is>
      </c>
      <c r="E711" t="inlineStr">
        <is>
          <t>ÅNGE</t>
        </is>
      </c>
      <c r="G711" t="n">
        <v>2.4</v>
      </c>
      <c r="H711" t="n">
        <v>0</v>
      </c>
      <c r="I711" t="n">
        <v>0</v>
      </c>
      <c r="J711" t="n">
        <v>0</v>
      </c>
      <c r="K711" t="n">
        <v>0</v>
      </c>
      <c r="L711" t="n">
        <v>0</v>
      </c>
      <c r="M711" t="n">
        <v>0</v>
      </c>
      <c r="N711" t="n">
        <v>0</v>
      </c>
      <c r="O711" t="n">
        <v>0</v>
      </c>
      <c r="P711" t="n">
        <v>0</v>
      </c>
      <c r="Q711" t="n">
        <v>0</v>
      </c>
      <c r="R711" s="2" t="inlineStr"/>
    </row>
    <row r="712" ht="15" customHeight="1">
      <c r="A712" t="inlineStr">
        <is>
          <t>A 6684-2024</t>
        </is>
      </c>
      <c r="B712" s="1" t="n">
        <v>45341.92555555556</v>
      </c>
      <c r="C712" s="1" t="n">
        <v>46032</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6691-2024</t>
        </is>
      </c>
      <c r="B713" s="1" t="n">
        <v>45341</v>
      </c>
      <c r="C713" s="1" t="n">
        <v>46032</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46933-2025</t>
        </is>
      </c>
      <c r="B714" s="1" t="n">
        <v>45929.44645833333</v>
      </c>
      <c r="C714" s="1" t="n">
        <v>46032</v>
      </c>
      <c r="D714" t="inlineStr">
        <is>
          <t>VÄSTERNORRLANDS LÄN</t>
        </is>
      </c>
      <c r="E714" t="inlineStr">
        <is>
          <t>ÅNGE</t>
        </is>
      </c>
      <c r="G714" t="n">
        <v>1</v>
      </c>
      <c r="H714" t="n">
        <v>0</v>
      </c>
      <c r="I714" t="n">
        <v>0</v>
      </c>
      <c r="J714" t="n">
        <v>0</v>
      </c>
      <c r="K714" t="n">
        <v>0</v>
      </c>
      <c r="L714" t="n">
        <v>0</v>
      </c>
      <c r="M714" t="n">
        <v>0</v>
      </c>
      <c r="N714" t="n">
        <v>0</v>
      </c>
      <c r="O714" t="n">
        <v>0</v>
      </c>
      <c r="P714" t="n">
        <v>0</v>
      </c>
      <c r="Q714" t="n">
        <v>0</v>
      </c>
      <c r="R714" s="2" t="inlineStr"/>
    </row>
    <row r="715" ht="15" customHeight="1">
      <c r="A715" t="inlineStr">
        <is>
          <t>A 30618-2025</t>
        </is>
      </c>
      <c r="B715" s="1" t="n">
        <v>45831.46909722222</v>
      </c>
      <c r="C715" s="1" t="n">
        <v>46032</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30598-2025</t>
        </is>
      </c>
      <c r="B716" s="1" t="n">
        <v>45831.44834490741</v>
      </c>
      <c r="C716" s="1" t="n">
        <v>46032</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46897-2025</t>
        </is>
      </c>
      <c r="B717" s="1" t="n">
        <v>45929.38597222222</v>
      </c>
      <c r="C717" s="1" t="n">
        <v>46032</v>
      </c>
      <c r="D717" t="inlineStr">
        <is>
          <t>VÄSTERNORRLANDS LÄN</t>
        </is>
      </c>
      <c r="E717" t="inlineStr">
        <is>
          <t>ÅNGE</t>
        </is>
      </c>
      <c r="G717" t="n">
        <v>10.6</v>
      </c>
      <c r="H717" t="n">
        <v>0</v>
      </c>
      <c r="I717" t="n">
        <v>0</v>
      </c>
      <c r="J717" t="n">
        <v>0</v>
      </c>
      <c r="K717" t="n">
        <v>0</v>
      </c>
      <c r="L717" t="n">
        <v>0</v>
      </c>
      <c r="M717" t="n">
        <v>0</v>
      </c>
      <c r="N717" t="n">
        <v>0</v>
      </c>
      <c r="O717" t="n">
        <v>0</v>
      </c>
      <c r="P717" t="n">
        <v>0</v>
      </c>
      <c r="Q717" t="n">
        <v>0</v>
      </c>
      <c r="R717" s="2" t="inlineStr"/>
    </row>
    <row r="718" ht="15" customHeight="1">
      <c r="A718" t="inlineStr">
        <is>
          <t>A 30892-2025</t>
        </is>
      </c>
      <c r="B718" s="1" t="n">
        <v>45832.34663194444</v>
      </c>
      <c r="C718" s="1" t="n">
        <v>46032</v>
      </c>
      <c r="D718" t="inlineStr">
        <is>
          <t>VÄSTERNORRLANDS LÄN</t>
        </is>
      </c>
      <c r="E718" t="inlineStr">
        <is>
          <t>ÅNGE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31188-2025</t>
        </is>
      </c>
      <c r="B719" s="1" t="n">
        <v>45832.67842592593</v>
      </c>
      <c r="C719" s="1" t="n">
        <v>46032</v>
      </c>
      <c r="D719" t="inlineStr">
        <is>
          <t>VÄSTERNORRLANDS LÄN</t>
        </is>
      </c>
      <c r="E719" t="inlineStr">
        <is>
          <t>ÅNGE</t>
        </is>
      </c>
      <c r="F719" t="inlineStr">
        <is>
          <t>SCA</t>
        </is>
      </c>
      <c r="G719" t="n">
        <v>14.9</v>
      </c>
      <c r="H719" t="n">
        <v>0</v>
      </c>
      <c r="I719" t="n">
        <v>0</v>
      </c>
      <c r="J719" t="n">
        <v>0</v>
      </c>
      <c r="K719" t="n">
        <v>0</v>
      </c>
      <c r="L719" t="n">
        <v>0</v>
      </c>
      <c r="M719" t="n">
        <v>0</v>
      </c>
      <c r="N719" t="n">
        <v>0</v>
      </c>
      <c r="O719" t="n">
        <v>0</v>
      </c>
      <c r="P719" t="n">
        <v>0</v>
      </c>
      <c r="Q719" t="n">
        <v>0</v>
      </c>
      <c r="R719" s="2" t="inlineStr"/>
    </row>
    <row r="720" ht="15" customHeight="1">
      <c r="A720" t="inlineStr">
        <is>
          <t>A 56874-2024</t>
        </is>
      </c>
      <c r="B720" s="1" t="n">
        <v>45628</v>
      </c>
      <c r="C720" s="1" t="n">
        <v>46032</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58087-2024</t>
        </is>
      </c>
      <c r="B721" s="1" t="n">
        <v>45632.34502314815</v>
      </c>
      <c r="C721" s="1" t="n">
        <v>46032</v>
      </c>
      <c r="D721" t="inlineStr">
        <is>
          <t>VÄSTERNORRLANDS LÄN</t>
        </is>
      </c>
      <c r="E721" t="inlineStr">
        <is>
          <t>ÅNGE</t>
        </is>
      </c>
      <c r="G721" t="n">
        <v>2.6</v>
      </c>
      <c r="H721" t="n">
        <v>0</v>
      </c>
      <c r="I721" t="n">
        <v>0</v>
      </c>
      <c r="J721" t="n">
        <v>0</v>
      </c>
      <c r="K721" t="n">
        <v>0</v>
      </c>
      <c r="L721" t="n">
        <v>0</v>
      </c>
      <c r="M721" t="n">
        <v>0</v>
      </c>
      <c r="N721" t="n">
        <v>0</v>
      </c>
      <c r="O721" t="n">
        <v>0</v>
      </c>
      <c r="P721" t="n">
        <v>0</v>
      </c>
      <c r="Q721" t="n">
        <v>0</v>
      </c>
      <c r="R721" s="2" t="inlineStr"/>
    </row>
    <row r="722" ht="15" customHeight="1">
      <c r="A722" t="inlineStr">
        <is>
          <t>A 31452-2025</t>
        </is>
      </c>
      <c r="B722" s="1" t="n">
        <v>45833.53179398148</v>
      </c>
      <c r="C722" s="1" t="n">
        <v>46032</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31544-2025</t>
        </is>
      </c>
      <c r="B723" s="1" t="n">
        <v>45833.63597222222</v>
      </c>
      <c r="C723" s="1" t="n">
        <v>46032</v>
      </c>
      <c r="D723" t="inlineStr">
        <is>
          <t>VÄSTERNORRLANDS LÄN</t>
        </is>
      </c>
      <c r="E723" t="inlineStr">
        <is>
          <t>ÅNGE</t>
        </is>
      </c>
      <c r="G723" t="n">
        <v>2.1</v>
      </c>
      <c r="H723" t="n">
        <v>0</v>
      </c>
      <c r="I723" t="n">
        <v>0</v>
      </c>
      <c r="J723" t="n">
        <v>0</v>
      </c>
      <c r="K723" t="n">
        <v>0</v>
      </c>
      <c r="L723" t="n">
        <v>0</v>
      </c>
      <c r="M723" t="n">
        <v>0</v>
      </c>
      <c r="N723" t="n">
        <v>0</v>
      </c>
      <c r="O723" t="n">
        <v>0</v>
      </c>
      <c r="P723" t="n">
        <v>0</v>
      </c>
      <c r="Q723" t="n">
        <v>0</v>
      </c>
      <c r="R723" s="2" t="inlineStr"/>
    </row>
    <row r="724" ht="15" customHeight="1">
      <c r="A724" t="inlineStr">
        <is>
          <t>A 31042-2025</t>
        </is>
      </c>
      <c r="B724" s="1" t="n">
        <v>45832.55267361111</v>
      </c>
      <c r="C724" s="1" t="n">
        <v>46032</v>
      </c>
      <c r="D724" t="inlineStr">
        <is>
          <t>VÄSTERNORRLANDS LÄN</t>
        </is>
      </c>
      <c r="E724" t="inlineStr">
        <is>
          <t>ÅNGE</t>
        </is>
      </c>
      <c r="F724" t="inlineStr">
        <is>
          <t>SCA</t>
        </is>
      </c>
      <c r="G724" t="n">
        <v>11.8</v>
      </c>
      <c r="H724" t="n">
        <v>0</v>
      </c>
      <c r="I724" t="n">
        <v>0</v>
      </c>
      <c r="J724" t="n">
        <v>0</v>
      </c>
      <c r="K724" t="n">
        <v>0</v>
      </c>
      <c r="L724" t="n">
        <v>0</v>
      </c>
      <c r="M724" t="n">
        <v>0</v>
      </c>
      <c r="N724" t="n">
        <v>0</v>
      </c>
      <c r="O724" t="n">
        <v>0</v>
      </c>
      <c r="P724" t="n">
        <v>0</v>
      </c>
      <c r="Q724" t="n">
        <v>0</v>
      </c>
      <c r="R724" s="2" t="inlineStr"/>
    </row>
    <row r="725" ht="15" customHeight="1">
      <c r="A725" t="inlineStr">
        <is>
          <t>A 52335-2025</t>
        </is>
      </c>
      <c r="B725" s="1" t="n">
        <v>45953.68591435185</v>
      </c>
      <c r="C725" s="1" t="n">
        <v>46032</v>
      </c>
      <c r="D725" t="inlineStr">
        <is>
          <t>VÄSTERNORRLANDS LÄN</t>
        </is>
      </c>
      <c r="E725" t="inlineStr">
        <is>
          <t>ÅNGE</t>
        </is>
      </c>
      <c r="G725" t="n">
        <v>0.6</v>
      </c>
      <c r="H725" t="n">
        <v>0</v>
      </c>
      <c r="I725" t="n">
        <v>0</v>
      </c>
      <c r="J725" t="n">
        <v>0</v>
      </c>
      <c r="K725" t="n">
        <v>0</v>
      </c>
      <c r="L725" t="n">
        <v>0</v>
      </c>
      <c r="M725" t="n">
        <v>0</v>
      </c>
      <c r="N725" t="n">
        <v>0</v>
      </c>
      <c r="O725" t="n">
        <v>0</v>
      </c>
      <c r="P725" t="n">
        <v>0</v>
      </c>
      <c r="Q725" t="n">
        <v>0</v>
      </c>
      <c r="R725" s="2" t="inlineStr"/>
    </row>
    <row r="726" ht="15" customHeight="1">
      <c r="A726" t="inlineStr">
        <is>
          <t>A 31275-2025</t>
        </is>
      </c>
      <c r="B726" s="1" t="n">
        <v>45833.34459490741</v>
      </c>
      <c r="C726" s="1" t="n">
        <v>46032</v>
      </c>
      <c r="D726" t="inlineStr">
        <is>
          <t>VÄSTERNORRLANDS LÄN</t>
        </is>
      </c>
      <c r="E726" t="inlineStr">
        <is>
          <t>ÅNGE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46829-2025</t>
        </is>
      </c>
      <c r="B727" s="1" t="n">
        <v>45927.34513888889</v>
      </c>
      <c r="C727" s="1" t="n">
        <v>46032</v>
      </c>
      <c r="D727" t="inlineStr">
        <is>
          <t>VÄSTERNORRLANDS LÄN</t>
        </is>
      </c>
      <c r="E727" t="inlineStr">
        <is>
          <t>ÅNGE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47118-2025</t>
        </is>
      </c>
      <c r="B728" s="1" t="n">
        <v>45929.67770833334</v>
      </c>
      <c r="C728" s="1" t="n">
        <v>46032</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31135-2025</t>
        </is>
      </c>
      <c r="B729" s="1" t="n">
        <v>45832.63581018519</v>
      </c>
      <c r="C729" s="1" t="n">
        <v>46032</v>
      </c>
      <c r="D729" t="inlineStr">
        <is>
          <t>VÄSTERNORRLANDS LÄN</t>
        </is>
      </c>
      <c r="E729" t="inlineStr">
        <is>
          <t>ÅNGE</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21200-2024</t>
        </is>
      </c>
      <c r="B730" s="1" t="n">
        <v>45440</v>
      </c>
      <c r="C730" s="1" t="n">
        <v>46032</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10017-2025</t>
        </is>
      </c>
      <c r="B731" s="1" t="n">
        <v>45719.46957175926</v>
      </c>
      <c r="C731" s="1" t="n">
        <v>46032</v>
      </c>
      <c r="D731" t="inlineStr">
        <is>
          <t>VÄSTERNORRLANDS LÄN</t>
        </is>
      </c>
      <c r="E731" t="inlineStr">
        <is>
          <t>ÅNGE</t>
        </is>
      </c>
      <c r="F731" t="inlineStr">
        <is>
          <t>SCA</t>
        </is>
      </c>
      <c r="G731" t="n">
        <v>9.9</v>
      </c>
      <c r="H731" t="n">
        <v>0</v>
      </c>
      <c r="I731" t="n">
        <v>0</v>
      </c>
      <c r="J731" t="n">
        <v>0</v>
      </c>
      <c r="K731" t="n">
        <v>0</v>
      </c>
      <c r="L731" t="n">
        <v>0</v>
      </c>
      <c r="M731" t="n">
        <v>0</v>
      </c>
      <c r="N731" t="n">
        <v>0</v>
      </c>
      <c r="O731" t="n">
        <v>0</v>
      </c>
      <c r="P731" t="n">
        <v>0</v>
      </c>
      <c r="Q731" t="n">
        <v>0</v>
      </c>
      <c r="R731" s="2" t="inlineStr"/>
    </row>
    <row r="732" ht="15" customHeight="1">
      <c r="A732" t="inlineStr">
        <is>
          <t>A 60296-2025</t>
        </is>
      </c>
      <c r="B732" s="1" t="n">
        <v>45994.6568287037</v>
      </c>
      <c r="C732" s="1" t="n">
        <v>46032</v>
      </c>
      <c r="D732" t="inlineStr">
        <is>
          <t>VÄSTERNORRLANDS LÄN</t>
        </is>
      </c>
      <c r="E732" t="inlineStr">
        <is>
          <t>ÅNGE</t>
        </is>
      </c>
      <c r="G732" t="n">
        <v>0.4</v>
      </c>
      <c r="H732" t="n">
        <v>0</v>
      </c>
      <c r="I732" t="n">
        <v>0</v>
      </c>
      <c r="J732" t="n">
        <v>0</v>
      </c>
      <c r="K732" t="n">
        <v>0</v>
      </c>
      <c r="L732" t="n">
        <v>0</v>
      </c>
      <c r="M732" t="n">
        <v>0</v>
      </c>
      <c r="N732" t="n">
        <v>0</v>
      </c>
      <c r="O732" t="n">
        <v>0</v>
      </c>
      <c r="P732" t="n">
        <v>0</v>
      </c>
      <c r="Q732" t="n">
        <v>0</v>
      </c>
      <c r="R732" s="2" t="inlineStr"/>
    </row>
    <row r="733" ht="15" customHeight="1">
      <c r="A733" t="inlineStr">
        <is>
          <t>A 30888-2025</t>
        </is>
      </c>
      <c r="B733" s="1" t="n">
        <v>45832.34606481482</v>
      </c>
      <c r="C733" s="1" t="n">
        <v>46032</v>
      </c>
      <c r="D733" t="inlineStr">
        <is>
          <t>VÄSTERNORRLANDS LÄN</t>
        </is>
      </c>
      <c r="E733" t="inlineStr">
        <is>
          <t>ÅNGE</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30875-2025</t>
        </is>
      </c>
      <c r="B734" s="1" t="n">
        <v>45832.34447916667</v>
      </c>
      <c r="C734" s="1" t="n">
        <v>46032</v>
      </c>
      <c r="D734" t="inlineStr">
        <is>
          <t>VÄSTERNORRLANDS LÄN</t>
        </is>
      </c>
      <c r="E734" t="inlineStr">
        <is>
          <t>ÅNGE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1127-2023</t>
        </is>
      </c>
      <c r="B735" s="1" t="n">
        <v>44929</v>
      </c>
      <c r="C735" s="1" t="n">
        <v>46032</v>
      </c>
      <c r="D735" t="inlineStr">
        <is>
          <t>VÄSTERNORRLANDS LÄN</t>
        </is>
      </c>
      <c r="E735" t="inlineStr">
        <is>
          <t>ÅNGE</t>
        </is>
      </c>
      <c r="G735" t="n">
        <v>10.5</v>
      </c>
      <c r="H735" t="n">
        <v>0</v>
      </c>
      <c r="I735" t="n">
        <v>0</v>
      </c>
      <c r="J735" t="n">
        <v>0</v>
      </c>
      <c r="K735" t="n">
        <v>0</v>
      </c>
      <c r="L735" t="n">
        <v>0</v>
      </c>
      <c r="M735" t="n">
        <v>0</v>
      </c>
      <c r="N735" t="n">
        <v>0</v>
      </c>
      <c r="O735" t="n">
        <v>0</v>
      </c>
      <c r="P735" t="n">
        <v>0</v>
      </c>
      <c r="Q735" t="n">
        <v>0</v>
      </c>
      <c r="R735" s="2" t="inlineStr"/>
    </row>
    <row r="736" ht="15" customHeight="1">
      <c r="A736" t="inlineStr">
        <is>
          <t>A 22755-2023</t>
        </is>
      </c>
      <c r="B736" s="1" t="n">
        <v>45071.94127314815</v>
      </c>
      <c r="C736" s="1" t="n">
        <v>46032</v>
      </c>
      <c r="D736" t="inlineStr">
        <is>
          <t>VÄSTERNORRLANDS LÄN</t>
        </is>
      </c>
      <c r="E736" t="inlineStr">
        <is>
          <t>ÅNGE</t>
        </is>
      </c>
      <c r="F736" t="inlineStr">
        <is>
          <t>SCA</t>
        </is>
      </c>
      <c r="G736" t="n">
        <v>12.6</v>
      </c>
      <c r="H736" t="n">
        <v>0</v>
      </c>
      <c r="I736" t="n">
        <v>0</v>
      </c>
      <c r="J736" t="n">
        <v>0</v>
      </c>
      <c r="K736" t="n">
        <v>0</v>
      </c>
      <c r="L736" t="n">
        <v>0</v>
      </c>
      <c r="M736" t="n">
        <v>0</v>
      </c>
      <c r="N736" t="n">
        <v>0</v>
      </c>
      <c r="O736" t="n">
        <v>0</v>
      </c>
      <c r="P736" t="n">
        <v>0</v>
      </c>
      <c r="Q736" t="n">
        <v>0</v>
      </c>
      <c r="R736" s="2" t="inlineStr"/>
    </row>
    <row r="737" ht="15" customHeight="1">
      <c r="A737" t="inlineStr">
        <is>
          <t>A 52283-2025</t>
        </is>
      </c>
      <c r="B737" s="1" t="n">
        <v>45953.57346064815</v>
      </c>
      <c r="C737" s="1" t="n">
        <v>46032</v>
      </c>
      <c r="D737" t="inlineStr">
        <is>
          <t>VÄSTERNORRLANDS LÄN</t>
        </is>
      </c>
      <c r="E737" t="inlineStr">
        <is>
          <t>ÅNGE</t>
        </is>
      </c>
      <c r="G737" t="n">
        <v>8.9</v>
      </c>
      <c r="H737" t="n">
        <v>0</v>
      </c>
      <c r="I737" t="n">
        <v>0</v>
      </c>
      <c r="J737" t="n">
        <v>0</v>
      </c>
      <c r="K737" t="n">
        <v>0</v>
      </c>
      <c r="L737" t="n">
        <v>0</v>
      </c>
      <c r="M737" t="n">
        <v>0</v>
      </c>
      <c r="N737" t="n">
        <v>0</v>
      </c>
      <c r="O737" t="n">
        <v>0</v>
      </c>
      <c r="P737" t="n">
        <v>0</v>
      </c>
      <c r="Q737" t="n">
        <v>0</v>
      </c>
      <c r="R737" s="2" t="inlineStr"/>
    </row>
    <row r="738" ht="15" customHeight="1">
      <c r="A738" t="inlineStr">
        <is>
          <t>A 47305-2025</t>
        </is>
      </c>
      <c r="B738" s="1" t="n">
        <v>45930</v>
      </c>
      <c r="C738" s="1" t="n">
        <v>46032</v>
      </c>
      <c r="D738" t="inlineStr">
        <is>
          <t>VÄSTERNORRLANDS LÄN</t>
        </is>
      </c>
      <c r="E738" t="inlineStr">
        <is>
          <t>ÅNGE</t>
        </is>
      </c>
      <c r="G738" t="n">
        <v>10.9</v>
      </c>
      <c r="H738" t="n">
        <v>0</v>
      </c>
      <c r="I738" t="n">
        <v>0</v>
      </c>
      <c r="J738" t="n">
        <v>0</v>
      </c>
      <c r="K738" t="n">
        <v>0</v>
      </c>
      <c r="L738" t="n">
        <v>0</v>
      </c>
      <c r="M738" t="n">
        <v>0</v>
      </c>
      <c r="N738" t="n">
        <v>0</v>
      </c>
      <c r="O738" t="n">
        <v>0</v>
      </c>
      <c r="P738" t="n">
        <v>0</v>
      </c>
      <c r="Q738" t="n">
        <v>0</v>
      </c>
      <c r="R738" s="2" t="inlineStr"/>
    </row>
    <row r="739" ht="15" customHeight="1">
      <c r="A739" t="inlineStr">
        <is>
          <t>A 31211-2025</t>
        </is>
      </c>
      <c r="B739" s="1" t="n">
        <v>45832.71938657408</v>
      </c>
      <c r="C739" s="1" t="n">
        <v>46032</v>
      </c>
      <c r="D739" t="inlineStr">
        <is>
          <t>VÄSTERNORRLANDS LÄN</t>
        </is>
      </c>
      <c r="E739" t="inlineStr">
        <is>
          <t>ÅNGE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4727-2023</t>
        </is>
      </c>
      <c r="B740" s="1" t="n">
        <v>44953</v>
      </c>
      <c r="C740" s="1" t="n">
        <v>46032</v>
      </c>
      <c r="D740" t="inlineStr">
        <is>
          <t>VÄSTERNORRLANDS LÄN</t>
        </is>
      </c>
      <c r="E740" t="inlineStr">
        <is>
          <t>ÅNGE</t>
        </is>
      </c>
      <c r="G740" t="n">
        <v>0.4</v>
      </c>
      <c r="H740" t="n">
        <v>0</v>
      </c>
      <c r="I740" t="n">
        <v>0</v>
      </c>
      <c r="J740" t="n">
        <v>0</v>
      </c>
      <c r="K740" t="n">
        <v>0</v>
      </c>
      <c r="L740" t="n">
        <v>0</v>
      </c>
      <c r="M740" t="n">
        <v>0</v>
      </c>
      <c r="N740" t="n">
        <v>0</v>
      </c>
      <c r="O740" t="n">
        <v>0</v>
      </c>
      <c r="P740" t="n">
        <v>0</v>
      </c>
      <c r="Q740" t="n">
        <v>0</v>
      </c>
      <c r="R740" s="2" t="inlineStr"/>
    </row>
    <row r="741" ht="15" customHeight="1">
      <c r="A741" t="inlineStr">
        <is>
          <t>A 31484-2025</t>
        </is>
      </c>
      <c r="B741" s="1" t="n">
        <v>45833.57418981481</v>
      </c>
      <c r="C741" s="1" t="n">
        <v>46032</v>
      </c>
      <c r="D741" t="inlineStr">
        <is>
          <t>VÄSTERNORRLANDS LÄN</t>
        </is>
      </c>
      <c r="E741" t="inlineStr">
        <is>
          <t>ÅNGE</t>
        </is>
      </c>
      <c r="F741" t="inlineStr">
        <is>
          <t>SCA</t>
        </is>
      </c>
      <c r="G741" t="n">
        <v>7</v>
      </c>
      <c r="H741" t="n">
        <v>0</v>
      </c>
      <c r="I741" t="n">
        <v>0</v>
      </c>
      <c r="J741" t="n">
        <v>0</v>
      </c>
      <c r="K741" t="n">
        <v>0</v>
      </c>
      <c r="L741" t="n">
        <v>0</v>
      </c>
      <c r="M741" t="n">
        <v>0</v>
      </c>
      <c r="N741" t="n">
        <v>0</v>
      </c>
      <c r="O741" t="n">
        <v>0</v>
      </c>
      <c r="P741" t="n">
        <v>0</v>
      </c>
      <c r="Q741" t="n">
        <v>0</v>
      </c>
      <c r="R741" s="2" t="inlineStr"/>
    </row>
    <row r="742" ht="15" customHeight="1">
      <c r="A742" t="inlineStr">
        <is>
          <t>A 30877-2025</t>
        </is>
      </c>
      <c r="B742" s="1" t="n">
        <v>45832.34478009259</v>
      </c>
      <c r="C742" s="1" t="n">
        <v>46032</v>
      </c>
      <c r="D742" t="inlineStr">
        <is>
          <t>VÄSTERNORRLANDS LÄN</t>
        </is>
      </c>
      <c r="E742" t="inlineStr">
        <is>
          <t>ÅNGE</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31139-2025</t>
        </is>
      </c>
      <c r="B743" s="1" t="n">
        <v>45832.63633101852</v>
      </c>
      <c r="C743" s="1" t="n">
        <v>46032</v>
      </c>
      <c r="D743" t="inlineStr">
        <is>
          <t>VÄSTERNORRLANDS LÄN</t>
        </is>
      </c>
      <c r="E743" t="inlineStr">
        <is>
          <t>ÅNGE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31041-2025</t>
        </is>
      </c>
      <c r="B744" s="1" t="n">
        <v>45832.55247685185</v>
      </c>
      <c r="C744" s="1" t="n">
        <v>46032</v>
      </c>
      <c r="D744" t="inlineStr">
        <is>
          <t>VÄSTERNORRLANDS LÄN</t>
        </is>
      </c>
      <c r="E744" t="inlineStr">
        <is>
          <t>ÅNGE</t>
        </is>
      </c>
      <c r="F744" t="inlineStr">
        <is>
          <t>SCA</t>
        </is>
      </c>
      <c r="G744" t="n">
        <v>15.1</v>
      </c>
      <c r="H744" t="n">
        <v>0</v>
      </c>
      <c r="I744" t="n">
        <v>0</v>
      </c>
      <c r="J744" t="n">
        <v>0</v>
      </c>
      <c r="K744" t="n">
        <v>0</v>
      </c>
      <c r="L744" t="n">
        <v>0</v>
      </c>
      <c r="M744" t="n">
        <v>0</v>
      </c>
      <c r="N744" t="n">
        <v>0</v>
      </c>
      <c r="O744" t="n">
        <v>0</v>
      </c>
      <c r="P744" t="n">
        <v>0</v>
      </c>
      <c r="Q744" t="n">
        <v>0</v>
      </c>
      <c r="R744" s="2" t="inlineStr"/>
    </row>
    <row r="745" ht="15" customHeight="1">
      <c r="A745" t="inlineStr">
        <is>
          <t>A 47752-2025</t>
        </is>
      </c>
      <c r="B745" s="1" t="n">
        <v>45931.66358796296</v>
      </c>
      <c r="C745" s="1" t="n">
        <v>46032</v>
      </c>
      <c r="D745" t="inlineStr">
        <is>
          <t>VÄSTERNORRLANDS LÄN</t>
        </is>
      </c>
      <c r="E745" t="inlineStr">
        <is>
          <t>ÅNGE</t>
        </is>
      </c>
      <c r="G745" t="n">
        <v>3.9</v>
      </c>
      <c r="H745" t="n">
        <v>0</v>
      </c>
      <c r="I745" t="n">
        <v>0</v>
      </c>
      <c r="J745" t="n">
        <v>0</v>
      </c>
      <c r="K745" t="n">
        <v>0</v>
      </c>
      <c r="L745" t="n">
        <v>0</v>
      </c>
      <c r="M745" t="n">
        <v>0</v>
      </c>
      <c r="N745" t="n">
        <v>0</v>
      </c>
      <c r="O745" t="n">
        <v>0</v>
      </c>
      <c r="P745" t="n">
        <v>0</v>
      </c>
      <c r="Q745" t="n">
        <v>0</v>
      </c>
      <c r="R745" s="2" t="inlineStr"/>
    </row>
    <row r="746" ht="15" customHeight="1">
      <c r="A746" t="inlineStr">
        <is>
          <t>A 42881-2023</t>
        </is>
      </c>
      <c r="B746" s="1" t="n">
        <v>45182.45256944445</v>
      </c>
      <c r="C746" s="1" t="n">
        <v>46032</v>
      </c>
      <c r="D746" t="inlineStr">
        <is>
          <t>VÄSTERNORRLANDS LÄN</t>
        </is>
      </c>
      <c r="E746" t="inlineStr">
        <is>
          <t>ÅNGE</t>
        </is>
      </c>
      <c r="G746" t="n">
        <v>3.9</v>
      </c>
      <c r="H746" t="n">
        <v>0</v>
      </c>
      <c r="I746" t="n">
        <v>0</v>
      </c>
      <c r="J746" t="n">
        <v>0</v>
      </c>
      <c r="K746" t="n">
        <v>0</v>
      </c>
      <c r="L746" t="n">
        <v>0</v>
      </c>
      <c r="M746" t="n">
        <v>0</v>
      </c>
      <c r="N746" t="n">
        <v>0</v>
      </c>
      <c r="O746" t="n">
        <v>0</v>
      </c>
      <c r="P746" t="n">
        <v>0</v>
      </c>
      <c r="Q746" t="n">
        <v>0</v>
      </c>
      <c r="R746" s="2" t="inlineStr"/>
    </row>
    <row r="747" ht="15" customHeight="1">
      <c r="A747" t="inlineStr">
        <is>
          <t>A 47440-2025</t>
        </is>
      </c>
      <c r="B747" s="1" t="n">
        <v>45930.63766203704</v>
      </c>
      <c r="C747" s="1" t="n">
        <v>46032</v>
      </c>
      <c r="D747" t="inlineStr">
        <is>
          <t>VÄSTERNORRLANDS LÄN</t>
        </is>
      </c>
      <c r="E747" t="inlineStr">
        <is>
          <t>ÅNGE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30474-2024</t>
        </is>
      </c>
      <c r="B748" s="1" t="n">
        <v>45491</v>
      </c>
      <c r="C748" s="1" t="n">
        <v>46032</v>
      </c>
      <c r="D748" t="inlineStr">
        <is>
          <t>VÄSTERNORRLANDS LÄN</t>
        </is>
      </c>
      <c r="E748" t="inlineStr">
        <is>
          <t>ÅNGE</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30475-2024</t>
        </is>
      </c>
      <c r="B749" s="1" t="n">
        <v>45491</v>
      </c>
      <c r="C749" s="1" t="n">
        <v>46032</v>
      </c>
      <c r="D749" t="inlineStr">
        <is>
          <t>VÄSTERNORRLANDS LÄN</t>
        </is>
      </c>
      <c r="E749" t="inlineStr">
        <is>
          <t>ÅNGE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47243-2024</t>
        </is>
      </c>
      <c r="B750" s="1" t="n">
        <v>45586.6987962963</v>
      </c>
      <c r="C750" s="1" t="n">
        <v>46032</v>
      </c>
      <c r="D750" t="inlineStr">
        <is>
          <t>VÄSTERNORRLANDS LÄN</t>
        </is>
      </c>
      <c r="E750" t="inlineStr">
        <is>
          <t>ÅNGE</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47488-2025</t>
        </is>
      </c>
      <c r="B751" s="1" t="n">
        <v>45930.69890046296</v>
      </c>
      <c r="C751" s="1" t="n">
        <v>46032</v>
      </c>
      <c r="D751" t="inlineStr">
        <is>
          <t>VÄSTERNORRLANDS LÄN</t>
        </is>
      </c>
      <c r="E751" t="inlineStr">
        <is>
          <t>ÅNGE</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47196-2025</t>
        </is>
      </c>
      <c r="B752" s="1" t="n">
        <v>45930.34520833333</v>
      </c>
      <c r="C752" s="1" t="n">
        <v>46032</v>
      </c>
      <c r="D752" t="inlineStr">
        <is>
          <t>VÄSTERNORRLANDS LÄN</t>
        </is>
      </c>
      <c r="E752" t="inlineStr">
        <is>
          <t>ÅNGE</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47377-2025</t>
        </is>
      </c>
      <c r="B753" s="1" t="n">
        <v>45930.59469907408</v>
      </c>
      <c r="C753" s="1" t="n">
        <v>46032</v>
      </c>
      <c r="D753" t="inlineStr">
        <is>
          <t>VÄSTERNORRLANDS LÄN</t>
        </is>
      </c>
      <c r="E753" t="inlineStr">
        <is>
          <t>ÅNGE</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42043-2024</t>
        </is>
      </c>
      <c r="B754" s="1" t="n">
        <v>45561</v>
      </c>
      <c r="C754" s="1" t="n">
        <v>46032</v>
      </c>
      <c r="D754" t="inlineStr">
        <is>
          <t>VÄSTERNORRLANDS LÄN</t>
        </is>
      </c>
      <c r="E754" t="inlineStr">
        <is>
          <t>ÅNGE</t>
        </is>
      </c>
      <c r="G754" t="n">
        <v>3.1</v>
      </c>
      <c r="H754" t="n">
        <v>0</v>
      </c>
      <c r="I754" t="n">
        <v>0</v>
      </c>
      <c r="J754" t="n">
        <v>0</v>
      </c>
      <c r="K754" t="n">
        <v>0</v>
      </c>
      <c r="L754" t="n">
        <v>0</v>
      </c>
      <c r="M754" t="n">
        <v>0</v>
      </c>
      <c r="N754" t="n">
        <v>0</v>
      </c>
      <c r="O754" t="n">
        <v>0</v>
      </c>
      <c r="P754" t="n">
        <v>0</v>
      </c>
      <c r="Q754" t="n">
        <v>0</v>
      </c>
      <c r="R754" s="2" t="inlineStr"/>
    </row>
    <row r="755" ht="15" customHeight="1">
      <c r="A755" t="inlineStr">
        <is>
          <t>A 42046-2024</t>
        </is>
      </c>
      <c r="B755" s="1" t="n">
        <v>45561.83422453704</v>
      </c>
      <c r="C755" s="1" t="n">
        <v>46032</v>
      </c>
      <c r="D755" t="inlineStr">
        <is>
          <t>VÄSTERNORRLANDS LÄN</t>
        </is>
      </c>
      <c r="E755" t="inlineStr">
        <is>
          <t>ÅNGE</t>
        </is>
      </c>
      <c r="G755" t="n">
        <v>0.6</v>
      </c>
      <c r="H755" t="n">
        <v>0</v>
      </c>
      <c r="I755" t="n">
        <v>0</v>
      </c>
      <c r="J755" t="n">
        <v>0</v>
      </c>
      <c r="K755" t="n">
        <v>0</v>
      </c>
      <c r="L755" t="n">
        <v>0</v>
      </c>
      <c r="M755" t="n">
        <v>0</v>
      </c>
      <c r="N755" t="n">
        <v>0</v>
      </c>
      <c r="O755" t="n">
        <v>0</v>
      </c>
      <c r="P755" t="n">
        <v>0</v>
      </c>
      <c r="Q755" t="n">
        <v>0</v>
      </c>
      <c r="R755" s="2" t="inlineStr"/>
    </row>
    <row r="756" ht="15" customHeight="1">
      <c r="A756" t="inlineStr">
        <is>
          <t>A 31646-2025</t>
        </is>
      </c>
      <c r="B756" s="1" t="n">
        <v>45834.34563657407</v>
      </c>
      <c r="C756" s="1" t="n">
        <v>46032</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31642-2025</t>
        </is>
      </c>
      <c r="B757" s="1" t="n">
        <v>45834.34474537037</v>
      </c>
      <c r="C757" s="1" t="n">
        <v>46032</v>
      </c>
      <c r="D757" t="inlineStr">
        <is>
          <t>VÄSTERNORRLANDS LÄN</t>
        </is>
      </c>
      <c r="E757" t="inlineStr">
        <is>
          <t>ÅNGE</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32025-2025</t>
        </is>
      </c>
      <c r="B758" s="1" t="n">
        <v>45835.40721064815</v>
      </c>
      <c r="C758" s="1" t="n">
        <v>46032</v>
      </c>
      <c r="D758" t="inlineStr">
        <is>
          <t>VÄSTERNORRLANDS LÄN</t>
        </is>
      </c>
      <c r="E758" t="inlineStr">
        <is>
          <t>ÅNGE</t>
        </is>
      </c>
      <c r="G758" t="n">
        <v>1.6</v>
      </c>
      <c r="H758" t="n">
        <v>0</v>
      </c>
      <c r="I758" t="n">
        <v>0</v>
      </c>
      <c r="J758" t="n">
        <v>0</v>
      </c>
      <c r="K758" t="n">
        <v>0</v>
      </c>
      <c r="L758" t="n">
        <v>0</v>
      </c>
      <c r="M758" t="n">
        <v>0</v>
      </c>
      <c r="N758" t="n">
        <v>0</v>
      </c>
      <c r="O758" t="n">
        <v>0</v>
      </c>
      <c r="P758" t="n">
        <v>0</v>
      </c>
      <c r="Q758" t="n">
        <v>0</v>
      </c>
      <c r="R758" s="2" t="inlineStr"/>
    </row>
    <row r="759" ht="15" customHeight="1">
      <c r="A759" t="inlineStr">
        <is>
          <t>A 48234-2025</t>
        </is>
      </c>
      <c r="B759" s="1" t="n">
        <v>45933.53211805555</v>
      </c>
      <c r="C759" s="1" t="n">
        <v>46032</v>
      </c>
      <c r="D759" t="inlineStr">
        <is>
          <t>VÄSTERNORRLANDS LÄN</t>
        </is>
      </c>
      <c r="E759" t="inlineStr">
        <is>
          <t>ÅNGE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48235-2025</t>
        </is>
      </c>
      <c r="B760" s="1" t="n">
        <v>45933.5321412037</v>
      </c>
      <c r="C760" s="1" t="n">
        <v>46032</v>
      </c>
      <c r="D760" t="inlineStr">
        <is>
          <t>VÄSTERNORRLANDS LÄN</t>
        </is>
      </c>
      <c r="E760" t="inlineStr">
        <is>
          <t>ÅNGE</t>
        </is>
      </c>
      <c r="G760" t="n">
        <v>3.1</v>
      </c>
      <c r="H760" t="n">
        <v>0</v>
      </c>
      <c r="I760" t="n">
        <v>0</v>
      </c>
      <c r="J760" t="n">
        <v>0</v>
      </c>
      <c r="K760" t="n">
        <v>0</v>
      </c>
      <c r="L760" t="n">
        <v>0</v>
      </c>
      <c r="M760" t="n">
        <v>0</v>
      </c>
      <c r="N760" t="n">
        <v>0</v>
      </c>
      <c r="O760" t="n">
        <v>0</v>
      </c>
      <c r="P760" t="n">
        <v>0</v>
      </c>
      <c r="Q760" t="n">
        <v>0</v>
      </c>
      <c r="R760" s="2" t="inlineStr"/>
    </row>
    <row r="761" ht="15" customHeight="1">
      <c r="A761" t="inlineStr">
        <is>
          <t>A 32024-2025</t>
        </is>
      </c>
      <c r="B761" s="1" t="n">
        <v>45835.40706018519</v>
      </c>
      <c r="C761" s="1" t="n">
        <v>46032</v>
      </c>
      <c r="D761" t="inlineStr">
        <is>
          <t>VÄSTERNORRLANDS LÄN</t>
        </is>
      </c>
      <c r="E761" t="inlineStr">
        <is>
          <t>ÅNGE</t>
        </is>
      </c>
      <c r="F761" t="inlineStr">
        <is>
          <t>SCA</t>
        </is>
      </c>
      <c r="G761" t="n">
        <v>12.3</v>
      </c>
      <c r="H761" t="n">
        <v>0</v>
      </c>
      <c r="I761" t="n">
        <v>0</v>
      </c>
      <c r="J761" t="n">
        <v>0</v>
      </c>
      <c r="K761" t="n">
        <v>0</v>
      </c>
      <c r="L761" t="n">
        <v>0</v>
      </c>
      <c r="M761" t="n">
        <v>0</v>
      </c>
      <c r="N761" t="n">
        <v>0</v>
      </c>
      <c r="O761" t="n">
        <v>0</v>
      </c>
      <c r="P761" t="n">
        <v>0</v>
      </c>
      <c r="Q761" t="n">
        <v>0</v>
      </c>
      <c r="R761" s="2" t="inlineStr"/>
    </row>
    <row r="762" ht="15" customHeight="1">
      <c r="A762" t="inlineStr">
        <is>
          <t>A 26092-2025</t>
        </is>
      </c>
      <c r="B762" s="1" t="n">
        <v>45805</v>
      </c>
      <c r="C762" s="1" t="n">
        <v>46032</v>
      </c>
      <c r="D762" t="inlineStr">
        <is>
          <t>VÄSTERNORRLANDS LÄN</t>
        </is>
      </c>
      <c r="E762" t="inlineStr">
        <is>
          <t>ÅNGE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55664-2023</t>
        </is>
      </c>
      <c r="B763" s="1" t="n">
        <v>45238.96748842593</v>
      </c>
      <c r="C763" s="1" t="n">
        <v>46032</v>
      </c>
      <c r="D763" t="inlineStr">
        <is>
          <t>VÄSTERNORRLANDS LÄN</t>
        </is>
      </c>
      <c r="E763" t="inlineStr">
        <is>
          <t>ÅNGE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57595-2022</t>
        </is>
      </c>
      <c r="B764" s="1" t="n">
        <v>44896.97862268519</v>
      </c>
      <c r="C764" s="1" t="n">
        <v>46032</v>
      </c>
      <c r="D764" t="inlineStr">
        <is>
          <t>VÄSTERNORRLANDS LÄN</t>
        </is>
      </c>
      <c r="E764" t="inlineStr">
        <is>
          <t>ÅNGE</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60582-2025</t>
        </is>
      </c>
      <c r="B765" s="1" t="n">
        <v>45994</v>
      </c>
      <c r="C765" s="1" t="n">
        <v>46032</v>
      </c>
      <c r="D765" t="inlineStr">
        <is>
          <t>VÄSTERNORRLANDS LÄN</t>
        </is>
      </c>
      <c r="E765" t="inlineStr">
        <is>
          <t>ÅNGE</t>
        </is>
      </c>
      <c r="G765" t="n">
        <v>2.6</v>
      </c>
      <c r="H765" t="n">
        <v>0</v>
      </c>
      <c r="I765" t="n">
        <v>0</v>
      </c>
      <c r="J765" t="n">
        <v>0</v>
      </c>
      <c r="K765" t="n">
        <v>0</v>
      </c>
      <c r="L765" t="n">
        <v>0</v>
      </c>
      <c r="M765" t="n">
        <v>0</v>
      </c>
      <c r="N765" t="n">
        <v>0</v>
      </c>
      <c r="O765" t="n">
        <v>0</v>
      </c>
      <c r="P765" t="n">
        <v>0</v>
      </c>
      <c r="Q765" t="n">
        <v>0</v>
      </c>
      <c r="R765" s="2" t="inlineStr"/>
    </row>
    <row r="766" ht="15" customHeight="1">
      <c r="A766" t="inlineStr">
        <is>
          <t>A 30747-2024</t>
        </is>
      </c>
      <c r="B766" s="1" t="n">
        <v>45496</v>
      </c>
      <c r="C766" s="1" t="n">
        <v>46032</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31666-2025</t>
        </is>
      </c>
      <c r="B767" s="1" t="n">
        <v>45834.36519675926</v>
      </c>
      <c r="C767" s="1" t="n">
        <v>46032</v>
      </c>
      <c r="D767" t="inlineStr">
        <is>
          <t>VÄSTERNORRLANDS LÄN</t>
        </is>
      </c>
      <c r="E767" t="inlineStr">
        <is>
          <t>ÅNGE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58939-2021</t>
        </is>
      </c>
      <c r="B768" s="1" t="n">
        <v>44489</v>
      </c>
      <c r="C768" s="1" t="n">
        <v>46032</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58639-2023</t>
        </is>
      </c>
      <c r="B769" s="1" t="n">
        <v>45251</v>
      </c>
      <c r="C769" s="1" t="n">
        <v>46032</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60604-2025</t>
        </is>
      </c>
      <c r="B770" s="1" t="n">
        <v>45995</v>
      </c>
      <c r="C770" s="1" t="n">
        <v>46032</v>
      </c>
      <c r="D770" t="inlineStr">
        <is>
          <t>VÄSTERNORRLANDS LÄN</t>
        </is>
      </c>
      <c r="E770" t="inlineStr">
        <is>
          <t>ÅNGE</t>
        </is>
      </c>
      <c r="G770" t="n">
        <v>2.5</v>
      </c>
      <c r="H770" t="n">
        <v>0</v>
      </c>
      <c r="I770" t="n">
        <v>0</v>
      </c>
      <c r="J770" t="n">
        <v>0</v>
      </c>
      <c r="K770" t="n">
        <v>0</v>
      </c>
      <c r="L770" t="n">
        <v>0</v>
      </c>
      <c r="M770" t="n">
        <v>0</v>
      </c>
      <c r="N770" t="n">
        <v>0</v>
      </c>
      <c r="O770" t="n">
        <v>0</v>
      </c>
      <c r="P770" t="n">
        <v>0</v>
      </c>
      <c r="Q770" t="n">
        <v>0</v>
      </c>
      <c r="R770" s="2" t="inlineStr"/>
    </row>
    <row r="771" ht="15" customHeight="1">
      <c r="A771" t="inlineStr">
        <is>
          <t>A 44635-2024</t>
        </is>
      </c>
      <c r="B771" s="1" t="n">
        <v>45574.51488425926</v>
      </c>
      <c r="C771" s="1" t="n">
        <v>46032</v>
      </c>
      <c r="D771" t="inlineStr">
        <is>
          <t>VÄSTERNORRLANDS LÄN</t>
        </is>
      </c>
      <c r="E771" t="inlineStr">
        <is>
          <t>ÅNGE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48055-2025</t>
        </is>
      </c>
      <c r="B772" s="1" t="n">
        <v>45932.67922453704</v>
      </c>
      <c r="C772" s="1" t="n">
        <v>46032</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48069-2025</t>
        </is>
      </c>
      <c r="B773" s="1" t="n">
        <v>45932.69865740741</v>
      </c>
      <c r="C773" s="1" t="n">
        <v>46032</v>
      </c>
      <c r="D773" t="inlineStr">
        <is>
          <t>VÄSTERNORRLANDS LÄN</t>
        </is>
      </c>
      <c r="E773" t="inlineStr">
        <is>
          <t>ÅNGE</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52392-2025</t>
        </is>
      </c>
      <c r="B774" s="1" t="n">
        <v>45954.34424768519</v>
      </c>
      <c r="C774" s="1" t="n">
        <v>46032</v>
      </c>
      <c r="D774" t="inlineStr">
        <is>
          <t>VÄSTERNORRLANDS LÄN</t>
        </is>
      </c>
      <c r="E774" t="inlineStr">
        <is>
          <t>ÅNGE</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43066-2022</t>
        </is>
      </c>
      <c r="B775" s="1" t="n">
        <v>44833</v>
      </c>
      <c r="C775" s="1" t="n">
        <v>46032</v>
      </c>
      <c r="D775" t="inlineStr">
        <is>
          <t>VÄSTERNORRLANDS LÄN</t>
        </is>
      </c>
      <c r="E775" t="inlineStr">
        <is>
          <t>ÅNGE</t>
        </is>
      </c>
      <c r="G775" t="n">
        <v>1.2</v>
      </c>
      <c r="H775" t="n">
        <v>0</v>
      </c>
      <c r="I775" t="n">
        <v>0</v>
      </c>
      <c r="J775" t="n">
        <v>0</v>
      </c>
      <c r="K775" t="n">
        <v>0</v>
      </c>
      <c r="L775" t="n">
        <v>0</v>
      </c>
      <c r="M775" t="n">
        <v>0</v>
      </c>
      <c r="N775" t="n">
        <v>0</v>
      </c>
      <c r="O775" t="n">
        <v>0</v>
      </c>
      <c r="P775" t="n">
        <v>0</v>
      </c>
      <c r="Q775" t="n">
        <v>0</v>
      </c>
      <c r="R775" s="2" t="inlineStr"/>
    </row>
    <row r="776" ht="15" customHeight="1">
      <c r="A776" t="inlineStr">
        <is>
          <t>A 48679-2025</t>
        </is>
      </c>
      <c r="B776" s="1" t="n">
        <v>45936.59196759259</v>
      </c>
      <c r="C776" s="1" t="n">
        <v>46032</v>
      </c>
      <c r="D776" t="inlineStr">
        <is>
          <t>VÄSTERNORRLANDS LÄN</t>
        </is>
      </c>
      <c r="E776" t="inlineStr">
        <is>
          <t>ÅNGE</t>
        </is>
      </c>
      <c r="G776" t="n">
        <v>2.1</v>
      </c>
      <c r="H776" t="n">
        <v>0</v>
      </c>
      <c r="I776" t="n">
        <v>0</v>
      </c>
      <c r="J776" t="n">
        <v>0</v>
      </c>
      <c r="K776" t="n">
        <v>0</v>
      </c>
      <c r="L776" t="n">
        <v>0</v>
      </c>
      <c r="M776" t="n">
        <v>0</v>
      </c>
      <c r="N776" t="n">
        <v>0</v>
      </c>
      <c r="O776" t="n">
        <v>0</v>
      </c>
      <c r="P776" t="n">
        <v>0</v>
      </c>
      <c r="Q776" t="n">
        <v>0</v>
      </c>
      <c r="R776" s="2" t="inlineStr"/>
    </row>
    <row r="777" ht="15" customHeight="1">
      <c r="A777" t="inlineStr">
        <is>
          <t>A 54346-2023</t>
        </is>
      </c>
      <c r="B777" s="1" t="n">
        <v>45232.96087962963</v>
      </c>
      <c r="C777" s="1" t="n">
        <v>46032</v>
      </c>
      <c r="D777" t="inlineStr">
        <is>
          <t>VÄSTERNORRLANDS LÄN</t>
        </is>
      </c>
      <c r="E777" t="inlineStr">
        <is>
          <t>ÅNGE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63530-2023</t>
        </is>
      </c>
      <c r="B778" s="1" t="n">
        <v>45274</v>
      </c>
      <c r="C778" s="1" t="n">
        <v>46032</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32847-2025</t>
        </is>
      </c>
      <c r="B779" s="1" t="n">
        <v>45839.57354166666</v>
      </c>
      <c r="C779" s="1" t="n">
        <v>46032</v>
      </c>
      <c r="D779" t="inlineStr">
        <is>
          <t>VÄSTERNORRLANDS LÄN</t>
        </is>
      </c>
      <c r="E779" t="inlineStr">
        <is>
          <t>ÅNGE</t>
        </is>
      </c>
      <c r="F779" t="inlineStr">
        <is>
          <t>SCA</t>
        </is>
      </c>
      <c r="G779" t="n">
        <v>9.4</v>
      </c>
      <c r="H779" t="n">
        <v>0</v>
      </c>
      <c r="I779" t="n">
        <v>0</v>
      </c>
      <c r="J779" t="n">
        <v>0</v>
      </c>
      <c r="K779" t="n">
        <v>0</v>
      </c>
      <c r="L779" t="n">
        <v>0</v>
      </c>
      <c r="M779" t="n">
        <v>0</v>
      </c>
      <c r="N779" t="n">
        <v>0</v>
      </c>
      <c r="O779" t="n">
        <v>0</v>
      </c>
      <c r="P779" t="n">
        <v>0</v>
      </c>
      <c r="Q779" t="n">
        <v>0</v>
      </c>
      <c r="R779" s="2" t="inlineStr"/>
    </row>
    <row r="780" ht="15" customHeight="1">
      <c r="A780" t="inlineStr">
        <is>
          <t>A 3249-2024</t>
        </is>
      </c>
      <c r="B780" s="1" t="n">
        <v>45316</v>
      </c>
      <c r="C780" s="1" t="n">
        <v>46032</v>
      </c>
      <c r="D780" t="inlineStr">
        <is>
          <t>VÄSTERNORRLANDS LÄN</t>
        </is>
      </c>
      <c r="E780" t="inlineStr">
        <is>
          <t>ÅNGE</t>
        </is>
      </c>
      <c r="G780" t="n">
        <v>0.3</v>
      </c>
      <c r="H780" t="n">
        <v>0</v>
      </c>
      <c r="I780" t="n">
        <v>0</v>
      </c>
      <c r="J780" t="n">
        <v>0</v>
      </c>
      <c r="K780" t="n">
        <v>0</v>
      </c>
      <c r="L780" t="n">
        <v>0</v>
      </c>
      <c r="M780" t="n">
        <v>0</v>
      </c>
      <c r="N780" t="n">
        <v>0</v>
      </c>
      <c r="O780" t="n">
        <v>0</v>
      </c>
      <c r="P780" t="n">
        <v>0</v>
      </c>
      <c r="Q780" t="n">
        <v>0</v>
      </c>
      <c r="R780" s="2" t="inlineStr"/>
    </row>
    <row r="781" ht="15" customHeight="1">
      <c r="A781" t="inlineStr">
        <is>
          <t>A 58275-2022</t>
        </is>
      </c>
      <c r="B781" s="1" t="n">
        <v>44901.47865740741</v>
      </c>
      <c r="C781" s="1" t="n">
        <v>46032</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42948-2024</t>
        </is>
      </c>
      <c r="B782" s="1" t="n">
        <v>45567.36628472222</v>
      </c>
      <c r="C782" s="1" t="n">
        <v>46032</v>
      </c>
      <c r="D782" t="inlineStr">
        <is>
          <t>VÄSTERNORRLANDS LÄN</t>
        </is>
      </c>
      <c r="E782" t="inlineStr">
        <is>
          <t>ÅNGE</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42953-2024</t>
        </is>
      </c>
      <c r="B783" s="1" t="n">
        <v>45567</v>
      </c>
      <c r="C783" s="1" t="n">
        <v>46032</v>
      </c>
      <c r="D783" t="inlineStr">
        <is>
          <t>VÄSTERNORRLANDS LÄN</t>
        </is>
      </c>
      <c r="E783" t="inlineStr">
        <is>
          <t>ÅNGE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42968-2024</t>
        </is>
      </c>
      <c r="B784" s="1" t="n">
        <v>45567</v>
      </c>
      <c r="C784" s="1" t="n">
        <v>46032</v>
      </c>
      <c r="D784" t="inlineStr">
        <is>
          <t>VÄSTERNORRLANDS LÄN</t>
        </is>
      </c>
      <c r="E784" t="inlineStr">
        <is>
          <t>ÅNGE</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49562-2025</t>
        </is>
      </c>
      <c r="B785" s="1" t="n">
        <v>45939.46524305556</v>
      </c>
      <c r="C785" s="1" t="n">
        <v>46032</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14673-2025</t>
        </is>
      </c>
      <c r="B786" s="1" t="n">
        <v>45742.55309027778</v>
      </c>
      <c r="C786" s="1" t="n">
        <v>46032</v>
      </c>
      <c r="D786" t="inlineStr">
        <is>
          <t>VÄSTERNORRLANDS LÄN</t>
        </is>
      </c>
      <c r="E786" t="inlineStr">
        <is>
          <t>ÅNGE</t>
        </is>
      </c>
      <c r="G786" t="n">
        <v>2.5</v>
      </c>
      <c r="H786" t="n">
        <v>0</v>
      </c>
      <c r="I786" t="n">
        <v>0</v>
      </c>
      <c r="J786" t="n">
        <v>0</v>
      </c>
      <c r="K786" t="n">
        <v>0</v>
      </c>
      <c r="L786" t="n">
        <v>0</v>
      </c>
      <c r="M786" t="n">
        <v>0</v>
      </c>
      <c r="N786" t="n">
        <v>0</v>
      </c>
      <c r="O786" t="n">
        <v>0</v>
      </c>
      <c r="P786" t="n">
        <v>0</v>
      </c>
      <c r="Q786" t="n">
        <v>0</v>
      </c>
      <c r="R786" s="2" t="inlineStr"/>
    </row>
    <row r="787" ht="15" customHeight="1">
      <c r="A787" t="inlineStr">
        <is>
          <t>A 16191-2023</t>
        </is>
      </c>
      <c r="B787" s="1" t="n">
        <v>45027.94111111111</v>
      </c>
      <c r="C787" s="1" t="n">
        <v>46032</v>
      </c>
      <c r="D787" t="inlineStr">
        <is>
          <t>VÄSTERNORRLANDS LÄN</t>
        </is>
      </c>
      <c r="E787" t="inlineStr">
        <is>
          <t>ÅNGE</t>
        </is>
      </c>
      <c r="F787" t="inlineStr">
        <is>
          <t>SCA</t>
        </is>
      </c>
      <c r="G787" t="n">
        <v>6.8</v>
      </c>
      <c r="H787" t="n">
        <v>0</v>
      </c>
      <c r="I787" t="n">
        <v>0</v>
      </c>
      <c r="J787" t="n">
        <v>0</v>
      </c>
      <c r="K787" t="n">
        <v>0</v>
      </c>
      <c r="L787" t="n">
        <v>0</v>
      </c>
      <c r="M787" t="n">
        <v>0</v>
      </c>
      <c r="N787" t="n">
        <v>0</v>
      </c>
      <c r="O787" t="n">
        <v>0</v>
      </c>
      <c r="P787" t="n">
        <v>0</v>
      </c>
      <c r="Q787" t="n">
        <v>0</v>
      </c>
      <c r="R787" s="2" t="inlineStr"/>
    </row>
    <row r="788" ht="15" customHeight="1">
      <c r="A788" t="inlineStr">
        <is>
          <t>A 49377-2025</t>
        </is>
      </c>
      <c r="B788" s="1" t="n">
        <v>45938.63626157407</v>
      </c>
      <c r="C788" s="1" t="n">
        <v>46032</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35498-2022</t>
        </is>
      </c>
      <c r="B789" s="1" t="n">
        <v>44798.94810185185</v>
      </c>
      <c r="C789" s="1" t="n">
        <v>46032</v>
      </c>
      <c r="D789" t="inlineStr">
        <is>
          <t>VÄSTERNORRLANDS LÄN</t>
        </is>
      </c>
      <c r="E789" t="inlineStr">
        <is>
          <t>ÅNGE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49156-2025</t>
        </is>
      </c>
      <c r="B790" s="1" t="n">
        <v>45938.3458912037</v>
      </c>
      <c r="C790" s="1" t="n">
        <v>46032</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49179-2025</t>
        </is>
      </c>
      <c r="B791" s="1" t="n">
        <v>45938.38579861111</v>
      </c>
      <c r="C791" s="1" t="n">
        <v>46032</v>
      </c>
      <c r="D791" t="inlineStr">
        <is>
          <t>VÄSTERNORRLANDS LÄN</t>
        </is>
      </c>
      <c r="E791" t="inlineStr">
        <is>
          <t>ÅNGE</t>
        </is>
      </c>
      <c r="G791" t="n">
        <v>2.3</v>
      </c>
      <c r="H791" t="n">
        <v>0</v>
      </c>
      <c r="I791" t="n">
        <v>0</v>
      </c>
      <c r="J791" t="n">
        <v>0</v>
      </c>
      <c r="K791" t="n">
        <v>0</v>
      </c>
      <c r="L791" t="n">
        <v>0</v>
      </c>
      <c r="M791" t="n">
        <v>0</v>
      </c>
      <c r="N791" t="n">
        <v>0</v>
      </c>
      <c r="O791" t="n">
        <v>0</v>
      </c>
      <c r="P791" t="n">
        <v>0</v>
      </c>
      <c r="Q791" t="n">
        <v>0</v>
      </c>
      <c r="R791" s="2" t="inlineStr"/>
    </row>
    <row r="792" ht="15" customHeight="1">
      <c r="A792" t="inlineStr">
        <is>
          <t>A 49669-2025</t>
        </is>
      </c>
      <c r="B792" s="1" t="n">
        <v>45939.63710648148</v>
      </c>
      <c r="C792" s="1" t="n">
        <v>46032</v>
      </c>
      <c r="D792" t="inlineStr">
        <is>
          <t>VÄSTERNORRLANDS LÄN</t>
        </is>
      </c>
      <c r="E792" t="inlineStr">
        <is>
          <t>ÅNGE</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18112-2025</t>
        </is>
      </c>
      <c r="B793" s="1" t="n">
        <v>45761.57350694444</v>
      </c>
      <c r="C793" s="1" t="n">
        <v>46032</v>
      </c>
      <c r="D793" t="inlineStr">
        <is>
          <t>VÄSTERNORRLANDS LÄN</t>
        </is>
      </c>
      <c r="E793" t="inlineStr">
        <is>
          <t>ÅNGE</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2299-2025</t>
        </is>
      </c>
      <c r="B794" s="1" t="n">
        <v>45673.59516203704</v>
      </c>
      <c r="C794" s="1" t="n">
        <v>46032</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49603-2025</t>
        </is>
      </c>
      <c r="B795" s="1" t="n">
        <v>45939.5484375</v>
      </c>
      <c r="C795" s="1" t="n">
        <v>46032</v>
      </c>
      <c r="D795" t="inlineStr">
        <is>
          <t>VÄSTERNORRLANDS LÄN</t>
        </is>
      </c>
      <c r="E795" t="inlineStr">
        <is>
          <t>ÅNGE</t>
        </is>
      </c>
      <c r="G795" t="n">
        <v>1</v>
      </c>
      <c r="H795" t="n">
        <v>0</v>
      </c>
      <c r="I795" t="n">
        <v>0</v>
      </c>
      <c r="J795" t="n">
        <v>0</v>
      </c>
      <c r="K795" t="n">
        <v>0</v>
      </c>
      <c r="L795" t="n">
        <v>0</v>
      </c>
      <c r="M795" t="n">
        <v>0</v>
      </c>
      <c r="N795" t="n">
        <v>0</v>
      </c>
      <c r="O795" t="n">
        <v>0</v>
      </c>
      <c r="P795" t="n">
        <v>0</v>
      </c>
      <c r="Q795" t="n">
        <v>0</v>
      </c>
      <c r="R795" s="2" t="inlineStr"/>
    </row>
    <row r="796" ht="15" customHeight="1">
      <c r="A796" t="inlineStr">
        <is>
          <t>A 31457-2024</t>
        </is>
      </c>
      <c r="B796" s="1" t="n">
        <v>45505</v>
      </c>
      <c r="C796" s="1" t="n">
        <v>46032</v>
      </c>
      <c r="D796" t="inlineStr">
        <is>
          <t>VÄSTERNORRLANDS LÄN</t>
        </is>
      </c>
      <c r="E796" t="inlineStr">
        <is>
          <t>ÅNGE</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49381-2025</t>
        </is>
      </c>
      <c r="B797" s="1" t="n">
        <v>45938.63694444444</v>
      </c>
      <c r="C797" s="1" t="n">
        <v>46032</v>
      </c>
      <c r="D797" t="inlineStr">
        <is>
          <t>VÄSTERNORRLANDS LÄN</t>
        </is>
      </c>
      <c r="E797" t="inlineStr">
        <is>
          <t>ÅNGE</t>
        </is>
      </c>
      <c r="F797" t="inlineStr">
        <is>
          <t>SCA</t>
        </is>
      </c>
      <c r="G797" t="n">
        <v>20.6</v>
      </c>
      <c r="H797" t="n">
        <v>0</v>
      </c>
      <c r="I797" t="n">
        <v>0</v>
      </c>
      <c r="J797" t="n">
        <v>0</v>
      </c>
      <c r="K797" t="n">
        <v>0</v>
      </c>
      <c r="L797" t="n">
        <v>0</v>
      </c>
      <c r="M797" t="n">
        <v>0</v>
      </c>
      <c r="N797" t="n">
        <v>0</v>
      </c>
      <c r="O797" t="n">
        <v>0</v>
      </c>
      <c r="P797" t="n">
        <v>0</v>
      </c>
      <c r="Q797" t="n">
        <v>0</v>
      </c>
      <c r="R797" s="2" t="inlineStr"/>
    </row>
    <row r="798" ht="15" customHeight="1">
      <c r="A798" t="inlineStr">
        <is>
          <t>A 49566-2025</t>
        </is>
      </c>
      <c r="B798" s="1" t="n">
        <v>45939.46939814815</v>
      </c>
      <c r="C798" s="1" t="n">
        <v>46032</v>
      </c>
      <c r="D798" t="inlineStr">
        <is>
          <t>VÄSTERNORRLANDS LÄN</t>
        </is>
      </c>
      <c r="E798" t="inlineStr">
        <is>
          <t>ÅNGE</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52642-2025</t>
        </is>
      </c>
      <c r="B799" s="1" t="n">
        <v>45955.34576388889</v>
      </c>
      <c r="C799" s="1" t="n">
        <v>46032</v>
      </c>
      <c r="D799" t="inlineStr">
        <is>
          <t>VÄSTERNORRLANDS LÄN</t>
        </is>
      </c>
      <c r="E799" t="inlineStr">
        <is>
          <t>ÅNGE</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49476-2025</t>
        </is>
      </c>
      <c r="B800" s="1" t="n">
        <v>45939.34506944445</v>
      </c>
      <c r="C800" s="1" t="n">
        <v>46032</v>
      </c>
      <c r="D800" t="inlineStr">
        <is>
          <t>VÄSTERNORRLANDS LÄN</t>
        </is>
      </c>
      <c r="E800" t="inlineStr">
        <is>
          <t>ÅNGE</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49600-2025</t>
        </is>
      </c>
      <c r="B801" s="1" t="n">
        <v>45939.54434027777</v>
      </c>
      <c r="C801" s="1" t="n">
        <v>46032</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54771-2023</t>
        </is>
      </c>
      <c r="B802" s="1" t="n">
        <v>45229</v>
      </c>
      <c r="C802" s="1" t="n">
        <v>46032</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34031-2025</t>
        </is>
      </c>
      <c r="B803" s="1" t="n">
        <v>45845.36508101852</v>
      </c>
      <c r="C803" s="1" t="n">
        <v>46032</v>
      </c>
      <c r="D803" t="inlineStr">
        <is>
          <t>VÄSTERNORRLANDS LÄN</t>
        </is>
      </c>
      <c r="E803" t="inlineStr">
        <is>
          <t>ÅNGE</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26011-2024</t>
        </is>
      </c>
      <c r="B804" s="1" t="n">
        <v>45467.95828703704</v>
      </c>
      <c r="C804" s="1" t="n">
        <v>46032</v>
      </c>
      <c r="D804" t="inlineStr">
        <is>
          <t>VÄSTERNORRLANDS LÄN</t>
        </is>
      </c>
      <c r="E804" t="inlineStr">
        <is>
          <t>ÅNGE</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26014-2024</t>
        </is>
      </c>
      <c r="B805" s="1" t="n">
        <v>45467.95862268518</v>
      </c>
      <c r="C805" s="1" t="n">
        <v>46032</v>
      </c>
      <c r="D805" t="inlineStr">
        <is>
          <t>VÄSTERNORRLANDS LÄN</t>
        </is>
      </c>
      <c r="E805" t="inlineStr">
        <is>
          <t>ÅNGE</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50009-2025</t>
        </is>
      </c>
      <c r="B806" s="1" t="n">
        <v>45943.34527777778</v>
      </c>
      <c r="C806" s="1" t="n">
        <v>46032</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3629-2023</t>
        </is>
      </c>
      <c r="B807" s="1" t="n">
        <v>44950</v>
      </c>
      <c r="C807" s="1" t="n">
        <v>46032</v>
      </c>
      <c r="D807" t="inlineStr">
        <is>
          <t>VÄSTERNORRLANDS LÄN</t>
        </is>
      </c>
      <c r="E807" t="inlineStr">
        <is>
          <t>ÅNGE</t>
        </is>
      </c>
      <c r="G807" t="n">
        <v>2.5</v>
      </c>
      <c r="H807" t="n">
        <v>0</v>
      </c>
      <c r="I807" t="n">
        <v>0</v>
      </c>
      <c r="J807" t="n">
        <v>0</v>
      </c>
      <c r="K807" t="n">
        <v>0</v>
      </c>
      <c r="L807" t="n">
        <v>0</v>
      </c>
      <c r="M807" t="n">
        <v>0</v>
      </c>
      <c r="N807" t="n">
        <v>0</v>
      </c>
      <c r="O807" t="n">
        <v>0</v>
      </c>
      <c r="P807" t="n">
        <v>0</v>
      </c>
      <c r="Q807" t="n">
        <v>0</v>
      </c>
      <c r="R807" s="2" t="inlineStr"/>
    </row>
    <row r="808" ht="15" customHeight="1">
      <c r="A808" t="inlineStr">
        <is>
          <t>A 3631-2023</t>
        </is>
      </c>
      <c r="B808" s="1" t="n">
        <v>44950</v>
      </c>
      <c r="C808" s="1" t="n">
        <v>46032</v>
      </c>
      <c r="D808" t="inlineStr">
        <is>
          <t>VÄSTERNORRLANDS LÄN</t>
        </is>
      </c>
      <c r="E808" t="inlineStr">
        <is>
          <t>ÅNGE</t>
        </is>
      </c>
      <c r="G808" t="n">
        <v>0.8</v>
      </c>
      <c r="H808" t="n">
        <v>0</v>
      </c>
      <c r="I808" t="n">
        <v>0</v>
      </c>
      <c r="J808" t="n">
        <v>0</v>
      </c>
      <c r="K808" t="n">
        <v>0</v>
      </c>
      <c r="L808" t="n">
        <v>0</v>
      </c>
      <c r="M808" t="n">
        <v>0</v>
      </c>
      <c r="N808" t="n">
        <v>0</v>
      </c>
      <c r="O808" t="n">
        <v>0</v>
      </c>
      <c r="P808" t="n">
        <v>0</v>
      </c>
      <c r="Q808" t="n">
        <v>0</v>
      </c>
      <c r="R808" s="2" t="inlineStr"/>
    </row>
    <row r="809" ht="15" customHeight="1">
      <c r="A809" t="inlineStr">
        <is>
          <t>A 52411-2025</t>
        </is>
      </c>
      <c r="B809" s="1" t="n">
        <v>45954.36518518518</v>
      </c>
      <c r="C809" s="1" t="n">
        <v>46032</v>
      </c>
      <c r="D809" t="inlineStr">
        <is>
          <t>VÄSTERNORRLANDS LÄN</t>
        </is>
      </c>
      <c r="E809" t="inlineStr">
        <is>
          <t>ÅNGE</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33738-2025</t>
        </is>
      </c>
      <c r="B810" s="1" t="n">
        <v>45842.33795138889</v>
      </c>
      <c r="C810" s="1" t="n">
        <v>46032</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50210-2025</t>
        </is>
      </c>
      <c r="B811" s="1" t="n">
        <v>45943.67379629629</v>
      </c>
      <c r="C811" s="1" t="n">
        <v>46032</v>
      </c>
      <c r="D811" t="inlineStr">
        <is>
          <t>VÄSTERNORRLANDS LÄN</t>
        </is>
      </c>
      <c r="E811" t="inlineStr">
        <is>
          <t>ÅNGE</t>
        </is>
      </c>
      <c r="G811" t="n">
        <v>2.5</v>
      </c>
      <c r="H811" t="n">
        <v>0</v>
      </c>
      <c r="I811" t="n">
        <v>0</v>
      </c>
      <c r="J811" t="n">
        <v>0</v>
      </c>
      <c r="K811" t="n">
        <v>0</v>
      </c>
      <c r="L811" t="n">
        <v>0</v>
      </c>
      <c r="M811" t="n">
        <v>0</v>
      </c>
      <c r="N811" t="n">
        <v>0</v>
      </c>
      <c r="O811" t="n">
        <v>0</v>
      </c>
      <c r="P811" t="n">
        <v>0</v>
      </c>
      <c r="Q811" t="n">
        <v>0</v>
      </c>
      <c r="R811" s="2" t="inlineStr"/>
    </row>
    <row r="812" ht="15" customHeight="1">
      <c r="A812" t="inlineStr">
        <is>
          <t>A 17703-2025</t>
        </is>
      </c>
      <c r="B812" s="1" t="n">
        <v>45758.4275462963</v>
      </c>
      <c r="C812" s="1" t="n">
        <v>46032</v>
      </c>
      <c r="D812" t="inlineStr">
        <is>
          <t>VÄSTERNORRLANDS LÄN</t>
        </is>
      </c>
      <c r="E812" t="inlineStr">
        <is>
          <t>ÅNGE</t>
        </is>
      </c>
      <c r="G812" t="n">
        <v>2.5</v>
      </c>
      <c r="H812" t="n">
        <v>0</v>
      </c>
      <c r="I812" t="n">
        <v>0</v>
      </c>
      <c r="J812" t="n">
        <v>0</v>
      </c>
      <c r="K812" t="n">
        <v>0</v>
      </c>
      <c r="L812" t="n">
        <v>0</v>
      </c>
      <c r="M812" t="n">
        <v>0</v>
      </c>
      <c r="N812" t="n">
        <v>0</v>
      </c>
      <c r="O812" t="n">
        <v>0</v>
      </c>
      <c r="P812" t="n">
        <v>0</v>
      </c>
      <c r="Q812" t="n">
        <v>0</v>
      </c>
      <c r="R812" s="2" t="inlineStr"/>
    </row>
    <row r="813" ht="15" customHeight="1">
      <c r="A813" t="inlineStr">
        <is>
          <t>A 60864-2025</t>
        </is>
      </c>
      <c r="B813" s="1" t="n">
        <v>45999.53170138889</v>
      </c>
      <c r="C813" s="1" t="n">
        <v>46032</v>
      </c>
      <c r="D813" t="inlineStr">
        <is>
          <t>VÄSTERNORRLANDS LÄN</t>
        </is>
      </c>
      <c r="E813" t="inlineStr">
        <is>
          <t>ÅNGE</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50001-2025</t>
        </is>
      </c>
      <c r="B814" s="1" t="n">
        <v>45943.34421296296</v>
      </c>
      <c r="C814" s="1" t="n">
        <v>46032</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50008-2025</t>
        </is>
      </c>
      <c r="B815" s="1" t="n">
        <v>45943.34515046296</v>
      </c>
      <c r="C815" s="1" t="n">
        <v>46032</v>
      </c>
      <c r="D815" t="inlineStr">
        <is>
          <t>VÄSTERNORRLANDS LÄN</t>
        </is>
      </c>
      <c r="E815" t="inlineStr">
        <is>
          <t>ÅNGE</t>
        </is>
      </c>
      <c r="G815" t="n">
        <v>13.9</v>
      </c>
      <c r="H815" t="n">
        <v>0</v>
      </c>
      <c r="I815" t="n">
        <v>0</v>
      </c>
      <c r="J815" t="n">
        <v>0</v>
      </c>
      <c r="K815" t="n">
        <v>0</v>
      </c>
      <c r="L815" t="n">
        <v>0</v>
      </c>
      <c r="M815" t="n">
        <v>0</v>
      </c>
      <c r="N815" t="n">
        <v>0</v>
      </c>
      <c r="O815" t="n">
        <v>0</v>
      </c>
      <c r="P815" t="n">
        <v>0</v>
      </c>
      <c r="Q815" t="n">
        <v>0</v>
      </c>
      <c r="R815" s="2" t="inlineStr"/>
    </row>
    <row r="816" ht="15" customHeight="1">
      <c r="A816" t="inlineStr">
        <is>
          <t>A 33782-2025</t>
        </is>
      </c>
      <c r="B816" s="1" t="n">
        <v>45842.40678240741</v>
      </c>
      <c r="C816" s="1" t="n">
        <v>46032</v>
      </c>
      <c r="D816" t="inlineStr">
        <is>
          <t>VÄSTERNORRLANDS LÄN</t>
        </is>
      </c>
      <c r="E816" t="inlineStr">
        <is>
          <t>ÅNGE</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28779-2023</t>
        </is>
      </c>
      <c r="B817" s="1" t="n">
        <v>45104.34314814815</v>
      </c>
      <c r="C817" s="1" t="n">
        <v>46032</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25311-2023</t>
        </is>
      </c>
      <c r="B818" s="1" t="n">
        <v>45086.93869212963</v>
      </c>
      <c r="C818" s="1" t="n">
        <v>46032</v>
      </c>
      <c r="D818" t="inlineStr">
        <is>
          <t>VÄSTERNORRLANDS LÄN</t>
        </is>
      </c>
      <c r="E818" t="inlineStr">
        <is>
          <t>ÅNGE</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34019-2025</t>
        </is>
      </c>
      <c r="B819" s="1" t="n">
        <v>45845.34416666667</v>
      </c>
      <c r="C819" s="1" t="n">
        <v>46032</v>
      </c>
      <c r="D819" t="inlineStr">
        <is>
          <t>VÄSTERNORRLANDS LÄN</t>
        </is>
      </c>
      <c r="E819" t="inlineStr">
        <is>
          <t>ÅNGE</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28873-2024</t>
        </is>
      </c>
      <c r="B820" s="1" t="n">
        <v>45478.94766203704</v>
      </c>
      <c r="C820" s="1" t="n">
        <v>46032</v>
      </c>
      <c r="D820" t="inlineStr">
        <is>
          <t>VÄSTERNORRLANDS LÄN</t>
        </is>
      </c>
      <c r="E820" t="inlineStr">
        <is>
          <t>ÅNGE</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27682-2023</t>
        </is>
      </c>
      <c r="B821" s="1" t="n">
        <v>45097.93758101852</v>
      </c>
      <c r="C821" s="1" t="n">
        <v>46032</v>
      </c>
      <c r="D821" t="inlineStr">
        <is>
          <t>VÄSTERNORRLANDS LÄN</t>
        </is>
      </c>
      <c r="E821" t="inlineStr">
        <is>
          <t>ÅNGE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50612-2024</t>
        </is>
      </c>
      <c r="B822" s="1" t="n">
        <v>45601</v>
      </c>
      <c r="C822" s="1" t="n">
        <v>46032</v>
      </c>
      <c r="D822" t="inlineStr">
        <is>
          <t>VÄSTERNORRLANDS LÄN</t>
        </is>
      </c>
      <c r="E822" t="inlineStr">
        <is>
          <t>ÅNGE</t>
        </is>
      </c>
      <c r="G822" t="n">
        <v>1.9</v>
      </c>
      <c r="H822" t="n">
        <v>0</v>
      </c>
      <c r="I822" t="n">
        <v>0</v>
      </c>
      <c r="J822" t="n">
        <v>0</v>
      </c>
      <c r="K822" t="n">
        <v>0</v>
      </c>
      <c r="L822" t="n">
        <v>0</v>
      </c>
      <c r="M822" t="n">
        <v>0</v>
      </c>
      <c r="N822" t="n">
        <v>0</v>
      </c>
      <c r="O822" t="n">
        <v>0</v>
      </c>
      <c r="P822" t="n">
        <v>0</v>
      </c>
      <c r="Q822" t="n">
        <v>0</v>
      </c>
      <c r="R822" s="2" t="inlineStr"/>
    </row>
    <row r="823" ht="15" customHeight="1">
      <c r="A823" t="inlineStr">
        <is>
          <t>A 33717-2025</t>
        </is>
      </c>
      <c r="B823" s="1" t="n">
        <v>45841.89357638889</v>
      </c>
      <c r="C823" s="1" t="n">
        <v>46032</v>
      </c>
      <c r="D823" t="inlineStr">
        <is>
          <t>VÄSTERNORRLANDS LÄN</t>
        </is>
      </c>
      <c r="E823" t="inlineStr">
        <is>
          <t>ÅNGE</t>
        </is>
      </c>
      <c r="G823" t="n">
        <v>14.3</v>
      </c>
      <c r="H823" t="n">
        <v>0</v>
      </c>
      <c r="I823" t="n">
        <v>0</v>
      </c>
      <c r="J823" t="n">
        <v>0</v>
      </c>
      <c r="K823" t="n">
        <v>0</v>
      </c>
      <c r="L823" t="n">
        <v>0</v>
      </c>
      <c r="M823" t="n">
        <v>0</v>
      </c>
      <c r="N823" t="n">
        <v>0</v>
      </c>
      <c r="O823" t="n">
        <v>0</v>
      </c>
      <c r="P823" t="n">
        <v>0</v>
      </c>
      <c r="Q823" t="n">
        <v>0</v>
      </c>
      <c r="R823" s="2" t="inlineStr"/>
    </row>
    <row r="824" ht="15" customHeight="1">
      <c r="A824" t="inlineStr">
        <is>
          <t>A 50291-2025</t>
        </is>
      </c>
      <c r="B824" s="1" t="n">
        <v>45944.40677083333</v>
      </c>
      <c r="C824" s="1" t="n">
        <v>46032</v>
      </c>
      <c r="D824" t="inlineStr">
        <is>
          <t>VÄSTERNORRLANDS LÄN</t>
        </is>
      </c>
      <c r="E824" t="inlineStr">
        <is>
          <t>ÅNGE</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60590-2025</t>
        </is>
      </c>
      <c r="B825" s="1" t="n">
        <v>45994</v>
      </c>
      <c r="C825" s="1" t="n">
        <v>46032</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50460-2025</t>
        </is>
      </c>
      <c r="B826" s="1" t="n">
        <v>45945.345</v>
      </c>
      <c r="C826" s="1" t="n">
        <v>46032</v>
      </c>
      <c r="D826" t="inlineStr">
        <is>
          <t>VÄSTERNORRLANDS LÄN</t>
        </is>
      </c>
      <c r="E826" t="inlineStr">
        <is>
          <t>ÅNGE</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50571-2025</t>
        </is>
      </c>
      <c r="B827" s="1" t="n">
        <v>45945.57443287037</v>
      </c>
      <c r="C827" s="1" t="n">
        <v>46032</v>
      </c>
      <c r="D827" t="inlineStr">
        <is>
          <t>VÄSTERNORRLANDS LÄN</t>
        </is>
      </c>
      <c r="E827" t="inlineStr">
        <is>
          <t>ÅNGE</t>
        </is>
      </c>
      <c r="G827" t="n">
        <v>2.5</v>
      </c>
      <c r="H827" t="n">
        <v>0</v>
      </c>
      <c r="I827" t="n">
        <v>0</v>
      </c>
      <c r="J827" t="n">
        <v>0</v>
      </c>
      <c r="K827" t="n">
        <v>0</v>
      </c>
      <c r="L827" t="n">
        <v>0</v>
      </c>
      <c r="M827" t="n">
        <v>0</v>
      </c>
      <c r="N827" t="n">
        <v>0</v>
      </c>
      <c r="O827" t="n">
        <v>0</v>
      </c>
      <c r="P827" t="n">
        <v>0</v>
      </c>
      <c r="Q827" t="n">
        <v>0</v>
      </c>
      <c r="R827" s="2" t="inlineStr"/>
    </row>
    <row r="828" ht="15" customHeight="1">
      <c r="A828" t="inlineStr">
        <is>
          <t>A 56699-2023</t>
        </is>
      </c>
      <c r="B828" s="1" t="n">
        <v>45243</v>
      </c>
      <c r="C828" s="1" t="n">
        <v>46032</v>
      </c>
      <c r="D828" t="inlineStr">
        <is>
          <t>VÄSTERNORRLANDS LÄN</t>
        </is>
      </c>
      <c r="E828" t="inlineStr">
        <is>
          <t>ÅNGE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30751-2024</t>
        </is>
      </c>
      <c r="B829" s="1" t="n">
        <v>45496.69339120371</v>
      </c>
      <c r="C829" s="1" t="n">
        <v>46032</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55324-2023</t>
        </is>
      </c>
      <c r="B830" s="1" t="n">
        <v>45237.9734837963</v>
      </c>
      <c r="C830" s="1" t="n">
        <v>46032</v>
      </c>
      <c r="D830" t="inlineStr">
        <is>
          <t>VÄSTERNORRLANDS LÄN</t>
        </is>
      </c>
      <c r="E830" t="inlineStr">
        <is>
          <t>ÅNGE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60599-2025</t>
        </is>
      </c>
      <c r="B831" s="1" t="n">
        <v>45994</v>
      </c>
      <c r="C831" s="1" t="n">
        <v>46032</v>
      </c>
      <c r="D831" t="inlineStr">
        <is>
          <t>VÄSTERNORRLANDS LÄN</t>
        </is>
      </c>
      <c r="E831" t="inlineStr">
        <is>
          <t>ÅNGE</t>
        </is>
      </c>
      <c r="G831" t="n">
        <v>5</v>
      </c>
      <c r="H831" t="n">
        <v>0</v>
      </c>
      <c r="I831" t="n">
        <v>0</v>
      </c>
      <c r="J831" t="n">
        <v>0</v>
      </c>
      <c r="K831" t="n">
        <v>0</v>
      </c>
      <c r="L831" t="n">
        <v>0</v>
      </c>
      <c r="M831" t="n">
        <v>0</v>
      </c>
      <c r="N831" t="n">
        <v>0</v>
      </c>
      <c r="O831" t="n">
        <v>0</v>
      </c>
      <c r="P831" t="n">
        <v>0</v>
      </c>
      <c r="Q831" t="n">
        <v>0</v>
      </c>
      <c r="R831" s="2" t="inlineStr"/>
    </row>
    <row r="832" ht="15" customHeight="1">
      <c r="A832" t="inlineStr">
        <is>
          <t>A 52858-2025</t>
        </is>
      </c>
      <c r="B832" s="1" t="n">
        <v>45957.50284722223</v>
      </c>
      <c r="C832" s="1" t="n">
        <v>46032</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34591-2025</t>
        </is>
      </c>
      <c r="B833" s="1" t="n">
        <v>45847.62920138889</v>
      </c>
      <c r="C833" s="1" t="n">
        <v>46032</v>
      </c>
      <c r="D833" t="inlineStr">
        <is>
          <t>VÄSTERNORRLANDS LÄN</t>
        </is>
      </c>
      <c r="E833" t="inlineStr">
        <is>
          <t>ÅNGE</t>
        </is>
      </c>
      <c r="G833" t="n">
        <v>0.9</v>
      </c>
      <c r="H833" t="n">
        <v>0</v>
      </c>
      <c r="I833" t="n">
        <v>0</v>
      </c>
      <c r="J833" t="n">
        <v>0</v>
      </c>
      <c r="K833" t="n">
        <v>0</v>
      </c>
      <c r="L833" t="n">
        <v>0</v>
      </c>
      <c r="M833" t="n">
        <v>0</v>
      </c>
      <c r="N833" t="n">
        <v>0</v>
      </c>
      <c r="O833" t="n">
        <v>0</v>
      </c>
      <c r="P833" t="n">
        <v>0</v>
      </c>
      <c r="Q833" t="n">
        <v>0</v>
      </c>
      <c r="R833" s="2" t="inlineStr"/>
    </row>
    <row r="834" ht="15" customHeight="1">
      <c r="A834" t="inlineStr">
        <is>
          <t>A 34593-2025</t>
        </is>
      </c>
      <c r="B834" s="1" t="n">
        <v>45847.6316087963</v>
      </c>
      <c r="C834" s="1" t="n">
        <v>46032</v>
      </c>
      <c r="D834" t="inlineStr">
        <is>
          <t>VÄSTERNORRLANDS LÄN</t>
        </is>
      </c>
      <c r="E834" t="inlineStr">
        <is>
          <t>ÅNGE</t>
        </is>
      </c>
      <c r="G834" t="n">
        <v>5.3</v>
      </c>
      <c r="H834" t="n">
        <v>0</v>
      </c>
      <c r="I834" t="n">
        <v>0</v>
      </c>
      <c r="J834" t="n">
        <v>0</v>
      </c>
      <c r="K834" t="n">
        <v>0</v>
      </c>
      <c r="L834" t="n">
        <v>0</v>
      </c>
      <c r="M834" t="n">
        <v>0</v>
      </c>
      <c r="N834" t="n">
        <v>0</v>
      </c>
      <c r="O834" t="n">
        <v>0</v>
      </c>
      <c r="P834" t="n">
        <v>0</v>
      </c>
      <c r="Q834" t="n">
        <v>0</v>
      </c>
      <c r="R834" s="2" t="inlineStr"/>
    </row>
    <row r="835" ht="15" customHeight="1">
      <c r="A835" t="inlineStr">
        <is>
          <t>A 58445-2022</t>
        </is>
      </c>
      <c r="B835" s="1" t="n">
        <v>44901.95453703704</v>
      </c>
      <c r="C835" s="1" t="n">
        <v>46032</v>
      </c>
      <c r="D835" t="inlineStr">
        <is>
          <t>VÄSTERNORRLANDS LÄN</t>
        </is>
      </c>
      <c r="E835" t="inlineStr">
        <is>
          <t>ÅNGE</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34785-2025</t>
        </is>
      </c>
      <c r="B836" s="1" t="n">
        <v>45848.67771990741</v>
      </c>
      <c r="C836" s="1" t="n">
        <v>46032</v>
      </c>
      <c r="D836" t="inlineStr">
        <is>
          <t>VÄSTERNORRLANDS LÄN</t>
        </is>
      </c>
      <c r="E836" t="inlineStr">
        <is>
          <t>ÅNGE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25680-2023</t>
        </is>
      </c>
      <c r="B837" s="1" t="n">
        <v>45089</v>
      </c>
      <c r="C837" s="1" t="n">
        <v>46032</v>
      </c>
      <c r="D837" t="inlineStr">
        <is>
          <t>VÄSTERNORRLANDS LÄN</t>
        </is>
      </c>
      <c r="E837" t="inlineStr">
        <is>
          <t>ÅNGE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61486-2025</t>
        </is>
      </c>
      <c r="B838" s="1" t="n">
        <v>46001.63607638889</v>
      </c>
      <c r="C838" s="1" t="n">
        <v>46032</v>
      </c>
      <c r="D838" t="inlineStr">
        <is>
          <t>VÄSTERNORRLANDS LÄN</t>
        </is>
      </c>
      <c r="E838" t="inlineStr">
        <is>
          <t>ÅNGE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61500-2025</t>
        </is>
      </c>
      <c r="B839" s="1" t="n">
        <v>46001.65667824074</v>
      </c>
      <c r="C839" s="1" t="n">
        <v>46032</v>
      </c>
      <c r="D839" t="inlineStr">
        <is>
          <t>VÄSTERNORRLANDS LÄN</t>
        </is>
      </c>
      <c r="E839" t="inlineStr">
        <is>
          <t>ÅNGE</t>
        </is>
      </c>
      <c r="G839" t="n">
        <v>0.8</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46032</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55007-2022</t>
        </is>
      </c>
      <c r="B841" s="1" t="n">
        <v>44881</v>
      </c>
      <c r="C841" s="1" t="n">
        <v>46032</v>
      </c>
      <c r="D841" t="inlineStr">
        <is>
          <t>VÄSTERNORRLANDS LÄN</t>
        </is>
      </c>
      <c r="E841" t="inlineStr">
        <is>
          <t>ÅNGE</t>
        </is>
      </c>
      <c r="G841" t="n">
        <v>2</v>
      </c>
      <c r="H841" t="n">
        <v>0</v>
      </c>
      <c r="I841" t="n">
        <v>0</v>
      </c>
      <c r="J841" t="n">
        <v>0</v>
      </c>
      <c r="K841" t="n">
        <v>0</v>
      </c>
      <c r="L841" t="n">
        <v>0</v>
      </c>
      <c r="M841" t="n">
        <v>0</v>
      </c>
      <c r="N841" t="n">
        <v>0</v>
      </c>
      <c r="O841" t="n">
        <v>0</v>
      </c>
      <c r="P841" t="n">
        <v>0</v>
      </c>
      <c r="Q841" t="n">
        <v>0</v>
      </c>
      <c r="R841" s="2" t="inlineStr"/>
    </row>
    <row r="842" ht="15" customHeight="1">
      <c r="A842" t="inlineStr">
        <is>
          <t>A 63607-2021</t>
        </is>
      </c>
      <c r="B842" s="1" t="n">
        <v>44508.94650462963</v>
      </c>
      <c r="C842" s="1" t="n">
        <v>46032</v>
      </c>
      <c r="D842" t="inlineStr">
        <is>
          <t>VÄSTERNORRLANDS LÄN</t>
        </is>
      </c>
      <c r="E842" t="inlineStr">
        <is>
          <t>ÅNGE</t>
        </is>
      </c>
      <c r="F842" t="inlineStr">
        <is>
          <t>SCA</t>
        </is>
      </c>
      <c r="G842" t="n">
        <v>6.7</v>
      </c>
      <c r="H842" t="n">
        <v>0</v>
      </c>
      <c r="I842" t="n">
        <v>0</v>
      </c>
      <c r="J842" t="n">
        <v>0</v>
      </c>
      <c r="K842" t="n">
        <v>0</v>
      </c>
      <c r="L842" t="n">
        <v>0</v>
      </c>
      <c r="M842" t="n">
        <v>0</v>
      </c>
      <c r="N842" t="n">
        <v>0</v>
      </c>
      <c r="O842" t="n">
        <v>0</v>
      </c>
      <c r="P842" t="n">
        <v>0</v>
      </c>
      <c r="Q842" t="n">
        <v>0</v>
      </c>
      <c r="R842" s="2" t="inlineStr"/>
    </row>
    <row r="843" ht="15" customHeight="1">
      <c r="A843" t="inlineStr">
        <is>
          <t>A 41222-2024</t>
        </is>
      </c>
      <c r="B843" s="1" t="n">
        <v>45559.55306712963</v>
      </c>
      <c r="C843" s="1" t="n">
        <v>46032</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35143-2025</t>
        </is>
      </c>
      <c r="B844" s="1" t="n">
        <v>45852.65660879629</v>
      </c>
      <c r="C844" s="1" t="n">
        <v>46032</v>
      </c>
      <c r="D844" t="inlineStr">
        <is>
          <t>VÄSTERNORRLANDS LÄN</t>
        </is>
      </c>
      <c r="E844" t="inlineStr">
        <is>
          <t>ÅNGE</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13706-2023</t>
        </is>
      </c>
      <c r="B845" s="1" t="n">
        <v>45006</v>
      </c>
      <c r="C845" s="1" t="n">
        <v>46032</v>
      </c>
      <c r="D845" t="inlineStr">
        <is>
          <t>VÄSTERNORRLANDS LÄN</t>
        </is>
      </c>
      <c r="E845" t="inlineStr">
        <is>
          <t>ÅNGE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61279-2025</t>
        </is>
      </c>
      <c r="B846" s="1" t="n">
        <v>46000.69841435185</v>
      </c>
      <c r="C846" s="1" t="n">
        <v>46032</v>
      </c>
      <c r="D846" t="inlineStr">
        <is>
          <t>VÄSTERNORRLANDS LÄN</t>
        </is>
      </c>
      <c r="E846" t="inlineStr">
        <is>
          <t>ÅNGE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35061-2025</t>
        </is>
      </c>
      <c r="B847" s="1" t="n">
        <v>45852</v>
      </c>
      <c r="C847" s="1" t="n">
        <v>46032</v>
      </c>
      <c r="D847" t="inlineStr">
        <is>
          <t>VÄSTERNORRLANDS LÄN</t>
        </is>
      </c>
      <c r="E847" t="inlineStr">
        <is>
          <t>ÅNGE</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61075-2025</t>
        </is>
      </c>
      <c r="B848" s="1" t="n">
        <v>46000.3959837963</v>
      </c>
      <c r="C848" s="1" t="n">
        <v>46032</v>
      </c>
      <c r="D848" t="inlineStr">
        <is>
          <t>VÄSTERNORRLANDS LÄN</t>
        </is>
      </c>
      <c r="E848" t="inlineStr">
        <is>
          <t>ÅNGE</t>
        </is>
      </c>
      <c r="F848" t="inlineStr">
        <is>
          <t>Holmen skog AB</t>
        </is>
      </c>
      <c r="G848" t="n">
        <v>7.9</v>
      </c>
      <c r="H848" t="n">
        <v>0</v>
      </c>
      <c r="I848" t="n">
        <v>0</v>
      </c>
      <c r="J848" t="n">
        <v>0</v>
      </c>
      <c r="K848" t="n">
        <v>0</v>
      </c>
      <c r="L848" t="n">
        <v>0</v>
      </c>
      <c r="M848" t="n">
        <v>0</v>
      </c>
      <c r="N848" t="n">
        <v>0</v>
      </c>
      <c r="O848" t="n">
        <v>0</v>
      </c>
      <c r="P848" t="n">
        <v>0</v>
      </c>
      <c r="Q848" t="n">
        <v>0</v>
      </c>
      <c r="R848" s="2" t="inlineStr"/>
    </row>
    <row r="849" ht="15" customHeight="1">
      <c r="A849" t="inlineStr">
        <is>
          <t>A 36342-2024</t>
        </is>
      </c>
      <c r="B849" s="1" t="n">
        <v>45534.64315972223</v>
      </c>
      <c r="C849" s="1" t="n">
        <v>46032</v>
      </c>
      <c r="D849" t="inlineStr">
        <is>
          <t>VÄSTERNORRLANDS LÄN</t>
        </is>
      </c>
      <c r="E849" t="inlineStr">
        <is>
          <t>ÅNGE</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53381-2025</t>
        </is>
      </c>
      <c r="B850" s="1" t="n">
        <v>45959.53690972222</v>
      </c>
      <c r="C850" s="1" t="n">
        <v>46032</v>
      </c>
      <c r="D850" t="inlineStr">
        <is>
          <t>VÄSTERNORRLANDS LÄN</t>
        </is>
      </c>
      <c r="E850" t="inlineStr">
        <is>
          <t>ÅNGE</t>
        </is>
      </c>
      <c r="G850" t="n">
        <v>9.6</v>
      </c>
      <c r="H850" t="n">
        <v>0</v>
      </c>
      <c r="I850" t="n">
        <v>0</v>
      </c>
      <c r="J850" t="n">
        <v>0</v>
      </c>
      <c r="K850" t="n">
        <v>0</v>
      </c>
      <c r="L850" t="n">
        <v>0</v>
      </c>
      <c r="M850" t="n">
        <v>0</v>
      </c>
      <c r="N850" t="n">
        <v>0</v>
      </c>
      <c r="O850" t="n">
        <v>0</v>
      </c>
      <c r="P850" t="n">
        <v>0</v>
      </c>
      <c r="Q850" t="n">
        <v>0</v>
      </c>
      <c r="R850" s="2" t="inlineStr"/>
    </row>
    <row r="851" ht="15" customHeight="1">
      <c r="A851" t="inlineStr">
        <is>
          <t>A 35432-2025</t>
        </is>
      </c>
      <c r="B851" s="1" t="n">
        <v>45855.44831018519</v>
      </c>
      <c r="C851" s="1" t="n">
        <v>46032</v>
      </c>
      <c r="D851" t="inlineStr">
        <is>
          <t>VÄSTERNORRLANDS LÄN</t>
        </is>
      </c>
      <c r="E851" t="inlineStr">
        <is>
          <t>ÅNGE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17749-2025</t>
        </is>
      </c>
      <c r="B852" s="1" t="n">
        <v>45758.48380787037</v>
      </c>
      <c r="C852" s="1" t="n">
        <v>46032</v>
      </c>
      <c r="D852" t="inlineStr">
        <is>
          <t>VÄSTERNORRLANDS LÄN</t>
        </is>
      </c>
      <c r="E852" t="inlineStr">
        <is>
          <t>ÅNGE</t>
        </is>
      </c>
      <c r="G852" t="n">
        <v>7.3</v>
      </c>
      <c r="H852" t="n">
        <v>0</v>
      </c>
      <c r="I852" t="n">
        <v>0</v>
      </c>
      <c r="J852" t="n">
        <v>0</v>
      </c>
      <c r="K852" t="n">
        <v>0</v>
      </c>
      <c r="L852" t="n">
        <v>0</v>
      </c>
      <c r="M852" t="n">
        <v>0</v>
      </c>
      <c r="N852" t="n">
        <v>0</v>
      </c>
      <c r="O852" t="n">
        <v>0</v>
      </c>
      <c r="P852" t="n">
        <v>0</v>
      </c>
      <c r="Q852" t="n">
        <v>0</v>
      </c>
      <c r="R852" s="2" t="inlineStr"/>
    </row>
    <row r="853" ht="15" customHeight="1">
      <c r="A853" t="inlineStr">
        <is>
          <t>A 35497-2025</t>
        </is>
      </c>
      <c r="B853" s="1" t="n">
        <v>45856.29752314815</v>
      </c>
      <c r="C853" s="1" t="n">
        <v>46032</v>
      </c>
      <c r="D853" t="inlineStr">
        <is>
          <t>VÄSTERNORRLANDS LÄN</t>
        </is>
      </c>
      <c r="E853" t="inlineStr">
        <is>
          <t>ÅNGE</t>
        </is>
      </c>
      <c r="G853" t="n">
        <v>0.7</v>
      </c>
      <c r="H853" t="n">
        <v>0</v>
      </c>
      <c r="I853" t="n">
        <v>0</v>
      </c>
      <c r="J853" t="n">
        <v>0</v>
      </c>
      <c r="K853" t="n">
        <v>0</v>
      </c>
      <c r="L853" t="n">
        <v>0</v>
      </c>
      <c r="M853" t="n">
        <v>0</v>
      </c>
      <c r="N853" t="n">
        <v>0</v>
      </c>
      <c r="O853" t="n">
        <v>0</v>
      </c>
      <c r="P853" t="n">
        <v>0</v>
      </c>
      <c r="Q853" t="n">
        <v>0</v>
      </c>
      <c r="R853" s="2" t="inlineStr"/>
    </row>
    <row r="854" ht="15" customHeight="1">
      <c r="A854" t="inlineStr">
        <is>
          <t>A 35577-2025</t>
        </is>
      </c>
      <c r="B854" s="1" t="n">
        <v>45856.67762731481</v>
      </c>
      <c r="C854" s="1" t="n">
        <v>46032</v>
      </c>
      <c r="D854" t="inlineStr">
        <is>
          <t>VÄSTERNORRLANDS LÄN</t>
        </is>
      </c>
      <c r="E854" t="inlineStr">
        <is>
          <t>ÅNGE</t>
        </is>
      </c>
      <c r="F854" t="inlineStr">
        <is>
          <t>SCA</t>
        </is>
      </c>
      <c r="G854" t="n">
        <v>4.2</v>
      </c>
      <c r="H854" t="n">
        <v>0</v>
      </c>
      <c r="I854" t="n">
        <v>0</v>
      </c>
      <c r="J854" t="n">
        <v>0</v>
      </c>
      <c r="K854" t="n">
        <v>0</v>
      </c>
      <c r="L854" t="n">
        <v>0</v>
      </c>
      <c r="M854" t="n">
        <v>0</v>
      </c>
      <c r="N854" t="n">
        <v>0</v>
      </c>
      <c r="O854" t="n">
        <v>0</v>
      </c>
      <c r="P854" t="n">
        <v>0</v>
      </c>
      <c r="Q854" t="n">
        <v>0</v>
      </c>
      <c r="R854" s="2" t="inlineStr"/>
    </row>
    <row r="855" ht="15" customHeight="1">
      <c r="A855" t="inlineStr">
        <is>
          <t>A 35548-2025</t>
        </is>
      </c>
      <c r="B855" s="1" t="n">
        <v>45856.48995370371</v>
      </c>
      <c r="C855" s="1" t="n">
        <v>46032</v>
      </c>
      <c r="D855" t="inlineStr">
        <is>
          <t>VÄSTERNORRLANDS LÄN</t>
        </is>
      </c>
      <c r="E855" t="inlineStr">
        <is>
          <t>ÅNGE</t>
        </is>
      </c>
      <c r="F855" t="inlineStr">
        <is>
          <t>SCA</t>
        </is>
      </c>
      <c r="G855" t="n">
        <v>14.6</v>
      </c>
      <c r="H855" t="n">
        <v>0</v>
      </c>
      <c r="I855" t="n">
        <v>0</v>
      </c>
      <c r="J855" t="n">
        <v>0</v>
      </c>
      <c r="K855" t="n">
        <v>0</v>
      </c>
      <c r="L855" t="n">
        <v>0</v>
      </c>
      <c r="M855" t="n">
        <v>0</v>
      </c>
      <c r="N855" t="n">
        <v>0</v>
      </c>
      <c r="O855" t="n">
        <v>0</v>
      </c>
      <c r="P855" t="n">
        <v>0</v>
      </c>
      <c r="Q855" t="n">
        <v>0</v>
      </c>
      <c r="R855" s="2" t="inlineStr"/>
    </row>
    <row r="856" ht="15" customHeight="1">
      <c r="A856" t="inlineStr">
        <is>
          <t>A 35575-2025</t>
        </is>
      </c>
      <c r="B856" s="1" t="n">
        <v>45856.63591435185</v>
      </c>
      <c r="C856" s="1" t="n">
        <v>46032</v>
      </c>
      <c r="D856" t="inlineStr">
        <is>
          <t>VÄSTERNORRLANDS LÄN</t>
        </is>
      </c>
      <c r="E856" t="inlineStr">
        <is>
          <t>ÅNGE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35503-2025</t>
        </is>
      </c>
      <c r="B857" s="1" t="n">
        <v>45856</v>
      </c>
      <c r="C857" s="1" t="n">
        <v>46032</v>
      </c>
      <c r="D857" t="inlineStr">
        <is>
          <t>VÄSTERNORRLANDS LÄN</t>
        </is>
      </c>
      <c r="E857" t="inlineStr">
        <is>
          <t>ÅNGE</t>
        </is>
      </c>
      <c r="G857" t="n">
        <v>5.2</v>
      </c>
      <c r="H857" t="n">
        <v>0</v>
      </c>
      <c r="I857" t="n">
        <v>0</v>
      </c>
      <c r="J857" t="n">
        <v>0</v>
      </c>
      <c r="K857" t="n">
        <v>0</v>
      </c>
      <c r="L857" t="n">
        <v>0</v>
      </c>
      <c r="M857" t="n">
        <v>0</v>
      </c>
      <c r="N857" t="n">
        <v>0</v>
      </c>
      <c r="O857" t="n">
        <v>0</v>
      </c>
      <c r="P857" t="n">
        <v>0</v>
      </c>
      <c r="Q857" t="n">
        <v>0</v>
      </c>
      <c r="R857" s="2" t="inlineStr"/>
    </row>
    <row r="858" ht="15" customHeight="1">
      <c r="A858" t="inlineStr">
        <is>
          <t>A 35540-2025</t>
        </is>
      </c>
      <c r="B858" s="1" t="n">
        <v>45856.46912037037</v>
      </c>
      <c r="C858" s="1" t="n">
        <v>46032</v>
      </c>
      <c r="D858" t="inlineStr">
        <is>
          <t>VÄSTERNORRLANDS LÄN</t>
        </is>
      </c>
      <c r="E858" t="inlineStr">
        <is>
          <t>ÅNGE</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61332-2025</t>
        </is>
      </c>
      <c r="B859" s="1" t="n">
        <v>46001.34416666667</v>
      </c>
      <c r="C859" s="1" t="n">
        <v>46032</v>
      </c>
      <c r="D859" t="inlineStr">
        <is>
          <t>VÄSTERNORRLANDS LÄN</t>
        </is>
      </c>
      <c r="E859" t="inlineStr">
        <is>
          <t>ÅNGE</t>
        </is>
      </c>
      <c r="G859" t="n">
        <v>3.2</v>
      </c>
      <c r="H859" t="n">
        <v>0</v>
      </c>
      <c r="I859" t="n">
        <v>0</v>
      </c>
      <c r="J859" t="n">
        <v>0</v>
      </c>
      <c r="K859" t="n">
        <v>0</v>
      </c>
      <c r="L859" t="n">
        <v>0</v>
      </c>
      <c r="M859" t="n">
        <v>0</v>
      </c>
      <c r="N859" t="n">
        <v>0</v>
      </c>
      <c r="O859" t="n">
        <v>0</v>
      </c>
      <c r="P859" t="n">
        <v>0</v>
      </c>
      <c r="Q859" t="n">
        <v>0</v>
      </c>
      <c r="R859" s="2" t="inlineStr"/>
    </row>
    <row r="860" ht="15" customHeight="1">
      <c r="A860" t="inlineStr">
        <is>
          <t>A 61349-2025</t>
        </is>
      </c>
      <c r="B860" s="1" t="n">
        <v>46001.3866087963</v>
      </c>
      <c r="C860" s="1" t="n">
        <v>46032</v>
      </c>
      <c r="D860" t="inlineStr">
        <is>
          <t>VÄSTERNORRLANDS LÄN</t>
        </is>
      </c>
      <c r="E860" t="inlineStr">
        <is>
          <t>ÅNGE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53012-2025</t>
        </is>
      </c>
      <c r="B861" s="1" t="n">
        <v>45957.80320601852</v>
      </c>
      <c r="C861" s="1" t="n">
        <v>46032</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53033-2025</t>
        </is>
      </c>
      <c r="B862" s="1" t="n">
        <v>45958.34479166667</v>
      </c>
      <c r="C862" s="1" t="n">
        <v>46032</v>
      </c>
      <c r="D862" t="inlineStr">
        <is>
          <t>VÄSTERNORRLANDS LÄN</t>
        </is>
      </c>
      <c r="E862" t="inlineStr">
        <is>
          <t>ÅNGE</t>
        </is>
      </c>
      <c r="G862" t="n">
        <v>2.7</v>
      </c>
      <c r="H862" t="n">
        <v>0</v>
      </c>
      <c r="I862" t="n">
        <v>0</v>
      </c>
      <c r="J862" t="n">
        <v>0</v>
      </c>
      <c r="K862" t="n">
        <v>0</v>
      </c>
      <c r="L862" t="n">
        <v>0</v>
      </c>
      <c r="M862" t="n">
        <v>0</v>
      </c>
      <c r="N862" t="n">
        <v>0</v>
      </c>
      <c r="O862" t="n">
        <v>0</v>
      </c>
      <c r="P862" t="n">
        <v>0</v>
      </c>
      <c r="Q862" t="n">
        <v>0</v>
      </c>
      <c r="R862" s="2" t="inlineStr"/>
    </row>
    <row r="863" ht="15" customHeight="1">
      <c r="A863" t="inlineStr">
        <is>
          <t>A 41781-2024</t>
        </is>
      </c>
      <c r="B863" s="1" t="n">
        <v>45561.34938657407</v>
      </c>
      <c r="C863" s="1" t="n">
        <v>46032</v>
      </c>
      <c r="D863" t="inlineStr">
        <is>
          <t>VÄSTERNORRLANDS LÄN</t>
        </is>
      </c>
      <c r="E863" t="inlineStr">
        <is>
          <t>ÅNGE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35838-2025</t>
        </is>
      </c>
      <c r="B864" s="1" t="n">
        <v>45861.53829861111</v>
      </c>
      <c r="C864" s="1" t="n">
        <v>46032</v>
      </c>
      <c r="D864" t="inlineStr">
        <is>
          <t>VÄSTERNORRLANDS LÄN</t>
        </is>
      </c>
      <c r="E864" t="inlineStr">
        <is>
          <t>ÅNGE</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61200-2025</t>
        </is>
      </c>
      <c r="B865" s="1" t="n">
        <v>46000.60918981482</v>
      </c>
      <c r="C865" s="1" t="n">
        <v>46032</v>
      </c>
      <c r="D865" t="inlineStr">
        <is>
          <t>VÄSTERNORRLANDS LÄN</t>
        </is>
      </c>
      <c r="E865" t="inlineStr">
        <is>
          <t>ÅNGE</t>
        </is>
      </c>
      <c r="G865" t="n">
        <v>1.6</v>
      </c>
      <c r="H865" t="n">
        <v>0</v>
      </c>
      <c r="I865" t="n">
        <v>0</v>
      </c>
      <c r="J865" t="n">
        <v>0</v>
      </c>
      <c r="K865" t="n">
        <v>0</v>
      </c>
      <c r="L865" t="n">
        <v>0</v>
      </c>
      <c r="M865" t="n">
        <v>0</v>
      </c>
      <c r="N865" t="n">
        <v>0</v>
      </c>
      <c r="O865" t="n">
        <v>0</v>
      </c>
      <c r="P865" t="n">
        <v>0</v>
      </c>
      <c r="Q865" t="n">
        <v>0</v>
      </c>
      <c r="R865" s="2" t="inlineStr"/>
    </row>
    <row r="866" ht="15" customHeight="1">
      <c r="A866" t="inlineStr">
        <is>
          <t>A 30683-2024</t>
        </is>
      </c>
      <c r="B866" s="1" t="n">
        <v>45495</v>
      </c>
      <c r="C866" s="1" t="n">
        <v>46032</v>
      </c>
      <c r="D866" t="inlineStr">
        <is>
          <t>VÄSTERNORRLANDS LÄN</t>
        </is>
      </c>
      <c r="E866" t="inlineStr">
        <is>
          <t>ÅNGE</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3330-2025</t>
        </is>
      </c>
      <c r="B867" s="1" t="n">
        <v>45679.70041666667</v>
      </c>
      <c r="C867" s="1" t="n">
        <v>46032</v>
      </c>
      <c r="D867" t="inlineStr">
        <is>
          <t>VÄSTERNORRLANDS LÄN</t>
        </is>
      </c>
      <c r="E867" t="inlineStr">
        <is>
          <t>ÅNGE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35781-2025</t>
        </is>
      </c>
      <c r="B868" s="1" t="n">
        <v>45860.70613425926</v>
      </c>
      <c r="C868" s="1" t="n">
        <v>46032</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35826-2025</t>
        </is>
      </c>
      <c r="B869" s="1" t="n">
        <v>45861.48997685185</v>
      </c>
      <c r="C869" s="1" t="n">
        <v>46032</v>
      </c>
      <c r="D869" t="inlineStr">
        <is>
          <t>VÄSTERNORRLANDS LÄN</t>
        </is>
      </c>
      <c r="E869" t="inlineStr">
        <is>
          <t>ÅNGE</t>
        </is>
      </c>
      <c r="G869" t="n">
        <v>2.5</v>
      </c>
      <c r="H869" t="n">
        <v>0</v>
      </c>
      <c r="I869" t="n">
        <v>0</v>
      </c>
      <c r="J869" t="n">
        <v>0</v>
      </c>
      <c r="K869" t="n">
        <v>0</v>
      </c>
      <c r="L869" t="n">
        <v>0</v>
      </c>
      <c r="M869" t="n">
        <v>0</v>
      </c>
      <c r="N869" t="n">
        <v>0</v>
      </c>
      <c r="O869" t="n">
        <v>0</v>
      </c>
      <c r="P869" t="n">
        <v>0</v>
      </c>
      <c r="Q869" t="n">
        <v>0</v>
      </c>
      <c r="R869" s="2" t="inlineStr"/>
    </row>
    <row r="870" ht="15" customHeight="1">
      <c r="A870" t="inlineStr">
        <is>
          <t>A 38272-2024</t>
        </is>
      </c>
      <c r="B870" s="1" t="n">
        <v>45545.60392361111</v>
      </c>
      <c r="C870" s="1" t="n">
        <v>46032</v>
      </c>
      <c r="D870" t="inlineStr">
        <is>
          <t>VÄSTERNORRLANDS LÄN</t>
        </is>
      </c>
      <c r="E870" t="inlineStr">
        <is>
          <t>ÅNGE</t>
        </is>
      </c>
      <c r="G870" t="n">
        <v>1.7</v>
      </c>
      <c r="H870" t="n">
        <v>0</v>
      </c>
      <c r="I870" t="n">
        <v>0</v>
      </c>
      <c r="J870" t="n">
        <v>0</v>
      </c>
      <c r="K870" t="n">
        <v>0</v>
      </c>
      <c r="L870" t="n">
        <v>0</v>
      </c>
      <c r="M870" t="n">
        <v>0</v>
      </c>
      <c r="N870" t="n">
        <v>0</v>
      </c>
      <c r="O870" t="n">
        <v>0</v>
      </c>
      <c r="P870" t="n">
        <v>0</v>
      </c>
      <c r="Q870" t="n">
        <v>0</v>
      </c>
      <c r="R870" s="2" t="inlineStr"/>
    </row>
    <row r="871" ht="15" customHeight="1">
      <c r="A871" t="inlineStr">
        <is>
          <t>A 35827-2025</t>
        </is>
      </c>
      <c r="B871" s="1" t="n">
        <v>45861.49017361111</v>
      </c>
      <c r="C871" s="1" t="n">
        <v>46032</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35690-2025</t>
        </is>
      </c>
      <c r="B872" s="1" t="n">
        <v>45860.34421296296</v>
      </c>
      <c r="C872" s="1" t="n">
        <v>46032</v>
      </c>
      <c r="D872" t="inlineStr">
        <is>
          <t>VÄSTERNORRLANDS LÄN</t>
        </is>
      </c>
      <c r="E872" t="inlineStr">
        <is>
          <t>ÅNGE</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35766-2025</t>
        </is>
      </c>
      <c r="B873" s="1" t="n">
        <v>45860.63077546296</v>
      </c>
      <c r="C873" s="1" t="n">
        <v>46032</v>
      </c>
      <c r="D873" t="inlineStr">
        <is>
          <t>VÄSTERNORRLANDS LÄN</t>
        </is>
      </c>
      <c r="E873" t="inlineStr">
        <is>
          <t>ÅNGE</t>
        </is>
      </c>
      <c r="G873" t="n">
        <v>10.7</v>
      </c>
      <c r="H873" t="n">
        <v>0</v>
      </c>
      <c r="I873" t="n">
        <v>0</v>
      </c>
      <c r="J873" t="n">
        <v>0</v>
      </c>
      <c r="K873" t="n">
        <v>0</v>
      </c>
      <c r="L873" t="n">
        <v>0</v>
      </c>
      <c r="M873" t="n">
        <v>0</v>
      </c>
      <c r="N873" t="n">
        <v>0</v>
      </c>
      <c r="O873" t="n">
        <v>0</v>
      </c>
      <c r="P873" t="n">
        <v>0</v>
      </c>
      <c r="Q873" t="n">
        <v>0</v>
      </c>
      <c r="R873" s="2" t="inlineStr"/>
    </row>
    <row r="874" ht="15" customHeight="1">
      <c r="A874" t="inlineStr">
        <is>
          <t>A 41831-2021</t>
        </is>
      </c>
      <c r="B874" s="1" t="n">
        <v>44425.92212962963</v>
      </c>
      <c r="C874" s="1" t="n">
        <v>46032</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61203-2025</t>
        </is>
      </c>
      <c r="B875" s="1" t="n">
        <v>46000.61237268519</v>
      </c>
      <c r="C875" s="1" t="n">
        <v>46032</v>
      </c>
      <c r="D875" t="inlineStr">
        <is>
          <t>VÄSTERNORRLANDS LÄN</t>
        </is>
      </c>
      <c r="E875" t="inlineStr">
        <is>
          <t>ÅNGE</t>
        </is>
      </c>
      <c r="G875" t="n">
        <v>0.9</v>
      </c>
      <c r="H875" t="n">
        <v>0</v>
      </c>
      <c r="I875" t="n">
        <v>0</v>
      </c>
      <c r="J875" t="n">
        <v>0</v>
      </c>
      <c r="K875" t="n">
        <v>0</v>
      </c>
      <c r="L875" t="n">
        <v>0</v>
      </c>
      <c r="M875" t="n">
        <v>0</v>
      </c>
      <c r="N875" t="n">
        <v>0</v>
      </c>
      <c r="O875" t="n">
        <v>0</v>
      </c>
      <c r="P875" t="n">
        <v>0</v>
      </c>
      <c r="Q875" t="n">
        <v>0</v>
      </c>
      <c r="R875" s="2" t="inlineStr"/>
    </row>
    <row r="876" ht="15" customHeight="1">
      <c r="A876" t="inlineStr">
        <is>
          <t>A 32922-2024</t>
        </is>
      </c>
      <c r="B876" s="1" t="n">
        <v>45516.95263888889</v>
      </c>
      <c r="C876" s="1" t="n">
        <v>46032</v>
      </c>
      <c r="D876" t="inlineStr">
        <is>
          <t>VÄSTERNORRLANDS LÄN</t>
        </is>
      </c>
      <c r="E876" t="inlineStr">
        <is>
          <t>ÅNGE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36237-2025</t>
        </is>
      </c>
      <c r="B877" s="1" t="n">
        <v>45867.55263888889</v>
      </c>
      <c r="C877" s="1" t="n">
        <v>46032</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36240-2025</t>
        </is>
      </c>
      <c r="B878" s="1" t="n">
        <v>45867.55298611111</v>
      </c>
      <c r="C878" s="1" t="n">
        <v>46032</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53013-2025</t>
        </is>
      </c>
      <c r="B879" s="1" t="n">
        <v>45957.81732638889</v>
      </c>
      <c r="C879" s="1" t="n">
        <v>46032</v>
      </c>
      <c r="D879" t="inlineStr">
        <is>
          <t>VÄSTERNORRLANDS LÄN</t>
        </is>
      </c>
      <c r="E879" t="inlineStr">
        <is>
          <t>ÅNGE</t>
        </is>
      </c>
      <c r="G879" t="n">
        <v>0.6</v>
      </c>
      <c r="H879" t="n">
        <v>0</v>
      </c>
      <c r="I879" t="n">
        <v>0</v>
      </c>
      <c r="J879" t="n">
        <v>0</v>
      </c>
      <c r="K879" t="n">
        <v>0</v>
      </c>
      <c r="L879" t="n">
        <v>0</v>
      </c>
      <c r="M879" t="n">
        <v>0</v>
      </c>
      <c r="N879" t="n">
        <v>0</v>
      </c>
      <c r="O879" t="n">
        <v>0</v>
      </c>
      <c r="P879" t="n">
        <v>0</v>
      </c>
      <c r="Q879" t="n">
        <v>0</v>
      </c>
      <c r="R879" s="2" t="inlineStr"/>
    </row>
    <row r="880" ht="15" customHeight="1">
      <c r="A880" t="inlineStr">
        <is>
          <t>A 10282-2025</t>
        </is>
      </c>
      <c r="B880" s="1" t="n">
        <v>45720.40659722222</v>
      </c>
      <c r="C880" s="1" t="n">
        <v>46032</v>
      </c>
      <c r="D880" t="inlineStr">
        <is>
          <t>VÄSTERNORRLANDS LÄN</t>
        </is>
      </c>
      <c r="E880" t="inlineStr">
        <is>
          <t>ÅNGE</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36210-2025</t>
        </is>
      </c>
      <c r="B881" s="1" t="n">
        <v>45867.46930555555</v>
      </c>
      <c r="C881" s="1" t="n">
        <v>46032</v>
      </c>
      <c r="D881" t="inlineStr">
        <is>
          <t>VÄSTERNORRLANDS LÄN</t>
        </is>
      </c>
      <c r="E881" t="inlineStr">
        <is>
          <t>ÅNGE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53221-2025</t>
        </is>
      </c>
      <c r="B882" s="1" t="n">
        <v>45958.60331018519</v>
      </c>
      <c r="C882" s="1" t="n">
        <v>46032</v>
      </c>
      <c r="D882" t="inlineStr">
        <is>
          <t>VÄSTERNORRLANDS LÄN</t>
        </is>
      </c>
      <c r="E882" t="inlineStr">
        <is>
          <t>ÅNGE</t>
        </is>
      </c>
      <c r="G882" t="n">
        <v>2.1</v>
      </c>
      <c r="H882" t="n">
        <v>0</v>
      </c>
      <c r="I882" t="n">
        <v>0</v>
      </c>
      <c r="J882" t="n">
        <v>0</v>
      </c>
      <c r="K882" t="n">
        <v>0</v>
      </c>
      <c r="L882" t="n">
        <v>0</v>
      </c>
      <c r="M882" t="n">
        <v>0</v>
      </c>
      <c r="N882" t="n">
        <v>0</v>
      </c>
      <c r="O882" t="n">
        <v>0</v>
      </c>
      <c r="P882" t="n">
        <v>0</v>
      </c>
      <c r="Q882" t="n">
        <v>0</v>
      </c>
      <c r="R882" s="2" t="inlineStr"/>
    </row>
    <row r="883" ht="15" customHeight="1">
      <c r="A883" t="inlineStr">
        <is>
          <t>A 36236-2025</t>
        </is>
      </c>
      <c r="B883" s="1" t="n">
        <v>45867.55245370371</v>
      </c>
      <c r="C883" s="1" t="n">
        <v>46032</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51055-2023</t>
        </is>
      </c>
      <c r="B884" s="1" t="n">
        <v>45218</v>
      </c>
      <c r="C884" s="1" t="n">
        <v>46032</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5455-2023</t>
        </is>
      </c>
      <c r="B885" s="1" t="n">
        <v>44959.93983796296</v>
      </c>
      <c r="C885" s="1" t="n">
        <v>46032</v>
      </c>
      <c r="D885" t="inlineStr">
        <is>
          <t>VÄSTERNORRLANDS LÄN</t>
        </is>
      </c>
      <c r="E885" t="inlineStr">
        <is>
          <t>ÅNGE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36248-2025</t>
        </is>
      </c>
      <c r="B886" s="1" t="n">
        <v>45867.57326388889</v>
      </c>
      <c r="C886" s="1" t="n">
        <v>46032</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43775-2022</t>
        </is>
      </c>
      <c r="B887" s="1" t="n">
        <v>44837.95053240741</v>
      </c>
      <c r="C887" s="1" t="n">
        <v>46032</v>
      </c>
      <c r="D887" t="inlineStr">
        <is>
          <t>VÄSTERNORRLANDS LÄN</t>
        </is>
      </c>
      <c r="E887" t="inlineStr">
        <is>
          <t>ÅNGE</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36193-2025</t>
        </is>
      </c>
      <c r="B888" s="1" t="n">
        <v>45867.42741898148</v>
      </c>
      <c r="C888" s="1" t="n">
        <v>46032</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36205-2025</t>
        </is>
      </c>
      <c r="B889" s="1" t="n">
        <v>45867.44855324074</v>
      </c>
      <c r="C889" s="1" t="n">
        <v>46032</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36491-2025</t>
        </is>
      </c>
      <c r="B890" s="1" t="n">
        <v>45869.53173611111</v>
      </c>
      <c r="C890" s="1" t="n">
        <v>46032</v>
      </c>
      <c r="D890" t="inlineStr">
        <is>
          <t>VÄSTERNORRLANDS LÄN</t>
        </is>
      </c>
      <c r="E890" t="inlineStr">
        <is>
          <t>ÅNGE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16915-2024</t>
        </is>
      </c>
      <c r="B891" s="1" t="n">
        <v>45411.65185185185</v>
      </c>
      <c r="C891" s="1" t="n">
        <v>46032</v>
      </c>
      <c r="D891" t="inlineStr">
        <is>
          <t>VÄSTERNORRLANDS LÄN</t>
        </is>
      </c>
      <c r="E891" t="inlineStr">
        <is>
          <t>ÅNGE</t>
        </is>
      </c>
      <c r="G891" t="n">
        <v>2.1</v>
      </c>
      <c r="H891" t="n">
        <v>0</v>
      </c>
      <c r="I891" t="n">
        <v>0</v>
      </c>
      <c r="J891" t="n">
        <v>0</v>
      </c>
      <c r="K891" t="n">
        <v>0</v>
      </c>
      <c r="L891" t="n">
        <v>0</v>
      </c>
      <c r="M891" t="n">
        <v>0</v>
      </c>
      <c r="N891" t="n">
        <v>0</v>
      </c>
      <c r="O891" t="n">
        <v>0</v>
      </c>
      <c r="P891" t="n">
        <v>0</v>
      </c>
      <c r="Q891" t="n">
        <v>0</v>
      </c>
      <c r="R891" s="2" t="inlineStr"/>
    </row>
    <row r="892" ht="15" customHeight="1">
      <c r="A892" t="inlineStr">
        <is>
          <t>A 57560-2023</t>
        </is>
      </c>
      <c r="B892" s="1" t="n">
        <v>45243</v>
      </c>
      <c r="C892" s="1" t="n">
        <v>46032</v>
      </c>
      <c r="D892" t="inlineStr">
        <is>
          <t>VÄSTERNORRLANDS LÄN</t>
        </is>
      </c>
      <c r="E892" t="inlineStr">
        <is>
          <t>ÅNGE</t>
        </is>
      </c>
      <c r="G892" t="n">
        <v>7.4</v>
      </c>
      <c r="H892" t="n">
        <v>0</v>
      </c>
      <c r="I892" t="n">
        <v>0</v>
      </c>
      <c r="J892" t="n">
        <v>0</v>
      </c>
      <c r="K892" t="n">
        <v>0</v>
      </c>
      <c r="L892" t="n">
        <v>0</v>
      </c>
      <c r="M892" t="n">
        <v>0</v>
      </c>
      <c r="N892" t="n">
        <v>0</v>
      </c>
      <c r="O892" t="n">
        <v>0</v>
      </c>
      <c r="P892" t="n">
        <v>0</v>
      </c>
      <c r="Q892" t="n">
        <v>0</v>
      </c>
      <c r="R892" s="2" t="inlineStr"/>
    </row>
    <row r="893" ht="15" customHeight="1">
      <c r="A893" t="inlineStr">
        <is>
          <t>A 57568-2023</t>
        </is>
      </c>
      <c r="B893" s="1" t="n">
        <v>45246.50484953704</v>
      </c>
      <c r="C893" s="1" t="n">
        <v>46032</v>
      </c>
      <c r="D893" t="inlineStr">
        <is>
          <t>VÄSTERNORRLANDS LÄN</t>
        </is>
      </c>
      <c r="E893" t="inlineStr">
        <is>
          <t>ÅNGE</t>
        </is>
      </c>
      <c r="G893" t="n">
        <v>1.7</v>
      </c>
      <c r="H893" t="n">
        <v>0</v>
      </c>
      <c r="I893" t="n">
        <v>0</v>
      </c>
      <c r="J893" t="n">
        <v>0</v>
      </c>
      <c r="K893" t="n">
        <v>0</v>
      </c>
      <c r="L893" t="n">
        <v>0</v>
      </c>
      <c r="M893" t="n">
        <v>0</v>
      </c>
      <c r="N893" t="n">
        <v>0</v>
      </c>
      <c r="O893" t="n">
        <v>0</v>
      </c>
      <c r="P893" t="n">
        <v>0</v>
      </c>
      <c r="Q893" t="n">
        <v>0</v>
      </c>
      <c r="R893" s="2" t="inlineStr"/>
    </row>
    <row r="894" ht="15" customHeight="1">
      <c r="A894" t="inlineStr">
        <is>
          <t>A 16576-2023</t>
        </is>
      </c>
      <c r="B894" s="1" t="n">
        <v>45029.94251157407</v>
      </c>
      <c r="C894" s="1" t="n">
        <v>46032</v>
      </c>
      <c r="D894" t="inlineStr">
        <is>
          <t>VÄSTERNORRLANDS LÄN</t>
        </is>
      </c>
      <c r="E894" t="inlineStr">
        <is>
          <t>ÅNGE</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61656-2025</t>
        </is>
      </c>
      <c r="B895" s="1" t="n">
        <v>46002.44873842593</v>
      </c>
      <c r="C895" s="1" t="n">
        <v>46032</v>
      </c>
      <c r="D895" t="inlineStr">
        <is>
          <t>VÄSTERNORRLANDS LÄN</t>
        </is>
      </c>
      <c r="E895" t="inlineStr">
        <is>
          <t>ÅNGE</t>
        </is>
      </c>
      <c r="G895" t="n">
        <v>2.9</v>
      </c>
      <c r="H895" t="n">
        <v>0</v>
      </c>
      <c r="I895" t="n">
        <v>0</v>
      </c>
      <c r="J895" t="n">
        <v>0</v>
      </c>
      <c r="K895" t="n">
        <v>0</v>
      </c>
      <c r="L895" t="n">
        <v>0</v>
      </c>
      <c r="M895" t="n">
        <v>0</v>
      </c>
      <c r="N895" t="n">
        <v>0</v>
      </c>
      <c r="O895" t="n">
        <v>0</v>
      </c>
      <c r="P895" t="n">
        <v>0</v>
      </c>
      <c r="Q895" t="n">
        <v>0</v>
      </c>
      <c r="R895" s="2" t="inlineStr"/>
    </row>
    <row r="896" ht="15" customHeight="1">
      <c r="A896" t="inlineStr">
        <is>
          <t>A 36336-2025</t>
        </is>
      </c>
      <c r="B896" s="1" t="n">
        <v>45868.44751157407</v>
      </c>
      <c r="C896" s="1" t="n">
        <v>46032</v>
      </c>
      <c r="D896" t="inlineStr">
        <is>
          <t>VÄSTERNORRLANDS LÄN</t>
        </is>
      </c>
      <c r="E896" t="inlineStr">
        <is>
          <t>ÅNGE</t>
        </is>
      </c>
      <c r="G896" t="n">
        <v>7.3</v>
      </c>
      <c r="H896" t="n">
        <v>0</v>
      </c>
      <c r="I896" t="n">
        <v>0</v>
      </c>
      <c r="J896" t="n">
        <v>0</v>
      </c>
      <c r="K896" t="n">
        <v>0</v>
      </c>
      <c r="L896" t="n">
        <v>0</v>
      </c>
      <c r="M896" t="n">
        <v>0</v>
      </c>
      <c r="N896" t="n">
        <v>0</v>
      </c>
      <c r="O896" t="n">
        <v>0</v>
      </c>
      <c r="P896" t="n">
        <v>0</v>
      </c>
      <c r="Q896" t="n">
        <v>0</v>
      </c>
      <c r="R896" s="2" t="inlineStr"/>
    </row>
    <row r="897" ht="15" customHeight="1">
      <c r="A897" t="inlineStr">
        <is>
          <t>A 36457-2025</t>
        </is>
      </c>
      <c r="B897" s="1" t="n">
        <v>45869.44842592593</v>
      </c>
      <c r="C897" s="1" t="n">
        <v>46032</v>
      </c>
      <c r="D897" t="inlineStr">
        <is>
          <t>VÄSTERNORRLANDS LÄN</t>
        </is>
      </c>
      <c r="E897" t="inlineStr">
        <is>
          <t>ÅNGE</t>
        </is>
      </c>
      <c r="F897" t="inlineStr">
        <is>
          <t>SCA</t>
        </is>
      </c>
      <c r="G897" t="n">
        <v>6.3</v>
      </c>
      <c r="H897" t="n">
        <v>0</v>
      </c>
      <c r="I897" t="n">
        <v>0</v>
      </c>
      <c r="J897" t="n">
        <v>0</v>
      </c>
      <c r="K897" t="n">
        <v>0</v>
      </c>
      <c r="L897" t="n">
        <v>0</v>
      </c>
      <c r="M897" t="n">
        <v>0</v>
      </c>
      <c r="N897" t="n">
        <v>0</v>
      </c>
      <c r="O897" t="n">
        <v>0</v>
      </c>
      <c r="P897" t="n">
        <v>0</v>
      </c>
      <c r="Q897" t="n">
        <v>0</v>
      </c>
      <c r="R897" s="2" t="inlineStr"/>
    </row>
    <row r="898" ht="15" customHeight="1">
      <c r="A898" t="inlineStr">
        <is>
          <t>A 4359-2025</t>
        </is>
      </c>
      <c r="B898" s="1" t="n">
        <v>45686.33072916666</v>
      </c>
      <c r="C898" s="1" t="n">
        <v>46032</v>
      </c>
      <c r="D898" t="inlineStr">
        <is>
          <t>VÄSTERNORRLANDS LÄN</t>
        </is>
      </c>
      <c r="E898" t="inlineStr">
        <is>
          <t>ÅNGE</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24797-2024</t>
        </is>
      </c>
      <c r="B899" s="1" t="n">
        <v>45460.95269675926</v>
      </c>
      <c r="C899" s="1" t="n">
        <v>46032</v>
      </c>
      <c r="D899" t="inlineStr">
        <is>
          <t>VÄSTERNORRLANDS LÄN</t>
        </is>
      </c>
      <c r="E899" t="inlineStr">
        <is>
          <t>ÅNGE</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53999-2025</t>
        </is>
      </c>
      <c r="B900" s="1" t="n">
        <v>45961</v>
      </c>
      <c r="C900" s="1" t="n">
        <v>46032</v>
      </c>
      <c r="D900" t="inlineStr">
        <is>
          <t>VÄSTERNORRLANDS LÄN</t>
        </is>
      </c>
      <c r="E900" t="inlineStr">
        <is>
          <t>ÅNGE</t>
        </is>
      </c>
      <c r="F900" t="inlineStr">
        <is>
          <t>SCA</t>
        </is>
      </c>
      <c r="G900" t="n">
        <v>6.7</v>
      </c>
      <c r="H900" t="n">
        <v>0</v>
      </c>
      <c r="I900" t="n">
        <v>0</v>
      </c>
      <c r="J900" t="n">
        <v>0</v>
      </c>
      <c r="K900" t="n">
        <v>0</v>
      </c>
      <c r="L900" t="n">
        <v>0</v>
      </c>
      <c r="M900" t="n">
        <v>0</v>
      </c>
      <c r="N900" t="n">
        <v>0</v>
      </c>
      <c r="O900" t="n">
        <v>0</v>
      </c>
      <c r="P900" t="n">
        <v>0</v>
      </c>
      <c r="Q900" t="n">
        <v>0</v>
      </c>
      <c r="R900" s="2" t="inlineStr"/>
    </row>
    <row r="901" ht="15" customHeight="1">
      <c r="A901" t="inlineStr">
        <is>
          <t>A 53984-2025</t>
        </is>
      </c>
      <c r="B901" s="1" t="n">
        <v>45961.5734837963</v>
      </c>
      <c r="C901" s="1" t="n">
        <v>46032</v>
      </c>
      <c r="D901" t="inlineStr">
        <is>
          <t>VÄSTERNORRLANDS LÄN</t>
        </is>
      </c>
      <c r="E901" t="inlineStr">
        <is>
          <t>ÅNGE</t>
        </is>
      </c>
      <c r="F901" t="inlineStr">
        <is>
          <t>SCA</t>
        </is>
      </c>
      <c r="G901" t="n">
        <v>14.8</v>
      </c>
      <c r="H901" t="n">
        <v>0</v>
      </c>
      <c r="I901" t="n">
        <v>0</v>
      </c>
      <c r="J901" t="n">
        <v>0</v>
      </c>
      <c r="K901" t="n">
        <v>0</v>
      </c>
      <c r="L901" t="n">
        <v>0</v>
      </c>
      <c r="M901" t="n">
        <v>0</v>
      </c>
      <c r="N901" t="n">
        <v>0</v>
      </c>
      <c r="O901" t="n">
        <v>0</v>
      </c>
      <c r="P901" t="n">
        <v>0</v>
      </c>
      <c r="Q901" t="n">
        <v>0</v>
      </c>
      <c r="R901" s="2" t="inlineStr"/>
    </row>
    <row r="902" ht="15" customHeight="1">
      <c r="A902" t="inlineStr">
        <is>
          <t>A 32069-2023</t>
        </is>
      </c>
      <c r="B902" s="1" t="n">
        <v>45107</v>
      </c>
      <c r="C902" s="1" t="n">
        <v>46032</v>
      </c>
      <c r="D902" t="inlineStr">
        <is>
          <t>VÄSTERNORRLANDS LÄN</t>
        </is>
      </c>
      <c r="E902" t="inlineStr">
        <is>
          <t>ÅNGE</t>
        </is>
      </c>
      <c r="G902" t="n">
        <v>4.4</v>
      </c>
      <c r="H902" t="n">
        <v>0</v>
      </c>
      <c r="I902" t="n">
        <v>0</v>
      </c>
      <c r="J902" t="n">
        <v>0</v>
      </c>
      <c r="K902" t="n">
        <v>0</v>
      </c>
      <c r="L902" t="n">
        <v>0</v>
      </c>
      <c r="M902" t="n">
        <v>0</v>
      </c>
      <c r="N902" t="n">
        <v>0</v>
      </c>
      <c r="O902" t="n">
        <v>0</v>
      </c>
      <c r="P902" t="n">
        <v>0</v>
      </c>
      <c r="Q902" t="n">
        <v>0</v>
      </c>
      <c r="R902" s="2" t="inlineStr"/>
    </row>
    <row r="903" ht="15" customHeight="1">
      <c r="A903" t="inlineStr">
        <is>
          <t>A 26013-2024</t>
        </is>
      </c>
      <c r="B903" s="1" t="n">
        <v>45467</v>
      </c>
      <c r="C903" s="1" t="n">
        <v>46032</v>
      </c>
      <c r="D903" t="inlineStr">
        <is>
          <t>VÄSTERNORRLANDS LÄN</t>
        </is>
      </c>
      <c r="E903" t="inlineStr">
        <is>
          <t>ÅNGE</t>
        </is>
      </c>
      <c r="F903" t="inlineStr">
        <is>
          <t>SCA</t>
        </is>
      </c>
      <c r="G903" t="n">
        <v>6.8</v>
      </c>
      <c r="H903" t="n">
        <v>0</v>
      </c>
      <c r="I903" t="n">
        <v>0</v>
      </c>
      <c r="J903" t="n">
        <v>0</v>
      </c>
      <c r="K903" t="n">
        <v>0</v>
      </c>
      <c r="L903" t="n">
        <v>0</v>
      </c>
      <c r="M903" t="n">
        <v>0</v>
      </c>
      <c r="N903" t="n">
        <v>0</v>
      </c>
      <c r="O903" t="n">
        <v>0</v>
      </c>
      <c r="P903" t="n">
        <v>0</v>
      </c>
      <c r="Q903" t="n">
        <v>0</v>
      </c>
      <c r="R903" s="2" t="inlineStr"/>
    </row>
    <row r="904" ht="15" customHeight="1">
      <c r="A904" t="inlineStr">
        <is>
          <t>A 36723-2025</t>
        </is>
      </c>
      <c r="B904" s="1" t="n">
        <v>45873.47770833333</v>
      </c>
      <c r="C904" s="1" t="n">
        <v>46032</v>
      </c>
      <c r="D904" t="inlineStr">
        <is>
          <t>VÄSTERNORRLANDS LÄN</t>
        </is>
      </c>
      <c r="E904" t="inlineStr">
        <is>
          <t>ÅNGE</t>
        </is>
      </c>
      <c r="G904" t="n">
        <v>2.8</v>
      </c>
      <c r="H904" t="n">
        <v>0</v>
      </c>
      <c r="I904" t="n">
        <v>0</v>
      </c>
      <c r="J904" t="n">
        <v>0</v>
      </c>
      <c r="K904" t="n">
        <v>0</v>
      </c>
      <c r="L904" t="n">
        <v>0</v>
      </c>
      <c r="M904" t="n">
        <v>0</v>
      </c>
      <c r="N904" t="n">
        <v>0</v>
      </c>
      <c r="O904" t="n">
        <v>0</v>
      </c>
      <c r="P904" t="n">
        <v>0</v>
      </c>
      <c r="Q904" t="n">
        <v>0</v>
      </c>
      <c r="R904" s="2" t="inlineStr"/>
    </row>
    <row r="905" ht="15" customHeight="1">
      <c r="A905" t="inlineStr">
        <is>
          <t>A 36674-2025</t>
        </is>
      </c>
      <c r="B905" s="1" t="n">
        <v>45873.3930787037</v>
      </c>
      <c r="C905" s="1" t="n">
        <v>46032</v>
      </c>
      <c r="D905" t="inlineStr">
        <is>
          <t>VÄSTERNORRLANDS LÄN</t>
        </is>
      </c>
      <c r="E905" t="inlineStr">
        <is>
          <t>ÅNGE</t>
        </is>
      </c>
      <c r="G905" t="n">
        <v>0.5</v>
      </c>
      <c r="H905" t="n">
        <v>0</v>
      </c>
      <c r="I905" t="n">
        <v>0</v>
      </c>
      <c r="J905" t="n">
        <v>0</v>
      </c>
      <c r="K905" t="n">
        <v>0</v>
      </c>
      <c r="L905" t="n">
        <v>0</v>
      </c>
      <c r="M905" t="n">
        <v>0</v>
      </c>
      <c r="N905" t="n">
        <v>0</v>
      </c>
      <c r="O905" t="n">
        <v>0</v>
      </c>
      <c r="P905" t="n">
        <v>0</v>
      </c>
      <c r="Q905" t="n">
        <v>0</v>
      </c>
      <c r="R905" s="2" t="inlineStr"/>
    </row>
    <row r="906" ht="15" customHeight="1">
      <c r="A906" t="inlineStr">
        <is>
          <t>A 58613-2023</t>
        </is>
      </c>
      <c r="B906" s="1" t="n">
        <v>45251.50709490741</v>
      </c>
      <c r="C906" s="1" t="n">
        <v>46032</v>
      </c>
      <c r="D906" t="inlineStr">
        <is>
          <t>VÄSTERNORRLANDS LÄN</t>
        </is>
      </c>
      <c r="E906" t="inlineStr">
        <is>
          <t>ÅNGE</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61857-2025</t>
        </is>
      </c>
      <c r="B907" s="1" t="n">
        <v>46003.3862962963</v>
      </c>
      <c r="C907" s="1" t="n">
        <v>46032</v>
      </c>
      <c r="D907" t="inlineStr">
        <is>
          <t>VÄSTERNORRLANDS LÄN</t>
        </is>
      </c>
      <c r="E907" t="inlineStr">
        <is>
          <t>ÅNGE</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36740-2025</t>
        </is>
      </c>
      <c r="B908" s="1" t="n">
        <v>45873.53237268519</v>
      </c>
      <c r="C908" s="1" t="n">
        <v>46032</v>
      </c>
      <c r="D908" t="inlineStr">
        <is>
          <t>VÄSTERNORRLANDS LÄN</t>
        </is>
      </c>
      <c r="E908" t="inlineStr">
        <is>
          <t>ÅNGE</t>
        </is>
      </c>
      <c r="G908" t="n">
        <v>1.1</v>
      </c>
      <c r="H908" t="n">
        <v>0</v>
      </c>
      <c r="I908" t="n">
        <v>0</v>
      </c>
      <c r="J908" t="n">
        <v>0</v>
      </c>
      <c r="K908" t="n">
        <v>0</v>
      </c>
      <c r="L908" t="n">
        <v>0</v>
      </c>
      <c r="M908" t="n">
        <v>0</v>
      </c>
      <c r="N908" t="n">
        <v>0</v>
      </c>
      <c r="O908" t="n">
        <v>0</v>
      </c>
      <c r="P908" t="n">
        <v>0</v>
      </c>
      <c r="Q908" t="n">
        <v>0</v>
      </c>
      <c r="R908" s="2" t="inlineStr"/>
    </row>
    <row r="909" ht="15" customHeight="1">
      <c r="A909" t="inlineStr">
        <is>
          <t>A 16903-2024</t>
        </is>
      </c>
      <c r="B909" s="1" t="n">
        <v>45411.63106481481</v>
      </c>
      <c r="C909" s="1" t="n">
        <v>46032</v>
      </c>
      <c r="D909" t="inlineStr">
        <is>
          <t>VÄSTERNORRLANDS LÄN</t>
        </is>
      </c>
      <c r="E909" t="inlineStr">
        <is>
          <t>ÅNGE</t>
        </is>
      </c>
      <c r="G909" t="n">
        <v>0.5</v>
      </c>
      <c r="H909" t="n">
        <v>0</v>
      </c>
      <c r="I909" t="n">
        <v>0</v>
      </c>
      <c r="J909" t="n">
        <v>0</v>
      </c>
      <c r="K909" t="n">
        <v>0</v>
      </c>
      <c r="L909" t="n">
        <v>0</v>
      </c>
      <c r="M909" t="n">
        <v>0</v>
      </c>
      <c r="N909" t="n">
        <v>0</v>
      </c>
      <c r="O909" t="n">
        <v>0</v>
      </c>
      <c r="P909" t="n">
        <v>0</v>
      </c>
      <c r="Q909" t="n">
        <v>0</v>
      </c>
      <c r="R909" s="2" t="inlineStr"/>
    </row>
    <row r="910" ht="15" customHeight="1">
      <c r="A910" t="inlineStr">
        <is>
          <t>A 36456-2025</t>
        </is>
      </c>
      <c r="B910" s="1" t="n">
        <v>45869.44827546296</v>
      </c>
      <c r="C910" s="1" t="n">
        <v>46032</v>
      </c>
      <c r="D910" t="inlineStr">
        <is>
          <t>VÄSTERNORRLANDS LÄN</t>
        </is>
      </c>
      <c r="E910" t="inlineStr">
        <is>
          <t>ÅNGE</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32439-2024</t>
        </is>
      </c>
      <c r="B911" s="1" t="n">
        <v>45512</v>
      </c>
      <c r="C911" s="1" t="n">
        <v>46032</v>
      </c>
      <c r="D911" t="inlineStr">
        <is>
          <t>VÄSTERNORRLANDS LÄN</t>
        </is>
      </c>
      <c r="E911" t="inlineStr">
        <is>
          <t>ÅNGE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36873-2025</t>
        </is>
      </c>
      <c r="B912" s="1" t="n">
        <v>45874.42935185185</v>
      </c>
      <c r="C912" s="1" t="n">
        <v>46032</v>
      </c>
      <c r="D912" t="inlineStr">
        <is>
          <t>VÄSTERNORRLANDS LÄN</t>
        </is>
      </c>
      <c r="E912" t="inlineStr">
        <is>
          <t>ÅNGE</t>
        </is>
      </c>
      <c r="F912" t="inlineStr">
        <is>
          <t>SCA</t>
        </is>
      </c>
      <c r="G912" t="n">
        <v>16.9</v>
      </c>
      <c r="H912" t="n">
        <v>0</v>
      </c>
      <c r="I912" t="n">
        <v>0</v>
      </c>
      <c r="J912" t="n">
        <v>0</v>
      </c>
      <c r="K912" t="n">
        <v>0</v>
      </c>
      <c r="L912" t="n">
        <v>0</v>
      </c>
      <c r="M912" t="n">
        <v>0</v>
      </c>
      <c r="N912" t="n">
        <v>0</v>
      </c>
      <c r="O912" t="n">
        <v>0</v>
      </c>
      <c r="P912" t="n">
        <v>0</v>
      </c>
      <c r="Q912" t="n">
        <v>0</v>
      </c>
      <c r="R912" s="2" t="inlineStr"/>
    </row>
    <row r="913" ht="15" customHeight="1">
      <c r="A913" t="inlineStr">
        <is>
          <t>A 16572-2023</t>
        </is>
      </c>
      <c r="B913" s="1" t="n">
        <v>45029.94224537037</v>
      </c>
      <c r="C913" s="1" t="n">
        <v>46032</v>
      </c>
      <c r="D913" t="inlineStr">
        <is>
          <t>VÄSTERNORRLANDS LÄN</t>
        </is>
      </c>
      <c r="E913" t="inlineStr">
        <is>
          <t>ÅNGE</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53985-2025</t>
        </is>
      </c>
      <c r="B914" s="1" t="n">
        <v>45961.57366898148</v>
      </c>
      <c r="C914" s="1" t="n">
        <v>46032</v>
      </c>
      <c r="D914" t="inlineStr">
        <is>
          <t>VÄSTERNORRLANDS LÄN</t>
        </is>
      </c>
      <c r="E914" t="inlineStr">
        <is>
          <t>ÅNGE</t>
        </is>
      </c>
      <c r="F914" t="inlineStr">
        <is>
          <t>SCA</t>
        </is>
      </c>
      <c r="G914" t="n">
        <v>14.2</v>
      </c>
      <c r="H914" t="n">
        <v>0</v>
      </c>
      <c r="I914" t="n">
        <v>0</v>
      </c>
      <c r="J914" t="n">
        <v>0</v>
      </c>
      <c r="K914" t="n">
        <v>0</v>
      </c>
      <c r="L914" t="n">
        <v>0</v>
      </c>
      <c r="M914" t="n">
        <v>0</v>
      </c>
      <c r="N914" t="n">
        <v>0</v>
      </c>
      <c r="O914" t="n">
        <v>0</v>
      </c>
      <c r="P914" t="n">
        <v>0</v>
      </c>
      <c r="Q914" t="n">
        <v>0</v>
      </c>
      <c r="R914" s="2" t="inlineStr"/>
    </row>
    <row r="915" ht="15" customHeight="1">
      <c r="A915" t="inlineStr">
        <is>
          <t>A 37045-2025</t>
        </is>
      </c>
      <c r="B915" s="1" t="n">
        <v>45875.34451388889</v>
      </c>
      <c r="C915" s="1" t="n">
        <v>46032</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37047-2025</t>
        </is>
      </c>
      <c r="B916" s="1" t="n">
        <v>45875.34489583333</v>
      </c>
      <c r="C916" s="1" t="n">
        <v>46032</v>
      </c>
      <c r="D916" t="inlineStr">
        <is>
          <t>VÄSTERNORRLANDS LÄN</t>
        </is>
      </c>
      <c r="E916" t="inlineStr">
        <is>
          <t>ÅNGE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37108-2025</t>
        </is>
      </c>
      <c r="B917" s="1" t="n">
        <v>45875</v>
      </c>
      <c r="C917" s="1" t="n">
        <v>46032</v>
      </c>
      <c r="D917" t="inlineStr">
        <is>
          <t>VÄSTERNORRLANDS LÄN</t>
        </is>
      </c>
      <c r="E917" t="inlineStr">
        <is>
          <t>ÅNGE</t>
        </is>
      </c>
      <c r="G917" t="n">
        <v>4</v>
      </c>
      <c r="H917" t="n">
        <v>0</v>
      </c>
      <c r="I917" t="n">
        <v>0</v>
      </c>
      <c r="J917" t="n">
        <v>0</v>
      </c>
      <c r="K917" t="n">
        <v>0</v>
      </c>
      <c r="L917" t="n">
        <v>0</v>
      </c>
      <c r="M917" t="n">
        <v>0</v>
      </c>
      <c r="N917" t="n">
        <v>0</v>
      </c>
      <c r="O917" t="n">
        <v>0</v>
      </c>
      <c r="P917" t="n">
        <v>0</v>
      </c>
      <c r="Q917" t="n">
        <v>0</v>
      </c>
      <c r="R917" s="2" t="inlineStr"/>
    </row>
    <row r="918" ht="15" customHeight="1">
      <c r="A918" t="inlineStr">
        <is>
          <t>A 3256-2024</t>
        </is>
      </c>
      <c r="B918" s="1" t="n">
        <v>45316</v>
      </c>
      <c r="C918" s="1" t="n">
        <v>46032</v>
      </c>
      <c r="D918" t="inlineStr">
        <is>
          <t>VÄSTERNORRLANDS LÄN</t>
        </is>
      </c>
      <c r="E918" t="inlineStr">
        <is>
          <t>ÅNGE</t>
        </is>
      </c>
      <c r="G918" t="n">
        <v>3.7</v>
      </c>
      <c r="H918" t="n">
        <v>0</v>
      </c>
      <c r="I918" t="n">
        <v>0</v>
      </c>
      <c r="J918" t="n">
        <v>0</v>
      </c>
      <c r="K918" t="n">
        <v>0</v>
      </c>
      <c r="L918" t="n">
        <v>0</v>
      </c>
      <c r="M918" t="n">
        <v>0</v>
      </c>
      <c r="N918" t="n">
        <v>0</v>
      </c>
      <c r="O918" t="n">
        <v>0</v>
      </c>
      <c r="P918" t="n">
        <v>0</v>
      </c>
      <c r="Q918" t="n">
        <v>0</v>
      </c>
      <c r="R918" s="2" t="inlineStr"/>
    </row>
    <row r="919" ht="15" customHeight="1">
      <c r="A919" t="inlineStr">
        <is>
          <t>A 49487-2024</t>
        </is>
      </c>
      <c r="B919" s="1" t="n">
        <v>45596.35813657408</v>
      </c>
      <c r="C919" s="1" t="n">
        <v>46032</v>
      </c>
      <c r="D919" t="inlineStr">
        <is>
          <t>VÄSTERNORRLANDS LÄN</t>
        </is>
      </c>
      <c r="E919" t="inlineStr">
        <is>
          <t>ÅNGE</t>
        </is>
      </c>
      <c r="G919" t="n">
        <v>4.3</v>
      </c>
      <c r="H919" t="n">
        <v>0</v>
      </c>
      <c r="I919" t="n">
        <v>0</v>
      </c>
      <c r="J919" t="n">
        <v>0</v>
      </c>
      <c r="K919" t="n">
        <v>0</v>
      </c>
      <c r="L919" t="n">
        <v>0</v>
      </c>
      <c r="M919" t="n">
        <v>0</v>
      </c>
      <c r="N919" t="n">
        <v>0</v>
      </c>
      <c r="O919" t="n">
        <v>0</v>
      </c>
      <c r="P919" t="n">
        <v>0</v>
      </c>
      <c r="Q919" t="n">
        <v>0</v>
      </c>
      <c r="R919" s="2" t="inlineStr"/>
    </row>
    <row r="920" ht="15" customHeight="1">
      <c r="A920" t="inlineStr">
        <is>
          <t>A 36249-2025</t>
        </is>
      </c>
      <c r="B920" s="1" t="n">
        <v>45867</v>
      </c>
      <c r="C920" s="1" t="n">
        <v>46032</v>
      </c>
      <c r="D920" t="inlineStr">
        <is>
          <t>VÄSTERNORRLANDS LÄN</t>
        </is>
      </c>
      <c r="E920" t="inlineStr">
        <is>
          <t>ÅNGE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37177-2025</t>
        </is>
      </c>
      <c r="B921" s="1" t="n">
        <v>45875.61539351852</v>
      </c>
      <c r="C921" s="1" t="n">
        <v>46032</v>
      </c>
      <c r="D921" t="inlineStr">
        <is>
          <t>VÄSTERNORRLANDS LÄN</t>
        </is>
      </c>
      <c r="E921" t="inlineStr">
        <is>
          <t>ÅNGE</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37275-2025</t>
        </is>
      </c>
      <c r="B922" s="1" t="n">
        <v>45876.49003472222</v>
      </c>
      <c r="C922" s="1" t="n">
        <v>46032</v>
      </c>
      <c r="D922" t="inlineStr">
        <is>
          <t>VÄSTERNORRLANDS LÄN</t>
        </is>
      </c>
      <c r="E922" t="inlineStr">
        <is>
          <t>ÅNGE</t>
        </is>
      </c>
      <c r="G922" t="n">
        <v>3.5</v>
      </c>
      <c r="H922" t="n">
        <v>0</v>
      </c>
      <c r="I922" t="n">
        <v>0</v>
      </c>
      <c r="J922" t="n">
        <v>0</v>
      </c>
      <c r="K922" t="n">
        <v>0</v>
      </c>
      <c r="L922" t="n">
        <v>0</v>
      </c>
      <c r="M922" t="n">
        <v>0</v>
      </c>
      <c r="N922" t="n">
        <v>0</v>
      </c>
      <c r="O922" t="n">
        <v>0</v>
      </c>
      <c r="P922" t="n">
        <v>0</v>
      </c>
      <c r="Q922" t="n">
        <v>0</v>
      </c>
      <c r="R922" s="2" t="inlineStr"/>
    </row>
    <row r="923" ht="15" customHeight="1">
      <c r="A923" t="inlineStr">
        <is>
          <t>A 37303-2025</t>
        </is>
      </c>
      <c r="B923" s="1" t="n">
        <v>45876.59445601852</v>
      </c>
      <c r="C923" s="1" t="n">
        <v>46032</v>
      </c>
      <c r="D923" t="inlineStr">
        <is>
          <t>VÄSTERNORRLANDS LÄN</t>
        </is>
      </c>
      <c r="E923" t="inlineStr">
        <is>
          <t>ÅNGE</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37233-2025</t>
        </is>
      </c>
      <c r="B924" s="1" t="n">
        <v>45876.34474537037</v>
      </c>
      <c r="C924" s="1" t="n">
        <v>46032</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57287-2022</t>
        </is>
      </c>
      <c r="B925" s="1" t="n">
        <v>44895.95</v>
      </c>
      <c r="C925" s="1" t="n">
        <v>46032</v>
      </c>
      <c r="D925" t="inlineStr">
        <is>
          <t>VÄSTERNORRLANDS LÄN</t>
        </is>
      </c>
      <c r="E925" t="inlineStr">
        <is>
          <t>ÅNGE</t>
        </is>
      </c>
      <c r="F925" t="inlineStr">
        <is>
          <t>SCA</t>
        </is>
      </c>
      <c r="G925" t="n">
        <v>4.8</v>
      </c>
      <c r="H925" t="n">
        <v>0</v>
      </c>
      <c r="I925" t="n">
        <v>0</v>
      </c>
      <c r="J925" t="n">
        <v>0</v>
      </c>
      <c r="K925" t="n">
        <v>0</v>
      </c>
      <c r="L925" t="n">
        <v>0</v>
      </c>
      <c r="M925" t="n">
        <v>0</v>
      </c>
      <c r="N925" t="n">
        <v>0</v>
      </c>
      <c r="O925" t="n">
        <v>0</v>
      </c>
      <c r="P925" t="n">
        <v>0</v>
      </c>
      <c r="Q925" t="n">
        <v>0</v>
      </c>
      <c r="R925" s="2" t="inlineStr"/>
    </row>
    <row r="926" ht="15" customHeight="1">
      <c r="A926" t="inlineStr">
        <is>
          <t>A 20576-2021</t>
        </is>
      </c>
      <c r="B926" s="1" t="n">
        <v>44316.3290162037</v>
      </c>
      <c r="C926" s="1" t="n">
        <v>46032</v>
      </c>
      <c r="D926" t="inlineStr">
        <is>
          <t>VÄSTERNORRLANDS LÄN</t>
        </is>
      </c>
      <c r="E926" t="inlineStr">
        <is>
          <t>ÅNGE</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37384-2025</t>
        </is>
      </c>
      <c r="B927" s="1" t="n">
        <v>45877.3859837963</v>
      </c>
      <c r="C927" s="1" t="n">
        <v>46032</v>
      </c>
      <c r="D927" t="inlineStr">
        <is>
          <t>VÄSTERNORRLANDS LÄN</t>
        </is>
      </c>
      <c r="E927" t="inlineStr">
        <is>
          <t>ÅNGE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1090-2023</t>
        </is>
      </c>
      <c r="B928" s="1" t="n">
        <v>44929</v>
      </c>
      <c r="C928" s="1" t="n">
        <v>46032</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1116-2023</t>
        </is>
      </c>
      <c r="B929" s="1" t="n">
        <v>44929</v>
      </c>
      <c r="C929" s="1" t="n">
        <v>46032</v>
      </c>
      <c r="D929" t="inlineStr">
        <is>
          <t>VÄSTERNORRLANDS LÄN</t>
        </is>
      </c>
      <c r="E929" t="inlineStr">
        <is>
          <t>ÅNGE</t>
        </is>
      </c>
      <c r="G929" t="n">
        <v>17.2</v>
      </c>
      <c r="H929" t="n">
        <v>0</v>
      </c>
      <c r="I929" t="n">
        <v>0</v>
      </c>
      <c r="J929" t="n">
        <v>0</v>
      </c>
      <c r="K929" t="n">
        <v>0</v>
      </c>
      <c r="L929" t="n">
        <v>0</v>
      </c>
      <c r="M929" t="n">
        <v>0</v>
      </c>
      <c r="N929" t="n">
        <v>0</v>
      </c>
      <c r="O929" t="n">
        <v>0</v>
      </c>
      <c r="P929" t="n">
        <v>0</v>
      </c>
      <c r="Q929" t="n">
        <v>0</v>
      </c>
      <c r="R929" s="2" t="inlineStr"/>
    </row>
    <row r="930" ht="15" customHeight="1">
      <c r="A930" t="inlineStr">
        <is>
          <t>A 51609-2023</t>
        </is>
      </c>
      <c r="B930" s="1" t="n">
        <v>45215</v>
      </c>
      <c r="C930" s="1" t="n">
        <v>46032</v>
      </c>
      <c r="D930" t="inlineStr">
        <is>
          <t>VÄSTERNORRLANDS LÄN</t>
        </is>
      </c>
      <c r="E930" t="inlineStr">
        <is>
          <t>ÅNGE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27661-2024</t>
        </is>
      </c>
      <c r="B931" s="1" t="n">
        <v>45474.95365740741</v>
      </c>
      <c r="C931" s="1" t="n">
        <v>46032</v>
      </c>
      <c r="D931" t="inlineStr">
        <is>
          <t>VÄSTERNORRLANDS LÄN</t>
        </is>
      </c>
      <c r="E931" t="inlineStr">
        <is>
          <t>ÅNGE</t>
        </is>
      </c>
      <c r="F931" t="inlineStr">
        <is>
          <t>SCA</t>
        </is>
      </c>
      <c r="G931" t="n">
        <v>19.1</v>
      </c>
      <c r="H931" t="n">
        <v>0</v>
      </c>
      <c r="I931" t="n">
        <v>0</v>
      </c>
      <c r="J931" t="n">
        <v>0</v>
      </c>
      <c r="K931" t="n">
        <v>0</v>
      </c>
      <c r="L931" t="n">
        <v>0</v>
      </c>
      <c r="M931" t="n">
        <v>0</v>
      </c>
      <c r="N931" t="n">
        <v>0</v>
      </c>
      <c r="O931" t="n">
        <v>0</v>
      </c>
      <c r="P931" t="n">
        <v>0</v>
      </c>
      <c r="Q931" t="n">
        <v>0</v>
      </c>
      <c r="R931" s="2" t="inlineStr"/>
    </row>
    <row r="932" ht="15" customHeight="1">
      <c r="A932" t="inlineStr">
        <is>
          <t>A 27668-2024</t>
        </is>
      </c>
      <c r="B932" s="1" t="n">
        <v>45474.95435185185</v>
      </c>
      <c r="C932" s="1" t="n">
        <v>46032</v>
      </c>
      <c r="D932" t="inlineStr">
        <is>
          <t>VÄSTERNORRLANDS LÄN</t>
        </is>
      </c>
      <c r="E932" t="inlineStr">
        <is>
          <t>ÅNGE</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37371-2025</t>
        </is>
      </c>
      <c r="B933" s="1" t="n">
        <v>45877.34472222222</v>
      </c>
      <c r="C933" s="1" t="n">
        <v>46032</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12021-2022</t>
        </is>
      </c>
      <c r="B934" s="1" t="n">
        <v>44635</v>
      </c>
      <c r="C934" s="1" t="n">
        <v>46032</v>
      </c>
      <c r="D934" t="inlineStr">
        <is>
          <t>VÄSTERNORRLANDS LÄN</t>
        </is>
      </c>
      <c r="E934" t="inlineStr">
        <is>
          <t>ÅNGE</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37383-2025</t>
        </is>
      </c>
      <c r="B935" s="1" t="n">
        <v>45877.38581018519</v>
      </c>
      <c r="C935" s="1" t="n">
        <v>46032</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37719-2025</t>
        </is>
      </c>
      <c r="B936" s="1" t="n">
        <v>45880.61505787037</v>
      </c>
      <c r="C936" s="1" t="n">
        <v>46032</v>
      </c>
      <c r="D936" t="inlineStr">
        <is>
          <t>VÄSTERNORRLANDS LÄN</t>
        </is>
      </c>
      <c r="E936" t="inlineStr">
        <is>
          <t>ÅNGE</t>
        </is>
      </c>
      <c r="G936" t="n">
        <v>1.7</v>
      </c>
      <c r="H936" t="n">
        <v>0</v>
      </c>
      <c r="I936" t="n">
        <v>0</v>
      </c>
      <c r="J936" t="n">
        <v>0</v>
      </c>
      <c r="K936" t="n">
        <v>0</v>
      </c>
      <c r="L936" t="n">
        <v>0</v>
      </c>
      <c r="M936" t="n">
        <v>0</v>
      </c>
      <c r="N936" t="n">
        <v>0</v>
      </c>
      <c r="O936" t="n">
        <v>0</v>
      </c>
      <c r="P936" t="n">
        <v>0</v>
      </c>
      <c r="Q936" t="n">
        <v>0</v>
      </c>
      <c r="R936" s="2" t="inlineStr"/>
    </row>
    <row r="937" ht="15" customHeight="1">
      <c r="A937" t="inlineStr">
        <is>
          <t>A 37663-2025</t>
        </is>
      </c>
      <c r="B937" s="1" t="n">
        <v>45880.51079861111</v>
      </c>
      <c r="C937" s="1" t="n">
        <v>46032</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37723-2025</t>
        </is>
      </c>
      <c r="B938" s="1" t="n">
        <v>45880.61528935185</v>
      </c>
      <c r="C938" s="1" t="n">
        <v>46032</v>
      </c>
      <c r="D938" t="inlineStr">
        <is>
          <t>VÄSTERNORRLANDS LÄN</t>
        </is>
      </c>
      <c r="E938" t="inlineStr">
        <is>
          <t>ÅNGE</t>
        </is>
      </c>
      <c r="G938" t="n">
        <v>3</v>
      </c>
      <c r="H938" t="n">
        <v>0</v>
      </c>
      <c r="I938" t="n">
        <v>0</v>
      </c>
      <c r="J938" t="n">
        <v>0</v>
      </c>
      <c r="K938" t="n">
        <v>0</v>
      </c>
      <c r="L938" t="n">
        <v>0</v>
      </c>
      <c r="M938" t="n">
        <v>0</v>
      </c>
      <c r="N938" t="n">
        <v>0</v>
      </c>
      <c r="O938" t="n">
        <v>0</v>
      </c>
      <c r="P938" t="n">
        <v>0</v>
      </c>
      <c r="Q938" t="n">
        <v>0</v>
      </c>
      <c r="R938" s="2" t="inlineStr"/>
    </row>
    <row r="939" ht="15" customHeight="1">
      <c r="A939" t="inlineStr">
        <is>
          <t>A 34726-2024</t>
        </is>
      </c>
      <c r="B939" s="1" t="n">
        <v>45526.5733912037</v>
      </c>
      <c r="C939" s="1" t="n">
        <v>46032</v>
      </c>
      <c r="D939" t="inlineStr">
        <is>
          <t>VÄSTERNORRLANDS LÄN</t>
        </is>
      </c>
      <c r="E939" t="inlineStr">
        <is>
          <t>ÅNGE</t>
        </is>
      </c>
      <c r="G939" t="n">
        <v>1.9</v>
      </c>
      <c r="H939" t="n">
        <v>0</v>
      </c>
      <c r="I939" t="n">
        <v>0</v>
      </c>
      <c r="J939" t="n">
        <v>0</v>
      </c>
      <c r="K939" t="n">
        <v>0</v>
      </c>
      <c r="L939" t="n">
        <v>0</v>
      </c>
      <c r="M939" t="n">
        <v>0</v>
      </c>
      <c r="N939" t="n">
        <v>0</v>
      </c>
      <c r="O939" t="n">
        <v>0</v>
      </c>
      <c r="P939" t="n">
        <v>0</v>
      </c>
      <c r="Q939" t="n">
        <v>0</v>
      </c>
      <c r="R939" s="2" t="inlineStr"/>
    </row>
    <row r="940" ht="15" customHeight="1">
      <c r="A940" t="inlineStr">
        <is>
          <t>A 35399-2024</t>
        </is>
      </c>
      <c r="B940" s="1" t="n">
        <v>45531.40438657408</v>
      </c>
      <c r="C940" s="1" t="n">
        <v>46032</v>
      </c>
      <c r="D940" t="inlineStr">
        <is>
          <t>VÄSTERNORRLANDS LÄN</t>
        </is>
      </c>
      <c r="E940" t="inlineStr">
        <is>
          <t>ÅNGE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53509-2025</t>
        </is>
      </c>
      <c r="B941" s="1" t="n">
        <v>45960.34506944445</v>
      </c>
      <c r="C941" s="1" t="n">
        <v>46032</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20110-2023</t>
        </is>
      </c>
      <c r="B942" s="1" t="n">
        <v>45051</v>
      </c>
      <c r="C942" s="1" t="n">
        <v>46032</v>
      </c>
      <c r="D942" t="inlineStr">
        <is>
          <t>VÄSTERNORRLANDS LÄN</t>
        </is>
      </c>
      <c r="E942" t="inlineStr">
        <is>
          <t>ÅNGE</t>
        </is>
      </c>
      <c r="G942" t="n">
        <v>2.5</v>
      </c>
      <c r="H942" t="n">
        <v>0</v>
      </c>
      <c r="I942" t="n">
        <v>0</v>
      </c>
      <c r="J942" t="n">
        <v>0</v>
      </c>
      <c r="K942" t="n">
        <v>0</v>
      </c>
      <c r="L942" t="n">
        <v>0</v>
      </c>
      <c r="M942" t="n">
        <v>0</v>
      </c>
      <c r="N942" t="n">
        <v>0</v>
      </c>
      <c r="O942" t="n">
        <v>0</v>
      </c>
      <c r="P942" t="n">
        <v>0</v>
      </c>
      <c r="Q942" t="n">
        <v>0</v>
      </c>
      <c r="R942" s="2" t="inlineStr"/>
    </row>
    <row r="943" ht="15" customHeight="1">
      <c r="A943" t="inlineStr">
        <is>
          <t>A 38078-2025</t>
        </is>
      </c>
      <c r="B943" s="1" t="n">
        <v>45882.46918981482</v>
      </c>
      <c r="C943" s="1" t="n">
        <v>46032</v>
      </c>
      <c r="D943" t="inlineStr">
        <is>
          <t>VÄSTERNORRLANDS LÄN</t>
        </is>
      </c>
      <c r="E943" t="inlineStr">
        <is>
          <t>ÅNGE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53713-2025</t>
        </is>
      </c>
      <c r="B944" s="1" t="n">
        <v>45960.61568287037</v>
      </c>
      <c r="C944" s="1" t="n">
        <v>46032</v>
      </c>
      <c r="D944" t="inlineStr">
        <is>
          <t>VÄSTERNORRLANDS LÄN</t>
        </is>
      </c>
      <c r="E944" t="inlineStr">
        <is>
          <t>ÅNGE</t>
        </is>
      </c>
      <c r="F944" t="inlineStr">
        <is>
          <t>SCA</t>
        </is>
      </c>
      <c r="G944" t="n">
        <v>4.7</v>
      </c>
      <c r="H944" t="n">
        <v>0</v>
      </c>
      <c r="I944" t="n">
        <v>0</v>
      </c>
      <c r="J944" t="n">
        <v>0</v>
      </c>
      <c r="K944" t="n">
        <v>0</v>
      </c>
      <c r="L944" t="n">
        <v>0</v>
      </c>
      <c r="M944" t="n">
        <v>0</v>
      </c>
      <c r="N944" t="n">
        <v>0</v>
      </c>
      <c r="O944" t="n">
        <v>0</v>
      </c>
      <c r="P944" t="n">
        <v>0</v>
      </c>
      <c r="Q944" t="n">
        <v>0</v>
      </c>
      <c r="R944" s="2" t="inlineStr"/>
    </row>
    <row r="945" ht="15" customHeight="1">
      <c r="A945" t="inlineStr">
        <is>
          <t>A 38332-2025</t>
        </is>
      </c>
      <c r="B945" s="1" t="n">
        <v>45883.49151620371</v>
      </c>
      <c r="C945" s="1" t="n">
        <v>46032</v>
      </c>
      <c r="D945" t="inlineStr">
        <is>
          <t>VÄSTERNORRLANDS LÄN</t>
        </is>
      </c>
      <c r="E945" t="inlineStr">
        <is>
          <t>ÅNGE</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34815-2024</t>
        </is>
      </c>
      <c r="B946" s="1" t="n">
        <v>45526.70732638889</v>
      </c>
      <c r="C946" s="1" t="n">
        <v>46032</v>
      </c>
      <c r="D946" t="inlineStr">
        <is>
          <t>VÄSTERNORRLANDS LÄN</t>
        </is>
      </c>
      <c r="E946" t="inlineStr">
        <is>
          <t>ÅNGE</t>
        </is>
      </c>
      <c r="G946" t="n">
        <v>1.3</v>
      </c>
      <c r="H946" t="n">
        <v>0</v>
      </c>
      <c r="I946" t="n">
        <v>0</v>
      </c>
      <c r="J946" t="n">
        <v>0</v>
      </c>
      <c r="K946" t="n">
        <v>0</v>
      </c>
      <c r="L946" t="n">
        <v>0</v>
      </c>
      <c r="M946" t="n">
        <v>0</v>
      </c>
      <c r="N946" t="n">
        <v>0</v>
      </c>
      <c r="O946" t="n">
        <v>0</v>
      </c>
      <c r="P946" t="n">
        <v>0</v>
      </c>
      <c r="Q946" t="n">
        <v>0</v>
      </c>
      <c r="R946" s="2" t="inlineStr"/>
    </row>
    <row r="947" ht="15" customHeight="1">
      <c r="A947" t="inlineStr">
        <is>
          <t>A 38386-2025</t>
        </is>
      </c>
      <c r="B947" s="1" t="n">
        <v>45883.57430555556</v>
      </c>
      <c r="C947" s="1" t="n">
        <v>46032</v>
      </c>
      <c r="D947" t="inlineStr">
        <is>
          <t>VÄSTERNORRLANDS LÄN</t>
        </is>
      </c>
      <c r="E947" t="inlineStr">
        <is>
          <t>ÅNGE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38283-2025</t>
        </is>
      </c>
      <c r="B948" s="1" t="n">
        <v>45883.42740740741</v>
      </c>
      <c r="C948" s="1" t="n">
        <v>46032</v>
      </c>
      <c r="D948" t="inlineStr">
        <is>
          <t>VÄSTERNORRLANDS LÄN</t>
        </is>
      </c>
      <c r="E948" t="inlineStr">
        <is>
          <t>ÅNGE</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3977-2025</t>
        </is>
      </c>
      <c r="B949" s="1" t="n">
        <v>45684</v>
      </c>
      <c r="C949" s="1" t="n">
        <v>46032</v>
      </c>
      <c r="D949" t="inlineStr">
        <is>
          <t>VÄSTERNORRLANDS LÄN</t>
        </is>
      </c>
      <c r="E949" t="inlineStr">
        <is>
          <t>ÅNGE</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54346-2025</t>
        </is>
      </c>
      <c r="B950" s="1" t="n">
        <v>45965.36525462963</v>
      </c>
      <c r="C950" s="1" t="n">
        <v>46032</v>
      </c>
      <c r="D950" t="inlineStr">
        <is>
          <t>VÄSTERNORRLANDS LÄN</t>
        </is>
      </c>
      <c r="E950" t="inlineStr">
        <is>
          <t>ÅNGE</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54357-2025</t>
        </is>
      </c>
      <c r="B951" s="1" t="n">
        <v>45965.3858912037</v>
      </c>
      <c r="C951" s="1" t="n">
        <v>46032</v>
      </c>
      <c r="D951" t="inlineStr">
        <is>
          <t>VÄSTERNORRLANDS LÄN</t>
        </is>
      </c>
      <c r="E951" t="inlineStr">
        <is>
          <t>ÅNGE</t>
        </is>
      </c>
      <c r="F951" t="inlineStr">
        <is>
          <t>SCA</t>
        </is>
      </c>
      <c r="G951" t="n">
        <v>5</v>
      </c>
      <c r="H951" t="n">
        <v>0</v>
      </c>
      <c r="I951" t="n">
        <v>0</v>
      </c>
      <c r="J951" t="n">
        <v>0</v>
      </c>
      <c r="K951" t="n">
        <v>0</v>
      </c>
      <c r="L951" t="n">
        <v>0</v>
      </c>
      <c r="M951" t="n">
        <v>0</v>
      </c>
      <c r="N951" t="n">
        <v>0</v>
      </c>
      <c r="O951" t="n">
        <v>0</v>
      </c>
      <c r="P951" t="n">
        <v>0</v>
      </c>
      <c r="Q951" t="n">
        <v>0</v>
      </c>
      <c r="R951" s="2" t="inlineStr"/>
    </row>
    <row r="952" ht="15" customHeight="1">
      <c r="A952" t="inlineStr">
        <is>
          <t>A 37919-2025</t>
        </is>
      </c>
      <c r="B952" s="1" t="n">
        <v>45881.57478009259</v>
      </c>
      <c r="C952" s="1" t="n">
        <v>46032</v>
      </c>
      <c r="D952" t="inlineStr">
        <is>
          <t>VÄSTERNORRLANDS LÄN</t>
        </is>
      </c>
      <c r="E952" t="inlineStr">
        <is>
          <t>ÅNGE</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37802-2025</t>
        </is>
      </c>
      <c r="B953" s="1" t="n">
        <v>45881.34447916667</v>
      </c>
      <c r="C953" s="1" t="n">
        <v>46032</v>
      </c>
      <c r="D953" t="inlineStr">
        <is>
          <t>VÄSTERNORRLANDS LÄN</t>
        </is>
      </c>
      <c r="E953" t="inlineStr">
        <is>
          <t>ÅNGE</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38273-2025</t>
        </is>
      </c>
      <c r="B954" s="1" t="n">
        <v>45883.40740740741</v>
      </c>
      <c r="C954" s="1" t="n">
        <v>46032</v>
      </c>
      <c r="D954" t="inlineStr">
        <is>
          <t>VÄSTERNORRLANDS LÄN</t>
        </is>
      </c>
      <c r="E954" t="inlineStr">
        <is>
          <t>ÅNGE</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31864-2024</t>
        </is>
      </c>
      <c r="B955" s="1" t="n">
        <v>45509.74791666667</v>
      </c>
      <c r="C955" s="1" t="n">
        <v>46032</v>
      </c>
      <c r="D955" t="inlineStr">
        <is>
          <t>VÄSTERNORRLANDS LÄN</t>
        </is>
      </c>
      <c r="E955" t="inlineStr">
        <is>
          <t>ÅNGE</t>
        </is>
      </c>
      <c r="G955" t="n">
        <v>0.9</v>
      </c>
      <c r="H955" t="n">
        <v>0</v>
      </c>
      <c r="I955" t="n">
        <v>0</v>
      </c>
      <c r="J955" t="n">
        <v>0</v>
      </c>
      <c r="K955" t="n">
        <v>0</v>
      </c>
      <c r="L955" t="n">
        <v>0</v>
      </c>
      <c r="M955" t="n">
        <v>0</v>
      </c>
      <c r="N955" t="n">
        <v>0</v>
      </c>
      <c r="O955" t="n">
        <v>0</v>
      </c>
      <c r="P955" t="n">
        <v>0</v>
      </c>
      <c r="Q955" t="n">
        <v>0</v>
      </c>
      <c r="R955" s="2" t="inlineStr"/>
    </row>
    <row r="956" ht="15" customHeight="1">
      <c r="A956" t="inlineStr">
        <is>
          <t>A 62092-2025</t>
        </is>
      </c>
      <c r="B956" s="1" t="n">
        <v>46006.38613425926</v>
      </c>
      <c r="C956" s="1" t="n">
        <v>46032</v>
      </c>
      <c r="D956" t="inlineStr">
        <is>
          <t>VÄSTERNORRLANDS LÄN</t>
        </is>
      </c>
      <c r="E956" t="inlineStr">
        <is>
          <t>ÅNGE</t>
        </is>
      </c>
      <c r="F956" t="inlineStr">
        <is>
          <t>SCA</t>
        </is>
      </c>
      <c r="G956" t="n">
        <v>16.3</v>
      </c>
      <c r="H956" t="n">
        <v>0</v>
      </c>
      <c r="I956" t="n">
        <v>0</v>
      </c>
      <c r="J956" t="n">
        <v>0</v>
      </c>
      <c r="K956" t="n">
        <v>0</v>
      </c>
      <c r="L956" t="n">
        <v>0</v>
      </c>
      <c r="M956" t="n">
        <v>0</v>
      </c>
      <c r="N956" t="n">
        <v>0</v>
      </c>
      <c r="O956" t="n">
        <v>0</v>
      </c>
      <c r="P956" t="n">
        <v>0</v>
      </c>
      <c r="Q956" t="n">
        <v>0</v>
      </c>
      <c r="R956" s="2" t="inlineStr"/>
    </row>
    <row r="957" ht="15" customHeight="1">
      <c r="A957" t="inlineStr">
        <is>
          <t>A 54197-2025</t>
        </is>
      </c>
      <c r="B957" s="1" t="n">
        <v>45964</v>
      </c>
      <c r="C957" s="1" t="n">
        <v>46032</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53512-2023</t>
        </is>
      </c>
      <c r="B958" s="1" t="n">
        <v>45230</v>
      </c>
      <c r="C958" s="1" t="n">
        <v>46032</v>
      </c>
      <c r="D958" t="inlineStr">
        <is>
          <t>VÄSTERNORRLANDS LÄN</t>
        </is>
      </c>
      <c r="E958" t="inlineStr">
        <is>
          <t>ÅNGE</t>
        </is>
      </c>
      <c r="F958" t="inlineStr">
        <is>
          <t>Holmen skog AB</t>
        </is>
      </c>
      <c r="G958" t="n">
        <v>3</v>
      </c>
      <c r="H958" t="n">
        <v>0</v>
      </c>
      <c r="I958" t="n">
        <v>0</v>
      </c>
      <c r="J958" t="n">
        <v>0</v>
      </c>
      <c r="K958" t="n">
        <v>0</v>
      </c>
      <c r="L958" t="n">
        <v>0</v>
      </c>
      <c r="M958" t="n">
        <v>0</v>
      </c>
      <c r="N958" t="n">
        <v>0</v>
      </c>
      <c r="O958" t="n">
        <v>0</v>
      </c>
      <c r="P958" t="n">
        <v>0</v>
      </c>
      <c r="Q958" t="n">
        <v>0</v>
      </c>
      <c r="R958" s="2" t="inlineStr"/>
    </row>
    <row r="959" ht="15" customHeight="1">
      <c r="A959" t="inlineStr">
        <is>
          <t>A 37558-2023</t>
        </is>
      </c>
      <c r="B959" s="1" t="n">
        <v>45159.34511574074</v>
      </c>
      <c r="C959" s="1" t="n">
        <v>46032</v>
      </c>
      <c r="D959" t="inlineStr">
        <is>
          <t>VÄSTERNORRLANDS LÄN</t>
        </is>
      </c>
      <c r="E959" t="inlineStr">
        <is>
          <t>ÅNGE</t>
        </is>
      </c>
      <c r="F959" t="inlineStr">
        <is>
          <t>Kyrkan</t>
        </is>
      </c>
      <c r="G959" t="n">
        <v>5.6</v>
      </c>
      <c r="H959" t="n">
        <v>0</v>
      </c>
      <c r="I959" t="n">
        <v>0</v>
      </c>
      <c r="J959" t="n">
        <v>0</v>
      </c>
      <c r="K959" t="n">
        <v>0</v>
      </c>
      <c r="L959" t="n">
        <v>0</v>
      </c>
      <c r="M959" t="n">
        <v>0</v>
      </c>
      <c r="N959" t="n">
        <v>0</v>
      </c>
      <c r="O959" t="n">
        <v>0</v>
      </c>
      <c r="P959" t="n">
        <v>0</v>
      </c>
      <c r="Q959" t="n">
        <v>0</v>
      </c>
      <c r="R959" s="2" t="inlineStr"/>
    </row>
    <row r="960" ht="15" customHeight="1">
      <c r="A960" t="inlineStr">
        <is>
          <t>A 58774-2023</t>
        </is>
      </c>
      <c r="B960" s="1" t="n">
        <v>45251</v>
      </c>
      <c r="C960" s="1" t="n">
        <v>46032</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21089-2024</t>
        </is>
      </c>
      <c r="B961" s="1" t="n">
        <v>45439.94987268518</v>
      </c>
      <c r="C961" s="1" t="n">
        <v>46032</v>
      </c>
      <c r="D961" t="inlineStr">
        <is>
          <t>VÄSTERNORRLANDS LÄN</t>
        </is>
      </c>
      <c r="E961" t="inlineStr">
        <is>
          <t>ÅNGE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21151-2024</t>
        </is>
      </c>
      <c r="B962" s="1" t="n">
        <v>45440</v>
      </c>
      <c r="C962" s="1" t="n">
        <v>46032</v>
      </c>
      <c r="D962" t="inlineStr">
        <is>
          <t>VÄSTERNORRLANDS LÄN</t>
        </is>
      </c>
      <c r="E962" t="inlineStr">
        <is>
          <t>ÅNGE</t>
        </is>
      </c>
      <c r="G962" t="n">
        <v>3.7</v>
      </c>
      <c r="H962" t="n">
        <v>0</v>
      </c>
      <c r="I962" t="n">
        <v>0</v>
      </c>
      <c r="J962" t="n">
        <v>0</v>
      </c>
      <c r="K962" t="n">
        <v>0</v>
      </c>
      <c r="L962" t="n">
        <v>0</v>
      </c>
      <c r="M962" t="n">
        <v>0</v>
      </c>
      <c r="N962" t="n">
        <v>0</v>
      </c>
      <c r="O962" t="n">
        <v>0</v>
      </c>
      <c r="P962" t="n">
        <v>0</v>
      </c>
      <c r="Q962" t="n">
        <v>0</v>
      </c>
      <c r="R962" s="2" t="inlineStr"/>
    </row>
    <row r="963" ht="15" customHeight="1">
      <c r="A963" t="inlineStr">
        <is>
          <t>A 62091-2025</t>
        </is>
      </c>
      <c r="B963" s="1" t="n">
        <v>46006.3859375</v>
      </c>
      <c r="C963" s="1" t="n">
        <v>46032</v>
      </c>
      <c r="D963" t="inlineStr">
        <is>
          <t>VÄSTERNORRLANDS LÄN</t>
        </is>
      </c>
      <c r="E963" t="inlineStr">
        <is>
          <t>ÅNGE</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62101-2025</t>
        </is>
      </c>
      <c r="B964" s="1" t="n">
        <v>46006.40664351852</v>
      </c>
      <c r="C964" s="1" t="n">
        <v>46032</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62257-2025</t>
        </is>
      </c>
      <c r="B965" s="1" t="n">
        <v>46006.61524305555</v>
      </c>
      <c r="C965" s="1" t="n">
        <v>46032</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17923-2025</t>
        </is>
      </c>
      <c r="B966" s="1" t="n">
        <v>45759.34415509259</v>
      </c>
      <c r="C966" s="1" t="n">
        <v>46032</v>
      </c>
      <c r="D966" t="inlineStr">
        <is>
          <t>VÄSTERNORRLANDS LÄN</t>
        </is>
      </c>
      <c r="E966" t="inlineStr">
        <is>
          <t>ÅNGE</t>
        </is>
      </c>
      <c r="F966" t="inlineStr">
        <is>
          <t>SCA</t>
        </is>
      </c>
      <c r="G966" t="n">
        <v>9.6</v>
      </c>
      <c r="H966" t="n">
        <v>0</v>
      </c>
      <c r="I966" t="n">
        <v>0</v>
      </c>
      <c r="J966" t="n">
        <v>0</v>
      </c>
      <c r="K966" t="n">
        <v>0</v>
      </c>
      <c r="L966" t="n">
        <v>0</v>
      </c>
      <c r="M966" t="n">
        <v>0</v>
      </c>
      <c r="N966" t="n">
        <v>0</v>
      </c>
      <c r="O966" t="n">
        <v>0</v>
      </c>
      <c r="P966" t="n">
        <v>0</v>
      </c>
      <c r="Q966" t="n">
        <v>0</v>
      </c>
      <c r="R966" s="2" t="inlineStr"/>
    </row>
    <row r="967" ht="15" customHeight="1">
      <c r="A967" t="inlineStr">
        <is>
          <t>A 13164-2022</t>
        </is>
      </c>
      <c r="B967" s="1" t="n">
        <v>44644</v>
      </c>
      <c r="C967" s="1" t="n">
        <v>46032</v>
      </c>
      <c r="D967" t="inlineStr">
        <is>
          <t>VÄSTERNORRLANDS LÄN</t>
        </is>
      </c>
      <c r="E967" t="inlineStr">
        <is>
          <t>ÅNGE</t>
        </is>
      </c>
      <c r="G967" t="n">
        <v>1.8</v>
      </c>
      <c r="H967" t="n">
        <v>0</v>
      </c>
      <c r="I967" t="n">
        <v>0</v>
      </c>
      <c r="J967" t="n">
        <v>0</v>
      </c>
      <c r="K967" t="n">
        <v>0</v>
      </c>
      <c r="L967" t="n">
        <v>0</v>
      </c>
      <c r="M967" t="n">
        <v>0</v>
      </c>
      <c r="N967" t="n">
        <v>0</v>
      </c>
      <c r="O967" t="n">
        <v>0</v>
      </c>
      <c r="P967" t="n">
        <v>0</v>
      </c>
      <c r="Q967" t="n">
        <v>0</v>
      </c>
      <c r="R967" s="2" t="inlineStr"/>
    </row>
    <row r="968" ht="15" customHeight="1">
      <c r="A968" t="inlineStr">
        <is>
          <t>A 62160-2025</t>
        </is>
      </c>
      <c r="B968" s="1" t="n">
        <v>46006.49094907408</v>
      </c>
      <c r="C968" s="1" t="n">
        <v>46032</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62084-2025</t>
        </is>
      </c>
      <c r="B969" s="1" t="n">
        <v>46006.37449074074</v>
      </c>
      <c r="C969" s="1" t="n">
        <v>46032</v>
      </c>
      <c r="D969" t="inlineStr">
        <is>
          <t>VÄSTERNORRLANDS LÄN</t>
        </is>
      </c>
      <c r="E969" t="inlineStr">
        <is>
          <t>ÅNGE</t>
        </is>
      </c>
      <c r="G969" t="n">
        <v>1.8</v>
      </c>
      <c r="H969" t="n">
        <v>0</v>
      </c>
      <c r="I969" t="n">
        <v>0</v>
      </c>
      <c r="J969" t="n">
        <v>0</v>
      </c>
      <c r="K969" t="n">
        <v>0</v>
      </c>
      <c r="L969" t="n">
        <v>0</v>
      </c>
      <c r="M969" t="n">
        <v>0</v>
      </c>
      <c r="N969" t="n">
        <v>0</v>
      </c>
      <c r="O969" t="n">
        <v>0</v>
      </c>
      <c r="P969" t="n">
        <v>0</v>
      </c>
      <c r="Q969" t="n">
        <v>0</v>
      </c>
      <c r="R969" s="2" t="inlineStr"/>
    </row>
    <row r="970" ht="15" customHeight="1">
      <c r="A970" t="inlineStr">
        <is>
          <t>A 20231-2022</t>
        </is>
      </c>
      <c r="B970" s="1" t="n">
        <v>44698</v>
      </c>
      <c r="C970" s="1" t="n">
        <v>46032</v>
      </c>
      <c r="D970" t="inlineStr">
        <is>
          <t>VÄSTERNORRLANDS LÄN</t>
        </is>
      </c>
      <c r="E970" t="inlineStr">
        <is>
          <t>ÅNGE</t>
        </is>
      </c>
      <c r="G970" t="n">
        <v>4.2</v>
      </c>
      <c r="H970" t="n">
        <v>0</v>
      </c>
      <c r="I970" t="n">
        <v>0</v>
      </c>
      <c r="J970" t="n">
        <v>0</v>
      </c>
      <c r="K970" t="n">
        <v>0</v>
      </c>
      <c r="L970" t="n">
        <v>0</v>
      </c>
      <c r="M970" t="n">
        <v>0</v>
      </c>
      <c r="N970" t="n">
        <v>0</v>
      </c>
      <c r="O970" t="n">
        <v>0</v>
      </c>
      <c r="P970" t="n">
        <v>0</v>
      </c>
      <c r="Q970" t="n">
        <v>0</v>
      </c>
      <c r="R970" s="2" t="inlineStr"/>
    </row>
    <row r="971" ht="15" customHeight="1">
      <c r="A971" t="inlineStr">
        <is>
          <t>A 60363-2024</t>
        </is>
      </c>
      <c r="B971" s="1" t="n">
        <v>45643</v>
      </c>
      <c r="C971" s="1" t="n">
        <v>46032</v>
      </c>
      <c r="D971" t="inlineStr">
        <is>
          <t>VÄSTERNORRLANDS LÄN</t>
        </is>
      </c>
      <c r="E971" t="inlineStr">
        <is>
          <t>ÅNGE</t>
        </is>
      </c>
      <c r="G971" t="n">
        <v>1.3</v>
      </c>
      <c r="H971" t="n">
        <v>0</v>
      </c>
      <c r="I971" t="n">
        <v>0</v>
      </c>
      <c r="J971" t="n">
        <v>0</v>
      </c>
      <c r="K971" t="n">
        <v>0</v>
      </c>
      <c r="L971" t="n">
        <v>0</v>
      </c>
      <c r="M971" t="n">
        <v>0</v>
      </c>
      <c r="N971" t="n">
        <v>0</v>
      </c>
      <c r="O971" t="n">
        <v>0</v>
      </c>
      <c r="P971" t="n">
        <v>0</v>
      </c>
      <c r="Q971" t="n">
        <v>0</v>
      </c>
      <c r="R971" s="2" t="inlineStr"/>
    </row>
    <row r="972" ht="15" customHeight="1">
      <c r="A972" t="inlineStr">
        <is>
          <t>A 15369-2024</t>
        </is>
      </c>
      <c r="B972" s="1" t="n">
        <v>45400.92290509259</v>
      </c>
      <c r="C972" s="1" t="n">
        <v>46032</v>
      </c>
      <c r="D972" t="inlineStr">
        <is>
          <t>VÄSTERNORRLANDS LÄN</t>
        </is>
      </c>
      <c r="E972" t="inlineStr">
        <is>
          <t>ÅNGE</t>
        </is>
      </c>
      <c r="G972" t="n">
        <v>0.4</v>
      </c>
      <c r="H972" t="n">
        <v>0</v>
      </c>
      <c r="I972" t="n">
        <v>0</v>
      </c>
      <c r="J972" t="n">
        <v>0</v>
      </c>
      <c r="K972" t="n">
        <v>0</v>
      </c>
      <c r="L972" t="n">
        <v>0</v>
      </c>
      <c r="M972" t="n">
        <v>0</v>
      </c>
      <c r="N972" t="n">
        <v>0</v>
      </c>
      <c r="O972" t="n">
        <v>0</v>
      </c>
      <c r="P972" t="n">
        <v>0</v>
      </c>
      <c r="Q972" t="n">
        <v>0</v>
      </c>
      <c r="R972" s="2" t="inlineStr"/>
    </row>
    <row r="973" ht="15" customHeight="1">
      <c r="A973" t="inlineStr">
        <is>
          <t>A 26010-2024</t>
        </is>
      </c>
      <c r="B973" s="1" t="n">
        <v>45467.95819444444</v>
      </c>
      <c r="C973" s="1" t="n">
        <v>46032</v>
      </c>
      <c r="D973" t="inlineStr">
        <is>
          <t>VÄSTERNORRLANDS LÄN</t>
        </is>
      </c>
      <c r="E973" t="inlineStr">
        <is>
          <t>ÅNGE</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52785-2024</t>
        </is>
      </c>
      <c r="B974" s="1" t="n">
        <v>45610.55273148148</v>
      </c>
      <c r="C974" s="1" t="n">
        <v>46032</v>
      </c>
      <c r="D974" t="inlineStr">
        <is>
          <t>VÄSTERNORRLANDS LÄN</t>
        </is>
      </c>
      <c r="E974" t="inlineStr">
        <is>
          <t>ÅNGE</t>
        </is>
      </c>
      <c r="F974" t="inlineStr">
        <is>
          <t>SCA</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52786-2024</t>
        </is>
      </c>
      <c r="B975" s="1" t="n">
        <v>45610.55283564814</v>
      </c>
      <c r="C975" s="1" t="n">
        <v>46032</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63092-2025</t>
        </is>
      </c>
      <c r="B976" s="1" t="n">
        <v>46009.67795138889</v>
      </c>
      <c r="C976" s="1" t="n">
        <v>46032</v>
      </c>
      <c r="D976" t="inlineStr">
        <is>
          <t>VÄSTERNORRLANDS LÄN</t>
        </is>
      </c>
      <c r="E976" t="inlineStr">
        <is>
          <t>ÅNGE</t>
        </is>
      </c>
      <c r="G976" t="n">
        <v>2.6</v>
      </c>
      <c r="H976" t="n">
        <v>0</v>
      </c>
      <c r="I976" t="n">
        <v>0</v>
      </c>
      <c r="J976" t="n">
        <v>0</v>
      </c>
      <c r="K976" t="n">
        <v>0</v>
      </c>
      <c r="L976" t="n">
        <v>0</v>
      </c>
      <c r="M976" t="n">
        <v>0</v>
      </c>
      <c r="N976" t="n">
        <v>0</v>
      </c>
      <c r="O976" t="n">
        <v>0</v>
      </c>
      <c r="P976" t="n">
        <v>0</v>
      </c>
      <c r="Q976" t="n">
        <v>0</v>
      </c>
      <c r="R976" s="2" t="inlineStr"/>
    </row>
    <row r="977" ht="15" customHeight="1">
      <c r="A977" t="inlineStr">
        <is>
          <t>A 46254-2023</t>
        </is>
      </c>
      <c r="B977" s="1" t="n">
        <v>45196</v>
      </c>
      <c r="C977" s="1" t="n">
        <v>46032</v>
      </c>
      <c r="D977" t="inlineStr">
        <is>
          <t>VÄSTERNORRLANDS LÄN</t>
        </is>
      </c>
      <c r="E977" t="inlineStr">
        <is>
          <t>ÅNGE</t>
        </is>
      </c>
      <c r="F977" t="inlineStr">
        <is>
          <t>SCA</t>
        </is>
      </c>
      <c r="G977" t="n">
        <v>0.1</v>
      </c>
      <c r="H977" t="n">
        <v>0</v>
      </c>
      <c r="I977" t="n">
        <v>0</v>
      </c>
      <c r="J977" t="n">
        <v>0</v>
      </c>
      <c r="K977" t="n">
        <v>0</v>
      </c>
      <c r="L977" t="n">
        <v>0</v>
      </c>
      <c r="M977" t="n">
        <v>0</v>
      </c>
      <c r="N977" t="n">
        <v>0</v>
      </c>
      <c r="O977" t="n">
        <v>0</v>
      </c>
      <c r="P977" t="n">
        <v>0</v>
      </c>
      <c r="Q977" t="n">
        <v>0</v>
      </c>
      <c r="R977" s="2" t="inlineStr"/>
    </row>
    <row r="978" ht="15" customHeight="1">
      <c r="A978" t="inlineStr">
        <is>
          <t>A 46262-2023</t>
        </is>
      </c>
      <c r="B978" s="1" t="n">
        <v>45196.93855324074</v>
      </c>
      <c r="C978" s="1" t="n">
        <v>46032</v>
      </c>
      <c r="D978" t="inlineStr">
        <is>
          <t>VÄSTERNORRLANDS LÄN</t>
        </is>
      </c>
      <c r="E978" t="inlineStr">
        <is>
          <t>ÅNGE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54707-2025</t>
        </is>
      </c>
      <c r="B979" s="1" t="n">
        <v>45966</v>
      </c>
      <c r="C979" s="1" t="n">
        <v>46032</v>
      </c>
      <c r="D979" t="inlineStr">
        <is>
          <t>VÄSTERNORRLANDS LÄN</t>
        </is>
      </c>
      <c r="E979" t="inlineStr">
        <is>
          <t>ÅNGE</t>
        </is>
      </c>
      <c r="G979" t="n">
        <v>3.2</v>
      </c>
      <c r="H979" t="n">
        <v>0</v>
      </c>
      <c r="I979" t="n">
        <v>0</v>
      </c>
      <c r="J979" t="n">
        <v>0</v>
      </c>
      <c r="K979" t="n">
        <v>0</v>
      </c>
      <c r="L979" t="n">
        <v>0</v>
      </c>
      <c r="M979" t="n">
        <v>0</v>
      </c>
      <c r="N979" t="n">
        <v>0</v>
      </c>
      <c r="O979" t="n">
        <v>0</v>
      </c>
      <c r="P979" t="n">
        <v>0</v>
      </c>
      <c r="Q979" t="n">
        <v>0</v>
      </c>
      <c r="R979" s="2" t="inlineStr"/>
    </row>
    <row r="980" ht="15" customHeight="1">
      <c r="A980" t="inlineStr">
        <is>
          <t>A 54710-2025</t>
        </is>
      </c>
      <c r="B980" s="1" t="n">
        <v>45966.49515046296</v>
      </c>
      <c r="C980" s="1" t="n">
        <v>46032</v>
      </c>
      <c r="D980" t="inlineStr">
        <is>
          <t>VÄSTERNORRLANDS LÄN</t>
        </is>
      </c>
      <c r="E980" t="inlineStr">
        <is>
          <t>ÅNGE</t>
        </is>
      </c>
      <c r="G980" t="n">
        <v>1.7</v>
      </c>
      <c r="H980" t="n">
        <v>0</v>
      </c>
      <c r="I980" t="n">
        <v>0</v>
      </c>
      <c r="J980" t="n">
        <v>0</v>
      </c>
      <c r="K980" t="n">
        <v>0</v>
      </c>
      <c r="L980" t="n">
        <v>0</v>
      </c>
      <c r="M980" t="n">
        <v>0</v>
      </c>
      <c r="N980" t="n">
        <v>0</v>
      </c>
      <c r="O980" t="n">
        <v>0</v>
      </c>
      <c r="P980" t="n">
        <v>0</v>
      </c>
      <c r="Q980" t="n">
        <v>0</v>
      </c>
      <c r="R980" s="2" t="inlineStr"/>
    </row>
    <row r="981" ht="15" customHeight="1">
      <c r="A981" t="inlineStr">
        <is>
          <t>A 54819-2025</t>
        </is>
      </c>
      <c r="B981" s="1" t="n">
        <v>45966.65709490741</v>
      </c>
      <c r="C981" s="1" t="n">
        <v>46032</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48725-2024</t>
        </is>
      </c>
      <c r="B982" s="1" t="n">
        <v>45593.55793981482</v>
      </c>
      <c r="C982" s="1" t="n">
        <v>46032</v>
      </c>
      <c r="D982" t="inlineStr">
        <is>
          <t>VÄSTERNORRLANDS LÄN</t>
        </is>
      </c>
      <c r="E982" t="inlineStr">
        <is>
          <t>ÅNGE</t>
        </is>
      </c>
      <c r="G982" t="n">
        <v>1.4</v>
      </c>
      <c r="H982" t="n">
        <v>0</v>
      </c>
      <c r="I982" t="n">
        <v>0</v>
      </c>
      <c r="J982" t="n">
        <v>0</v>
      </c>
      <c r="K982" t="n">
        <v>0</v>
      </c>
      <c r="L982" t="n">
        <v>0</v>
      </c>
      <c r="M982" t="n">
        <v>0</v>
      </c>
      <c r="N982" t="n">
        <v>0</v>
      </c>
      <c r="O982" t="n">
        <v>0</v>
      </c>
      <c r="P982" t="n">
        <v>0</v>
      </c>
      <c r="Q982" t="n">
        <v>0</v>
      </c>
      <c r="R982" s="2" t="inlineStr"/>
    </row>
    <row r="983" ht="15" customHeight="1">
      <c r="A983" t="inlineStr">
        <is>
          <t>A 54627-2025</t>
        </is>
      </c>
      <c r="B983" s="1" t="n">
        <v>45966.34565972222</v>
      </c>
      <c r="C983" s="1" t="n">
        <v>46032</v>
      </c>
      <c r="D983" t="inlineStr">
        <is>
          <t>VÄSTERNORRLANDS LÄN</t>
        </is>
      </c>
      <c r="E983" t="inlineStr">
        <is>
          <t>ÅNGE</t>
        </is>
      </c>
      <c r="F983" t="inlineStr">
        <is>
          <t>SCA</t>
        </is>
      </c>
      <c r="G983" t="n">
        <v>18.5</v>
      </c>
      <c r="H983" t="n">
        <v>0</v>
      </c>
      <c r="I983" t="n">
        <v>0</v>
      </c>
      <c r="J983" t="n">
        <v>0</v>
      </c>
      <c r="K983" t="n">
        <v>0</v>
      </c>
      <c r="L983" t="n">
        <v>0</v>
      </c>
      <c r="M983" t="n">
        <v>0</v>
      </c>
      <c r="N983" t="n">
        <v>0</v>
      </c>
      <c r="O983" t="n">
        <v>0</v>
      </c>
      <c r="P983" t="n">
        <v>0</v>
      </c>
      <c r="Q983" t="n">
        <v>0</v>
      </c>
      <c r="R983" s="2" t="inlineStr"/>
    </row>
    <row r="984" ht="15" customHeight="1">
      <c r="A984" t="inlineStr">
        <is>
          <t>A 39619-2024</t>
        </is>
      </c>
      <c r="B984" s="1" t="n">
        <v>45552</v>
      </c>
      <c r="C984" s="1" t="n">
        <v>46032</v>
      </c>
      <c r="D984" t="inlineStr">
        <is>
          <t>VÄSTERNORRLANDS LÄN</t>
        </is>
      </c>
      <c r="E984" t="inlineStr">
        <is>
          <t>ÅNGE</t>
        </is>
      </c>
      <c r="G984" t="n">
        <v>0.5</v>
      </c>
      <c r="H984" t="n">
        <v>0</v>
      </c>
      <c r="I984" t="n">
        <v>0</v>
      </c>
      <c r="J984" t="n">
        <v>0</v>
      </c>
      <c r="K984" t="n">
        <v>0</v>
      </c>
      <c r="L984" t="n">
        <v>0</v>
      </c>
      <c r="M984" t="n">
        <v>0</v>
      </c>
      <c r="N984" t="n">
        <v>0</v>
      </c>
      <c r="O984" t="n">
        <v>0</v>
      </c>
      <c r="P984" t="n">
        <v>0</v>
      </c>
      <c r="Q984" t="n">
        <v>0</v>
      </c>
      <c r="R984" s="2" t="inlineStr"/>
    </row>
    <row r="985" ht="15" customHeight="1">
      <c r="A985" t="inlineStr">
        <is>
          <t>A 37051-2021</t>
        </is>
      </c>
      <c r="B985" s="1" t="n">
        <v>44393</v>
      </c>
      <c r="C985" s="1" t="n">
        <v>46032</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62661-2025</t>
        </is>
      </c>
      <c r="B986" s="1" t="n">
        <v>46008.42761574074</v>
      </c>
      <c r="C986" s="1" t="n">
        <v>46032</v>
      </c>
      <c r="D986" t="inlineStr">
        <is>
          <t>VÄSTERNORRLANDS LÄN</t>
        </is>
      </c>
      <c r="E986" t="inlineStr">
        <is>
          <t>ÅNGE</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5613-2024</t>
        </is>
      </c>
      <c r="B987" s="1" t="n">
        <v>45334</v>
      </c>
      <c r="C987" s="1" t="n">
        <v>46032</v>
      </c>
      <c r="D987" t="inlineStr">
        <is>
          <t>VÄSTERNORRLANDS LÄN</t>
        </is>
      </c>
      <c r="E987" t="inlineStr">
        <is>
          <t>ÅNGE</t>
        </is>
      </c>
      <c r="G987" t="n">
        <v>0.4</v>
      </c>
      <c r="H987" t="n">
        <v>0</v>
      </c>
      <c r="I987" t="n">
        <v>0</v>
      </c>
      <c r="J987" t="n">
        <v>0</v>
      </c>
      <c r="K987" t="n">
        <v>0</v>
      </c>
      <c r="L987" t="n">
        <v>0</v>
      </c>
      <c r="M987" t="n">
        <v>0</v>
      </c>
      <c r="N987" t="n">
        <v>0</v>
      </c>
      <c r="O987" t="n">
        <v>0</v>
      </c>
      <c r="P987" t="n">
        <v>0</v>
      </c>
      <c r="Q987" t="n">
        <v>0</v>
      </c>
      <c r="R987" s="2" t="inlineStr"/>
    </row>
    <row r="988" ht="15" customHeight="1">
      <c r="A988" t="inlineStr">
        <is>
          <t>A 61321-2025</t>
        </is>
      </c>
      <c r="B988" s="1" t="n">
        <v>46000.96894675926</v>
      </c>
      <c r="C988" s="1" t="n">
        <v>46032</v>
      </c>
      <c r="D988" t="inlineStr">
        <is>
          <t>VÄSTERNORRLANDS LÄN</t>
        </is>
      </c>
      <c r="E988" t="inlineStr">
        <is>
          <t>ÅNGE</t>
        </is>
      </c>
      <c r="G988" t="n">
        <v>0.5</v>
      </c>
      <c r="H988" t="n">
        <v>0</v>
      </c>
      <c r="I988" t="n">
        <v>0</v>
      </c>
      <c r="J988" t="n">
        <v>0</v>
      </c>
      <c r="K988" t="n">
        <v>0</v>
      </c>
      <c r="L988" t="n">
        <v>0</v>
      </c>
      <c r="M988" t="n">
        <v>0</v>
      </c>
      <c r="N988" t="n">
        <v>0</v>
      </c>
      <c r="O988" t="n">
        <v>0</v>
      </c>
      <c r="P988" t="n">
        <v>0</v>
      </c>
      <c r="Q988" t="n">
        <v>0</v>
      </c>
      <c r="R988" s="2" t="inlineStr"/>
    </row>
    <row r="989" ht="15" customHeight="1">
      <c r="A989" t="inlineStr">
        <is>
          <t>A 61928-2021</t>
        </is>
      </c>
      <c r="B989" s="1" t="n">
        <v>44502.38475694445</v>
      </c>
      <c r="C989" s="1" t="n">
        <v>46032</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5367-2022</t>
        </is>
      </c>
      <c r="B990" s="1" t="n">
        <v>44594.92111111111</v>
      </c>
      <c r="C990" s="1" t="n">
        <v>46032</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54429-2024</t>
        </is>
      </c>
      <c r="B991" s="1" t="n">
        <v>45617.49087962963</v>
      </c>
      <c r="C991" s="1" t="n">
        <v>46032</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54713-2025</t>
        </is>
      </c>
      <c r="B992" s="1" t="n">
        <v>45966.50446759259</v>
      </c>
      <c r="C992" s="1" t="n">
        <v>46032</v>
      </c>
      <c r="D992" t="inlineStr">
        <is>
          <t>VÄSTERNORRLANDS LÄN</t>
        </is>
      </c>
      <c r="E992" t="inlineStr">
        <is>
          <t>ÅNGE</t>
        </is>
      </c>
      <c r="G992" t="n">
        <v>1.9</v>
      </c>
      <c r="H992" t="n">
        <v>0</v>
      </c>
      <c r="I992" t="n">
        <v>0</v>
      </c>
      <c r="J992" t="n">
        <v>0</v>
      </c>
      <c r="K992" t="n">
        <v>0</v>
      </c>
      <c r="L992" t="n">
        <v>0</v>
      </c>
      <c r="M992" t="n">
        <v>0</v>
      </c>
      <c r="N992" t="n">
        <v>0</v>
      </c>
      <c r="O992" t="n">
        <v>0</v>
      </c>
      <c r="P992" t="n">
        <v>0</v>
      </c>
      <c r="Q992" t="n">
        <v>0</v>
      </c>
      <c r="R992" s="2" t="inlineStr"/>
    </row>
    <row r="993" ht="15" customHeight="1">
      <c r="A993" t="inlineStr">
        <is>
          <t>A 55038-2025</t>
        </is>
      </c>
      <c r="B993" s="1" t="n">
        <v>45967.65527777778</v>
      </c>
      <c r="C993" s="1" t="n">
        <v>46032</v>
      </c>
      <c r="D993" t="inlineStr">
        <is>
          <t>VÄSTERNORRLANDS LÄN</t>
        </is>
      </c>
      <c r="E993" t="inlineStr">
        <is>
          <t>ÅNGE</t>
        </is>
      </c>
      <c r="G993" t="n">
        <v>4.5</v>
      </c>
      <c r="H993" t="n">
        <v>0</v>
      </c>
      <c r="I993" t="n">
        <v>0</v>
      </c>
      <c r="J993" t="n">
        <v>0</v>
      </c>
      <c r="K993" t="n">
        <v>0</v>
      </c>
      <c r="L993" t="n">
        <v>0</v>
      </c>
      <c r="M993" t="n">
        <v>0</v>
      </c>
      <c r="N993" t="n">
        <v>0</v>
      </c>
      <c r="O993" t="n">
        <v>0</v>
      </c>
      <c r="P993" t="n">
        <v>0</v>
      </c>
      <c r="Q993" t="n">
        <v>0</v>
      </c>
      <c r="R993" s="2" t="inlineStr"/>
    </row>
    <row r="994" ht="15" customHeight="1">
      <c r="A994" t="inlineStr">
        <is>
          <t>A 55045-2025</t>
        </is>
      </c>
      <c r="B994" s="1" t="n">
        <v>45967.66068287037</v>
      </c>
      <c r="C994" s="1" t="n">
        <v>46032</v>
      </c>
      <c r="D994" t="inlineStr">
        <is>
          <t>VÄSTERNORRLANDS LÄN</t>
        </is>
      </c>
      <c r="E994" t="inlineStr">
        <is>
          <t>ÅNGE</t>
        </is>
      </c>
      <c r="G994" t="n">
        <v>0.9</v>
      </c>
      <c r="H994" t="n">
        <v>0</v>
      </c>
      <c r="I994" t="n">
        <v>0</v>
      </c>
      <c r="J994" t="n">
        <v>0</v>
      </c>
      <c r="K994" t="n">
        <v>0</v>
      </c>
      <c r="L994" t="n">
        <v>0</v>
      </c>
      <c r="M994" t="n">
        <v>0</v>
      </c>
      <c r="N994" t="n">
        <v>0</v>
      </c>
      <c r="O994" t="n">
        <v>0</v>
      </c>
      <c r="P994" t="n">
        <v>0</v>
      </c>
      <c r="Q994" t="n">
        <v>0</v>
      </c>
      <c r="R994" s="2" t="inlineStr"/>
    </row>
    <row r="995" ht="15" customHeight="1">
      <c r="A995" t="inlineStr">
        <is>
          <t>A 24293-2023</t>
        </is>
      </c>
      <c r="B995" s="1" t="n">
        <v>45079.92756944444</v>
      </c>
      <c r="C995" s="1" t="n">
        <v>46032</v>
      </c>
      <c r="D995" t="inlineStr">
        <is>
          <t>VÄSTERNORRLANDS LÄN</t>
        </is>
      </c>
      <c r="E995" t="inlineStr">
        <is>
          <t>ÅNGE</t>
        </is>
      </c>
      <c r="G995" t="n">
        <v>0.8</v>
      </c>
      <c r="H995" t="n">
        <v>0</v>
      </c>
      <c r="I995" t="n">
        <v>0</v>
      </c>
      <c r="J995" t="n">
        <v>0</v>
      </c>
      <c r="K995" t="n">
        <v>0</v>
      </c>
      <c r="L995" t="n">
        <v>0</v>
      </c>
      <c r="M995" t="n">
        <v>0</v>
      </c>
      <c r="N995" t="n">
        <v>0</v>
      </c>
      <c r="O995" t="n">
        <v>0</v>
      </c>
      <c r="P995" t="n">
        <v>0</v>
      </c>
      <c r="Q995" t="n">
        <v>0</v>
      </c>
      <c r="R995" s="2" t="inlineStr"/>
    </row>
    <row r="996" ht="15" customHeight="1">
      <c r="A996" t="inlineStr">
        <is>
          <t>A 54925-2025</t>
        </is>
      </c>
      <c r="B996" s="1" t="n">
        <v>45967.40699074074</v>
      </c>
      <c r="C996" s="1" t="n">
        <v>46032</v>
      </c>
      <c r="D996" t="inlineStr">
        <is>
          <t>VÄSTERNORRLANDS LÄN</t>
        </is>
      </c>
      <c r="E996" t="inlineStr">
        <is>
          <t>ÅNGE</t>
        </is>
      </c>
      <c r="G996" t="n">
        <v>2.6</v>
      </c>
      <c r="H996" t="n">
        <v>0</v>
      </c>
      <c r="I996" t="n">
        <v>0</v>
      </c>
      <c r="J996" t="n">
        <v>0</v>
      </c>
      <c r="K996" t="n">
        <v>0</v>
      </c>
      <c r="L996" t="n">
        <v>0</v>
      </c>
      <c r="M996" t="n">
        <v>0</v>
      </c>
      <c r="N996" t="n">
        <v>0</v>
      </c>
      <c r="O996" t="n">
        <v>0</v>
      </c>
      <c r="P996" t="n">
        <v>0</v>
      </c>
      <c r="Q996" t="n">
        <v>0</v>
      </c>
      <c r="R996" s="2" t="inlineStr"/>
    </row>
    <row r="997" ht="15" customHeight="1">
      <c r="A997" t="inlineStr">
        <is>
          <t>A 54926-2025</t>
        </is>
      </c>
      <c r="B997" s="1" t="n">
        <v>45967.40707175926</v>
      </c>
      <c r="C997" s="1" t="n">
        <v>46032</v>
      </c>
      <c r="D997" t="inlineStr">
        <is>
          <t>VÄSTERNORRLANDS LÄN</t>
        </is>
      </c>
      <c r="E997" t="inlineStr">
        <is>
          <t>ÅNGE</t>
        </is>
      </c>
      <c r="G997" t="n">
        <v>3.1</v>
      </c>
      <c r="H997" t="n">
        <v>0</v>
      </c>
      <c r="I997" t="n">
        <v>0</v>
      </c>
      <c r="J997" t="n">
        <v>0</v>
      </c>
      <c r="K997" t="n">
        <v>0</v>
      </c>
      <c r="L997" t="n">
        <v>0</v>
      </c>
      <c r="M997" t="n">
        <v>0</v>
      </c>
      <c r="N997" t="n">
        <v>0</v>
      </c>
      <c r="O997" t="n">
        <v>0</v>
      </c>
      <c r="P997" t="n">
        <v>0</v>
      </c>
      <c r="Q997" t="n">
        <v>0</v>
      </c>
      <c r="R997" s="2" t="inlineStr"/>
    </row>
    <row r="998" ht="15" customHeight="1">
      <c r="A998" t="inlineStr">
        <is>
          <t>A 54715-2025</t>
        </is>
      </c>
      <c r="B998" s="1" t="n">
        <v>45966.50961805556</v>
      </c>
      <c r="C998" s="1" t="n">
        <v>46032</v>
      </c>
      <c r="D998" t="inlineStr">
        <is>
          <t>VÄSTERNORRLANDS LÄN</t>
        </is>
      </c>
      <c r="E998" t="inlineStr">
        <is>
          <t>ÅNGE</t>
        </is>
      </c>
      <c r="G998" t="n">
        <v>0.6</v>
      </c>
      <c r="H998" t="n">
        <v>0</v>
      </c>
      <c r="I998" t="n">
        <v>0</v>
      </c>
      <c r="J998" t="n">
        <v>0</v>
      </c>
      <c r="K998" t="n">
        <v>0</v>
      </c>
      <c r="L998" t="n">
        <v>0</v>
      </c>
      <c r="M998" t="n">
        <v>0</v>
      </c>
      <c r="N998" t="n">
        <v>0</v>
      </c>
      <c r="O998" t="n">
        <v>0</v>
      </c>
      <c r="P998" t="n">
        <v>0</v>
      </c>
      <c r="Q998" t="n">
        <v>0</v>
      </c>
      <c r="R998" s="2" t="inlineStr"/>
    </row>
    <row r="999" ht="15" customHeight="1">
      <c r="A999" t="inlineStr">
        <is>
          <t>A 361-2025</t>
        </is>
      </c>
      <c r="B999" s="1" t="n">
        <v>45660</v>
      </c>
      <c r="C999" s="1" t="n">
        <v>46032</v>
      </c>
      <c r="D999" t="inlineStr">
        <is>
          <t>VÄSTERNORRLANDS LÄN</t>
        </is>
      </c>
      <c r="E999" t="inlineStr">
        <is>
          <t>ÅNGE</t>
        </is>
      </c>
      <c r="G999" t="n">
        <v>4.2</v>
      </c>
      <c r="H999" t="n">
        <v>0</v>
      </c>
      <c r="I999" t="n">
        <v>0</v>
      </c>
      <c r="J999" t="n">
        <v>0</v>
      </c>
      <c r="K999" t="n">
        <v>0</v>
      </c>
      <c r="L999" t="n">
        <v>0</v>
      </c>
      <c r="M999" t="n">
        <v>0</v>
      </c>
      <c r="N999" t="n">
        <v>0</v>
      </c>
      <c r="O999" t="n">
        <v>0</v>
      </c>
      <c r="P999" t="n">
        <v>0</v>
      </c>
      <c r="Q999" t="n">
        <v>0</v>
      </c>
      <c r="R999" s="2" t="inlineStr"/>
    </row>
    <row r="1000" ht="15" customHeight="1">
      <c r="A1000" t="inlineStr">
        <is>
          <t>A 54680-2025</t>
        </is>
      </c>
      <c r="B1000" s="1" t="n">
        <v>45966.42751157407</v>
      </c>
      <c r="C1000" s="1" t="n">
        <v>46032</v>
      </c>
      <c r="D1000" t="inlineStr">
        <is>
          <t>VÄSTERNORRLANDS LÄN</t>
        </is>
      </c>
      <c r="E1000" t="inlineStr">
        <is>
          <t>ÅNGE</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54702-2025</t>
        </is>
      </c>
      <c r="B1001" s="1" t="n">
        <v>45966.4828587963</v>
      </c>
      <c r="C1001" s="1" t="n">
        <v>46032</v>
      </c>
      <c r="D1001" t="inlineStr">
        <is>
          <t>VÄSTERNORRLANDS LÄN</t>
        </is>
      </c>
      <c r="E1001" t="inlineStr">
        <is>
          <t>ÅNGE</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39985-2023</t>
        </is>
      </c>
      <c r="B1002" s="1" t="n">
        <v>45168</v>
      </c>
      <c r="C1002" s="1" t="n">
        <v>46032</v>
      </c>
      <c r="D1002" t="inlineStr">
        <is>
          <t>VÄSTERNORRLANDS LÄN</t>
        </is>
      </c>
      <c r="E1002" t="inlineStr">
        <is>
          <t>ÅNGE</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62763-2025</t>
        </is>
      </c>
      <c r="B1003" s="1" t="n">
        <v>46008.59434027778</v>
      </c>
      <c r="C1003" s="1" t="n">
        <v>46032</v>
      </c>
      <c r="D1003" t="inlineStr">
        <is>
          <t>VÄSTERNORRLANDS LÄN</t>
        </is>
      </c>
      <c r="E1003" t="inlineStr">
        <is>
          <t>ÅNGE</t>
        </is>
      </c>
      <c r="F1003" t="inlineStr">
        <is>
          <t>SCA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61308-2025</t>
        </is>
      </c>
      <c r="B1004" s="1" t="n">
        <v>46000.81952546296</v>
      </c>
      <c r="C1004" s="1" t="n">
        <v>46032</v>
      </c>
      <c r="D1004" t="inlineStr">
        <is>
          <t>VÄSTERNORRLANDS LÄN</t>
        </is>
      </c>
      <c r="E1004" t="inlineStr">
        <is>
          <t>ÅNGE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54705-2025</t>
        </is>
      </c>
      <c r="B1005" s="1" t="n">
        <v>45966.4853125</v>
      </c>
      <c r="C1005" s="1" t="n">
        <v>46032</v>
      </c>
      <c r="D1005" t="inlineStr">
        <is>
          <t>VÄSTERNORRLANDS LÄN</t>
        </is>
      </c>
      <c r="E1005" t="inlineStr">
        <is>
          <t>ÅNGE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49945-2023</t>
        </is>
      </c>
      <c r="B1006" s="1" t="n">
        <v>45215.3625462963</v>
      </c>
      <c r="C1006" s="1" t="n">
        <v>46032</v>
      </c>
      <c r="D1006" t="inlineStr">
        <is>
          <t>VÄSTERNORRLANDS LÄN</t>
        </is>
      </c>
      <c r="E1006" t="inlineStr">
        <is>
          <t>ÅNGE</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1420-2023</t>
        </is>
      </c>
      <c r="B1007" s="1" t="n">
        <v>44936.92762731481</v>
      </c>
      <c r="C1007" s="1" t="n">
        <v>46032</v>
      </c>
      <c r="D1007" t="inlineStr">
        <is>
          <t>VÄSTERNORRLANDS LÄN</t>
        </is>
      </c>
      <c r="E1007" t="inlineStr">
        <is>
          <t>ÅNGE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62793-2025</t>
        </is>
      </c>
      <c r="B1008" s="1" t="n">
        <v>46008.63625</v>
      </c>
      <c r="C1008" s="1" t="n">
        <v>46032</v>
      </c>
      <c r="D1008" t="inlineStr">
        <is>
          <t>VÄSTERNORRLANDS LÄN</t>
        </is>
      </c>
      <c r="E1008" t="inlineStr">
        <is>
          <t>ÅNGE</t>
        </is>
      </c>
      <c r="F1008" t="inlineStr">
        <is>
          <t>SCA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34691-2024</t>
        </is>
      </c>
      <c r="B1009" s="1" t="n">
        <v>45526.54516203704</v>
      </c>
      <c r="C1009" s="1" t="n">
        <v>46032</v>
      </c>
      <c r="D1009" t="inlineStr">
        <is>
          <t>VÄSTERNORRLANDS LÄN</t>
        </is>
      </c>
      <c r="E1009" t="inlineStr">
        <is>
          <t>ÅNGE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34629-2025</t>
        </is>
      </c>
      <c r="B1010" s="1" t="n">
        <v>45847.93006944445</v>
      </c>
      <c r="C1010" s="1" t="n">
        <v>46032</v>
      </c>
      <c r="D1010" t="inlineStr">
        <is>
          <t>VÄSTERNORRLANDS LÄN</t>
        </is>
      </c>
      <c r="E1010" t="inlineStr">
        <is>
          <t>ÅNGE</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15791-2025</t>
        </is>
      </c>
      <c r="B1011" s="1" t="n">
        <v>45748.631875</v>
      </c>
      <c r="C1011" s="1" t="n">
        <v>46032</v>
      </c>
      <c r="D1011" t="inlineStr">
        <is>
          <t>VÄSTERNORRLANDS LÄN</t>
        </is>
      </c>
      <c r="E1011" t="inlineStr">
        <is>
          <t>ÅNGE</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55049-2025</t>
        </is>
      </c>
      <c r="B1012" s="1" t="n">
        <v>45967.66614583333</v>
      </c>
      <c r="C1012" s="1" t="n">
        <v>46032</v>
      </c>
      <c r="D1012" t="inlineStr">
        <is>
          <t>VÄSTERNORRLANDS LÄN</t>
        </is>
      </c>
      <c r="E1012" t="inlineStr">
        <is>
          <t>ÅNGE</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54585-2024</t>
        </is>
      </c>
      <c r="B1013" s="1" t="n">
        <v>45617.65762731482</v>
      </c>
      <c r="C1013" s="1" t="n">
        <v>46032</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17452-2025</t>
        </is>
      </c>
      <c r="B1014" s="1" t="n">
        <v>45757.44842592593</v>
      </c>
      <c r="C1014" s="1" t="n">
        <v>46032</v>
      </c>
      <c r="D1014" t="inlineStr">
        <is>
          <t>VÄSTERNORRLANDS LÄN</t>
        </is>
      </c>
      <c r="E1014" t="inlineStr">
        <is>
          <t>ÅNGE</t>
        </is>
      </c>
      <c r="F1014" t="inlineStr">
        <is>
          <t>SCA</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3966-2025</t>
        </is>
      </c>
      <c r="B1015" s="1" t="n">
        <v>45684.51072916666</v>
      </c>
      <c r="C1015" s="1" t="n">
        <v>46032</v>
      </c>
      <c r="D1015" t="inlineStr">
        <is>
          <t>VÄSTERNORRLANDS LÄN</t>
        </is>
      </c>
      <c r="E1015" t="inlineStr">
        <is>
          <t>ÅNGE</t>
        </is>
      </c>
      <c r="F1015" t="inlineStr">
        <is>
          <t>SCA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57526-2024</t>
        </is>
      </c>
      <c r="B1016" s="1" t="n">
        <v>45630</v>
      </c>
      <c r="C1016" s="1" t="n">
        <v>46032</v>
      </c>
      <c r="D1016" t="inlineStr">
        <is>
          <t>VÄSTERNORRLANDS LÄN</t>
        </is>
      </c>
      <c r="E1016" t="inlineStr">
        <is>
          <t>ÅNGE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5999-2025</t>
        </is>
      </c>
      <c r="B1017" s="1" t="n">
        <v>45695</v>
      </c>
      <c r="C1017" s="1" t="n">
        <v>46032</v>
      </c>
      <c r="D1017" t="inlineStr">
        <is>
          <t>VÄSTERNORRLANDS LÄN</t>
        </is>
      </c>
      <c r="E1017" t="inlineStr">
        <is>
          <t>ÅNGE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35593-2024</t>
        </is>
      </c>
      <c r="B1018" s="1" t="n">
        <v>45531</v>
      </c>
      <c r="C1018" s="1" t="n">
        <v>46032</v>
      </c>
      <c r="D1018" t="inlineStr">
        <is>
          <t>VÄSTERNORRLANDS LÄN</t>
        </is>
      </c>
      <c r="E1018" t="inlineStr">
        <is>
          <t>ÅNGE</t>
        </is>
      </c>
      <c r="G1018" t="n">
        <v>17.6</v>
      </c>
      <c r="H1018" t="n">
        <v>0</v>
      </c>
      <c r="I1018" t="n">
        <v>0</v>
      </c>
      <c r="J1018" t="n">
        <v>0</v>
      </c>
      <c r="K1018" t="n">
        <v>0</v>
      </c>
      <c r="L1018" t="n">
        <v>0</v>
      </c>
      <c r="M1018" t="n">
        <v>0</v>
      </c>
      <c r="N1018" t="n">
        <v>0</v>
      </c>
      <c r="O1018" t="n">
        <v>0</v>
      </c>
      <c r="P1018" t="n">
        <v>0</v>
      </c>
      <c r="Q1018" t="n">
        <v>0</v>
      </c>
      <c r="R1018" s="2" t="inlineStr"/>
    </row>
    <row r="1019" ht="15" customHeight="1">
      <c r="A1019" t="inlineStr">
        <is>
          <t>A 55160-2025</t>
        </is>
      </c>
      <c r="B1019" s="1" t="n">
        <v>45968.46930555555</v>
      </c>
      <c r="C1019" s="1" t="n">
        <v>46032</v>
      </c>
      <c r="D1019" t="inlineStr">
        <is>
          <t>VÄSTERNORRLANDS LÄN</t>
        </is>
      </c>
      <c r="E1019" t="inlineStr">
        <is>
          <t>ÅNGE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63173-2025</t>
        </is>
      </c>
      <c r="B1020" s="1" t="n">
        <v>46010.40679398148</v>
      </c>
      <c r="C1020" s="1" t="n">
        <v>46032</v>
      </c>
      <c r="D1020" t="inlineStr">
        <is>
          <t>VÄSTERNORRLANDS LÄN</t>
        </is>
      </c>
      <c r="E1020" t="inlineStr">
        <is>
          <t>ÅNGE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36786-2024</t>
        </is>
      </c>
      <c r="B1021" s="1" t="n">
        <v>45538</v>
      </c>
      <c r="C1021" s="1" t="n">
        <v>46032</v>
      </c>
      <c r="D1021" t="inlineStr">
        <is>
          <t>VÄSTERNORRLANDS LÄN</t>
        </is>
      </c>
      <c r="E1021" t="inlineStr">
        <is>
          <t>ÅNGE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55556-2025</t>
        </is>
      </c>
      <c r="B1022" s="1" t="n">
        <v>45971.64694444444</v>
      </c>
      <c r="C1022" s="1" t="n">
        <v>46032</v>
      </c>
      <c r="D1022" t="inlineStr">
        <is>
          <t>VÄSTERNORRLANDS LÄN</t>
        </is>
      </c>
      <c r="E1022" t="inlineStr">
        <is>
          <t>ÅNGE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62336-2025</t>
        </is>
      </c>
      <c r="B1023" s="1" t="n">
        <v>46006</v>
      </c>
      <c r="C1023" s="1" t="n">
        <v>46032</v>
      </c>
      <c r="D1023" t="inlineStr">
        <is>
          <t>VÄSTERNORRLANDS LÄN</t>
        </is>
      </c>
      <c r="E1023" t="inlineStr">
        <is>
          <t>ÅNGE</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6487-2021</t>
        </is>
      </c>
      <c r="B1024" s="1" t="n">
        <v>44235</v>
      </c>
      <c r="C1024" s="1" t="n">
        <v>46032</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55816-2025</t>
        </is>
      </c>
      <c r="B1025" s="1" t="n">
        <v>45972.69851851852</v>
      </c>
      <c r="C1025" s="1" t="n">
        <v>46032</v>
      </c>
      <c r="D1025" t="inlineStr">
        <is>
          <t>VÄSTERNORRLANDS LÄN</t>
        </is>
      </c>
      <c r="E1025" t="inlineStr">
        <is>
          <t>ÅNGE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54908-2021</t>
        </is>
      </c>
      <c r="B1026" s="1" t="n">
        <v>44474.39769675926</v>
      </c>
      <c r="C1026" s="1" t="n">
        <v>46032</v>
      </c>
      <c r="D1026" t="inlineStr">
        <is>
          <t>VÄSTERNORRLANDS LÄN</t>
        </is>
      </c>
      <c r="E1026" t="inlineStr">
        <is>
          <t>ÅNGE</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63642-2025</t>
        </is>
      </c>
      <c r="B1027" s="1" t="n">
        <v>46014.41258101852</v>
      </c>
      <c r="C1027" s="1" t="n">
        <v>46032</v>
      </c>
      <c r="D1027" t="inlineStr">
        <is>
          <t>VÄSTERNORRLANDS LÄN</t>
        </is>
      </c>
      <c r="E1027" t="inlineStr">
        <is>
          <t>ÅNGE</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63652-2025</t>
        </is>
      </c>
      <c r="B1028" s="1" t="n">
        <v>46014.43987268519</v>
      </c>
      <c r="C1028" s="1" t="n">
        <v>46032</v>
      </c>
      <c r="D1028" t="inlineStr">
        <is>
          <t>VÄSTERNORRLANDS LÄN</t>
        </is>
      </c>
      <c r="E1028" t="inlineStr">
        <is>
          <t>ÅNGE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45933-2023</t>
        </is>
      </c>
      <c r="B1029" s="1" t="n">
        <v>45195</v>
      </c>
      <c r="C1029" s="1" t="n">
        <v>46032</v>
      </c>
      <c r="D1029" t="inlineStr">
        <is>
          <t>VÄSTERNORRLANDS LÄN</t>
        </is>
      </c>
      <c r="E1029" t="inlineStr">
        <is>
          <t>ÅNGE</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63673-2025</t>
        </is>
      </c>
      <c r="B1030" s="1" t="n">
        <v>46014.47594907408</v>
      </c>
      <c r="C1030" s="1" t="n">
        <v>46032</v>
      </c>
      <c r="D1030" t="inlineStr">
        <is>
          <t>VÄSTERNORRLANDS LÄN</t>
        </is>
      </c>
      <c r="E1030" t="inlineStr">
        <is>
          <t>ÅNGE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46015-2024</t>
        </is>
      </c>
      <c r="B1031" s="1" t="n">
        <v>45580.67760416667</v>
      </c>
      <c r="C1031" s="1" t="n">
        <v>46032</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63686-2025</t>
        </is>
      </c>
      <c r="B1032" s="1" t="n">
        <v>46014.53172453704</v>
      </c>
      <c r="C1032" s="1" t="n">
        <v>46032</v>
      </c>
      <c r="D1032" t="inlineStr">
        <is>
          <t>VÄSTERNORRLANDS LÄN</t>
        </is>
      </c>
      <c r="E1032" t="inlineStr">
        <is>
          <t>ÅNGE</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56077-2025</t>
        </is>
      </c>
      <c r="B1033" s="1" t="n">
        <v>45973.65759259259</v>
      </c>
      <c r="C1033" s="1" t="n">
        <v>46032</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44636-2024</t>
        </is>
      </c>
      <c r="B1034" s="1" t="n">
        <v>45574.51491898148</v>
      </c>
      <c r="C1034" s="1" t="n">
        <v>46032</v>
      </c>
      <c r="D1034" t="inlineStr">
        <is>
          <t>VÄSTERNORRLANDS LÄN</t>
        </is>
      </c>
      <c r="E1034" t="inlineStr">
        <is>
          <t>ÅNGE</t>
        </is>
      </c>
      <c r="F1034" t="inlineStr">
        <is>
          <t>SCA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44979-2023</t>
        </is>
      </c>
      <c r="B1035" s="1" t="n">
        <v>45190.95752314815</v>
      </c>
      <c r="C1035" s="1" t="n">
        <v>46032</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1582-2025</t>
        </is>
      </c>
      <c r="B1036" s="1" t="n">
        <v>45670</v>
      </c>
      <c r="C1036" s="1" t="n">
        <v>46032</v>
      </c>
      <c r="D1036" t="inlineStr">
        <is>
          <t>VÄSTERNORRLANDS LÄN</t>
        </is>
      </c>
      <c r="E1036" t="inlineStr">
        <is>
          <t>ÅNGE</t>
        </is>
      </c>
      <c r="G1036" t="n">
        <v>7.3</v>
      </c>
      <c r="H1036" t="n">
        <v>0</v>
      </c>
      <c r="I1036" t="n">
        <v>0</v>
      </c>
      <c r="J1036" t="n">
        <v>0</v>
      </c>
      <c r="K1036" t="n">
        <v>0</v>
      </c>
      <c r="L1036" t="n">
        <v>0</v>
      </c>
      <c r="M1036" t="n">
        <v>0</v>
      </c>
      <c r="N1036" t="n">
        <v>0</v>
      </c>
      <c r="O1036" t="n">
        <v>0</v>
      </c>
      <c r="P1036" t="n">
        <v>0</v>
      </c>
      <c r="Q1036" t="n">
        <v>0</v>
      </c>
      <c r="R1036" s="2" t="inlineStr"/>
      <c r="U1036">
        <f>HYPERLINK("https://klasma.github.io/Logging_2260/knärot/A 1582-2025 karta knärot.png", "A 1582-2025")</f>
        <v/>
      </c>
      <c r="V1036">
        <f>HYPERLINK("https://klasma.github.io/Logging_2260/klagomål/A 1582-2025 FSC-klagomål.docx", "A 1582-2025")</f>
        <v/>
      </c>
      <c r="W1036">
        <f>HYPERLINK("https://klasma.github.io/Logging_2260/klagomålsmail/A 1582-2025 FSC-klagomål mail.docx", "A 1582-2025")</f>
        <v/>
      </c>
      <c r="X1036">
        <f>HYPERLINK("https://klasma.github.io/Logging_2260/tillsyn/A 1582-2025 tillsynsbegäran.docx", "A 1582-2025")</f>
        <v/>
      </c>
      <c r="Y1036">
        <f>HYPERLINK("https://klasma.github.io/Logging_2260/tillsynsmail/A 1582-2025 tillsynsbegäran mail.docx", "A 1582-2025")</f>
        <v/>
      </c>
    </row>
    <row r="1037" ht="15" customHeight="1">
      <c r="A1037" t="inlineStr">
        <is>
          <t>A 56419-2025</t>
        </is>
      </c>
      <c r="B1037" s="1" t="n">
        <v>45975.34445601852</v>
      </c>
      <c r="C1037" s="1" t="n">
        <v>46032</v>
      </c>
      <c r="D1037" t="inlineStr">
        <is>
          <t>VÄSTERNORRLANDS LÄN</t>
        </is>
      </c>
      <c r="E1037" t="inlineStr">
        <is>
          <t>ÅNGE</t>
        </is>
      </c>
      <c r="F1037" t="inlineStr">
        <is>
          <t>SCA</t>
        </is>
      </c>
      <c r="G1037" t="n">
        <v>21.4</v>
      </c>
      <c r="H1037" t="n">
        <v>0</v>
      </c>
      <c r="I1037" t="n">
        <v>0</v>
      </c>
      <c r="J1037" t="n">
        <v>0</v>
      </c>
      <c r="K1037" t="n">
        <v>0</v>
      </c>
      <c r="L1037" t="n">
        <v>0</v>
      </c>
      <c r="M1037" t="n">
        <v>0</v>
      </c>
      <c r="N1037" t="n">
        <v>0</v>
      </c>
      <c r="O1037" t="n">
        <v>0</v>
      </c>
      <c r="P1037" t="n">
        <v>0</v>
      </c>
      <c r="Q1037" t="n">
        <v>0</v>
      </c>
      <c r="R1037" s="2" t="inlineStr"/>
    </row>
    <row r="1038" ht="15" customHeight="1">
      <c r="A1038" t="inlineStr">
        <is>
          <t>A 25377-2024</t>
        </is>
      </c>
      <c r="B1038" s="1" t="n">
        <v>45462.96211805556</v>
      </c>
      <c r="C1038" s="1" t="n">
        <v>46032</v>
      </c>
      <c r="D1038" t="inlineStr">
        <is>
          <t>VÄSTERNORRLANDS LÄN</t>
        </is>
      </c>
      <c r="E1038" t="inlineStr">
        <is>
          <t>ÅNGE</t>
        </is>
      </c>
      <c r="F1038" t="inlineStr">
        <is>
          <t>SCA</t>
        </is>
      </c>
      <c r="G1038" t="n">
        <v>20.7</v>
      </c>
      <c r="H1038" t="n">
        <v>0</v>
      </c>
      <c r="I1038" t="n">
        <v>0</v>
      </c>
      <c r="J1038" t="n">
        <v>0</v>
      </c>
      <c r="K1038" t="n">
        <v>0</v>
      </c>
      <c r="L1038" t="n">
        <v>0</v>
      </c>
      <c r="M1038" t="n">
        <v>0</v>
      </c>
      <c r="N1038" t="n">
        <v>0</v>
      </c>
      <c r="O1038" t="n">
        <v>0</v>
      </c>
      <c r="P1038" t="n">
        <v>0</v>
      </c>
      <c r="Q1038" t="n">
        <v>0</v>
      </c>
      <c r="R1038" s="2" t="inlineStr"/>
    </row>
    <row r="1039" ht="15" customHeight="1">
      <c r="A1039" t="inlineStr">
        <is>
          <t>A 56423-2025</t>
        </is>
      </c>
      <c r="B1039" s="1" t="n">
        <v>45975.34528935186</v>
      </c>
      <c r="C1039" s="1" t="n">
        <v>46032</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c r="U1039">
        <f>HYPERLINK("https://klasma.github.io/Logging_2260/knärot/A 56423-2025 karta knärot.png", "A 56423-2025")</f>
        <v/>
      </c>
      <c r="V1039">
        <f>HYPERLINK("https://klasma.github.io/Logging_2260/klagomål/A 56423-2025 FSC-klagomål.docx", "A 56423-2025")</f>
        <v/>
      </c>
      <c r="W1039">
        <f>HYPERLINK("https://klasma.github.io/Logging_2260/klagomålsmail/A 56423-2025 FSC-klagomål mail.docx", "A 56423-2025")</f>
        <v/>
      </c>
      <c r="X1039">
        <f>HYPERLINK("https://klasma.github.io/Logging_2260/tillsyn/A 56423-2025 tillsynsbegäran.docx", "A 56423-2025")</f>
        <v/>
      </c>
      <c r="Y1039">
        <f>HYPERLINK("https://klasma.github.io/Logging_2260/tillsynsmail/A 56423-2025 tillsynsbegäran mail.docx", "A 56423-2025")</f>
        <v/>
      </c>
    </row>
    <row r="1040" ht="15" customHeight="1">
      <c r="A1040" t="inlineStr">
        <is>
          <t>A 56666-2025</t>
        </is>
      </c>
      <c r="B1040" s="1" t="n">
        <v>45975.67747685185</v>
      </c>
      <c r="C1040" s="1" t="n">
        <v>46032</v>
      </c>
      <c r="D1040" t="inlineStr">
        <is>
          <t>VÄSTERNORRLANDS LÄN</t>
        </is>
      </c>
      <c r="E1040" t="inlineStr">
        <is>
          <t>ÅNGE</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39975-2023</t>
        </is>
      </c>
      <c r="B1041" s="1" t="n">
        <v>45168.58844907407</v>
      </c>
      <c r="C1041" s="1" t="n">
        <v>46032</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53970-2021</t>
        </is>
      </c>
      <c r="B1042" s="1" t="n">
        <v>44469</v>
      </c>
      <c r="C1042" s="1" t="n">
        <v>46032</v>
      </c>
      <c r="D1042" t="inlineStr">
        <is>
          <t>VÄSTERNORRLANDS LÄN</t>
        </is>
      </c>
      <c r="E1042" t="inlineStr">
        <is>
          <t>ÅNGE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56741-2025</t>
        </is>
      </c>
      <c r="B1043" s="1" t="n">
        <v>45978.34726851852</v>
      </c>
      <c r="C1043" s="1" t="n">
        <v>46032</v>
      </c>
      <c r="D1043" t="inlineStr">
        <is>
          <t>VÄSTERNORRLANDS LÄN</t>
        </is>
      </c>
      <c r="E1043" t="inlineStr">
        <is>
          <t>ÅNGE</t>
        </is>
      </c>
      <c r="G1043" t="n">
        <v>11.4</v>
      </c>
      <c r="H1043" t="n">
        <v>0</v>
      </c>
      <c r="I1043" t="n">
        <v>0</v>
      </c>
      <c r="J1043" t="n">
        <v>0</v>
      </c>
      <c r="K1043" t="n">
        <v>0</v>
      </c>
      <c r="L1043" t="n">
        <v>0</v>
      </c>
      <c r="M1043" t="n">
        <v>0</v>
      </c>
      <c r="N1043" t="n">
        <v>0</v>
      </c>
      <c r="O1043" t="n">
        <v>0</v>
      </c>
      <c r="P1043" t="n">
        <v>0</v>
      </c>
      <c r="Q1043" t="n">
        <v>0</v>
      </c>
      <c r="R1043" s="2" t="inlineStr"/>
    </row>
    <row r="1044" ht="15" customHeight="1">
      <c r="A1044" t="inlineStr">
        <is>
          <t>A 13491-2023</t>
        </is>
      </c>
      <c r="B1044" s="1" t="n">
        <v>45005.93929398148</v>
      </c>
      <c r="C1044" s="1" t="n">
        <v>46032</v>
      </c>
      <c r="D1044" t="inlineStr">
        <is>
          <t>VÄSTERNORRLANDS LÄN</t>
        </is>
      </c>
      <c r="E1044" t="inlineStr">
        <is>
          <t>ÅNGE</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33062-2022</t>
        </is>
      </c>
      <c r="B1045" s="1" t="n">
        <v>44785</v>
      </c>
      <c r="C1045" s="1" t="n">
        <v>46032</v>
      </c>
      <c r="D1045" t="inlineStr">
        <is>
          <t>VÄSTERNORRLANDS LÄN</t>
        </is>
      </c>
      <c r="E1045" t="inlineStr">
        <is>
          <t>ÅNGE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30347-2024</t>
        </is>
      </c>
      <c r="B1046" s="1" t="n">
        <v>45490.95515046296</v>
      </c>
      <c r="C1046" s="1" t="n">
        <v>46032</v>
      </c>
      <c r="D1046" t="inlineStr">
        <is>
          <t>VÄSTERNORRLANDS LÄN</t>
        </is>
      </c>
      <c r="E1046" t="inlineStr">
        <is>
          <t>ÅNGE</t>
        </is>
      </c>
      <c r="F1046" t="inlineStr">
        <is>
          <t>SCA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45128-2022</t>
        </is>
      </c>
      <c r="B1047" s="1" t="n">
        <v>44844.3146412037</v>
      </c>
      <c r="C1047" s="1" t="n">
        <v>46032</v>
      </c>
      <c r="D1047" t="inlineStr">
        <is>
          <t>VÄSTERNORRLANDS LÄN</t>
        </is>
      </c>
      <c r="E1047" t="inlineStr">
        <is>
          <t>ÅNGE</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63978-2025</t>
        </is>
      </c>
      <c r="B1048" s="1" t="n">
        <v>46021.34421296296</v>
      </c>
      <c r="C1048" s="1" t="n">
        <v>46032</v>
      </c>
      <c r="D1048" t="inlineStr">
        <is>
          <t>VÄSTERNORRLANDS LÄN</t>
        </is>
      </c>
      <c r="E1048" t="inlineStr">
        <is>
          <t>ÅNGE</t>
        </is>
      </c>
      <c r="F1048" t="inlineStr">
        <is>
          <t>SCA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42040-2024</t>
        </is>
      </c>
      <c r="B1049" s="1" t="n">
        <v>45561.80983796297</v>
      </c>
      <c r="C1049" s="1" t="n">
        <v>46032</v>
      </c>
      <c r="D1049" t="inlineStr">
        <is>
          <t>VÄSTERNORRLANDS LÄN</t>
        </is>
      </c>
      <c r="E1049" t="inlineStr">
        <is>
          <t>ÅNGE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57081-2025</t>
        </is>
      </c>
      <c r="B1050" s="1" t="n">
        <v>45979.40826388889</v>
      </c>
      <c r="C1050" s="1" t="n">
        <v>46032</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63965-2025</t>
        </is>
      </c>
      <c r="B1051" s="1" t="n">
        <v>46020.93445601852</v>
      </c>
      <c r="C1051" s="1" t="n">
        <v>46032</v>
      </c>
      <c r="D1051" t="inlineStr">
        <is>
          <t>VÄSTERNORRLANDS LÄN</t>
        </is>
      </c>
      <c r="E1051" t="inlineStr">
        <is>
          <t>ÅNGE</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57022-2025</t>
        </is>
      </c>
      <c r="B1052" s="1" t="n">
        <v>45978.88921296296</v>
      </c>
      <c r="C1052" s="1" t="n">
        <v>46032</v>
      </c>
      <c r="D1052" t="inlineStr">
        <is>
          <t>VÄSTERNORRLANDS LÄN</t>
        </is>
      </c>
      <c r="E1052" t="inlineStr">
        <is>
          <t>ÅNGE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56849-2025</t>
        </is>
      </c>
      <c r="B1053" s="1" t="n">
        <v>45978.48989583334</v>
      </c>
      <c r="C1053" s="1" t="n">
        <v>46032</v>
      </c>
      <c r="D1053" t="inlineStr">
        <is>
          <t>VÄSTERNORRLANDS LÄN</t>
        </is>
      </c>
      <c r="E1053" t="inlineStr">
        <is>
          <t>ÅNGE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64080-2025</t>
        </is>
      </c>
      <c r="B1054" s="1" t="n">
        <v>46021.67752314815</v>
      </c>
      <c r="C1054" s="1" t="n">
        <v>46032</v>
      </c>
      <c r="D1054" t="inlineStr">
        <is>
          <t>VÄSTERNORRLANDS LÄN</t>
        </is>
      </c>
      <c r="E1054" t="inlineStr">
        <is>
          <t>ÅNGE</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5433-2024</t>
        </is>
      </c>
      <c r="B1055" s="1" t="n">
        <v>45331</v>
      </c>
      <c r="C1055" s="1" t="n">
        <v>46032</v>
      </c>
      <c r="D1055" t="inlineStr">
        <is>
          <t>VÄSTERNORRLANDS LÄN</t>
        </is>
      </c>
      <c r="E1055" t="inlineStr">
        <is>
          <t>ÅNGE</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5456-2024</t>
        </is>
      </c>
      <c r="B1056" s="1" t="n">
        <v>45331</v>
      </c>
      <c r="C1056" s="1" t="n">
        <v>46032</v>
      </c>
      <c r="D1056" t="inlineStr">
        <is>
          <t>VÄSTERNORRLANDS LÄN</t>
        </is>
      </c>
      <c r="E1056" t="inlineStr">
        <is>
          <t>ÅNGE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3357-2024</t>
        </is>
      </c>
      <c r="B1057" s="1" t="n">
        <v>45317</v>
      </c>
      <c r="C1057" s="1" t="n">
        <v>46032</v>
      </c>
      <c r="D1057" t="inlineStr">
        <is>
          <t>VÄSTERNORRLANDS LÄN</t>
        </is>
      </c>
      <c r="E1057" t="inlineStr">
        <is>
          <t>ÅNGE</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57283-2025</t>
        </is>
      </c>
      <c r="B1058" s="1" t="n">
        <v>45979.71918981482</v>
      </c>
      <c r="C1058" s="1" t="n">
        <v>46032</v>
      </c>
      <c r="D1058" t="inlineStr">
        <is>
          <t>VÄSTERNORRLANDS LÄN</t>
        </is>
      </c>
      <c r="E1058" t="inlineStr">
        <is>
          <t>ÅNGE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4095-2023</t>
        </is>
      </c>
      <c r="B1059" s="1" t="n">
        <v>44952</v>
      </c>
      <c r="C1059" s="1" t="n">
        <v>46032</v>
      </c>
      <c r="D1059" t="inlineStr">
        <is>
          <t>VÄSTERNORRLANDS LÄN</t>
        </is>
      </c>
      <c r="E1059" t="inlineStr">
        <is>
          <t>ÅNGE</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22752-2023</t>
        </is>
      </c>
      <c r="B1060" s="1" t="n">
        <v>45071.94104166667</v>
      </c>
      <c r="C1060" s="1" t="n">
        <v>46032</v>
      </c>
      <c r="D1060" t="inlineStr">
        <is>
          <t>VÄSTERNORRLANDS LÄN</t>
        </is>
      </c>
      <c r="E1060" t="inlineStr">
        <is>
          <t>ÅNGE</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11032-2025</t>
        </is>
      </c>
      <c r="B1061" s="1" t="n">
        <v>45723.47601851852</v>
      </c>
      <c r="C1061" s="1" t="n">
        <v>46032</v>
      </c>
      <c r="D1061" t="inlineStr">
        <is>
          <t>VÄSTERNORRLANDS LÄN</t>
        </is>
      </c>
      <c r="E1061" t="inlineStr">
        <is>
          <t>ÅNGE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57615-2025</t>
        </is>
      </c>
      <c r="B1062" s="1" t="n">
        <v>45981.34431712963</v>
      </c>
      <c r="C1062" s="1" t="n">
        <v>46032</v>
      </c>
      <c r="D1062" t="inlineStr">
        <is>
          <t>VÄSTERNORRLANDS LÄN</t>
        </is>
      </c>
      <c r="E1062" t="inlineStr">
        <is>
          <t>ÅNGE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57302-2025</t>
        </is>
      </c>
      <c r="B1063" s="1" t="n">
        <v>45979.87184027778</v>
      </c>
      <c r="C1063" s="1" t="n">
        <v>46032</v>
      </c>
      <c r="D1063" t="inlineStr">
        <is>
          <t>VÄSTERNORRLANDS LÄN</t>
        </is>
      </c>
      <c r="E1063" t="inlineStr">
        <is>
          <t>ÅNGE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60779-2024</t>
        </is>
      </c>
      <c r="B1064" s="1" t="n">
        <v>45644</v>
      </c>
      <c r="C1064" s="1" t="n">
        <v>46032</v>
      </c>
      <c r="D1064" t="inlineStr">
        <is>
          <t>VÄSTERNORRLANDS LÄN</t>
        </is>
      </c>
      <c r="E1064" t="inlineStr">
        <is>
          <t>ÅNGE</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57371-2025</t>
        </is>
      </c>
      <c r="B1065" s="1" t="n">
        <v>45980.38586805556</v>
      </c>
      <c r="C1065" s="1" t="n">
        <v>46032</v>
      </c>
      <c r="D1065" t="inlineStr">
        <is>
          <t>VÄSTERNORRLANDS LÄN</t>
        </is>
      </c>
      <c r="E1065" t="inlineStr">
        <is>
          <t>ÅNGE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50651-2021</t>
        </is>
      </c>
      <c r="B1066" s="1" t="n">
        <v>44459</v>
      </c>
      <c r="C1066" s="1" t="n">
        <v>46032</v>
      </c>
      <c r="D1066" t="inlineStr">
        <is>
          <t>VÄSTERNORRLANDS LÄN</t>
        </is>
      </c>
      <c r="E1066" t="inlineStr">
        <is>
          <t>ÅNGE</t>
        </is>
      </c>
      <c r="G1066" t="n">
        <v>20.6</v>
      </c>
      <c r="H1066" t="n">
        <v>0</v>
      </c>
      <c r="I1066" t="n">
        <v>0</v>
      </c>
      <c r="J1066" t="n">
        <v>0</v>
      </c>
      <c r="K1066" t="n">
        <v>0</v>
      </c>
      <c r="L1066" t="n">
        <v>0</v>
      </c>
      <c r="M1066" t="n">
        <v>0</v>
      </c>
      <c r="N1066" t="n">
        <v>0</v>
      </c>
      <c r="O1066" t="n">
        <v>0</v>
      </c>
      <c r="P1066" t="n">
        <v>0</v>
      </c>
      <c r="Q1066" t="n">
        <v>0</v>
      </c>
      <c r="R1066" s="2" t="inlineStr"/>
    </row>
    <row r="1067" ht="15" customHeight="1">
      <c r="A1067" t="inlineStr">
        <is>
          <t>A 57457-2025</t>
        </is>
      </c>
      <c r="B1067" s="1" t="n">
        <v>45980.53001157408</v>
      </c>
      <c r="C1067" s="1" t="n">
        <v>46032</v>
      </c>
      <c r="D1067" t="inlineStr">
        <is>
          <t>VÄSTERNORRLANDS LÄN</t>
        </is>
      </c>
      <c r="E1067" t="inlineStr">
        <is>
          <t>ÅNGE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60003-2023</t>
        </is>
      </c>
      <c r="B1068" s="1" t="n">
        <v>45257</v>
      </c>
      <c r="C1068" s="1" t="n">
        <v>46032</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4876-2023</t>
        </is>
      </c>
      <c r="B1069" s="1" t="n">
        <v>44957.94023148148</v>
      </c>
      <c r="C1069" s="1" t="n">
        <v>46032</v>
      </c>
      <c r="D1069" t="inlineStr">
        <is>
          <t>VÄSTERNORRLANDS LÄN</t>
        </is>
      </c>
      <c r="E1069" t="inlineStr">
        <is>
          <t>ÅNGE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55751-2024</t>
        </is>
      </c>
      <c r="B1070" s="1" t="n">
        <v>45623.34409722222</v>
      </c>
      <c r="C1070" s="1" t="n">
        <v>46032</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57591-2022</t>
        </is>
      </c>
      <c r="B1071" s="1" t="n">
        <v>44896.97834490741</v>
      </c>
      <c r="C1071" s="1" t="n">
        <v>46032</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58524-2025</t>
        </is>
      </c>
      <c r="B1072" s="1" t="n">
        <v>45985.7190162037</v>
      </c>
      <c r="C1072" s="1" t="n">
        <v>46032</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58366-2025</t>
        </is>
      </c>
      <c r="B1073" s="1" t="n">
        <v>45985.52600694444</v>
      </c>
      <c r="C1073" s="1" t="n">
        <v>46032</v>
      </c>
      <c r="D1073" t="inlineStr">
        <is>
          <t>VÄSTERNORRLANDS LÄN</t>
        </is>
      </c>
      <c r="E1073" t="inlineStr">
        <is>
          <t>ÅNGE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25034-2023</t>
        </is>
      </c>
      <c r="B1074" s="1" t="n">
        <v>45085</v>
      </c>
      <c r="C1074" s="1" t="n">
        <v>46032</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13875-2022</t>
        </is>
      </c>
      <c r="B1075" s="1" t="n">
        <v>44649</v>
      </c>
      <c r="C1075" s="1" t="n">
        <v>46032</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345-2026</t>
        </is>
      </c>
      <c r="B1076" s="1" t="n">
        <v>46027.61515046296</v>
      </c>
      <c r="C1076" s="1" t="n">
        <v>46032</v>
      </c>
      <c r="D1076" t="inlineStr">
        <is>
          <t>VÄSTERNORRLANDS LÄN</t>
        </is>
      </c>
      <c r="E1076" t="inlineStr">
        <is>
          <t>ÅNGE</t>
        </is>
      </c>
      <c r="F1076" t="inlineStr">
        <is>
          <t>SCA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9605-2025</t>
        </is>
      </c>
      <c r="B1077" s="1" t="n">
        <v>45715.65657407408</v>
      </c>
      <c r="C1077" s="1" t="n">
        <v>46032</v>
      </c>
      <c r="D1077" t="inlineStr">
        <is>
          <t>VÄSTERNORRLANDS LÄN</t>
        </is>
      </c>
      <c r="E1077" t="inlineStr">
        <is>
          <t>ÅNGE</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58406-2025</t>
        </is>
      </c>
      <c r="B1078" s="1" t="n">
        <v>45985.56913194444</v>
      </c>
      <c r="C1078" s="1" t="n">
        <v>46032</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16563-2025</t>
        </is>
      </c>
      <c r="B1079" s="1" t="n">
        <v>45752.34430555555</v>
      </c>
      <c r="C1079" s="1" t="n">
        <v>46032</v>
      </c>
      <c r="D1079" t="inlineStr">
        <is>
          <t>VÄSTERNORRLANDS LÄN</t>
        </is>
      </c>
      <c r="E1079" t="inlineStr">
        <is>
          <t>ÅNGE</t>
        </is>
      </c>
      <c r="F1079" t="inlineStr">
        <is>
          <t>SCA</t>
        </is>
      </c>
      <c r="G1079" t="n">
        <v>24.7</v>
      </c>
      <c r="H1079" t="n">
        <v>0</v>
      </c>
      <c r="I1079" t="n">
        <v>0</v>
      </c>
      <c r="J1079" t="n">
        <v>0</v>
      </c>
      <c r="K1079" t="n">
        <v>0</v>
      </c>
      <c r="L1079" t="n">
        <v>0</v>
      </c>
      <c r="M1079" t="n">
        <v>0</v>
      </c>
      <c r="N1079" t="n">
        <v>0</v>
      </c>
      <c r="O1079" t="n">
        <v>0</v>
      </c>
      <c r="P1079" t="n">
        <v>0</v>
      </c>
      <c r="Q1079" t="n">
        <v>0</v>
      </c>
      <c r="R1079" s="2" t="inlineStr"/>
    </row>
    <row r="1080" ht="15" customHeight="1">
      <c r="A1080" t="inlineStr">
        <is>
          <t>A 57960-2025</t>
        </is>
      </c>
      <c r="B1080" s="1" t="n">
        <v>45982.36494212963</v>
      </c>
      <c r="C1080" s="1" t="n">
        <v>46032</v>
      </c>
      <c r="D1080" t="inlineStr">
        <is>
          <t>VÄSTERNORRLANDS LÄN</t>
        </is>
      </c>
      <c r="E1080" t="inlineStr">
        <is>
          <t>ÅNGE</t>
        </is>
      </c>
      <c r="F1080" t="inlineStr">
        <is>
          <t>SCA</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353-2026</t>
        </is>
      </c>
      <c r="B1081" s="1" t="n">
        <v>46027.63585648148</v>
      </c>
      <c r="C1081" s="1" t="n">
        <v>46032</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42881-2024</t>
        </is>
      </c>
      <c r="B1082" s="1" t="n">
        <v>45566.70916666667</v>
      </c>
      <c r="C1082" s="1" t="n">
        <v>46032</v>
      </c>
      <c r="D1082" t="inlineStr">
        <is>
          <t>VÄSTERNORRLANDS LÄN</t>
        </is>
      </c>
      <c r="E1082" t="inlineStr">
        <is>
          <t>ÅNGE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54316-2024</t>
        </is>
      </c>
      <c r="B1083" s="1" t="n">
        <v>45617.34443287037</v>
      </c>
      <c r="C1083" s="1" t="n">
        <v>46032</v>
      </c>
      <c r="D1083" t="inlineStr">
        <is>
          <t>VÄSTERNORRLANDS LÄN</t>
        </is>
      </c>
      <c r="E1083" t="inlineStr">
        <is>
          <t>ÅNGE</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17718-2025</t>
        </is>
      </c>
      <c r="B1084" s="1" t="n">
        <v>45758.44815972223</v>
      </c>
      <c r="C1084" s="1" t="n">
        <v>46032</v>
      </c>
      <c r="D1084" t="inlineStr">
        <is>
          <t>VÄSTERNORRLANDS LÄN</t>
        </is>
      </c>
      <c r="E1084" t="inlineStr">
        <is>
          <t>ÅNGE</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58388-2025</t>
        </is>
      </c>
      <c r="B1085" s="1" t="n">
        <v>45985.54685185185</v>
      </c>
      <c r="C1085" s="1" t="n">
        <v>46032</v>
      </c>
      <c r="D1085" t="inlineStr">
        <is>
          <t>VÄSTERNORRLANDS LÄN</t>
        </is>
      </c>
      <c r="E1085" t="inlineStr">
        <is>
          <t>ÅNGE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58486-2025</t>
        </is>
      </c>
      <c r="B1086" s="1" t="n">
        <v>45985.65660879629</v>
      </c>
      <c r="C1086" s="1" t="n">
        <v>46032</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232-2026</t>
        </is>
      </c>
      <c r="B1087" s="1" t="n">
        <v>46027.34425925926</v>
      </c>
      <c r="C1087" s="1" t="n">
        <v>46032</v>
      </c>
      <c r="D1087" t="inlineStr">
        <is>
          <t>VÄSTERNORRLANDS LÄN</t>
        </is>
      </c>
      <c r="E1087" t="inlineStr">
        <is>
          <t>ÅNGE</t>
        </is>
      </c>
      <c r="F1087" t="inlineStr">
        <is>
          <t>SCA</t>
        </is>
      </c>
      <c r="G1087" t="n">
        <v>37.7</v>
      </c>
      <c r="H1087" t="n">
        <v>0</v>
      </c>
      <c r="I1087" t="n">
        <v>0</v>
      </c>
      <c r="J1087" t="n">
        <v>0</v>
      </c>
      <c r="K1087" t="n">
        <v>0</v>
      </c>
      <c r="L1087" t="n">
        <v>0</v>
      </c>
      <c r="M1087" t="n">
        <v>0</v>
      </c>
      <c r="N1087" t="n">
        <v>0</v>
      </c>
      <c r="O1087" t="n">
        <v>0</v>
      </c>
      <c r="P1087" t="n">
        <v>0</v>
      </c>
      <c r="Q1087" t="n">
        <v>0</v>
      </c>
      <c r="R1087" s="2" t="inlineStr"/>
    </row>
    <row r="1088" ht="15" customHeight="1">
      <c r="A1088" t="inlineStr">
        <is>
          <t>A 8650-2024</t>
        </is>
      </c>
      <c r="B1088" s="1" t="n">
        <v>45356</v>
      </c>
      <c r="C1088" s="1" t="n">
        <v>46032</v>
      </c>
      <c r="D1088" t="inlineStr">
        <is>
          <t>VÄSTERNORRLANDS LÄN</t>
        </is>
      </c>
      <c r="E1088" t="inlineStr">
        <is>
          <t>ÅNGE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57950-2025</t>
        </is>
      </c>
      <c r="B1089" s="1" t="n">
        <v>45982.34473379629</v>
      </c>
      <c r="C1089" s="1" t="n">
        <v>46032</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57961-2025</t>
        </is>
      </c>
      <c r="B1090" s="1" t="n">
        <v>45982.36502314815</v>
      </c>
      <c r="C1090" s="1" t="n">
        <v>46032</v>
      </c>
      <c r="D1090" t="inlineStr">
        <is>
          <t>VÄSTERNORRLANDS LÄN</t>
        </is>
      </c>
      <c r="E1090" t="inlineStr">
        <is>
          <t>ÅNGE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45631-2021</t>
        </is>
      </c>
      <c r="B1091" s="1" t="n">
        <v>44440.98045138889</v>
      </c>
      <c r="C1091" s="1" t="n">
        <v>46032</v>
      </c>
      <c r="D1091" t="inlineStr">
        <is>
          <t>VÄSTERNORRLANDS LÄN</t>
        </is>
      </c>
      <c r="E1091" t="inlineStr">
        <is>
          <t>ÅNGE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58240-2025</t>
        </is>
      </c>
      <c r="B1092" s="1" t="n">
        <v>45985.38796296297</v>
      </c>
      <c r="C1092" s="1" t="n">
        <v>46032</v>
      </c>
      <c r="D1092" t="inlineStr">
        <is>
          <t>VÄSTERNORRLANDS LÄN</t>
        </is>
      </c>
      <c r="E1092" t="inlineStr">
        <is>
          <t>ÅNGE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10878-2024</t>
        </is>
      </c>
      <c r="B1093" s="1" t="n">
        <v>45370</v>
      </c>
      <c r="C1093" s="1" t="n">
        <v>46032</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58268-2025</t>
        </is>
      </c>
      <c r="B1094" s="1" t="n">
        <v>45985.42450231482</v>
      </c>
      <c r="C1094" s="1" t="n">
        <v>46032</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57991-2025</t>
        </is>
      </c>
      <c r="B1095" s="1" t="n">
        <v>45982.42438657407</v>
      </c>
      <c r="C1095" s="1" t="n">
        <v>46032</v>
      </c>
      <c r="D1095" t="inlineStr">
        <is>
          <t>VÄSTERNORRLANDS LÄN</t>
        </is>
      </c>
      <c r="E1095" t="inlineStr">
        <is>
          <t>ÅNGE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58048-2025</t>
        </is>
      </c>
      <c r="B1096" s="1" t="n">
        <v>45982.5109837963</v>
      </c>
      <c r="C1096" s="1" t="n">
        <v>46032</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4006-2022</t>
        </is>
      </c>
      <c r="B1097" s="1" t="n">
        <v>44587.92019675926</v>
      </c>
      <c r="C1097" s="1" t="n">
        <v>46032</v>
      </c>
      <c r="D1097" t="inlineStr">
        <is>
          <t>VÄSTERNORRLANDS LÄN</t>
        </is>
      </c>
      <c r="E1097" t="inlineStr">
        <is>
          <t>ÅNGE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61781-2023</t>
        </is>
      </c>
      <c r="B1098" s="1" t="n">
        <v>45265.95708333333</v>
      </c>
      <c r="C1098" s="1" t="n">
        <v>46032</v>
      </c>
      <c r="D1098" t="inlineStr">
        <is>
          <t>VÄSTERNORRLANDS LÄN</t>
        </is>
      </c>
      <c r="E1098" t="inlineStr">
        <is>
          <t>ÅNGE</t>
        </is>
      </c>
      <c r="F1098" t="inlineStr">
        <is>
          <t>SCA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58270-2025</t>
        </is>
      </c>
      <c r="B1099" s="1" t="n">
        <v>45985.42633101852</v>
      </c>
      <c r="C1099" s="1" t="n">
        <v>46032</v>
      </c>
      <c r="D1099" t="inlineStr">
        <is>
          <t>VÄSTERNORRLANDS LÄN</t>
        </is>
      </c>
      <c r="E1099" t="inlineStr">
        <is>
          <t>ÅNGE</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58439-2025</t>
        </is>
      </c>
      <c r="B1100" s="1" t="n">
        <v>45985.61518518518</v>
      </c>
      <c r="C1100" s="1" t="n">
        <v>46032</v>
      </c>
      <c r="D1100" t="inlineStr">
        <is>
          <t>VÄSTERNORRLANDS LÄN</t>
        </is>
      </c>
      <c r="E1100" t="inlineStr">
        <is>
          <t>ÅNGE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17744-2025</t>
        </is>
      </c>
      <c r="B1101" s="1" t="n">
        <v>45758</v>
      </c>
      <c r="C1101" s="1" t="n">
        <v>46032</v>
      </c>
      <c r="D1101" t="inlineStr">
        <is>
          <t>VÄSTERNORRLANDS LÄN</t>
        </is>
      </c>
      <c r="E1101" t="inlineStr">
        <is>
          <t>ÅNGE</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58242-2025</t>
        </is>
      </c>
      <c r="B1102" s="1" t="n">
        <v>45985.38802083334</v>
      </c>
      <c r="C1102" s="1" t="n">
        <v>46032</v>
      </c>
      <c r="D1102" t="inlineStr">
        <is>
          <t>VÄSTERNORRLANDS LÄN</t>
        </is>
      </c>
      <c r="E1102" t="inlineStr">
        <is>
          <t>ÅNGE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58639-2025</t>
        </is>
      </c>
      <c r="B1103" s="1" t="n">
        <v>45986.49042824074</v>
      </c>
      <c r="C1103" s="1" t="n">
        <v>46032</v>
      </c>
      <c r="D1103" t="inlineStr">
        <is>
          <t>VÄSTERNORRLANDS LÄN</t>
        </is>
      </c>
      <c r="E1103" t="inlineStr">
        <is>
          <t>ÅNGE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58906-2025</t>
        </is>
      </c>
      <c r="B1104" s="1" t="n">
        <v>45987.51087962963</v>
      </c>
      <c r="C1104" s="1" t="n">
        <v>46032</v>
      </c>
      <c r="D1104" t="inlineStr">
        <is>
          <t>VÄSTERNORRLANDS LÄN</t>
        </is>
      </c>
      <c r="E1104" t="inlineStr">
        <is>
          <t>ÅNGE</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58907-2025</t>
        </is>
      </c>
      <c r="B1105" s="1" t="n">
        <v>45987.51108796296</v>
      </c>
      <c r="C1105" s="1" t="n">
        <v>46032</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33783-2024</t>
        </is>
      </c>
      <c r="B1106" s="1" t="n">
        <v>45520</v>
      </c>
      <c r="C1106" s="1" t="n">
        <v>46032</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63170-2023</t>
        </is>
      </c>
      <c r="B1107" s="1" t="n">
        <v>45273.57087962963</v>
      </c>
      <c r="C1107" s="1" t="n">
        <v>46032</v>
      </c>
      <c r="D1107" t="inlineStr">
        <is>
          <t>VÄSTERNORRLANDS LÄN</t>
        </is>
      </c>
      <c r="E1107" t="inlineStr">
        <is>
          <t>ÅNGE</t>
        </is>
      </c>
      <c r="F1107" t="inlineStr">
        <is>
          <t>Holmen skog AB</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60960-2025</t>
        </is>
      </c>
      <c r="B1108" s="1" t="n">
        <v>45999</v>
      </c>
      <c r="C1108" s="1" t="n">
        <v>46032</v>
      </c>
      <c r="D1108" t="inlineStr">
        <is>
          <t>VÄSTERNORRLANDS LÄN</t>
        </is>
      </c>
      <c r="E1108" t="inlineStr">
        <is>
          <t>ÅNGE</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47792-2022</t>
        </is>
      </c>
      <c r="B1109" s="1" t="n">
        <v>44854.95238425926</v>
      </c>
      <c r="C1109" s="1" t="n">
        <v>46032</v>
      </c>
      <c r="D1109" t="inlineStr">
        <is>
          <t>VÄSTERNORRLANDS LÄN</t>
        </is>
      </c>
      <c r="E1109" t="inlineStr">
        <is>
          <t>ÅNGE</t>
        </is>
      </c>
      <c r="F1109" t="inlineStr">
        <is>
          <t>SCA</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1975-2025</t>
        </is>
      </c>
      <c r="B1110" s="1" t="n">
        <v>45672.39332175926</v>
      </c>
      <c r="C1110" s="1" t="n">
        <v>46032</v>
      </c>
      <c r="D1110" t="inlineStr">
        <is>
          <t>VÄSTERNORRLANDS LÄN</t>
        </is>
      </c>
      <c r="E1110" t="inlineStr">
        <is>
          <t>ÅNGE</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15404-2025</t>
        </is>
      </c>
      <c r="B1111" s="1" t="n">
        <v>45747.44665509259</v>
      </c>
      <c r="C1111" s="1" t="n">
        <v>46032</v>
      </c>
      <c r="D1111" t="inlineStr">
        <is>
          <t>VÄSTERNORRLANDS LÄN</t>
        </is>
      </c>
      <c r="E1111" t="inlineStr">
        <is>
          <t>ÅNGE</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38099-2024</t>
        </is>
      </c>
      <c r="B1112" s="1" t="n">
        <v>45545.35920138889</v>
      </c>
      <c r="C1112" s="1" t="n">
        <v>46032</v>
      </c>
      <c r="D1112" t="inlineStr">
        <is>
          <t>VÄSTERNORRLANDS LÄN</t>
        </is>
      </c>
      <c r="E1112" t="inlineStr">
        <is>
          <t>ÅNGE</t>
        </is>
      </c>
      <c r="F1112" t="inlineStr">
        <is>
          <t>Holmen skog AB</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58588-2025</t>
        </is>
      </c>
      <c r="B1113" s="1" t="n">
        <v>45986.4065625</v>
      </c>
      <c r="C1113" s="1" t="n">
        <v>46032</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58585-2025</t>
        </is>
      </c>
      <c r="B1114" s="1" t="n">
        <v>45986.39733796296</v>
      </c>
      <c r="C1114" s="1" t="n">
        <v>46032</v>
      </c>
      <c r="D1114" t="inlineStr">
        <is>
          <t>VÄSTERNORRLANDS LÄN</t>
        </is>
      </c>
      <c r="E1114" t="inlineStr">
        <is>
          <t>ÅNGE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58599-2025</t>
        </is>
      </c>
      <c r="B1115" s="1" t="n">
        <v>45986.42644675926</v>
      </c>
      <c r="C1115" s="1" t="n">
        <v>46032</v>
      </c>
      <c r="D1115" t="inlineStr">
        <is>
          <t>VÄSTERNORRLANDS LÄN</t>
        </is>
      </c>
      <c r="E1115" t="inlineStr">
        <is>
          <t>ÅNGE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627-2026</t>
        </is>
      </c>
      <c r="B1116" s="1" t="n">
        <v>46029.55262731481</v>
      </c>
      <c r="C1116" s="1" t="n">
        <v>46032</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703-2026</t>
        </is>
      </c>
      <c r="B1117" s="1" t="n">
        <v>46029.61604166667</v>
      </c>
      <c r="C1117" s="1" t="n">
        <v>46032</v>
      </c>
      <c r="D1117" t="inlineStr">
        <is>
          <t>VÄSTERNORRLANDS LÄN</t>
        </is>
      </c>
      <c r="E1117" t="inlineStr">
        <is>
          <t>ÅNGE</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58890-2025</t>
        </is>
      </c>
      <c r="B1118" s="1" t="n">
        <v>45987.49006944444</v>
      </c>
      <c r="C1118" s="1" t="n">
        <v>46032</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58605-2025</t>
        </is>
      </c>
      <c r="B1119" s="1" t="n">
        <v>45986</v>
      </c>
      <c r="C1119" s="1" t="n">
        <v>46032</v>
      </c>
      <c r="D1119" t="inlineStr">
        <is>
          <t>VÄSTERNORRLANDS LÄN</t>
        </is>
      </c>
      <c r="E1119" t="inlineStr">
        <is>
          <t>ÅNGE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58892-2025</t>
        </is>
      </c>
      <c r="B1120" s="1" t="n">
        <v>45987.49056712963</v>
      </c>
      <c r="C1120" s="1" t="n">
        <v>46032</v>
      </c>
      <c r="D1120" t="inlineStr">
        <is>
          <t>VÄSTERNORRLANDS LÄN</t>
        </is>
      </c>
      <c r="E1120" t="inlineStr">
        <is>
          <t>ÅNGE</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60950-2025</t>
        </is>
      </c>
      <c r="B1121" s="1" t="n">
        <v>45999</v>
      </c>
      <c r="C1121" s="1" t="n">
        <v>46032</v>
      </c>
      <c r="D1121" t="inlineStr">
        <is>
          <t>VÄSTERNORRLANDS LÄN</t>
        </is>
      </c>
      <c r="E1121" t="inlineStr">
        <is>
          <t>ÅNGE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58823-2025</t>
        </is>
      </c>
      <c r="B1122" s="1" t="n">
        <v>45987.3453125</v>
      </c>
      <c r="C1122" s="1" t="n">
        <v>46032</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58536-2025</t>
        </is>
      </c>
      <c r="B1123" s="1" t="n">
        <v>45985.83274305556</v>
      </c>
      <c r="C1123" s="1" t="n">
        <v>46032</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1403-2025</t>
        </is>
      </c>
      <c r="B1124" s="1" t="n">
        <v>45667.70548611111</v>
      </c>
      <c r="C1124" s="1" t="n">
        <v>46032</v>
      </c>
      <c r="D1124" t="inlineStr">
        <is>
          <t>VÄSTERNORRLANDS LÄN</t>
        </is>
      </c>
      <c r="E1124" t="inlineStr">
        <is>
          <t>ÅNGE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58750-2025</t>
        </is>
      </c>
      <c r="B1125" s="1" t="n">
        <v>45986.64064814815</v>
      </c>
      <c r="C1125" s="1" t="n">
        <v>46032</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1375-2026</t>
        </is>
      </c>
      <c r="B1126" s="1" t="n">
        <v>46031.61520833334</v>
      </c>
      <c r="C1126" s="1" t="n">
        <v>46032</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60365-2024</t>
        </is>
      </c>
      <c r="B1127" s="1" t="n">
        <v>45643</v>
      </c>
      <c r="C1127" s="1" t="n">
        <v>46032</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20393-2022</t>
        </is>
      </c>
      <c r="B1128" s="1" t="n">
        <v>44699</v>
      </c>
      <c r="C1128" s="1" t="n">
        <v>46032</v>
      </c>
      <c r="D1128" t="inlineStr">
        <is>
          <t>VÄSTERNORRLANDS LÄN</t>
        </is>
      </c>
      <c r="E1128" t="inlineStr">
        <is>
          <t>ÅNGE</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60402-2025</t>
        </is>
      </c>
      <c r="B1129" s="1" t="n">
        <v>45995.4262962963</v>
      </c>
      <c r="C1129" s="1" t="n">
        <v>46032</v>
      </c>
      <c r="D1129" t="inlineStr">
        <is>
          <t>VÄSTERNORRLANDS LÄN</t>
        </is>
      </c>
      <c r="E1129" t="inlineStr">
        <is>
          <t>ÅNGE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25320-2023</t>
        </is>
      </c>
      <c r="B1130" s="1" t="n">
        <v>45086.93929398148</v>
      </c>
      <c r="C1130" s="1" t="n">
        <v>46032</v>
      </c>
      <c r="D1130" t="inlineStr">
        <is>
          <t>VÄSTERNORRLANDS LÄN</t>
        </is>
      </c>
      <c r="E1130" t="inlineStr">
        <is>
          <t>ÅNGE</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59626-2022</t>
        </is>
      </c>
      <c r="B1131" s="1" t="n">
        <v>44907.92354166666</v>
      </c>
      <c r="C1131" s="1" t="n">
        <v>46032</v>
      </c>
      <c r="D1131" t="inlineStr">
        <is>
          <t>VÄSTERNORRLANDS LÄN</t>
        </is>
      </c>
      <c r="E1131" t="inlineStr">
        <is>
          <t>ÅNGE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34852-2023</t>
        </is>
      </c>
      <c r="B1132" s="1" t="n">
        <v>45141</v>
      </c>
      <c r="C1132" s="1" t="n">
        <v>46032</v>
      </c>
      <c r="D1132" t="inlineStr">
        <is>
          <t>VÄSTERNORRLANDS LÄN</t>
        </is>
      </c>
      <c r="E1132" t="inlineStr">
        <is>
          <t>ÅNGE</t>
        </is>
      </c>
      <c r="F1132" t="inlineStr">
        <is>
          <t>SCA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15032-2025</t>
        </is>
      </c>
      <c r="B1133" s="1" t="n">
        <v>45743.67748842593</v>
      </c>
      <c r="C1133" s="1" t="n">
        <v>46032</v>
      </c>
      <c r="D1133" t="inlineStr">
        <is>
          <t>VÄSTERNORRLANDS LÄN</t>
        </is>
      </c>
      <c r="E1133" t="inlineStr">
        <is>
          <t>ÅNGE</t>
        </is>
      </c>
      <c r="F1133" t="inlineStr">
        <is>
          <t>SCA</t>
        </is>
      </c>
      <c r="G1133" t="n">
        <v>9.699999999999999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58-2026</t>
        </is>
      </c>
      <c r="B1134" s="1" t="n">
        <v>46024.43947916666</v>
      </c>
      <c r="C1134" s="1" t="n">
        <v>46032</v>
      </c>
      <c r="D1134" t="inlineStr">
        <is>
          <t>VÄSTERNORRLANDS LÄN</t>
        </is>
      </c>
      <c r="E1134" t="inlineStr">
        <is>
          <t>ÅNGE</t>
        </is>
      </c>
      <c r="F1134" t="inlineStr">
        <is>
          <t>Kyrkan</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44415-2021</t>
        </is>
      </c>
      <c r="B1135" s="1" t="n">
        <v>44435</v>
      </c>
      <c r="C1135" s="1" t="n">
        <v>46032</v>
      </c>
      <c r="D1135" t="inlineStr">
        <is>
          <t>VÄSTERNORRLANDS LÄN</t>
        </is>
      </c>
      <c r="E1135" t="inlineStr">
        <is>
          <t>ÅNGE</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1266-2026</t>
        </is>
      </c>
      <c r="B1136" s="1" t="n">
        <v>46031.46269675926</v>
      </c>
      <c r="C1136" s="1" t="n">
        <v>46032</v>
      </c>
      <c r="D1136" t="inlineStr">
        <is>
          <t>VÄSTERNORRLANDS LÄN</t>
        </is>
      </c>
      <c r="E1136" t="inlineStr">
        <is>
          <t>ÅNGE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40788-2024</t>
        </is>
      </c>
      <c r="B1137" s="1" t="n">
        <v>45558.50974537037</v>
      </c>
      <c r="C1137" s="1" t="n">
        <v>46032</v>
      </c>
      <c r="D1137" t="inlineStr">
        <is>
          <t>VÄSTERNORRLANDS LÄN</t>
        </is>
      </c>
      <c r="E1137" t="inlineStr">
        <is>
          <t>ÅNGE</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27306-2024</t>
        </is>
      </c>
      <c r="B1138" s="1" t="n">
        <v>45471.94454861111</v>
      </c>
      <c r="C1138" s="1" t="n">
        <v>46032</v>
      </c>
      <c r="D1138" t="inlineStr">
        <is>
          <t>VÄSTERNORRLANDS LÄN</t>
        </is>
      </c>
      <c r="E1138" t="inlineStr">
        <is>
          <t>ÅNGE</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59062-2025</t>
        </is>
      </c>
      <c r="B1139" s="1" t="n">
        <v>45988.40723379629</v>
      </c>
      <c r="C1139" s="1" t="n">
        <v>46032</v>
      </c>
      <c r="D1139" t="inlineStr">
        <is>
          <t>VÄSTERNORRLANDS LÄN</t>
        </is>
      </c>
      <c r="E1139" t="inlineStr">
        <is>
          <t>ÅNGE</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59064-2025</t>
        </is>
      </c>
      <c r="B1140" s="1" t="n">
        <v>45988.40768518519</v>
      </c>
      <c r="C1140" s="1" t="n">
        <v>46032</v>
      </c>
      <c r="D1140" t="inlineStr">
        <is>
          <t>VÄSTERNORRLANDS LÄN</t>
        </is>
      </c>
      <c r="E1140" t="inlineStr">
        <is>
          <t>ÅNGE</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59065-2025</t>
        </is>
      </c>
      <c r="B1141" s="1" t="n">
        <v>45988.40780092592</v>
      </c>
      <c r="C1141" s="1" t="n">
        <v>46032</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59818-2024</t>
        </is>
      </c>
      <c r="B1142" s="1" t="n">
        <v>45639.63572916666</v>
      </c>
      <c r="C1142" s="1" t="n">
        <v>46032</v>
      </c>
      <c r="D1142" t="inlineStr">
        <is>
          <t>VÄSTERNORRLANDS LÄN</t>
        </is>
      </c>
      <c r="E1142" t="inlineStr">
        <is>
          <t>ÅNGE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16978-2024</t>
        </is>
      </c>
      <c r="B1143" s="1" t="n">
        <v>45412.02416666667</v>
      </c>
      <c r="C1143" s="1" t="n">
        <v>46032</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57286-2022</t>
        </is>
      </c>
      <c r="B1144" s="1" t="n">
        <v>44895.94991898148</v>
      </c>
      <c r="C1144" s="1" t="n">
        <v>46032</v>
      </c>
      <c r="D1144" t="inlineStr">
        <is>
          <t>VÄSTERNORRLANDS LÄN</t>
        </is>
      </c>
      <c r="E1144" t="inlineStr">
        <is>
          <t>ÅNGE</t>
        </is>
      </c>
      <c r="F1144" t="inlineStr">
        <is>
          <t>SCA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1270-2026</t>
        </is>
      </c>
      <c r="B1145" s="1" t="n">
        <v>46031.46538194444</v>
      </c>
      <c r="C1145" s="1" t="n">
        <v>46032</v>
      </c>
      <c r="D1145" t="inlineStr">
        <is>
          <t>VÄSTERNORRLANDS LÄN</t>
        </is>
      </c>
      <c r="E1145" t="inlineStr">
        <is>
          <t>ÅNGE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59063-2025</t>
        </is>
      </c>
      <c r="B1146" s="1" t="n">
        <v>45988.40734953704</v>
      </c>
      <c r="C1146" s="1" t="n">
        <v>46032</v>
      </c>
      <c r="D1146" t="inlineStr">
        <is>
          <t>VÄSTERNORRLANDS LÄN</t>
        </is>
      </c>
      <c r="E1146" t="inlineStr">
        <is>
          <t>ÅNGE</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59023-2025</t>
        </is>
      </c>
      <c r="B1147" s="1" t="n">
        <v>45988</v>
      </c>
      <c r="C1147" s="1" t="n">
        <v>46032</v>
      </c>
      <c r="D1147" t="inlineStr">
        <is>
          <t>VÄSTERNORRLANDS LÄN</t>
        </is>
      </c>
      <c r="E1147" t="inlineStr">
        <is>
          <t>ÅNGE</t>
        </is>
      </c>
      <c r="F1147" t="inlineStr">
        <is>
          <t>SCA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59259-2025</t>
        </is>
      </c>
      <c r="B1148" s="1" t="n">
        <v>45988.65748842592</v>
      </c>
      <c r="C1148" s="1" t="n">
        <v>46032</v>
      </c>
      <c r="D1148" t="inlineStr">
        <is>
          <t>VÄSTERNORRLANDS LÄN</t>
        </is>
      </c>
      <c r="E1148" t="inlineStr">
        <is>
          <t>ÅNGE</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59319-2025</t>
        </is>
      </c>
      <c r="B1149" s="1" t="n">
        <v>45989.33283564815</v>
      </c>
      <c r="C1149" s="1" t="n">
        <v>46032</v>
      </c>
      <c r="D1149" t="inlineStr">
        <is>
          <t>VÄSTERNORRLANDS LÄN</t>
        </is>
      </c>
      <c r="E1149" t="inlineStr">
        <is>
          <t>ÅNGE</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59331-2025</t>
        </is>
      </c>
      <c r="B1150" s="1" t="n">
        <v>45989.35978009259</v>
      </c>
      <c r="C1150" s="1" t="n">
        <v>46032</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61439-2025</t>
        </is>
      </c>
      <c r="B1151" s="1" t="n">
        <v>46001.57010416667</v>
      </c>
      <c r="C1151" s="1" t="n">
        <v>46032</v>
      </c>
      <c r="D1151" t="inlineStr">
        <is>
          <t>VÄSTERNORRLANDS LÄN</t>
        </is>
      </c>
      <c r="E1151" t="inlineStr">
        <is>
          <t>ÅNGE</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60520-2025</t>
        </is>
      </c>
      <c r="B1152" s="1" t="n">
        <v>45995.63694444444</v>
      </c>
      <c r="C1152" s="1" t="n">
        <v>46032</v>
      </c>
      <c r="D1152" t="inlineStr">
        <is>
          <t>VÄSTERNORRLANDS LÄN</t>
        </is>
      </c>
      <c r="E1152" t="inlineStr">
        <is>
          <t>ÅNGE</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59022-2025</t>
        </is>
      </c>
      <c r="B1153" s="1" t="n">
        <v>45988</v>
      </c>
      <c r="C1153" s="1" t="n">
        <v>46032</v>
      </c>
      <c r="D1153" t="inlineStr">
        <is>
          <t>VÄSTERNORRLANDS LÄN</t>
        </is>
      </c>
      <c r="E1153" t="inlineStr">
        <is>
          <t>ÅNGE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1280-2026</t>
        </is>
      </c>
      <c r="B1154" s="1" t="n">
        <v>46031.47851851852</v>
      </c>
      <c r="C1154" s="1" t="n">
        <v>46032</v>
      </c>
      <c r="D1154" t="inlineStr">
        <is>
          <t>VÄSTERNORRLANDS LÄN</t>
        </is>
      </c>
      <c r="E1154" t="inlineStr">
        <is>
          <t>ÅNGE</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41766-2024</t>
        </is>
      </c>
      <c r="B1155" s="1" t="n">
        <v>45561.34594907407</v>
      </c>
      <c r="C1155" s="1" t="n">
        <v>46032</v>
      </c>
      <c r="D1155" t="inlineStr">
        <is>
          <t>VÄSTERNORRLANDS LÄN</t>
        </is>
      </c>
      <c r="E1155" t="inlineStr">
        <is>
          <t>ÅNGE</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39178-2024</t>
        </is>
      </c>
      <c r="B1156" s="1" t="n">
        <v>45548.65692129629</v>
      </c>
      <c r="C1156" s="1" t="n">
        <v>46032</v>
      </c>
      <c r="D1156" t="inlineStr">
        <is>
          <t>VÄSTERNORRLANDS LÄN</t>
        </is>
      </c>
      <c r="E1156" t="inlineStr">
        <is>
          <t>ÅNGE</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51383-2022</t>
        </is>
      </c>
      <c r="B1157" s="1" t="n">
        <v>44866</v>
      </c>
      <c r="C1157" s="1" t="n">
        <v>46032</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51393-2022</t>
        </is>
      </c>
      <c r="B1158" s="1" t="n">
        <v>44869.43277777778</v>
      </c>
      <c r="C1158" s="1" t="n">
        <v>46032</v>
      </c>
      <c r="D1158" t="inlineStr">
        <is>
          <t>VÄSTERNORRLANDS LÄN</t>
        </is>
      </c>
      <c r="E1158" t="inlineStr">
        <is>
          <t>ÅNGE</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4236-2025</t>
        </is>
      </c>
      <c r="B1159" s="1" t="n">
        <v>45685.56534722223</v>
      </c>
      <c r="C1159" s="1" t="n">
        <v>46032</v>
      </c>
      <c r="D1159" t="inlineStr">
        <is>
          <t>VÄSTERNORRLANDS LÄN</t>
        </is>
      </c>
      <c r="E1159" t="inlineStr">
        <is>
          <t>ÅNGE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2415-2024</t>
        </is>
      </c>
      <c r="B1160" s="1" t="n">
        <v>45310</v>
      </c>
      <c r="C1160" s="1" t="n">
        <v>46032</v>
      </c>
      <c r="D1160" t="inlineStr">
        <is>
          <t>VÄSTERNORRLANDS LÄN</t>
        </is>
      </c>
      <c r="E1160" t="inlineStr">
        <is>
          <t>ÅNGE</t>
        </is>
      </c>
      <c r="F1160" t="inlineStr">
        <is>
          <t>Kyrkan</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4361-2024</t>
        </is>
      </c>
      <c r="B1161" s="1" t="n">
        <v>45325.65047453704</v>
      </c>
      <c r="C1161" s="1" t="n">
        <v>46032</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26490-2024</t>
        </is>
      </c>
      <c r="B1162" s="1" t="n">
        <v>45469</v>
      </c>
      <c r="C1162" s="1" t="n">
        <v>46032</v>
      </c>
      <c r="D1162" t="inlineStr">
        <is>
          <t>VÄSTERNORRLANDS LÄN</t>
        </is>
      </c>
      <c r="E1162" t="inlineStr">
        <is>
          <t>ÅNGE</t>
        </is>
      </c>
      <c r="F1162" t="inlineStr">
        <is>
          <t>Sveaskog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47779-2023</t>
        </is>
      </c>
      <c r="B1163" s="1" t="n">
        <v>45203.92232638889</v>
      </c>
      <c r="C1163" s="1" t="n">
        <v>46032</v>
      </c>
      <c r="D1163" t="inlineStr">
        <is>
          <t>VÄSTERNORRLANDS LÄN</t>
        </is>
      </c>
      <c r="E1163" t="inlineStr">
        <is>
          <t>ÅNGE</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38246-2024</t>
        </is>
      </c>
      <c r="B1164" s="1" t="n">
        <v>45545.57327546296</v>
      </c>
      <c r="C1164" s="1" t="n">
        <v>46032</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64946-2023</t>
        </is>
      </c>
      <c r="B1165" s="1" t="n">
        <v>45282.94678240741</v>
      </c>
      <c r="C1165" s="1" t="n">
        <v>46032</v>
      </c>
      <c r="D1165" t="inlineStr">
        <is>
          <t>VÄSTERNORRLANDS LÄN</t>
        </is>
      </c>
      <c r="E1165" t="inlineStr">
        <is>
          <t>ÅNGE</t>
        </is>
      </c>
      <c r="F1165" t="inlineStr">
        <is>
          <t>SCA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61585-2022</t>
        </is>
      </c>
      <c r="B1166" s="1" t="n">
        <v>44916.63380787037</v>
      </c>
      <c r="C1166" s="1" t="n">
        <v>46032</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16365-2023</t>
        </is>
      </c>
      <c r="B1167" s="1" t="n">
        <v>45028</v>
      </c>
      <c r="C1167" s="1" t="n">
        <v>46032</v>
      </c>
      <c r="D1167" t="inlineStr">
        <is>
          <t>VÄSTERNORRLANDS LÄN</t>
        </is>
      </c>
      <c r="E1167" t="inlineStr">
        <is>
          <t>ÅNGE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69790-2021</t>
        </is>
      </c>
      <c r="B1168" s="1" t="n">
        <v>44532.605625</v>
      </c>
      <c r="C1168" s="1" t="n">
        <v>46032</v>
      </c>
      <c r="D1168" t="inlineStr">
        <is>
          <t>VÄSTERNORRLANDS LÄN</t>
        </is>
      </c>
      <c r="E1168" t="inlineStr">
        <is>
          <t>ÅNGE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53209-2024</t>
        </is>
      </c>
      <c r="B1169" s="1" t="n">
        <v>45612.51079861111</v>
      </c>
      <c r="C1169" s="1" t="n">
        <v>46032</v>
      </c>
      <c r="D1169" t="inlineStr">
        <is>
          <t>VÄSTERNORRLANDS LÄN</t>
        </is>
      </c>
      <c r="E1169" t="inlineStr">
        <is>
          <t>ÅNGE</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3574-2025</t>
        </is>
      </c>
      <c r="B1170" s="1" t="n">
        <v>45680.71916666667</v>
      </c>
      <c r="C1170" s="1" t="n">
        <v>46032</v>
      </c>
      <c r="D1170" t="inlineStr">
        <is>
          <t>VÄSTERNORRLANDS LÄN</t>
        </is>
      </c>
      <c r="E1170" t="inlineStr">
        <is>
          <t>ÅNGE</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30803-2022</t>
        </is>
      </c>
      <c r="B1171" s="1" t="n">
        <v>44764</v>
      </c>
      <c r="C1171" s="1" t="n">
        <v>46032</v>
      </c>
      <c r="D1171" t="inlineStr">
        <is>
          <t>VÄSTERNORRLANDS LÄN</t>
        </is>
      </c>
      <c r="E1171" t="inlineStr">
        <is>
          <t>ÅNGE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34750-2023</t>
        </is>
      </c>
      <c r="B1172" s="1" t="n">
        <v>45139</v>
      </c>
      <c r="C1172" s="1" t="n">
        <v>46032</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44180-2023</t>
        </is>
      </c>
      <c r="B1173" s="1" t="n">
        <v>45183</v>
      </c>
      <c r="C1173" s="1" t="n">
        <v>46032</v>
      </c>
      <c r="D1173" t="inlineStr">
        <is>
          <t>VÄSTERNORRLANDS LÄN</t>
        </is>
      </c>
      <c r="E1173" t="inlineStr">
        <is>
          <t>ÅNGE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14888-2022</t>
        </is>
      </c>
      <c r="B1174" s="1" t="n">
        <v>44656</v>
      </c>
      <c r="C1174" s="1" t="n">
        <v>46032</v>
      </c>
      <c r="D1174" t="inlineStr">
        <is>
          <t>VÄSTERNORRLANDS LÄN</t>
        </is>
      </c>
      <c r="E1174" t="inlineStr">
        <is>
          <t>ÅNGE</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22990-2024</t>
        </is>
      </c>
      <c r="B1175" s="1" t="n">
        <v>45449.94548611111</v>
      </c>
      <c r="C1175" s="1" t="n">
        <v>46032</v>
      </c>
      <c r="D1175" t="inlineStr">
        <is>
          <t>VÄSTERNORRLANDS LÄN</t>
        </is>
      </c>
      <c r="E1175" t="inlineStr">
        <is>
          <t>ÅNGE</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27260-2023</t>
        </is>
      </c>
      <c r="B1176" s="1" t="n">
        <v>45092</v>
      </c>
      <c r="C1176" s="1" t="n">
        <v>46032</v>
      </c>
      <c r="D1176" t="inlineStr">
        <is>
          <t>VÄSTERNORRLANDS LÄN</t>
        </is>
      </c>
      <c r="E1176" t="inlineStr">
        <is>
          <t>ÅNGE</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58637-2023</t>
        </is>
      </c>
      <c r="B1177" s="1" t="n">
        <v>45251</v>
      </c>
      <c r="C1177" s="1" t="n">
        <v>46032</v>
      </c>
      <c r="D1177" t="inlineStr">
        <is>
          <t>VÄSTERNORRLANDS LÄN</t>
        </is>
      </c>
      <c r="E1177" t="inlineStr">
        <is>
          <t>ÅNGE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30753-2024</t>
        </is>
      </c>
      <c r="B1178" s="1" t="n">
        <v>45496</v>
      </c>
      <c r="C1178" s="1" t="n">
        <v>46032</v>
      </c>
      <c r="D1178" t="inlineStr">
        <is>
          <t>VÄSTERNORRLANDS LÄN</t>
        </is>
      </c>
      <c r="E1178" t="inlineStr">
        <is>
          <t>ÅNGE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30754-2024</t>
        </is>
      </c>
      <c r="B1179" s="1" t="n">
        <v>45496</v>
      </c>
      <c r="C1179" s="1" t="n">
        <v>46032</v>
      </c>
      <c r="D1179" t="inlineStr">
        <is>
          <t>VÄSTERNORRLANDS LÄN</t>
        </is>
      </c>
      <c r="E1179" t="inlineStr">
        <is>
          <t>ÅNGE</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57271-2024</t>
        </is>
      </c>
      <c r="B1180" s="1" t="n">
        <v>45629.57364583333</v>
      </c>
      <c r="C1180" s="1" t="n">
        <v>46032</v>
      </c>
      <c r="D1180" t="inlineStr">
        <is>
          <t>VÄSTERNORRLANDS LÄN</t>
        </is>
      </c>
      <c r="E1180" t="inlineStr">
        <is>
          <t>ÅNGE</t>
        </is>
      </c>
      <c r="F1180" t="inlineStr">
        <is>
          <t>SCA</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9480-2022</t>
        </is>
      </c>
      <c r="B1181" s="1" t="n">
        <v>44616</v>
      </c>
      <c r="C1181" s="1" t="n">
        <v>46032</v>
      </c>
      <c r="D1181" t="inlineStr">
        <is>
          <t>VÄSTERNORRLANDS LÄN</t>
        </is>
      </c>
      <c r="E1181" t="inlineStr">
        <is>
          <t>ÅNGE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37503-2023</t>
        </is>
      </c>
      <c r="B1182" s="1" t="n">
        <v>45157.5796875</v>
      </c>
      <c r="C1182" s="1" t="n">
        <v>46032</v>
      </c>
      <c r="D1182" t="inlineStr">
        <is>
          <t>VÄSTERNORRLANDS LÄN</t>
        </is>
      </c>
      <c r="E1182" t="inlineStr">
        <is>
          <t>ÅNGE</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51124-2024</t>
        </is>
      </c>
      <c r="B1183" s="1" t="n">
        <v>45603.50716435185</v>
      </c>
      <c r="C1183" s="1" t="n">
        <v>46032</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51377-2024</t>
        </is>
      </c>
      <c r="B1184" s="1" t="n">
        <v>45604.38142361111</v>
      </c>
      <c r="C1184" s="1" t="n">
        <v>46032</v>
      </c>
      <c r="D1184" t="inlineStr">
        <is>
          <t>VÄSTERNORRLANDS LÄN</t>
        </is>
      </c>
      <c r="E1184" t="inlineStr">
        <is>
          <t>ÅNGE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44876-2024</t>
        </is>
      </c>
      <c r="B1185" s="1" t="n">
        <v>45575.34474537037</v>
      </c>
      <c r="C1185" s="1" t="n">
        <v>46032</v>
      </c>
      <c r="D1185" t="inlineStr">
        <is>
          <t>VÄSTERNORRLANDS LÄN</t>
        </is>
      </c>
      <c r="E1185" t="inlineStr">
        <is>
          <t>ÅNGE</t>
        </is>
      </c>
      <c r="F1185" t="inlineStr">
        <is>
          <t>SCA</t>
        </is>
      </c>
      <c r="G1185" t="n">
        <v>12.4</v>
      </c>
      <c r="H1185" t="n">
        <v>0</v>
      </c>
      <c r="I1185" t="n">
        <v>0</v>
      </c>
      <c r="J1185" t="n">
        <v>0</v>
      </c>
      <c r="K1185" t="n">
        <v>0</v>
      </c>
      <c r="L1185" t="n">
        <v>0</v>
      </c>
      <c r="M1185" t="n">
        <v>0</v>
      </c>
      <c r="N1185" t="n">
        <v>0</v>
      </c>
      <c r="O1185" t="n">
        <v>0</v>
      </c>
      <c r="P1185" t="n">
        <v>0</v>
      </c>
      <c r="Q1185" t="n">
        <v>0</v>
      </c>
      <c r="R1185" s="2" t="inlineStr"/>
    </row>
    <row r="1186" ht="15" customHeight="1">
      <c r="A1186" t="inlineStr">
        <is>
          <t>A 20229-2022</t>
        </is>
      </c>
      <c r="B1186" s="1" t="n">
        <v>44698.61150462963</v>
      </c>
      <c r="C1186" s="1" t="n">
        <v>46032</v>
      </c>
      <c r="D1186" t="inlineStr">
        <is>
          <t>VÄSTERNORRLANDS LÄN</t>
        </is>
      </c>
      <c r="E1186" t="inlineStr">
        <is>
          <t>ÅNGE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14097-2022</t>
        </is>
      </c>
      <c r="B1187" s="1" t="n">
        <v>44651</v>
      </c>
      <c r="C1187" s="1" t="n">
        <v>46032</v>
      </c>
      <c r="D1187" t="inlineStr">
        <is>
          <t>VÄSTERNORRLANDS LÄN</t>
        </is>
      </c>
      <c r="E1187" t="inlineStr">
        <is>
          <t>ÅNGE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32901-2023</t>
        </is>
      </c>
      <c r="B1188" s="1" t="n">
        <v>45124.95063657407</v>
      </c>
      <c r="C1188" s="1" t="n">
        <v>46032</v>
      </c>
      <c r="D1188" t="inlineStr">
        <is>
          <t>VÄSTERNORRLANDS LÄN</t>
        </is>
      </c>
      <c r="E1188" t="inlineStr">
        <is>
          <t>ÅNGE</t>
        </is>
      </c>
      <c r="F1188" t="inlineStr">
        <is>
          <t>SCA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15603-2024</t>
        </is>
      </c>
      <c r="B1189" s="1" t="n">
        <v>45401.92501157407</v>
      </c>
      <c r="C1189" s="1" t="n">
        <v>46032</v>
      </c>
      <c r="D1189" t="inlineStr">
        <is>
          <t>VÄSTERNORRLANDS LÄN</t>
        </is>
      </c>
      <c r="E1189" t="inlineStr">
        <is>
          <t>ÅNGE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11310-2023</t>
        </is>
      </c>
      <c r="B1190" s="1" t="n">
        <v>44993.01190972222</v>
      </c>
      <c r="C1190" s="1" t="n">
        <v>46032</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21409-2022</t>
        </is>
      </c>
      <c r="B1191" s="1" t="n">
        <v>44705.9406712963</v>
      </c>
      <c r="C1191" s="1" t="n">
        <v>46032</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48632-2023</t>
        </is>
      </c>
      <c r="B1192" s="1" t="n">
        <v>45208.57944444445</v>
      </c>
      <c r="C1192" s="1" t="n">
        <v>46032</v>
      </c>
      <c r="D1192" t="inlineStr">
        <is>
          <t>VÄSTERNORRLANDS LÄN</t>
        </is>
      </c>
      <c r="E1192" t="inlineStr">
        <is>
          <t>ÅNGE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20761-2024</t>
        </is>
      </c>
      <c r="B1193" s="1" t="n">
        <v>45436</v>
      </c>
      <c r="C1193" s="1" t="n">
        <v>46032</v>
      </c>
      <c r="D1193" t="inlineStr">
        <is>
          <t>VÄSTERNORRLANDS LÄN</t>
        </is>
      </c>
      <c r="E1193" t="inlineStr">
        <is>
          <t>ÅNGE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6619-2025</t>
        </is>
      </c>
      <c r="B1194" s="1" t="n">
        <v>45700.36541666667</v>
      </c>
      <c r="C1194" s="1" t="n">
        <v>46032</v>
      </c>
      <c r="D1194" t="inlineStr">
        <is>
          <t>VÄSTERNORRLANDS LÄN</t>
        </is>
      </c>
      <c r="E1194" t="inlineStr">
        <is>
          <t>ÅNGE</t>
        </is>
      </c>
      <c r="F1194" t="inlineStr">
        <is>
          <t>SCA</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10339-2025</t>
        </is>
      </c>
      <c r="B1195" s="1" t="n">
        <v>45720</v>
      </c>
      <c r="C1195" s="1" t="n">
        <v>46032</v>
      </c>
      <c r="D1195" t="inlineStr">
        <is>
          <t>VÄSTERNORRLANDS LÄN</t>
        </is>
      </c>
      <c r="E1195" t="inlineStr">
        <is>
          <t>ÅNGE</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12581-2024</t>
        </is>
      </c>
      <c r="B1196" s="1" t="n">
        <v>45379</v>
      </c>
      <c r="C1196" s="1" t="n">
        <v>46032</v>
      </c>
      <c r="D1196" t="inlineStr">
        <is>
          <t>VÄSTERNORRLANDS LÄN</t>
        </is>
      </c>
      <c r="E1196" t="inlineStr">
        <is>
          <t>ÅNGE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55558-2024</t>
        </is>
      </c>
      <c r="B1197" s="1" t="n">
        <v>45622.52586805556</v>
      </c>
      <c r="C1197" s="1" t="n">
        <v>46032</v>
      </c>
      <c r="D1197" t="inlineStr">
        <is>
          <t>VÄSTERNORRLANDS LÄN</t>
        </is>
      </c>
      <c r="E1197" t="inlineStr">
        <is>
          <t>ÅNGE</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52665-2024</t>
        </is>
      </c>
      <c r="B1198" s="1" t="n">
        <v>45610.36549768518</v>
      </c>
      <c r="C1198" s="1" t="n">
        <v>46032</v>
      </c>
      <c r="D1198" t="inlineStr">
        <is>
          <t>VÄSTERNORRLANDS LÄN</t>
        </is>
      </c>
      <c r="E1198" t="inlineStr">
        <is>
          <t>ÅNGE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20338-2025</t>
        </is>
      </c>
      <c r="B1199" s="1" t="n">
        <v>45775</v>
      </c>
      <c r="C1199" s="1" t="n">
        <v>46032</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14751-2025</t>
        </is>
      </c>
      <c r="B1200" s="1" t="n">
        <v>45742.65863425926</v>
      </c>
      <c r="C1200" s="1" t="n">
        <v>46032</v>
      </c>
      <c r="D1200" t="inlineStr">
        <is>
          <t>VÄSTERNORRLANDS LÄN</t>
        </is>
      </c>
      <c r="E1200" t="inlineStr">
        <is>
          <t>ÅNGE</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54342-2023</t>
        </is>
      </c>
      <c r="B1201" s="1" t="n">
        <v>45232</v>
      </c>
      <c r="C1201" s="1" t="n">
        <v>46032</v>
      </c>
      <c r="D1201" t="inlineStr">
        <is>
          <t>VÄSTERNORRLANDS LÄN</t>
        </is>
      </c>
      <c r="E1201" t="inlineStr">
        <is>
          <t>ÅNGE</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34091-2022</t>
        </is>
      </c>
      <c r="B1202" s="1" t="n">
        <v>44791</v>
      </c>
      <c r="C1202" s="1" t="n">
        <v>46032</v>
      </c>
      <c r="D1202" t="inlineStr">
        <is>
          <t>VÄSTERNORRLANDS LÄN</t>
        </is>
      </c>
      <c r="E1202" t="inlineStr">
        <is>
          <t>ÅNGE</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19066-2024</t>
        </is>
      </c>
      <c r="B1203" s="1" t="n">
        <v>45427</v>
      </c>
      <c r="C1203" s="1" t="n">
        <v>46032</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14976-2025</t>
        </is>
      </c>
      <c r="B1204" s="1" t="n">
        <v>45743</v>
      </c>
      <c r="C1204" s="1" t="n">
        <v>46032</v>
      </c>
      <c r="D1204" t="inlineStr">
        <is>
          <t>VÄSTERNORRLANDS LÄN</t>
        </is>
      </c>
      <c r="E1204" t="inlineStr">
        <is>
          <t>ÅNGE</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8070-2022</t>
        </is>
      </c>
      <c r="B1205" s="1" t="n">
        <v>44609.48665509259</v>
      </c>
      <c r="C1205" s="1" t="n">
        <v>46032</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52805-2024</t>
        </is>
      </c>
      <c r="B1206" s="1" t="n">
        <v>45610.57344907407</v>
      </c>
      <c r="C1206" s="1" t="n">
        <v>46032</v>
      </c>
      <c r="D1206" t="inlineStr">
        <is>
          <t>VÄSTERNORRLANDS LÄN</t>
        </is>
      </c>
      <c r="E1206" t="inlineStr">
        <is>
          <t>ÅNGE</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4651-2022</t>
        </is>
      </c>
      <c r="B1207" s="1" t="n">
        <v>44592</v>
      </c>
      <c r="C1207" s="1" t="n">
        <v>46032</v>
      </c>
      <c r="D1207" t="inlineStr">
        <is>
          <t>VÄSTERNORRLANDS LÄN</t>
        </is>
      </c>
      <c r="E1207" t="inlineStr">
        <is>
          <t>ÅNGE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19342-2024</t>
        </is>
      </c>
      <c r="B1208" s="1" t="n">
        <v>45428</v>
      </c>
      <c r="C1208" s="1" t="n">
        <v>46032</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24977-2021</t>
        </is>
      </c>
      <c r="B1209" s="1" t="n">
        <v>44341.51386574074</v>
      </c>
      <c r="C1209" s="1" t="n">
        <v>46032</v>
      </c>
      <c r="D1209" t="inlineStr">
        <is>
          <t>VÄSTERNORRLANDS LÄN</t>
        </is>
      </c>
      <c r="E1209" t="inlineStr">
        <is>
          <t>ÅNGE</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5246-2025</t>
        </is>
      </c>
      <c r="B1210" s="1" t="n">
        <v>45692.34427083333</v>
      </c>
      <c r="C1210" s="1" t="n">
        <v>46032</v>
      </c>
      <c r="D1210" t="inlineStr">
        <is>
          <t>VÄSTERNORRLANDS LÄN</t>
        </is>
      </c>
      <c r="E1210" t="inlineStr">
        <is>
          <t>ÅNGE</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16973-2025</t>
        </is>
      </c>
      <c r="B1211" s="1" t="n">
        <v>45755.46967592592</v>
      </c>
      <c r="C1211" s="1" t="n">
        <v>46032</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34679-2024</t>
        </is>
      </c>
      <c r="B1212" s="1" t="n">
        <v>45526</v>
      </c>
      <c r="C1212" s="1" t="n">
        <v>46032</v>
      </c>
      <c r="D1212" t="inlineStr">
        <is>
          <t>VÄSTERNORRLANDS LÄN</t>
        </is>
      </c>
      <c r="E1212" t="inlineStr">
        <is>
          <t>ÅNGE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43096-2023</t>
        </is>
      </c>
      <c r="B1213" s="1" t="n">
        <v>45182</v>
      </c>
      <c r="C1213" s="1" t="n">
        <v>46032</v>
      </c>
      <c r="D1213" t="inlineStr">
        <is>
          <t>VÄSTERNORRLANDS LÄN</t>
        </is>
      </c>
      <c r="E1213" t="inlineStr">
        <is>
          <t>ÅNGE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60296-2021</t>
        </is>
      </c>
      <c r="B1214" s="1" t="n">
        <v>44495</v>
      </c>
      <c r="C1214" s="1" t="n">
        <v>46032</v>
      </c>
      <c r="D1214" t="inlineStr">
        <is>
          <t>VÄSTERNORRLANDS LÄN</t>
        </is>
      </c>
      <c r="E1214" t="inlineStr">
        <is>
          <t>ÅNGE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25023-2022</t>
        </is>
      </c>
      <c r="B1215" s="1" t="n">
        <v>44728</v>
      </c>
      <c r="C1215" s="1" t="n">
        <v>46032</v>
      </c>
      <c r="D1215" t="inlineStr">
        <is>
          <t>VÄSTERNORRLANDS LÄN</t>
        </is>
      </c>
      <c r="E1215" t="inlineStr">
        <is>
          <t>ÅNGE</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31545-2024</t>
        </is>
      </c>
      <c r="B1216" s="1" t="n">
        <v>45505</v>
      </c>
      <c r="C1216" s="1" t="n">
        <v>46032</v>
      </c>
      <c r="D1216" t="inlineStr">
        <is>
          <t>VÄSTERNORRLANDS LÄN</t>
        </is>
      </c>
      <c r="E1216" t="inlineStr">
        <is>
          <t>ÅNGE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5197-2025</t>
        </is>
      </c>
      <c r="B1217" s="1" t="n">
        <v>45691.65701388889</v>
      </c>
      <c r="C1217" s="1" t="n">
        <v>46032</v>
      </c>
      <c r="D1217" t="inlineStr">
        <is>
          <t>VÄSTERNORRLANDS LÄN</t>
        </is>
      </c>
      <c r="E1217" t="inlineStr">
        <is>
          <t>ÅNGE</t>
        </is>
      </c>
      <c r="F1217" t="inlineStr">
        <is>
          <t>SCA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50179-2024</t>
        </is>
      </c>
      <c r="B1218" s="1" t="n">
        <v>45600</v>
      </c>
      <c r="C1218" s="1" t="n">
        <v>46032</v>
      </c>
      <c r="D1218" t="inlineStr">
        <is>
          <t>VÄSTERNORRLANDS LÄN</t>
        </is>
      </c>
      <c r="E1218" t="inlineStr">
        <is>
          <t>ÅNGE</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44565-2024</t>
        </is>
      </c>
      <c r="B1219" s="1" t="n">
        <v>45574.47518518518</v>
      </c>
      <c r="C1219" s="1" t="n">
        <v>46032</v>
      </c>
      <c r="D1219" t="inlineStr">
        <is>
          <t>VÄSTERNORRLANDS LÄN</t>
        </is>
      </c>
      <c r="E1219" t="inlineStr">
        <is>
          <t>ÅNGE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40755-2023</t>
        </is>
      </c>
      <c r="B1220" s="1" t="n">
        <v>45170</v>
      </c>
      <c r="C1220" s="1" t="n">
        <v>46032</v>
      </c>
      <c r="D1220" t="inlineStr">
        <is>
          <t>VÄSTERNORRLANDS LÄN</t>
        </is>
      </c>
      <c r="E1220" t="inlineStr">
        <is>
          <t>ÅNGE</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31696-2022</t>
        </is>
      </c>
      <c r="B1221" s="1" t="n">
        <v>44776</v>
      </c>
      <c r="C1221" s="1" t="n">
        <v>46032</v>
      </c>
      <c r="D1221" t="inlineStr">
        <is>
          <t>VÄSTERNORRLANDS LÄN</t>
        </is>
      </c>
      <c r="E1221" t="inlineStr">
        <is>
          <t>ÅNGE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10084-2023</t>
        </is>
      </c>
      <c r="B1222" s="1" t="n">
        <v>44985.94465277778</v>
      </c>
      <c r="C1222" s="1" t="n">
        <v>46032</v>
      </c>
      <c r="D1222" t="inlineStr">
        <is>
          <t>VÄSTERNORRLANDS LÄN</t>
        </is>
      </c>
      <c r="E1222" t="inlineStr">
        <is>
          <t>ÅNGE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37038-2024</t>
        </is>
      </c>
      <c r="B1223" s="1" t="n">
        <v>45539.40881944444</v>
      </c>
      <c r="C1223" s="1" t="n">
        <v>46032</v>
      </c>
      <c r="D1223" t="inlineStr">
        <is>
          <t>VÄSTERNORRLANDS LÄN</t>
        </is>
      </c>
      <c r="E1223" t="inlineStr">
        <is>
          <t>ÅNGE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60860-2022</t>
        </is>
      </c>
      <c r="B1224" s="1" t="n">
        <v>44914</v>
      </c>
      <c r="C1224" s="1" t="n">
        <v>46032</v>
      </c>
      <c r="D1224" t="inlineStr">
        <is>
          <t>VÄSTERNORRLANDS LÄN</t>
        </is>
      </c>
      <c r="E1224" t="inlineStr">
        <is>
          <t>ÅNGE</t>
        </is>
      </c>
      <c r="F1224" t="inlineStr">
        <is>
          <t>Holmen skog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17668-2023</t>
        </is>
      </c>
      <c r="B1225" s="1" t="n">
        <v>45036</v>
      </c>
      <c r="C1225" s="1" t="n">
        <v>46032</v>
      </c>
      <c r="D1225" t="inlineStr">
        <is>
          <t>VÄSTERNORRLANDS LÄN</t>
        </is>
      </c>
      <c r="E1225" t="inlineStr">
        <is>
          <t>ÅNGE</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41284-2024</t>
        </is>
      </c>
      <c r="B1226" s="1" t="n">
        <v>45559.59520833333</v>
      </c>
      <c r="C1226" s="1" t="n">
        <v>46032</v>
      </c>
      <c r="D1226" t="inlineStr">
        <is>
          <t>VÄSTERNORRLANDS LÄN</t>
        </is>
      </c>
      <c r="E1226" t="inlineStr">
        <is>
          <t>ÅNGE</t>
        </is>
      </c>
      <c r="F1226" t="inlineStr">
        <is>
          <t>SCA</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39682-2024</t>
        </is>
      </c>
      <c r="B1227" s="1" t="n">
        <v>45552</v>
      </c>
      <c r="C1227" s="1" t="n">
        <v>46032</v>
      </c>
      <c r="D1227" t="inlineStr">
        <is>
          <t>VÄSTERNORRLANDS LÄN</t>
        </is>
      </c>
      <c r="E1227" t="inlineStr">
        <is>
          <t>ÅNGE</t>
        </is>
      </c>
      <c r="G1227" t="n">
        <v>35.4</v>
      </c>
      <c r="H1227" t="n">
        <v>0</v>
      </c>
      <c r="I1227" t="n">
        <v>0</v>
      </c>
      <c r="J1227" t="n">
        <v>0</v>
      </c>
      <c r="K1227" t="n">
        <v>0</v>
      </c>
      <c r="L1227" t="n">
        <v>0</v>
      </c>
      <c r="M1227" t="n">
        <v>0</v>
      </c>
      <c r="N1227" t="n">
        <v>0</v>
      </c>
      <c r="O1227" t="n">
        <v>0</v>
      </c>
      <c r="P1227" t="n">
        <v>0</v>
      </c>
      <c r="Q1227" t="n">
        <v>0</v>
      </c>
      <c r="R1227" s="2" t="inlineStr"/>
    </row>
    <row r="1228" ht="15" customHeight="1">
      <c r="A1228" t="inlineStr">
        <is>
          <t>A 19798-2025</t>
        </is>
      </c>
      <c r="B1228" s="1" t="n">
        <v>45771.44824074074</v>
      </c>
      <c r="C1228" s="1" t="n">
        <v>46032</v>
      </c>
      <c r="D1228" t="inlineStr">
        <is>
          <t>VÄSTERNORRLANDS LÄN</t>
        </is>
      </c>
      <c r="E1228" t="inlineStr">
        <is>
          <t>ÅNGE</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2984-2025</t>
        </is>
      </c>
      <c r="B1229" s="1" t="n">
        <v>45678.51094907407</v>
      </c>
      <c r="C1229" s="1" t="n">
        <v>46032</v>
      </c>
      <c r="D1229" t="inlineStr">
        <is>
          <t>VÄSTERNORRLANDS LÄN</t>
        </is>
      </c>
      <c r="E1229" t="inlineStr">
        <is>
          <t>ÅNGE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3133-2024</t>
        </is>
      </c>
      <c r="B1230" s="1" t="n">
        <v>45316.55885416667</v>
      </c>
      <c r="C1230" s="1" t="n">
        <v>46032</v>
      </c>
      <c r="D1230" t="inlineStr">
        <is>
          <t>VÄSTERNORRLANDS LÄN</t>
        </is>
      </c>
      <c r="E1230" t="inlineStr">
        <is>
          <t>ÅNGE</t>
        </is>
      </c>
      <c r="F1230" t="inlineStr">
        <is>
          <t>Holmen skog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56569-2024</t>
        </is>
      </c>
      <c r="B1231" s="1" t="n">
        <v>45625</v>
      </c>
      <c r="C1231" s="1" t="n">
        <v>46032</v>
      </c>
      <c r="D1231" t="inlineStr">
        <is>
          <t>VÄSTERNORRLANDS LÄN</t>
        </is>
      </c>
      <c r="E1231" t="inlineStr">
        <is>
          <t>ÅNGE</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53663-2022</t>
        </is>
      </c>
      <c r="B1232" s="1" t="n">
        <v>44879</v>
      </c>
      <c r="C1232" s="1" t="n">
        <v>46032</v>
      </c>
      <c r="D1232" t="inlineStr">
        <is>
          <t>VÄSTERNORRLANDS LÄN</t>
        </is>
      </c>
      <c r="E1232" t="inlineStr">
        <is>
          <t>ÅNGE</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10089-2023</t>
        </is>
      </c>
      <c r="B1233" s="1" t="n">
        <v>44985</v>
      </c>
      <c r="C1233" s="1" t="n">
        <v>46032</v>
      </c>
      <c r="D1233" t="inlineStr">
        <is>
          <t>VÄSTERNORRLANDS LÄN</t>
        </is>
      </c>
      <c r="E1233" t="inlineStr">
        <is>
          <t>ÅNGE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10090-2023</t>
        </is>
      </c>
      <c r="B1234" s="1" t="n">
        <v>44985.94511574074</v>
      </c>
      <c r="C1234" s="1" t="n">
        <v>46032</v>
      </c>
      <c r="D1234" t="inlineStr">
        <is>
          <t>VÄSTERNORRLANDS LÄN</t>
        </is>
      </c>
      <c r="E1234" t="inlineStr">
        <is>
          <t>ÅNGE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19997-2023</t>
        </is>
      </c>
      <c r="B1235" s="1" t="n">
        <v>45054</v>
      </c>
      <c r="C1235" s="1" t="n">
        <v>46032</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38284-2022</t>
        </is>
      </c>
      <c r="B1236" s="1" t="n">
        <v>44812.55149305556</v>
      </c>
      <c r="C1236" s="1" t="n">
        <v>46032</v>
      </c>
      <c r="D1236" t="inlineStr">
        <is>
          <t>VÄSTERNORRLANDS LÄN</t>
        </is>
      </c>
      <c r="E1236" t="inlineStr">
        <is>
          <t>ÅNGE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5393-2025</t>
        </is>
      </c>
      <c r="B1237" s="1" t="n">
        <v>45692.63574074074</v>
      </c>
      <c r="C1237" s="1" t="n">
        <v>46032</v>
      </c>
      <c r="D1237" t="inlineStr">
        <is>
          <t>VÄSTERNORRLANDS LÄN</t>
        </is>
      </c>
      <c r="E1237" t="inlineStr">
        <is>
          <t>ÅNGE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57529-2024</t>
        </is>
      </c>
      <c r="B1238" s="1" t="n">
        <v>45630</v>
      </c>
      <c r="C1238" s="1" t="n">
        <v>46032</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1769-2023</t>
        </is>
      </c>
      <c r="B1239" s="1" t="n">
        <v>44938.58025462963</v>
      </c>
      <c r="C1239" s="1" t="n">
        <v>46032</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32776-2022</t>
        </is>
      </c>
      <c r="B1240" s="1" t="n">
        <v>44783.94607638889</v>
      </c>
      <c r="C1240" s="1" t="n">
        <v>46032</v>
      </c>
      <c r="D1240" t="inlineStr">
        <is>
          <t>VÄSTERNORRLANDS LÄN</t>
        </is>
      </c>
      <c r="E1240" t="inlineStr">
        <is>
          <t>ÅNGE</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25779-2023</t>
        </is>
      </c>
      <c r="B1241" s="1" t="n">
        <v>45090.47439814815</v>
      </c>
      <c r="C1241" s="1" t="n">
        <v>46032</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23225-2024</t>
        </is>
      </c>
      <c r="B1242" s="1" t="n">
        <v>45452.9490162037</v>
      </c>
      <c r="C1242" s="1" t="n">
        <v>46032</v>
      </c>
      <c r="D1242" t="inlineStr">
        <is>
          <t>VÄSTERNORRLANDS LÄN</t>
        </is>
      </c>
      <c r="E1242" t="inlineStr">
        <is>
          <t>ÅNGE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29696-2024</t>
        </is>
      </c>
      <c r="B1243" s="1" t="n">
        <v>45484.94524305555</v>
      </c>
      <c r="C1243" s="1" t="n">
        <v>46032</v>
      </c>
      <c r="D1243" t="inlineStr">
        <is>
          <t>VÄSTERNORRLANDS LÄN</t>
        </is>
      </c>
      <c r="E1243" t="inlineStr">
        <is>
          <t>ÅNGE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6462-2024</t>
        </is>
      </c>
      <c r="B1244" s="1" t="n">
        <v>45338</v>
      </c>
      <c r="C1244" s="1" t="n">
        <v>46032</v>
      </c>
      <c r="D1244" t="inlineStr">
        <is>
          <t>VÄSTERNORRLANDS LÄN</t>
        </is>
      </c>
      <c r="E1244" t="inlineStr">
        <is>
          <t>ÅNGE</t>
        </is>
      </c>
      <c r="F1244" t="inlineStr">
        <is>
          <t>Kyrkan</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26018-2024</t>
        </is>
      </c>
      <c r="B1245" s="1" t="n">
        <v>45467.95998842592</v>
      </c>
      <c r="C1245" s="1" t="n">
        <v>46032</v>
      </c>
      <c r="D1245" t="inlineStr">
        <is>
          <t>VÄSTERNORRLANDS LÄN</t>
        </is>
      </c>
      <c r="E1245" t="inlineStr">
        <is>
          <t>ÅNGE</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26021-2024</t>
        </is>
      </c>
      <c r="B1246" s="1" t="n">
        <v>45467</v>
      </c>
      <c r="C1246" s="1" t="n">
        <v>46032</v>
      </c>
      <c r="D1246" t="inlineStr">
        <is>
          <t>VÄSTERNORRLANDS LÄN</t>
        </is>
      </c>
      <c r="E1246" t="inlineStr">
        <is>
          <t>ÅNGE</t>
        </is>
      </c>
      <c r="F1246" t="inlineStr">
        <is>
          <t>SCA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29673-2024</t>
        </is>
      </c>
      <c r="B1247" s="1" t="n">
        <v>45484.94210648148</v>
      </c>
      <c r="C1247" s="1" t="n">
        <v>46032</v>
      </c>
      <c r="D1247" t="inlineStr">
        <is>
          <t>VÄSTERNORRLANDS LÄN</t>
        </is>
      </c>
      <c r="E1247" t="inlineStr">
        <is>
          <t>ÅNGE</t>
        </is>
      </c>
      <c r="F1247" t="inlineStr">
        <is>
          <t>SCA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48690-2024</t>
        </is>
      </c>
      <c r="B1248" s="1" t="n">
        <v>45593.50704861111</v>
      </c>
      <c r="C1248" s="1" t="n">
        <v>46032</v>
      </c>
      <c r="D1248" t="inlineStr">
        <is>
          <t>VÄSTERNORRLANDS LÄN</t>
        </is>
      </c>
      <c r="E1248" t="inlineStr">
        <is>
          <t>ÅNGE</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11399-2025</t>
        </is>
      </c>
      <c r="B1249" s="1" t="n">
        <v>45726.57364583333</v>
      </c>
      <c r="C1249" s="1" t="n">
        <v>46032</v>
      </c>
      <c r="D1249" t="inlineStr">
        <is>
          <t>VÄSTERNORRLANDS LÄN</t>
        </is>
      </c>
      <c r="E1249" t="inlineStr">
        <is>
          <t>ÅNGE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39021-2024</t>
        </is>
      </c>
      <c r="B1250" s="1" t="n">
        <v>45548</v>
      </c>
      <c r="C1250" s="1" t="n">
        <v>46032</v>
      </c>
      <c r="D1250" t="inlineStr">
        <is>
          <t>VÄSTERNORRLANDS LÄN</t>
        </is>
      </c>
      <c r="E1250" t="inlineStr">
        <is>
          <t>ÅNGE</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27915-2024</t>
        </is>
      </c>
      <c r="B1251" s="1" t="n">
        <v>45475</v>
      </c>
      <c r="C1251" s="1" t="n">
        <v>46032</v>
      </c>
      <c r="D1251" t="inlineStr">
        <is>
          <t>VÄSTERNORRLANDS LÄN</t>
        </is>
      </c>
      <c r="E1251" t="inlineStr">
        <is>
          <t>ÅNGE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2433-2024</t>
        </is>
      </c>
      <c r="B1252" s="1" t="n">
        <v>45310</v>
      </c>
      <c r="C1252" s="1" t="n">
        <v>46032</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57846-2022</t>
        </is>
      </c>
      <c r="B1253" s="1" t="n">
        <v>44897.95008101852</v>
      </c>
      <c r="C1253" s="1" t="n">
        <v>46032</v>
      </c>
      <c r="D1253" t="inlineStr">
        <is>
          <t>VÄSTERNORRLANDS LÄN</t>
        </is>
      </c>
      <c r="E1253" t="inlineStr">
        <is>
          <t>ÅNGE</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46249-2024</t>
        </is>
      </c>
      <c r="B1254" s="1" t="n">
        <v>45581.59409722222</v>
      </c>
      <c r="C1254" s="1" t="n">
        <v>46032</v>
      </c>
      <c r="D1254" t="inlineStr">
        <is>
          <t>VÄSTERNORRLANDS LÄN</t>
        </is>
      </c>
      <c r="E1254" t="inlineStr">
        <is>
          <t>ÅNGE</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8868-2023</t>
        </is>
      </c>
      <c r="B1255" s="1" t="n">
        <v>44978</v>
      </c>
      <c r="C1255" s="1" t="n">
        <v>46032</v>
      </c>
      <c r="D1255" t="inlineStr">
        <is>
          <t>VÄSTERNORRLANDS LÄN</t>
        </is>
      </c>
      <c r="E1255" t="inlineStr">
        <is>
          <t>ÅNGE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65229-2021</t>
        </is>
      </c>
      <c r="B1256" s="1" t="n">
        <v>44515</v>
      </c>
      <c r="C1256" s="1" t="n">
        <v>46032</v>
      </c>
      <c r="D1256" t="inlineStr">
        <is>
          <t>VÄSTERNORRLANDS LÄN</t>
        </is>
      </c>
      <c r="E1256" t="inlineStr">
        <is>
          <t>ÅNGE</t>
        </is>
      </c>
      <c r="G1256" t="n">
        <v>12.1</v>
      </c>
      <c r="H1256" t="n">
        <v>0</v>
      </c>
      <c r="I1256" t="n">
        <v>0</v>
      </c>
      <c r="J1256" t="n">
        <v>0</v>
      </c>
      <c r="K1256" t="n">
        <v>0</v>
      </c>
      <c r="L1256" t="n">
        <v>0</v>
      </c>
      <c r="M1256" t="n">
        <v>0</v>
      </c>
      <c r="N1256" t="n">
        <v>0</v>
      </c>
      <c r="O1256" t="n">
        <v>0</v>
      </c>
      <c r="P1256" t="n">
        <v>0</v>
      </c>
      <c r="Q1256" t="n">
        <v>0</v>
      </c>
      <c r="R1256" s="2" t="inlineStr"/>
    </row>
    <row r="1257" ht="15" customHeight="1">
      <c r="A1257" t="inlineStr">
        <is>
          <t>A 57291-2022</t>
        </is>
      </c>
      <c r="B1257" s="1" t="n">
        <v>44895</v>
      </c>
      <c r="C1257" s="1" t="n">
        <v>46032</v>
      </c>
      <c r="D1257" t="inlineStr">
        <is>
          <t>VÄSTERNORRLANDS LÄN</t>
        </is>
      </c>
      <c r="E1257" t="inlineStr">
        <is>
          <t>ÅNGE</t>
        </is>
      </c>
      <c r="F1257" t="inlineStr">
        <is>
          <t>SCA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4883-2023</t>
        </is>
      </c>
      <c r="B1258" s="1" t="n">
        <v>44957</v>
      </c>
      <c r="C1258" s="1" t="n">
        <v>46032</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64945-2023</t>
        </is>
      </c>
      <c r="B1259" s="1" t="n">
        <v>45282.94668981482</v>
      </c>
      <c r="C1259" s="1" t="n">
        <v>46032</v>
      </c>
      <c r="D1259" t="inlineStr">
        <is>
          <t>VÄSTERNORRLANDS LÄN</t>
        </is>
      </c>
      <c r="E1259" t="inlineStr">
        <is>
          <t>ÅNGE</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26951-2024</t>
        </is>
      </c>
      <c r="B1260" s="1" t="n">
        <v>45470.96991898148</v>
      </c>
      <c r="C1260" s="1" t="n">
        <v>46032</v>
      </c>
      <c r="D1260" t="inlineStr">
        <is>
          <t>VÄSTERNORRLANDS LÄN</t>
        </is>
      </c>
      <c r="E1260" t="inlineStr">
        <is>
          <t>ÅNGE</t>
        </is>
      </c>
      <c r="F1260" t="inlineStr">
        <is>
          <t>SCA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26952-2024</t>
        </is>
      </c>
      <c r="B1261" s="1" t="n">
        <v>45470</v>
      </c>
      <c r="C1261" s="1" t="n">
        <v>46032</v>
      </c>
      <c r="D1261" t="inlineStr">
        <is>
          <t>VÄSTERNORRLANDS LÄN</t>
        </is>
      </c>
      <c r="E1261" t="inlineStr">
        <is>
          <t>ÅNGE</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56399-2022</t>
        </is>
      </c>
      <c r="B1262" s="1" t="n">
        <v>44890</v>
      </c>
      <c r="C1262" s="1" t="n">
        <v>46032</v>
      </c>
      <c r="D1262" t="inlineStr">
        <is>
          <t>VÄSTERNORRLANDS LÄN</t>
        </is>
      </c>
      <c r="E1262" t="inlineStr">
        <is>
          <t>ÅNGE</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23058-2024</t>
        </is>
      </c>
      <c r="B1263" s="1" t="n">
        <v>45450.44020833333</v>
      </c>
      <c r="C1263" s="1" t="n">
        <v>46032</v>
      </c>
      <c r="D1263" t="inlineStr">
        <is>
          <t>VÄSTERNORRLANDS LÄN</t>
        </is>
      </c>
      <c r="E1263" t="inlineStr">
        <is>
          <t>ÅNGE</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35979-2023</t>
        </is>
      </c>
      <c r="B1264" s="1" t="n">
        <v>45148</v>
      </c>
      <c r="C1264" s="1" t="n">
        <v>46032</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3986-2025</t>
        </is>
      </c>
      <c r="B1265" s="1" t="n">
        <v>45684.55262731481</v>
      </c>
      <c r="C1265" s="1" t="n">
        <v>46032</v>
      </c>
      <c r="D1265" t="inlineStr">
        <is>
          <t>VÄSTERNORRLANDS LÄN</t>
        </is>
      </c>
      <c r="E1265" t="inlineStr">
        <is>
          <t>ÅNGE</t>
        </is>
      </c>
      <c r="F1265" t="inlineStr">
        <is>
          <t>SCA</t>
        </is>
      </c>
      <c r="G1265" t="n">
        <v>10.5</v>
      </c>
      <c r="H1265" t="n">
        <v>0</v>
      </c>
      <c r="I1265" t="n">
        <v>0</v>
      </c>
      <c r="J1265" t="n">
        <v>0</v>
      </c>
      <c r="K1265" t="n">
        <v>0</v>
      </c>
      <c r="L1265" t="n">
        <v>0</v>
      </c>
      <c r="M1265" t="n">
        <v>0</v>
      </c>
      <c r="N1265" t="n">
        <v>0</v>
      </c>
      <c r="O1265" t="n">
        <v>0</v>
      </c>
      <c r="P1265" t="n">
        <v>0</v>
      </c>
      <c r="Q1265" t="n">
        <v>0</v>
      </c>
      <c r="R1265" s="2" t="inlineStr"/>
    </row>
    <row r="1266" ht="15" customHeight="1">
      <c r="A1266" t="inlineStr">
        <is>
          <t>A 50674-2024</t>
        </is>
      </c>
      <c r="B1266" s="1" t="n">
        <v>45601.85402777778</v>
      </c>
      <c r="C1266" s="1" t="n">
        <v>46032</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3322-2025</t>
        </is>
      </c>
      <c r="B1267" s="1" t="n">
        <v>45679.6989699074</v>
      </c>
      <c r="C1267" s="1" t="n">
        <v>46032</v>
      </c>
      <c r="D1267" t="inlineStr">
        <is>
          <t>VÄSTERNORRLANDS LÄN</t>
        </is>
      </c>
      <c r="E1267" t="inlineStr">
        <is>
          <t>ÅNGE</t>
        </is>
      </c>
      <c r="F1267" t="inlineStr">
        <is>
          <t>SCA</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3327-2025</t>
        </is>
      </c>
      <c r="B1268" s="1" t="n">
        <v>45679.69967592593</v>
      </c>
      <c r="C1268" s="1" t="n">
        <v>46032</v>
      </c>
      <c r="D1268" t="inlineStr">
        <is>
          <t>VÄSTERNORRLANDS LÄN</t>
        </is>
      </c>
      <c r="E1268" t="inlineStr">
        <is>
          <t>ÅNGE</t>
        </is>
      </c>
      <c r="F1268" t="inlineStr">
        <is>
          <t>SCA</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31729-2024</t>
        </is>
      </c>
      <c r="B1269" s="1" t="n">
        <v>45509.35844907408</v>
      </c>
      <c r="C1269" s="1" t="n">
        <v>46032</v>
      </c>
      <c r="D1269" t="inlineStr">
        <is>
          <t>VÄSTERNORRLANDS LÄN</t>
        </is>
      </c>
      <c r="E1269" t="inlineStr">
        <is>
          <t>ÅNGE</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4071-2025</t>
        </is>
      </c>
      <c r="B1270" s="1" t="n">
        <v>45684.63579861111</v>
      </c>
      <c r="C1270" s="1" t="n">
        <v>46032</v>
      </c>
      <c r="D1270" t="inlineStr">
        <is>
          <t>VÄSTERNORRLANDS LÄN</t>
        </is>
      </c>
      <c r="E1270" t="inlineStr">
        <is>
          <t>ÅNGE</t>
        </is>
      </c>
      <c r="F1270" t="inlineStr">
        <is>
          <t>SCA</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44606-2024</t>
        </is>
      </c>
      <c r="B1271" s="1" t="n">
        <v>45574.51195601852</v>
      </c>
      <c r="C1271" s="1" t="n">
        <v>46032</v>
      </c>
      <c r="D1271" t="inlineStr">
        <is>
          <t>VÄSTERNORRLANDS LÄN</t>
        </is>
      </c>
      <c r="E1271" t="inlineStr">
        <is>
          <t>ÅNGE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44626-2024</t>
        </is>
      </c>
      <c r="B1272" s="1" t="n">
        <v>45574.51378472222</v>
      </c>
      <c r="C1272" s="1" t="n">
        <v>46032</v>
      </c>
      <c r="D1272" t="inlineStr">
        <is>
          <t>VÄSTERNORRLANDS LÄN</t>
        </is>
      </c>
      <c r="E1272" t="inlineStr">
        <is>
          <t>ÅNGE</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18668-2023</t>
        </is>
      </c>
      <c r="B1273" s="1" t="n">
        <v>45043.57108796296</v>
      </c>
      <c r="C1273" s="1" t="n">
        <v>46032</v>
      </c>
      <c r="D1273" t="inlineStr">
        <is>
          <t>VÄSTERNORRLANDS LÄN</t>
        </is>
      </c>
      <c r="E1273" t="inlineStr">
        <is>
          <t>ÅNGE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1964-2022</t>
        </is>
      </c>
      <c r="B1274" s="1" t="n">
        <v>44575.5050462963</v>
      </c>
      <c r="C1274" s="1" t="n">
        <v>46032</v>
      </c>
      <c r="D1274" t="inlineStr">
        <is>
          <t>VÄSTERNORRLANDS LÄN</t>
        </is>
      </c>
      <c r="E1274" t="inlineStr">
        <is>
          <t>ÅNGE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18880-2024</t>
        </is>
      </c>
      <c r="B1275" s="1" t="n">
        <v>45426</v>
      </c>
      <c r="C1275" s="1" t="n">
        <v>46032</v>
      </c>
      <c r="D1275" t="inlineStr">
        <is>
          <t>VÄSTERNORRLANDS LÄN</t>
        </is>
      </c>
      <c r="E1275" t="inlineStr">
        <is>
          <t>ÅNGE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48787-2024</t>
        </is>
      </c>
      <c r="B1276" s="1" t="n">
        <v>45593.63888888889</v>
      </c>
      <c r="C1276" s="1" t="n">
        <v>46032</v>
      </c>
      <c r="D1276" t="inlineStr">
        <is>
          <t>VÄSTERNORRLANDS LÄN</t>
        </is>
      </c>
      <c r="E1276" t="inlineStr">
        <is>
          <t>ÅNGE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1886-2024</t>
        </is>
      </c>
      <c r="B1277" s="1" t="n">
        <v>45307.96335648148</v>
      </c>
      <c r="C1277" s="1" t="n">
        <v>46032</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41370-2023</t>
        </is>
      </c>
      <c r="B1278" s="1" t="n">
        <v>45174.85951388889</v>
      </c>
      <c r="C1278" s="1" t="n">
        <v>46032</v>
      </c>
      <c r="D1278" t="inlineStr">
        <is>
          <t>VÄSTERNORRLANDS LÄN</t>
        </is>
      </c>
      <c r="E1278" t="inlineStr">
        <is>
          <t>ÅNGE</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30235-2024</t>
        </is>
      </c>
      <c r="B1279" s="1" t="n">
        <v>45490.49040509259</v>
      </c>
      <c r="C1279" s="1" t="n">
        <v>46032</v>
      </c>
      <c r="D1279" t="inlineStr">
        <is>
          <t>VÄSTERNORRLANDS LÄN</t>
        </is>
      </c>
      <c r="E1279" t="inlineStr">
        <is>
          <t>ÅNGE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60817-2024</t>
        </is>
      </c>
      <c r="B1280" s="1" t="n">
        <v>45644</v>
      </c>
      <c r="C1280" s="1" t="n">
        <v>46032</v>
      </c>
      <c r="D1280" t="inlineStr">
        <is>
          <t>VÄSTERNORRLANDS LÄN</t>
        </is>
      </c>
      <c r="E1280" t="inlineStr">
        <is>
          <t>ÅNGE</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18456-2024</t>
        </is>
      </c>
      <c r="B1281" s="1" t="n">
        <v>45425.46831018518</v>
      </c>
      <c r="C1281" s="1" t="n">
        <v>46032</v>
      </c>
      <c r="D1281" t="inlineStr">
        <is>
          <t>VÄSTERNORRLANDS LÄN</t>
        </is>
      </c>
      <c r="E1281" t="inlineStr">
        <is>
          <t>ÅNGE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25047-2023</t>
        </is>
      </c>
      <c r="B1282" s="1" t="n">
        <v>45085.94569444445</v>
      </c>
      <c r="C1282" s="1" t="n">
        <v>46032</v>
      </c>
      <c r="D1282" t="inlineStr">
        <is>
          <t>VÄSTERNORRLANDS LÄN</t>
        </is>
      </c>
      <c r="E1282" t="inlineStr">
        <is>
          <t>ÅNGE</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57815-2024</t>
        </is>
      </c>
      <c r="B1283" s="1" t="n">
        <v>45631.37068287037</v>
      </c>
      <c r="C1283" s="1" t="n">
        <v>46032</v>
      </c>
      <c r="D1283" t="inlineStr">
        <is>
          <t>VÄSTERNORRLANDS LÄN</t>
        </is>
      </c>
      <c r="E1283" t="inlineStr">
        <is>
          <t>ÅNGE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42044-2024</t>
        </is>
      </c>
      <c r="B1284" s="1" t="n">
        <v>45561</v>
      </c>
      <c r="C1284" s="1" t="n">
        <v>46032</v>
      </c>
      <c r="D1284" t="inlineStr">
        <is>
          <t>VÄSTERNORRLANDS LÄN</t>
        </is>
      </c>
      <c r="E1284" t="inlineStr">
        <is>
          <t>ÅNGE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42090-2024</t>
        </is>
      </c>
      <c r="B1285" s="1" t="n">
        <v>45562</v>
      </c>
      <c r="C1285" s="1" t="n">
        <v>46032</v>
      </c>
      <c r="D1285" t="inlineStr">
        <is>
          <t>VÄSTERNORRLANDS LÄN</t>
        </is>
      </c>
      <c r="E1285" t="inlineStr">
        <is>
          <t>ÅNGE</t>
        </is>
      </c>
      <c r="F1285" t="inlineStr">
        <is>
          <t>SCA</t>
        </is>
      </c>
      <c r="G1285" t="n">
        <v>20.2</v>
      </c>
      <c r="H1285" t="n">
        <v>0</v>
      </c>
      <c r="I1285" t="n">
        <v>0</v>
      </c>
      <c r="J1285" t="n">
        <v>0</v>
      </c>
      <c r="K1285" t="n">
        <v>0</v>
      </c>
      <c r="L1285" t="n">
        <v>0</v>
      </c>
      <c r="M1285" t="n">
        <v>0</v>
      </c>
      <c r="N1285" t="n">
        <v>0</v>
      </c>
      <c r="O1285" t="n">
        <v>0</v>
      </c>
      <c r="P1285" t="n">
        <v>0</v>
      </c>
      <c r="Q1285" t="n">
        <v>0</v>
      </c>
      <c r="R1285" s="2" t="inlineStr"/>
    </row>
    <row r="1286" ht="15" customHeight="1">
      <c r="A1286" t="inlineStr">
        <is>
          <t>A 11764-2024</t>
        </is>
      </c>
      <c r="B1286" s="1" t="n">
        <v>45373.94837962963</v>
      </c>
      <c r="C1286" s="1" t="n">
        <v>46032</v>
      </c>
      <c r="D1286" t="inlineStr">
        <is>
          <t>VÄSTERNORRLANDS LÄN</t>
        </is>
      </c>
      <c r="E1286" t="inlineStr">
        <is>
          <t>ÅNGE</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25035-2023</t>
        </is>
      </c>
      <c r="B1287" s="1" t="n">
        <v>45085</v>
      </c>
      <c r="C1287" s="1" t="n">
        <v>46032</v>
      </c>
      <c r="D1287" t="inlineStr">
        <is>
          <t>VÄSTERNORRLANDS LÄN</t>
        </is>
      </c>
      <c r="E1287" t="inlineStr">
        <is>
          <t>ÅNGE</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10195-2024</t>
        </is>
      </c>
      <c r="B1288" s="1" t="n">
        <v>45364</v>
      </c>
      <c r="C1288" s="1" t="n">
        <v>46032</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42488-2024</t>
        </is>
      </c>
      <c r="B1289" s="1" t="n">
        <v>45565.49420138889</v>
      </c>
      <c r="C1289" s="1" t="n">
        <v>46032</v>
      </c>
      <c r="D1289" t="inlineStr">
        <is>
          <t>VÄSTERNORRLANDS LÄN</t>
        </is>
      </c>
      <c r="E1289" t="inlineStr">
        <is>
          <t>ÅNGE</t>
        </is>
      </c>
      <c r="F1289" t="inlineStr">
        <is>
          <t>SCA</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42529-2024</t>
        </is>
      </c>
      <c r="B1290" s="1" t="n">
        <v>45565.57324074074</v>
      </c>
      <c r="C1290" s="1" t="n">
        <v>46032</v>
      </c>
      <c r="D1290" t="inlineStr">
        <is>
          <t>VÄSTERNORRLANDS LÄN</t>
        </is>
      </c>
      <c r="E1290" t="inlineStr">
        <is>
          <t>ÅNGE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9211-2023</t>
        </is>
      </c>
      <c r="B1291" s="1" t="n">
        <v>44980</v>
      </c>
      <c r="C1291" s="1" t="n">
        <v>46032</v>
      </c>
      <c r="D1291" t="inlineStr">
        <is>
          <t>VÄSTERNORRLANDS LÄN</t>
        </is>
      </c>
      <c r="E1291" t="inlineStr">
        <is>
          <t>ÅNGE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29193-2024</t>
        </is>
      </c>
      <c r="B1292" s="1" t="n">
        <v>45482.56510416666</v>
      </c>
      <c r="C1292" s="1" t="n">
        <v>46032</v>
      </c>
      <c r="D1292" t="inlineStr">
        <is>
          <t>VÄSTERNORRLANDS LÄN</t>
        </is>
      </c>
      <c r="E1292" t="inlineStr">
        <is>
          <t>ÅNGE</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3023-2023</t>
        </is>
      </c>
      <c r="B1293" s="1" t="n">
        <v>44945</v>
      </c>
      <c r="C1293" s="1" t="n">
        <v>46032</v>
      </c>
      <c r="D1293" t="inlineStr">
        <is>
          <t>VÄSTERNORRLANDS LÄN</t>
        </is>
      </c>
      <c r="E1293" t="inlineStr">
        <is>
          <t>ÅNGE</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3025-2023</t>
        </is>
      </c>
      <c r="B1294" s="1" t="n">
        <v>44945</v>
      </c>
      <c r="C1294" s="1" t="n">
        <v>46032</v>
      </c>
      <c r="D1294" t="inlineStr">
        <is>
          <t>VÄSTERNORRLANDS LÄN</t>
        </is>
      </c>
      <c r="E1294" t="inlineStr">
        <is>
          <t>ÅNGE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56232-2024</t>
        </is>
      </c>
      <c r="B1295" s="1" t="n">
        <v>45624</v>
      </c>
      <c r="C1295" s="1" t="n">
        <v>46032</v>
      </c>
      <c r="D1295" t="inlineStr">
        <is>
          <t>VÄSTERNORRLANDS LÄN</t>
        </is>
      </c>
      <c r="E1295" t="inlineStr">
        <is>
          <t>ÅNGE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16853-2023</t>
        </is>
      </c>
      <c r="B1296" s="1" t="n">
        <v>45033</v>
      </c>
      <c r="C1296" s="1" t="n">
        <v>46032</v>
      </c>
      <c r="D1296" t="inlineStr">
        <is>
          <t>VÄSTERNORRLANDS LÄN</t>
        </is>
      </c>
      <c r="E1296" t="inlineStr">
        <is>
          <t>ÅNGE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7528-2023</t>
        </is>
      </c>
      <c r="B1297" s="1" t="n">
        <v>44971.97662037037</v>
      </c>
      <c r="C1297" s="1" t="n">
        <v>46032</v>
      </c>
      <c r="D1297" t="inlineStr">
        <is>
          <t>VÄSTERNORRLANDS LÄN</t>
        </is>
      </c>
      <c r="E1297" t="inlineStr">
        <is>
          <t>ÅNGE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53988-2024</t>
        </is>
      </c>
      <c r="B1298" s="1" t="n">
        <v>45616.34408564815</v>
      </c>
      <c r="C1298" s="1" t="n">
        <v>46032</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54002-2024</t>
        </is>
      </c>
      <c r="B1299" s="1" t="n">
        <v>45616.36491898148</v>
      </c>
      <c r="C1299" s="1" t="n">
        <v>46032</v>
      </c>
      <c r="D1299" t="inlineStr">
        <is>
          <t>VÄSTERNORRLANDS LÄN</t>
        </is>
      </c>
      <c r="E1299" t="inlineStr">
        <is>
          <t>ÅNGE</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54059-2024</t>
        </is>
      </c>
      <c r="B1300" s="1" t="n">
        <v>45616.46943287037</v>
      </c>
      <c r="C1300" s="1" t="n">
        <v>46032</v>
      </c>
      <c r="D1300" t="inlineStr">
        <is>
          <t>VÄSTERNORRLANDS LÄN</t>
        </is>
      </c>
      <c r="E1300" t="inlineStr">
        <is>
          <t>ÅNGE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50235-2021</t>
        </is>
      </c>
      <c r="B1301" s="1" t="n">
        <v>44457</v>
      </c>
      <c r="C1301" s="1" t="n">
        <v>46032</v>
      </c>
      <c r="D1301" t="inlineStr">
        <is>
          <t>VÄSTERNORRLANDS LÄN</t>
        </is>
      </c>
      <c r="E1301" t="inlineStr">
        <is>
          <t>ÅNGE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44600-2024</t>
        </is>
      </c>
      <c r="B1302" s="1" t="n">
        <v>45574.51113425926</v>
      </c>
      <c r="C1302" s="1" t="n">
        <v>46032</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12806-2025</t>
        </is>
      </c>
      <c r="B1303" s="1" t="n">
        <v>45733.61518518518</v>
      </c>
      <c r="C1303" s="1" t="n">
        <v>46032</v>
      </c>
      <c r="D1303" t="inlineStr">
        <is>
          <t>VÄSTERNORRLANDS LÄN</t>
        </is>
      </c>
      <c r="E1303" t="inlineStr">
        <is>
          <t>ÅNGE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45890-2021</t>
        </is>
      </c>
      <c r="B1304" s="1" t="n">
        <v>44441</v>
      </c>
      <c r="C1304" s="1" t="n">
        <v>46032</v>
      </c>
      <c r="D1304" t="inlineStr">
        <is>
          <t>VÄSTERNORRLANDS LÄN</t>
        </is>
      </c>
      <c r="E1304" t="inlineStr">
        <is>
          <t>ÅNGE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1869-2022</t>
        </is>
      </c>
      <c r="B1305" s="1" t="n">
        <v>44574</v>
      </c>
      <c r="C1305" s="1" t="n">
        <v>46032</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48988-2021</t>
        </is>
      </c>
      <c r="B1306" s="1" t="n">
        <v>44453.43</v>
      </c>
      <c r="C1306" s="1" t="n">
        <v>46032</v>
      </c>
      <c r="D1306" t="inlineStr">
        <is>
          <t>VÄSTERNORRLANDS LÄN</t>
        </is>
      </c>
      <c r="E1306" t="inlineStr">
        <is>
          <t>ÅNGE</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60812-2024</t>
        </is>
      </c>
      <c r="B1307" s="1" t="n">
        <v>45644</v>
      </c>
      <c r="C1307" s="1" t="n">
        <v>46032</v>
      </c>
      <c r="D1307" t="inlineStr">
        <is>
          <t>VÄSTERNORRLANDS LÄN</t>
        </is>
      </c>
      <c r="E1307" t="inlineStr">
        <is>
          <t>ÅNGE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54611-2023</t>
        </is>
      </c>
      <c r="B1308" s="1" t="n">
        <v>45233</v>
      </c>
      <c r="C1308" s="1" t="n">
        <v>46032</v>
      </c>
      <c r="D1308" t="inlineStr">
        <is>
          <t>VÄSTERNORRLANDS LÄN</t>
        </is>
      </c>
      <c r="E1308" t="inlineStr">
        <is>
          <t>ÅNGE</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49187-2024</t>
        </is>
      </c>
      <c r="B1309" s="1" t="n">
        <v>45595.34490740741</v>
      </c>
      <c r="C1309" s="1" t="n">
        <v>46032</v>
      </c>
      <c r="D1309" t="inlineStr">
        <is>
          <t>VÄSTERNORRLANDS LÄN</t>
        </is>
      </c>
      <c r="E1309" t="inlineStr">
        <is>
          <t>ÅNGE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51810-2023</t>
        </is>
      </c>
      <c r="B1310" s="1" t="n">
        <v>45222.96583333334</v>
      </c>
      <c r="C1310" s="1" t="n">
        <v>46032</v>
      </c>
      <c r="D1310" t="inlineStr">
        <is>
          <t>VÄSTERNORRLANDS LÄN</t>
        </is>
      </c>
      <c r="E1310" t="inlineStr">
        <is>
          <t>ÅNGE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5520-2022</t>
        </is>
      </c>
      <c r="B1311" s="1" t="n">
        <v>44595</v>
      </c>
      <c r="C1311" s="1" t="n">
        <v>46032</v>
      </c>
      <c r="D1311" t="inlineStr">
        <is>
          <t>VÄSTERNORRLANDS LÄN</t>
        </is>
      </c>
      <c r="E1311" t="inlineStr">
        <is>
          <t>ÅNGE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58469-2023</t>
        </is>
      </c>
      <c r="B1312" s="1" t="n">
        <v>45250</v>
      </c>
      <c r="C1312" s="1" t="n">
        <v>46032</v>
      </c>
      <c r="D1312" t="inlineStr">
        <is>
          <t>VÄSTERNORRLANDS LÄN</t>
        </is>
      </c>
      <c r="E1312" t="inlineStr">
        <is>
          <t>ÅNGE</t>
        </is>
      </c>
      <c r="F1312" t="inlineStr">
        <is>
          <t>SCA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31177-2024</t>
        </is>
      </c>
      <c r="B1313" s="1" t="n">
        <v>45503</v>
      </c>
      <c r="C1313" s="1" t="n">
        <v>46032</v>
      </c>
      <c r="D1313" t="inlineStr">
        <is>
          <t>VÄSTERNORRLANDS LÄN</t>
        </is>
      </c>
      <c r="E1313" t="inlineStr">
        <is>
          <t>ÅNGE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29063-2023</t>
        </is>
      </c>
      <c r="B1314" s="1" t="n">
        <v>45104.94068287037</v>
      </c>
      <c r="C1314" s="1" t="n">
        <v>46032</v>
      </c>
      <c r="D1314" t="inlineStr">
        <is>
          <t>VÄSTERNORRLANDS LÄN</t>
        </is>
      </c>
      <c r="E1314" t="inlineStr">
        <is>
          <t>ÅNGE</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59412-2024</t>
        </is>
      </c>
      <c r="B1315" s="1" t="n">
        <v>45638</v>
      </c>
      <c r="C1315" s="1" t="n">
        <v>46032</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9567-2024</t>
        </is>
      </c>
      <c r="B1316" s="1" t="n">
        <v>45360.03635416667</v>
      </c>
      <c r="C1316" s="1" t="n">
        <v>46032</v>
      </c>
      <c r="D1316" t="inlineStr">
        <is>
          <t>VÄSTERNORRLANDS LÄN</t>
        </is>
      </c>
      <c r="E1316" t="inlineStr">
        <is>
          <t>ÅNGE</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22988-2024</t>
        </is>
      </c>
      <c r="B1317" s="1" t="n">
        <v>45449.94530092592</v>
      </c>
      <c r="C1317" s="1" t="n">
        <v>46032</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56908-2021</t>
        </is>
      </c>
      <c r="B1318" s="1" t="n">
        <v>44481.93844907408</v>
      </c>
      <c r="C1318" s="1" t="n">
        <v>46032</v>
      </c>
      <c r="D1318" t="inlineStr">
        <is>
          <t>VÄSTERNORRLANDS LÄN</t>
        </is>
      </c>
      <c r="E1318" t="inlineStr">
        <is>
          <t>ÅNGE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17210-2022</t>
        </is>
      </c>
      <c r="B1319" s="1" t="n">
        <v>44677.92701388889</v>
      </c>
      <c r="C1319" s="1" t="n">
        <v>46032</v>
      </c>
      <c r="D1319" t="inlineStr">
        <is>
          <t>VÄSTERNORRLANDS LÄN</t>
        </is>
      </c>
      <c r="E1319" t="inlineStr">
        <is>
          <t>ÅNGE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56574-2024</t>
        </is>
      </c>
      <c r="B1320" s="1" t="n">
        <v>45625.59616898148</v>
      </c>
      <c r="C1320" s="1" t="n">
        <v>46032</v>
      </c>
      <c r="D1320" t="inlineStr">
        <is>
          <t>VÄSTERNORRLANDS LÄN</t>
        </is>
      </c>
      <c r="E1320" t="inlineStr">
        <is>
          <t>ÅNGE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31568-2024</t>
        </is>
      </c>
      <c r="B1321" s="1" t="n">
        <v>45505.96721064814</v>
      </c>
      <c r="C1321" s="1" t="n">
        <v>46032</v>
      </c>
      <c r="D1321" t="inlineStr">
        <is>
          <t>VÄSTERNORRLANDS LÄN</t>
        </is>
      </c>
      <c r="E1321" t="inlineStr">
        <is>
          <t>ÅNGE</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27468-2024</t>
        </is>
      </c>
      <c r="B1322" s="1" t="n">
        <v>45474</v>
      </c>
      <c r="C1322" s="1" t="n">
        <v>46032</v>
      </c>
      <c r="D1322" t="inlineStr">
        <is>
          <t>VÄSTERNORRLANDS LÄN</t>
        </is>
      </c>
      <c r="E1322" t="inlineStr">
        <is>
          <t>ÅNGE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12123-2024</t>
        </is>
      </c>
      <c r="B1323" s="1" t="n">
        <v>45377</v>
      </c>
      <c r="C1323" s="1" t="n">
        <v>46032</v>
      </c>
      <c r="D1323" t="inlineStr">
        <is>
          <t>VÄSTERNORRLANDS LÄN</t>
        </is>
      </c>
      <c r="E1323" t="inlineStr">
        <is>
          <t>ÅNGE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11299-2023</t>
        </is>
      </c>
      <c r="B1324" s="1" t="n">
        <v>44993.01074074074</v>
      </c>
      <c r="C1324" s="1" t="n">
        <v>46032</v>
      </c>
      <c r="D1324" t="inlineStr">
        <is>
          <t>VÄSTERNORRLANDS LÄN</t>
        </is>
      </c>
      <c r="E1324" t="inlineStr">
        <is>
          <t>ÅNGE</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11309-2023</t>
        </is>
      </c>
      <c r="B1325" s="1" t="n">
        <v>44993.0118287037</v>
      </c>
      <c r="C1325" s="1" t="n">
        <v>46032</v>
      </c>
      <c r="D1325" t="inlineStr">
        <is>
          <t>VÄSTERNORRLANDS LÄN</t>
        </is>
      </c>
      <c r="E1325" t="inlineStr">
        <is>
          <t>ÅNGE</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45932-2023</t>
        </is>
      </c>
      <c r="B1326" s="1" t="n">
        <v>45195</v>
      </c>
      <c r="C1326" s="1" t="n">
        <v>46032</v>
      </c>
      <c r="D1326" t="inlineStr">
        <is>
          <t>VÄSTERNORRLANDS LÄN</t>
        </is>
      </c>
      <c r="E1326" t="inlineStr">
        <is>
          <t>ÅNGE</t>
        </is>
      </c>
      <c r="F1326" t="inlineStr">
        <is>
          <t>SCA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8648-2025</t>
        </is>
      </c>
      <c r="B1327" s="1" t="n">
        <v>45712.34501157407</v>
      </c>
      <c r="C1327" s="1" t="n">
        <v>46032</v>
      </c>
      <c r="D1327" t="inlineStr">
        <is>
          <t>VÄSTERNORRLANDS LÄN</t>
        </is>
      </c>
      <c r="E1327" t="inlineStr">
        <is>
          <t>ÅNGE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24541-2023</t>
        </is>
      </c>
      <c r="B1328" s="1" t="n">
        <v>45082.94135416667</v>
      </c>
      <c r="C1328" s="1" t="n">
        <v>46032</v>
      </c>
      <c r="D1328" t="inlineStr">
        <is>
          <t>VÄSTERNORRLANDS LÄN</t>
        </is>
      </c>
      <c r="E1328" t="inlineStr">
        <is>
          <t>ÅNGE</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51131-2022</t>
        </is>
      </c>
      <c r="B1329" s="1" t="n">
        <v>44868</v>
      </c>
      <c r="C1329" s="1" t="n">
        <v>46032</v>
      </c>
      <c r="D1329" t="inlineStr">
        <is>
          <t>VÄSTERNORRLANDS LÄN</t>
        </is>
      </c>
      <c r="E1329" t="inlineStr">
        <is>
          <t>ÅNGE</t>
        </is>
      </c>
      <c r="G1329" t="n">
        <v>11.1</v>
      </c>
      <c r="H1329" t="n">
        <v>0</v>
      </c>
      <c r="I1329" t="n">
        <v>0</v>
      </c>
      <c r="J1329" t="n">
        <v>0</v>
      </c>
      <c r="K1329" t="n">
        <v>0</v>
      </c>
      <c r="L1329" t="n">
        <v>0</v>
      </c>
      <c r="M1329" t="n">
        <v>0</v>
      </c>
      <c r="N1329" t="n">
        <v>0</v>
      </c>
      <c r="O1329" t="n">
        <v>0</v>
      </c>
      <c r="P1329" t="n">
        <v>0</v>
      </c>
      <c r="Q1329" t="n">
        <v>0</v>
      </c>
      <c r="R1329" s="2" t="inlineStr"/>
    </row>
    <row r="1330" ht="15" customHeight="1">
      <c r="A1330" t="inlineStr">
        <is>
          <t>A 33631-2024</t>
        </is>
      </c>
      <c r="B1330" s="1" t="n">
        <v>45520</v>
      </c>
      <c r="C1330" s="1" t="n">
        <v>46032</v>
      </c>
      <c r="D1330" t="inlineStr">
        <is>
          <t>VÄSTERNORRLANDS LÄN</t>
        </is>
      </c>
      <c r="E1330" t="inlineStr">
        <is>
          <t>ÅNGE</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63522-2021</t>
        </is>
      </c>
      <c r="B1331" s="1" t="n">
        <v>44508</v>
      </c>
      <c r="C1331" s="1" t="n">
        <v>46032</v>
      </c>
      <c r="D1331" t="inlineStr">
        <is>
          <t>VÄSTERNORRLANDS LÄN</t>
        </is>
      </c>
      <c r="E1331" t="inlineStr">
        <is>
          <t>ÅNGE</t>
        </is>
      </c>
      <c r="F1331" t="inlineStr">
        <is>
          <t>Övriga Aktiebolag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51411-2023</t>
        </is>
      </c>
      <c r="B1332" s="1" t="n">
        <v>45219</v>
      </c>
      <c r="C1332" s="1" t="n">
        <v>46032</v>
      </c>
      <c r="D1332" t="inlineStr">
        <is>
          <t>VÄSTERNORRLANDS LÄN</t>
        </is>
      </c>
      <c r="E1332" t="inlineStr">
        <is>
          <t>ÅNGE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31229-2023</t>
        </is>
      </c>
      <c r="B1333" s="1" t="n">
        <v>45114</v>
      </c>
      <c r="C1333" s="1" t="n">
        <v>46032</v>
      </c>
      <c r="D1333" t="inlineStr">
        <is>
          <t>VÄSTERNORRLANDS LÄN</t>
        </is>
      </c>
      <c r="E1333" t="inlineStr">
        <is>
          <t>ÅNGE</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53336-2024</t>
        </is>
      </c>
      <c r="B1334" s="1" t="n">
        <v>45614.42753472222</v>
      </c>
      <c r="C1334" s="1" t="n">
        <v>46032</v>
      </c>
      <c r="D1334" t="inlineStr">
        <is>
          <t>VÄSTERNORRLANDS LÄN</t>
        </is>
      </c>
      <c r="E1334" t="inlineStr">
        <is>
          <t>ÅNGE</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7692-2024</t>
        </is>
      </c>
      <c r="B1335" s="1" t="n">
        <v>45349</v>
      </c>
      <c r="C1335" s="1" t="n">
        <v>46032</v>
      </c>
      <c r="D1335" t="inlineStr">
        <is>
          <t>VÄSTERNORRLANDS LÄN</t>
        </is>
      </c>
      <c r="E1335" t="inlineStr">
        <is>
          <t>ÅNGE</t>
        </is>
      </c>
      <c r="F1335" t="inlineStr">
        <is>
          <t>SCA</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47950-2024</t>
        </is>
      </c>
      <c r="B1336" s="1" t="n">
        <v>45589.36511574074</v>
      </c>
      <c r="C1336" s="1" t="n">
        <v>46032</v>
      </c>
      <c r="D1336" t="inlineStr">
        <is>
          <t>VÄSTERNORRLANDS LÄN</t>
        </is>
      </c>
      <c r="E1336" t="inlineStr">
        <is>
          <t>ÅNGE</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39589-2022</t>
        </is>
      </c>
      <c r="B1337" s="1" t="n">
        <v>44818</v>
      </c>
      <c r="C1337" s="1" t="n">
        <v>46032</v>
      </c>
      <c r="D1337" t="inlineStr">
        <is>
          <t>VÄSTERNORRLANDS LÄN</t>
        </is>
      </c>
      <c r="E1337" t="inlineStr">
        <is>
          <t>ÅNGE</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42098-2024</t>
        </is>
      </c>
      <c r="B1338" s="1" t="n">
        <v>45562.34532407407</v>
      </c>
      <c r="C1338" s="1" t="n">
        <v>46032</v>
      </c>
      <c r="D1338" t="inlineStr">
        <is>
          <t>VÄSTERNORRLANDS LÄN</t>
        </is>
      </c>
      <c r="E1338" t="inlineStr">
        <is>
          <t>ÅNGE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10071-2023</t>
        </is>
      </c>
      <c r="B1339" s="1" t="n">
        <v>44985.92418981482</v>
      </c>
      <c r="C1339" s="1" t="n">
        <v>46032</v>
      </c>
      <c r="D1339" t="inlineStr">
        <is>
          <t>VÄSTERNORRLANDS LÄN</t>
        </is>
      </c>
      <c r="E1339" t="inlineStr">
        <is>
          <t>ÅNGE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44518-2024</t>
        </is>
      </c>
      <c r="B1340" s="1" t="n">
        <v>45574.43376157407</v>
      </c>
      <c r="C1340" s="1" t="n">
        <v>46032</v>
      </c>
      <c r="D1340" t="inlineStr">
        <is>
          <t>VÄSTERNORRLANDS LÄN</t>
        </is>
      </c>
      <c r="E1340" t="inlineStr">
        <is>
          <t>ÅNGE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15822-2025</t>
        </is>
      </c>
      <c r="B1341" s="1" t="n">
        <v>45748.70172453704</v>
      </c>
      <c r="C1341" s="1" t="n">
        <v>46032</v>
      </c>
      <c r="D1341" t="inlineStr">
        <is>
          <t>VÄSTERNORRLANDS LÄN</t>
        </is>
      </c>
      <c r="E1341" t="inlineStr">
        <is>
          <t>ÅNGE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41083-2024</t>
        </is>
      </c>
      <c r="B1342" s="1" t="n">
        <v>45559.40684027778</v>
      </c>
      <c r="C1342" s="1" t="n">
        <v>46032</v>
      </c>
      <c r="D1342" t="inlineStr">
        <is>
          <t>VÄSTERNORRLANDS LÄN</t>
        </is>
      </c>
      <c r="E1342" t="inlineStr">
        <is>
          <t>ÅNGE</t>
        </is>
      </c>
      <c r="F1342" t="inlineStr">
        <is>
          <t>SCA</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4094-2025</t>
        </is>
      </c>
      <c r="B1343" s="1" t="n">
        <v>45684.6778125</v>
      </c>
      <c r="C1343" s="1" t="n">
        <v>46032</v>
      </c>
      <c r="D1343" t="inlineStr">
        <is>
          <t>VÄSTERNORRLANDS LÄN</t>
        </is>
      </c>
      <c r="E1343" t="inlineStr">
        <is>
          <t>ÅNGE</t>
        </is>
      </c>
      <c r="F1343" t="inlineStr">
        <is>
          <t>SCA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41507-2024</t>
        </is>
      </c>
      <c r="B1344" s="1" t="n">
        <v>45560</v>
      </c>
      <c r="C1344" s="1" t="n">
        <v>46032</v>
      </c>
      <c r="D1344" t="inlineStr">
        <is>
          <t>VÄSTERNORRLANDS LÄN</t>
        </is>
      </c>
      <c r="E1344" t="inlineStr">
        <is>
          <t>ÅNGE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26019-2024</t>
        </is>
      </c>
      <c r="B1345" s="1" t="n">
        <v>45467.96015046296</v>
      </c>
      <c r="C1345" s="1" t="n">
        <v>46032</v>
      </c>
      <c r="D1345" t="inlineStr">
        <is>
          <t>VÄSTERNORRLANDS LÄN</t>
        </is>
      </c>
      <c r="E1345" t="inlineStr">
        <is>
          <t>ÅNGE</t>
        </is>
      </c>
      <c r="F1345" t="inlineStr">
        <is>
          <t>SCA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8747-2022</t>
        </is>
      </c>
      <c r="B1346" s="1" t="n">
        <v>44614.33912037037</v>
      </c>
      <c r="C1346" s="1" t="n">
        <v>46032</v>
      </c>
      <c r="D1346" t="inlineStr">
        <is>
          <t>VÄSTERNORRLANDS LÄN</t>
        </is>
      </c>
      <c r="E1346" t="inlineStr">
        <is>
          <t>ÅNGE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8755-2022</t>
        </is>
      </c>
      <c r="B1347" s="1" t="n">
        <v>44614</v>
      </c>
      <c r="C1347" s="1" t="n">
        <v>46032</v>
      </c>
      <c r="D1347" t="inlineStr">
        <is>
          <t>VÄSTERNORRLANDS LÄN</t>
        </is>
      </c>
      <c r="E1347" t="inlineStr">
        <is>
          <t>ÅNGE</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6690-2024</t>
        </is>
      </c>
      <c r="B1348" s="1" t="n">
        <v>45341</v>
      </c>
      <c r="C1348" s="1" t="n">
        <v>46032</v>
      </c>
      <c r="D1348" t="inlineStr">
        <is>
          <t>VÄSTERNORRLANDS LÄN</t>
        </is>
      </c>
      <c r="E1348" t="inlineStr">
        <is>
          <t>ÅNGE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64375-2023</t>
        </is>
      </c>
      <c r="B1349" s="1" t="n">
        <v>45280</v>
      </c>
      <c r="C1349" s="1" t="n">
        <v>46032</v>
      </c>
      <c r="D1349" t="inlineStr">
        <is>
          <t>VÄSTERNORRLANDS LÄN</t>
        </is>
      </c>
      <c r="E1349" t="inlineStr">
        <is>
          <t>ÅNGE</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1235-2023</t>
        </is>
      </c>
      <c r="B1350" s="1" t="n">
        <v>44935</v>
      </c>
      <c r="C1350" s="1" t="n">
        <v>46032</v>
      </c>
      <c r="D1350" t="inlineStr">
        <is>
          <t>VÄSTERNORRLANDS LÄN</t>
        </is>
      </c>
      <c r="E1350" t="inlineStr">
        <is>
          <t>ÅNGE</t>
        </is>
      </c>
      <c r="F1350" t="inlineStr">
        <is>
          <t>SCA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62261-2022</t>
        </is>
      </c>
      <c r="B1351" s="1" t="n">
        <v>44922.94378472222</v>
      </c>
      <c r="C1351" s="1" t="n">
        <v>46032</v>
      </c>
      <c r="D1351" t="inlineStr">
        <is>
          <t>VÄSTERNORRLANDS LÄN</t>
        </is>
      </c>
      <c r="E1351" t="inlineStr">
        <is>
          <t>ÅNGE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41302-2024</t>
        </is>
      </c>
      <c r="B1352" s="1" t="n">
        <v>45559.62077546296</v>
      </c>
      <c r="C1352" s="1" t="n">
        <v>46032</v>
      </c>
      <c r="D1352" t="inlineStr">
        <is>
          <t>VÄSTERNORRLANDS LÄN</t>
        </is>
      </c>
      <c r="E1352" t="inlineStr">
        <is>
          <t>ÅNGE</t>
        </is>
      </c>
      <c r="F1352" t="inlineStr">
        <is>
          <t>Holmen skog AB</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5249-2025</t>
        </is>
      </c>
      <c r="B1353" s="1" t="n">
        <v>45692.34465277778</v>
      </c>
      <c r="C1353" s="1" t="n">
        <v>46032</v>
      </c>
      <c r="D1353" t="inlineStr">
        <is>
          <t>VÄSTERNORRLANDS LÄN</t>
        </is>
      </c>
      <c r="E1353" t="inlineStr">
        <is>
          <t>ÅNGE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43366-2024</t>
        </is>
      </c>
      <c r="B1354" s="1" t="n">
        <v>45568</v>
      </c>
      <c r="C1354" s="1" t="n">
        <v>46032</v>
      </c>
      <c r="D1354" t="inlineStr">
        <is>
          <t>VÄSTERNORRLANDS LÄN</t>
        </is>
      </c>
      <c r="E1354" t="inlineStr">
        <is>
          <t>ÅNGE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35577-2024</t>
        </is>
      </c>
      <c r="B1355" s="1" t="n">
        <v>45531</v>
      </c>
      <c r="C1355" s="1" t="n">
        <v>46032</v>
      </c>
      <c r="D1355" t="inlineStr">
        <is>
          <t>VÄSTERNORRLANDS LÄN</t>
        </is>
      </c>
      <c r="E1355" t="inlineStr">
        <is>
          <t>ÅNGE</t>
        </is>
      </c>
      <c r="F1355" t="inlineStr">
        <is>
          <t>SCA</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35580-2024</t>
        </is>
      </c>
      <c r="B1356" s="1" t="n">
        <v>45531</v>
      </c>
      <c r="C1356" s="1" t="n">
        <v>46032</v>
      </c>
      <c r="D1356" t="inlineStr">
        <is>
          <t>VÄSTERNORRLANDS LÄN</t>
        </is>
      </c>
      <c r="E1356" t="inlineStr">
        <is>
          <t>ÅNGE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28428-2023</t>
        </is>
      </c>
      <c r="B1357" s="1" t="n">
        <v>45102</v>
      </c>
      <c r="C1357" s="1" t="n">
        <v>46032</v>
      </c>
      <c r="D1357" t="inlineStr">
        <is>
          <t>VÄSTERNORRLANDS LÄN</t>
        </is>
      </c>
      <c r="E1357" t="inlineStr">
        <is>
          <t>ÅNGE</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72239-2021</t>
        </is>
      </c>
      <c r="B1358" s="1" t="n">
        <v>44544.9203587963</v>
      </c>
      <c r="C1358" s="1" t="n">
        <v>46032</v>
      </c>
      <c r="D1358" t="inlineStr">
        <is>
          <t>VÄSTERNORRLANDS LÄN</t>
        </is>
      </c>
      <c r="E1358" t="inlineStr">
        <is>
          <t>ÅNGE</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59986-2021</t>
        </is>
      </c>
      <c r="B1359" s="1" t="n">
        <v>44494</v>
      </c>
      <c r="C1359" s="1" t="n">
        <v>46032</v>
      </c>
      <c r="D1359" t="inlineStr">
        <is>
          <t>VÄSTERNORRLANDS LÄN</t>
        </is>
      </c>
      <c r="E1359" t="inlineStr">
        <is>
          <t>ÅNGE</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30556-2023</t>
        </is>
      </c>
      <c r="B1360" s="1" t="n">
        <v>45111.87935185185</v>
      </c>
      <c r="C1360" s="1" t="n">
        <v>46032</v>
      </c>
      <c r="D1360" t="inlineStr">
        <is>
          <t>VÄSTERNORRLANDS LÄN</t>
        </is>
      </c>
      <c r="E1360" t="inlineStr">
        <is>
          <t>ÅNGE</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53549-2023</t>
        </is>
      </c>
      <c r="B1361" s="1" t="n">
        <v>45230</v>
      </c>
      <c r="C1361" s="1" t="n">
        <v>46032</v>
      </c>
      <c r="D1361" t="inlineStr">
        <is>
          <t>VÄSTERNORRLANDS LÄN</t>
        </is>
      </c>
      <c r="E1361" t="inlineStr">
        <is>
          <t>ÅNGE</t>
        </is>
      </c>
      <c r="F1361" t="inlineStr">
        <is>
          <t>Holmen skog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34705-2023</t>
        </is>
      </c>
      <c r="B1362" s="1" t="n">
        <v>45140.96452546296</v>
      </c>
      <c r="C1362" s="1" t="n">
        <v>46032</v>
      </c>
      <c r="D1362" t="inlineStr">
        <is>
          <t>VÄSTERNORRLANDS LÄN</t>
        </is>
      </c>
      <c r="E1362" t="inlineStr">
        <is>
          <t>ÅNGE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50186-2021</t>
        </is>
      </c>
      <c r="B1363" s="1" t="n">
        <v>44456</v>
      </c>
      <c r="C1363" s="1" t="n">
        <v>46032</v>
      </c>
      <c r="D1363" t="inlineStr">
        <is>
          <t>VÄSTERNORRLANDS LÄN</t>
        </is>
      </c>
      <c r="E1363" t="inlineStr">
        <is>
          <t>ÅNGE</t>
        </is>
      </c>
      <c r="F1363" t="inlineStr">
        <is>
          <t>SCA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35392-2024</t>
        </is>
      </c>
      <c r="B1364" s="1" t="n">
        <v>45531.4025462963</v>
      </c>
      <c r="C1364" s="1" t="n">
        <v>46032</v>
      </c>
      <c r="D1364" t="inlineStr">
        <is>
          <t>VÄSTERNORRLANDS LÄN</t>
        </is>
      </c>
      <c r="E1364" t="inlineStr">
        <is>
          <t>ÅNGE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27952-2024</t>
        </is>
      </c>
      <c r="B1365" s="1" t="n">
        <v>45476.33063657407</v>
      </c>
      <c r="C1365" s="1" t="n">
        <v>46032</v>
      </c>
      <c r="D1365" t="inlineStr">
        <is>
          <t>VÄSTERNORRLANDS LÄN</t>
        </is>
      </c>
      <c r="E1365" t="inlineStr">
        <is>
          <t>ÅNGE</t>
        </is>
      </c>
      <c r="G1365" t="n">
        <v>12.2</v>
      </c>
      <c r="H1365" t="n">
        <v>0</v>
      </c>
      <c r="I1365" t="n">
        <v>0</v>
      </c>
      <c r="J1365" t="n">
        <v>0</v>
      </c>
      <c r="K1365" t="n">
        <v>0</v>
      </c>
      <c r="L1365" t="n">
        <v>0</v>
      </c>
      <c r="M1365" t="n">
        <v>0</v>
      </c>
      <c r="N1365" t="n">
        <v>0</v>
      </c>
      <c r="O1365" t="n">
        <v>0</v>
      </c>
      <c r="P1365" t="n">
        <v>0</v>
      </c>
      <c r="Q1365" t="n">
        <v>0</v>
      </c>
      <c r="R1365" s="2" t="inlineStr"/>
    </row>
    <row r="1366" ht="15" customHeight="1">
      <c r="A1366" t="inlineStr">
        <is>
          <t>A 58634-2023</t>
        </is>
      </c>
      <c r="B1366" s="1" t="n">
        <v>45251</v>
      </c>
      <c r="C1366" s="1" t="n">
        <v>46032</v>
      </c>
      <c r="D1366" t="inlineStr">
        <is>
          <t>VÄSTERNORRLANDS LÄN</t>
        </is>
      </c>
      <c r="E1366" t="inlineStr">
        <is>
          <t>ÅNGE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41825-2022</t>
        </is>
      </c>
      <c r="B1367" s="1" t="n">
        <v>44827</v>
      </c>
      <c r="C1367" s="1" t="n">
        <v>46032</v>
      </c>
      <c r="D1367" t="inlineStr">
        <is>
          <t>VÄSTERNORRLANDS LÄN</t>
        </is>
      </c>
      <c r="E1367" t="inlineStr">
        <is>
          <t>ÅNGE</t>
        </is>
      </c>
      <c r="F1367" t="inlineStr">
        <is>
          <t>SCA</t>
        </is>
      </c>
      <c r="G1367" t="n">
        <v>3.3</v>
      </c>
      <c r="H1367" t="n">
        <v>0</v>
      </c>
      <c r="I1367" t="n">
        <v>0</v>
      </c>
      <c r="J1367" t="n">
        <v>0</v>
      </c>
      <c r="K1367" t="n">
        <v>0</v>
      </c>
      <c r="L1367" t="n">
        <v>0</v>
      </c>
      <c r="M1367" t="n">
        <v>0</v>
      </c>
      <c r="N1367" t="n">
        <v>0</v>
      </c>
      <c r="O1367" t="n">
        <v>0</v>
      </c>
      <c r="P1367" t="n">
        <v>0</v>
      </c>
      <c r="Q1367" t="n">
        <v>0</v>
      </c>
      <c r="R1367" s="2" t="inlineStr"/>
      <c r="U1367">
        <f>HYPERLINK("https://klasma.github.io/Logging_2260/knärot/A 41825-2022 karta knärot.png", "A 41825-2022")</f>
        <v/>
      </c>
      <c r="V1367">
        <f>HYPERLINK("https://klasma.github.io/Logging_2260/klagomål/A 41825-2022 FSC-klagomål.docx", "A 41825-2022")</f>
        <v/>
      </c>
      <c r="W1367">
        <f>HYPERLINK("https://klasma.github.io/Logging_2260/klagomålsmail/A 41825-2022 FSC-klagomål mail.docx", "A 41825-2022")</f>
        <v/>
      </c>
      <c r="X1367">
        <f>HYPERLINK("https://klasma.github.io/Logging_2260/tillsyn/A 41825-2022 tillsynsbegäran.docx", "A 41825-2022")</f>
        <v/>
      </c>
      <c r="Y1367">
        <f>HYPERLINK("https://klasma.github.io/Logging_2260/tillsynsmail/A 41825-2022 tillsynsbegäran mail.docx", "A 41825-2022")</f>
        <v/>
      </c>
    </row>
    <row r="1368" ht="15" customHeight="1">
      <c r="A1368" t="inlineStr">
        <is>
          <t>A 35581-2024</t>
        </is>
      </c>
      <c r="B1368" s="1" t="n">
        <v>45531</v>
      </c>
      <c r="C1368" s="1" t="n">
        <v>46032</v>
      </c>
      <c r="D1368" t="inlineStr">
        <is>
          <t>VÄSTERNORRLANDS LÄN</t>
        </is>
      </c>
      <c r="E1368" t="inlineStr">
        <is>
          <t>ÅNGE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35582-2024</t>
        </is>
      </c>
      <c r="B1369" s="1" t="n">
        <v>45531.64800925926</v>
      </c>
      <c r="C1369" s="1" t="n">
        <v>46032</v>
      </c>
      <c r="D1369" t="inlineStr">
        <is>
          <t>VÄSTERNORRLANDS LÄN</t>
        </is>
      </c>
      <c r="E1369" t="inlineStr">
        <is>
          <t>ÅNGE</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4904-2024</t>
        </is>
      </c>
      <c r="B1370" s="1" t="n">
        <v>45329.47856481482</v>
      </c>
      <c r="C1370" s="1" t="n">
        <v>46032</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57592-2022</t>
        </is>
      </c>
      <c r="B1371" s="1" t="n">
        <v>44896.97841435186</v>
      </c>
      <c r="C1371" s="1" t="n">
        <v>46032</v>
      </c>
      <c r="D1371" t="inlineStr">
        <is>
          <t>VÄSTERNORRLANDS LÄN</t>
        </is>
      </c>
      <c r="E1371" t="inlineStr">
        <is>
          <t>ÅNGE</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57602-2022</t>
        </is>
      </c>
      <c r="B1372" s="1" t="n">
        <v>44896</v>
      </c>
      <c r="C1372" s="1" t="n">
        <v>46032</v>
      </c>
      <c r="D1372" t="inlineStr">
        <is>
          <t>VÄSTERNORRLANDS LÄN</t>
        </is>
      </c>
      <c r="E1372" t="inlineStr">
        <is>
          <t>ÅNGE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22680-2024</t>
        </is>
      </c>
      <c r="B1373" s="1" t="n">
        <v>45447.94548611111</v>
      </c>
      <c r="C1373" s="1" t="n">
        <v>46032</v>
      </c>
      <c r="D1373" t="inlineStr">
        <is>
          <t>VÄSTERNORRLANDS LÄN</t>
        </is>
      </c>
      <c r="E1373" t="inlineStr">
        <is>
          <t>ÅNGE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18430-2025</t>
        </is>
      </c>
      <c r="B1374" s="1" t="n">
        <v>45762.63576388889</v>
      </c>
      <c r="C1374" s="1" t="n">
        <v>46032</v>
      </c>
      <c r="D1374" t="inlineStr">
        <is>
          <t>VÄSTERNORRLANDS LÄN</t>
        </is>
      </c>
      <c r="E1374" t="inlineStr">
        <is>
          <t>ÅNGE</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13501-2021</t>
        </is>
      </c>
      <c r="B1375" s="1" t="n">
        <v>44273</v>
      </c>
      <c r="C1375" s="1" t="n">
        <v>46032</v>
      </c>
      <c r="D1375" t="inlineStr">
        <is>
          <t>VÄSTERNORRLANDS LÄN</t>
        </is>
      </c>
      <c r="E1375" t="inlineStr">
        <is>
          <t>ÅNGE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3624-2024</t>
        </is>
      </c>
      <c r="B1376" s="1" t="n">
        <v>45320.95305555555</v>
      </c>
      <c r="C1376" s="1" t="n">
        <v>46032</v>
      </c>
      <c r="D1376" t="inlineStr">
        <is>
          <t>VÄSTERNORRLANDS LÄN</t>
        </is>
      </c>
      <c r="E1376" t="inlineStr">
        <is>
          <t>ÅNGE</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10922-2024</t>
        </is>
      </c>
      <c r="B1377" s="1" t="n">
        <v>45370</v>
      </c>
      <c r="C1377" s="1" t="n">
        <v>46032</v>
      </c>
      <c r="D1377" t="inlineStr">
        <is>
          <t>VÄSTERNORRLANDS LÄN</t>
        </is>
      </c>
      <c r="E1377" t="inlineStr">
        <is>
          <t>ÅNGE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46681-2023</t>
        </is>
      </c>
      <c r="B1378" s="1" t="n">
        <v>45198</v>
      </c>
      <c r="C1378" s="1" t="n">
        <v>46032</v>
      </c>
      <c r="D1378" t="inlineStr">
        <is>
          <t>VÄSTERNORRLANDS LÄN</t>
        </is>
      </c>
      <c r="E1378" t="inlineStr">
        <is>
          <t>ÅNGE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46255-2023</t>
        </is>
      </c>
      <c r="B1379" s="1" t="n">
        <v>45196</v>
      </c>
      <c r="C1379" s="1" t="n">
        <v>46032</v>
      </c>
      <c r="D1379" t="inlineStr">
        <is>
          <t>VÄSTERNORRLANDS LÄN</t>
        </is>
      </c>
      <c r="E1379" t="inlineStr">
        <is>
          <t>ÅNGE</t>
        </is>
      </c>
      <c r="F1379" t="inlineStr">
        <is>
          <t>SCA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55197-2022</t>
        </is>
      </c>
      <c r="B1380" s="1" t="n">
        <v>44886.93714120371</v>
      </c>
      <c r="C1380" s="1" t="n">
        <v>46032</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18617-2024</t>
        </is>
      </c>
      <c r="B1381" s="1" t="n">
        <v>45425</v>
      </c>
      <c r="C1381" s="1" t="n">
        <v>46032</v>
      </c>
      <c r="D1381" t="inlineStr">
        <is>
          <t>VÄSTERNORRLANDS LÄN</t>
        </is>
      </c>
      <c r="E1381" t="inlineStr">
        <is>
          <t>ÅNGE</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18869-2024</t>
        </is>
      </c>
      <c r="B1382" s="1" t="n">
        <v>45426</v>
      </c>
      <c r="C1382" s="1" t="n">
        <v>46032</v>
      </c>
      <c r="D1382" t="inlineStr">
        <is>
          <t>VÄSTERNORRLANDS LÄN</t>
        </is>
      </c>
      <c r="E1382" t="inlineStr">
        <is>
          <t>ÅNGE</t>
        </is>
      </c>
      <c r="F1382" t="inlineStr">
        <is>
          <t>SCA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37540-2024</t>
        </is>
      </c>
      <c r="B1383" s="1" t="n">
        <v>45541.42111111111</v>
      </c>
      <c r="C1383" s="1" t="n">
        <v>46032</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42958-2024</t>
        </is>
      </c>
      <c r="B1384" s="1" t="n">
        <v>45567.37131944444</v>
      </c>
      <c r="C1384" s="1" t="n">
        <v>46032</v>
      </c>
      <c r="D1384" t="inlineStr">
        <is>
          <t>VÄSTERNORRLANDS LÄN</t>
        </is>
      </c>
      <c r="E1384" t="inlineStr">
        <is>
          <t>ÅNGE</t>
        </is>
      </c>
      <c r="F1384" t="inlineStr">
        <is>
          <t>SCA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42969-2024</t>
        </is>
      </c>
      <c r="B1385" s="1" t="n">
        <v>45567.37300925926</v>
      </c>
      <c r="C1385" s="1" t="n">
        <v>46032</v>
      </c>
      <c r="D1385" t="inlineStr">
        <is>
          <t>VÄSTERNORRLANDS LÄN</t>
        </is>
      </c>
      <c r="E1385" t="inlineStr">
        <is>
          <t>ÅNGE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49502-2022</t>
        </is>
      </c>
      <c r="B1386" s="1" t="n">
        <v>44861.92613425926</v>
      </c>
      <c r="C1386" s="1" t="n">
        <v>46032</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38795-2023</t>
        </is>
      </c>
      <c r="B1387" s="1" t="n">
        <v>45162</v>
      </c>
      <c r="C1387" s="1" t="n">
        <v>46032</v>
      </c>
      <c r="D1387" t="inlineStr">
        <is>
          <t>VÄSTERNORRLANDS LÄN</t>
        </is>
      </c>
      <c r="E1387" t="inlineStr">
        <is>
          <t>ÅNGE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17601-2024</t>
        </is>
      </c>
      <c r="B1388" s="1" t="n">
        <v>45415</v>
      </c>
      <c r="C1388" s="1" t="n">
        <v>46032</v>
      </c>
      <c r="D1388" t="inlineStr">
        <is>
          <t>VÄSTERNORRLANDS LÄN</t>
        </is>
      </c>
      <c r="E1388" t="inlineStr">
        <is>
          <t>ÅNGE</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34649-2024</t>
        </is>
      </c>
      <c r="B1389" s="1" t="n">
        <v>45526.48325231481</v>
      </c>
      <c r="C1389" s="1" t="n">
        <v>46032</v>
      </c>
      <c r="D1389" t="inlineStr">
        <is>
          <t>VÄSTERNORRLANDS LÄN</t>
        </is>
      </c>
      <c r="E1389" t="inlineStr">
        <is>
          <t>ÅNGE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13091-2024</t>
        </is>
      </c>
      <c r="B1390" s="1" t="n">
        <v>45385</v>
      </c>
      <c r="C1390" s="1" t="n">
        <v>46032</v>
      </c>
      <c r="D1390" t="inlineStr">
        <is>
          <t>VÄSTERNORRLANDS LÄN</t>
        </is>
      </c>
      <c r="E1390" t="inlineStr">
        <is>
          <t>ÅNGE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20108-2025</t>
        </is>
      </c>
      <c r="B1391" s="1" t="n">
        <v>45772.47006944445</v>
      </c>
      <c r="C1391" s="1" t="n">
        <v>46032</v>
      </c>
      <c r="D1391" t="inlineStr">
        <is>
          <t>VÄSTERNORRLANDS LÄN</t>
        </is>
      </c>
      <c r="E1391" t="inlineStr">
        <is>
          <t>ÅNGE</t>
        </is>
      </c>
      <c r="F1391" t="inlineStr">
        <is>
          <t>Naturvårdsverket</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50419-2022</t>
        </is>
      </c>
      <c r="B1392" s="1" t="n">
        <v>44861</v>
      </c>
      <c r="C1392" s="1" t="n">
        <v>46032</v>
      </c>
      <c r="D1392" t="inlineStr">
        <is>
          <t>VÄSTERNORRLANDS LÄN</t>
        </is>
      </c>
      <c r="E1392" t="inlineStr">
        <is>
          <t>ÅNGE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8627-2023</t>
        </is>
      </c>
      <c r="B1393" s="1" t="n">
        <v>44977</v>
      </c>
      <c r="C1393" s="1" t="n">
        <v>46032</v>
      </c>
      <c r="D1393" t="inlineStr">
        <is>
          <t>VÄSTERNORRLANDS LÄN</t>
        </is>
      </c>
      <c r="E1393" t="inlineStr">
        <is>
          <t>ÅNGE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49532-2024</t>
        </is>
      </c>
      <c r="B1394" s="1" t="n">
        <v>45596.41797453703</v>
      </c>
      <c r="C1394" s="1" t="n">
        <v>46032</v>
      </c>
      <c r="D1394" t="inlineStr">
        <is>
          <t>VÄSTERNORRLANDS LÄN</t>
        </is>
      </c>
      <c r="E1394" t="inlineStr">
        <is>
          <t>ÅNGE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11088-2024</t>
        </is>
      </c>
      <c r="B1395" s="1" t="n">
        <v>45370</v>
      </c>
      <c r="C1395" s="1" t="n">
        <v>46032</v>
      </c>
      <c r="D1395" t="inlineStr">
        <is>
          <t>VÄSTERNORRLANDS LÄN</t>
        </is>
      </c>
      <c r="E1395" t="inlineStr">
        <is>
          <t>ÅNGE</t>
        </is>
      </c>
      <c r="F1395" t="inlineStr">
        <is>
          <t>SCA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13773-2024</t>
        </is>
      </c>
      <c r="B1396" s="1" t="n">
        <v>45390.95297453704</v>
      </c>
      <c r="C1396" s="1" t="n">
        <v>46032</v>
      </c>
      <c r="D1396" t="inlineStr">
        <is>
          <t>VÄSTERNORRLANDS LÄN</t>
        </is>
      </c>
      <c r="E1396" t="inlineStr">
        <is>
          <t>ÅNGE</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30348-2024</t>
        </is>
      </c>
      <c r="B1397" s="1" t="n">
        <v>45490.95524305556</v>
      </c>
      <c r="C1397" s="1" t="n">
        <v>46032</v>
      </c>
      <c r="D1397" t="inlineStr">
        <is>
          <t>VÄSTERNORRLANDS LÄN</t>
        </is>
      </c>
      <c r="E1397" t="inlineStr">
        <is>
          <t>ÅNGE</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54210-2024</t>
        </is>
      </c>
      <c r="B1398" s="1" t="n">
        <v>45616.65662037037</v>
      </c>
      <c r="C1398" s="1" t="n">
        <v>46032</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12807-2025</t>
        </is>
      </c>
      <c r="B1399" s="1" t="n">
        <v>45733.61537037037</v>
      </c>
      <c r="C1399" s="1" t="n">
        <v>46032</v>
      </c>
      <c r="D1399" t="inlineStr">
        <is>
          <t>VÄSTERNORRLANDS LÄN</t>
        </is>
      </c>
      <c r="E1399" t="inlineStr">
        <is>
          <t>ÅNGE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5602-2025</t>
        </is>
      </c>
      <c r="B1400" s="1" t="n">
        <v>45693</v>
      </c>
      <c r="C1400" s="1" t="n">
        <v>46032</v>
      </c>
      <c r="D1400" t="inlineStr">
        <is>
          <t>VÄSTERNORRLANDS LÄN</t>
        </is>
      </c>
      <c r="E1400" t="inlineStr">
        <is>
          <t>ÅNGE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60578-2024</t>
        </is>
      </c>
      <c r="B1401" s="1" t="n">
        <v>45644.34434027778</v>
      </c>
      <c r="C1401" s="1" t="n">
        <v>46032</v>
      </c>
      <c r="D1401" t="inlineStr">
        <is>
          <t>VÄSTERNORRLANDS LÄN</t>
        </is>
      </c>
      <c r="E1401" t="inlineStr">
        <is>
          <t>ÅNGE</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33302-2024</t>
        </is>
      </c>
      <c r="B1402" s="1" t="n">
        <v>45518.96967592592</v>
      </c>
      <c r="C1402" s="1" t="n">
        <v>46032</v>
      </c>
      <c r="D1402" t="inlineStr">
        <is>
          <t>VÄSTERNORRLANDS LÄN</t>
        </is>
      </c>
      <c r="E1402" t="inlineStr">
        <is>
          <t>ÅNGE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16593-2023</t>
        </is>
      </c>
      <c r="B1403" s="1" t="n">
        <v>45030</v>
      </c>
      <c r="C1403" s="1" t="n">
        <v>46032</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16600-2023</t>
        </is>
      </c>
      <c r="B1404" s="1" t="n">
        <v>45030</v>
      </c>
      <c r="C1404" s="1" t="n">
        <v>46032</v>
      </c>
      <c r="D1404" t="inlineStr">
        <is>
          <t>VÄSTERNORRLANDS LÄN</t>
        </is>
      </c>
      <c r="E1404" t="inlineStr">
        <is>
          <t>ÅNGE</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10917-2024</t>
        </is>
      </c>
      <c r="B1405" s="1" t="n">
        <v>45370</v>
      </c>
      <c r="C1405" s="1" t="n">
        <v>46032</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3022-2023</t>
        </is>
      </c>
      <c r="B1406" s="1" t="n">
        <v>44945</v>
      </c>
      <c r="C1406" s="1" t="n">
        <v>46032</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45139.94775462963</v>
      </c>
      <c r="C1407" s="1" t="n">
        <v>46032</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3947-2025</t>
        </is>
      </c>
      <c r="B1408" s="1" t="n">
        <v>45684.49001157407</v>
      </c>
      <c r="C1408" s="1" t="n">
        <v>46032</v>
      </c>
      <c r="D1408" t="inlineStr">
        <is>
          <t>VÄSTERNORRLANDS LÄN</t>
        </is>
      </c>
      <c r="E1408" t="inlineStr">
        <is>
          <t>ÅNGE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65633-2021</t>
        </is>
      </c>
      <c r="B1409" s="1" t="n">
        <v>44516.56181712963</v>
      </c>
      <c r="C1409" s="1" t="n">
        <v>46032</v>
      </c>
      <c r="D1409" t="inlineStr">
        <is>
          <t>VÄSTERNORRLANDS LÄN</t>
        </is>
      </c>
      <c r="E1409" t="inlineStr">
        <is>
          <t>ÅNGE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36457-2021</t>
        </is>
      </c>
      <c r="B1410" s="1" t="n">
        <v>44390.93858796296</v>
      </c>
      <c r="C1410" s="1" t="n">
        <v>46032</v>
      </c>
      <c r="D1410" t="inlineStr">
        <is>
          <t>VÄSTERNORRLANDS LÄN</t>
        </is>
      </c>
      <c r="E1410" t="inlineStr">
        <is>
          <t>ÅNGE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14927-2025</t>
        </is>
      </c>
      <c r="B1411" s="1" t="n">
        <v>45743</v>
      </c>
      <c r="C1411" s="1" t="n">
        <v>46032</v>
      </c>
      <c r="D1411" t="inlineStr">
        <is>
          <t>VÄSTERNORRLANDS LÄN</t>
        </is>
      </c>
      <c r="E1411" t="inlineStr">
        <is>
          <t>ÅNGE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15167-2025</t>
        </is>
      </c>
      <c r="B1412" s="1" t="n">
        <v>45744.49009259259</v>
      </c>
      <c r="C1412" s="1" t="n">
        <v>46032</v>
      </c>
      <c r="D1412" t="inlineStr">
        <is>
          <t>VÄSTERNORRLANDS LÄN</t>
        </is>
      </c>
      <c r="E1412" t="inlineStr">
        <is>
          <t>ÅNGE</t>
        </is>
      </c>
      <c r="F1412" t="inlineStr">
        <is>
          <t>SCA</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64950-2023</t>
        </is>
      </c>
      <c r="B1413" s="1" t="n">
        <v>45282</v>
      </c>
      <c r="C1413" s="1" t="n">
        <v>46032</v>
      </c>
      <c r="D1413" t="inlineStr">
        <is>
          <t>VÄSTERNORRLANDS LÄN</t>
        </is>
      </c>
      <c r="E1413" t="inlineStr">
        <is>
          <t>ÅNGE</t>
        </is>
      </c>
      <c r="F1413" t="inlineStr">
        <is>
          <t>SCA</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24063-2023</t>
        </is>
      </c>
      <c r="B1414" s="1" t="n">
        <v>45078.94140046297</v>
      </c>
      <c r="C1414" s="1" t="n">
        <v>46032</v>
      </c>
      <c r="D1414" t="inlineStr">
        <is>
          <t>VÄSTERNORRLANDS LÄN</t>
        </is>
      </c>
      <c r="E1414" t="inlineStr">
        <is>
          <t>ÅNGE</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49711-2024</t>
        </is>
      </c>
      <c r="B1415" s="1" t="n">
        <v>45596.69891203703</v>
      </c>
      <c r="C1415" s="1" t="n">
        <v>46032</v>
      </c>
      <c r="D1415" t="inlineStr">
        <is>
          <t>VÄSTERNORRLANDS LÄN</t>
        </is>
      </c>
      <c r="E1415" t="inlineStr">
        <is>
          <t>ÅNGE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3323-2023</t>
        </is>
      </c>
      <c r="B1416" s="1" t="n">
        <v>44945</v>
      </c>
      <c r="C1416" s="1" t="n">
        <v>46032</v>
      </c>
      <c r="D1416" t="inlineStr">
        <is>
          <t>VÄSTERNORRLANDS LÄN</t>
        </is>
      </c>
      <c r="E1416" t="inlineStr">
        <is>
          <t>ÅNGE</t>
        </is>
      </c>
      <c r="G1416" t="n">
        <v>9.699999999999999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1711-2025</t>
        </is>
      </c>
      <c r="B1417" s="1" t="n">
        <v>45671.31184027778</v>
      </c>
      <c r="C1417" s="1" t="n">
        <v>46032</v>
      </c>
      <c r="D1417" t="inlineStr">
        <is>
          <t>VÄSTERNORRLANDS LÄN</t>
        </is>
      </c>
      <c r="E1417" t="inlineStr">
        <is>
          <t>ÅNGE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1714-2025</t>
        </is>
      </c>
      <c r="B1418" s="1" t="n">
        <v>45671.32474537037</v>
      </c>
      <c r="C1418" s="1" t="n">
        <v>46032</v>
      </c>
      <c r="D1418" t="inlineStr">
        <is>
          <t>VÄSTERNORRLANDS LÄN</t>
        </is>
      </c>
      <c r="E1418" t="inlineStr">
        <is>
          <t>ÅNGE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31866-2024</t>
        </is>
      </c>
      <c r="B1419" s="1" t="n">
        <v>45509</v>
      </c>
      <c r="C1419" s="1" t="n">
        <v>46032</v>
      </c>
      <c r="D1419" t="inlineStr">
        <is>
          <t>VÄSTERNORRLANDS LÄN</t>
        </is>
      </c>
      <c r="E1419" t="inlineStr">
        <is>
          <t>ÅNGE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31867-2024</t>
        </is>
      </c>
      <c r="B1420" s="1" t="n">
        <v>45509</v>
      </c>
      <c r="C1420" s="1" t="n">
        <v>46032</v>
      </c>
      <c r="D1420" t="inlineStr">
        <is>
          <t>VÄSTERNORRLANDS LÄN</t>
        </is>
      </c>
      <c r="E1420" t="inlineStr">
        <is>
          <t>ÅNGE</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33428-2023</t>
        </is>
      </c>
      <c r="B1421" s="1" t="n">
        <v>45128.94976851852</v>
      </c>
      <c r="C1421" s="1" t="n">
        <v>46032</v>
      </c>
      <c r="D1421" t="inlineStr">
        <is>
          <t>VÄSTERNORRLANDS LÄN</t>
        </is>
      </c>
      <c r="E1421" t="inlineStr">
        <is>
          <t>ÅNGE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10557-2023</t>
        </is>
      </c>
      <c r="B1422" s="1" t="n">
        <v>44987</v>
      </c>
      <c r="C1422" s="1" t="n">
        <v>46032</v>
      </c>
      <c r="D1422" t="inlineStr">
        <is>
          <t>VÄSTERNORRLANDS LÄN</t>
        </is>
      </c>
      <c r="E1422" t="inlineStr">
        <is>
          <t>ÅNGE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19926-2025</t>
        </is>
      </c>
      <c r="B1423" s="1" t="n">
        <v>45771.6357175926</v>
      </c>
      <c r="C1423" s="1" t="n">
        <v>46032</v>
      </c>
      <c r="D1423" t="inlineStr">
        <is>
          <t>VÄSTERNORRLANDS LÄN</t>
        </is>
      </c>
      <c r="E1423" t="inlineStr">
        <is>
          <t>ÅNGE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6610-2025</t>
        </is>
      </c>
      <c r="B1424" s="1" t="n">
        <v>45700</v>
      </c>
      <c r="C1424" s="1" t="n">
        <v>46032</v>
      </c>
      <c r="D1424" t="inlineStr">
        <is>
          <t>VÄSTERNORRLANDS LÄN</t>
        </is>
      </c>
      <c r="E1424" t="inlineStr">
        <is>
          <t>ÅNGE</t>
        </is>
      </c>
      <c r="F1424" t="inlineStr">
        <is>
          <t>SCA</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58997-2023</t>
        </is>
      </c>
      <c r="B1425" s="1" t="n">
        <v>45252.6352662037</v>
      </c>
      <c r="C1425" s="1" t="n">
        <v>46032</v>
      </c>
      <c r="D1425" t="inlineStr">
        <is>
          <t>VÄSTERNORRLANDS LÄN</t>
        </is>
      </c>
      <c r="E1425" t="inlineStr">
        <is>
          <t>ÅNGE</t>
        </is>
      </c>
      <c r="F1425" t="inlineStr">
        <is>
          <t>Övriga Aktiebolag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44639-2023</t>
        </is>
      </c>
      <c r="B1426" s="1" t="n">
        <v>45184</v>
      </c>
      <c r="C1426" s="1" t="n">
        <v>46032</v>
      </c>
      <c r="D1426" t="inlineStr">
        <is>
          <t>VÄSTERNORRLANDS LÄN</t>
        </is>
      </c>
      <c r="E1426" t="inlineStr">
        <is>
          <t>ÅNGE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43552-2023</t>
        </is>
      </c>
      <c r="B1427" s="1" t="n">
        <v>45181</v>
      </c>
      <c r="C1427" s="1" t="n">
        <v>46032</v>
      </c>
      <c r="D1427" t="inlineStr">
        <is>
          <t>VÄSTERNORRLANDS LÄN</t>
        </is>
      </c>
      <c r="E1427" t="inlineStr">
        <is>
          <t>ÅNGE</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1735-2025</t>
        </is>
      </c>
      <c r="B1428" s="1" t="n">
        <v>45671.38594907407</v>
      </c>
      <c r="C1428" s="1" t="n">
        <v>46032</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23018-2021</t>
        </is>
      </c>
      <c r="B1429" s="1" t="n">
        <v>44328</v>
      </c>
      <c r="C1429" s="1" t="n">
        <v>46032</v>
      </c>
      <c r="D1429" t="inlineStr">
        <is>
          <t>VÄSTERNORRLANDS LÄN</t>
        </is>
      </c>
      <c r="E1429" t="inlineStr">
        <is>
          <t>ÅNGE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50231-2024</t>
        </is>
      </c>
      <c r="B1430" s="1" t="n">
        <v>45600.55251157407</v>
      </c>
      <c r="C1430" s="1" t="n">
        <v>46032</v>
      </c>
      <c r="D1430" t="inlineStr">
        <is>
          <t>VÄSTERNORRLANDS LÄN</t>
        </is>
      </c>
      <c r="E1430" t="inlineStr">
        <is>
          <t>ÅNGE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60205-2023</t>
        </is>
      </c>
      <c r="B1431" s="1" t="n">
        <v>45257</v>
      </c>
      <c r="C1431" s="1" t="n">
        <v>46032</v>
      </c>
      <c r="D1431" t="inlineStr">
        <is>
          <t>VÄSTERNORRLANDS LÄN</t>
        </is>
      </c>
      <c r="E1431" t="inlineStr">
        <is>
          <t>ÅNGE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15287-2025</t>
        </is>
      </c>
      <c r="B1432" s="1" t="n">
        <v>45745</v>
      </c>
      <c r="C1432" s="1" t="n">
        <v>46032</v>
      </c>
      <c r="D1432" t="inlineStr">
        <is>
          <t>VÄSTERNORRLANDS LÄN</t>
        </is>
      </c>
      <c r="E1432" t="inlineStr">
        <is>
          <t>ÅNGE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4186-2025</t>
        </is>
      </c>
      <c r="B1433" s="1" t="n">
        <v>45685.44827546296</v>
      </c>
      <c r="C1433" s="1" t="n">
        <v>46032</v>
      </c>
      <c r="D1433" t="inlineStr">
        <is>
          <t>VÄSTERNORRLANDS LÄN</t>
        </is>
      </c>
      <c r="E1433" t="inlineStr">
        <is>
          <t>ÅNGE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39991-2023</t>
        </is>
      </c>
      <c r="B1434" s="1" t="n">
        <v>45168.6043287037</v>
      </c>
      <c r="C1434" s="1" t="n">
        <v>46032</v>
      </c>
      <c r="D1434" t="inlineStr">
        <is>
          <t>VÄSTERNORRLANDS LÄN</t>
        </is>
      </c>
      <c r="E1434" t="inlineStr">
        <is>
          <t>ÅNGE</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1775-2023</t>
        </is>
      </c>
      <c r="B1435" s="1" t="n">
        <v>44938</v>
      </c>
      <c r="C1435" s="1" t="n">
        <v>46032</v>
      </c>
      <c r="D1435" t="inlineStr">
        <is>
          <t>VÄSTERNORRLANDS LÄN</t>
        </is>
      </c>
      <c r="E1435" t="inlineStr">
        <is>
          <t>ÅNGE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31182-2024</t>
        </is>
      </c>
      <c r="B1436" s="1" t="n">
        <v>45503</v>
      </c>
      <c r="C1436" s="1" t="n">
        <v>46032</v>
      </c>
      <c r="D1436" t="inlineStr">
        <is>
          <t>VÄSTERNORRLANDS LÄN</t>
        </is>
      </c>
      <c r="E1436" t="inlineStr">
        <is>
          <t>ÅNGE</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56956-2022</t>
        </is>
      </c>
      <c r="B1437" s="1" t="n">
        <v>44894</v>
      </c>
      <c r="C1437" s="1" t="n">
        <v>46032</v>
      </c>
      <c r="D1437" t="inlineStr">
        <is>
          <t>VÄSTERNORRLANDS LÄN</t>
        </is>
      </c>
      <c r="E1437" t="inlineStr">
        <is>
          <t>ÅNGE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27321-2024</t>
        </is>
      </c>
      <c r="B1438" s="1" t="n">
        <v>45471</v>
      </c>
      <c r="C1438" s="1" t="n">
        <v>46032</v>
      </c>
      <c r="D1438" t="inlineStr">
        <is>
          <t>VÄSTERNORRLANDS LÄN</t>
        </is>
      </c>
      <c r="E1438" t="inlineStr">
        <is>
          <t>ÅNGE</t>
        </is>
      </c>
      <c r="F1438" t="inlineStr">
        <is>
          <t>SCA</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29667-2024</t>
        </is>
      </c>
      <c r="B1439" s="1" t="n">
        <v>45484.94041666666</v>
      </c>
      <c r="C1439" s="1" t="n">
        <v>46032</v>
      </c>
      <c r="D1439" t="inlineStr">
        <is>
          <t>VÄSTERNORRLANDS LÄN</t>
        </is>
      </c>
      <c r="E1439" t="inlineStr">
        <is>
          <t>ÅNGE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8418-2023</t>
        </is>
      </c>
      <c r="B1440" s="1" t="n">
        <v>44971</v>
      </c>
      <c r="C1440" s="1" t="n">
        <v>46032</v>
      </c>
      <c r="D1440" t="inlineStr">
        <is>
          <t>VÄSTERNORRLANDS LÄN</t>
        </is>
      </c>
      <c r="E1440" t="inlineStr">
        <is>
          <t>ÅNGE</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20024-2023</t>
        </is>
      </c>
      <c r="B1441" s="1" t="n">
        <v>45051</v>
      </c>
      <c r="C1441" s="1" t="n">
        <v>46032</v>
      </c>
      <c r="D1441" t="inlineStr">
        <is>
          <t>VÄSTERNORRLANDS LÄN</t>
        </is>
      </c>
      <c r="E1441" t="inlineStr">
        <is>
          <t>ÅNGE</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54982-2023</t>
        </is>
      </c>
      <c r="B1442" s="1" t="n">
        <v>45236</v>
      </c>
      <c r="C1442" s="1" t="n">
        <v>46032</v>
      </c>
      <c r="D1442" t="inlineStr">
        <is>
          <t>VÄSTERNORRLANDS LÄN</t>
        </is>
      </c>
      <c r="E1442" t="inlineStr">
        <is>
          <t>ÅNGE</t>
        </is>
      </c>
      <c r="F1442" t="inlineStr">
        <is>
          <t>SCA</t>
        </is>
      </c>
      <c r="G1442" t="n">
        <v>26.2</v>
      </c>
      <c r="H1442" t="n">
        <v>0</v>
      </c>
      <c r="I1442" t="n">
        <v>0</v>
      </c>
      <c r="J1442" t="n">
        <v>0</v>
      </c>
      <c r="K1442" t="n">
        <v>0</v>
      </c>
      <c r="L1442" t="n">
        <v>0</v>
      </c>
      <c r="M1442" t="n">
        <v>0</v>
      </c>
      <c r="N1442" t="n">
        <v>0</v>
      </c>
      <c r="O1442" t="n">
        <v>0</v>
      </c>
      <c r="P1442" t="n">
        <v>0</v>
      </c>
      <c r="Q1442" t="n">
        <v>0</v>
      </c>
      <c r="R1442" s="2" t="inlineStr"/>
    </row>
    <row r="1443" ht="15" customHeight="1">
      <c r="A1443" t="inlineStr">
        <is>
          <t>A 45939-2023</t>
        </is>
      </c>
      <c r="B1443" s="1" t="n">
        <v>45195.94578703704</v>
      </c>
      <c r="C1443" s="1" t="n">
        <v>46032</v>
      </c>
      <c r="D1443" t="inlineStr">
        <is>
          <t>VÄSTERNORRLANDS LÄN</t>
        </is>
      </c>
      <c r="E1443" t="inlineStr">
        <is>
          <t>ÅNGE</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51311-2022</t>
        </is>
      </c>
      <c r="B1444" s="1" t="n">
        <v>44868</v>
      </c>
      <c r="C1444" s="1" t="n">
        <v>46032</v>
      </c>
      <c r="D1444" t="inlineStr">
        <is>
          <t>VÄSTERNORRLANDS LÄN</t>
        </is>
      </c>
      <c r="E1444" t="inlineStr">
        <is>
          <t>ÅNGE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63216-2023</t>
        </is>
      </c>
      <c r="B1445" s="1" t="n">
        <v>45273.62721064815</v>
      </c>
      <c r="C1445" s="1" t="n">
        <v>46032</v>
      </c>
      <c r="D1445" t="inlineStr">
        <is>
          <t>VÄSTERNORRLANDS LÄN</t>
        </is>
      </c>
      <c r="E1445" t="inlineStr">
        <is>
          <t>ÅNGE</t>
        </is>
      </c>
      <c r="F1445" t="inlineStr">
        <is>
          <t>Holmen skog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45187.72152777778</v>
      </c>
      <c r="C1446" s="1" t="n">
        <v>46032</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19065-2025</t>
        </is>
      </c>
      <c r="B1447" s="1" t="n">
        <v>45765</v>
      </c>
      <c r="C1447" s="1" t="n">
        <v>46032</v>
      </c>
      <c r="D1447" t="inlineStr">
        <is>
          <t>VÄSTERNORRLANDS LÄN</t>
        </is>
      </c>
      <c r="E1447" t="inlineStr">
        <is>
          <t>ÅNGE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36492-2023</t>
        </is>
      </c>
      <c r="B1448" s="1" t="n">
        <v>45152.92479166666</v>
      </c>
      <c r="C1448" s="1" t="n">
        <v>46032</v>
      </c>
      <c r="D1448" t="inlineStr">
        <is>
          <t>VÄSTERNORRLANDS LÄN</t>
        </is>
      </c>
      <c r="E1448" t="inlineStr">
        <is>
          <t>ÅNGE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46332-2023</t>
        </is>
      </c>
      <c r="B1449" s="1" t="n">
        <v>45196</v>
      </c>
      <c r="C1449" s="1" t="n">
        <v>46032</v>
      </c>
      <c r="D1449" t="inlineStr">
        <is>
          <t>VÄSTERNORRLANDS LÄN</t>
        </is>
      </c>
      <c r="E1449" t="inlineStr">
        <is>
          <t>ÅNGE</t>
        </is>
      </c>
      <c r="F1449" t="inlineStr">
        <is>
          <t>SCA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26943-2024</t>
        </is>
      </c>
      <c r="B1450" s="1" t="n">
        <v>45470</v>
      </c>
      <c r="C1450" s="1" t="n">
        <v>46032</v>
      </c>
      <c r="D1450" t="inlineStr">
        <is>
          <t>VÄSTERNORRLANDS LÄN</t>
        </is>
      </c>
      <c r="E1450" t="inlineStr">
        <is>
          <t>ÅNGE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55882-2022</t>
        </is>
      </c>
      <c r="B1451" s="1" t="n">
        <v>44888</v>
      </c>
      <c r="C1451" s="1" t="n">
        <v>46032</v>
      </c>
      <c r="D1451" t="inlineStr">
        <is>
          <t>VÄSTERNORRLANDS LÄN</t>
        </is>
      </c>
      <c r="E1451" t="inlineStr">
        <is>
          <t>ÅNGE</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6686-2024</t>
        </is>
      </c>
      <c r="B1452" s="1" t="n">
        <v>45341</v>
      </c>
      <c r="C1452" s="1" t="n">
        <v>46032</v>
      </c>
      <c r="D1452" t="inlineStr">
        <is>
          <t>VÄSTERNORRLANDS LÄN</t>
        </is>
      </c>
      <c r="E1452" t="inlineStr">
        <is>
          <t>ÅNGE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63556-2021</t>
        </is>
      </c>
      <c r="B1453" s="1" t="n">
        <v>44508.70231481481</v>
      </c>
      <c r="C1453" s="1" t="n">
        <v>46032</v>
      </c>
      <c r="D1453" t="inlineStr">
        <is>
          <t>VÄSTERNORRLANDS LÄN</t>
        </is>
      </c>
      <c r="E1453" t="inlineStr">
        <is>
          <t>ÅNGE</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6608-2025</t>
        </is>
      </c>
      <c r="B1454" s="1" t="n">
        <v>45700.34415509259</v>
      </c>
      <c r="C1454" s="1" t="n">
        <v>46032</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30682-2024</t>
        </is>
      </c>
      <c r="B1455" s="1" t="n">
        <v>45495.95109953704</v>
      </c>
      <c r="C1455" s="1" t="n">
        <v>46032</v>
      </c>
      <c r="D1455" t="inlineStr">
        <is>
          <t>VÄSTERNORRLANDS LÄN</t>
        </is>
      </c>
      <c r="E1455" t="inlineStr">
        <is>
          <t>ÅNGE</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2451-2024</t>
        </is>
      </c>
      <c r="B1456" s="1" t="n">
        <v>45312.58627314815</v>
      </c>
      <c r="C1456" s="1" t="n">
        <v>46032</v>
      </c>
      <c r="D1456" t="inlineStr">
        <is>
          <t>VÄSTERNORRLANDS LÄN</t>
        </is>
      </c>
      <c r="E1456" t="inlineStr">
        <is>
          <t>ÅNGE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3352-2021</t>
        </is>
      </c>
      <c r="B1457" s="1" t="n">
        <v>44217</v>
      </c>
      <c r="C1457" s="1" t="n">
        <v>46032</v>
      </c>
      <c r="D1457" t="inlineStr">
        <is>
          <t>VÄSTERNORRLANDS LÄN</t>
        </is>
      </c>
      <c r="E1457" t="inlineStr">
        <is>
          <t>ÅNGE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3253-2024</t>
        </is>
      </c>
      <c r="B1458" s="1" t="n">
        <v>45316</v>
      </c>
      <c r="C1458" s="1" t="n">
        <v>46032</v>
      </c>
      <c r="D1458" t="inlineStr">
        <is>
          <t>VÄSTERNORRLANDS LÄN</t>
        </is>
      </c>
      <c r="E1458" t="inlineStr">
        <is>
          <t>ÅNGE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34783-2021</t>
        </is>
      </c>
      <c r="B1459" s="1" t="n">
        <v>44382</v>
      </c>
      <c r="C1459" s="1" t="n">
        <v>46032</v>
      </c>
      <c r="D1459" t="inlineStr">
        <is>
          <t>VÄSTERNORRLANDS LÄN</t>
        </is>
      </c>
      <c r="E1459" t="inlineStr">
        <is>
          <t>ÅNGE</t>
        </is>
      </c>
      <c r="F1459" t="inlineStr">
        <is>
          <t>SCA</t>
        </is>
      </c>
      <c r="G1459" t="n">
        <v>8.5</v>
      </c>
      <c r="H1459" t="n">
        <v>0</v>
      </c>
      <c r="I1459" t="n">
        <v>0</v>
      </c>
      <c r="J1459" t="n">
        <v>0</v>
      </c>
      <c r="K1459" t="n">
        <v>0</v>
      </c>
      <c r="L1459" t="n">
        <v>0</v>
      </c>
      <c r="M1459" t="n">
        <v>0</v>
      </c>
      <c r="N1459" t="n">
        <v>0</v>
      </c>
      <c r="O1459" t="n">
        <v>0</v>
      </c>
      <c r="P1459" t="n">
        <v>0</v>
      </c>
      <c r="Q1459" t="n">
        <v>0</v>
      </c>
      <c r="R1459" s="2" t="inlineStr"/>
    </row>
    <row r="1460" ht="15" customHeight="1">
      <c r="A1460" t="inlineStr">
        <is>
          <t>A 58748-2023</t>
        </is>
      </c>
      <c r="B1460" s="1" t="n">
        <v>45251.92936342592</v>
      </c>
      <c r="C1460" s="1" t="n">
        <v>46032</v>
      </c>
      <c r="D1460" t="inlineStr">
        <is>
          <t>VÄSTERNORRLANDS LÄN</t>
        </is>
      </c>
      <c r="E1460" t="inlineStr">
        <is>
          <t>ÅNGE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51070-2024</t>
        </is>
      </c>
      <c r="B1461" s="1" t="n">
        <v>45603</v>
      </c>
      <c r="C1461" s="1" t="n">
        <v>46032</v>
      </c>
      <c r="D1461" t="inlineStr">
        <is>
          <t>VÄSTERNORRLANDS LÄN</t>
        </is>
      </c>
      <c r="E1461" t="inlineStr">
        <is>
          <t>ÅNGE</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51871-2024</t>
        </is>
      </c>
      <c r="B1462" s="1" t="n">
        <v>45607</v>
      </c>
      <c r="C1462" s="1" t="n">
        <v>46032</v>
      </c>
      <c r="D1462" t="inlineStr">
        <is>
          <t>VÄSTERNORRLANDS LÄN</t>
        </is>
      </c>
      <c r="E1462" t="inlineStr">
        <is>
          <t>ÅNGE</t>
        </is>
      </c>
      <c r="F1462" t="inlineStr">
        <is>
          <t>SCA</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57636-2022</t>
        </is>
      </c>
      <c r="B1463" s="1" t="n">
        <v>44897</v>
      </c>
      <c r="C1463" s="1" t="n">
        <v>46032</v>
      </c>
      <c r="D1463" t="inlineStr">
        <is>
          <t>VÄSTERNORRLANDS LÄN</t>
        </is>
      </c>
      <c r="E1463" t="inlineStr">
        <is>
          <t>ÅNGE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34971-2023</t>
        </is>
      </c>
      <c r="B1464" s="1" t="n">
        <v>45142.61635416667</v>
      </c>
      <c r="C1464" s="1" t="n">
        <v>46032</v>
      </c>
      <c r="D1464" t="inlineStr">
        <is>
          <t>VÄSTERNORRLANDS LÄN</t>
        </is>
      </c>
      <c r="E1464" t="inlineStr">
        <is>
          <t>ÅNGE</t>
        </is>
      </c>
      <c r="F1464" t="inlineStr">
        <is>
          <t>Sveaskog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55329-2023</t>
        </is>
      </c>
      <c r="B1465" s="1" t="n">
        <v>45237</v>
      </c>
      <c r="C1465" s="1" t="n">
        <v>46032</v>
      </c>
      <c r="D1465" t="inlineStr">
        <is>
          <t>VÄSTERNORRLANDS LÄN</t>
        </is>
      </c>
      <c r="E1465" t="inlineStr">
        <is>
          <t>ÅNGE</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46032</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52804-2024</t>
        </is>
      </c>
      <c r="B1467" s="1" t="n">
        <v>45610.57322916666</v>
      </c>
      <c r="C1467" s="1" t="n">
        <v>46032</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30055-2024</t>
        </is>
      </c>
      <c r="B1468" s="1" t="n">
        <v>45488.94767361111</v>
      </c>
      <c r="C1468" s="1" t="n">
        <v>46032</v>
      </c>
      <c r="D1468" t="inlineStr">
        <is>
          <t>VÄSTERNORRLANDS LÄN</t>
        </is>
      </c>
      <c r="E1468" t="inlineStr">
        <is>
          <t>ÅNGE</t>
        </is>
      </c>
      <c r="F1468" t="inlineStr">
        <is>
          <t>SCA</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42346-2023</t>
        </is>
      </c>
      <c r="B1469" s="1" t="n">
        <v>45180</v>
      </c>
      <c r="C1469" s="1" t="n">
        <v>46032</v>
      </c>
      <c r="D1469" t="inlineStr">
        <is>
          <t>VÄSTERNORRLANDS LÄN</t>
        </is>
      </c>
      <c r="E1469" t="inlineStr">
        <is>
          <t>ÅNGE</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137-2025</t>
        </is>
      </c>
      <c r="B1470" s="1" t="n">
        <v>45659.57684027778</v>
      </c>
      <c r="C1470" s="1" t="n">
        <v>46032</v>
      </c>
      <c r="D1470" t="inlineStr">
        <is>
          <t>VÄSTERNORRLANDS LÄN</t>
        </is>
      </c>
      <c r="E1470" t="inlineStr">
        <is>
          <t>ÅNGE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55380-2024</t>
        </is>
      </c>
      <c r="B1471" s="1" t="n">
        <v>45622.28810185185</v>
      </c>
      <c r="C1471" s="1" t="n">
        <v>46032</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56615-2023</t>
        </is>
      </c>
      <c r="B1472" s="1" t="n">
        <v>45243</v>
      </c>
      <c r="C1472" s="1" t="n">
        <v>46032</v>
      </c>
      <c r="D1472" t="inlineStr">
        <is>
          <t>VÄSTERNORRLANDS LÄN</t>
        </is>
      </c>
      <c r="E1472" t="inlineStr">
        <is>
          <t>ÅNGE</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57601-2022</t>
        </is>
      </c>
      <c r="B1473" s="1" t="n">
        <v>44896</v>
      </c>
      <c r="C1473" s="1" t="n">
        <v>46032</v>
      </c>
      <c r="D1473" t="inlineStr">
        <is>
          <t>VÄSTERNORRLANDS LÄN</t>
        </is>
      </c>
      <c r="E1473" t="inlineStr">
        <is>
          <t>ÅNGE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22678-2024</t>
        </is>
      </c>
      <c r="B1474" s="1" t="n">
        <v>45447.94533564815</v>
      </c>
      <c r="C1474" s="1" t="n">
        <v>46032</v>
      </c>
      <c r="D1474" t="inlineStr">
        <is>
          <t>VÄSTERNORRLANDS LÄN</t>
        </is>
      </c>
      <c r="E1474" t="inlineStr">
        <is>
          <t>ÅNGE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64121-2021</t>
        </is>
      </c>
      <c r="B1475" s="1" t="n">
        <v>44510.4730787037</v>
      </c>
      <c r="C1475" s="1" t="n">
        <v>46032</v>
      </c>
      <c r="D1475" t="inlineStr">
        <is>
          <t>VÄSTERNORRLANDS LÄN</t>
        </is>
      </c>
      <c r="E1475" t="inlineStr">
        <is>
          <t>ÅNGE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71965-2021</t>
        </is>
      </c>
      <c r="B1476" s="1" t="n">
        <v>44544.32483796297</v>
      </c>
      <c r="C1476" s="1" t="n">
        <v>46032</v>
      </c>
      <c r="D1476" t="inlineStr">
        <is>
          <t>VÄSTERNORRLANDS LÄN</t>
        </is>
      </c>
      <c r="E1476" t="inlineStr">
        <is>
          <t>ÅNGE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62834-2021</t>
        </is>
      </c>
      <c r="B1477" s="1" t="n">
        <v>44503</v>
      </c>
      <c r="C1477" s="1" t="n">
        <v>46032</v>
      </c>
      <c r="D1477" t="inlineStr">
        <is>
          <t>VÄSTERNORRLANDS LÄN</t>
        </is>
      </c>
      <c r="E1477" t="inlineStr">
        <is>
          <t>ÅNGE</t>
        </is>
      </c>
      <c r="F1477" t="inlineStr">
        <is>
          <t>Övriga statliga verk och myndigheter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7535-2023</t>
        </is>
      </c>
      <c r="B1478" s="1" t="n">
        <v>44971</v>
      </c>
      <c r="C1478" s="1" t="n">
        <v>46032</v>
      </c>
      <c r="D1478" t="inlineStr">
        <is>
          <t>VÄSTERNORRLANDS LÄN</t>
        </is>
      </c>
      <c r="E1478" t="inlineStr">
        <is>
          <t>ÅNGE</t>
        </is>
      </c>
      <c r="F1478" t="inlineStr">
        <is>
          <t>SCA</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41586-2024</t>
        </is>
      </c>
      <c r="B1479" s="1" t="n">
        <v>45560.56089120371</v>
      </c>
      <c r="C1479" s="1" t="n">
        <v>46032</v>
      </c>
      <c r="D1479" t="inlineStr">
        <is>
          <t>VÄSTERNORRLANDS LÄN</t>
        </is>
      </c>
      <c r="E1479" t="inlineStr">
        <is>
          <t>ÅNGE</t>
        </is>
      </c>
      <c r="F1479" t="inlineStr">
        <is>
          <t>Holmen skog AB</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48946-2024</t>
        </is>
      </c>
      <c r="B1480" s="1" t="n">
        <v>45594.42736111111</v>
      </c>
      <c r="C1480" s="1" t="n">
        <v>46032</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33429-2023</t>
        </is>
      </c>
      <c r="B1481" s="1" t="n">
        <v>45128.94983796297</v>
      </c>
      <c r="C1481" s="1" t="n">
        <v>46032</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22597-2021</t>
        </is>
      </c>
      <c r="B1482" s="1" t="n">
        <v>44326</v>
      </c>
      <c r="C1482" s="1" t="n">
        <v>46032</v>
      </c>
      <c r="D1482" t="inlineStr">
        <is>
          <t>VÄSTERNORRLANDS LÄN</t>
        </is>
      </c>
      <c r="E1482" t="inlineStr">
        <is>
          <t>ÅNGE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20255-2023</t>
        </is>
      </c>
      <c r="B1483" s="1" t="n">
        <v>45055</v>
      </c>
      <c r="C1483" s="1" t="n">
        <v>46032</v>
      </c>
      <c r="D1483" t="inlineStr">
        <is>
          <t>VÄSTERNORRLANDS LÄN</t>
        </is>
      </c>
      <c r="E1483" t="inlineStr">
        <is>
          <t>ÅNGE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11871-2025</t>
        </is>
      </c>
      <c r="B1484" s="1" t="n">
        <v>45728.42740740741</v>
      </c>
      <c r="C1484" s="1" t="n">
        <v>46032</v>
      </c>
      <c r="D1484" t="inlineStr">
        <is>
          <t>VÄSTERNORRLANDS LÄN</t>
        </is>
      </c>
      <c r="E1484" t="inlineStr">
        <is>
          <t>ÅNGE</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16934-2025</t>
        </is>
      </c>
      <c r="B1485" s="1" t="n">
        <v>45755.40671296296</v>
      </c>
      <c r="C1485" s="1" t="n">
        <v>46032</v>
      </c>
      <c r="D1485" t="inlineStr">
        <is>
          <t>VÄSTERNORRLANDS LÄN</t>
        </is>
      </c>
      <c r="E1485" t="inlineStr">
        <is>
          <t>ÅNGE</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16281-2023</t>
        </is>
      </c>
      <c r="B1486" s="1" t="n">
        <v>45028</v>
      </c>
      <c r="C1486" s="1" t="n">
        <v>46032</v>
      </c>
      <c r="D1486" t="inlineStr">
        <is>
          <t>VÄSTERNORRLANDS LÄN</t>
        </is>
      </c>
      <c r="E1486" t="inlineStr">
        <is>
          <t>ÅNGE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26012-2024</t>
        </is>
      </c>
      <c r="B1487" s="1" t="n">
        <v>45467</v>
      </c>
      <c r="C1487" s="1" t="n">
        <v>46032</v>
      </c>
      <c r="D1487" t="inlineStr">
        <is>
          <t>VÄSTERNORRLANDS LÄN</t>
        </is>
      </c>
      <c r="E1487" t="inlineStr">
        <is>
          <t>ÅNGE</t>
        </is>
      </c>
      <c r="F1487" t="inlineStr">
        <is>
          <t>SCA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26015-2024</t>
        </is>
      </c>
      <c r="B1488" s="1" t="n">
        <v>45467.95872685185</v>
      </c>
      <c r="C1488" s="1" t="n">
        <v>46032</v>
      </c>
      <c r="D1488" t="inlineStr">
        <is>
          <t>VÄSTERNORRLANDS LÄN</t>
        </is>
      </c>
      <c r="E1488" t="inlineStr">
        <is>
          <t>ÅNGE</t>
        </is>
      </c>
      <c r="F1488" t="inlineStr">
        <is>
          <t>SCA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48697-2024</t>
        </is>
      </c>
      <c r="B1489" s="1" t="n">
        <v>45593.51136574074</v>
      </c>
      <c r="C1489" s="1" t="n">
        <v>46032</v>
      </c>
      <c r="D1489" t="inlineStr">
        <is>
          <t>VÄSTERNORRLANDS LÄN</t>
        </is>
      </c>
      <c r="E1489" t="inlineStr">
        <is>
          <t>ÅNGE</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1095-2023</t>
        </is>
      </c>
      <c r="B1490" s="1" t="n">
        <v>44929</v>
      </c>
      <c r="C1490" s="1" t="n">
        <v>46032</v>
      </c>
      <c r="D1490" t="inlineStr">
        <is>
          <t>VÄSTERNORRLANDS LÄN</t>
        </is>
      </c>
      <c r="E1490" t="inlineStr">
        <is>
          <t>ÅNGE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46795-2023</t>
        </is>
      </c>
      <c r="B1491" s="1" t="n">
        <v>45198</v>
      </c>
      <c r="C1491" s="1" t="n">
        <v>46032</v>
      </c>
      <c r="D1491" t="inlineStr">
        <is>
          <t>VÄSTERNORRLANDS LÄN</t>
        </is>
      </c>
      <c r="E1491" t="inlineStr">
        <is>
          <t>ÅNGE</t>
        </is>
      </c>
      <c r="F1491" t="inlineStr">
        <is>
          <t>Holmen skog AB</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16657-2025</t>
        </is>
      </c>
      <c r="B1492" s="1" t="n">
        <v>45754.40700231482</v>
      </c>
      <c r="C1492" s="1" t="n">
        <v>46032</v>
      </c>
      <c r="D1492" t="inlineStr">
        <is>
          <t>VÄSTERNORRLANDS LÄN</t>
        </is>
      </c>
      <c r="E1492" t="inlineStr">
        <is>
          <t>ÅNGE</t>
        </is>
      </c>
      <c r="F1492" t="inlineStr">
        <is>
          <t>SCA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63709-2023</t>
        </is>
      </c>
      <c r="B1493" s="1" t="n">
        <v>45275.95069444444</v>
      </c>
      <c r="C1493" s="1" t="n">
        <v>46032</v>
      </c>
      <c r="D1493" t="inlineStr">
        <is>
          <t>VÄSTERNORRLANDS LÄN</t>
        </is>
      </c>
      <c r="E1493" t="inlineStr">
        <is>
          <t>ÅNGE</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30353-2024</t>
        </is>
      </c>
      <c r="B1494" s="1" t="n">
        <v>45490.95567129629</v>
      </c>
      <c r="C1494" s="1" t="n">
        <v>46032</v>
      </c>
      <c r="D1494" t="inlineStr">
        <is>
          <t>VÄSTERNORRLANDS LÄN</t>
        </is>
      </c>
      <c r="E1494" t="inlineStr">
        <is>
          <t>ÅNGE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4187-2025</t>
        </is>
      </c>
      <c r="B1495" s="1" t="n">
        <v>45685.44842592593</v>
      </c>
      <c r="C1495" s="1" t="n">
        <v>46032</v>
      </c>
      <c r="D1495" t="inlineStr">
        <is>
          <t>VÄSTERNORRLANDS LÄN</t>
        </is>
      </c>
      <c r="E1495" t="inlineStr">
        <is>
          <t>ÅNGE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58929-2024</t>
        </is>
      </c>
      <c r="B1496" s="1" t="n">
        <v>45636.51090277778</v>
      </c>
      <c r="C1496" s="1" t="n">
        <v>46032</v>
      </c>
      <c r="D1496" t="inlineStr">
        <is>
          <t>VÄSTERNORRLANDS LÄN</t>
        </is>
      </c>
      <c r="E1496" t="inlineStr">
        <is>
          <t>ÅNGE</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42100-2023</t>
        </is>
      </c>
      <c r="B1497" s="1" t="n">
        <v>45174</v>
      </c>
      <c r="C1497" s="1" t="n">
        <v>46032</v>
      </c>
      <c r="D1497" t="inlineStr">
        <is>
          <t>VÄSTERNORRLANDS LÄN</t>
        </is>
      </c>
      <c r="E1497" t="inlineStr">
        <is>
          <t>ÅNGE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2365-2024</t>
        </is>
      </c>
      <c r="B1498" s="1" t="n">
        <v>45310.59778935185</v>
      </c>
      <c r="C1498" s="1" t="n">
        <v>46032</v>
      </c>
      <c r="D1498" t="inlineStr">
        <is>
          <t>VÄSTERNORRLANDS LÄN</t>
        </is>
      </c>
      <c r="E1498" t="inlineStr">
        <is>
          <t>ÅNGE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2372-2024</t>
        </is>
      </c>
      <c r="B1499" s="1" t="n">
        <v>45310.6115625</v>
      </c>
      <c r="C1499" s="1" t="n">
        <v>46032</v>
      </c>
      <c r="D1499" t="inlineStr">
        <is>
          <t>VÄSTERNORRLANDS LÄN</t>
        </is>
      </c>
      <c r="E1499" t="inlineStr">
        <is>
          <t>ÅNGE</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21068-2025</t>
        </is>
      </c>
      <c r="B1500" s="1" t="n">
        <v>45777.59413194445</v>
      </c>
      <c r="C1500" s="1" t="n">
        <v>46032</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20864-2025</t>
        </is>
      </c>
      <c r="B1501" s="1" t="n">
        <v>45777.34417824074</v>
      </c>
      <c r="C1501" s="1" t="n">
        <v>46032</v>
      </c>
      <c r="D1501" t="inlineStr">
        <is>
          <t>VÄSTERNORRLANDS LÄN</t>
        </is>
      </c>
      <c r="E1501" t="inlineStr">
        <is>
          <t>ÅNGE</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20868-2025</t>
        </is>
      </c>
      <c r="B1502" s="1" t="n">
        <v>45777.34483796296</v>
      </c>
      <c r="C1502" s="1" t="n">
        <v>46032</v>
      </c>
      <c r="D1502" t="inlineStr">
        <is>
          <t>VÄSTERNORRLANDS LÄN</t>
        </is>
      </c>
      <c r="E1502" t="inlineStr">
        <is>
          <t>ÅNGE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20718-2025</t>
        </is>
      </c>
      <c r="B1503" s="1" t="n">
        <v>45776.49047453704</v>
      </c>
      <c r="C1503" s="1" t="n">
        <v>46032</v>
      </c>
      <c r="D1503" t="inlineStr">
        <is>
          <t>VÄSTERNORRLANDS LÄN</t>
        </is>
      </c>
      <c r="E1503" t="inlineStr">
        <is>
          <t>ÅNGE</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20776-2025</t>
        </is>
      </c>
      <c r="B1504" s="1" t="n">
        <v>45776.59410879629</v>
      </c>
      <c r="C1504" s="1" t="n">
        <v>46032</v>
      </c>
      <c r="D1504" t="inlineStr">
        <is>
          <t>VÄSTERNORRLANDS LÄN</t>
        </is>
      </c>
      <c r="E1504" t="inlineStr">
        <is>
          <t>ÅNGE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21174-2025</t>
        </is>
      </c>
      <c r="B1505" s="1" t="n">
        <v>45779.42746527777</v>
      </c>
      <c r="C1505" s="1" t="n">
        <v>46032</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21197-2025</t>
        </is>
      </c>
      <c r="B1506" s="1" t="n">
        <v>45779.46949074074</v>
      </c>
      <c r="C1506" s="1" t="n">
        <v>46032</v>
      </c>
      <c r="D1506" t="inlineStr">
        <is>
          <t>VÄSTERNORRLANDS LÄN</t>
        </is>
      </c>
      <c r="E1506" t="inlineStr">
        <is>
          <t>ÅNGE</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45030-2024</t>
        </is>
      </c>
      <c r="B1507" s="1" t="n">
        <v>45575.52089120371</v>
      </c>
      <c r="C1507" s="1" t="n">
        <v>46032</v>
      </c>
      <c r="D1507" t="inlineStr">
        <is>
          <t>VÄSTERNORRLANDS LÄN</t>
        </is>
      </c>
      <c r="E1507" t="inlineStr">
        <is>
          <t>ÅNGE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21263-2025</t>
        </is>
      </c>
      <c r="B1508" s="1" t="n">
        <v>45779.61233796296</v>
      </c>
      <c r="C1508" s="1" t="n">
        <v>46032</v>
      </c>
      <c r="D1508" t="inlineStr">
        <is>
          <t>VÄSTERNORRLANDS LÄN</t>
        </is>
      </c>
      <c r="E1508" t="inlineStr">
        <is>
          <t>ÅNGE</t>
        </is>
      </c>
      <c r="F1508" t="inlineStr">
        <is>
          <t>Sveaskog</t>
        </is>
      </c>
      <c r="G1508" t="n">
        <v>14.9</v>
      </c>
      <c r="H1508" t="n">
        <v>0</v>
      </c>
      <c r="I1508" t="n">
        <v>0</v>
      </c>
      <c r="J1508" t="n">
        <v>0</v>
      </c>
      <c r="K1508" t="n">
        <v>0</v>
      </c>
      <c r="L1508" t="n">
        <v>0</v>
      </c>
      <c r="M1508" t="n">
        <v>0</v>
      </c>
      <c r="N1508" t="n">
        <v>0</v>
      </c>
      <c r="O1508" t="n">
        <v>0</v>
      </c>
      <c r="P1508" t="n">
        <v>0</v>
      </c>
      <c r="Q1508" t="n">
        <v>0</v>
      </c>
      <c r="R1508" s="2" t="inlineStr"/>
    </row>
    <row r="1509" ht="15" customHeight="1">
      <c r="A1509" t="inlineStr">
        <is>
          <t>A 21251-2025</t>
        </is>
      </c>
      <c r="B1509" s="1" t="n">
        <v>45779.57417824074</v>
      </c>
      <c r="C1509" s="1" t="n">
        <v>46032</v>
      </c>
      <c r="D1509" t="inlineStr">
        <is>
          <t>VÄSTERNORRLANDS LÄN</t>
        </is>
      </c>
      <c r="E1509" t="inlineStr">
        <is>
          <t>ÅNGE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21176-2025</t>
        </is>
      </c>
      <c r="B1510" s="1" t="n">
        <v>45779.42798611111</v>
      </c>
      <c r="C1510" s="1" t="n">
        <v>46032</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21741-2025</t>
        </is>
      </c>
      <c r="B1511" s="1" t="n">
        <v>45783.59415509259</v>
      </c>
      <c r="C1511" s="1" t="n">
        <v>46032</v>
      </c>
      <c r="D1511" t="inlineStr">
        <is>
          <t>VÄSTERNORRLANDS LÄN</t>
        </is>
      </c>
      <c r="E1511" t="inlineStr">
        <is>
          <t>ÅNGE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21685-2025</t>
        </is>
      </c>
      <c r="B1512" s="1" t="n">
        <v>45783.49050925926</v>
      </c>
      <c r="C1512" s="1" t="n">
        <v>46032</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21597-2025</t>
        </is>
      </c>
      <c r="B1513" s="1" t="n">
        <v>45783.34493055556</v>
      </c>
      <c r="C1513" s="1" t="n">
        <v>46032</v>
      </c>
      <c r="D1513" t="inlineStr">
        <is>
          <t>VÄSTERNORRLANDS LÄN</t>
        </is>
      </c>
      <c r="E1513" t="inlineStr">
        <is>
          <t>ÅNGE</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17669-2023</t>
        </is>
      </c>
      <c r="B1514" s="1" t="n">
        <v>45036.94457175926</v>
      </c>
      <c r="C1514" s="1" t="n">
        <v>46032</v>
      </c>
      <c r="D1514" t="inlineStr">
        <is>
          <t>VÄSTERNORRLANDS LÄN</t>
        </is>
      </c>
      <c r="E1514" t="inlineStr">
        <is>
          <t>ÅNGE</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25867-2024</t>
        </is>
      </c>
      <c r="B1515" s="1" t="n">
        <v>45463</v>
      </c>
      <c r="C1515" s="1" t="n">
        <v>46032</v>
      </c>
      <c r="D1515" t="inlineStr">
        <is>
          <t>VÄSTERNORRLANDS LÄN</t>
        </is>
      </c>
      <c r="E1515" t="inlineStr">
        <is>
          <t>ÅNGE</t>
        </is>
      </c>
      <c r="G1515" t="n">
        <v>2.7</v>
      </c>
      <c r="H1515" t="n">
        <v>0</v>
      </c>
      <c r="I1515" t="n">
        <v>0</v>
      </c>
      <c r="J1515" t="n">
        <v>0</v>
      </c>
      <c r="K1515" t="n">
        <v>0</v>
      </c>
      <c r="L1515" t="n">
        <v>0</v>
      </c>
      <c r="M1515" t="n">
        <v>0</v>
      </c>
      <c r="N1515" t="n">
        <v>0</v>
      </c>
      <c r="O1515" t="n">
        <v>0</v>
      </c>
      <c r="P1515" t="n">
        <v>0</v>
      </c>
      <c r="Q1515" t="n">
        <v>0</v>
      </c>
      <c r="R1515" s="2" t="inlineStr"/>
    </row>
    <row r="1516">
      <c r="A1516" t="inlineStr">
        <is>
          <t>A 2539-2025</t>
        </is>
      </c>
      <c r="B1516" s="1" t="n">
        <v>45674.61581018518</v>
      </c>
      <c r="C1516" s="1" t="n">
        <v>46032</v>
      </c>
      <c r="D1516" t="inlineStr">
        <is>
          <t>VÄSTERNORRLANDS LÄN</t>
        </is>
      </c>
      <c r="E1516" t="inlineStr">
        <is>
          <t>ÅNGE</t>
        </is>
      </c>
      <c r="F1516" t="inlineStr">
        <is>
          <t>SCA</t>
        </is>
      </c>
      <c r="G1516" t="n">
        <v>0.8</v>
      </c>
      <c r="H1516" t="n">
        <v>0</v>
      </c>
      <c r="I1516" t="n">
        <v>0</v>
      </c>
      <c r="J1516" t="n">
        <v>0</v>
      </c>
      <c r="K1516" t="n">
        <v>0</v>
      </c>
      <c r="L1516" t="n">
        <v>0</v>
      </c>
      <c r="M1516" t="n">
        <v>0</v>
      </c>
      <c r="N1516" t="n">
        <v>0</v>
      </c>
      <c r="O1516" t="n">
        <v>0</v>
      </c>
      <c r="P1516" t="n">
        <v>0</v>
      </c>
      <c r="Q1516" t="n">
        <v>0</v>
      </c>
      <c r="R1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2026-01-10T10:52:41Z</dcterms:created>
  <dcterms:modified xmlns:dcterms="http://purl.org/dc/terms/" xmlns:xsi="http://www.w3.org/2001/XMLSchema-instance" xsi:type="dcterms:W3CDTF">2026-01-10T10:52:42Z</dcterms:modified>
</cp:coreProperties>
</file>