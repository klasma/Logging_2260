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46228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46228</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46228</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46228</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46228</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46228</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46228</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46228</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46228</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46228</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46228</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46228</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43968-2023</t>
        </is>
      </c>
      <c r="B14" t="inlineStr">
        <is>
          <t>avverkningsanmälan</t>
        </is>
      </c>
      <c r="C14" t="inlineStr">
        <is>
          <t>Föryngringsavverkning</t>
        </is>
      </c>
      <c r="D14" s="1" t="n">
        <v>45187</v>
      </c>
      <c r="E14" s="1" t="n">
        <v>46228</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34481-2023</t>
        </is>
      </c>
      <c r="B15" t="inlineStr">
        <is>
          <t>avverkningsanmälan</t>
        </is>
      </c>
      <c r="C15" t="inlineStr">
        <is>
          <t>Föryngringsavverkning</t>
        </is>
      </c>
      <c r="D15" s="1" t="n">
        <v>45139</v>
      </c>
      <c r="E15" s="1" t="n">
        <v>46228</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t="n">
        <v>58</v>
      </c>
      <c r="V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5">
        <f>HYPERLINK("https://klasma.github.io/Logging_2260/artfynd/A 34481-2023 artfynd.xlsx", "A 34481-2023")</f>
        <v/>
      </c>
      <c r="X15">
        <f>HYPERLINK("https://klasma.github.io/Logging_2260/kartor/A 34481-2023 karta.png", "A 34481-2023")</f>
        <v/>
      </c>
      <c r="Y15">
        <f>HYPERLINK("https://klasma.github.io/Logging_2260/kartor_geotiff/A 34481-2023 georefererad karta.tif", "A 34481-2023")</f>
        <v/>
      </c>
      <c r="Z15">
        <f>HYPERLINK("https://klasma.github.io/Logging_2260/knärot/A 34481-2023 karta knärot.png", "A 34481-2023")</f>
        <v/>
      </c>
      <c r="AA15">
        <f>HYPERLINK("https://klasma.github.io/Logging_2260/klagomål/A 34481-2023 FSC-klagomål.docx", "A 34481-2023")</f>
        <v/>
      </c>
      <c r="AB15">
        <f>HYPERLINK("https://klasma.github.io/Logging_2260/klagomålsmail/A 34481-2023 FSC-klagomål mail.docx", "A 34481-2023")</f>
        <v/>
      </c>
      <c r="AC15">
        <f>HYPERLINK("https://klasma.github.io/Logging_2260/tillsyn/A 34481-2023 tillsynsbegäran.docx", "A 34481-2023")</f>
        <v/>
      </c>
      <c r="AD15">
        <f>HYPERLINK("https://klasma.github.io/Logging_2260/tillsynsmail/A 34481-2023 tillsynsbegäran mail.docx", "A 34481-2023")</f>
        <v/>
      </c>
    </row>
    <row r="16" ht="15" customHeight="1">
      <c r="A16" t="inlineStr">
        <is>
          <t>A 57118-2024</t>
        </is>
      </c>
      <c r="B16" t="inlineStr">
        <is>
          <t>avverkningsanmälan</t>
        </is>
      </c>
      <c r="C16" t="inlineStr">
        <is>
          <t>Avverkning för att bevara och utveckla /försöksver</t>
        </is>
      </c>
      <c r="D16" s="1" t="n">
        <v>45629</v>
      </c>
      <c r="E16" s="1" t="n">
        <v>46228</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44245-2021</t>
        </is>
      </c>
      <c r="B17" t="inlineStr">
        <is>
          <t>avverkningsanmälan</t>
        </is>
      </c>
      <c r="C17" t="inlineStr">
        <is>
          <t>Föryngringsavverkning</t>
        </is>
      </c>
      <c r="D17" s="1" t="n">
        <v>44434</v>
      </c>
      <c r="E17" s="1" t="n">
        <v>46228</v>
      </c>
      <c r="F17" t="inlineStr">
        <is>
          <t>VÄSTERNORRLANDS LÄN</t>
        </is>
      </c>
      <c r="G17" t="inlineStr">
        <is>
          <t>ÅNGE</t>
        </is>
      </c>
      <c r="H17" t="inlineStr">
        <is>
          <t>SCA</t>
        </is>
      </c>
      <c r="I17" t="n">
        <v>27.4</v>
      </c>
      <c r="J17" t="n">
        <v>7</v>
      </c>
      <c r="K17" t="n">
        <v>4</v>
      </c>
      <c r="L17" t="n">
        <v>13</v>
      </c>
      <c r="M17" t="n">
        <v>4</v>
      </c>
      <c r="N17" t="n">
        <v>0</v>
      </c>
      <c r="O17" t="n">
        <v>0</v>
      </c>
      <c r="P17" t="n">
        <v>0</v>
      </c>
      <c r="Q17" t="n">
        <v>17</v>
      </c>
      <c r="R17" t="n">
        <v>4</v>
      </c>
      <c r="S17" t="n">
        <v>25</v>
      </c>
      <c r="T17" t="n">
        <v>95</v>
      </c>
      <c r="U17" t="n">
        <v>95</v>
      </c>
      <c r="V17"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7">
        <f>HYPERLINK("https://klasma.github.io/Logging_2260/artfynd/A 44245-2021 artfynd.xlsx", "A 44245-2021")</f>
        <v/>
      </c>
      <c r="X17">
        <f>HYPERLINK("https://klasma.github.io/Logging_2260/kartor/A 44245-2021 karta.png", "A 44245-2021")</f>
        <v/>
      </c>
      <c r="Y17">
        <f>HYPERLINK("https://klasma.github.io/Logging_2260/kartor_geotiff/A 44245-2021 georefererad karta.tif", "A 44245-2021")</f>
        <v/>
      </c>
      <c r="Z17">
        <f>HYPERLINK("https://klasma.github.io/Logging_2260/knärot/A 44245-2021 karta knärot.png", "A 44245-2021")</f>
        <v/>
      </c>
      <c r="AA17">
        <f>HYPERLINK("https://klasma.github.io/Logging_2260/klagomål/A 44245-2021 FSC-klagomål.docx", "A 44245-2021")</f>
        <v/>
      </c>
      <c r="AB17">
        <f>HYPERLINK("https://klasma.github.io/Logging_2260/klagomålsmail/A 44245-2021 FSC-klagomål mail.docx", "A 44245-2021")</f>
        <v/>
      </c>
      <c r="AC17">
        <f>HYPERLINK("https://klasma.github.io/Logging_2260/tillsyn/A 44245-2021 tillsynsbegäran.docx", "A 44245-2021")</f>
        <v/>
      </c>
      <c r="AD17">
        <f>HYPERLINK("https://klasma.github.io/Logging_2260/tillsynsmail/A 44245-2021 tillsynsbegäran mail.docx", "A 44245-2021")</f>
        <v/>
      </c>
      <c r="AE17">
        <f>HYPERLINK("https://klasma.github.io/Logging_2260/fåglar/A 44245-2021 prioriterade fågelarter.docx", "A 44245-2021")</f>
        <v/>
      </c>
    </row>
    <row r="18" ht="15" customHeight="1">
      <c r="A18" t="inlineStr">
        <is>
          <t>A 43319-2025</t>
        </is>
      </c>
      <c r="B18" t="inlineStr">
        <is>
          <t>avverkningsanmälan</t>
        </is>
      </c>
      <c r="C18" t="inlineStr">
        <is>
          <t>Föryngringsavverkning</t>
        </is>
      </c>
      <c r="D18" s="1" t="n">
        <v>45910</v>
      </c>
      <c r="E18" s="1" t="n">
        <v>46228</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46228</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46228</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46228</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46228</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46228</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46228</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46228</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31212-2025</t>
        </is>
      </c>
      <c r="B26" t="inlineStr">
        <is>
          <t>avverkningsanmälan</t>
        </is>
      </c>
      <c r="C26" t="inlineStr">
        <is>
          <t>Föryngringsavverkning</t>
        </is>
      </c>
      <c r="D26" s="1" t="n">
        <v>45832</v>
      </c>
      <c r="E26" s="1" t="n">
        <v>46228</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46228</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26959-2024</t>
        </is>
      </c>
      <c r="B28" t="inlineStr">
        <is>
          <t>avverkningsanmälan</t>
        </is>
      </c>
      <c r="C28" t="inlineStr">
        <is>
          <t>Föryngringsavverkning</t>
        </is>
      </c>
      <c r="D28" s="1" t="n">
        <v>45470</v>
      </c>
      <c r="E28" s="1" t="n">
        <v>46228</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30416-2026</t>
        </is>
      </c>
      <c r="B29" t="inlineStr">
        <is>
          <t>avverkningsanmälan</t>
        </is>
      </c>
      <c r="C29" t="inlineStr">
        <is>
          <t>Föryngringsavverkning</t>
        </is>
      </c>
      <c r="D29" s="1" t="n">
        <v>46209</v>
      </c>
      <c r="E29" s="1" t="n">
        <v>46228</v>
      </c>
      <c r="F29" t="inlineStr">
        <is>
          <t>VÄSTERNORRLANDS LÄN</t>
        </is>
      </c>
      <c r="G29" t="inlineStr">
        <is>
          <t>ÅNGE</t>
        </is>
      </c>
      <c r="H29" t="inlineStr">
        <is>
          <t>SCA</t>
        </is>
      </c>
      <c r="I29" t="n">
        <v>33.2</v>
      </c>
      <c r="J29" t="n">
        <v>10</v>
      </c>
      <c r="K29" t="n">
        <v>5</v>
      </c>
      <c r="L29" t="n">
        <v>6</v>
      </c>
      <c r="M29" t="n">
        <v>1</v>
      </c>
      <c r="N29" t="n">
        <v>0</v>
      </c>
      <c r="O29" t="n">
        <v>0</v>
      </c>
      <c r="P29" t="n">
        <v>0</v>
      </c>
      <c r="Q29" t="n">
        <v>7</v>
      </c>
      <c r="R29" t="n">
        <v>1</v>
      </c>
      <c r="S29" t="n">
        <v>18</v>
      </c>
      <c r="T29" t="n">
        <v>55</v>
      </c>
      <c r="U29" t="n">
        <v>0</v>
      </c>
      <c r="V29" s="2" t="inlineStr">
        <is>
          <t>Garnlav
Kolflarnlav
Lunglav
Rosenticka
Rödvingetrast
Ullticka
Violettgrå tagellav
Korallrot
Kransrams
Plattlummer
Spindelblomster
Stuplav
Järpe
Tjäder
Kungsfågel
Skogsödla
Fläcknycklar
Revlummer</t>
        </is>
      </c>
      <c r="W29">
        <f>HYPERLINK("https://klasma.github.io/Logging_2260/artfynd/A 30416-2026 artfynd.xlsx", "A 30416-2026")</f>
        <v/>
      </c>
      <c r="X29">
        <f>HYPERLINK("https://klasma.github.io/Logging_2260/kartor/A 30416-2026 karta.png", "A 30416-2026")</f>
        <v/>
      </c>
      <c r="Y29">
        <f>HYPERLINK("https://klasma.github.io/Logging_2260/kartor_geotiff/A 30416-2026 georefererad karta.tif", "A 30416-2026")</f>
        <v/>
      </c>
      <c r="AA29">
        <f>HYPERLINK("https://klasma.github.io/Logging_2260/klagomål/A 30416-2026 FSC-klagomål.docx", "A 30416-2026")</f>
        <v/>
      </c>
      <c r="AB29">
        <f>HYPERLINK("https://klasma.github.io/Logging_2260/klagomålsmail/A 30416-2026 FSC-klagomål mail.docx", "A 30416-2026")</f>
        <v/>
      </c>
      <c r="AC29">
        <f>HYPERLINK("https://klasma.github.io/Logging_2260/tillsyn/A 30416-2026 tillsynsbegäran.docx", "A 30416-2026")</f>
        <v/>
      </c>
      <c r="AD29">
        <f>HYPERLINK("https://klasma.github.io/Logging_2260/tillsynsmail/A 30416-2026 tillsynsbegäran mail.docx", "A 30416-2026")</f>
        <v/>
      </c>
      <c r="AE29">
        <f>HYPERLINK("https://klasma.github.io/Logging_2260/fåglar/A 30416-2026 prioriterade fågelarter.docx", "A 30416-2026")</f>
        <v/>
      </c>
    </row>
    <row r="30" ht="15" customHeight="1">
      <c r="A30" t="inlineStr">
        <is>
          <t>A 24772-2026</t>
        </is>
      </c>
      <c r="B30" t="inlineStr">
        <is>
          <t>avverkningsanmälan</t>
        </is>
      </c>
      <c r="C30" t="inlineStr">
        <is>
          <t>Föryngringsavverkning</t>
        </is>
      </c>
      <c r="D30" s="1" t="n">
        <v>46171</v>
      </c>
      <c r="E30" s="1" t="n">
        <v>46228</v>
      </c>
      <c r="F30" t="inlineStr">
        <is>
          <t>VÄSTERNORRLANDS LÄN</t>
        </is>
      </c>
      <c r="G30" t="inlineStr">
        <is>
          <t>ÅNGE</t>
        </is>
      </c>
      <c r="I30" t="n">
        <v>11.4</v>
      </c>
      <c r="J30" t="n">
        <v>3</v>
      </c>
      <c r="K30" t="n">
        <v>5</v>
      </c>
      <c r="L30" t="n">
        <v>9</v>
      </c>
      <c r="M30" t="n">
        <v>3</v>
      </c>
      <c r="N30" t="n">
        <v>0</v>
      </c>
      <c r="O30" t="n">
        <v>0</v>
      </c>
      <c r="P30" t="n">
        <v>0</v>
      </c>
      <c r="Q30" t="n">
        <v>12</v>
      </c>
      <c r="R30" t="n">
        <v>3</v>
      </c>
      <c r="S30" t="n">
        <v>18</v>
      </c>
      <c r="T30" t="n">
        <v>63</v>
      </c>
      <c r="U30" t="n">
        <v>63</v>
      </c>
      <c r="V30" s="2" t="inlineStr">
        <is>
          <t>Garnlav
Gräddporing
Knärot
Dropptaggsvamp
Gammelgransskål
Kolflarnlav
Kådvaxskinn
Lunglav
Mörk kolflarnlav
Ullticka
Violettgrå tagellav
Vitgrynig nållav
Bårdlav
Norrlandslav
Nästlav
Plattlummer
Skinnlav
Nattviol</t>
        </is>
      </c>
      <c r="W30">
        <f>HYPERLINK("https://klasma.github.io/Logging_2260/artfynd/A 24772-2026 artfynd.xlsx", "A 24772-2026")</f>
        <v/>
      </c>
      <c r="X30">
        <f>HYPERLINK("https://klasma.github.io/Logging_2260/kartor/A 24772-2026 karta.png", "A 24772-2026")</f>
        <v/>
      </c>
      <c r="Y30">
        <f>HYPERLINK("https://klasma.github.io/Logging_2260/kartor_geotiff/A 24772-2026 georefererad karta.tif", "A 24772-2026")</f>
        <v/>
      </c>
      <c r="Z30">
        <f>HYPERLINK("https://klasma.github.io/Logging_2260/knärot/A 24772-2026 karta knärot.png", "A 24772-2026")</f>
        <v/>
      </c>
      <c r="AA30">
        <f>HYPERLINK("https://klasma.github.io/Logging_2260/klagomål/A 24772-2026 FSC-klagomål.docx", "A 24772-2026")</f>
        <v/>
      </c>
      <c r="AB30">
        <f>HYPERLINK("https://klasma.github.io/Logging_2260/klagomålsmail/A 24772-2026 FSC-klagomål mail.docx", "A 24772-2026")</f>
        <v/>
      </c>
      <c r="AC30">
        <f>HYPERLINK("https://klasma.github.io/Logging_2260/tillsyn/A 24772-2026 tillsynsbegäran.docx", "A 24772-2026")</f>
        <v/>
      </c>
      <c r="AD30">
        <f>HYPERLINK("https://klasma.github.io/Logging_2260/tillsynsmail/A 24772-2026 tillsynsbegäran mail.docx", "A 24772-2026")</f>
        <v/>
      </c>
    </row>
    <row r="31" ht="15" customHeight="1">
      <c r="A31" t="inlineStr">
        <is>
          <t>A 46329-2022</t>
        </is>
      </c>
      <c r="B31" t="inlineStr">
        <is>
          <t>avverkningsanmälan</t>
        </is>
      </c>
      <c r="C31" t="inlineStr">
        <is>
          <t>Föryngringsavverkning</t>
        </is>
      </c>
      <c r="D31" s="1" t="n">
        <v>44847</v>
      </c>
      <c r="E31" s="1" t="n">
        <v>46228</v>
      </c>
      <c r="F31" t="inlineStr">
        <is>
          <t>VÄSTERNORRLANDS LÄN</t>
        </is>
      </c>
      <c r="G31" t="inlineStr">
        <is>
          <t>ÅNGE</t>
        </is>
      </c>
      <c r="H31" t="inlineStr">
        <is>
          <t>SCA</t>
        </is>
      </c>
      <c r="I31" t="n">
        <v>54</v>
      </c>
      <c r="J31" t="n">
        <v>4</v>
      </c>
      <c r="K31" t="n">
        <v>8</v>
      </c>
      <c r="L31" t="n">
        <v>6</v>
      </c>
      <c r="M31" t="n">
        <v>2</v>
      </c>
      <c r="N31" t="n">
        <v>0</v>
      </c>
      <c r="O31" t="n">
        <v>0</v>
      </c>
      <c r="P31" t="n">
        <v>0</v>
      </c>
      <c r="Q31" t="n">
        <v>8</v>
      </c>
      <c r="R31" t="n">
        <v>2</v>
      </c>
      <c r="S31" t="n">
        <v>18</v>
      </c>
      <c r="T31" t="n">
        <v>105</v>
      </c>
      <c r="U31" t="n">
        <v>93</v>
      </c>
      <c r="V31" s="2" t="inlineStr">
        <is>
          <t>Garnlav
Knärot
Kandelabersvamp
Kolflarnlav
Lunglav
Skrovellav
Tallticka
Vedtrappmossa
Bollvitmossa
Bårdlav
Grönpyrola
Norrlandslav
Skinnlav
Spindelblomster
Stuplav
Svavelriska
Fläcknycklar
Nattviol</t>
        </is>
      </c>
      <c r="W31">
        <f>HYPERLINK("https://klasma.github.io/Logging_2260/artfynd/A 46329-2022 artfynd.xlsx", "A 46329-2022")</f>
        <v/>
      </c>
      <c r="X31">
        <f>HYPERLINK("https://klasma.github.io/Logging_2260/kartor/A 46329-2022 karta.png", "A 46329-2022")</f>
        <v/>
      </c>
      <c r="Y31">
        <f>HYPERLINK("https://klasma.github.io/Logging_2260/kartor_geotiff/A 46329-2022 georefererad karta.tif", "A 46329-2022")</f>
        <v/>
      </c>
      <c r="Z31">
        <f>HYPERLINK("https://klasma.github.io/Logging_2260/knärot/A 46329-2022 karta knärot.png", "A 46329-2022")</f>
        <v/>
      </c>
      <c r="AA31">
        <f>HYPERLINK("https://klasma.github.io/Logging_2260/klagomål/A 46329-2022 FSC-klagomål.docx", "A 46329-2022")</f>
        <v/>
      </c>
      <c r="AB31">
        <f>HYPERLINK("https://klasma.github.io/Logging_2260/klagomålsmail/A 46329-2022 FSC-klagomål mail.docx", "A 46329-2022")</f>
        <v/>
      </c>
      <c r="AC31">
        <f>HYPERLINK("https://klasma.github.io/Logging_2260/tillsyn/A 46329-2022 tillsynsbegäran.docx", "A 46329-2022")</f>
        <v/>
      </c>
      <c r="AD31">
        <f>HYPERLINK("https://klasma.github.io/Logging_2260/tillsynsmail/A 46329-2022 tillsynsbegäran mail.docx", "A 46329-2022")</f>
        <v/>
      </c>
    </row>
    <row r="32" ht="15" customHeight="1">
      <c r="A32" t="inlineStr">
        <is>
          <t>S 584-2026</t>
        </is>
      </c>
      <c r="B32" t="inlineStr">
        <is>
          <t>samrådsanmälan</t>
        </is>
      </c>
      <c r="C32" t="inlineStr">
        <is>
          <t>Skogsgödsling</t>
        </is>
      </c>
      <c r="D32" s="1" t="n">
        <v>46083</v>
      </c>
      <c r="E32" s="1" t="n">
        <v>46228</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46228</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46228</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46228</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t="n">
        <v>58</v>
      </c>
      <c r="V35" s="2" t="inlineStr">
        <is>
          <t>Knärot
Dropptaggsvamp
Dvärgbägarlav
Kolflarnlav
Kötticka
Lunglav
Mörk kolflarnlav
Rosenticka
Rynkskinn
Talltita
Turkos blåvinge
Ullticka
Vedtrappmossa
Vit vedfingersvamp
Bronshjon
Stor aspticka
Vedticka</t>
        </is>
      </c>
      <c r="W35">
        <f>HYPERLINK("https://klasma.github.io/Logging_2260/artfynd/A 54677-2023 artfynd.xlsx", "A 54677-2023")</f>
        <v/>
      </c>
      <c r="X35">
        <f>HYPERLINK("https://klasma.github.io/Logging_2260/kartor/A 54677-2023 karta.png", "A 54677-2023")</f>
        <v/>
      </c>
      <c r="Y35">
        <f>HYPERLINK("https://klasma.github.io/Logging_2260/kartor_geotiff/A 54677-2023 georefererad karta.tif", "A 54677-2023")</f>
        <v/>
      </c>
      <c r="Z35">
        <f>HYPERLINK("https://klasma.github.io/Logging_2260/knärot/A 54677-2023 karta knärot.png", "A 54677-2023")</f>
        <v/>
      </c>
      <c r="AA35">
        <f>HYPERLINK("https://klasma.github.io/Logging_2260/klagomål/A 54677-2023 FSC-klagomål.docx", "A 54677-2023")</f>
        <v/>
      </c>
      <c r="AB35">
        <f>HYPERLINK("https://klasma.github.io/Logging_2260/klagomålsmail/A 54677-2023 FSC-klagomål mail.docx", "A 54677-2023")</f>
        <v/>
      </c>
      <c r="AC35">
        <f>HYPERLINK("https://klasma.github.io/Logging_2260/tillsyn/A 54677-2023 tillsynsbegäran.docx", "A 54677-2023")</f>
        <v/>
      </c>
      <c r="AD35">
        <f>HYPERLINK("https://klasma.github.io/Logging_2260/tillsynsmail/A 54677-2023 tillsynsbegäran mail.docx", "A 54677-2023")</f>
        <v/>
      </c>
      <c r="AE35">
        <f>HYPERLINK("https://klasma.github.io/Logging_2260/fåglar/A 54677-2023 prioriterade fågelarter.docx", "A 54677-2023")</f>
        <v/>
      </c>
    </row>
    <row r="36" ht="15" customHeight="1">
      <c r="A36" t="inlineStr">
        <is>
          <t>A 24773-2026</t>
        </is>
      </c>
      <c r="B36" t="inlineStr">
        <is>
          <t>avverkningsanmälan</t>
        </is>
      </c>
      <c r="C36" t="inlineStr">
        <is>
          <t>Föryngringsavverkning</t>
        </is>
      </c>
      <c r="D36" s="1" t="n">
        <v>46171</v>
      </c>
      <c r="E36" s="1" t="n">
        <v>46228</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A 50331-2022</t>
        </is>
      </c>
      <c r="B37" t="inlineStr">
        <is>
          <t>avverkningsanmälan</t>
        </is>
      </c>
      <c r="C37" t="inlineStr">
        <is>
          <t>Föryngringsavverkning</t>
        </is>
      </c>
      <c r="D37" s="1" t="n">
        <v>44865</v>
      </c>
      <c r="E37" s="1" t="n">
        <v>46228</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46228</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46228</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46228</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46228</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54095-2025</t>
        </is>
      </c>
      <c r="B42" t="inlineStr">
        <is>
          <t>avverkningsanmälan</t>
        </is>
      </c>
      <c r="C42" t="inlineStr">
        <is>
          <t>Föryngringsavverkning</t>
        </is>
      </c>
      <c r="D42" s="1" t="n">
        <v>45964</v>
      </c>
      <c r="E42" s="1" t="n">
        <v>46228</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45833-2025</t>
        </is>
      </c>
      <c r="B43" t="inlineStr">
        <is>
          <t>avverkningsanmälan</t>
        </is>
      </c>
      <c r="C43" t="inlineStr">
        <is>
          <t>Föryngringsavverkning</t>
        </is>
      </c>
      <c r="D43" s="1" t="n">
        <v>45923</v>
      </c>
      <c r="E43" s="1" t="n">
        <v>46228</v>
      </c>
      <c r="F43" t="inlineStr">
        <is>
          <t>VÄSTERNORRLANDS LÄN</t>
        </is>
      </c>
      <c r="G43" t="inlineStr">
        <is>
          <t>ÅNGE</t>
        </is>
      </c>
      <c r="I43" t="n">
        <v>8.1</v>
      </c>
      <c r="J43" t="n">
        <v>5</v>
      </c>
      <c r="K43" t="n">
        <v>3</v>
      </c>
      <c r="L43" t="n">
        <v>9</v>
      </c>
      <c r="M43" t="n">
        <v>2</v>
      </c>
      <c r="N43" t="n">
        <v>0</v>
      </c>
      <c r="O43" t="n">
        <v>0</v>
      </c>
      <c r="P43" t="n">
        <v>0</v>
      </c>
      <c r="Q43" t="n">
        <v>11</v>
      </c>
      <c r="R43" t="n">
        <v>2</v>
      </c>
      <c r="S43" t="n">
        <v>16</v>
      </c>
      <c r="T43" t="n">
        <v>110</v>
      </c>
      <c r="U43" t="n">
        <v>110</v>
      </c>
      <c r="V43" s="2" t="inlineStr">
        <is>
          <t>Garnlav
Knärot
Doftskinn
Dropptaggsvamp
Kötticka
Lunglav
Rosenticka
Rynkskinn
Talltita
Tretåig hackspett
Ullticka
Bollvitmossa
Grönpyrola
Vedticka
Spillkråka
Revlummer</t>
        </is>
      </c>
      <c r="W43">
        <f>HYPERLINK("https://klasma.github.io/Logging_2260/artfynd/A 45833-2025 artfynd.xlsx", "A 45833-2025")</f>
        <v/>
      </c>
      <c r="X43">
        <f>HYPERLINK("https://klasma.github.io/Logging_2260/kartor/A 45833-2025 karta.png", "A 45833-2025")</f>
        <v/>
      </c>
      <c r="Y43">
        <f>HYPERLINK("https://klasma.github.io/Logging_2260/kartor_geotiff/A 45833-2025 georefererad karta.tif", "A 45833-2025")</f>
        <v/>
      </c>
      <c r="Z43">
        <f>HYPERLINK("https://klasma.github.io/Logging_2260/knärot/A 45833-2025 karta knärot.png", "A 45833-2025")</f>
        <v/>
      </c>
      <c r="AA43">
        <f>HYPERLINK("https://klasma.github.io/Logging_2260/klagomål/A 45833-2025 FSC-klagomål.docx", "A 45833-2025")</f>
        <v/>
      </c>
      <c r="AB43">
        <f>HYPERLINK("https://klasma.github.io/Logging_2260/klagomålsmail/A 45833-2025 FSC-klagomål mail.docx", "A 45833-2025")</f>
        <v/>
      </c>
      <c r="AC43">
        <f>HYPERLINK("https://klasma.github.io/Logging_2260/tillsyn/A 45833-2025 tillsynsbegäran.docx", "A 45833-2025")</f>
        <v/>
      </c>
      <c r="AD43">
        <f>HYPERLINK("https://klasma.github.io/Logging_2260/tillsynsmail/A 45833-2025 tillsynsbegäran mail.docx", "A 45833-2025")</f>
        <v/>
      </c>
      <c r="AE43">
        <f>HYPERLINK("https://klasma.github.io/Logging_2260/fåglar/A 45833-2025 prioriterade fågelarter.docx", "A 45833-2025")</f>
        <v/>
      </c>
    </row>
    <row r="44" ht="15" customHeight="1">
      <c r="A44" t="inlineStr">
        <is>
          <t>A 47789-2023</t>
        </is>
      </c>
      <c r="B44" t="inlineStr">
        <is>
          <t>avverkningsanmälan</t>
        </is>
      </c>
      <c r="C44" t="inlineStr">
        <is>
          <t>Föryngringsavverkning</t>
        </is>
      </c>
      <c r="D44" s="1" t="n">
        <v>45203</v>
      </c>
      <c r="E44" s="1" t="n">
        <v>46228</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46228</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A 34519-2022</t>
        </is>
      </c>
      <c r="B46" t="inlineStr">
        <is>
          <t>avverkningsanmälan</t>
        </is>
      </c>
      <c r="C46" t="inlineStr">
        <is>
          <t>Avverkning för att bevara och utveckla /försöksver</t>
        </is>
      </c>
      <c r="D46" s="1" t="n">
        <v>44792</v>
      </c>
      <c r="E46" s="1" t="n">
        <v>46228</v>
      </c>
      <c r="F46" t="inlineStr">
        <is>
          <t>VÄSTERNORRLANDS LÄN</t>
        </is>
      </c>
      <c r="G46" t="inlineStr">
        <is>
          <t>ÅNGE</t>
        </is>
      </c>
      <c r="H46" t="inlineStr">
        <is>
          <t>SCA</t>
        </is>
      </c>
      <c r="I46" t="n">
        <v>6.3</v>
      </c>
      <c r="J46" t="n">
        <v>3</v>
      </c>
      <c r="K46" t="n">
        <v>3</v>
      </c>
      <c r="L46" t="n">
        <v>9</v>
      </c>
      <c r="M46" t="n">
        <v>2</v>
      </c>
      <c r="N46" t="n">
        <v>0</v>
      </c>
      <c r="O46" t="n">
        <v>0</v>
      </c>
      <c r="P46" t="n">
        <v>0</v>
      </c>
      <c r="Q46" t="n">
        <v>11</v>
      </c>
      <c r="R46" t="n">
        <v>2</v>
      </c>
      <c r="S46" t="n">
        <v>16</v>
      </c>
      <c r="T46" t="n">
        <v>44</v>
      </c>
      <c r="U46" t="n">
        <v>42</v>
      </c>
      <c r="V46" s="2" t="inlineStr">
        <is>
          <t>Garnlav
Knärot
Gammelgransskål
Lunglav
Rynkskinn
Skrovellav
Stiftgelélav
Talltita
Tretåig hackspett
Ullticka
Vitgrynig nållav
Korallblylav
Luddlav
Stuplav
Kransmossa
Timmerticka</t>
        </is>
      </c>
      <c r="W46">
        <f>HYPERLINK("https://klasma.github.io/Logging_2260/artfynd/A 34519-2022 artfynd.xlsx", "A 34519-2022")</f>
        <v/>
      </c>
      <c r="X46">
        <f>HYPERLINK("https://klasma.github.io/Logging_2260/kartor/A 34519-2022 karta.png", "A 34519-2022")</f>
        <v/>
      </c>
      <c r="Y46">
        <f>HYPERLINK("https://klasma.github.io/Logging_2260/kartor_geotiff/A 34519-2022 georefererad karta.tif", "A 34519-2022")</f>
        <v/>
      </c>
      <c r="Z46">
        <f>HYPERLINK("https://klasma.github.io/Logging_2260/knärot/A 34519-2022 karta knärot.png", "A 34519-2022")</f>
        <v/>
      </c>
      <c r="AA46">
        <f>HYPERLINK("https://klasma.github.io/Logging_2260/klagomål/A 34519-2022 FSC-klagomål.docx", "A 34519-2022")</f>
        <v/>
      </c>
      <c r="AB46">
        <f>HYPERLINK("https://klasma.github.io/Logging_2260/klagomålsmail/A 34519-2022 FSC-klagomål mail.docx", "A 34519-2022")</f>
        <v/>
      </c>
      <c r="AC46">
        <f>HYPERLINK("https://klasma.github.io/Logging_2260/tillsyn/A 34519-2022 tillsynsbegäran.docx", "A 34519-2022")</f>
        <v/>
      </c>
      <c r="AD46">
        <f>HYPERLINK("https://klasma.github.io/Logging_2260/tillsynsmail/A 34519-2022 tillsynsbegäran mail.docx", "A 34519-2022")</f>
        <v/>
      </c>
      <c r="AE46">
        <f>HYPERLINK("https://klasma.github.io/Logging_2260/fåglar/A 34519-2022 prioriterade fågelarter.docx", "A 34519-2022")</f>
        <v/>
      </c>
    </row>
    <row r="47" ht="15" customHeight="1">
      <c r="A47" t="inlineStr">
        <is>
          <t>A 49184-2022</t>
        </is>
      </c>
      <c r="B47" t="inlineStr">
        <is>
          <t>avverkningsanmälan</t>
        </is>
      </c>
      <c r="C47" t="inlineStr">
        <is>
          <t>Föryngringsavverkning</t>
        </is>
      </c>
      <c r="D47" s="1" t="n">
        <v>44860</v>
      </c>
      <c r="E47" s="1" t="n">
        <v>46228</v>
      </c>
      <c r="F47" t="inlineStr">
        <is>
          <t>VÄSTERNORRLANDS LÄN</t>
        </is>
      </c>
      <c r="G47" t="inlineStr">
        <is>
          <t>ÅNGE</t>
        </is>
      </c>
      <c r="H47" t="inlineStr">
        <is>
          <t>SCA</t>
        </is>
      </c>
      <c r="I47" t="n">
        <v>14</v>
      </c>
      <c r="J47" t="n">
        <v>4</v>
      </c>
      <c r="K47" t="n">
        <v>2</v>
      </c>
      <c r="L47" t="n">
        <v>11</v>
      </c>
      <c r="M47" t="n">
        <v>1</v>
      </c>
      <c r="N47" t="n">
        <v>0</v>
      </c>
      <c r="O47" t="n">
        <v>0</v>
      </c>
      <c r="P47" t="n">
        <v>0</v>
      </c>
      <c r="Q47" t="n">
        <v>12</v>
      </c>
      <c r="R47" t="n">
        <v>1</v>
      </c>
      <c r="S47" t="n">
        <v>16</v>
      </c>
      <c r="T47" t="n">
        <v>31</v>
      </c>
      <c r="U47" t="n">
        <v>31</v>
      </c>
      <c r="V47" s="2" t="inlineStr">
        <is>
          <t>Knärot
Dropptaggsvamp
Kolflarnlav
Mörk kolflarnlav
Rosenticka
Rynkskinn
Stiftgelélav
Sädesärla
Ullticka
Vedskivlav
Vedtrappmossa
Violettgrå tagellav
Flagellkvastmossa
Skinnlav
Kungsfågel
Svartvit flugsnappare</t>
        </is>
      </c>
      <c r="W47">
        <f>HYPERLINK("https://klasma.github.io/Logging_2260/artfynd/A 49184-2022 artfynd.xlsx", "A 49184-2022")</f>
        <v/>
      </c>
      <c r="X47">
        <f>HYPERLINK("https://klasma.github.io/Logging_2260/kartor/A 49184-2022 karta.png", "A 49184-2022")</f>
        <v/>
      </c>
      <c r="Y47">
        <f>HYPERLINK("https://klasma.github.io/Logging_2260/kartor_geotiff/A 49184-2022 georefererad karta.tif", "A 49184-2022")</f>
        <v/>
      </c>
      <c r="Z47">
        <f>HYPERLINK("https://klasma.github.io/Logging_2260/knärot/A 49184-2022 karta knärot.png", "A 49184-2022")</f>
        <v/>
      </c>
      <c r="AA47">
        <f>HYPERLINK("https://klasma.github.io/Logging_2260/klagomål/A 49184-2022 FSC-klagomål.docx", "A 49184-2022")</f>
        <v/>
      </c>
      <c r="AB47">
        <f>HYPERLINK("https://klasma.github.io/Logging_2260/klagomålsmail/A 49184-2022 FSC-klagomål mail.docx", "A 49184-2022")</f>
        <v/>
      </c>
      <c r="AC47">
        <f>HYPERLINK("https://klasma.github.io/Logging_2260/tillsyn/A 49184-2022 tillsynsbegäran.docx", "A 49184-2022")</f>
        <v/>
      </c>
      <c r="AD47">
        <f>HYPERLINK("https://klasma.github.io/Logging_2260/tillsynsmail/A 49184-2022 tillsynsbegäran mail.docx", "A 49184-2022")</f>
        <v/>
      </c>
      <c r="AE47">
        <f>HYPERLINK("https://klasma.github.io/Logging_2260/fåglar/A 49184-2022 prioriterade fågelarter.docx", "A 49184-2022")</f>
        <v/>
      </c>
    </row>
    <row r="48" ht="15" customHeight="1">
      <c r="A48" t="inlineStr">
        <is>
          <t>S 292-2024</t>
        </is>
      </c>
      <c r="B48" t="inlineStr">
        <is>
          <t>samrådsanmälan</t>
        </is>
      </c>
      <c r="C48" t="inlineStr">
        <is>
          <t>Skogsgödsling</t>
        </is>
      </c>
      <c r="D48" s="1" t="n">
        <v>45323</v>
      </c>
      <c r="E48" s="1" t="n">
        <v>46228</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46228</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46228</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46228</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46228</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46228</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46228</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46228</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25323-2023</t>
        </is>
      </c>
      <c r="B56" t="inlineStr">
        <is>
          <t>avverkningsanmälan</t>
        </is>
      </c>
      <c r="C56" t="inlineStr">
        <is>
          <t>Föryngringsavverkning</t>
        </is>
      </c>
      <c r="D56" s="1" t="n">
        <v>45086</v>
      </c>
      <c r="E56" s="1" t="n">
        <v>46228</v>
      </c>
      <c r="F56" t="inlineStr">
        <is>
          <t>VÄSTERNORRLANDS LÄN</t>
        </is>
      </c>
      <c r="G56" t="inlineStr">
        <is>
          <t>ÅNGE</t>
        </is>
      </c>
      <c r="H56" t="inlineStr">
        <is>
          <t>SCA</t>
        </is>
      </c>
      <c r="I56" t="n">
        <v>1.8</v>
      </c>
      <c r="J56" t="n">
        <v>3</v>
      </c>
      <c r="K56" t="n">
        <v>2</v>
      </c>
      <c r="L56" t="n">
        <v>6</v>
      </c>
      <c r="M56" t="n">
        <v>5</v>
      </c>
      <c r="N56" t="n">
        <v>0</v>
      </c>
      <c r="O56" t="n">
        <v>0</v>
      </c>
      <c r="P56" t="n">
        <v>0</v>
      </c>
      <c r="Q56" t="n">
        <v>11</v>
      </c>
      <c r="R56" t="n">
        <v>5</v>
      </c>
      <c r="S56" t="n">
        <v>14</v>
      </c>
      <c r="T56" t="n">
        <v>21</v>
      </c>
      <c r="U56" t="n">
        <v>21</v>
      </c>
      <c r="V56" s="2" t="inlineStr">
        <is>
          <t>Garnlav
Knärot
Laxgröppa
Skrovlig taggsvamp
Smalfotad taggsvamp
Dropptaggsvamp
Lunglav
Mörk kolflarnlav
Skarp dropptaggsvamp
Talltita
Vedtrappmossa
Stuplav
Vedticka
Tjäder</t>
        </is>
      </c>
      <c r="W56">
        <f>HYPERLINK("https://klasma.github.io/Logging_2260/artfynd/A 25323-2023 artfynd.xlsx", "A 25323-2023")</f>
        <v/>
      </c>
      <c r="X56">
        <f>HYPERLINK("https://klasma.github.io/Logging_2260/kartor/A 25323-2023 karta.png", "A 25323-2023")</f>
        <v/>
      </c>
      <c r="Y56">
        <f>HYPERLINK("https://klasma.github.io/Logging_2260/kartor_geotiff/A 25323-2023 georefererad karta.tif", "A 25323-2023")</f>
        <v/>
      </c>
      <c r="Z56">
        <f>HYPERLINK("https://klasma.github.io/Logging_2260/knärot/A 25323-2023 karta knärot.png", "A 25323-2023")</f>
        <v/>
      </c>
      <c r="AA56">
        <f>HYPERLINK("https://klasma.github.io/Logging_2260/klagomål/A 25323-2023 FSC-klagomål.docx", "A 25323-2023")</f>
        <v/>
      </c>
      <c r="AB56">
        <f>HYPERLINK("https://klasma.github.io/Logging_2260/klagomålsmail/A 25323-2023 FSC-klagomål mail.docx", "A 25323-2023")</f>
        <v/>
      </c>
      <c r="AC56">
        <f>HYPERLINK("https://klasma.github.io/Logging_2260/tillsyn/A 25323-2023 tillsynsbegäran.docx", "A 25323-2023")</f>
        <v/>
      </c>
      <c r="AD56">
        <f>HYPERLINK("https://klasma.github.io/Logging_2260/tillsynsmail/A 25323-2023 tillsynsbegäran mail.docx", "A 25323-2023")</f>
        <v/>
      </c>
      <c r="AE56">
        <f>HYPERLINK("https://klasma.github.io/Logging_2260/fåglar/A 25323-2023 prioriterade fågelarter.docx", "A 25323-2023")</f>
        <v/>
      </c>
    </row>
    <row r="57" ht="15" customHeight="1">
      <c r="A57" t="inlineStr">
        <is>
          <t>S 1066-2025</t>
        </is>
      </c>
      <c r="B57" t="inlineStr">
        <is>
          <t>samrådsanmälan</t>
        </is>
      </c>
      <c r="C57" t="inlineStr">
        <is>
          <t>Annan skogsbruksåtgärd</t>
        </is>
      </c>
      <c r="D57" s="1" t="n">
        <v>45749</v>
      </c>
      <c r="E57" s="1" t="n">
        <v>46228</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46228</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46228</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46228</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46228</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42309-2021</t>
        </is>
      </c>
      <c r="B62" t="inlineStr">
        <is>
          <t>avverkningsanmälan</t>
        </is>
      </c>
      <c r="C62" t="inlineStr">
        <is>
          <t>Föryngringsavverkning</t>
        </is>
      </c>
      <c r="D62" s="1" t="n">
        <v>44427</v>
      </c>
      <c r="E62" s="1" t="n">
        <v>46228</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13934-2024</t>
        </is>
      </c>
      <c r="B63" t="inlineStr">
        <is>
          <t>avverkningsanmälan</t>
        </is>
      </c>
      <c r="C63" t="inlineStr">
        <is>
          <t>Föryngringsavverkning</t>
        </is>
      </c>
      <c r="D63" s="1" t="n">
        <v>45391</v>
      </c>
      <c r="E63" s="1" t="n">
        <v>46228</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55004-2023</t>
        </is>
      </c>
      <c r="B64" t="inlineStr">
        <is>
          <t>avverkningsanmälan</t>
        </is>
      </c>
      <c r="C64" t="inlineStr">
        <is>
          <t>Föryngringsavverkning</t>
        </is>
      </c>
      <c r="D64" s="1" t="n">
        <v>45236</v>
      </c>
      <c r="E64" s="1" t="n">
        <v>46228</v>
      </c>
      <c r="F64" t="inlineStr">
        <is>
          <t>VÄSTERNORRLANDS LÄN</t>
        </is>
      </c>
      <c r="G64" t="inlineStr">
        <is>
          <t>ÅNGE</t>
        </is>
      </c>
      <c r="H64" t="inlineStr">
        <is>
          <t>SCA</t>
        </is>
      </c>
      <c r="I64" t="n">
        <v>3.7</v>
      </c>
      <c r="J64" t="n">
        <v>8</v>
      </c>
      <c r="K64" t="n">
        <v>6</v>
      </c>
      <c r="L64" t="n">
        <v>1</v>
      </c>
      <c r="M64" t="n">
        <v>0</v>
      </c>
      <c r="N64" t="n">
        <v>0</v>
      </c>
      <c r="O64" t="n">
        <v>0</v>
      </c>
      <c r="P64" t="n">
        <v>0</v>
      </c>
      <c r="Q64" t="n">
        <v>1</v>
      </c>
      <c r="R64" t="n">
        <v>0</v>
      </c>
      <c r="S64" t="n">
        <v>12</v>
      </c>
      <c r="T64" t="n">
        <v>20</v>
      </c>
      <c r="U64" t="n">
        <v>0</v>
      </c>
      <c r="V64" s="2" t="inlineStr">
        <is>
          <t>Storgröe
Gräsull
Korallrot
Kransrams
Spindelblomster
Spädstarr
Tvåblad
Tjäder
Vanlig groda
Fläcknycklar
Ängsnycklar
Revlummer</t>
        </is>
      </c>
      <c r="W64">
        <f>HYPERLINK("https://klasma.github.io/Logging_2260/artfynd/A 55004-2023 artfynd.xlsx", "A 55004-2023")</f>
        <v/>
      </c>
      <c r="X64">
        <f>HYPERLINK("https://klasma.github.io/Logging_2260/kartor/A 55004-2023 karta.png", "A 55004-2023")</f>
        <v/>
      </c>
      <c r="Y64">
        <f>HYPERLINK("https://klasma.github.io/Logging_2260/kartor_geotiff/A 55004-2023 georefererad karta.tif", "A 55004-2023")</f>
        <v/>
      </c>
      <c r="AA64">
        <f>HYPERLINK("https://klasma.github.io/Logging_2260/klagomål/A 55004-2023 FSC-klagomål.docx", "A 55004-2023")</f>
        <v/>
      </c>
      <c r="AB64">
        <f>HYPERLINK("https://klasma.github.io/Logging_2260/klagomålsmail/A 55004-2023 FSC-klagomål mail.docx", "A 55004-2023")</f>
        <v/>
      </c>
      <c r="AC64">
        <f>HYPERLINK("https://klasma.github.io/Logging_2260/tillsyn/A 55004-2023 tillsynsbegäran.docx", "A 55004-2023")</f>
        <v/>
      </c>
      <c r="AD64">
        <f>HYPERLINK("https://klasma.github.io/Logging_2260/tillsynsmail/A 55004-2023 tillsynsbegäran mail.docx", "A 55004-2023")</f>
        <v/>
      </c>
      <c r="AE64">
        <f>HYPERLINK("https://klasma.github.io/Logging_2260/fåglar/A 55004-2023 prioriterade fågelarter.docx", "A 55004-2023")</f>
        <v/>
      </c>
    </row>
    <row r="65" ht="15" customHeight="1">
      <c r="A65" t="inlineStr">
        <is>
          <t>A 6429-2022</t>
        </is>
      </c>
      <c r="B65" t="inlineStr">
        <is>
          <t>avverkningsanmälan</t>
        </is>
      </c>
      <c r="C65" t="inlineStr">
        <is>
          <t>Föryngringsavverkning</t>
        </is>
      </c>
      <c r="D65" s="1" t="n">
        <v>44600</v>
      </c>
      <c r="E65" s="1" t="n">
        <v>46228</v>
      </c>
      <c r="F65" t="inlineStr">
        <is>
          <t>VÄSTERNORRLANDS LÄN</t>
        </is>
      </c>
      <c r="G65" t="inlineStr">
        <is>
          <t>ÅNGE</t>
        </is>
      </c>
      <c r="H65" t="inlineStr">
        <is>
          <t>SCA</t>
        </is>
      </c>
      <c r="I65" t="n">
        <v>32.8</v>
      </c>
      <c r="J65" t="n">
        <v>1</v>
      </c>
      <c r="K65" t="n">
        <v>2</v>
      </c>
      <c r="L65" t="n">
        <v>8</v>
      </c>
      <c r="M65" t="n">
        <v>1</v>
      </c>
      <c r="N65" t="n">
        <v>0</v>
      </c>
      <c r="O65" t="n">
        <v>0</v>
      </c>
      <c r="P65" t="n">
        <v>0</v>
      </c>
      <c r="Q65" t="n">
        <v>9</v>
      </c>
      <c r="R65" t="n">
        <v>1</v>
      </c>
      <c r="S65" t="n">
        <v>12</v>
      </c>
      <c r="T65" t="n">
        <v>22</v>
      </c>
      <c r="U65" t="n">
        <v>0</v>
      </c>
      <c r="V65" s="2" t="inlineStr">
        <is>
          <t>Garnlav
Blanksvart spiklav
Blågrå svartspik
Kortskaftad ärgspik
Lunglav
Mörk kolflarnlav
Rosenticka
Ullticka
Vedflamlav
Barkticka
Korallblylav
Fläcknycklar</t>
        </is>
      </c>
      <c r="W65">
        <f>HYPERLINK("https://klasma.github.io/Logging_2260/artfynd/A 6429-2022 artfynd.xlsx", "A 6429-2022")</f>
        <v/>
      </c>
      <c r="X65">
        <f>HYPERLINK("https://klasma.github.io/Logging_2260/kartor/A 6429-2022 karta.png", "A 6429-2022")</f>
        <v/>
      </c>
      <c r="Y65">
        <f>HYPERLINK("https://klasma.github.io/Logging_2260/kartor_geotiff/A 6429-2022 georefererad karta.tif", "A 6429-2022")</f>
        <v/>
      </c>
      <c r="AA65">
        <f>HYPERLINK("https://klasma.github.io/Logging_2260/klagomål/A 6429-2022 FSC-klagomål.docx", "A 6429-2022")</f>
        <v/>
      </c>
      <c r="AB65">
        <f>HYPERLINK("https://klasma.github.io/Logging_2260/klagomålsmail/A 6429-2022 FSC-klagomål mail.docx", "A 6429-2022")</f>
        <v/>
      </c>
      <c r="AC65">
        <f>HYPERLINK("https://klasma.github.io/Logging_2260/tillsyn/A 6429-2022 tillsynsbegäran.docx", "A 6429-2022")</f>
        <v/>
      </c>
      <c r="AD65">
        <f>HYPERLINK("https://klasma.github.io/Logging_2260/tillsynsmail/A 6429-2022 tillsynsbegäran mail.docx", "A 6429-2022")</f>
        <v/>
      </c>
    </row>
    <row r="66" ht="15" customHeight="1">
      <c r="A66" t="inlineStr">
        <is>
          <t>A 14887-2022</t>
        </is>
      </c>
      <c r="B66" t="inlineStr">
        <is>
          <t>avverkningsanmälan</t>
        </is>
      </c>
      <c r="C66" t="inlineStr">
        <is>
          <t>Föryngringsavverkning</t>
        </is>
      </c>
      <c r="D66" s="1" t="n">
        <v>44656</v>
      </c>
      <c r="E66" s="1" t="n">
        <v>46228</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10086-2023</t>
        </is>
      </c>
      <c r="B67" t="inlineStr">
        <is>
          <t>avverkningsanmälan</t>
        </is>
      </c>
      <c r="C67" t="inlineStr">
        <is>
          <t>Avverkning för att bevara och utveckla /försöksver</t>
        </is>
      </c>
      <c r="D67" s="1" t="n">
        <v>44985</v>
      </c>
      <c r="E67" s="1" t="n">
        <v>46228</v>
      </c>
      <c r="F67" t="inlineStr">
        <is>
          <t>VÄSTERNORRLANDS LÄN</t>
        </is>
      </c>
      <c r="G67" t="inlineStr">
        <is>
          <t>ÅNGE</t>
        </is>
      </c>
      <c r="H67" t="inlineStr">
        <is>
          <t>SCA</t>
        </is>
      </c>
      <c r="I67" t="n">
        <v>2.4</v>
      </c>
      <c r="J67" t="n">
        <v>3</v>
      </c>
      <c r="K67" t="n">
        <v>4</v>
      </c>
      <c r="L67" t="n">
        <v>3</v>
      </c>
      <c r="M67" t="n">
        <v>2</v>
      </c>
      <c r="N67" t="n">
        <v>0</v>
      </c>
      <c r="O67" t="n">
        <v>0</v>
      </c>
      <c r="P67" t="n">
        <v>0</v>
      </c>
      <c r="Q67" t="n">
        <v>5</v>
      </c>
      <c r="R67" t="n">
        <v>2</v>
      </c>
      <c r="S67" t="n">
        <v>11</v>
      </c>
      <c r="T67" t="n">
        <v>16</v>
      </c>
      <c r="U67" t="n">
        <v>0</v>
      </c>
      <c r="V67" s="2" t="inlineStr">
        <is>
          <t>Doftticka
Garnlav
Gammelgransskål
Lunglav
Ullticka
Källpraktmossa
Stuplav
Vedticka
Vågbandad barkbock
Fläcknycklar
Revlummer</t>
        </is>
      </c>
      <c r="W67">
        <f>HYPERLINK("https://klasma.github.io/Logging_2260/artfynd/A 10086-2023 artfynd.xlsx", "A 10086-2023")</f>
        <v/>
      </c>
      <c r="X67">
        <f>HYPERLINK("https://klasma.github.io/Logging_2260/kartor/A 10086-2023 karta.png", "A 10086-2023")</f>
        <v/>
      </c>
      <c r="Y67">
        <f>HYPERLINK("https://klasma.github.io/Logging_2260/kartor_geotiff/A 10086-2023 georefererad karta.tif", "A 10086-2023")</f>
        <v/>
      </c>
      <c r="AA67">
        <f>HYPERLINK("https://klasma.github.io/Logging_2260/klagomål/A 10086-2023 FSC-klagomål.docx", "A 10086-2023")</f>
        <v/>
      </c>
      <c r="AB67">
        <f>HYPERLINK("https://klasma.github.io/Logging_2260/klagomålsmail/A 10086-2023 FSC-klagomål mail.docx", "A 10086-2023")</f>
        <v/>
      </c>
      <c r="AC67">
        <f>HYPERLINK("https://klasma.github.io/Logging_2260/tillsyn/A 10086-2023 tillsynsbegäran.docx", "A 10086-2023")</f>
        <v/>
      </c>
      <c r="AD67">
        <f>HYPERLINK("https://klasma.github.io/Logging_2260/tillsynsmail/A 10086-2023 tillsynsbegäran mail.docx", "A 10086-2023")</f>
        <v/>
      </c>
    </row>
    <row r="68" ht="15" customHeight="1">
      <c r="A68" t="inlineStr">
        <is>
          <t>A 41874-2025</t>
        </is>
      </c>
      <c r="B68" t="inlineStr">
        <is>
          <t>avverkningsanmälan</t>
        </is>
      </c>
      <c r="C68" t="inlineStr">
        <is>
          <t>Föryngringsavverkning</t>
        </is>
      </c>
      <c r="D68" s="1" t="n">
        <v>45903</v>
      </c>
      <c r="E68" s="1" t="n">
        <v>46228</v>
      </c>
      <c r="F68" t="inlineStr">
        <is>
          <t>VÄSTERNORRLANDS LÄN</t>
        </is>
      </c>
      <c r="G68" t="inlineStr">
        <is>
          <t>ÅNGE</t>
        </is>
      </c>
      <c r="H68" t="inlineStr">
        <is>
          <t>SCA</t>
        </is>
      </c>
      <c r="I68" t="n">
        <v>5.7</v>
      </c>
      <c r="J68" t="n">
        <v>5</v>
      </c>
      <c r="K68" t="n">
        <v>5</v>
      </c>
      <c r="L68" t="n">
        <v>2</v>
      </c>
      <c r="M68" t="n">
        <v>1</v>
      </c>
      <c r="N68" t="n">
        <v>0</v>
      </c>
      <c r="O68" t="n">
        <v>0</v>
      </c>
      <c r="P68" t="n">
        <v>0</v>
      </c>
      <c r="Q68" t="n">
        <v>3</v>
      </c>
      <c r="R68" t="n">
        <v>1</v>
      </c>
      <c r="S68" t="n">
        <v>11</v>
      </c>
      <c r="T68" t="n">
        <v>16</v>
      </c>
      <c r="U68" t="n">
        <v>0</v>
      </c>
      <c r="V68" s="2" t="inlineStr">
        <is>
          <t>Garnlav
Lunglav
Ullticka
Korallrot
Spindelblomster
Stuplav
Vedticka
Ögonpyrola
Tjäder
Fläcknycklar
Revlummer</t>
        </is>
      </c>
      <c r="W68">
        <f>HYPERLINK("https://klasma.github.io/Logging_2260/artfynd/A 41874-2025 artfynd.xlsx", "A 41874-2025")</f>
        <v/>
      </c>
      <c r="X68">
        <f>HYPERLINK("https://klasma.github.io/Logging_2260/kartor/A 41874-2025 karta.png", "A 41874-2025")</f>
        <v/>
      </c>
      <c r="Y68">
        <f>HYPERLINK("https://klasma.github.io/Logging_2260/kartor_geotiff/A 41874-2025 georefererad karta.tif", "A 41874-2025")</f>
        <v/>
      </c>
      <c r="AA68">
        <f>HYPERLINK("https://klasma.github.io/Logging_2260/klagomål/A 41874-2025 FSC-klagomål.docx", "A 41874-2025")</f>
        <v/>
      </c>
      <c r="AB68">
        <f>HYPERLINK("https://klasma.github.io/Logging_2260/klagomålsmail/A 41874-2025 FSC-klagomål mail.docx", "A 41874-2025")</f>
        <v/>
      </c>
      <c r="AC68">
        <f>HYPERLINK("https://klasma.github.io/Logging_2260/tillsyn/A 41874-2025 tillsynsbegäran.docx", "A 41874-2025")</f>
        <v/>
      </c>
      <c r="AD68">
        <f>HYPERLINK("https://klasma.github.io/Logging_2260/tillsynsmail/A 41874-2025 tillsynsbegäran mail.docx", "A 41874-2025")</f>
        <v/>
      </c>
      <c r="AE68">
        <f>HYPERLINK("https://klasma.github.io/Logging_2260/fåglar/A 41874-2025 prioriterade fågelarter.docx", "A 41874-2025")</f>
        <v/>
      </c>
    </row>
    <row r="69" ht="15" customHeight="1">
      <c r="A69" t="inlineStr">
        <is>
          <t>A 26363-2023</t>
        </is>
      </c>
      <c r="B69" t="inlineStr">
        <is>
          <t>avverkningsanmälan</t>
        </is>
      </c>
      <c r="C69" t="inlineStr">
        <is>
          <t>Föryngringsavverkning</t>
        </is>
      </c>
      <c r="D69" s="1" t="n">
        <v>45091</v>
      </c>
      <c r="E69" s="1" t="n">
        <v>46228</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26473-2025</t>
        </is>
      </c>
      <c r="B70" t="inlineStr">
        <is>
          <t>avverkningsanmälan</t>
        </is>
      </c>
      <c r="C70" t="inlineStr">
        <is>
          <t>Avverkning för att bevara och utveckla /försöksver</t>
        </is>
      </c>
      <c r="D70" s="1" t="n">
        <v>45807</v>
      </c>
      <c r="E70" s="1" t="n">
        <v>46228</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24176-2025</t>
        </is>
      </c>
      <c r="B71" t="inlineStr">
        <is>
          <t>avverkningsanmälan</t>
        </is>
      </c>
      <c r="C71" t="inlineStr">
        <is>
          <t>Föryngringsavverkning</t>
        </is>
      </c>
      <c r="D71" s="1" t="n">
        <v>45796</v>
      </c>
      <c r="E71" s="1" t="n">
        <v>46228</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46228</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33783-2025</t>
        </is>
      </c>
      <c r="B73" t="inlineStr">
        <is>
          <t>avverkningsanmälan</t>
        </is>
      </c>
      <c r="C73" t="inlineStr">
        <is>
          <t>Föryngringsavverkning</t>
        </is>
      </c>
      <c r="D73" s="1" t="n">
        <v>45842</v>
      </c>
      <c r="E73" s="1" t="n">
        <v>46228</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46228</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30474-2025</t>
        </is>
      </c>
      <c r="B75" t="inlineStr">
        <is>
          <t>avverkningsanmälan</t>
        </is>
      </c>
      <c r="C75" t="inlineStr">
        <is>
          <t>Föryngringsavverkning</t>
        </is>
      </c>
      <c r="D75" s="1" t="n">
        <v>45828</v>
      </c>
      <c r="E75" s="1" t="n">
        <v>46228</v>
      </c>
      <c r="F75" t="inlineStr">
        <is>
          <t>VÄSTERNORRLANDS LÄN</t>
        </is>
      </c>
      <c r="G75" t="inlineStr">
        <is>
          <t>ÅNGE</t>
        </is>
      </c>
      <c r="H75" t="inlineStr">
        <is>
          <t>SCA</t>
        </is>
      </c>
      <c r="I75" t="n">
        <v>15.2</v>
      </c>
      <c r="J75" t="n">
        <v>1</v>
      </c>
      <c r="K75" t="n">
        <v>3</v>
      </c>
      <c r="L75" t="n">
        <v>4</v>
      </c>
      <c r="M75" t="n">
        <v>2</v>
      </c>
      <c r="N75" t="n">
        <v>0</v>
      </c>
      <c r="O75" t="n">
        <v>0</v>
      </c>
      <c r="P75" t="n">
        <v>0</v>
      </c>
      <c r="Q75" t="n">
        <v>6</v>
      </c>
      <c r="R75" t="n">
        <v>2</v>
      </c>
      <c r="S75" t="n">
        <v>10</v>
      </c>
      <c r="T75" t="n">
        <v>41</v>
      </c>
      <c r="U75" t="n">
        <v>0</v>
      </c>
      <c r="V75" s="2" t="inlineStr">
        <is>
          <t>Garnlav
Liten aspgelélav
Gammelgransskål
Lunglav
Skrovellav
Violettgrå tagellav
Bårdlav
Korallblylav
Stuplav
Revlummer</t>
        </is>
      </c>
      <c r="W75">
        <f>HYPERLINK("https://klasma.github.io/Logging_2260/artfynd/A 30474-2025 artfynd.xlsx", "A 30474-2025")</f>
        <v/>
      </c>
      <c r="X75">
        <f>HYPERLINK("https://klasma.github.io/Logging_2260/kartor/A 30474-2025 karta.png", "A 30474-2025")</f>
        <v/>
      </c>
      <c r="Y75">
        <f>HYPERLINK("https://klasma.github.io/Logging_2260/kartor_geotiff/A 30474-2025 georefererad karta.tif", "A 30474-2025")</f>
        <v/>
      </c>
      <c r="AA75">
        <f>HYPERLINK("https://klasma.github.io/Logging_2260/klagomål/A 30474-2025 FSC-klagomål.docx", "A 30474-2025")</f>
        <v/>
      </c>
      <c r="AB75">
        <f>HYPERLINK("https://klasma.github.io/Logging_2260/klagomålsmail/A 30474-2025 FSC-klagomål mail.docx", "A 30474-2025")</f>
        <v/>
      </c>
      <c r="AC75">
        <f>HYPERLINK("https://klasma.github.io/Logging_2260/tillsyn/A 30474-2025 tillsynsbegäran.docx", "A 30474-2025")</f>
        <v/>
      </c>
      <c r="AD75">
        <f>HYPERLINK("https://klasma.github.io/Logging_2260/tillsynsmail/A 30474-2025 tillsynsbegäran mail.docx", "A 30474-2025")</f>
        <v/>
      </c>
    </row>
    <row r="76" ht="15" customHeight="1">
      <c r="A76" t="inlineStr">
        <is>
          <t>A 47102-2025</t>
        </is>
      </c>
      <c r="B76" t="inlineStr">
        <is>
          <t>avverkningsanmälan</t>
        </is>
      </c>
      <c r="C76" t="inlineStr">
        <is>
          <t>Avverkning för annat ändamål</t>
        </is>
      </c>
      <c r="D76" s="1" t="n">
        <v>45929</v>
      </c>
      <c r="E76" s="1" t="n">
        <v>46228</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11894-2022</t>
        </is>
      </c>
      <c r="B77" t="inlineStr">
        <is>
          <t>avverkningsanmälan</t>
        </is>
      </c>
      <c r="C77" t="inlineStr">
        <is>
          <t>Föryngringsavverkning</t>
        </is>
      </c>
      <c r="D77" s="1" t="n">
        <v>44635</v>
      </c>
      <c r="E77" s="1" t="n">
        <v>46228</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39496-2024</t>
        </is>
      </c>
      <c r="B78" t="inlineStr">
        <is>
          <t>avverkningsanmälan</t>
        </is>
      </c>
      <c r="C78" t="inlineStr">
        <is>
          <t>Föryngringsavverkning</t>
        </is>
      </c>
      <c r="D78" s="1" t="n">
        <v>45551</v>
      </c>
      <c r="E78" s="1" t="n">
        <v>46228</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46228</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5435-2026</t>
        </is>
      </c>
      <c r="B80" t="inlineStr">
        <is>
          <t>avverkningsanmälan</t>
        </is>
      </c>
      <c r="C80" t="inlineStr">
        <is>
          <t>Föryngringsavverkning</t>
        </is>
      </c>
      <c r="D80" s="1" t="n">
        <v>46050</v>
      </c>
      <c r="E80" s="1" t="n">
        <v>46228</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30840-2023</t>
        </is>
      </c>
      <c r="B81" t="inlineStr">
        <is>
          <t>avverkningsanmälan</t>
        </is>
      </c>
      <c r="C81" t="inlineStr">
        <is>
          <t>Föryngringsavverkning</t>
        </is>
      </c>
      <c r="D81" s="1" t="n">
        <v>45112</v>
      </c>
      <c r="E81" s="1" t="n">
        <v>46228</v>
      </c>
      <c r="F81" t="inlineStr">
        <is>
          <t>VÄSTERNORRLANDS LÄN</t>
        </is>
      </c>
      <c r="G81" t="inlineStr">
        <is>
          <t>ÅNGE</t>
        </is>
      </c>
      <c r="H81" t="inlineStr">
        <is>
          <t>SCA</t>
        </is>
      </c>
      <c r="I81" t="n">
        <v>9.699999999999999</v>
      </c>
      <c r="J81" t="n">
        <v>4</v>
      </c>
      <c r="K81" t="n">
        <v>0</v>
      </c>
      <c r="L81" t="n">
        <v>7</v>
      </c>
      <c r="M81" t="n">
        <v>1</v>
      </c>
      <c r="N81" t="n">
        <v>0</v>
      </c>
      <c r="O81" t="n">
        <v>0</v>
      </c>
      <c r="P81" t="n">
        <v>0</v>
      </c>
      <c r="Q81" t="n">
        <v>8</v>
      </c>
      <c r="R81" t="n">
        <v>1</v>
      </c>
      <c r="S81" t="n">
        <v>10</v>
      </c>
      <c r="T81" t="n">
        <v>69</v>
      </c>
      <c r="U81" t="n">
        <v>68</v>
      </c>
      <c r="V81" s="2" t="inlineStr">
        <is>
          <t>Knärot
Dropptaggsvamp
Kolflarnlav
Mörk kolflarnlav
Tallticka
Talltita
Ullticka
Vedtrappmossa
Spillkråka
Tjäder</t>
        </is>
      </c>
      <c r="W81">
        <f>HYPERLINK("https://klasma.github.io/Logging_2260/artfynd/A 30840-2023 artfynd.xlsx", "A 30840-2023")</f>
        <v/>
      </c>
      <c r="X81">
        <f>HYPERLINK("https://klasma.github.io/Logging_2260/kartor/A 30840-2023 karta.png", "A 30840-2023")</f>
        <v/>
      </c>
      <c r="Y81">
        <f>HYPERLINK("https://klasma.github.io/Logging_2260/kartor_geotiff/A 30840-2023 georefererad karta.tif", "A 30840-2023")</f>
        <v/>
      </c>
      <c r="Z81">
        <f>HYPERLINK("https://klasma.github.io/Logging_2260/knärot/A 30840-2023 karta knärot.png", "A 30840-2023")</f>
        <v/>
      </c>
      <c r="AA81">
        <f>HYPERLINK("https://klasma.github.io/Logging_2260/klagomål/A 30840-2023 FSC-klagomål.docx", "A 30840-2023")</f>
        <v/>
      </c>
      <c r="AB81">
        <f>HYPERLINK("https://klasma.github.io/Logging_2260/klagomålsmail/A 30840-2023 FSC-klagomål mail.docx", "A 30840-2023")</f>
        <v/>
      </c>
      <c r="AC81">
        <f>HYPERLINK("https://klasma.github.io/Logging_2260/tillsyn/A 30840-2023 tillsynsbegäran.docx", "A 30840-2023")</f>
        <v/>
      </c>
      <c r="AD81">
        <f>HYPERLINK("https://klasma.github.io/Logging_2260/tillsynsmail/A 30840-2023 tillsynsbegäran mail.docx", "A 30840-2023")</f>
        <v/>
      </c>
      <c r="AE81">
        <f>HYPERLINK("https://klasma.github.io/Logging_2260/fåglar/A 30840-2023 prioriterade fågelarter.docx", "A 30840-2023")</f>
        <v/>
      </c>
    </row>
    <row r="82" ht="15" customHeight="1">
      <c r="A82" t="inlineStr">
        <is>
          <t>A 31544-2024</t>
        </is>
      </c>
      <c r="B82" t="inlineStr">
        <is>
          <t>avverkningsanmälan</t>
        </is>
      </c>
      <c r="C82" t="inlineStr">
        <is>
          <t>Föryngringsavverkning</t>
        </is>
      </c>
      <c r="D82" s="1" t="n">
        <v>45505</v>
      </c>
      <c r="E82" s="1" t="n">
        <v>46228</v>
      </c>
      <c r="F82" t="inlineStr">
        <is>
          <t>VÄSTERNORRLANDS LÄN</t>
        </is>
      </c>
      <c r="G82" t="inlineStr">
        <is>
          <t>ÅNGE</t>
        </is>
      </c>
      <c r="H82" t="inlineStr">
        <is>
          <t>SCA</t>
        </is>
      </c>
      <c r="I82" t="n">
        <v>3.5</v>
      </c>
      <c r="J82" t="n">
        <v>2</v>
      </c>
      <c r="K82" t="n">
        <v>2</v>
      </c>
      <c r="L82" t="n">
        <v>6</v>
      </c>
      <c r="M82" t="n">
        <v>1</v>
      </c>
      <c r="N82" t="n">
        <v>0</v>
      </c>
      <c r="O82" t="n">
        <v>0</v>
      </c>
      <c r="P82" t="n">
        <v>0</v>
      </c>
      <c r="Q82" t="n">
        <v>7</v>
      </c>
      <c r="R82" t="n">
        <v>1</v>
      </c>
      <c r="S82" t="n">
        <v>10</v>
      </c>
      <c r="T82" t="n">
        <v>23</v>
      </c>
      <c r="U82" t="n">
        <v>23</v>
      </c>
      <c r="V82" s="2" t="inlineStr">
        <is>
          <t>Garnlav
Brunpudrad nållav
Gammelgransskål
Lunglav
Rosenticka
Tretåig hackspett
Vitgrynig nållav
Norrlandslav
Skinnlav
Fläcknycklar</t>
        </is>
      </c>
      <c r="W82">
        <f>HYPERLINK("https://klasma.github.io/Logging_2260/artfynd/A 31544-2024 artfynd.xlsx", "A 31544-2024")</f>
        <v/>
      </c>
      <c r="X82">
        <f>HYPERLINK("https://klasma.github.io/Logging_2260/kartor/A 31544-2024 karta.png", "A 31544-2024")</f>
        <v/>
      </c>
      <c r="Y82">
        <f>HYPERLINK("https://klasma.github.io/Logging_2260/kartor_geotiff/A 31544-2024 georefererad karta.tif", "A 31544-2024")</f>
        <v/>
      </c>
      <c r="AA82">
        <f>HYPERLINK("https://klasma.github.io/Logging_2260/klagomål/A 31544-2024 FSC-klagomål.docx", "A 31544-2024")</f>
        <v/>
      </c>
      <c r="AB82">
        <f>HYPERLINK("https://klasma.github.io/Logging_2260/klagomålsmail/A 31544-2024 FSC-klagomål mail.docx", "A 31544-2024")</f>
        <v/>
      </c>
      <c r="AC82">
        <f>HYPERLINK("https://klasma.github.io/Logging_2260/tillsyn/A 31544-2024 tillsynsbegäran.docx", "A 31544-2024")</f>
        <v/>
      </c>
      <c r="AD82">
        <f>HYPERLINK("https://klasma.github.io/Logging_2260/tillsynsmail/A 31544-2024 tillsynsbegäran mail.docx", "A 31544-2024")</f>
        <v/>
      </c>
      <c r="AE82">
        <f>HYPERLINK("https://klasma.github.io/Logging_2260/fåglar/A 31544-2024 prioriterade fågelarter.docx", "A 31544-2024")</f>
        <v/>
      </c>
    </row>
    <row r="83" ht="15" customHeight="1">
      <c r="A83" t="inlineStr">
        <is>
          <t>A 26604-2026</t>
        </is>
      </c>
      <c r="B83" t="inlineStr">
        <is>
          <t>avverkningsanmälan</t>
        </is>
      </c>
      <c r="C83" t="inlineStr">
        <is>
          <t>Föryngringsavverkning</t>
        </is>
      </c>
      <c r="D83" s="1" t="n">
        <v>46183</v>
      </c>
      <c r="E83" s="1" t="n">
        <v>46228</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44607-2021</t>
        </is>
      </c>
      <c r="B84" t="inlineStr">
        <is>
          <t>avverkningsanmälan</t>
        </is>
      </c>
      <c r="C84" t="inlineStr">
        <is>
          <t>Föryngringsavverkning</t>
        </is>
      </c>
      <c r="D84" s="1" t="n">
        <v>44435</v>
      </c>
      <c r="E84" s="1" t="n">
        <v>46228</v>
      </c>
      <c r="F84" t="inlineStr">
        <is>
          <t>VÄSTERNORRLANDS LÄN</t>
        </is>
      </c>
      <c r="G84" t="inlineStr">
        <is>
          <t>ÅNGE</t>
        </is>
      </c>
      <c r="H84" t="inlineStr">
        <is>
          <t>SCA</t>
        </is>
      </c>
      <c r="I84" t="n">
        <v>7.2</v>
      </c>
      <c r="J84" t="n">
        <v>1</v>
      </c>
      <c r="K84" t="n">
        <v>1</v>
      </c>
      <c r="L84" t="n">
        <v>6</v>
      </c>
      <c r="M84" t="n">
        <v>2</v>
      </c>
      <c r="N84" t="n">
        <v>0</v>
      </c>
      <c r="O84" t="n">
        <v>1</v>
      </c>
      <c r="P84" t="n">
        <v>0</v>
      </c>
      <c r="Q84" t="n">
        <v>9</v>
      </c>
      <c r="R84" t="n">
        <v>3</v>
      </c>
      <c r="S84" t="n">
        <v>10</v>
      </c>
      <c r="T84" t="n">
        <v>18</v>
      </c>
      <c r="U84" t="n">
        <v>18</v>
      </c>
      <c r="V84" s="2" t="inlineStr">
        <is>
          <t>Kolticka
Fläckporing
Skrovlig taggsvamp
Dropptaggsvamp
Dvärgbägarlav
Kolflarnlav
Mörk kolflarnlav
Talltita
Vedflamlav
Vedticka</t>
        </is>
      </c>
      <c r="W84">
        <f>HYPERLINK("https://klasma.github.io/Logging_2260/artfynd/A 44607-2021 artfynd.xlsx", "A 44607-2021")</f>
        <v/>
      </c>
      <c r="X84">
        <f>HYPERLINK("https://klasma.github.io/Logging_2260/kartor/A 44607-2021 karta.png", "A 44607-2021")</f>
        <v/>
      </c>
      <c r="Y84">
        <f>HYPERLINK("https://klasma.github.io/Logging_2260/kartor_geotiff/A 44607-2021 georefererad karta.tif", "A 44607-2021")</f>
        <v/>
      </c>
      <c r="AA84">
        <f>HYPERLINK("https://klasma.github.io/Logging_2260/klagomål/A 44607-2021 FSC-klagomål.docx", "A 44607-2021")</f>
        <v/>
      </c>
      <c r="AB84">
        <f>HYPERLINK("https://klasma.github.io/Logging_2260/klagomålsmail/A 44607-2021 FSC-klagomål mail.docx", "A 44607-2021")</f>
        <v/>
      </c>
      <c r="AC84">
        <f>HYPERLINK("https://klasma.github.io/Logging_2260/tillsyn/A 44607-2021 tillsynsbegäran.docx", "A 44607-2021")</f>
        <v/>
      </c>
      <c r="AD84">
        <f>HYPERLINK("https://klasma.github.io/Logging_2260/tillsynsmail/A 44607-2021 tillsynsbegäran mail.docx", "A 44607-2021")</f>
        <v/>
      </c>
      <c r="AE84">
        <f>HYPERLINK("https://klasma.github.io/Logging_2260/fåglar/A 44607-2021 prioriterade fågelarter.docx", "A 44607-2021")</f>
        <v/>
      </c>
    </row>
    <row r="85" ht="15" customHeight="1">
      <c r="A85" t="inlineStr">
        <is>
          <t>S 464-2026</t>
        </is>
      </c>
      <c r="B85" t="inlineStr">
        <is>
          <t>samrådsanmälan</t>
        </is>
      </c>
      <c r="C85" t="inlineStr">
        <is>
          <t>Skogsgödsling</t>
        </is>
      </c>
      <c r="D85" s="1" t="n">
        <v>46073</v>
      </c>
      <c r="E85" s="1" t="n">
        <v>46228</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27420-2026</t>
        </is>
      </c>
      <c r="B86" t="inlineStr">
        <is>
          <t>avverkningsanmälan</t>
        </is>
      </c>
      <c r="C86" t="inlineStr">
        <is>
          <t>Föryngringsavverkning</t>
        </is>
      </c>
      <c r="D86" s="1" t="n">
        <v>46189</v>
      </c>
      <c r="E86" s="1" t="n">
        <v>46228</v>
      </c>
      <c r="F86" t="inlineStr">
        <is>
          <t>VÄSTERNORRLANDS LÄN</t>
        </is>
      </c>
      <c r="G86" t="inlineStr">
        <is>
          <t>ÅNGE</t>
        </is>
      </c>
      <c r="H86" t="inlineStr">
        <is>
          <t>SCA</t>
        </is>
      </c>
      <c r="I86" t="n">
        <v>2.5</v>
      </c>
      <c r="J86" t="n">
        <v>1</v>
      </c>
      <c r="K86" t="n">
        <v>2</v>
      </c>
      <c r="L86" t="n">
        <v>5</v>
      </c>
      <c r="M86" t="n">
        <v>2</v>
      </c>
      <c r="N86" t="n">
        <v>0</v>
      </c>
      <c r="O86" t="n">
        <v>0</v>
      </c>
      <c r="P86" t="n">
        <v>0</v>
      </c>
      <c r="Q86" t="n">
        <v>7</v>
      </c>
      <c r="R86" t="n">
        <v>2</v>
      </c>
      <c r="S86" t="n">
        <v>9</v>
      </c>
      <c r="T86" t="n">
        <v>11</v>
      </c>
      <c r="U86" t="n">
        <v>0</v>
      </c>
      <c r="V86" s="2" t="inlineStr">
        <is>
          <t>Garnlav
Knärot
Barrviolspindling
Doftskinn
Lunglav
Puderspindling
Vedtrappmossa
Grov husmossa
Strutbräken</t>
        </is>
      </c>
      <c r="W86">
        <f>HYPERLINK("https://klasma.github.io/Logging_2260/artfynd/A 27420-2026 artfynd.xlsx", "A 27420-2026")</f>
        <v/>
      </c>
      <c r="X86">
        <f>HYPERLINK("https://klasma.github.io/Logging_2260/kartor/A 27420-2026 karta.png", "A 27420-2026")</f>
        <v/>
      </c>
      <c r="Y86">
        <f>HYPERLINK("https://klasma.github.io/Logging_2260/kartor_geotiff/A 27420-2026 georefererad karta.tif", "A 27420-2026")</f>
        <v/>
      </c>
      <c r="Z86">
        <f>HYPERLINK("https://klasma.github.io/Logging_2260/knärot/A 27420-2026 karta knärot.png", "A 27420-2026")</f>
        <v/>
      </c>
      <c r="AA86">
        <f>HYPERLINK("https://klasma.github.io/Logging_2260/klagomål/A 27420-2026 FSC-klagomål.docx", "A 27420-2026")</f>
        <v/>
      </c>
      <c r="AB86">
        <f>HYPERLINK("https://klasma.github.io/Logging_2260/klagomålsmail/A 27420-2026 FSC-klagomål mail.docx", "A 27420-2026")</f>
        <v/>
      </c>
      <c r="AC86">
        <f>HYPERLINK("https://klasma.github.io/Logging_2260/tillsyn/A 27420-2026 tillsynsbegäran.docx", "A 27420-2026")</f>
        <v/>
      </c>
      <c r="AD86">
        <f>HYPERLINK("https://klasma.github.io/Logging_2260/tillsynsmail/A 27420-2026 tillsynsbegäran mail.docx", "A 27420-2026")</f>
        <v/>
      </c>
    </row>
    <row r="87" ht="15" customHeight="1">
      <c r="A87" t="inlineStr">
        <is>
          <t>A 61007-2025</t>
        </is>
      </c>
      <c r="B87" t="inlineStr">
        <is>
          <t>avverkningsanmälan</t>
        </is>
      </c>
      <c r="C87" t="inlineStr">
        <is>
          <t>Föryngringsavverkning</t>
        </is>
      </c>
      <c r="D87" s="1" t="n">
        <v>45998</v>
      </c>
      <c r="E87" s="1" t="n">
        <v>46228</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57843-2024</t>
        </is>
      </c>
      <c r="B88" t="inlineStr">
        <is>
          <t>avverkningsanmälan</t>
        </is>
      </c>
      <c r="C88" t="inlineStr">
        <is>
          <t>Föryngringsavverkning</t>
        </is>
      </c>
      <c r="D88" s="1" t="n">
        <v>45631</v>
      </c>
      <c r="E88" s="1" t="n">
        <v>46228</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19845-2026</t>
        </is>
      </c>
      <c r="B89" t="inlineStr">
        <is>
          <t>avverkningsanmälan</t>
        </is>
      </c>
      <c r="C89" t="inlineStr">
        <is>
          <t>Föryngringsavverkning</t>
        </is>
      </c>
      <c r="D89" s="1" t="n">
        <v>46135</v>
      </c>
      <c r="E89" s="1" t="n">
        <v>46228</v>
      </c>
      <c r="F89" t="inlineStr">
        <is>
          <t>VÄSTERNORRLANDS LÄN</t>
        </is>
      </c>
      <c r="G89" t="inlineStr">
        <is>
          <t>ÅNGE</t>
        </is>
      </c>
      <c r="I89" t="n">
        <v>4.7</v>
      </c>
      <c r="J89" t="n">
        <v>3</v>
      </c>
      <c r="K89" t="n">
        <v>2</v>
      </c>
      <c r="L89" t="n">
        <v>5</v>
      </c>
      <c r="M89" t="n">
        <v>1</v>
      </c>
      <c r="N89" t="n">
        <v>0</v>
      </c>
      <c r="O89" t="n">
        <v>0</v>
      </c>
      <c r="P89" t="n">
        <v>0</v>
      </c>
      <c r="Q89" t="n">
        <v>6</v>
      </c>
      <c r="R89" t="n">
        <v>1</v>
      </c>
      <c r="S89" t="n">
        <v>9</v>
      </c>
      <c r="T89" t="n">
        <v>44</v>
      </c>
      <c r="U89" t="n">
        <v>44</v>
      </c>
      <c r="V89" s="2" t="inlineStr">
        <is>
          <t>Knärot
Kötticka
Rosenticka
Tretåig hackspett
Ullticka
Vitgrynig nållav
Svart trolldruva
Vedticka
Revlummer</t>
        </is>
      </c>
      <c r="W89">
        <f>HYPERLINK("https://klasma.github.io/Logging_2260/artfynd/A 19845-2026 artfynd.xlsx", "A 19845-2026")</f>
        <v/>
      </c>
      <c r="X89">
        <f>HYPERLINK("https://klasma.github.io/Logging_2260/kartor/A 19845-2026 karta.png", "A 19845-2026")</f>
        <v/>
      </c>
      <c r="Y89">
        <f>HYPERLINK("https://klasma.github.io/Logging_2260/kartor_geotiff/A 19845-2026 georefererad karta.tif", "A 19845-2026")</f>
        <v/>
      </c>
      <c r="Z89">
        <f>HYPERLINK("https://klasma.github.io/Logging_2260/knärot/A 19845-2026 karta knärot.png", "A 19845-2026")</f>
        <v/>
      </c>
      <c r="AA89">
        <f>HYPERLINK("https://klasma.github.io/Logging_2260/klagomål/A 19845-2026 FSC-klagomål.docx", "A 19845-2026")</f>
        <v/>
      </c>
      <c r="AB89">
        <f>HYPERLINK("https://klasma.github.io/Logging_2260/klagomålsmail/A 19845-2026 FSC-klagomål mail.docx", "A 19845-2026")</f>
        <v/>
      </c>
      <c r="AC89">
        <f>HYPERLINK("https://klasma.github.io/Logging_2260/tillsyn/A 19845-2026 tillsynsbegäran.docx", "A 19845-2026")</f>
        <v/>
      </c>
      <c r="AD89">
        <f>HYPERLINK("https://klasma.github.io/Logging_2260/tillsynsmail/A 19845-2026 tillsynsbegäran mail.docx", "A 19845-2026")</f>
        <v/>
      </c>
      <c r="AE89">
        <f>HYPERLINK("https://klasma.github.io/Logging_2260/fåglar/A 19845-2026 prioriterade fågelarter.docx", "A 19845-2026")</f>
        <v/>
      </c>
    </row>
    <row r="90" ht="15" customHeight="1">
      <c r="A90" t="inlineStr">
        <is>
          <t>A 37450-2025</t>
        </is>
      </c>
      <c r="B90" t="inlineStr">
        <is>
          <t>avverkningsanmälan</t>
        </is>
      </c>
      <c r="C90" t="inlineStr">
        <is>
          <t>Föryngringsavverkning</t>
        </is>
      </c>
      <c r="D90" s="1" t="n">
        <v>45877</v>
      </c>
      <c r="E90" s="1" t="n">
        <v>46228</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22737-2023</t>
        </is>
      </c>
      <c r="B91" t="inlineStr">
        <is>
          <t>avverkningsanmälan</t>
        </is>
      </c>
      <c r="C91" t="inlineStr">
        <is>
          <t>Föryngringsavverkning</t>
        </is>
      </c>
      <c r="D91" s="1" t="n">
        <v>45071</v>
      </c>
      <c r="E91" s="1" t="n">
        <v>46228</v>
      </c>
      <c r="F91" t="inlineStr">
        <is>
          <t>VÄSTERNORRLANDS LÄN</t>
        </is>
      </c>
      <c r="G91" t="inlineStr">
        <is>
          <t>ÅNGE</t>
        </is>
      </c>
      <c r="I91" t="n">
        <v>9.9</v>
      </c>
      <c r="J91" t="n">
        <v>1</v>
      </c>
      <c r="K91" t="n">
        <v>3</v>
      </c>
      <c r="L91" t="n">
        <v>4</v>
      </c>
      <c r="M91" t="n">
        <v>2</v>
      </c>
      <c r="N91" t="n">
        <v>0</v>
      </c>
      <c r="O91" t="n">
        <v>0</v>
      </c>
      <c r="P91" t="n">
        <v>0</v>
      </c>
      <c r="Q91" t="n">
        <v>6</v>
      </c>
      <c r="R91" t="n">
        <v>2</v>
      </c>
      <c r="S91" t="n">
        <v>9</v>
      </c>
      <c r="T91" t="n">
        <v>18</v>
      </c>
      <c r="U91" t="n">
        <v>0</v>
      </c>
      <c r="V91" s="2" t="inlineStr">
        <is>
          <t>Aspgelélav
Knärot
Lunglav
Skrovellav
Vedtrappmossa
Vitgrynig nållav
Bårdlav
Gytterlav
Skinnlav</t>
        </is>
      </c>
      <c r="W91">
        <f>HYPERLINK("https://klasma.github.io/Logging_2260/artfynd/A 22737-2023 artfynd.xlsx", "A 22737-2023")</f>
        <v/>
      </c>
      <c r="X91">
        <f>HYPERLINK("https://klasma.github.io/Logging_2260/kartor/A 22737-2023 karta.png", "A 22737-2023")</f>
        <v/>
      </c>
      <c r="Y91">
        <f>HYPERLINK("https://klasma.github.io/Logging_2260/kartor_geotiff/A 22737-2023 georefererad karta.tif", "A 22737-2023")</f>
        <v/>
      </c>
      <c r="Z91">
        <f>HYPERLINK("https://klasma.github.io/Logging_2260/knärot/A 22737-2023 karta knärot.png", "A 22737-2023")</f>
        <v/>
      </c>
      <c r="AA91">
        <f>HYPERLINK("https://klasma.github.io/Logging_2260/klagomål/A 22737-2023 FSC-klagomål.docx", "A 22737-2023")</f>
        <v/>
      </c>
      <c r="AB91">
        <f>HYPERLINK("https://klasma.github.io/Logging_2260/klagomålsmail/A 22737-2023 FSC-klagomål mail.docx", "A 22737-2023")</f>
        <v/>
      </c>
      <c r="AC91">
        <f>HYPERLINK("https://klasma.github.io/Logging_2260/tillsyn/A 22737-2023 tillsynsbegäran.docx", "A 22737-2023")</f>
        <v/>
      </c>
      <c r="AD91">
        <f>HYPERLINK("https://klasma.github.io/Logging_2260/tillsynsmail/A 22737-2023 tillsynsbegäran mail.docx", "A 22737-2023")</f>
        <v/>
      </c>
    </row>
    <row r="92" ht="15" customHeight="1">
      <c r="A92" t="inlineStr">
        <is>
          <t>A 39708-2024</t>
        </is>
      </c>
      <c r="B92" t="inlineStr">
        <is>
          <t>avverkningsanmälan</t>
        </is>
      </c>
      <c r="C92" t="inlineStr">
        <is>
          <t>Föryngringsavverkning</t>
        </is>
      </c>
      <c r="D92" s="1" t="n">
        <v>45552</v>
      </c>
      <c r="E92" s="1" t="n">
        <v>46228</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A 26314-2024</t>
        </is>
      </c>
      <c r="B93" t="inlineStr">
        <is>
          <t>avverkningsanmälan</t>
        </is>
      </c>
      <c r="C93" t="inlineStr">
        <is>
          <t>Föryngringsavverkning</t>
        </is>
      </c>
      <c r="D93" s="1" t="n">
        <v>45468</v>
      </c>
      <c r="E93" s="1" t="n">
        <v>46228</v>
      </c>
      <c r="F93" t="inlineStr">
        <is>
          <t>VÄSTERNORRLANDS LÄN</t>
        </is>
      </c>
      <c r="G93" t="inlineStr">
        <is>
          <t>ÅNGE</t>
        </is>
      </c>
      <c r="H93" t="inlineStr">
        <is>
          <t>SCA</t>
        </is>
      </c>
      <c r="I93" t="n">
        <v>11.9</v>
      </c>
      <c r="J93" t="n">
        <v>1</v>
      </c>
      <c r="K93" t="n">
        <v>0</v>
      </c>
      <c r="L93" t="n">
        <v>7</v>
      </c>
      <c r="M93" t="n">
        <v>2</v>
      </c>
      <c r="N93" t="n">
        <v>0</v>
      </c>
      <c r="O93" t="n">
        <v>0</v>
      </c>
      <c r="P93" t="n">
        <v>0</v>
      </c>
      <c r="Q93" t="n">
        <v>9</v>
      </c>
      <c r="R93" t="n">
        <v>2</v>
      </c>
      <c r="S93" t="n">
        <v>9</v>
      </c>
      <c r="T93" t="n">
        <v>15</v>
      </c>
      <c r="U93" t="n">
        <v>14</v>
      </c>
      <c r="V93" s="2" t="inlineStr">
        <is>
          <t>Fläckporing
Knärot
Dropptaggsvamp
Dvärgbägarlav
Kolflarnlav
Lunglav
Mörk kolflarnlav
Vedflamlav
Vedskivlav</t>
        </is>
      </c>
      <c r="W93">
        <f>HYPERLINK("https://klasma.github.io/Logging_2260/artfynd/A 26314-2024 artfynd.xlsx", "A 26314-2024")</f>
        <v/>
      </c>
      <c r="X93">
        <f>HYPERLINK("https://klasma.github.io/Logging_2260/kartor/A 26314-2024 karta.png", "A 26314-2024")</f>
        <v/>
      </c>
      <c r="Y93">
        <f>HYPERLINK("https://klasma.github.io/Logging_2260/kartor_geotiff/A 26314-2024 georefererad karta.tif", "A 26314-2024")</f>
        <v/>
      </c>
      <c r="Z93">
        <f>HYPERLINK("https://klasma.github.io/Logging_2260/knärot/A 26314-2024 karta knärot.png", "A 26314-2024")</f>
        <v/>
      </c>
      <c r="AA93">
        <f>HYPERLINK("https://klasma.github.io/Logging_2260/klagomål/A 26314-2024 FSC-klagomål.docx", "A 26314-2024")</f>
        <v/>
      </c>
      <c r="AB93">
        <f>HYPERLINK("https://klasma.github.io/Logging_2260/klagomålsmail/A 26314-2024 FSC-klagomål mail.docx", "A 26314-2024")</f>
        <v/>
      </c>
      <c r="AC93">
        <f>HYPERLINK("https://klasma.github.io/Logging_2260/tillsyn/A 26314-2024 tillsynsbegäran.docx", "A 26314-2024")</f>
        <v/>
      </c>
      <c r="AD93">
        <f>HYPERLINK("https://klasma.github.io/Logging_2260/tillsynsmail/A 26314-2024 tillsynsbegäran mail.docx", "A 26314-2024")</f>
        <v/>
      </c>
    </row>
    <row r="94" ht="15" customHeight="1">
      <c r="A94" t="inlineStr">
        <is>
          <t>A 31113-2025</t>
        </is>
      </c>
      <c r="B94" t="inlineStr">
        <is>
          <t>avverkningsanmälan</t>
        </is>
      </c>
      <c r="C94" t="inlineStr">
        <is>
          <t>Föryngringsavverkning</t>
        </is>
      </c>
      <c r="D94" s="1" t="n">
        <v>45832</v>
      </c>
      <c r="E94" s="1" t="n">
        <v>46228</v>
      </c>
      <c r="F94" t="inlineStr">
        <is>
          <t>VÄSTERNORRLANDS LÄN</t>
        </is>
      </c>
      <c r="G94" t="inlineStr">
        <is>
          <t>ÅNGE</t>
        </is>
      </c>
      <c r="H94" t="inlineStr">
        <is>
          <t>SCA</t>
        </is>
      </c>
      <c r="I94" t="n">
        <v>1.5</v>
      </c>
      <c r="J94" t="n">
        <v>4</v>
      </c>
      <c r="K94" t="n">
        <v>4</v>
      </c>
      <c r="L94" t="n">
        <v>3</v>
      </c>
      <c r="M94" t="n">
        <v>0</v>
      </c>
      <c r="N94" t="n">
        <v>0</v>
      </c>
      <c r="O94" t="n">
        <v>0</v>
      </c>
      <c r="P94" t="n">
        <v>0</v>
      </c>
      <c r="Q94" t="n">
        <v>3</v>
      </c>
      <c r="R94" t="n">
        <v>0</v>
      </c>
      <c r="S94" t="n">
        <v>9</v>
      </c>
      <c r="T94" t="n">
        <v>10</v>
      </c>
      <c r="U94" t="n">
        <v>0</v>
      </c>
      <c r="V94" s="2" t="inlineStr">
        <is>
          <t>Brunklöver
Månlåsbräken
Skogsklocka
Finbräken
Guckusko
Trådfräken
Tvåblad
Järpe
Brudsporre</t>
        </is>
      </c>
      <c r="W94">
        <f>HYPERLINK("https://klasma.github.io/Logging_2260/artfynd/A 31113-2025 artfynd.xlsx", "A 31113-2025")</f>
        <v/>
      </c>
      <c r="X94">
        <f>HYPERLINK("https://klasma.github.io/Logging_2260/kartor/A 31113-2025 karta.png", "A 31113-2025")</f>
        <v/>
      </c>
      <c r="Y94">
        <f>HYPERLINK("https://klasma.github.io/Logging_2260/kartor_geotiff/A 31113-2025 georefererad karta.tif", "A 31113-2025")</f>
        <v/>
      </c>
      <c r="AA94">
        <f>HYPERLINK("https://klasma.github.io/Logging_2260/klagomål/A 31113-2025 FSC-klagomål.docx", "A 31113-2025")</f>
        <v/>
      </c>
      <c r="AB94">
        <f>HYPERLINK("https://klasma.github.io/Logging_2260/klagomålsmail/A 31113-2025 FSC-klagomål mail.docx", "A 31113-2025")</f>
        <v/>
      </c>
      <c r="AC94">
        <f>HYPERLINK("https://klasma.github.io/Logging_2260/tillsyn/A 31113-2025 tillsynsbegäran.docx", "A 31113-2025")</f>
        <v/>
      </c>
      <c r="AD94">
        <f>HYPERLINK("https://klasma.github.io/Logging_2260/tillsynsmail/A 31113-2025 tillsynsbegäran mail.docx", "A 31113-2025")</f>
        <v/>
      </c>
      <c r="AE94">
        <f>HYPERLINK("https://klasma.github.io/Logging_2260/fåglar/A 31113-2025 prioriterade fågelarter.docx", "A 31113-2025")</f>
        <v/>
      </c>
    </row>
    <row r="95" ht="15" customHeight="1">
      <c r="A95" t="inlineStr">
        <is>
          <t>A 35826-2025</t>
        </is>
      </c>
      <c r="B95" t="inlineStr">
        <is>
          <t>avverkningsanmälan</t>
        </is>
      </c>
      <c r="C95" t="inlineStr">
        <is>
          <t>Föryngringsavverkning</t>
        </is>
      </c>
      <c r="D95" s="1" t="n">
        <v>45861</v>
      </c>
      <c r="E95" s="1" t="n">
        <v>46228</v>
      </c>
      <c r="F95" t="inlineStr">
        <is>
          <t>VÄSTERNORRLANDS LÄN</t>
        </is>
      </c>
      <c r="G95" t="inlineStr">
        <is>
          <t>ÅNGE</t>
        </is>
      </c>
      <c r="I95" t="n">
        <v>2.5</v>
      </c>
      <c r="J95" t="n">
        <v>1</v>
      </c>
      <c r="K95" t="n">
        <v>2</v>
      </c>
      <c r="L95" t="n">
        <v>4</v>
      </c>
      <c r="M95" t="n">
        <v>3</v>
      </c>
      <c r="N95" t="n">
        <v>0</v>
      </c>
      <c r="O95" t="n">
        <v>0</v>
      </c>
      <c r="P95" t="n">
        <v>0</v>
      </c>
      <c r="Q95" t="n">
        <v>7</v>
      </c>
      <c r="R95" t="n">
        <v>3</v>
      </c>
      <c r="S95" t="n">
        <v>9</v>
      </c>
      <c r="T95" t="n">
        <v>10</v>
      </c>
      <c r="U95" t="n">
        <v>10</v>
      </c>
      <c r="V95" s="2" t="inlineStr">
        <is>
          <t>Garnlav
Gränsticka
Knärot
Lunglav
Rosenticka
Rynkskinn
Violettgrå tagellav
Mörk husmossa
Vedticka</t>
        </is>
      </c>
      <c r="W95">
        <f>HYPERLINK("https://klasma.github.io/Logging_2260/artfynd/A 35826-2025 artfynd.xlsx", "A 35826-2025")</f>
        <v/>
      </c>
      <c r="X95">
        <f>HYPERLINK("https://klasma.github.io/Logging_2260/kartor/A 35826-2025 karta.png", "A 35826-2025")</f>
        <v/>
      </c>
      <c r="Y95">
        <f>HYPERLINK("https://klasma.github.io/Logging_2260/kartor_geotiff/A 35826-2025 georefererad karta.tif", "A 35826-2025")</f>
        <v/>
      </c>
      <c r="Z95">
        <f>HYPERLINK("https://klasma.github.io/Logging_2260/knärot/A 35826-2025 karta knärot.png", "A 35826-2025")</f>
        <v/>
      </c>
      <c r="AA95">
        <f>HYPERLINK("https://klasma.github.io/Logging_2260/klagomål/A 35826-2025 FSC-klagomål.docx", "A 35826-2025")</f>
        <v/>
      </c>
      <c r="AB95">
        <f>HYPERLINK("https://klasma.github.io/Logging_2260/klagomålsmail/A 35826-2025 FSC-klagomål mail.docx", "A 35826-2025")</f>
        <v/>
      </c>
      <c r="AC95">
        <f>HYPERLINK("https://klasma.github.io/Logging_2260/tillsyn/A 35826-2025 tillsynsbegäran.docx", "A 35826-2025")</f>
        <v/>
      </c>
      <c r="AD95">
        <f>HYPERLINK("https://klasma.github.io/Logging_2260/tillsynsmail/A 35826-2025 tillsynsbegäran mail.docx", "A 35826-2025")</f>
        <v/>
      </c>
    </row>
    <row r="96" ht="15" customHeight="1">
      <c r="A96" t="inlineStr">
        <is>
          <t>S 1221-2024</t>
        </is>
      </c>
      <c r="B96" t="inlineStr">
        <is>
          <t>samrådsanmälan</t>
        </is>
      </c>
      <c r="C96" t="inlineStr">
        <is>
          <t>Annan skogsbruksåtgärd</t>
        </is>
      </c>
      <c r="D96" s="1" t="n">
        <v>45398</v>
      </c>
      <c r="E96" s="1" t="n">
        <v>46228</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46228</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46228</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46228</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21682-2023</t>
        </is>
      </c>
      <c r="B100" t="inlineStr">
        <is>
          <t>avverkningsanmälan</t>
        </is>
      </c>
      <c r="C100" t="inlineStr">
        <is>
          <t>Föryngringsavverkning</t>
        </is>
      </c>
      <c r="D100" s="1" t="n">
        <v>45063</v>
      </c>
      <c r="E100" s="1" t="n">
        <v>46228</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t="n">
        <v>20</v>
      </c>
      <c r="V100" s="2" t="inlineStr">
        <is>
          <t>Garnlav
Dropptaggsvamp
Kolflarnlav
Lunglav
Mörk kolflarnlav
Vedskivlav
Vedticka
Tjäder</t>
        </is>
      </c>
      <c r="W100">
        <f>HYPERLINK("https://klasma.github.io/Logging_2260/artfynd/A 21682-2023 artfynd.xlsx", "A 21682-2023")</f>
        <v/>
      </c>
      <c r="X100">
        <f>HYPERLINK("https://klasma.github.io/Logging_2260/kartor/A 21682-2023 karta.png", "A 21682-2023")</f>
        <v/>
      </c>
      <c r="Y100">
        <f>HYPERLINK("https://klasma.github.io/Logging_2260/kartor_geotiff/A 21682-2023 georefererad karta.tif", "A 21682-2023")</f>
        <v/>
      </c>
      <c r="AA100">
        <f>HYPERLINK("https://klasma.github.io/Logging_2260/klagomål/A 21682-2023 FSC-klagomål.docx", "A 21682-2023")</f>
        <v/>
      </c>
      <c r="AB100">
        <f>HYPERLINK("https://klasma.github.io/Logging_2260/klagomålsmail/A 21682-2023 FSC-klagomål mail.docx", "A 21682-2023")</f>
        <v/>
      </c>
      <c r="AC100">
        <f>HYPERLINK("https://klasma.github.io/Logging_2260/tillsyn/A 21682-2023 tillsynsbegäran.docx", "A 21682-2023")</f>
        <v/>
      </c>
      <c r="AD100">
        <f>HYPERLINK("https://klasma.github.io/Logging_2260/tillsynsmail/A 21682-2023 tillsynsbegäran mail.docx", "A 21682-2023")</f>
        <v/>
      </c>
      <c r="AE100">
        <f>HYPERLINK("https://klasma.github.io/Logging_2260/fåglar/A 21682-2023 prioriterade fågelarter.docx", "A 21682-2023")</f>
        <v/>
      </c>
    </row>
    <row r="101" ht="15" customHeight="1">
      <c r="A101" t="inlineStr">
        <is>
          <t>A 46417-2025</t>
        </is>
      </c>
      <c r="B101" t="inlineStr">
        <is>
          <t>avverkningsanmälan</t>
        </is>
      </c>
      <c r="C101" t="inlineStr">
        <is>
          <t>Föryngringsavverkning</t>
        </is>
      </c>
      <c r="D101" s="1" t="n">
        <v>45925</v>
      </c>
      <c r="E101" s="1" t="n">
        <v>46228</v>
      </c>
      <c r="F101" t="inlineStr">
        <is>
          <t>VÄSTERNORRLANDS LÄN</t>
        </is>
      </c>
      <c r="G101" t="inlineStr">
        <is>
          <t>ÅNGE</t>
        </is>
      </c>
      <c r="H101" t="inlineStr">
        <is>
          <t>SCA</t>
        </is>
      </c>
      <c r="I101" t="n">
        <v>6.6</v>
      </c>
      <c r="J101" t="n">
        <v>2</v>
      </c>
      <c r="K101" t="n">
        <v>1</v>
      </c>
      <c r="L101" t="n">
        <v>5</v>
      </c>
      <c r="M101" t="n">
        <v>1</v>
      </c>
      <c r="N101" t="n">
        <v>0</v>
      </c>
      <c r="O101" t="n">
        <v>0</v>
      </c>
      <c r="P101" t="n">
        <v>0</v>
      </c>
      <c r="Q101" t="n">
        <v>6</v>
      </c>
      <c r="R101" t="n">
        <v>1</v>
      </c>
      <c r="S101" t="n">
        <v>8</v>
      </c>
      <c r="T101" t="n">
        <v>11</v>
      </c>
      <c r="U101" t="n">
        <v>8</v>
      </c>
      <c r="V101" s="2" t="inlineStr">
        <is>
          <t>Garnlav
Kolflarnlav
Lunglav
Tretåig hackspett
Violettgrå tagellav
Vitgrynig nållav
Norrlandslav
Tjäder</t>
        </is>
      </c>
      <c r="W101">
        <f>HYPERLINK("https://klasma.github.io/Logging_2260/artfynd/A 46417-2025 artfynd.xlsx", "A 46417-2025")</f>
        <v/>
      </c>
      <c r="X101">
        <f>HYPERLINK("https://klasma.github.io/Logging_2260/kartor/A 46417-2025 karta.png", "A 46417-2025")</f>
        <v/>
      </c>
      <c r="Y101">
        <f>HYPERLINK("https://klasma.github.io/Logging_2260/kartor_geotiff/A 46417-2025 georefererad karta.tif", "A 46417-2025")</f>
        <v/>
      </c>
      <c r="AA101">
        <f>HYPERLINK("https://klasma.github.io/Logging_2260/klagomål/A 46417-2025 FSC-klagomål.docx", "A 46417-2025")</f>
        <v/>
      </c>
      <c r="AB101">
        <f>HYPERLINK("https://klasma.github.io/Logging_2260/klagomålsmail/A 46417-2025 FSC-klagomål mail.docx", "A 46417-2025")</f>
        <v/>
      </c>
      <c r="AC101">
        <f>HYPERLINK("https://klasma.github.io/Logging_2260/tillsyn/A 46417-2025 tillsynsbegäran.docx", "A 46417-2025")</f>
        <v/>
      </c>
      <c r="AD101">
        <f>HYPERLINK("https://klasma.github.io/Logging_2260/tillsynsmail/A 46417-2025 tillsynsbegäran mail.docx", "A 46417-2025")</f>
        <v/>
      </c>
      <c r="AE101">
        <f>HYPERLINK("https://klasma.github.io/Logging_2260/fåglar/A 46417-2025 prioriterade fågelarter.docx", "A 46417-2025")</f>
        <v/>
      </c>
    </row>
    <row r="102" ht="15" customHeight="1">
      <c r="A102" t="inlineStr">
        <is>
          <t>A 3966-2025</t>
        </is>
      </c>
      <c r="B102" t="inlineStr">
        <is>
          <t>avverkningsanmälan</t>
        </is>
      </c>
      <c r="C102" t="inlineStr">
        <is>
          <t>Föryngringsavverkning</t>
        </is>
      </c>
      <c r="D102" s="1" t="n">
        <v>45684</v>
      </c>
      <c r="E102" s="1" t="n">
        <v>46228</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A 48191-2025</t>
        </is>
      </c>
      <c r="B103" t="inlineStr">
        <is>
          <t>avverkningsanmälan</t>
        </is>
      </c>
      <c r="C103" t="inlineStr">
        <is>
          <t>Föryngringsavverkning</t>
        </is>
      </c>
      <c r="D103" s="1" t="n">
        <v>45933</v>
      </c>
      <c r="E103" s="1" t="n">
        <v>46228</v>
      </c>
      <c r="F103" t="inlineStr">
        <is>
          <t>VÄSTERNORRLANDS LÄN</t>
        </is>
      </c>
      <c r="G103" t="inlineStr">
        <is>
          <t>ÅNGE</t>
        </is>
      </c>
      <c r="H103" t="inlineStr">
        <is>
          <t>SCA</t>
        </is>
      </c>
      <c r="I103" t="n">
        <v>9.6</v>
      </c>
      <c r="J103" t="n">
        <v>1</v>
      </c>
      <c r="K103" t="n">
        <v>0</v>
      </c>
      <c r="L103" t="n">
        <v>7</v>
      </c>
      <c r="M103" t="n">
        <v>1</v>
      </c>
      <c r="N103" t="n">
        <v>0</v>
      </c>
      <c r="O103" t="n">
        <v>0</v>
      </c>
      <c r="P103" t="n">
        <v>0</v>
      </c>
      <c r="Q103" t="n">
        <v>8</v>
      </c>
      <c r="R103" t="n">
        <v>1</v>
      </c>
      <c r="S103" t="n">
        <v>8</v>
      </c>
      <c r="T103" t="n">
        <v>24</v>
      </c>
      <c r="U103" t="n">
        <v>21</v>
      </c>
      <c r="V103" s="2" t="inlineStr">
        <is>
          <t>Garnlav
Dropptaggsvamp
Dvärgbägarlav
Kolflarnlav
Mörk kolflarnlav
Reliktbock
Talltita
Vedskivlav</t>
        </is>
      </c>
      <c r="W103">
        <f>HYPERLINK("https://klasma.github.io/Logging_2260/artfynd/A 48191-2025 artfynd.xlsx", "A 48191-2025")</f>
        <v/>
      </c>
      <c r="X103">
        <f>HYPERLINK("https://klasma.github.io/Logging_2260/kartor/A 48191-2025 karta.png", "A 48191-2025")</f>
        <v/>
      </c>
      <c r="Y103">
        <f>HYPERLINK("https://klasma.github.io/Logging_2260/kartor_geotiff/A 48191-2025 georefererad karta.tif", "A 48191-2025")</f>
        <v/>
      </c>
      <c r="AA103">
        <f>HYPERLINK("https://klasma.github.io/Logging_2260/klagomål/A 48191-2025 FSC-klagomål.docx", "A 48191-2025")</f>
        <v/>
      </c>
      <c r="AB103">
        <f>HYPERLINK("https://klasma.github.io/Logging_2260/klagomålsmail/A 48191-2025 FSC-klagomål mail.docx", "A 48191-2025")</f>
        <v/>
      </c>
      <c r="AC103">
        <f>HYPERLINK("https://klasma.github.io/Logging_2260/tillsyn/A 48191-2025 tillsynsbegäran.docx", "A 48191-2025")</f>
        <v/>
      </c>
      <c r="AD103">
        <f>HYPERLINK("https://klasma.github.io/Logging_2260/tillsynsmail/A 48191-2025 tillsynsbegäran mail.docx", "A 48191-2025")</f>
        <v/>
      </c>
      <c r="AE103">
        <f>HYPERLINK("https://klasma.github.io/Logging_2260/fåglar/A 48191-2025 prioriterade fågelarter.docx", "A 48191-2025")</f>
        <v/>
      </c>
    </row>
    <row r="104" ht="15" customHeight="1">
      <c r="A104" t="inlineStr">
        <is>
          <t>A 4130-2023</t>
        </is>
      </c>
      <c r="B104" t="inlineStr">
        <is>
          <t>avverkningsanmälan</t>
        </is>
      </c>
      <c r="C104" t="inlineStr">
        <is>
          <t>Föryngringsavverkning</t>
        </is>
      </c>
      <c r="D104" s="1" t="n">
        <v>44952</v>
      </c>
      <c r="E104" s="1" t="n">
        <v>46228</v>
      </c>
      <c r="F104" t="inlineStr">
        <is>
          <t>VÄSTERNORRLANDS LÄN</t>
        </is>
      </c>
      <c r="G104" t="inlineStr">
        <is>
          <t>ÅNGE</t>
        </is>
      </c>
      <c r="H104" t="inlineStr">
        <is>
          <t>SCA</t>
        </is>
      </c>
      <c r="I104" t="n">
        <v>2.2</v>
      </c>
      <c r="J104" t="n">
        <v>5</v>
      </c>
      <c r="K104" t="n">
        <v>3</v>
      </c>
      <c r="L104" t="n">
        <v>2</v>
      </c>
      <c r="M104" t="n">
        <v>1</v>
      </c>
      <c r="N104" t="n">
        <v>0</v>
      </c>
      <c r="O104" t="n">
        <v>0</v>
      </c>
      <c r="P104" t="n">
        <v>0</v>
      </c>
      <c r="Q104" t="n">
        <v>3</v>
      </c>
      <c r="R104" t="n">
        <v>1</v>
      </c>
      <c r="S104" t="n">
        <v>8</v>
      </c>
      <c r="T104" t="n">
        <v>10</v>
      </c>
      <c r="U104" t="n">
        <v>2</v>
      </c>
      <c r="V104" s="2" t="inlineStr">
        <is>
          <t>Knärot
Höstlåsbräken
Månlåsbräken
Grönkulla
Spetsvaxing
Ängsfingersvamp
Järpe
Tjäder</t>
        </is>
      </c>
      <c r="W104">
        <f>HYPERLINK("https://klasma.github.io/Logging_2260/artfynd/A 4130-2023 artfynd.xlsx", "A 4130-2023")</f>
        <v/>
      </c>
      <c r="X104">
        <f>HYPERLINK("https://klasma.github.io/Logging_2260/kartor/A 4130-2023 karta.png", "A 4130-2023")</f>
        <v/>
      </c>
      <c r="Y104">
        <f>HYPERLINK("https://klasma.github.io/Logging_2260/kartor_geotiff/A 4130-2023 georefererad karta.tif", "A 4130-2023")</f>
        <v/>
      </c>
      <c r="Z104">
        <f>HYPERLINK("https://klasma.github.io/Logging_2260/knärot/A 4130-2023 karta knärot.png", "A 4130-2023")</f>
        <v/>
      </c>
      <c r="AA104">
        <f>HYPERLINK("https://klasma.github.io/Logging_2260/klagomål/A 4130-2023 FSC-klagomål.docx", "A 4130-2023")</f>
        <v/>
      </c>
      <c r="AB104">
        <f>HYPERLINK("https://klasma.github.io/Logging_2260/klagomålsmail/A 4130-2023 FSC-klagomål mail.docx", "A 4130-2023")</f>
        <v/>
      </c>
      <c r="AC104">
        <f>HYPERLINK("https://klasma.github.io/Logging_2260/tillsyn/A 4130-2023 tillsynsbegäran.docx", "A 4130-2023")</f>
        <v/>
      </c>
      <c r="AD104">
        <f>HYPERLINK("https://klasma.github.io/Logging_2260/tillsynsmail/A 4130-2023 tillsynsbegäran mail.docx", "A 4130-2023")</f>
        <v/>
      </c>
      <c r="AE104">
        <f>HYPERLINK("https://klasma.github.io/Logging_2260/fåglar/A 4130-2023 prioriterade fågelarter.docx", "A 4130-2023")</f>
        <v/>
      </c>
    </row>
    <row r="105" ht="15" customHeight="1">
      <c r="A105" t="inlineStr">
        <is>
          <t>A 52392-2025</t>
        </is>
      </c>
      <c r="B105" t="inlineStr">
        <is>
          <t>avverkningsanmälan</t>
        </is>
      </c>
      <c r="C105" t="inlineStr">
        <is>
          <t>Föryngringsavverkning</t>
        </is>
      </c>
      <c r="D105" s="1" t="n">
        <v>45954</v>
      </c>
      <c r="E105" s="1" t="n">
        <v>46228</v>
      </c>
      <c r="F105" t="inlineStr">
        <is>
          <t>VÄSTERNORRLANDS LÄN</t>
        </is>
      </c>
      <c r="G105" t="inlineStr">
        <is>
          <t>ÅNGE</t>
        </is>
      </c>
      <c r="H105" t="inlineStr">
        <is>
          <t>SCA</t>
        </is>
      </c>
      <c r="I105" t="n">
        <v>2.6</v>
      </c>
      <c r="J105" t="n">
        <v>3</v>
      </c>
      <c r="K105" t="n">
        <v>2</v>
      </c>
      <c r="L105" t="n">
        <v>4</v>
      </c>
      <c r="M105" t="n">
        <v>1</v>
      </c>
      <c r="N105" t="n">
        <v>0</v>
      </c>
      <c r="O105" t="n">
        <v>0</v>
      </c>
      <c r="P105" t="n">
        <v>0</v>
      </c>
      <c r="Q105" t="n">
        <v>5</v>
      </c>
      <c r="R105" t="n">
        <v>1</v>
      </c>
      <c r="S105" t="n">
        <v>8</v>
      </c>
      <c r="T105" t="n">
        <v>17</v>
      </c>
      <c r="U105" t="n">
        <v>16</v>
      </c>
      <c r="V105" s="2" t="inlineStr">
        <is>
          <t>Garnlav
Rosenticka
Talltita
Tretåig hackspett
Ullticka
Brandticka
Ögonpyrola
Spillkråka</t>
        </is>
      </c>
      <c r="W105">
        <f>HYPERLINK("https://klasma.github.io/Logging_2260/artfynd/A 52392-2025 artfynd.xlsx", "A 52392-2025")</f>
        <v/>
      </c>
      <c r="X105">
        <f>HYPERLINK("https://klasma.github.io/Logging_2260/kartor/A 52392-2025 karta.png", "A 52392-2025")</f>
        <v/>
      </c>
      <c r="Y105">
        <f>HYPERLINK("https://klasma.github.io/Logging_2260/kartor_geotiff/A 52392-2025 georefererad karta.tif", "A 52392-2025")</f>
        <v/>
      </c>
      <c r="AA105">
        <f>HYPERLINK("https://klasma.github.io/Logging_2260/klagomål/A 52392-2025 FSC-klagomål.docx", "A 52392-2025")</f>
        <v/>
      </c>
      <c r="AB105">
        <f>HYPERLINK("https://klasma.github.io/Logging_2260/klagomålsmail/A 52392-2025 FSC-klagomål mail.docx", "A 52392-2025")</f>
        <v/>
      </c>
      <c r="AC105">
        <f>HYPERLINK("https://klasma.github.io/Logging_2260/tillsyn/A 52392-2025 tillsynsbegäran.docx", "A 52392-2025")</f>
        <v/>
      </c>
      <c r="AD105">
        <f>HYPERLINK("https://klasma.github.io/Logging_2260/tillsynsmail/A 52392-2025 tillsynsbegäran mail.docx", "A 52392-2025")</f>
        <v/>
      </c>
      <c r="AE105">
        <f>HYPERLINK("https://klasma.github.io/Logging_2260/fåglar/A 52392-2025 prioriterade fågelarter.docx", "A 52392-2025")</f>
        <v/>
      </c>
    </row>
    <row r="106" ht="15" customHeight="1">
      <c r="A106" t="inlineStr">
        <is>
          <t>A 52601-2025</t>
        </is>
      </c>
      <c r="B106" t="inlineStr">
        <is>
          <t>avverkningsanmälan</t>
        </is>
      </c>
      <c r="C106" t="inlineStr">
        <is>
          <t>Föryngringsavverkning</t>
        </is>
      </c>
      <c r="D106" s="1" t="n">
        <v>45954</v>
      </c>
      <c r="E106" s="1" t="n">
        <v>46228</v>
      </c>
      <c r="F106" t="inlineStr">
        <is>
          <t>VÄSTERNORRLANDS LÄN</t>
        </is>
      </c>
      <c r="G106" t="inlineStr">
        <is>
          <t>ÅNGE</t>
        </is>
      </c>
      <c r="H106" t="inlineStr">
        <is>
          <t>SCA</t>
        </is>
      </c>
      <c r="I106" t="n">
        <v>3.1</v>
      </c>
      <c r="J106" t="n">
        <v>6</v>
      </c>
      <c r="K106" t="n">
        <v>4</v>
      </c>
      <c r="L106" t="n">
        <v>1</v>
      </c>
      <c r="M106" t="n">
        <v>2</v>
      </c>
      <c r="N106" t="n">
        <v>0</v>
      </c>
      <c r="O106" t="n">
        <v>0</v>
      </c>
      <c r="P106" t="n">
        <v>0</v>
      </c>
      <c r="Q106" t="n">
        <v>3</v>
      </c>
      <c r="R106" t="n">
        <v>2</v>
      </c>
      <c r="S106" t="n">
        <v>8</v>
      </c>
      <c r="T106" t="n">
        <v>13</v>
      </c>
      <c r="U106" t="n">
        <v>6</v>
      </c>
      <c r="V106" s="2" t="inlineStr">
        <is>
          <t>Garnlav
Knärot
Talltita
Bågpraktmossa
Korallrot
Spindelblomster
Tvåblad
Spillkråka</t>
        </is>
      </c>
      <c r="W106">
        <f>HYPERLINK("https://klasma.github.io/Logging_2260/artfynd/A 52601-2025 artfynd.xlsx", "A 52601-2025")</f>
        <v/>
      </c>
      <c r="X106">
        <f>HYPERLINK("https://klasma.github.io/Logging_2260/kartor/A 52601-2025 karta.png", "A 52601-2025")</f>
        <v/>
      </c>
      <c r="Y106">
        <f>HYPERLINK("https://klasma.github.io/Logging_2260/kartor_geotiff/A 52601-2025 georefererad karta.tif", "A 52601-2025")</f>
        <v/>
      </c>
      <c r="Z106">
        <f>HYPERLINK("https://klasma.github.io/Logging_2260/knärot/A 52601-2025 karta knärot.png", "A 52601-2025")</f>
        <v/>
      </c>
      <c r="AA106">
        <f>HYPERLINK("https://klasma.github.io/Logging_2260/klagomål/A 52601-2025 FSC-klagomål.docx", "A 52601-2025")</f>
        <v/>
      </c>
      <c r="AB106">
        <f>HYPERLINK("https://klasma.github.io/Logging_2260/klagomålsmail/A 52601-2025 FSC-klagomål mail.docx", "A 52601-2025")</f>
        <v/>
      </c>
      <c r="AC106">
        <f>HYPERLINK("https://klasma.github.io/Logging_2260/tillsyn/A 52601-2025 tillsynsbegäran.docx", "A 52601-2025")</f>
        <v/>
      </c>
      <c r="AD106">
        <f>HYPERLINK("https://klasma.github.io/Logging_2260/tillsynsmail/A 52601-2025 tillsynsbegäran mail.docx", "A 52601-2025")</f>
        <v/>
      </c>
      <c r="AE106">
        <f>HYPERLINK("https://klasma.github.io/Logging_2260/fåglar/A 52601-2025 prioriterade fågelarter.docx", "A 52601-2025")</f>
        <v/>
      </c>
    </row>
    <row r="107" ht="15" customHeight="1">
      <c r="A107" t="inlineStr">
        <is>
          <t>A 60240-2025</t>
        </is>
      </c>
      <c r="B107" t="inlineStr">
        <is>
          <t>avverkningsanmälan</t>
        </is>
      </c>
      <c r="C107" t="inlineStr">
        <is>
          <t>Avverkning för att bevara och utveckla /försöksver</t>
        </is>
      </c>
      <c r="D107" s="1" t="n">
        <v>45994</v>
      </c>
      <c r="E107" s="1" t="n">
        <v>46228</v>
      </c>
      <c r="F107" t="inlineStr">
        <is>
          <t>VÄSTERNORRLANDS LÄN</t>
        </is>
      </c>
      <c r="G107" t="inlineStr">
        <is>
          <t>ÅNGE</t>
        </is>
      </c>
      <c r="H107" t="inlineStr">
        <is>
          <t>Sveaskog</t>
        </is>
      </c>
      <c r="I107" t="n">
        <v>5.5</v>
      </c>
      <c r="J107" t="n">
        <v>4</v>
      </c>
      <c r="K107" t="n">
        <v>2</v>
      </c>
      <c r="L107" t="n">
        <v>3</v>
      </c>
      <c r="M107" t="n">
        <v>2</v>
      </c>
      <c r="N107" t="n">
        <v>0</v>
      </c>
      <c r="O107" t="n">
        <v>0</v>
      </c>
      <c r="P107" t="n">
        <v>0</v>
      </c>
      <c r="Q107" t="n">
        <v>5</v>
      </c>
      <c r="R107" t="n">
        <v>2</v>
      </c>
      <c r="S107" t="n">
        <v>8</v>
      </c>
      <c r="T107" t="n">
        <v>15</v>
      </c>
      <c r="U107" t="n">
        <v>0</v>
      </c>
      <c r="V107" s="2" t="inlineStr">
        <is>
          <t>Garnlav
Knärot
Lunglav
Skrovellav
Tallticka
Plattlummer
Spindelblomster
Fläcknycklar</t>
        </is>
      </c>
      <c r="W107">
        <f>HYPERLINK("https://klasma.github.io/Logging_2260/artfynd/A 60240-2025 artfynd.xlsx", "A 60240-2025")</f>
        <v/>
      </c>
      <c r="X107">
        <f>HYPERLINK("https://klasma.github.io/Logging_2260/kartor/A 60240-2025 karta.png", "A 60240-2025")</f>
        <v/>
      </c>
      <c r="Y107">
        <f>HYPERLINK("https://klasma.github.io/Logging_2260/kartor_geotiff/A 60240-2025 georefererad karta.tif", "A 60240-2025")</f>
        <v/>
      </c>
      <c r="Z107">
        <f>HYPERLINK("https://klasma.github.io/Logging_2260/knärot/A 60240-2025 karta knärot.png", "A 60240-2025")</f>
        <v/>
      </c>
      <c r="AA107">
        <f>HYPERLINK("https://klasma.github.io/Logging_2260/klagomål/A 60240-2025 FSC-klagomål.docx", "A 60240-2025")</f>
        <v/>
      </c>
      <c r="AB107">
        <f>HYPERLINK("https://klasma.github.io/Logging_2260/klagomålsmail/A 60240-2025 FSC-klagomål mail.docx", "A 60240-2025")</f>
        <v/>
      </c>
      <c r="AC107">
        <f>HYPERLINK("https://klasma.github.io/Logging_2260/tillsyn/A 60240-2025 tillsynsbegäran.docx", "A 60240-2025")</f>
        <v/>
      </c>
      <c r="AD107">
        <f>HYPERLINK("https://klasma.github.io/Logging_2260/tillsynsmail/A 60240-2025 tillsynsbegäran mail.docx", "A 60240-2025")</f>
        <v/>
      </c>
    </row>
    <row r="108" ht="15" customHeight="1">
      <c r="A108" t="inlineStr">
        <is>
          <t>A 40545-2024</t>
        </is>
      </c>
      <c r="B108" t="inlineStr">
        <is>
          <t>avverkningsanmälan</t>
        </is>
      </c>
      <c r="C108" t="inlineStr">
        <is>
          <t>Avverkning för att bevara och utveckla /försöksver</t>
        </is>
      </c>
      <c r="D108" s="1" t="n">
        <v>45555</v>
      </c>
      <c r="E108" s="1" t="n">
        <v>46228</v>
      </c>
      <c r="F108" t="inlineStr">
        <is>
          <t>VÄSTERNORRLANDS LÄN</t>
        </is>
      </c>
      <c r="G108" t="inlineStr">
        <is>
          <t>ÅNGE</t>
        </is>
      </c>
      <c r="H108" t="inlineStr">
        <is>
          <t>SCA</t>
        </is>
      </c>
      <c r="I108" t="n">
        <v>9.1</v>
      </c>
      <c r="J108" t="n">
        <v>4</v>
      </c>
      <c r="K108" t="n">
        <v>1</v>
      </c>
      <c r="L108" t="n">
        <v>5</v>
      </c>
      <c r="M108" t="n">
        <v>2</v>
      </c>
      <c r="N108" t="n">
        <v>0</v>
      </c>
      <c r="O108" t="n">
        <v>0</v>
      </c>
      <c r="P108" t="n">
        <v>0</v>
      </c>
      <c r="Q108" t="n">
        <v>7</v>
      </c>
      <c r="R108" t="n">
        <v>2</v>
      </c>
      <c r="S108" t="n">
        <v>8</v>
      </c>
      <c r="T108" t="n">
        <v>23</v>
      </c>
      <c r="U108" t="n">
        <v>11</v>
      </c>
      <c r="V108" s="2" t="inlineStr">
        <is>
          <t>Garnlav
Knärot
Kungsörn
Lunglav
Talltita
Tretåig hackspett
Ullticka
Stuplav</t>
        </is>
      </c>
      <c r="W108">
        <f>HYPERLINK("https://klasma.github.io/Logging_2260/artfynd/A 40545-2024 artfynd.xlsx", "A 40545-2024")</f>
        <v/>
      </c>
      <c r="X108">
        <f>HYPERLINK("https://klasma.github.io/Logging_2260/kartor/A 40545-2024 karta.png", "A 40545-2024")</f>
        <v/>
      </c>
      <c r="Y108">
        <f>HYPERLINK("https://klasma.github.io/Logging_2260/kartor_geotiff/A 40545-2024 georefererad karta.tif", "A 40545-2024")</f>
        <v/>
      </c>
      <c r="Z108">
        <f>HYPERLINK("https://klasma.github.io/Logging_2260/knärot/A 40545-2024 karta knärot.png", "A 40545-2024")</f>
        <v/>
      </c>
      <c r="AA108">
        <f>HYPERLINK("https://klasma.github.io/Logging_2260/klagomål/A 40545-2024 FSC-klagomål.docx", "A 40545-2024")</f>
        <v/>
      </c>
      <c r="AB108">
        <f>HYPERLINK("https://klasma.github.io/Logging_2260/klagomålsmail/A 40545-2024 FSC-klagomål mail.docx", "A 40545-2024")</f>
        <v/>
      </c>
      <c r="AC108">
        <f>HYPERLINK("https://klasma.github.io/Logging_2260/tillsyn/A 40545-2024 tillsynsbegäran.docx", "A 40545-2024")</f>
        <v/>
      </c>
      <c r="AD108">
        <f>HYPERLINK("https://klasma.github.io/Logging_2260/tillsynsmail/A 40545-2024 tillsynsbegäran mail.docx", "A 40545-2024")</f>
        <v/>
      </c>
      <c r="AE108">
        <f>HYPERLINK("https://klasma.github.io/Logging_2260/fåglar/A 40545-2024 prioriterade fågelarter.docx", "A 40545-2024")</f>
        <v/>
      </c>
    </row>
    <row r="109" ht="15" customHeight="1">
      <c r="A109" t="inlineStr">
        <is>
          <t>S 1215-2024</t>
        </is>
      </c>
      <c r="B109" t="inlineStr">
        <is>
          <t>samrådsanmälan</t>
        </is>
      </c>
      <c r="C109" t="inlineStr">
        <is>
          <t>Annan skogsbruksåtgärd</t>
        </is>
      </c>
      <c r="D109" s="1" t="n">
        <v>45398</v>
      </c>
      <c r="E109" s="1" t="n">
        <v>46228</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46228</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46228</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10085-2023</t>
        </is>
      </c>
      <c r="B112" t="inlineStr">
        <is>
          <t>avverkningsanmälan</t>
        </is>
      </c>
      <c r="C112" t="inlineStr">
        <is>
          <t>Avverkning för att bevara och utveckla /försöksver</t>
        </is>
      </c>
      <c r="D112" s="1" t="n">
        <v>44985</v>
      </c>
      <c r="E112" s="1" t="n">
        <v>46228</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26313-2024</t>
        </is>
      </c>
      <c r="B113" t="inlineStr">
        <is>
          <t>avverkningsanmälan</t>
        </is>
      </c>
      <c r="C113" t="inlineStr">
        <is>
          <t>Föryngringsavverkning</t>
        </is>
      </c>
      <c r="D113" s="1" t="n">
        <v>45468</v>
      </c>
      <c r="E113" s="1" t="n">
        <v>46228</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53456-2023</t>
        </is>
      </c>
      <c r="B114" t="inlineStr">
        <is>
          <t>avverkningsanmälan</t>
        </is>
      </c>
      <c r="C114" t="inlineStr">
        <is>
          <t>Föryngringsavverkning</t>
        </is>
      </c>
      <c r="D114" s="1" t="n">
        <v>45229</v>
      </c>
      <c r="E114" s="1" t="n">
        <v>46228</v>
      </c>
      <c r="F114" t="inlineStr">
        <is>
          <t>VÄSTERNORRLANDS LÄN</t>
        </is>
      </c>
      <c r="G114" t="inlineStr">
        <is>
          <t>ÅNGE</t>
        </is>
      </c>
      <c r="H114" t="inlineStr">
        <is>
          <t>SCA</t>
        </is>
      </c>
      <c r="I114" t="n">
        <v>23.4</v>
      </c>
      <c r="J114" t="n">
        <v>4</v>
      </c>
      <c r="K114" t="n">
        <v>0</v>
      </c>
      <c r="L114" t="n">
        <v>4</v>
      </c>
      <c r="M114" t="n">
        <v>2</v>
      </c>
      <c r="N114" t="n">
        <v>0</v>
      </c>
      <c r="O114" t="n">
        <v>0</v>
      </c>
      <c r="P114" t="n">
        <v>0</v>
      </c>
      <c r="Q114" t="n">
        <v>6</v>
      </c>
      <c r="R114" t="n">
        <v>2</v>
      </c>
      <c r="S114" t="n">
        <v>7</v>
      </c>
      <c r="T114" t="n">
        <v>16</v>
      </c>
      <c r="U114" t="n">
        <v>12</v>
      </c>
      <c r="V114" s="2" t="inlineStr">
        <is>
          <t>Garnlav
Knärot
Mörk kolflarnlav
Stiftgelélav
Talltita
Tretåig hackspett
Orre</t>
        </is>
      </c>
      <c r="W114">
        <f>HYPERLINK("https://klasma.github.io/Logging_2260/artfynd/A 53456-2023 artfynd.xlsx", "A 53456-2023")</f>
        <v/>
      </c>
      <c r="X114">
        <f>HYPERLINK("https://klasma.github.io/Logging_2260/kartor/A 53456-2023 karta.png", "A 53456-2023")</f>
        <v/>
      </c>
      <c r="Y114">
        <f>HYPERLINK("https://klasma.github.io/Logging_2260/kartor_geotiff/A 53456-2023 georefererad karta.tif", "A 53456-2023")</f>
        <v/>
      </c>
      <c r="Z114">
        <f>HYPERLINK("https://klasma.github.io/Logging_2260/knärot/A 53456-2023 karta knärot.png", "A 53456-2023")</f>
        <v/>
      </c>
      <c r="AA114">
        <f>HYPERLINK("https://klasma.github.io/Logging_2260/klagomål/A 53456-2023 FSC-klagomål.docx", "A 53456-2023")</f>
        <v/>
      </c>
      <c r="AB114">
        <f>HYPERLINK("https://klasma.github.io/Logging_2260/klagomålsmail/A 53456-2023 FSC-klagomål mail.docx", "A 53456-2023")</f>
        <v/>
      </c>
      <c r="AC114">
        <f>HYPERLINK("https://klasma.github.io/Logging_2260/tillsyn/A 53456-2023 tillsynsbegäran.docx", "A 53456-2023")</f>
        <v/>
      </c>
      <c r="AD114">
        <f>HYPERLINK("https://klasma.github.io/Logging_2260/tillsynsmail/A 53456-2023 tillsynsbegäran mail.docx", "A 53456-2023")</f>
        <v/>
      </c>
      <c r="AE114">
        <f>HYPERLINK("https://klasma.github.io/Logging_2260/fåglar/A 53456-2023 prioriterade fågelarter.docx", "A 53456-2023")</f>
        <v/>
      </c>
    </row>
    <row r="115" ht="15" customHeight="1">
      <c r="A115" t="inlineStr">
        <is>
          <t>A 38322-2025</t>
        </is>
      </c>
      <c r="B115" t="inlineStr">
        <is>
          <t>avverkningsanmälan</t>
        </is>
      </c>
      <c r="C115" t="inlineStr">
        <is>
          <t>Föryngringsavverkning</t>
        </is>
      </c>
      <c r="D115" s="1" t="n">
        <v>45883</v>
      </c>
      <c r="E115" s="1" t="n">
        <v>46228</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45402-2025</t>
        </is>
      </c>
      <c r="B116" t="inlineStr">
        <is>
          <t>avverkningsanmälan</t>
        </is>
      </c>
      <c r="C116" t="inlineStr">
        <is>
          <t>Föryngringsavverkning</t>
        </is>
      </c>
      <c r="D116" s="1" t="n">
        <v>45922</v>
      </c>
      <c r="E116" s="1" t="n">
        <v>46228</v>
      </c>
      <c r="F116" t="inlineStr">
        <is>
          <t>VÄSTERNORRLANDS LÄN</t>
        </is>
      </c>
      <c r="G116" t="inlineStr">
        <is>
          <t>ÅNGE</t>
        </is>
      </c>
      <c r="H116" t="inlineStr">
        <is>
          <t>SCA</t>
        </is>
      </c>
      <c r="I116" t="n">
        <v>2.9</v>
      </c>
      <c r="J116" t="n">
        <v>0</v>
      </c>
      <c r="K116" t="n">
        <v>1</v>
      </c>
      <c r="L116" t="n">
        <v>5</v>
      </c>
      <c r="M116" t="n">
        <v>1</v>
      </c>
      <c r="N116" t="n">
        <v>0</v>
      </c>
      <c r="O116" t="n">
        <v>0</v>
      </c>
      <c r="P116" t="n">
        <v>0</v>
      </c>
      <c r="Q116" t="n">
        <v>6</v>
      </c>
      <c r="R116" t="n">
        <v>1</v>
      </c>
      <c r="S116" t="n">
        <v>7</v>
      </c>
      <c r="T116" t="n">
        <v>15</v>
      </c>
      <c r="U116" t="n">
        <v>6</v>
      </c>
      <c r="V116" s="2" t="inlineStr">
        <is>
          <t>Garnlav
Dropptaggsvamp
Kolflarnlav
Lunglav
Ullticka
Vitgrynig nållav
Vedticka</t>
        </is>
      </c>
      <c r="W116">
        <f>HYPERLINK("https://klasma.github.io/Logging_2260/artfynd/A 45402-2025 artfynd.xlsx", "A 45402-2025")</f>
        <v/>
      </c>
      <c r="X116">
        <f>HYPERLINK("https://klasma.github.io/Logging_2260/kartor/A 45402-2025 karta.png", "A 45402-2025")</f>
        <v/>
      </c>
      <c r="Y116">
        <f>HYPERLINK("https://klasma.github.io/Logging_2260/kartor_geotiff/A 45402-2025 georefererad karta.tif", "A 45402-2025")</f>
        <v/>
      </c>
      <c r="AA116">
        <f>HYPERLINK("https://klasma.github.io/Logging_2260/klagomål/A 45402-2025 FSC-klagomål.docx", "A 45402-2025")</f>
        <v/>
      </c>
      <c r="AB116">
        <f>HYPERLINK("https://klasma.github.io/Logging_2260/klagomålsmail/A 45402-2025 FSC-klagomål mail.docx", "A 45402-2025")</f>
        <v/>
      </c>
      <c r="AC116">
        <f>HYPERLINK("https://klasma.github.io/Logging_2260/tillsyn/A 45402-2025 tillsynsbegäran.docx", "A 45402-2025")</f>
        <v/>
      </c>
      <c r="AD116">
        <f>HYPERLINK("https://klasma.github.io/Logging_2260/tillsynsmail/A 45402-2025 tillsynsbegäran mail.docx", "A 45402-2025")</f>
        <v/>
      </c>
    </row>
    <row r="117" ht="15" customHeight="1">
      <c r="A117" t="inlineStr">
        <is>
          <t>A 62257-2025</t>
        </is>
      </c>
      <c r="B117" t="inlineStr">
        <is>
          <t>avverkningsanmälan</t>
        </is>
      </c>
      <c r="C117" t="inlineStr">
        <is>
          <t>Föryngringsavverkning</t>
        </is>
      </c>
      <c r="D117" s="1" t="n">
        <v>46006</v>
      </c>
      <c r="E117" s="1" t="n">
        <v>46228</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31545-2024</t>
        </is>
      </c>
      <c r="B118" t="inlineStr">
        <is>
          <t>avverkningsanmälan</t>
        </is>
      </c>
      <c r="C118" t="inlineStr">
        <is>
          <t>Föryngringsavverkning</t>
        </is>
      </c>
      <c r="D118" s="1" t="n">
        <v>45505</v>
      </c>
      <c r="E118" s="1" t="n">
        <v>46228</v>
      </c>
      <c r="F118" t="inlineStr">
        <is>
          <t>VÄSTERNORRLANDS LÄN</t>
        </is>
      </c>
      <c r="G118" t="inlineStr">
        <is>
          <t>ÅNGE</t>
        </is>
      </c>
      <c r="H118" t="inlineStr">
        <is>
          <t>SCA</t>
        </is>
      </c>
      <c r="I118" t="n">
        <v>1.3</v>
      </c>
      <c r="J118" t="n">
        <v>1</v>
      </c>
      <c r="K118" t="n">
        <v>0</v>
      </c>
      <c r="L118" t="n">
        <v>5</v>
      </c>
      <c r="M118" t="n">
        <v>1</v>
      </c>
      <c r="N118" t="n">
        <v>0</v>
      </c>
      <c r="O118" t="n">
        <v>0</v>
      </c>
      <c r="P118" t="n">
        <v>0</v>
      </c>
      <c r="Q118" t="n">
        <v>6</v>
      </c>
      <c r="R118" t="n">
        <v>1</v>
      </c>
      <c r="S118" t="n">
        <v>7</v>
      </c>
      <c r="T118" t="n">
        <v>8</v>
      </c>
      <c r="U118" t="n">
        <v>8</v>
      </c>
      <c r="V118" s="2" t="inlineStr">
        <is>
          <t>Garnlav
Kötticka
Rosenticka
Rynkskinn
Ullticka
Vitgrynig nållav
Spillkråka</t>
        </is>
      </c>
      <c r="W118">
        <f>HYPERLINK("https://klasma.github.io/Logging_2260/artfynd/A 31545-2024 artfynd.xlsx", "A 31545-2024")</f>
        <v/>
      </c>
      <c r="X118">
        <f>HYPERLINK("https://klasma.github.io/Logging_2260/kartor/A 31545-2024 karta.png", "A 31545-2024")</f>
        <v/>
      </c>
      <c r="Y118">
        <f>HYPERLINK("https://klasma.github.io/Logging_2260/kartor_geotiff/A 31545-2024 georefererad karta.tif", "A 31545-2024")</f>
        <v/>
      </c>
      <c r="AA118">
        <f>HYPERLINK("https://klasma.github.io/Logging_2260/klagomål/A 31545-2024 FSC-klagomål.docx", "A 31545-2024")</f>
        <v/>
      </c>
      <c r="AB118">
        <f>HYPERLINK("https://klasma.github.io/Logging_2260/klagomålsmail/A 31545-2024 FSC-klagomål mail.docx", "A 31545-2024")</f>
        <v/>
      </c>
      <c r="AC118">
        <f>HYPERLINK("https://klasma.github.io/Logging_2260/tillsyn/A 31545-2024 tillsynsbegäran.docx", "A 31545-2024")</f>
        <v/>
      </c>
      <c r="AD118">
        <f>HYPERLINK("https://klasma.github.io/Logging_2260/tillsynsmail/A 31545-2024 tillsynsbegäran mail.docx", "A 31545-2024")</f>
        <v/>
      </c>
      <c r="AE118">
        <f>HYPERLINK("https://klasma.github.io/Logging_2260/fåglar/A 31545-2024 prioriterade fågelarter.docx", "A 31545-2024")</f>
        <v/>
      </c>
    </row>
    <row r="119" ht="15" customHeight="1">
      <c r="A119" t="inlineStr">
        <is>
          <t>A 46548-2023</t>
        </is>
      </c>
      <c r="B119" t="inlineStr">
        <is>
          <t>avverkningsanmälan</t>
        </is>
      </c>
      <c r="C119" t="inlineStr">
        <is>
          <t>Föryngringsavverkning</t>
        </is>
      </c>
      <c r="D119" s="1" t="n">
        <v>45197</v>
      </c>
      <c r="E119" s="1" t="n">
        <v>46228</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26268-2026</t>
        </is>
      </c>
      <c r="B120" t="inlineStr">
        <is>
          <t>avverkningsanmälan</t>
        </is>
      </c>
      <c r="C120" t="inlineStr">
        <is>
          <t>Föryngringsavverkning</t>
        </is>
      </c>
      <c r="D120" s="1" t="n">
        <v>46182</v>
      </c>
      <c r="E120" s="1" t="n">
        <v>46228</v>
      </c>
      <c r="F120" t="inlineStr">
        <is>
          <t>VÄSTERNORRLANDS LÄN</t>
        </is>
      </c>
      <c r="G120" t="inlineStr">
        <is>
          <t>ÅNGE</t>
        </is>
      </c>
      <c r="I120" t="n">
        <v>6</v>
      </c>
      <c r="J120" t="n">
        <v>3</v>
      </c>
      <c r="K120" t="n">
        <v>2</v>
      </c>
      <c r="L120" t="n">
        <v>2</v>
      </c>
      <c r="M120" t="n">
        <v>1</v>
      </c>
      <c r="N120" t="n">
        <v>0</v>
      </c>
      <c r="O120" t="n">
        <v>0</v>
      </c>
      <c r="P120" t="n">
        <v>0</v>
      </c>
      <c r="Q120" t="n">
        <v>3</v>
      </c>
      <c r="R120" t="n">
        <v>1</v>
      </c>
      <c r="S120" t="n">
        <v>7</v>
      </c>
      <c r="T120" t="n">
        <v>12</v>
      </c>
      <c r="U120" t="n">
        <v>12</v>
      </c>
      <c r="V120" s="2" t="inlineStr">
        <is>
          <t>Knärot
Kolflarnlav
Vedskivlav
Nästlav
Plattlummer
Linnea
Revlummer</t>
        </is>
      </c>
      <c r="W120">
        <f>HYPERLINK("https://klasma.github.io/Logging_2260/artfynd/A 26268-2026 artfynd.xlsx", "A 26268-2026")</f>
        <v/>
      </c>
      <c r="X120">
        <f>HYPERLINK("https://klasma.github.io/Logging_2260/kartor/A 26268-2026 karta.png", "A 26268-2026")</f>
        <v/>
      </c>
      <c r="Y120">
        <f>HYPERLINK("https://klasma.github.io/Logging_2260/kartor_geotiff/A 26268-2026 georefererad karta.tif", "A 26268-2026")</f>
        <v/>
      </c>
      <c r="Z120">
        <f>HYPERLINK("https://klasma.github.io/Logging_2260/knärot/A 26268-2026 karta knärot.png", "A 26268-2026")</f>
        <v/>
      </c>
      <c r="AA120">
        <f>HYPERLINK("https://klasma.github.io/Logging_2260/klagomål/A 26268-2026 FSC-klagomål.docx", "A 26268-2026")</f>
        <v/>
      </c>
      <c r="AB120">
        <f>HYPERLINK("https://klasma.github.io/Logging_2260/klagomålsmail/A 26268-2026 FSC-klagomål mail.docx", "A 26268-2026")</f>
        <v/>
      </c>
      <c r="AC120">
        <f>HYPERLINK("https://klasma.github.io/Logging_2260/tillsyn/A 26268-2026 tillsynsbegäran.docx", "A 26268-2026")</f>
        <v/>
      </c>
      <c r="AD120">
        <f>HYPERLINK("https://klasma.github.io/Logging_2260/tillsynsmail/A 26268-2026 tillsynsbegäran mail.docx", "A 26268-2026")</f>
        <v/>
      </c>
    </row>
    <row r="121" ht="15" customHeight="1">
      <c r="A121" t="inlineStr">
        <is>
          <t>A 34694-2023</t>
        </is>
      </c>
      <c r="B121" t="inlineStr">
        <is>
          <t>avverkningsanmälan</t>
        </is>
      </c>
      <c r="C121" t="inlineStr">
        <is>
          <t>Föryngringsavverkning</t>
        </is>
      </c>
      <c r="D121" s="1" t="n">
        <v>45140</v>
      </c>
      <c r="E121" s="1" t="n">
        <v>46228</v>
      </c>
      <c r="F121" t="inlineStr">
        <is>
          <t>VÄSTERNORRLANDS LÄN</t>
        </is>
      </c>
      <c r="G121" t="inlineStr">
        <is>
          <t>ÅNGE</t>
        </is>
      </c>
      <c r="H121" t="inlineStr">
        <is>
          <t>SCA</t>
        </is>
      </c>
      <c r="I121" t="n">
        <v>3</v>
      </c>
      <c r="J121" t="n">
        <v>1</v>
      </c>
      <c r="K121" t="n">
        <v>2</v>
      </c>
      <c r="L121" t="n">
        <v>3</v>
      </c>
      <c r="M121" t="n">
        <v>2</v>
      </c>
      <c r="N121" t="n">
        <v>0</v>
      </c>
      <c r="O121" t="n">
        <v>0</v>
      </c>
      <c r="P121" t="n">
        <v>0</v>
      </c>
      <c r="Q121" t="n">
        <v>5</v>
      </c>
      <c r="R121" t="n">
        <v>2</v>
      </c>
      <c r="S121" t="n">
        <v>7</v>
      </c>
      <c r="T121" t="n">
        <v>7</v>
      </c>
      <c r="U121" t="n">
        <v>7</v>
      </c>
      <c r="V121" s="2" t="inlineStr">
        <is>
          <t>Garnlav
Laxgröppa
Dropptaggsvamp
Koralltaggsvamp
Vedskivlav
Spindelblomster
Vedticka</t>
        </is>
      </c>
      <c r="W121">
        <f>HYPERLINK("https://klasma.github.io/Logging_2260/artfynd/A 34694-2023 artfynd.xlsx", "A 34694-2023")</f>
        <v/>
      </c>
      <c r="X121">
        <f>HYPERLINK("https://klasma.github.io/Logging_2260/kartor/A 34694-2023 karta.png", "A 34694-2023")</f>
        <v/>
      </c>
      <c r="Y121">
        <f>HYPERLINK("https://klasma.github.io/Logging_2260/kartor_geotiff/A 34694-2023 georefererad karta.tif", "A 34694-2023")</f>
        <v/>
      </c>
      <c r="AA121">
        <f>HYPERLINK("https://klasma.github.io/Logging_2260/klagomål/A 34694-2023 FSC-klagomål.docx", "A 34694-2023")</f>
        <v/>
      </c>
      <c r="AB121">
        <f>HYPERLINK("https://klasma.github.io/Logging_2260/klagomålsmail/A 34694-2023 FSC-klagomål mail.docx", "A 34694-2023")</f>
        <v/>
      </c>
      <c r="AC121">
        <f>HYPERLINK("https://klasma.github.io/Logging_2260/tillsyn/A 34694-2023 tillsynsbegäran.docx", "A 34694-2023")</f>
        <v/>
      </c>
      <c r="AD121">
        <f>HYPERLINK("https://klasma.github.io/Logging_2260/tillsynsmail/A 34694-2023 tillsynsbegäran mail.docx", "A 34694-2023")</f>
        <v/>
      </c>
    </row>
    <row r="122" ht="15" customHeight="1">
      <c r="A122" t="inlineStr">
        <is>
          <t>A 55176-2024</t>
        </is>
      </c>
      <c r="B122" t="inlineStr">
        <is>
          <t>avverkningsanmälan</t>
        </is>
      </c>
      <c r="C122" t="inlineStr">
        <is>
          <t>Föryngringsavverkning</t>
        </is>
      </c>
      <c r="D122" s="1" t="n">
        <v>45621</v>
      </c>
      <c r="E122" s="1" t="n">
        <v>46228</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t="n">
        <v>1</v>
      </c>
      <c r="V122" s="2" t="inlineStr">
        <is>
          <t>Läderlappslav
Lunglav
Mörk kolflarnlav
Stiftgelélav
Bårdlav
Skinnlav</t>
        </is>
      </c>
      <c r="W122">
        <f>HYPERLINK("https://klasma.github.io/Logging_2260/artfynd/A 55176-2024 artfynd.xlsx", "A 55176-2024")</f>
        <v/>
      </c>
      <c r="X122">
        <f>HYPERLINK("https://klasma.github.io/Logging_2260/kartor/A 55176-2024 karta.png", "A 55176-2024")</f>
        <v/>
      </c>
      <c r="Y122">
        <f>HYPERLINK("https://klasma.github.io/Logging_2260/kartor_geotiff/A 55176-2024 georefererad karta.tif", "A 55176-2024")</f>
        <v/>
      </c>
      <c r="AA122">
        <f>HYPERLINK("https://klasma.github.io/Logging_2260/klagomål/A 55176-2024 FSC-klagomål.docx", "A 55176-2024")</f>
        <v/>
      </c>
      <c r="AB122">
        <f>HYPERLINK("https://klasma.github.io/Logging_2260/klagomålsmail/A 55176-2024 FSC-klagomål mail.docx", "A 55176-2024")</f>
        <v/>
      </c>
      <c r="AC122">
        <f>HYPERLINK("https://klasma.github.io/Logging_2260/tillsyn/A 55176-2024 tillsynsbegäran.docx", "A 55176-2024")</f>
        <v/>
      </c>
      <c r="AD122">
        <f>HYPERLINK("https://klasma.github.io/Logging_2260/tillsynsmail/A 55176-2024 tillsynsbegäran mail.docx", "A 55176-2024")</f>
        <v/>
      </c>
    </row>
    <row r="123" ht="15" customHeight="1">
      <c r="A123" t="inlineStr">
        <is>
          <t>A 52269-2024</t>
        </is>
      </c>
      <c r="B123" t="inlineStr">
        <is>
          <t>avverkningsanmälan</t>
        </is>
      </c>
      <c r="C123" t="inlineStr">
        <is>
          <t>Avverkning för att bevara och utveckla /försöksver</t>
        </is>
      </c>
      <c r="D123" s="1" t="n">
        <v>45608</v>
      </c>
      <c r="E123" s="1" t="n">
        <v>46228</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46228</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20580-2026</t>
        </is>
      </c>
      <c r="B125" t="inlineStr">
        <is>
          <t>avverkningsanmälan</t>
        </is>
      </c>
      <c r="C125" t="inlineStr">
        <is>
          <t>Föryngringsavverkning</t>
        </is>
      </c>
      <c r="D125" s="1" t="n">
        <v>46140</v>
      </c>
      <c r="E125" s="1" t="n">
        <v>46228</v>
      </c>
      <c r="F125" t="inlineStr">
        <is>
          <t>VÄSTERNORRLANDS LÄN</t>
        </is>
      </c>
      <c r="G125" t="inlineStr">
        <is>
          <t>ÅNGE</t>
        </is>
      </c>
      <c r="H125" t="inlineStr">
        <is>
          <t>SCA</t>
        </is>
      </c>
      <c r="I125" t="n">
        <v>5.6</v>
      </c>
      <c r="J125" t="n">
        <v>1</v>
      </c>
      <c r="K125" t="n">
        <v>2</v>
      </c>
      <c r="L125" t="n">
        <v>2</v>
      </c>
      <c r="M125" t="n">
        <v>1</v>
      </c>
      <c r="N125" t="n">
        <v>0</v>
      </c>
      <c r="O125" t="n">
        <v>0</v>
      </c>
      <c r="P125" t="n">
        <v>0</v>
      </c>
      <c r="Q125" t="n">
        <v>3</v>
      </c>
      <c r="R125" t="n">
        <v>1</v>
      </c>
      <c r="S125" t="n">
        <v>6</v>
      </c>
      <c r="T125" t="n">
        <v>6</v>
      </c>
      <c r="U125" t="n">
        <v>0</v>
      </c>
      <c r="V125" s="2" t="inlineStr">
        <is>
          <t>Garnlav
Dropptaggsvamp
Vedskivlav
Stor aspticka
Vedticka
Tjäder</t>
        </is>
      </c>
      <c r="W125">
        <f>HYPERLINK("https://klasma.github.io/Logging_2260/artfynd/A 20580-2026 artfynd.xlsx", "A 20580-2026")</f>
        <v/>
      </c>
      <c r="X125">
        <f>HYPERLINK("https://klasma.github.io/Logging_2260/kartor/A 20580-2026 karta.png", "A 20580-2026")</f>
        <v/>
      </c>
      <c r="Y125">
        <f>HYPERLINK("https://klasma.github.io/Logging_2260/kartor_geotiff/A 20580-2026 georefererad karta.tif", "A 20580-2026")</f>
        <v/>
      </c>
      <c r="AA125">
        <f>HYPERLINK("https://klasma.github.io/Logging_2260/klagomål/A 20580-2026 FSC-klagomål.docx", "A 20580-2026")</f>
        <v/>
      </c>
      <c r="AB125">
        <f>HYPERLINK("https://klasma.github.io/Logging_2260/klagomålsmail/A 20580-2026 FSC-klagomål mail.docx", "A 20580-2026")</f>
        <v/>
      </c>
      <c r="AC125">
        <f>HYPERLINK("https://klasma.github.io/Logging_2260/tillsyn/A 20580-2026 tillsynsbegäran.docx", "A 20580-2026")</f>
        <v/>
      </c>
      <c r="AD125">
        <f>HYPERLINK("https://klasma.github.io/Logging_2260/tillsynsmail/A 20580-2026 tillsynsbegäran mail.docx", "A 20580-2026")</f>
        <v/>
      </c>
      <c r="AE125">
        <f>HYPERLINK("https://klasma.github.io/Logging_2260/fåglar/A 20580-2026 prioriterade fågelarter.docx", "A 20580-2026")</f>
        <v/>
      </c>
    </row>
    <row r="126" ht="15" customHeight="1">
      <c r="A126" t="inlineStr">
        <is>
          <t>A 19010-2025</t>
        </is>
      </c>
      <c r="B126" t="inlineStr">
        <is>
          <t>avverkningsanmälan</t>
        </is>
      </c>
      <c r="C126" t="inlineStr">
        <is>
          <t>Föryngringsavverkning</t>
        </is>
      </c>
      <c r="D126" s="1" t="n">
        <v>45764</v>
      </c>
      <c r="E126" s="1" t="n">
        <v>46228</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t="n">
        <v>28</v>
      </c>
      <c r="V126" s="2" t="inlineStr">
        <is>
          <t>Knärot
Lunglav
Mörk kolflarnlav
Stiftgelélav
Talltita
Tretåig hackspett</t>
        </is>
      </c>
      <c r="W126">
        <f>HYPERLINK("https://klasma.github.io/Logging_2260/artfynd/A 19010-2025 artfynd.xlsx", "A 19010-2025")</f>
        <v/>
      </c>
      <c r="X126">
        <f>HYPERLINK("https://klasma.github.io/Logging_2260/kartor/A 19010-2025 karta.png", "A 19010-2025")</f>
        <v/>
      </c>
      <c r="Y126">
        <f>HYPERLINK("https://klasma.github.io/Logging_2260/kartor_geotiff/A 19010-2025 georefererad karta.tif", "A 19010-2025")</f>
        <v/>
      </c>
      <c r="Z126">
        <f>HYPERLINK("https://klasma.github.io/Logging_2260/knärot/A 19010-2025 karta knärot.png", "A 19010-2025")</f>
        <v/>
      </c>
      <c r="AA126">
        <f>HYPERLINK("https://klasma.github.io/Logging_2260/klagomål/A 19010-2025 FSC-klagomål.docx", "A 19010-2025")</f>
        <v/>
      </c>
      <c r="AB126">
        <f>HYPERLINK("https://klasma.github.io/Logging_2260/klagomålsmail/A 19010-2025 FSC-klagomål mail.docx", "A 19010-2025")</f>
        <v/>
      </c>
      <c r="AC126">
        <f>HYPERLINK("https://klasma.github.io/Logging_2260/tillsyn/A 19010-2025 tillsynsbegäran.docx", "A 19010-2025")</f>
        <v/>
      </c>
      <c r="AD126">
        <f>HYPERLINK("https://klasma.github.io/Logging_2260/tillsynsmail/A 19010-2025 tillsynsbegäran mail.docx", "A 19010-2025")</f>
        <v/>
      </c>
      <c r="AE126">
        <f>HYPERLINK("https://klasma.github.io/Logging_2260/fåglar/A 19010-2025 prioriterade fågelarter.docx", "A 19010-2025")</f>
        <v/>
      </c>
    </row>
    <row r="127" ht="15" customHeight="1">
      <c r="A127" t="inlineStr">
        <is>
          <t>A 53710-2025</t>
        </is>
      </c>
      <c r="B127" t="inlineStr">
        <is>
          <t>avverkningsanmälan</t>
        </is>
      </c>
      <c r="C127" t="inlineStr">
        <is>
          <t>Föryngringsavverkning</t>
        </is>
      </c>
      <c r="D127" s="1" t="n">
        <v>45960</v>
      </c>
      <c r="E127" s="1" t="n">
        <v>46228</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30754-2024</t>
        </is>
      </c>
      <c r="B128" t="inlineStr">
        <is>
          <t>avverkningsanmälan</t>
        </is>
      </c>
      <c r="C128" t="inlineStr">
        <is>
          <t>Avverkning för annat ändamål</t>
        </is>
      </c>
      <c r="D128" s="1" t="n">
        <v>45496</v>
      </c>
      <c r="E128" s="1" t="n">
        <v>46228</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49528-2025</t>
        </is>
      </c>
      <c r="B129" t="inlineStr">
        <is>
          <t>avverkningsanmälan</t>
        </is>
      </c>
      <c r="C129" t="inlineStr">
        <is>
          <t>Föryngringsavverkning</t>
        </is>
      </c>
      <c r="D129" s="1" t="n">
        <v>45939</v>
      </c>
      <c r="E129" s="1" t="n">
        <v>46228</v>
      </c>
      <c r="F129" t="inlineStr">
        <is>
          <t>VÄSTERNORRLANDS LÄN</t>
        </is>
      </c>
      <c r="G129" t="inlineStr">
        <is>
          <t>ÅNGE</t>
        </is>
      </c>
      <c r="H129" t="inlineStr">
        <is>
          <t>SCA</t>
        </is>
      </c>
      <c r="I129" t="n">
        <v>5.6</v>
      </c>
      <c r="J129" t="n">
        <v>1</v>
      </c>
      <c r="K129" t="n">
        <v>0</v>
      </c>
      <c r="L129" t="n">
        <v>4</v>
      </c>
      <c r="M129" t="n">
        <v>1</v>
      </c>
      <c r="N129" t="n">
        <v>0</v>
      </c>
      <c r="O129" t="n">
        <v>0</v>
      </c>
      <c r="P129" t="n">
        <v>0</v>
      </c>
      <c r="Q129" t="n">
        <v>5</v>
      </c>
      <c r="R129" t="n">
        <v>1</v>
      </c>
      <c r="S129" t="n">
        <v>6</v>
      </c>
      <c r="T129" t="n">
        <v>8</v>
      </c>
      <c r="U129" t="n">
        <v>0</v>
      </c>
      <c r="V129" s="2" t="inlineStr">
        <is>
          <t>Garnlav
Lunglav
Rynkskinn
Ullticka
Vitgrynig nållav
Fläcknycklar</t>
        </is>
      </c>
      <c r="W129">
        <f>HYPERLINK("https://klasma.github.io/Logging_2260/artfynd/A 49528-2025 artfynd.xlsx", "A 49528-2025")</f>
        <v/>
      </c>
      <c r="X129">
        <f>HYPERLINK("https://klasma.github.io/Logging_2260/kartor/A 49528-2025 karta.png", "A 49528-2025")</f>
        <v/>
      </c>
      <c r="Y129">
        <f>HYPERLINK("https://klasma.github.io/Logging_2260/kartor_geotiff/A 49528-2025 georefererad karta.tif", "A 49528-2025")</f>
        <v/>
      </c>
      <c r="AA129">
        <f>HYPERLINK("https://klasma.github.io/Logging_2260/klagomål/A 49528-2025 FSC-klagomål.docx", "A 49528-2025")</f>
        <v/>
      </c>
      <c r="AB129">
        <f>HYPERLINK("https://klasma.github.io/Logging_2260/klagomålsmail/A 49528-2025 FSC-klagomål mail.docx", "A 49528-2025")</f>
        <v/>
      </c>
      <c r="AC129">
        <f>HYPERLINK("https://klasma.github.io/Logging_2260/tillsyn/A 49528-2025 tillsynsbegäran.docx", "A 49528-2025")</f>
        <v/>
      </c>
      <c r="AD129">
        <f>HYPERLINK("https://klasma.github.io/Logging_2260/tillsynsmail/A 49528-2025 tillsynsbegäran mail.docx", "A 49528-2025")</f>
        <v/>
      </c>
    </row>
    <row r="130" ht="15" customHeight="1">
      <c r="A130" t="inlineStr">
        <is>
          <t>A 5637-2026</t>
        </is>
      </c>
      <c r="B130" t="inlineStr">
        <is>
          <t>avverkningsanmälan</t>
        </is>
      </c>
      <c r="C130" t="inlineStr">
        <is>
          <t>Föryngringsavverkning</t>
        </is>
      </c>
      <c r="D130" s="1" t="n">
        <v>46051</v>
      </c>
      <c r="E130" s="1" t="n">
        <v>46228</v>
      </c>
      <c r="F130" t="inlineStr">
        <is>
          <t>VÄSTERNORRLANDS LÄN</t>
        </is>
      </c>
      <c r="G130" t="inlineStr">
        <is>
          <t>ÅNGE</t>
        </is>
      </c>
      <c r="I130" t="n">
        <v>6.4</v>
      </c>
      <c r="J130" t="n">
        <v>2</v>
      </c>
      <c r="K130" t="n">
        <v>1</v>
      </c>
      <c r="L130" t="n">
        <v>5</v>
      </c>
      <c r="M130" t="n">
        <v>0</v>
      </c>
      <c r="N130" t="n">
        <v>0</v>
      </c>
      <c r="O130" t="n">
        <v>0</v>
      </c>
      <c r="P130" t="n">
        <v>0</v>
      </c>
      <c r="Q130" t="n">
        <v>5</v>
      </c>
      <c r="R130" t="n">
        <v>0</v>
      </c>
      <c r="S130" t="n">
        <v>6</v>
      </c>
      <c r="T130" t="n">
        <v>15</v>
      </c>
      <c r="U130" t="n">
        <v>15</v>
      </c>
      <c r="V130" s="2" t="inlineStr">
        <is>
          <t>Lunglav
Rosenticka
Talltita
Tretåig hackspett
Ullticka
Skinnlav</t>
        </is>
      </c>
      <c r="W130">
        <f>HYPERLINK("https://klasma.github.io/Logging_2260/artfynd/A 5637-2026 artfynd.xlsx", "A 5637-2026")</f>
        <v/>
      </c>
      <c r="X130">
        <f>HYPERLINK("https://klasma.github.io/Logging_2260/kartor/A 5637-2026 karta.png", "A 5637-2026")</f>
        <v/>
      </c>
      <c r="Y130">
        <f>HYPERLINK("https://klasma.github.io/Logging_2260/kartor_geotiff/A 5637-2026 georefererad karta.tif", "A 5637-2026")</f>
        <v/>
      </c>
      <c r="AA130">
        <f>HYPERLINK("https://klasma.github.io/Logging_2260/klagomål/A 5637-2026 FSC-klagomål.docx", "A 5637-2026")</f>
        <v/>
      </c>
      <c r="AB130">
        <f>HYPERLINK("https://klasma.github.io/Logging_2260/klagomålsmail/A 5637-2026 FSC-klagomål mail.docx", "A 5637-2026")</f>
        <v/>
      </c>
      <c r="AC130">
        <f>HYPERLINK("https://klasma.github.io/Logging_2260/tillsyn/A 5637-2026 tillsynsbegäran.docx", "A 5637-2026")</f>
        <v/>
      </c>
      <c r="AD130">
        <f>HYPERLINK("https://klasma.github.io/Logging_2260/tillsynsmail/A 5637-2026 tillsynsbegäran mail.docx", "A 5637-2026")</f>
        <v/>
      </c>
      <c r="AE130">
        <f>HYPERLINK("https://klasma.github.io/Logging_2260/fåglar/A 5637-2026 prioriterade fågelarter.docx", "A 5637-2026")</f>
        <v/>
      </c>
    </row>
    <row r="131" ht="15" customHeight="1">
      <c r="A131" t="inlineStr">
        <is>
          <t>A 13696-2023</t>
        </is>
      </c>
      <c r="B131" t="inlineStr">
        <is>
          <t>avverkningsanmälan</t>
        </is>
      </c>
      <c r="C131" t="inlineStr">
        <is>
          <t>Föryngringsavverkning</t>
        </is>
      </c>
      <c r="D131" s="1" t="n">
        <v>45006</v>
      </c>
      <c r="E131" s="1" t="n">
        <v>46228</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38327-2025</t>
        </is>
      </c>
      <c r="B132" t="inlineStr">
        <is>
          <t>avverkningsanmälan</t>
        </is>
      </c>
      <c r="C132" t="inlineStr">
        <is>
          <t>Föryngringsavverkning</t>
        </is>
      </c>
      <c r="D132" s="1" t="n">
        <v>45883</v>
      </c>
      <c r="E132" s="1" t="n">
        <v>46228</v>
      </c>
      <c r="F132" t="inlineStr">
        <is>
          <t>VÄSTERNORRLANDS LÄN</t>
        </is>
      </c>
      <c r="G132" t="inlineStr">
        <is>
          <t>ÅNGE</t>
        </is>
      </c>
      <c r="H132" t="inlineStr">
        <is>
          <t>SCA</t>
        </is>
      </c>
      <c r="I132" t="n">
        <v>2.1</v>
      </c>
      <c r="J132" t="n">
        <v>1</v>
      </c>
      <c r="K132" t="n">
        <v>0</v>
      </c>
      <c r="L132" t="n">
        <v>3</v>
      </c>
      <c r="M132" t="n">
        <v>1</v>
      </c>
      <c r="N132" t="n">
        <v>0</v>
      </c>
      <c r="O132" t="n">
        <v>0</v>
      </c>
      <c r="P132" t="n">
        <v>0</v>
      </c>
      <c r="Q132" t="n">
        <v>4</v>
      </c>
      <c r="R132" t="n">
        <v>1</v>
      </c>
      <c r="S132" t="n">
        <v>5</v>
      </c>
      <c r="T132" t="n">
        <v>7</v>
      </c>
      <c r="U132" t="n">
        <v>0</v>
      </c>
      <c r="V132" s="2" t="inlineStr">
        <is>
          <t>Garnlav
Gammelgransskål
Ullticka
Violettgrå tagellav
Revlummer</t>
        </is>
      </c>
      <c r="W132">
        <f>HYPERLINK("https://klasma.github.io/Logging_2260/artfynd/A 38327-2025 artfynd.xlsx", "A 38327-2025")</f>
        <v/>
      </c>
      <c r="X132">
        <f>HYPERLINK("https://klasma.github.io/Logging_2260/kartor/A 38327-2025 karta.png", "A 38327-2025")</f>
        <v/>
      </c>
      <c r="Y132">
        <f>HYPERLINK("https://klasma.github.io/Logging_2260/kartor_geotiff/A 38327-2025 georefererad karta.tif", "A 38327-2025")</f>
        <v/>
      </c>
      <c r="AA132">
        <f>HYPERLINK("https://klasma.github.io/Logging_2260/klagomål/A 38327-2025 FSC-klagomål.docx", "A 38327-2025")</f>
        <v/>
      </c>
      <c r="AB132">
        <f>HYPERLINK("https://klasma.github.io/Logging_2260/klagomålsmail/A 38327-2025 FSC-klagomål mail.docx", "A 38327-2025")</f>
        <v/>
      </c>
      <c r="AC132">
        <f>HYPERLINK("https://klasma.github.io/Logging_2260/tillsyn/A 38327-2025 tillsynsbegäran.docx", "A 38327-2025")</f>
        <v/>
      </c>
      <c r="AD132">
        <f>HYPERLINK("https://klasma.github.io/Logging_2260/tillsynsmail/A 38327-2025 tillsynsbegäran mail.docx", "A 38327-2025")</f>
        <v/>
      </c>
    </row>
    <row r="133" ht="15" customHeight="1">
      <c r="A133" t="inlineStr">
        <is>
          <t>A 43520-2025</t>
        </is>
      </c>
      <c r="B133" t="inlineStr">
        <is>
          <t>avverkningsanmälan</t>
        </is>
      </c>
      <c r="C133" t="inlineStr">
        <is>
          <t>Föryngringsavverkning</t>
        </is>
      </c>
      <c r="D133" s="1" t="n">
        <v>45911</v>
      </c>
      <c r="E133" s="1" t="n">
        <v>46228</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t="n">
        <v>0</v>
      </c>
      <c r="V133" s="2" t="inlineStr">
        <is>
          <t>Garnlav
Lunglav
Vedtrappmossa
Bårdlav
Stuplav</t>
        </is>
      </c>
      <c r="W133">
        <f>HYPERLINK("https://klasma.github.io/Logging_2260/artfynd/A 43520-2025 artfynd.xlsx", "A 43520-2025")</f>
        <v/>
      </c>
      <c r="X133">
        <f>HYPERLINK("https://klasma.github.io/Logging_2260/kartor/A 43520-2025 karta.png", "A 43520-2025")</f>
        <v/>
      </c>
      <c r="Y133">
        <f>HYPERLINK("https://klasma.github.io/Logging_2260/kartor_geotiff/A 43520-2025 georefererad karta.tif", "A 43520-2025")</f>
        <v/>
      </c>
      <c r="AA133">
        <f>HYPERLINK("https://klasma.github.io/Logging_2260/klagomål/A 43520-2025 FSC-klagomål.docx", "A 43520-2025")</f>
        <v/>
      </c>
      <c r="AB133">
        <f>HYPERLINK("https://klasma.github.io/Logging_2260/klagomålsmail/A 43520-2025 FSC-klagomål mail.docx", "A 43520-2025")</f>
        <v/>
      </c>
      <c r="AC133">
        <f>HYPERLINK("https://klasma.github.io/Logging_2260/tillsyn/A 43520-2025 tillsynsbegäran.docx", "A 43520-2025")</f>
        <v/>
      </c>
      <c r="AD133">
        <f>HYPERLINK("https://klasma.github.io/Logging_2260/tillsynsmail/A 43520-2025 tillsynsbegäran mail.docx", "A 43520-2025")</f>
        <v/>
      </c>
    </row>
    <row r="134" ht="15" customHeight="1">
      <c r="A134" t="inlineStr">
        <is>
          <t>A 48237-2025</t>
        </is>
      </c>
      <c r="B134" t="inlineStr">
        <is>
          <t>avverkningsanmälan</t>
        </is>
      </c>
      <c r="C134" t="inlineStr">
        <is>
          <t>Föryngringsavverkning</t>
        </is>
      </c>
      <c r="D134" s="1" t="n">
        <v>45933</v>
      </c>
      <c r="E134" s="1" t="n">
        <v>46228</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50651-2021</t>
        </is>
      </c>
      <c r="B135" t="inlineStr">
        <is>
          <t>avverkningsanmälan</t>
        </is>
      </c>
      <c r="C135" t="inlineStr">
        <is>
          <t>Föryngringsavverkning</t>
        </is>
      </c>
      <c r="D135" s="1" t="n">
        <v>44459</v>
      </c>
      <c r="E135" s="1" t="n">
        <v>46228</v>
      </c>
      <c r="F135" t="inlineStr">
        <is>
          <t>VÄSTERNORRLANDS LÄN</t>
        </is>
      </c>
      <c r="G135" t="inlineStr">
        <is>
          <t>ÅNGE</t>
        </is>
      </c>
      <c r="I135" t="n">
        <v>20.6</v>
      </c>
      <c r="J135" t="n">
        <v>0</v>
      </c>
      <c r="K135" t="n">
        <v>2</v>
      </c>
      <c r="L135" t="n">
        <v>2</v>
      </c>
      <c r="M135" t="n">
        <v>1</v>
      </c>
      <c r="N135" t="n">
        <v>0</v>
      </c>
      <c r="O135" t="n">
        <v>0</v>
      </c>
      <c r="P135" t="n">
        <v>0</v>
      </c>
      <c r="Q135" t="n">
        <v>3</v>
      </c>
      <c r="R135" t="n">
        <v>1</v>
      </c>
      <c r="S135" t="n">
        <v>5</v>
      </c>
      <c r="T135" t="n">
        <v>5</v>
      </c>
      <c r="U135" t="n">
        <v>5</v>
      </c>
      <c r="V135" s="2" t="inlineStr">
        <is>
          <t>Garnlav
Gammelgransskål
Klotsporig murkla
Luddlav
Tibast</t>
        </is>
      </c>
      <c r="W135">
        <f>HYPERLINK("https://klasma.github.io/Logging_2260/artfynd/A 50651-2021 artfynd.xlsx", "A 50651-2021")</f>
        <v/>
      </c>
      <c r="X135">
        <f>HYPERLINK("https://klasma.github.io/Logging_2260/kartor/A 50651-2021 karta.png", "A 50651-2021")</f>
        <v/>
      </c>
      <c r="Y135">
        <f>HYPERLINK("https://klasma.github.io/Logging_2260/kartor_geotiff/A 50651-2021 georefererad karta.tif", "A 50651-2021")</f>
        <v/>
      </c>
      <c r="AA135">
        <f>HYPERLINK("https://klasma.github.io/Logging_2260/klagomål/A 50651-2021 FSC-klagomål.docx", "A 50651-2021")</f>
        <v/>
      </c>
      <c r="AB135">
        <f>HYPERLINK("https://klasma.github.io/Logging_2260/klagomålsmail/A 50651-2021 FSC-klagomål mail.docx", "A 50651-2021")</f>
        <v/>
      </c>
      <c r="AC135">
        <f>HYPERLINK("https://klasma.github.io/Logging_2260/tillsyn/A 50651-2021 tillsynsbegäran.docx", "A 50651-2021")</f>
        <v/>
      </c>
      <c r="AD135">
        <f>HYPERLINK("https://klasma.github.io/Logging_2260/tillsynsmail/A 50651-2021 tillsynsbegäran mail.docx", "A 50651-2021")</f>
        <v/>
      </c>
    </row>
    <row r="136" ht="15" customHeight="1">
      <c r="A136" t="inlineStr">
        <is>
          <t>A 29512-2026</t>
        </is>
      </c>
      <c r="B136" t="inlineStr">
        <is>
          <t>avverkningsanmälan</t>
        </is>
      </c>
      <c r="C136" t="inlineStr">
        <is>
          <t>Föryngringsavverkning</t>
        </is>
      </c>
      <c r="D136" s="1" t="n">
        <v>46203</v>
      </c>
      <c r="E136" s="1" t="n">
        <v>46228</v>
      </c>
      <c r="F136" t="inlineStr">
        <is>
          <t>VÄSTERNORRLANDS LÄN</t>
        </is>
      </c>
      <c r="G136" t="inlineStr">
        <is>
          <t>ÅNGE</t>
        </is>
      </c>
      <c r="H136" t="inlineStr">
        <is>
          <t>SCA</t>
        </is>
      </c>
      <c r="I136" t="n">
        <v>6.2</v>
      </c>
      <c r="J136" t="n">
        <v>0</v>
      </c>
      <c r="K136" t="n">
        <v>4</v>
      </c>
      <c r="L136" t="n">
        <v>1</v>
      </c>
      <c r="M136" t="n">
        <v>0</v>
      </c>
      <c r="N136" t="n">
        <v>0</v>
      </c>
      <c r="O136" t="n">
        <v>0</v>
      </c>
      <c r="P136" t="n">
        <v>0</v>
      </c>
      <c r="Q136" t="n">
        <v>1</v>
      </c>
      <c r="R136" t="n">
        <v>0</v>
      </c>
      <c r="S136" t="n">
        <v>5</v>
      </c>
      <c r="T136" t="n">
        <v>8</v>
      </c>
      <c r="U136" t="n">
        <v>0</v>
      </c>
      <c r="V136" s="2" t="inlineStr">
        <is>
          <t>Lunglav
Korallblylav
Kransrams
Stuplav
Tibast</t>
        </is>
      </c>
      <c r="W136">
        <f>HYPERLINK("https://klasma.github.io/Logging_2260/artfynd/A 29512-2026 artfynd.xlsx", "A 29512-2026")</f>
        <v/>
      </c>
      <c r="X136">
        <f>HYPERLINK("https://klasma.github.io/Logging_2260/kartor/A 29512-2026 karta.png", "A 29512-2026")</f>
        <v/>
      </c>
      <c r="Y136">
        <f>HYPERLINK("https://klasma.github.io/Logging_2260/kartor_geotiff/A 29512-2026 georefererad karta.tif", "A 29512-2026")</f>
        <v/>
      </c>
      <c r="AA136">
        <f>HYPERLINK("https://klasma.github.io/Logging_2260/klagomål/A 29512-2026 FSC-klagomål.docx", "A 29512-2026")</f>
        <v/>
      </c>
      <c r="AB136">
        <f>HYPERLINK("https://klasma.github.io/Logging_2260/klagomålsmail/A 29512-2026 FSC-klagomål mail.docx", "A 29512-2026")</f>
        <v/>
      </c>
      <c r="AC136">
        <f>HYPERLINK("https://klasma.github.io/Logging_2260/tillsyn/A 29512-2026 tillsynsbegäran.docx", "A 29512-2026")</f>
        <v/>
      </c>
      <c r="AD136">
        <f>HYPERLINK("https://klasma.github.io/Logging_2260/tillsynsmail/A 29512-2026 tillsynsbegäran mail.docx", "A 29512-2026")</f>
        <v/>
      </c>
    </row>
    <row r="137" ht="15" customHeight="1">
      <c r="A137" t="inlineStr">
        <is>
          <t>A 15784-2026</t>
        </is>
      </c>
      <c r="B137" t="inlineStr">
        <is>
          <t>avverkningsanmälan</t>
        </is>
      </c>
      <c r="C137" t="inlineStr">
        <is>
          <t>Föryngringsavverkning</t>
        </is>
      </c>
      <c r="D137" s="1" t="n">
        <v>46107</v>
      </c>
      <c r="E137" s="1" t="n">
        <v>46228</v>
      </c>
      <c r="F137" t="inlineStr">
        <is>
          <t>VÄSTERNORRLANDS LÄN</t>
        </is>
      </c>
      <c r="G137" t="inlineStr">
        <is>
          <t>ÅNGE</t>
        </is>
      </c>
      <c r="H137" t="inlineStr">
        <is>
          <t>SCA</t>
        </is>
      </c>
      <c r="I137" t="n">
        <v>10.4</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15784-2026 artfynd.xlsx", "A 15784-2026")</f>
        <v/>
      </c>
      <c r="X137">
        <f>HYPERLINK("https://klasma.github.io/Logging_2260/kartor/A 15784-2026 karta.png", "A 15784-2026")</f>
        <v/>
      </c>
      <c r="Y137">
        <f>HYPERLINK("https://klasma.github.io/Logging_2260/kartor_geotiff/A 15784-2026 georefererad karta.tif", "A 15784-2026")</f>
        <v/>
      </c>
      <c r="AA137">
        <f>HYPERLINK("https://klasma.github.io/Logging_2260/klagomål/A 15784-2026 FSC-klagomål.docx", "A 15784-2026")</f>
        <v/>
      </c>
      <c r="AB137">
        <f>HYPERLINK("https://klasma.github.io/Logging_2260/klagomålsmail/A 15784-2026 FSC-klagomål mail.docx", "A 15784-2026")</f>
        <v/>
      </c>
      <c r="AC137">
        <f>HYPERLINK("https://klasma.github.io/Logging_2260/tillsyn/A 15784-2026 tillsynsbegäran.docx", "A 15784-2026")</f>
        <v/>
      </c>
      <c r="AD137">
        <f>HYPERLINK("https://klasma.github.io/Logging_2260/tillsynsmail/A 15784-2026 tillsynsbegäran mail.docx", "A 15784-2026")</f>
        <v/>
      </c>
    </row>
    <row r="138" ht="15" customHeight="1">
      <c r="A138" t="inlineStr">
        <is>
          <t>A 18604-2026</t>
        </is>
      </c>
      <c r="B138" t="inlineStr">
        <is>
          <t>avverkningsanmälan</t>
        </is>
      </c>
      <c r="C138" t="inlineStr">
        <is>
          <t>Föryngringsavverkning</t>
        </is>
      </c>
      <c r="D138" s="1" t="n">
        <v>46127</v>
      </c>
      <c r="E138" s="1" t="n">
        <v>46228</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18604-2026 artfynd.xlsx", "A 18604-2026")</f>
        <v/>
      </c>
      <c r="X138">
        <f>HYPERLINK("https://klasma.github.io/Logging_2260/kartor/A 18604-2026 karta.png", "A 18604-2026")</f>
        <v/>
      </c>
      <c r="Y138">
        <f>HYPERLINK("https://klasma.github.io/Logging_2260/kartor_geotiff/A 18604-2026 georefererad karta.tif", "A 18604-2026")</f>
        <v/>
      </c>
      <c r="AA138">
        <f>HYPERLINK("https://klasma.github.io/Logging_2260/klagomål/A 18604-2026 FSC-klagomål.docx", "A 18604-2026")</f>
        <v/>
      </c>
      <c r="AB138">
        <f>HYPERLINK("https://klasma.github.io/Logging_2260/klagomålsmail/A 18604-2026 FSC-klagomål mail.docx", "A 18604-2026")</f>
        <v/>
      </c>
      <c r="AC138">
        <f>HYPERLINK("https://klasma.github.io/Logging_2260/tillsyn/A 18604-2026 tillsynsbegäran.docx", "A 18604-2026")</f>
        <v/>
      </c>
      <c r="AD138">
        <f>HYPERLINK("https://klasma.github.io/Logging_2260/tillsynsmail/A 18604-2026 tillsynsbegäran mail.docx", "A 18604-2026")</f>
        <v/>
      </c>
    </row>
    <row r="139" ht="15" customHeight="1">
      <c r="A139" t="inlineStr">
        <is>
          <t>A 25972-2026</t>
        </is>
      </c>
      <c r="B139" t="inlineStr">
        <is>
          <t>avverkningsanmälan</t>
        </is>
      </c>
      <c r="C139" t="inlineStr">
        <is>
          <t>Föryngringsavverkning</t>
        </is>
      </c>
      <c r="D139" s="1" t="n">
        <v>46181</v>
      </c>
      <c r="E139" s="1" t="n">
        <v>46228</v>
      </c>
      <c r="F139" t="inlineStr">
        <is>
          <t>VÄSTERNORRLANDS LÄN</t>
        </is>
      </c>
      <c r="G139" t="inlineStr">
        <is>
          <t>ÅNGE</t>
        </is>
      </c>
      <c r="H139" t="inlineStr">
        <is>
          <t>SCA</t>
        </is>
      </c>
      <c r="I139" t="n">
        <v>1.4</v>
      </c>
      <c r="J139" t="n">
        <v>0</v>
      </c>
      <c r="K139" t="n">
        <v>0</v>
      </c>
      <c r="L139" t="n">
        <v>5</v>
      </c>
      <c r="M139" t="n">
        <v>0</v>
      </c>
      <c r="N139" t="n">
        <v>0</v>
      </c>
      <c r="O139" t="n">
        <v>0</v>
      </c>
      <c r="P139" t="n">
        <v>0</v>
      </c>
      <c r="Q139" t="n">
        <v>5</v>
      </c>
      <c r="R139" t="n">
        <v>0</v>
      </c>
      <c r="S139" t="n">
        <v>5</v>
      </c>
      <c r="T139" t="n">
        <v>8</v>
      </c>
      <c r="U139" t="n">
        <v>0</v>
      </c>
      <c r="V139" s="2" t="inlineStr">
        <is>
          <t>Dropptaggsvamp
Kolflarnlav
Rosenticka
Rynkskinn
Ullticka</t>
        </is>
      </c>
      <c r="W139">
        <f>HYPERLINK("https://klasma.github.io/Logging_2260/artfynd/A 25972-2026 artfynd.xlsx", "A 25972-2026")</f>
        <v/>
      </c>
      <c r="X139">
        <f>HYPERLINK("https://klasma.github.io/Logging_2260/kartor/A 25972-2026 karta.png", "A 25972-2026")</f>
        <v/>
      </c>
      <c r="Y139">
        <f>HYPERLINK("https://klasma.github.io/Logging_2260/kartor_geotiff/A 25972-2026 georefererad karta.tif", "A 25972-2026")</f>
        <v/>
      </c>
      <c r="AA139">
        <f>HYPERLINK("https://klasma.github.io/Logging_2260/klagomål/A 25972-2026 FSC-klagomål.docx", "A 25972-2026")</f>
        <v/>
      </c>
      <c r="AB139">
        <f>HYPERLINK("https://klasma.github.io/Logging_2260/klagomålsmail/A 25972-2026 FSC-klagomål mail.docx", "A 25972-2026")</f>
        <v/>
      </c>
      <c r="AC139">
        <f>HYPERLINK("https://klasma.github.io/Logging_2260/tillsyn/A 25972-2026 tillsynsbegäran.docx", "A 25972-2026")</f>
        <v/>
      </c>
      <c r="AD139">
        <f>HYPERLINK("https://klasma.github.io/Logging_2260/tillsynsmail/A 25972-2026 tillsynsbegäran mail.docx", "A 25972-2026")</f>
        <v/>
      </c>
    </row>
    <row r="140" ht="15" customHeight="1">
      <c r="A140" t="inlineStr">
        <is>
          <t>A 32911-2024</t>
        </is>
      </c>
      <c r="B140" t="inlineStr">
        <is>
          <t>avverkningsanmälan</t>
        </is>
      </c>
      <c r="C140" t="inlineStr">
        <is>
          <t>Föryngringsavverkning</t>
        </is>
      </c>
      <c r="D140" s="1" t="n">
        <v>45516</v>
      </c>
      <c r="E140" s="1" t="n">
        <v>46228</v>
      </c>
      <c r="F140" t="inlineStr">
        <is>
          <t>VÄSTERNORRLANDS LÄN</t>
        </is>
      </c>
      <c r="G140" t="inlineStr">
        <is>
          <t>ÅNGE</t>
        </is>
      </c>
      <c r="H140" t="inlineStr">
        <is>
          <t>SCA</t>
        </is>
      </c>
      <c r="I140" t="n">
        <v>1</v>
      </c>
      <c r="J140" t="n">
        <v>3</v>
      </c>
      <c r="K140" t="n">
        <v>0</v>
      </c>
      <c r="L140" t="n">
        <v>1</v>
      </c>
      <c r="M140" t="n">
        <v>3</v>
      </c>
      <c r="N140" t="n">
        <v>0</v>
      </c>
      <c r="O140" t="n">
        <v>0</v>
      </c>
      <c r="P140" t="n">
        <v>0</v>
      </c>
      <c r="Q140" t="n">
        <v>4</v>
      </c>
      <c r="R140" t="n">
        <v>3</v>
      </c>
      <c r="S140" t="n">
        <v>5</v>
      </c>
      <c r="T140" t="n">
        <v>23</v>
      </c>
      <c r="U140" t="n">
        <v>23</v>
      </c>
      <c r="V140" s="2" t="inlineStr">
        <is>
          <t>Doftticka
Garnlav
Knärot
Lunglav
Revlummer</t>
        </is>
      </c>
      <c r="W140">
        <f>HYPERLINK("https://klasma.github.io/Logging_2260/artfynd/A 32911-2024 artfynd.xlsx", "A 32911-2024")</f>
        <v/>
      </c>
      <c r="X140">
        <f>HYPERLINK("https://klasma.github.io/Logging_2260/kartor/A 32911-2024 karta.png", "A 32911-2024")</f>
        <v/>
      </c>
      <c r="Y140">
        <f>HYPERLINK("https://klasma.github.io/Logging_2260/kartor_geotiff/A 32911-2024 georefererad karta.tif", "A 32911-2024")</f>
        <v/>
      </c>
      <c r="Z140">
        <f>HYPERLINK("https://klasma.github.io/Logging_2260/knärot/A 32911-2024 karta knärot.png", "A 32911-2024")</f>
        <v/>
      </c>
      <c r="AA140">
        <f>HYPERLINK("https://klasma.github.io/Logging_2260/klagomål/A 32911-2024 FSC-klagomål.docx", "A 32911-2024")</f>
        <v/>
      </c>
      <c r="AB140">
        <f>HYPERLINK("https://klasma.github.io/Logging_2260/klagomålsmail/A 32911-2024 FSC-klagomål mail.docx", "A 32911-2024")</f>
        <v/>
      </c>
      <c r="AC140">
        <f>HYPERLINK("https://klasma.github.io/Logging_2260/tillsyn/A 32911-2024 tillsynsbegäran.docx", "A 32911-2024")</f>
        <v/>
      </c>
      <c r="AD140">
        <f>HYPERLINK("https://klasma.github.io/Logging_2260/tillsynsmail/A 32911-2024 tillsynsbegäran mail.docx", "A 32911-2024")</f>
        <v/>
      </c>
    </row>
    <row r="141" ht="15" customHeight="1">
      <c r="A141" t="inlineStr">
        <is>
          <t>A 2451-2024</t>
        </is>
      </c>
      <c r="B141" t="inlineStr">
        <is>
          <t>avverkningsanmälan</t>
        </is>
      </c>
      <c r="C141" t="inlineStr">
        <is>
          <t>Föryngringsavverkning</t>
        </is>
      </c>
      <c r="D141" s="1" t="n">
        <v>45312</v>
      </c>
      <c r="E141" s="1" t="n">
        <v>46228</v>
      </c>
      <c r="F141" t="inlineStr">
        <is>
          <t>VÄSTERNORRLANDS LÄN</t>
        </is>
      </c>
      <c r="G141" t="inlineStr">
        <is>
          <t>ÅNGE</t>
        </is>
      </c>
      <c r="I141" t="n">
        <v>3.5</v>
      </c>
      <c r="J141" t="n">
        <v>0</v>
      </c>
      <c r="K141" t="n">
        <v>0</v>
      </c>
      <c r="L141" t="n">
        <v>4</v>
      </c>
      <c r="M141" t="n">
        <v>1</v>
      </c>
      <c r="N141" t="n">
        <v>0</v>
      </c>
      <c r="O141" t="n">
        <v>0</v>
      </c>
      <c r="P141" t="n">
        <v>0</v>
      </c>
      <c r="Q141" t="n">
        <v>5</v>
      </c>
      <c r="R141" t="n">
        <v>1</v>
      </c>
      <c r="S141" t="n">
        <v>5</v>
      </c>
      <c r="T141" t="n">
        <v>9</v>
      </c>
      <c r="U141" t="n">
        <v>9</v>
      </c>
      <c r="V141" s="2" t="inlineStr">
        <is>
          <t>Garnlav
Dropptaggsvamp
Mörk kolflarnlav
Rosenticka
Ullticka</t>
        </is>
      </c>
      <c r="W141">
        <f>HYPERLINK("https://klasma.github.io/Logging_2260/artfynd/A 2451-2024 artfynd.xlsx", "A 2451-2024")</f>
        <v/>
      </c>
      <c r="X141">
        <f>HYPERLINK("https://klasma.github.io/Logging_2260/kartor/A 2451-2024 karta.png", "A 2451-2024")</f>
        <v/>
      </c>
      <c r="Y141">
        <f>HYPERLINK("https://klasma.github.io/Logging_2260/kartor_geotiff/A 2451-2024 georefererad karta.tif", "A 2451-2024")</f>
        <v/>
      </c>
      <c r="AA141">
        <f>HYPERLINK("https://klasma.github.io/Logging_2260/klagomål/A 2451-2024 FSC-klagomål.docx", "A 2451-2024")</f>
        <v/>
      </c>
      <c r="AB141">
        <f>HYPERLINK("https://klasma.github.io/Logging_2260/klagomålsmail/A 2451-2024 FSC-klagomål mail.docx", "A 2451-2024")</f>
        <v/>
      </c>
      <c r="AC141">
        <f>HYPERLINK("https://klasma.github.io/Logging_2260/tillsyn/A 2451-2024 tillsynsbegäran.docx", "A 2451-2024")</f>
        <v/>
      </c>
      <c r="AD141">
        <f>HYPERLINK("https://klasma.github.io/Logging_2260/tillsynsmail/A 2451-2024 tillsynsbegäran mail.docx", "A 2451-2024")</f>
        <v/>
      </c>
    </row>
    <row r="142" ht="15" customHeight="1">
      <c r="A142" t="inlineStr">
        <is>
          <t>A 22996-2023</t>
        </is>
      </c>
      <c r="B142" t="inlineStr">
        <is>
          <t>avverkningsanmälan</t>
        </is>
      </c>
      <c r="C142" t="inlineStr">
        <is>
          <t>Föryngringsavverkning</t>
        </is>
      </c>
      <c r="D142" s="1" t="n">
        <v>45072</v>
      </c>
      <c r="E142" s="1" t="n">
        <v>46228</v>
      </c>
      <c r="F142" t="inlineStr">
        <is>
          <t>VÄSTERNORRLANDS LÄN</t>
        </is>
      </c>
      <c r="G142" t="inlineStr">
        <is>
          <t>ÅNGE</t>
        </is>
      </c>
      <c r="H142" t="inlineStr">
        <is>
          <t>SCA</t>
        </is>
      </c>
      <c r="I142" t="n">
        <v>2.2</v>
      </c>
      <c r="J142" t="n">
        <v>1</v>
      </c>
      <c r="K142" t="n">
        <v>1</v>
      </c>
      <c r="L142" t="n">
        <v>2</v>
      </c>
      <c r="M142" t="n">
        <v>2</v>
      </c>
      <c r="N142" t="n">
        <v>0</v>
      </c>
      <c r="O142" t="n">
        <v>0</v>
      </c>
      <c r="P142" t="n">
        <v>0</v>
      </c>
      <c r="Q142" t="n">
        <v>4</v>
      </c>
      <c r="R142" t="n">
        <v>2</v>
      </c>
      <c r="S142" t="n">
        <v>5</v>
      </c>
      <c r="T142" t="n">
        <v>5</v>
      </c>
      <c r="U142" t="n">
        <v>0</v>
      </c>
      <c r="V142" s="2" t="inlineStr">
        <is>
          <t>Garnlav
Knärot
Skuggblåslav
Vedtrappmossa
Vedticka</t>
        </is>
      </c>
      <c r="W142">
        <f>HYPERLINK("https://klasma.github.io/Logging_2260/artfynd/A 22996-2023 artfynd.xlsx", "A 22996-2023")</f>
        <v/>
      </c>
      <c r="X142">
        <f>HYPERLINK("https://klasma.github.io/Logging_2260/kartor/A 22996-2023 karta.png", "A 22996-2023")</f>
        <v/>
      </c>
      <c r="Y142">
        <f>HYPERLINK("https://klasma.github.io/Logging_2260/kartor_geotiff/A 22996-2023 georefererad karta.tif", "A 22996-2023")</f>
        <v/>
      </c>
      <c r="Z142">
        <f>HYPERLINK("https://klasma.github.io/Logging_2260/knärot/A 22996-2023 karta knärot.png", "A 22996-2023")</f>
        <v/>
      </c>
      <c r="AA142">
        <f>HYPERLINK("https://klasma.github.io/Logging_2260/klagomål/A 22996-2023 FSC-klagomål.docx", "A 22996-2023")</f>
        <v/>
      </c>
      <c r="AB142">
        <f>HYPERLINK("https://klasma.github.io/Logging_2260/klagomålsmail/A 22996-2023 FSC-klagomål mail.docx", "A 22996-2023")</f>
        <v/>
      </c>
      <c r="AC142">
        <f>HYPERLINK("https://klasma.github.io/Logging_2260/tillsyn/A 22996-2023 tillsynsbegäran.docx", "A 22996-2023")</f>
        <v/>
      </c>
      <c r="AD142">
        <f>HYPERLINK("https://klasma.github.io/Logging_2260/tillsynsmail/A 22996-2023 tillsynsbegäran mail.docx", "A 22996-2023")</f>
        <v/>
      </c>
    </row>
    <row r="143" ht="15" customHeight="1">
      <c r="A143" t="inlineStr">
        <is>
          <t>A 32847-2025</t>
        </is>
      </c>
      <c r="B143" t="inlineStr">
        <is>
          <t>avverkningsanmälan</t>
        </is>
      </c>
      <c r="C143" t="inlineStr">
        <is>
          <t>Föryngringsavverkning</t>
        </is>
      </c>
      <c r="D143" s="1" t="n">
        <v>45839</v>
      </c>
      <c r="E143" s="1" t="n">
        <v>46228</v>
      </c>
      <c r="F143" t="inlineStr">
        <is>
          <t>VÄSTERNORRLANDS LÄN</t>
        </is>
      </c>
      <c r="G143" t="inlineStr">
        <is>
          <t>ÅNGE</t>
        </is>
      </c>
      <c r="H143" t="inlineStr">
        <is>
          <t>SCA</t>
        </is>
      </c>
      <c r="I143" t="n">
        <v>9.4</v>
      </c>
      <c r="J143" t="n">
        <v>0</v>
      </c>
      <c r="K143" t="n">
        <v>2</v>
      </c>
      <c r="L143" t="n">
        <v>2</v>
      </c>
      <c r="M143" t="n">
        <v>1</v>
      </c>
      <c r="N143" t="n">
        <v>0</v>
      </c>
      <c r="O143" t="n">
        <v>0</v>
      </c>
      <c r="P143" t="n">
        <v>0</v>
      </c>
      <c r="Q143" t="n">
        <v>3</v>
      </c>
      <c r="R143" t="n">
        <v>1</v>
      </c>
      <c r="S143" t="n">
        <v>5</v>
      </c>
      <c r="T143" t="n">
        <v>5</v>
      </c>
      <c r="U143" t="n">
        <v>0</v>
      </c>
      <c r="V143" s="2" t="inlineStr">
        <is>
          <t>Garnlav
Lunglav
Rynkskinn
Bollvitmossa
Stuplav</t>
        </is>
      </c>
      <c r="W143">
        <f>HYPERLINK("https://klasma.github.io/Logging_2260/artfynd/A 32847-2025 artfynd.xlsx", "A 32847-2025")</f>
        <v/>
      </c>
      <c r="X143">
        <f>HYPERLINK("https://klasma.github.io/Logging_2260/kartor/A 32847-2025 karta.png", "A 32847-2025")</f>
        <v/>
      </c>
      <c r="Y143">
        <f>HYPERLINK("https://klasma.github.io/Logging_2260/kartor_geotiff/A 32847-2025 georefererad karta.tif", "A 32847-2025")</f>
        <v/>
      </c>
      <c r="AA143">
        <f>HYPERLINK("https://klasma.github.io/Logging_2260/klagomål/A 32847-2025 FSC-klagomål.docx", "A 32847-2025")</f>
        <v/>
      </c>
      <c r="AB143">
        <f>HYPERLINK("https://klasma.github.io/Logging_2260/klagomålsmail/A 32847-2025 FSC-klagomål mail.docx", "A 32847-2025")</f>
        <v/>
      </c>
      <c r="AC143">
        <f>HYPERLINK("https://klasma.github.io/Logging_2260/tillsyn/A 32847-2025 tillsynsbegäran.docx", "A 32847-2025")</f>
        <v/>
      </c>
      <c r="AD143">
        <f>HYPERLINK("https://klasma.github.io/Logging_2260/tillsynsmail/A 32847-2025 tillsynsbegäran mail.docx", "A 32847-2025")</f>
        <v/>
      </c>
    </row>
    <row r="144" ht="15" customHeight="1">
      <c r="A144" t="inlineStr">
        <is>
          <t>S 1192-2023</t>
        </is>
      </c>
      <c r="B144" t="inlineStr">
        <is>
          <t>samrådsanmälan</t>
        </is>
      </c>
      <c r="C144" t="inlineStr">
        <is>
          <t>Annan skogsbruksåtgärd</t>
        </is>
      </c>
      <c r="D144" s="1" t="n">
        <v>45021</v>
      </c>
      <c r="E144" s="1" t="n">
        <v>46228</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46228</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46228</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46228</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38326-2024</t>
        </is>
      </c>
      <c r="B148" t="inlineStr">
        <is>
          <t>avverkningsanmälan</t>
        </is>
      </c>
      <c r="C148" t="inlineStr">
        <is>
          <t>Föryngringsavverkning</t>
        </is>
      </c>
      <c r="D148" s="1" t="n">
        <v>45545</v>
      </c>
      <c r="E148" s="1" t="n">
        <v>46228</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t="n">
        <v>0</v>
      </c>
      <c r="V148" s="2" t="inlineStr">
        <is>
          <t>Garnlav
Gammelgransskål
Lunglav
Stuplav</t>
        </is>
      </c>
      <c r="W148">
        <f>HYPERLINK("https://klasma.github.io/Logging_2260/artfynd/A 38326-2024 artfynd.xlsx", "A 38326-2024")</f>
        <v/>
      </c>
      <c r="X148">
        <f>HYPERLINK("https://klasma.github.io/Logging_2260/kartor/A 38326-2024 karta.png", "A 38326-2024")</f>
        <v/>
      </c>
      <c r="Y148">
        <f>HYPERLINK("https://klasma.github.io/Logging_2260/kartor_geotiff/A 38326-2024 georefererad karta.tif", "A 38326-2024")</f>
        <v/>
      </c>
      <c r="AA148">
        <f>HYPERLINK("https://klasma.github.io/Logging_2260/klagomål/A 38326-2024 FSC-klagomål.docx", "A 38326-2024")</f>
        <v/>
      </c>
      <c r="AB148">
        <f>HYPERLINK("https://klasma.github.io/Logging_2260/klagomålsmail/A 38326-2024 FSC-klagomål mail.docx", "A 38326-2024")</f>
        <v/>
      </c>
      <c r="AC148">
        <f>HYPERLINK("https://klasma.github.io/Logging_2260/tillsyn/A 38326-2024 tillsynsbegäran.docx", "A 38326-2024")</f>
        <v/>
      </c>
      <c r="AD148">
        <f>HYPERLINK("https://klasma.github.io/Logging_2260/tillsynsmail/A 38326-2024 tillsynsbegäran mail.docx", "A 38326-2024")</f>
        <v/>
      </c>
    </row>
    <row r="149" ht="15" customHeight="1">
      <c r="A149" t="inlineStr">
        <is>
          <t>A 35498-2022</t>
        </is>
      </c>
      <c r="B149" t="inlineStr">
        <is>
          <t>avverkningsanmälan</t>
        </is>
      </c>
      <c r="C149" t="inlineStr">
        <is>
          <t>Avverkning för att bevara och utveckla /försöksver</t>
        </is>
      </c>
      <c r="D149" s="1" t="n">
        <v>44798</v>
      </c>
      <c r="E149" s="1" t="n">
        <v>46228</v>
      </c>
      <c r="F149" t="inlineStr">
        <is>
          <t>VÄSTERNORRLANDS LÄN</t>
        </is>
      </c>
      <c r="G149" t="inlineStr">
        <is>
          <t>ÅNGE</t>
        </is>
      </c>
      <c r="H149" t="inlineStr">
        <is>
          <t>SCA</t>
        </is>
      </c>
      <c r="I149" t="n">
        <v>3</v>
      </c>
      <c r="J149" t="n">
        <v>1</v>
      </c>
      <c r="K149" t="n">
        <v>1</v>
      </c>
      <c r="L149" t="n">
        <v>1</v>
      </c>
      <c r="M149" t="n">
        <v>2</v>
      </c>
      <c r="N149" t="n">
        <v>0</v>
      </c>
      <c r="O149" t="n">
        <v>0</v>
      </c>
      <c r="P149" t="n">
        <v>0</v>
      </c>
      <c r="Q149" t="n">
        <v>3</v>
      </c>
      <c r="R149" t="n">
        <v>2</v>
      </c>
      <c r="S149" t="n">
        <v>4</v>
      </c>
      <c r="T149" t="n">
        <v>8</v>
      </c>
      <c r="U149" t="n">
        <v>8</v>
      </c>
      <c r="V149" s="2" t="inlineStr">
        <is>
          <t>Garnlav
Knärot
Lunglav
Bårdlav</t>
        </is>
      </c>
      <c r="W149">
        <f>HYPERLINK("https://klasma.github.io/Logging_2260/artfynd/A 35498-2022 artfynd.xlsx", "A 35498-2022")</f>
        <v/>
      </c>
      <c r="X149">
        <f>HYPERLINK("https://klasma.github.io/Logging_2260/kartor/A 35498-2022 karta.png", "A 35498-2022")</f>
        <v/>
      </c>
      <c r="Y149">
        <f>HYPERLINK("https://klasma.github.io/Logging_2260/kartor_geotiff/A 35498-2022 georefererad karta.tif", "A 35498-2022")</f>
        <v/>
      </c>
      <c r="Z149">
        <f>HYPERLINK("https://klasma.github.io/Logging_2260/knärot/A 35498-2022 karta knärot.png", "A 35498-2022")</f>
        <v/>
      </c>
      <c r="AA149">
        <f>HYPERLINK("https://klasma.github.io/Logging_2260/klagomål/A 35498-2022 FSC-klagomål.docx", "A 35498-2022")</f>
        <v/>
      </c>
      <c r="AB149">
        <f>HYPERLINK("https://klasma.github.io/Logging_2260/klagomålsmail/A 35498-2022 FSC-klagomål mail.docx", "A 35498-2022")</f>
        <v/>
      </c>
      <c r="AC149">
        <f>HYPERLINK("https://klasma.github.io/Logging_2260/tillsyn/A 35498-2022 tillsynsbegäran.docx", "A 35498-2022")</f>
        <v/>
      </c>
      <c r="AD149">
        <f>HYPERLINK("https://klasma.github.io/Logging_2260/tillsynsmail/A 35498-2022 tillsynsbegäran mail.docx", "A 35498-2022")</f>
        <v/>
      </c>
    </row>
    <row r="150" ht="15" customHeight="1">
      <c r="A150" t="inlineStr">
        <is>
          <t>A 38713-2025</t>
        </is>
      </c>
      <c r="B150" t="inlineStr">
        <is>
          <t>avverkningsanmälan</t>
        </is>
      </c>
      <c r="C150" t="inlineStr">
        <is>
          <t>Föryngringsavverkning</t>
        </is>
      </c>
      <c r="D150" s="1" t="n">
        <v>45886</v>
      </c>
      <c r="E150" s="1" t="n">
        <v>46228</v>
      </c>
      <c r="F150" t="inlineStr">
        <is>
          <t>VÄSTERNORRLANDS LÄN</t>
        </is>
      </c>
      <c r="G150" t="inlineStr">
        <is>
          <t>ÅNGE</t>
        </is>
      </c>
      <c r="H150" t="inlineStr">
        <is>
          <t>SCA</t>
        </is>
      </c>
      <c r="I150" t="n">
        <v>2</v>
      </c>
      <c r="J150" t="n">
        <v>1</v>
      </c>
      <c r="K150" t="n">
        <v>1</v>
      </c>
      <c r="L150" t="n">
        <v>1</v>
      </c>
      <c r="M150" t="n">
        <v>2</v>
      </c>
      <c r="N150" t="n">
        <v>0</v>
      </c>
      <c r="O150" t="n">
        <v>0</v>
      </c>
      <c r="P150" t="n">
        <v>0</v>
      </c>
      <c r="Q150" t="n">
        <v>3</v>
      </c>
      <c r="R150" t="n">
        <v>2</v>
      </c>
      <c r="S150" t="n">
        <v>4</v>
      </c>
      <c r="T150" t="n">
        <v>8</v>
      </c>
      <c r="U150" t="n">
        <v>0</v>
      </c>
      <c r="V150" s="2" t="inlineStr">
        <is>
          <t>Garnlav
Knärot
Vedtrappmossa
Bollvitmossa</t>
        </is>
      </c>
      <c r="W150">
        <f>HYPERLINK("https://klasma.github.io/Logging_2260/artfynd/A 38713-2025 artfynd.xlsx", "A 38713-2025")</f>
        <v/>
      </c>
      <c r="X150">
        <f>HYPERLINK("https://klasma.github.io/Logging_2260/kartor/A 38713-2025 karta.png", "A 38713-2025")</f>
        <v/>
      </c>
      <c r="Y150">
        <f>HYPERLINK("https://klasma.github.io/Logging_2260/kartor_geotiff/A 38713-2025 georefererad karta.tif", "A 38713-2025")</f>
        <v/>
      </c>
      <c r="Z150">
        <f>HYPERLINK("https://klasma.github.io/Logging_2260/knärot/A 38713-2025 karta knärot.png", "A 38713-2025")</f>
        <v/>
      </c>
      <c r="AA150">
        <f>HYPERLINK("https://klasma.github.io/Logging_2260/klagomål/A 38713-2025 FSC-klagomål.docx", "A 38713-2025")</f>
        <v/>
      </c>
      <c r="AB150">
        <f>HYPERLINK("https://klasma.github.io/Logging_2260/klagomålsmail/A 38713-2025 FSC-klagomål mail.docx", "A 38713-2025")</f>
        <v/>
      </c>
      <c r="AC150">
        <f>HYPERLINK("https://klasma.github.io/Logging_2260/tillsyn/A 38713-2025 tillsynsbegäran.docx", "A 38713-2025")</f>
        <v/>
      </c>
      <c r="AD150">
        <f>HYPERLINK("https://klasma.github.io/Logging_2260/tillsynsmail/A 38713-2025 tillsynsbegäran mail.docx", "A 38713-2025")</f>
        <v/>
      </c>
    </row>
    <row r="151" ht="15" customHeight="1">
      <c r="A151" t="inlineStr">
        <is>
          <t>A 41868-2025</t>
        </is>
      </c>
      <c r="B151" t="inlineStr">
        <is>
          <t>avverkningsanmälan</t>
        </is>
      </c>
      <c r="C151" t="inlineStr">
        <is>
          <t>Föryngringsavverkning</t>
        </is>
      </c>
      <c r="D151" s="1" t="n">
        <v>45903</v>
      </c>
      <c r="E151" s="1" t="n">
        <v>46228</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51065-2024</t>
        </is>
      </c>
      <c r="B152" t="inlineStr">
        <is>
          <t>avverkningsanmälan</t>
        </is>
      </c>
      <c r="C152" t="inlineStr">
        <is>
          <t>Avverkning för att bevara och utveckla /försöksver</t>
        </is>
      </c>
      <c r="D152" s="1" t="n">
        <v>45603</v>
      </c>
      <c r="E152" s="1" t="n">
        <v>46228</v>
      </c>
      <c r="F152" t="inlineStr">
        <is>
          <t>VÄSTERNORRLANDS LÄN</t>
        </is>
      </c>
      <c r="G152" t="inlineStr">
        <is>
          <t>ÅNGE</t>
        </is>
      </c>
      <c r="H152" t="inlineStr">
        <is>
          <t>SCA</t>
        </is>
      </c>
      <c r="I152" t="n">
        <v>4.1</v>
      </c>
      <c r="J152" t="n">
        <v>2</v>
      </c>
      <c r="K152" t="n">
        <v>0</v>
      </c>
      <c r="L152" t="n">
        <v>1</v>
      </c>
      <c r="M152" t="n">
        <v>2</v>
      </c>
      <c r="N152" t="n">
        <v>0</v>
      </c>
      <c r="O152" t="n">
        <v>0</v>
      </c>
      <c r="P152" t="n">
        <v>0</v>
      </c>
      <c r="Q152" t="n">
        <v>3</v>
      </c>
      <c r="R152" t="n">
        <v>2</v>
      </c>
      <c r="S152" t="n">
        <v>4</v>
      </c>
      <c r="T152" t="n">
        <v>7</v>
      </c>
      <c r="U152" t="n">
        <v>6</v>
      </c>
      <c r="V152" s="2" t="inlineStr">
        <is>
          <t>Garnlav
Knärot
Lunglav
Järpe</t>
        </is>
      </c>
      <c r="W152">
        <f>HYPERLINK("https://klasma.github.io/Logging_2260/artfynd/A 51065-2024 artfynd.xlsx", "A 51065-2024")</f>
        <v/>
      </c>
      <c r="X152">
        <f>HYPERLINK("https://klasma.github.io/Logging_2260/kartor/A 51065-2024 karta.png", "A 51065-2024")</f>
        <v/>
      </c>
      <c r="Y152">
        <f>HYPERLINK("https://klasma.github.io/Logging_2260/kartor_geotiff/A 51065-2024 georefererad karta.tif", "A 51065-2024")</f>
        <v/>
      </c>
      <c r="Z152">
        <f>HYPERLINK("https://klasma.github.io/Logging_2260/knärot/A 51065-2024 karta knärot.png", "A 51065-2024")</f>
        <v/>
      </c>
      <c r="AA152">
        <f>HYPERLINK("https://klasma.github.io/Logging_2260/klagomål/A 51065-2024 FSC-klagomål.docx", "A 51065-2024")</f>
        <v/>
      </c>
      <c r="AB152">
        <f>HYPERLINK("https://klasma.github.io/Logging_2260/klagomålsmail/A 51065-2024 FSC-klagomål mail.docx", "A 51065-2024")</f>
        <v/>
      </c>
      <c r="AC152">
        <f>HYPERLINK("https://klasma.github.io/Logging_2260/tillsyn/A 51065-2024 tillsynsbegäran.docx", "A 51065-2024")</f>
        <v/>
      </c>
      <c r="AD152">
        <f>HYPERLINK("https://klasma.github.io/Logging_2260/tillsynsmail/A 51065-2024 tillsynsbegäran mail.docx", "A 51065-2024")</f>
        <v/>
      </c>
      <c r="AE152">
        <f>HYPERLINK("https://klasma.github.io/Logging_2260/fåglar/A 51065-2024 prioriterade fågelarter.docx", "A 51065-2024")</f>
        <v/>
      </c>
    </row>
    <row r="153" ht="15" customHeight="1">
      <c r="A153" t="inlineStr">
        <is>
          <t>A 36786-2024</t>
        </is>
      </c>
      <c r="B153" t="inlineStr">
        <is>
          <t>avverkningsanmälan</t>
        </is>
      </c>
      <c r="C153" t="inlineStr">
        <is>
          <t>Avverkning för att bevara och utveckla /försöksver</t>
        </is>
      </c>
      <c r="D153" s="1" t="n">
        <v>45538</v>
      </c>
      <c r="E153" s="1" t="n">
        <v>46228</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39638-2024</t>
        </is>
      </c>
      <c r="B154" t="inlineStr">
        <is>
          <t>avverkningsanmälan</t>
        </is>
      </c>
      <c r="C154" t="inlineStr">
        <is>
          <t>Föryngringsavverkning</t>
        </is>
      </c>
      <c r="D154" s="1" t="n">
        <v>45552</v>
      </c>
      <c r="E154" s="1" t="n">
        <v>46228</v>
      </c>
      <c r="F154" t="inlineStr">
        <is>
          <t>VÄSTERNORRLANDS LÄN</t>
        </is>
      </c>
      <c r="G154" t="inlineStr">
        <is>
          <t>ÅNGE</t>
        </is>
      </c>
      <c r="I154" t="n">
        <v>3</v>
      </c>
      <c r="J154" t="n">
        <v>1</v>
      </c>
      <c r="K154" t="n">
        <v>0</v>
      </c>
      <c r="L154" t="n">
        <v>3</v>
      </c>
      <c r="M154" t="n">
        <v>0</v>
      </c>
      <c r="N154" t="n">
        <v>0</v>
      </c>
      <c r="O154" t="n">
        <v>0</v>
      </c>
      <c r="P154" t="n">
        <v>0</v>
      </c>
      <c r="Q154" t="n">
        <v>3</v>
      </c>
      <c r="R154" t="n">
        <v>0</v>
      </c>
      <c r="S154" t="n">
        <v>4</v>
      </c>
      <c r="T154" t="n">
        <v>4</v>
      </c>
      <c r="U154" t="n">
        <v>2</v>
      </c>
      <c r="V154" s="2" t="inlineStr">
        <is>
          <t>Dropptaggsvamp
Dvärgbägarlav
Mörk kolflarnlav
Tjäder</t>
        </is>
      </c>
      <c r="W154">
        <f>HYPERLINK("https://klasma.github.io/Logging_2260/artfynd/A 39638-2024 artfynd.xlsx", "A 39638-2024")</f>
        <v/>
      </c>
      <c r="X154">
        <f>HYPERLINK("https://klasma.github.io/Logging_2260/kartor/A 39638-2024 karta.png", "A 39638-2024")</f>
        <v/>
      </c>
      <c r="Y154">
        <f>HYPERLINK("https://klasma.github.io/Logging_2260/kartor_geotiff/A 39638-2024 georefererad karta.tif", "A 39638-2024")</f>
        <v/>
      </c>
      <c r="AA154">
        <f>HYPERLINK("https://klasma.github.io/Logging_2260/klagomål/A 39638-2024 FSC-klagomål.docx", "A 39638-2024")</f>
        <v/>
      </c>
      <c r="AB154">
        <f>HYPERLINK("https://klasma.github.io/Logging_2260/klagomålsmail/A 39638-2024 FSC-klagomål mail.docx", "A 39638-2024")</f>
        <v/>
      </c>
      <c r="AC154">
        <f>HYPERLINK("https://klasma.github.io/Logging_2260/tillsyn/A 39638-2024 tillsynsbegäran.docx", "A 39638-2024")</f>
        <v/>
      </c>
      <c r="AD154">
        <f>HYPERLINK("https://klasma.github.io/Logging_2260/tillsynsmail/A 39638-2024 tillsynsbegäran mail.docx", "A 39638-2024")</f>
        <v/>
      </c>
      <c r="AE154">
        <f>HYPERLINK("https://klasma.github.io/Logging_2260/fåglar/A 39638-2024 prioriterade fågelarter.docx", "A 39638-2024")</f>
        <v/>
      </c>
    </row>
    <row r="155" ht="15" customHeight="1">
      <c r="A155" t="inlineStr">
        <is>
          <t>A 33806-2025</t>
        </is>
      </c>
      <c r="B155" t="inlineStr">
        <is>
          <t>avverkningsanmälan</t>
        </is>
      </c>
      <c r="C155" t="inlineStr">
        <is>
          <t>Föryngringsavverkning</t>
        </is>
      </c>
      <c r="D155" s="1" t="n">
        <v>45842</v>
      </c>
      <c r="E155" s="1" t="n">
        <v>46228</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44558-2024</t>
        </is>
      </c>
      <c r="B156" t="inlineStr">
        <is>
          <t>avverkningsanmälan</t>
        </is>
      </c>
      <c r="C156" t="inlineStr">
        <is>
          <t>Avverkning för att bevara och utveckla /försöksver</t>
        </is>
      </c>
      <c r="D156" s="1" t="n">
        <v>45574</v>
      </c>
      <c r="E156" s="1" t="n">
        <v>46228</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46228</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46228</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46228</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46228</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39176-2024</t>
        </is>
      </c>
      <c r="B161" t="inlineStr">
        <is>
          <t>avverkningsanmälan</t>
        </is>
      </c>
      <c r="C161" t="inlineStr">
        <is>
          <t>Föryngringsavverkning</t>
        </is>
      </c>
      <c r="D161" s="1" t="n">
        <v>45548</v>
      </c>
      <c r="E161" s="1" t="n">
        <v>46228</v>
      </c>
      <c r="F161" t="inlineStr">
        <is>
          <t>VÄSTERNORRLANDS LÄN</t>
        </is>
      </c>
      <c r="G161" t="inlineStr">
        <is>
          <t>ÅNGE</t>
        </is>
      </c>
      <c r="H161" t="inlineStr">
        <is>
          <t>SCA</t>
        </is>
      </c>
      <c r="I161" t="n">
        <v>6.9</v>
      </c>
      <c r="J161" t="n">
        <v>1</v>
      </c>
      <c r="K161" t="n">
        <v>0</v>
      </c>
      <c r="L161" t="n">
        <v>3</v>
      </c>
      <c r="M161" t="n">
        <v>1</v>
      </c>
      <c r="N161" t="n">
        <v>0</v>
      </c>
      <c r="O161" t="n">
        <v>0</v>
      </c>
      <c r="P161" t="n">
        <v>0</v>
      </c>
      <c r="Q161" t="n">
        <v>4</v>
      </c>
      <c r="R161" t="n">
        <v>1</v>
      </c>
      <c r="S161" t="n">
        <v>4</v>
      </c>
      <c r="T161" t="n">
        <v>5</v>
      </c>
      <c r="U161" t="n">
        <v>0</v>
      </c>
      <c r="V161" s="2" t="inlineStr">
        <is>
          <t>Knärot
Doftskinn
Skrovellav
Violettgrå tagellav</t>
        </is>
      </c>
      <c r="W161">
        <f>HYPERLINK("https://klasma.github.io/Logging_2260/artfynd/A 39176-2024 artfynd.xlsx", "A 39176-2024")</f>
        <v/>
      </c>
      <c r="X161">
        <f>HYPERLINK("https://klasma.github.io/Logging_2260/kartor/A 39176-2024 karta.png", "A 39176-2024")</f>
        <v/>
      </c>
      <c r="Y161">
        <f>HYPERLINK("https://klasma.github.io/Logging_2260/kartor_geotiff/A 39176-2024 georefererad karta.tif", "A 39176-2024")</f>
        <v/>
      </c>
      <c r="Z161">
        <f>HYPERLINK("https://klasma.github.io/Logging_2260/knärot/A 39176-2024 karta knärot.png", "A 39176-2024")</f>
        <v/>
      </c>
      <c r="AA161">
        <f>HYPERLINK("https://klasma.github.io/Logging_2260/klagomål/A 39176-2024 FSC-klagomål.docx", "A 39176-2024")</f>
        <v/>
      </c>
      <c r="AB161">
        <f>HYPERLINK("https://klasma.github.io/Logging_2260/klagomålsmail/A 39176-2024 FSC-klagomål mail.docx", "A 39176-2024")</f>
        <v/>
      </c>
      <c r="AC161">
        <f>HYPERLINK("https://klasma.github.io/Logging_2260/tillsyn/A 39176-2024 tillsynsbegäran.docx", "A 39176-2024")</f>
        <v/>
      </c>
      <c r="AD161">
        <f>HYPERLINK("https://klasma.github.io/Logging_2260/tillsynsmail/A 39176-2024 tillsynsbegäran mail.docx", "A 39176-2024")</f>
        <v/>
      </c>
    </row>
    <row r="162" ht="15" customHeight="1">
      <c r="A162" t="inlineStr">
        <is>
          <t>A 11029-2025</t>
        </is>
      </c>
      <c r="B162" t="inlineStr">
        <is>
          <t>avverkningsanmälan</t>
        </is>
      </c>
      <c r="C162" t="inlineStr">
        <is>
          <t>Föryngringsavverkning</t>
        </is>
      </c>
      <c r="D162" s="1" t="n">
        <v>45723</v>
      </c>
      <c r="E162" s="1" t="n">
        <v>46228</v>
      </c>
      <c r="F162" t="inlineStr">
        <is>
          <t>VÄSTERNORRLANDS LÄN</t>
        </is>
      </c>
      <c r="G162" t="inlineStr">
        <is>
          <t>ÅNGE</t>
        </is>
      </c>
      <c r="I162" t="n">
        <v>1.3</v>
      </c>
      <c r="J162" t="n">
        <v>3</v>
      </c>
      <c r="K162" t="n">
        <v>0</v>
      </c>
      <c r="L162" t="n">
        <v>0</v>
      </c>
      <c r="M162" t="n">
        <v>2</v>
      </c>
      <c r="N162" t="n">
        <v>0</v>
      </c>
      <c r="O162" t="n">
        <v>0</v>
      </c>
      <c r="P162" t="n">
        <v>0</v>
      </c>
      <c r="Q162" t="n">
        <v>2</v>
      </c>
      <c r="R162" t="n">
        <v>2</v>
      </c>
      <c r="S162" t="n">
        <v>4</v>
      </c>
      <c r="T162" t="n">
        <v>10</v>
      </c>
      <c r="U162" t="n">
        <v>0</v>
      </c>
      <c r="V162" s="2" t="inlineStr">
        <is>
          <t>Garnlav
Knärot
Vanlig groda
Revlummer</t>
        </is>
      </c>
      <c r="W162">
        <f>HYPERLINK("https://klasma.github.io/Logging_2260/artfynd/A 11029-2025 artfynd.xlsx", "A 11029-2025")</f>
        <v/>
      </c>
      <c r="X162">
        <f>HYPERLINK("https://klasma.github.io/Logging_2260/kartor/A 11029-2025 karta.png", "A 11029-2025")</f>
        <v/>
      </c>
      <c r="Y162">
        <f>HYPERLINK("https://klasma.github.io/Logging_2260/kartor_geotiff/A 11029-2025 georefererad karta.tif", "A 11029-2025")</f>
        <v/>
      </c>
      <c r="Z162">
        <f>HYPERLINK("https://klasma.github.io/Logging_2260/knärot/A 11029-2025 karta knärot.png", "A 11029-2025")</f>
        <v/>
      </c>
      <c r="AA162">
        <f>HYPERLINK("https://klasma.github.io/Logging_2260/klagomål/A 11029-2025 FSC-klagomål.docx", "A 11029-2025")</f>
        <v/>
      </c>
      <c r="AB162">
        <f>HYPERLINK("https://klasma.github.io/Logging_2260/klagomålsmail/A 11029-2025 FSC-klagomål mail.docx", "A 11029-2025")</f>
        <v/>
      </c>
      <c r="AC162">
        <f>HYPERLINK("https://klasma.github.io/Logging_2260/tillsyn/A 11029-2025 tillsynsbegäran.docx", "A 11029-2025")</f>
        <v/>
      </c>
      <c r="AD162">
        <f>HYPERLINK("https://klasma.github.io/Logging_2260/tillsynsmail/A 11029-2025 tillsynsbegäran mail.docx", "A 11029-2025")</f>
        <v/>
      </c>
    </row>
    <row r="163" ht="15" customHeight="1">
      <c r="A163" t="inlineStr">
        <is>
          <t>A 29691-2024</t>
        </is>
      </c>
      <c r="B163" t="inlineStr">
        <is>
          <t>avverkningsanmälan</t>
        </is>
      </c>
      <c r="C163" t="inlineStr">
        <is>
          <t>Avverkning för att bevara och utveckla /försöksver</t>
        </is>
      </c>
      <c r="D163" s="1" t="n">
        <v>45484</v>
      </c>
      <c r="E163" s="1" t="n">
        <v>46228</v>
      </c>
      <c r="F163" t="inlineStr">
        <is>
          <t>VÄSTERNORRLANDS LÄN</t>
        </is>
      </c>
      <c r="G163" t="inlineStr">
        <is>
          <t>ÅNGE</t>
        </is>
      </c>
      <c r="H163" t="inlineStr">
        <is>
          <t>SCA</t>
        </is>
      </c>
      <c r="I163" t="n">
        <v>6.8</v>
      </c>
      <c r="J163" t="n">
        <v>1</v>
      </c>
      <c r="K163" t="n">
        <v>1</v>
      </c>
      <c r="L163" t="n">
        <v>2</v>
      </c>
      <c r="M163" t="n">
        <v>0</v>
      </c>
      <c r="N163" t="n">
        <v>0</v>
      </c>
      <c r="O163" t="n">
        <v>0</v>
      </c>
      <c r="P163" t="n">
        <v>0</v>
      </c>
      <c r="Q163" t="n">
        <v>2</v>
      </c>
      <c r="R163" t="n">
        <v>0</v>
      </c>
      <c r="S163" t="n">
        <v>4</v>
      </c>
      <c r="T163" t="n">
        <v>4</v>
      </c>
      <c r="U163" t="n">
        <v>0</v>
      </c>
      <c r="V163" s="2" t="inlineStr">
        <is>
          <t>Lunglav
Rosenticka
Vedticka
Fläcknycklar</t>
        </is>
      </c>
      <c r="W163">
        <f>HYPERLINK("https://klasma.github.io/Logging_2260/artfynd/A 29691-2024 artfynd.xlsx", "A 29691-2024")</f>
        <v/>
      </c>
      <c r="X163">
        <f>HYPERLINK("https://klasma.github.io/Logging_2260/kartor/A 29691-2024 karta.png", "A 29691-2024")</f>
        <v/>
      </c>
      <c r="Y163">
        <f>HYPERLINK("https://klasma.github.io/Logging_2260/kartor_geotiff/A 29691-2024 georefererad karta.tif", "A 29691-2024")</f>
        <v/>
      </c>
      <c r="AA163">
        <f>HYPERLINK("https://klasma.github.io/Logging_2260/klagomål/A 29691-2024 FSC-klagomål.docx", "A 29691-2024")</f>
        <v/>
      </c>
      <c r="AB163">
        <f>HYPERLINK("https://klasma.github.io/Logging_2260/klagomålsmail/A 29691-2024 FSC-klagomål mail.docx", "A 29691-2024")</f>
        <v/>
      </c>
      <c r="AC163">
        <f>HYPERLINK("https://klasma.github.io/Logging_2260/tillsyn/A 29691-2024 tillsynsbegäran.docx", "A 29691-2024")</f>
        <v/>
      </c>
      <c r="AD163">
        <f>HYPERLINK("https://klasma.github.io/Logging_2260/tillsynsmail/A 29691-2024 tillsynsbegäran mail.docx", "A 29691-2024")</f>
        <v/>
      </c>
    </row>
    <row r="164" ht="15" customHeight="1">
      <c r="A164" t="inlineStr">
        <is>
          <t>A 17861-2023</t>
        </is>
      </c>
      <c r="B164" t="inlineStr">
        <is>
          <t>avverkningsanmälan</t>
        </is>
      </c>
      <c r="C164" t="inlineStr">
        <is>
          <t>Föryngringsavverkning</t>
        </is>
      </c>
      <c r="D164" s="1" t="n">
        <v>45037</v>
      </c>
      <c r="E164" s="1" t="n">
        <v>46228</v>
      </c>
      <c r="F164" t="inlineStr">
        <is>
          <t>VÄSTERNORRLANDS LÄN</t>
        </is>
      </c>
      <c r="G164" t="inlineStr">
        <is>
          <t>ÅNGE</t>
        </is>
      </c>
      <c r="H164" t="inlineStr">
        <is>
          <t>SCA</t>
        </is>
      </c>
      <c r="I164" t="n">
        <v>1.1</v>
      </c>
      <c r="J164" t="n">
        <v>0</v>
      </c>
      <c r="K164" t="n">
        <v>1</v>
      </c>
      <c r="L164" t="n">
        <v>2</v>
      </c>
      <c r="M164" t="n">
        <v>1</v>
      </c>
      <c r="N164" t="n">
        <v>0</v>
      </c>
      <c r="O164" t="n">
        <v>0</v>
      </c>
      <c r="P164" t="n">
        <v>0</v>
      </c>
      <c r="Q164" t="n">
        <v>3</v>
      </c>
      <c r="R164" t="n">
        <v>1</v>
      </c>
      <c r="S164" t="n">
        <v>4</v>
      </c>
      <c r="T164" t="n">
        <v>6</v>
      </c>
      <c r="U164" t="n">
        <v>6</v>
      </c>
      <c r="V164" s="2" t="inlineStr">
        <is>
          <t>Skrovlig taggsvamp
Dropptaggsvamp
Mörk kolflarnlav
Vedticka</t>
        </is>
      </c>
      <c r="W164">
        <f>HYPERLINK("https://klasma.github.io/Logging_2260/artfynd/A 17861-2023 artfynd.xlsx", "A 17861-2023")</f>
        <v/>
      </c>
      <c r="X164">
        <f>HYPERLINK("https://klasma.github.io/Logging_2260/kartor/A 17861-2023 karta.png", "A 17861-2023")</f>
        <v/>
      </c>
      <c r="Y164">
        <f>HYPERLINK("https://klasma.github.io/Logging_2260/kartor_geotiff/A 17861-2023 georefererad karta.tif", "A 17861-2023")</f>
        <v/>
      </c>
      <c r="AA164">
        <f>HYPERLINK("https://klasma.github.io/Logging_2260/klagomål/A 17861-2023 FSC-klagomål.docx", "A 17861-2023")</f>
        <v/>
      </c>
      <c r="AB164">
        <f>HYPERLINK("https://klasma.github.io/Logging_2260/klagomålsmail/A 17861-2023 FSC-klagomål mail.docx", "A 17861-2023")</f>
        <v/>
      </c>
      <c r="AC164">
        <f>HYPERLINK("https://klasma.github.io/Logging_2260/tillsyn/A 17861-2023 tillsynsbegäran.docx", "A 17861-2023")</f>
        <v/>
      </c>
      <c r="AD164">
        <f>HYPERLINK("https://klasma.github.io/Logging_2260/tillsynsmail/A 17861-2023 tillsynsbegäran mail.docx", "A 17861-2023")</f>
        <v/>
      </c>
    </row>
    <row r="165" ht="15" customHeight="1">
      <c r="A165" t="inlineStr">
        <is>
          <t>A 21267-2025</t>
        </is>
      </c>
      <c r="B165" t="inlineStr">
        <is>
          <t>avverkningsanmälan</t>
        </is>
      </c>
      <c r="C165" t="inlineStr">
        <is>
          <t>Föryngringsavverkning</t>
        </is>
      </c>
      <c r="D165" s="1" t="n">
        <v>45779</v>
      </c>
      <c r="E165" s="1" t="n">
        <v>46228</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46228</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0</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S 240-2023</t>
        </is>
      </c>
      <c r="B167" t="inlineStr">
        <is>
          <t>samrådsanmälan</t>
        </is>
      </c>
      <c r="C167" t="inlineStr">
        <is>
          <t>Annan skogsbruksåtgärd</t>
        </is>
      </c>
      <c r="D167" s="1" t="n">
        <v>44951</v>
      </c>
      <c r="E167" s="1" t="n">
        <v>46228</v>
      </c>
      <c r="F167" t="inlineStr">
        <is>
          <t>VÄSTERNORRLANDS LÄN</t>
        </is>
      </c>
      <c r="G167" t="inlineStr">
        <is>
          <t>ÅNGE</t>
        </is>
      </c>
      <c r="H167" t="inlineStr">
        <is>
          <t>SCA</t>
        </is>
      </c>
      <c r="I167" t="n">
        <v>3</v>
      </c>
      <c r="J167" t="n">
        <v>1</v>
      </c>
      <c r="K167" t="n">
        <v>1</v>
      </c>
      <c r="L167" t="n">
        <v>1</v>
      </c>
      <c r="M167" t="n">
        <v>2</v>
      </c>
      <c r="N167" t="n">
        <v>0</v>
      </c>
      <c r="O167" t="n">
        <v>0</v>
      </c>
      <c r="P167" t="n">
        <v>0</v>
      </c>
      <c r="Q167" t="n">
        <v>3</v>
      </c>
      <c r="R167" t="n">
        <v>2</v>
      </c>
      <c r="S167" t="n">
        <v>4</v>
      </c>
      <c r="T167" t="n">
        <v>8</v>
      </c>
      <c r="U167" t="n">
        <v>8</v>
      </c>
      <c r="V167" s="2" t="inlineStr">
        <is>
          <t>Garnlav
Knärot
Lunglav
Bårdlav</t>
        </is>
      </c>
      <c r="W167">
        <f>HYPERLINK("https://klasma.github.io/Logging_2260/artfynd/S 240-2023 artfynd.xlsx", "S 240-2023")</f>
        <v/>
      </c>
      <c r="X167">
        <f>HYPERLINK("https://klasma.github.io/Logging_2260/kartor/S 240-2023 karta.png", "S 240-2023")</f>
        <v/>
      </c>
      <c r="Y167">
        <f>HYPERLINK("https://klasma.github.io/Logging_2260/kartor_geotiff/S 240-2023 georefererad karta.tif", "S 240-2023")</f>
        <v/>
      </c>
      <c r="Z167">
        <f>HYPERLINK("https://klasma.github.io/Logging_2260/knärot/S 240-2023 karta knärot.png", "S 240-2023")</f>
        <v/>
      </c>
      <c r="AA167">
        <f>HYPERLINK("https://klasma.github.io/Logging_2260/klagomål/S 240-2023 FSC-klagomål.docx", "S 240-2023")</f>
        <v/>
      </c>
      <c r="AB167">
        <f>HYPERLINK("https://klasma.github.io/Logging_2260/klagomålsmail/S 240-2023 FSC-klagomål mail.docx", "S 240-2023")</f>
        <v/>
      </c>
      <c r="AC167">
        <f>HYPERLINK("https://klasma.github.io/Logging_2260/tillsyn/S 240-2023 tillsynsbegäran.docx", "S 240-2023")</f>
        <v/>
      </c>
      <c r="AD167">
        <f>HYPERLINK("https://klasma.github.io/Logging_2260/tillsynsmail/S 240-2023 tillsynsbegäran mail.docx", "S 240-2023")</f>
        <v/>
      </c>
    </row>
    <row r="168" ht="15" customHeight="1">
      <c r="A168" t="inlineStr">
        <is>
          <t>A 1082-2022</t>
        </is>
      </c>
      <c r="B168" t="inlineStr">
        <is>
          <t>avverkningsanmälan</t>
        </is>
      </c>
      <c r="C168" t="inlineStr">
        <is>
          <t>Föryngringsavverkning</t>
        </is>
      </c>
      <c r="D168" s="1" t="n">
        <v>44571</v>
      </c>
      <c r="E168" s="1" t="n">
        <v>46228</v>
      </c>
      <c r="F168" t="inlineStr">
        <is>
          <t>VÄSTERNORRLANDS LÄN</t>
        </is>
      </c>
      <c r="G168" t="inlineStr">
        <is>
          <t>ÅNGE</t>
        </is>
      </c>
      <c r="I168" t="n">
        <v>0.9</v>
      </c>
      <c r="J168" t="n">
        <v>2</v>
      </c>
      <c r="K168" t="n">
        <v>0</v>
      </c>
      <c r="L168" t="n">
        <v>1</v>
      </c>
      <c r="M168" t="n">
        <v>1</v>
      </c>
      <c r="N168" t="n">
        <v>0</v>
      </c>
      <c r="O168" t="n">
        <v>0</v>
      </c>
      <c r="P168" t="n">
        <v>0</v>
      </c>
      <c r="Q168" t="n">
        <v>2</v>
      </c>
      <c r="R168" t="n">
        <v>1</v>
      </c>
      <c r="S168" t="n">
        <v>3</v>
      </c>
      <c r="T168" t="n">
        <v>3</v>
      </c>
      <c r="U168" t="n">
        <v>0</v>
      </c>
      <c r="V168" s="2" t="inlineStr">
        <is>
          <t>Garnlav
Talltita
Nattviol</t>
        </is>
      </c>
      <c r="W168">
        <f>HYPERLINK("https://klasma.github.io/Logging_2260/artfynd/A 1082-2022 artfynd.xlsx", "A 1082-2022")</f>
        <v/>
      </c>
      <c r="X168">
        <f>HYPERLINK("https://klasma.github.io/Logging_2260/kartor/A 1082-2022 karta.png", "A 1082-2022")</f>
        <v/>
      </c>
      <c r="Y168">
        <f>HYPERLINK("https://klasma.github.io/Logging_2260/kartor_geotiff/A 1082-2022 georefererad karta.tif", "A 1082-2022")</f>
        <v/>
      </c>
      <c r="AA168">
        <f>HYPERLINK("https://klasma.github.io/Logging_2260/klagomål/A 1082-2022 FSC-klagomål.docx", "A 1082-2022")</f>
        <v/>
      </c>
      <c r="AB168">
        <f>HYPERLINK("https://klasma.github.io/Logging_2260/klagomålsmail/A 1082-2022 FSC-klagomål mail.docx", "A 1082-2022")</f>
        <v/>
      </c>
      <c r="AC168">
        <f>HYPERLINK("https://klasma.github.io/Logging_2260/tillsyn/A 1082-2022 tillsynsbegäran.docx", "A 1082-2022")</f>
        <v/>
      </c>
      <c r="AD168">
        <f>HYPERLINK("https://klasma.github.io/Logging_2260/tillsynsmail/A 1082-2022 tillsynsbegäran mail.docx", "A 1082-2022")</f>
        <v/>
      </c>
      <c r="AE168">
        <f>HYPERLINK("https://klasma.github.io/Logging_2260/fåglar/A 1082-2022 prioriterade fågelarter.docx", "A 1082-2022")</f>
        <v/>
      </c>
    </row>
    <row r="169" ht="15" customHeight="1">
      <c r="A169" t="inlineStr">
        <is>
          <t>A 8234-2022</t>
        </is>
      </c>
      <c r="B169" t="inlineStr">
        <is>
          <t>avverkningsanmälan</t>
        </is>
      </c>
      <c r="C169" t="inlineStr">
        <is>
          <t>Föryngringsavverkning</t>
        </is>
      </c>
      <c r="D169" s="1" t="n">
        <v>44609</v>
      </c>
      <c r="E169" s="1" t="n">
        <v>46228</v>
      </c>
      <c r="F169" t="inlineStr">
        <is>
          <t>VÄSTERNORRLANDS LÄN</t>
        </is>
      </c>
      <c r="G169" t="inlineStr">
        <is>
          <t>ÅNGE</t>
        </is>
      </c>
      <c r="H169" t="inlineStr">
        <is>
          <t>SCA</t>
        </is>
      </c>
      <c r="I169" t="n">
        <v>2.3</v>
      </c>
      <c r="J169" t="n">
        <v>2</v>
      </c>
      <c r="K169" t="n">
        <v>0</v>
      </c>
      <c r="L169" t="n">
        <v>0</v>
      </c>
      <c r="M169" t="n">
        <v>1</v>
      </c>
      <c r="N169" t="n">
        <v>0</v>
      </c>
      <c r="O169" t="n">
        <v>0</v>
      </c>
      <c r="P169" t="n">
        <v>0</v>
      </c>
      <c r="Q169" t="n">
        <v>1</v>
      </c>
      <c r="R169" t="n">
        <v>1</v>
      </c>
      <c r="S169" t="n">
        <v>3</v>
      </c>
      <c r="T169" t="n">
        <v>5</v>
      </c>
      <c r="U169" t="n">
        <v>0</v>
      </c>
      <c r="V169" s="2" t="inlineStr">
        <is>
          <t>Garnlav
Fläcknycklar
Revlummer</t>
        </is>
      </c>
      <c r="W169">
        <f>HYPERLINK("https://klasma.github.io/Logging_2260/artfynd/A 8234-2022 artfynd.xlsx", "A 8234-2022")</f>
        <v/>
      </c>
      <c r="X169">
        <f>HYPERLINK("https://klasma.github.io/Logging_2260/kartor/A 8234-2022 karta.png", "A 8234-2022")</f>
        <v/>
      </c>
      <c r="Y169">
        <f>HYPERLINK("https://klasma.github.io/Logging_2260/kartor_geotiff/A 8234-2022 georefererad karta.tif", "A 8234-2022")</f>
        <v/>
      </c>
      <c r="AA169">
        <f>HYPERLINK("https://klasma.github.io/Logging_2260/klagomål/A 8234-2022 FSC-klagomål.docx", "A 8234-2022")</f>
        <v/>
      </c>
      <c r="AB169">
        <f>HYPERLINK("https://klasma.github.io/Logging_2260/klagomålsmail/A 8234-2022 FSC-klagomål mail.docx", "A 8234-2022")</f>
        <v/>
      </c>
      <c r="AC169">
        <f>HYPERLINK("https://klasma.github.io/Logging_2260/tillsyn/A 8234-2022 tillsynsbegäran.docx", "A 8234-2022")</f>
        <v/>
      </c>
      <c r="AD169">
        <f>HYPERLINK("https://klasma.github.io/Logging_2260/tillsynsmail/A 8234-2022 tillsynsbegäran mail.docx", "A 8234-2022")</f>
        <v/>
      </c>
    </row>
    <row r="170" ht="15" customHeight="1">
      <c r="A170" t="inlineStr">
        <is>
          <t>A 55591-2021</t>
        </is>
      </c>
      <c r="B170" t="inlineStr">
        <is>
          <t>avverkningsanmälan</t>
        </is>
      </c>
      <c r="C170" t="inlineStr">
        <is>
          <t>Föryngringsavverkning</t>
        </is>
      </c>
      <c r="D170" s="1" t="n">
        <v>44475</v>
      </c>
      <c r="E170" s="1" t="n">
        <v>46228</v>
      </c>
      <c r="F170" t="inlineStr">
        <is>
          <t>VÄSTERNORRLANDS LÄN</t>
        </is>
      </c>
      <c r="G170" t="inlineStr">
        <is>
          <t>ÅNGE</t>
        </is>
      </c>
      <c r="I170" t="n">
        <v>3.6</v>
      </c>
      <c r="J170" t="n">
        <v>0</v>
      </c>
      <c r="K170" t="n">
        <v>0</v>
      </c>
      <c r="L170" t="n">
        <v>2</v>
      </c>
      <c r="M170" t="n">
        <v>1</v>
      </c>
      <c r="N170" t="n">
        <v>0</v>
      </c>
      <c r="O170" t="n">
        <v>0</v>
      </c>
      <c r="P170" t="n">
        <v>0</v>
      </c>
      <c r="Q170" t="n">
        <v>3</v>
      </c>
      <c r="R170" t="n">
        <v>1</v>
      </c>
      <c r="S170" t="n">
        <v>3</v>
      </c>
      <c r="T170" t="n">
        <v>4</v>
      </c>
      <c r="U170" t="n">
        <v>0</v>
      </c>
      <c r="V170" s="2" t="inlineStr">
        <is>
          <t>Skrovlig taggsvamp
Dvärgbägarlav
Kolflarnlav</t>
        </is>
      </c>
      <c r="W170">
        <f>HYPERLINK("https://klasma.github.io/Logging_2260/artfynd/A 55591-2021 artfynd.xlsx", "A 55591-2021")</f>
        <v/>
      </c>
      <c r="X170">
        <f>HYPERLINK("https://klasma.github.io/Logging_2260/kartor/A 55591-2021 karta.png", "A 55591-2021")</f>
        <v/>
      </c>
      <c r="Y170">
        <f>HYPERLINK("https://klasma.github.io/Logging_2260/kartor_geotiff/A 55591-2021 georefererad karta.tif", "A 55591-2021")</f>
        <v/>
      </c>
      <c r="AA170">
        <f>HYPERLINK("https://klasma.github.io/Logging_2260/klagomål/A 55591-2021 FSC-klagomål.docx", "A 55591-2021")</f>
        <v/>
      </c>
      <c r="AB170">
        <f>HYPERLINK("https://klasma.github.io/Logging_2260/klagomålsmail/A 55591-2021 FSC-klagomål mail.docx", "A 55591-2021")</f>
        <v/>
      </c>
      <c r="AC170">
        <f>HYPERLINK("https://klasma.github.io/Logging_2260/tillsyn/A 55591-2021 tillsynsbegäran.docx", "A 55591-2021")</f>
        <v/>
      </c>
      <c r="AD170">
        <f>HYPERLINK("https://klasma.github.io/Logging_2260/tillsynsmail/A 55591-2021 tillsynsbegäran mail.docx", "A 55591-2021")</f>
        <v/>
      </c>
    </row>
    <row r="171" ht="15" customHeight="1">
      <c r="A171" t="inlineStr">
        <is>
          <t>A 39179-2024</t>
        </is>
      </c>
      <c r="B171" t="inlineStr">
        <is>
          <t>avverkningsanmälan</t>
        </is>
      </c>
      <c r="C171" t="inlineStr">
        <is>
          <t>Föryngringsavverkning</t>
        </is>
      </c>
      <c r="D171" s="1" t="n">
        <v>45548</v>
      </c>
      <c r="E171" s="1" t="n">
        <v>46228</v>
      </c>
      <c r="F171" t="inlineStr">
        <is>
          <t>VÄSTERNORRLANDS LÄN</t>
        </is>
      </c>
      <c r="G171" t="inlineStr">
        <is>
          <t>ÅNGE</t>
        </is>
      </c>
      <c r="H171" t="inlineStr">
        <is>
          <t>SCA</t>
        </is>
      </c>
      <c r="I171" t="n">
        <v>4.2</v>
      </c>
      <c r="J171" t="n">
        <v>1</v>
      </c>
      <c r="K171" t="n">
        <v>1</v>
      </c>
      <c r="L171" t="n">
        <v>2</v>
      </c>
      <c r="M171" t="n">
        <v>0</v>
      </c>
      <c r="N171" t="n">
        <v>0</v>
      </c>
      <c r="O171" t="n">
        <v>0</v>
      </c>
      <c r="P171" t="n">
        <v>0</v>
      </c>
      <c r="Q171" t="n">
        <v>2</v>
      </c>
      <c r="R171" t="n">
        <v>0</v>
      </c>
      <c r="S171" t="n">
        <v>3</v>
      </c>
      <c r="T171" t="n">
        <v>3</v>
      </c>
      <c r="U171" t="n">
        <v>0</v>
      </c>
      <c r="V171" s="2" t="inlineStr">
        <is>
          <t>Fjällig taggsvamp s.str.
Rosenticka
Spindelblomster</t>
        </is>
      </c>
      <c r="W171">
        <f>HYPERLINK("https://klasma.github.io/Logging_2260/artfynd/A 39179-2024 artfynd.xlsx", "A 39179-2024")</f>
        <v/>
      </c>
      <c r="X171">
        <f>HYPERLINK("https://klasma.github.io/Logging_2260/kartor/A 39179-2024 karta.png", "A 39179-2024")</f>
        <v/>
      </c>
      <c r="Y171">
        <f>HYPERLINK("https://klasma.github.io/Logging_2260/kartor_geotiff/A 39179-2024 georefererad karta.tif", "A 39179-2024")</f>
        <v/>
      </c>
      <c r="AA171">
        <f>HYPERLINK("https://klasma.github.io/Logging_2260/klagomål/A 39179-2024 FSC-klagomål.docx", "A 39179-2024")</f>
        <v/>
      </c>
      <c r="AB171">
        <f>HYPERLINK("https://klasma.github.io/Logging_2260/klagomålsmail/A 39179-2024 FSC-klagomål mail.docx", "A 39179-2024")</f>
        <v/>
      </c>
      <c r="AC171">
        <f>HYPERLINK("https://klasma.github.io/Logging_2260/tillsyn/A 39179-2024 tillsynsbegäran.docx", "A 39179-2024")</f>
        <v/>
      </c>
      <c r="AD171">
        <f>HYPERLINK("https://klasma.github.io/Logging_2260/tillsynsmail/A 39179-2024 tillsynsbegäran mail.docx", "A 39179-2024")</f>
        <v/>
      </c>
    </row>
    <row r="172" ht="15" customHeight="1">
      <c r="A172" t="inlineStr">
        <is>
          <t>A 18081-2025</t>
        </is>
      </c>
      <c r="B172" t="inlineStr">
        <is>
          <t>avverkningsanmälan</t>
        </is>
      </c>
      <c r="C172" t="inlineStr">
        <is>
          <t>Föryngringsavverkning</t>
        </is>
      </c>
      <c r="D172" s="1" t="n">
        <v>45761</v>
      </c>
      <c r="E172" s="1" t="n">
        <v>46228</v>
      </c>
      <c r="F172" t="inlineStr">
        <is>
          <t>VÄSTERNORRLANDS LÄN</t>
        </is>
      </c>
      <c r="G172" t="inlineStr">
        <is>
          <t>ÅNGE</t>
        </is>
      </c>
      <c r="H172" t="inlineStr">
        <is>
          <t>SCA</t>
        </is>
      </c>
      <c r="I172" t="n">
        <v>2.6</v>
      </c>
      <c r="J172" t="n">
        <v>1</v>
      </c>
      <c r="K172" t="n">
        <v>0</v>
      </c>
      <c r="L172" t="n">
        <v>2</v>
      </c>
      <c r="M172" t="n">
        <v>1</v>
      </c>
      <c r="N172" t="n">
        <v>0</v>
      </c>
      <c r="O172" t="n">
        <v>0</v>
      </c>
      <c r="P172" t="n">
        <v>0</v>
      </c>
      <c r="Q172" t="n">
        <v>3</v>
      </c>
      <c r="R172" t="n">
        <v>1</v>
      </c>
      <c r="S172" t="n">
        <v>3</v>
      </c>
      <c r="T172" t="n">
        <v>3</v>
      </c>
      <c r="U172" t="n">
        <v>3</v>
      </c>
      <c r="V172" s="2" t="inlineStr">
        <is>
          <t>Knärot
Dofttaggsvamp
Dropptaggsvamp</t>
        </is>
      </c>
      <c r="W172">
        <f>HYPERLINK("https://klasma.github.io/Logging_2260/artfynd/A 18081-2025 artfynd.xlsx", "A 18081-2025")</f>
        <v/>
      </c>
      <c r="X172">
        <f>HYPERLINK("https://klasma.github.io/Logging_2260/kartor/A 18081-2025 karta.png", "A 18081-2025")</f>
        <v/>
      </c>
      <c r="Y172">
        <f>HYPERLINK("https://klasma.github.io/Logging_2260/kartor_geotiff/A 18081-2025 georefererad karta.tif", "A 18081-2025")</f>
        <v/>
      </c>
      <c r="Z172">
        <f>HYPERLINK("https://klasma.github.io/Logging_2260/knärot/A 18081-2025 karta knärot.png", "A 18081-2025")</f>
        <v/>
      </c>
      <c r="AA172">
        <f>HYPERLINK("https://klasma.github.io/Logging_2260/klagomål/A 18081-2025 FSC-klagomål.docx", "A 18081-2025")</f>
        <v/>
      </c>
      <c r="AB172">
        <f>HYPERLINK("https://klasma.github.io/Logging_2260/klagomålsmail/A 18081-2025 FSC-klagomål mail.docx", "A 18081-2025")</f>
        <v/>
      </c>
      <c r="AC172">
        <f>HYPERLINK("https://klasma.github.io/Logging_2260/tillsyn/A 18081-2025 tillsynsbegäran.docx", "A 18081-2025")</f>
        <v/>
      </c>
      <c r="AD172">
        <f>HYPERLINK("https://klasma.github.io/Logging_2260/tillsynsmail/A 18081-2025 tillsynsbegäran mail.docx", "A 18081-2025")</f>
        <v/>
      </c>
    </row>
    <row r="173" ht="15" customHeight="1">
      <c r="A173" t="inlineStr">
        <is>
          <t>A 25034-2024</t>
        </is>
      </c>
      <c r="B173" t="inlineStr">
        <is>
          <t>avverkningsanmälan</t>
        </is>
      </c>
      <c r="C173" t="inlineStr">
        <is>
          <t>Avverkning för att bevara och utveckla /försöksver</t>
        </is>
      </c>
      <c r="D173" s="1" t="n">
        <v>45461</v>
      </c>
      <c r="E173" s="1" t="n">
        <v>46228</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0</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51054-2024</t>
        </is>
      </c>
      <c r="B174" t="inlineStr">
        <is>
          <t>avverkningsanmälan</t>
        </is>
      </c>
      <c r="C174" t="inlineStr">
        <is>
          <t>Föryngringsavverkning</t>
        </is>
      </c>
      <c r="D174" s="1" t="n">
        <v>45603</v>
      </c>
      <c r="E174" s="1" t="n">
        <v>46228</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43721-2025</t>
        </is>
      </c>
      <c r="B175" t="inlineStr">
        <is>
          <t>avverkningsanmälan</t>
        </is>
      </c>
      <c r="C175" t="inlineStr">
        <is>
          <t>Föryngringsavverkning</t>
        </is>
      </c>
      <c r="D175" s="1" t="n">
        <v>45912</v>
      </c>
      <c r="E175" s="1" t="n">
        <v>46228</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7533-2023</t>
        </is>
      </c>
      <c r="B176" t="inlineStr">
        <is>
          <t>avverkningsanmälan</t>
        </is>
      </c>
      <c r="C176" t="inlineStr">
        <is>
          <t>Föryngringsavverkning</t>
        </is>
      </c>
      <c r="D176" s="1" t="n">
        <v>44971</v>
      </c>
      <c r="E176" s="1" t="n">
        <v>46228</v>
      </c>
      <c r="F176" t="inlineStr">
        <is>
          <t>VÄSTERNORRLANDS LÄN</t>
        </is>
      </c>
      <c r="G176" t="inlineStr">
        <is>
          <t>ÅNGE</t>
        </is>
      </c>
      <c r="H176" t="inlineStr">
        <is>
          <t>SCA</t>
        </is>
      </c>
      <c r="I176" t="n">
        <v>15.7</v>
      </c>
      <c r="J176" t="n">
        <v>2</v>
      </c>
      <c r="K176" t="n">
        <v>0</v>
      </c>
      <c r="L176" t="n">
        <v>1</v>
      </c>
      <c r="M176" t="n">
        <v>1</v>
      </c>
      <c r="N176" t="n">
        <v>0</v>
      </c>
      <c r="O176" t="n">
        <v>0</v>
      </c>
      <c r="P176" t="n">
        <v>0</v>
      </c>
      <c r="Q176" t="n">
        <v>2</v>
      </c>
      <c r="R176" t="n">
        <v>1</v>
      </c>
      <c r="S176" t="n">
        <v>3</v>
      </c>
      <c r="T176" t="n">
        <v>3</v>
      </c>
      <c r="U176" t="n">
        <v>0</v>
      </c>
      <c r="V176" s="2" t="inlineStr">
        <is>
          <t>Doftticka
Lunglav
Blåsippa</t>
        </is>
      </c>
      <c r="W176">
        <f>HYPERLINK("https://klasma.github.io/Logging_2260/artfynd/A 7533-2023 artfynd.xlsx", "A 7533-2023")</f>
        <v/>
      </c>
      <c r="X176">
        <f>HYPERLINK("https://klasma.github.io/Logging_2260/kartor/A 7533-2023 karta.png", "A 7533-2023")</f>
        <v/>
      </c>
      <c r="Y176">
        <f>HYPERLINK("https://klasma.github.io/Logging_2260/kartor_geotiff/A 7533-2023 georefererad karta.tif", "A 7533-2023")</f>
        <v/>
      </c>
      <c r="AA176">
        <f>HYPERLINK("https://klasma.github.io/Logging_2260/klagomål/A 7533-2023 FSC-klagomål.docx", "A 7533-2023")</f>
        <v/>
      </c>
      <c r="AB176">
        <f>HYPERLINK("https://klasma.github.io/Logging_2260/klagomålsmail/A 7533-2023 FSC-klagomål mail.docx", "A 7533-2023")</f>
        <v/>
      </c>
      <c r="AC176">
        <f>HYPERLINK("https://klasma.github.io/Logging_2260/tillsyn/A 7533-2023 tillsynsbegäran.docx", "A 7533-2023")</f>
        <v/>
      </c>
      <c r="AD176">
        <f>HYPERLINK("https://klasma.github.io/Logging_2260/tillsynsmail/A 7533-2023 tillsynsbegäran mail.docx", "A 7533-2023")</f>
        <v/>
      </c>
    </row>
    <row r="177" ht="15" customHeight="1">
      <c r="A177" t="inlineStr">
        <is>
          <t>A 50259-2025</t>
        </is>
      </c>
      <c r="B177" t="inlineStr">
        <is>
          <t>avverkningsanmälan</t>
        </is>
      </c>
      <c r="C177" t="inlineStr">
        <is>
          <t>Föryngringsavverkning</t>
        </is>
      </c>
      <c r="D177" s="1" t="n">
        <v>45944</v>
      </c>
      <c r="E177" s="1" t="n">
        <v>46228</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53683-2025</t>
        </is>
      </c>
      <c r="B178" t="inlineStr">
        <is>
          <t>avverkningsanmälan</t>
        </is>
      </c>
      <c r="C178" t="inlineStr">
        <is>
          <t>Föryngringsavverkning</t>
        </is>
      </c>
      <c r="D178" s="1" t="n">
        <v>45960</v>
      </c>
      <c r="E178" s="1" t="n">
        <v>46228</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45122-2021</t>
        </is>
      </c>
      <c r="B179" t="inlineStr">
        <is>
          <t>avverkningsanmälan</t>
        </is>
      </c>
      <c r="C179" t="inlineStr">
        <is>
          <t>Föryngringsavverkning</t>
        </is>
      </c>
      <c r="D179" s="1" t="n">
        <v>44439</v>
      </c>
      <c r="E179" s="1" t="n">
        <v>46228</v>
      </c>
      <c r="F179" t="inlineStr">
        <is>
          <t>VÄSTERNORRLANDS LÄN</t>
        </is>
      </c>
      <c r="G179" t="inlineStr">
        <is>
          <t>ÅNGE</t>
        </is>
      </c>
      <c r="I179" t="n">
        <v>20.3</v>
      </c>
      <c r="J179" t="n">
        <v>0</v>
      </c>
      <c r="K179" t="n">
        <v>2</v>
      </c>
      <c r="L179" t="n">
        <v>1</v>
      </c>
      <c r="M179" t="n">
        <v>0</v>
      </c>
      <c r="N179" t="n">
        <v>0</v>
      </c>
      <c r="O179" t="n">
        <v>0</v>
      </c>
      <c r="P179" t="n">
        <v>0</v>
      </c>
      <c r="Q179" t="n">
        <v>1</v>
      </c>
      <c r="R179" t="n">
        <v>0</v>
      </c>
      <c r="S179" t="n">
        <v>3</v>
      </c>
      <c r="T179" t="n">
        <v>3</v>
      </c>
      <c r="U179" t="n">
        <v>3</v>
      </c>
      <c r="V179" s="2" t="inlineStr">
        <is>
          <t>Reliktbock
Cixidia
Skinnlav</t>
        </is>
      </c>
      <c r="W179">
        <f>HYPERLINK("https://klasma.github.io/Logging_2260/artfynd/A 45122-2021 artfynd.xlsx", "A 45122-2021")</f>
        <v/>
      </c>
      <c r="X179">
        <f>HYPERLINK("https://klasma.github.io/Logging_2260/kartor/A 45122-2021 karta.png", "A 45122-2021")</f>
        <v/>
      </c>
      <c r="Y179">
        <f>HYPERLINK("https://klasma.github.io/Logging_2260/kartor_geotiff/A 45122-2021 georefererad karta.tif", "A 45122-2021")</f>
        <v/>
      </c>
      <c r="AA179">
        <f>HYPERLINK("https://klasma.github.io/Logging_2260/klagomål/A 45122-2021 FSC-klagomål.docx", "A 45122-2021")</f>
        <v/>
      </c>
      <c r="AB179">
        <f>HYPERLINK("https://klasma.github.io/Logging_2260/klagomålsmail/A 45122-2021 FSC-klagomål mail.docx", "A 45122-2021")</f>
        <v/>
      </c>
      <c r="AC179">
        <f>HYPERLINK("https://klasma.github.io/Logging_2260/tillsyn/A 45122-2021 tillsynsbegäran.docx", "A 45122-2021")</f>
        <v/>
      </c>
      <c r="AD179">
        <f>HYPERLINK("https://klasma.github.io/Logging_2260/tillsynsmail/A 45122-2021 tillsynsbegäran mail.docx", "A 45122-2021")</f>
        <v/>
      </c>
    </row>
    <row r="180" ht="15" customHeight="1">
      <c r="A180" t="inlineStr">
        <is>
          <t>A 329-2026</t>
        </is>
      </c>
      <c r="B180" t="inlineStr">
        <is>
          <t>avverkningsanmälan</t>
        </is>
      </c>
      <c r="C180" t="inlineStr">
        <is>
          <t>Föryngringsavverkning</t>
        </is>
      </c>
      <c r="D180" s="1" t="n">
        <v>46027</v>
      </c>
      <c r="E180" s="1" t="n">
        <v>46228</v>
      </c>
      <c r="F180" t="inlineStr">
        <is>
          <t>VÄSTERNORRLANDS LÄN</t>
        </is>
      </c>
      <c r="G180" t="inlineStr">
        <is>
          <t>ÅNGE</t>
        </is>
      </c>
      <c r="H180" t="inlineStr">
        <is>
          <t>SCA</t>
        </is>
      </c>
      <c r="I180" t="n">
        <v>3.3</v>
      </c>
      <c r="J180" t="n">
        <v>2</v>
      </c>
      <c r="K180" t="n">
        <v>0</v>
      </c>
      <c r="L180" t="n">
        <v>0</v>
      </c>
      <c r="M180" t="n">
        <v>1</v>
      </c>
      <c r="N180" t="n">
        <v>0</v>
      </c>
      <c r="O180" t="n">
        <v>0</v>
      </c>
      <c r="P180" t="n">
        <v>0</v>
      </c>
      <c r="Q180" t="n">
        <v>1</v>
      </c>
      <c r="R180" t="n">
        <v>1</v>
      </c>
      <c r="S180" t="n">
        <v>3</v>
      </c>
      <c r="T180" t="n">
        <v>3</v>
      </c>
      <c r="U180" t="n">
        <v>0</v>
      </c>
      <c r="V180" s="2" t="inlineStr">
        <is>
          <t>Garnlav
Fläcknycklar
Revlummer</t>
        </is>
      </c>
      <c r="W180">
        <f>HYPERLINK("https://klasma.github.io/Logging_2260/artfynd/A 329-2026 artfynd.xlsx", "A 329-2026")</f>
        <v/>
      </c>
      <c r="X180">
        <f>HYPERLINK("https://klasma.github.io/Logging_2260/kartor/A 329-2026 karta.png", "A 329-2026")</f>
        <v/>
      </c>
      <c r="Y180">
        <f>HYPERLINK("https://klasma.github.io/Logging_2260/kartor_geotiff/A 329-2026 georefererad karta.tif", "A 329-2026")</f>
        <v/>
      </c>
      <c r="AA180">
        <f>HYPERLINK("https://klasma.github.io/Logging_2260/klagomål/A 329-2026 FSC-klagomål.docx", "A 329-2026")</f>
        <v/>
      </c>
      <c r="AB180">
        <f>HYPERLINK("https://klasma.github.io/Logging_2260/klagomålsmail/A 329-2026 FSC-klagomål mail.docx", "A 329-2026")</f>
        <v/>
      </c>
      <c r="AC180">
        <f>HYPERLINK("https://klasma.github.io/Logging_2260/tillsyn/A 329-2026 tillsynsbegäran.docx", "A 329-2026")</f>
        <v/>
      </c>
      <c r="AD180">
        <f>HYPERLINK("https://klasma.github.io/Logging_2260/tillsynsmail/A 329-2026 tillsynsbegäran mail.docx", "A 329-2026")</f>
        <v/>
      </c>
    </row>
    <row r="181" ht="15" customHeight="1">
      <c r="A181" t="inlineStr">
        <is>
          <t>A 57299-2022</t>
        </is>
      </c>
      <c r="B181" t="inlineStr">
        <is>
          <t>avverkningsanmälan</t>
        </is>
      </c>
      <c r="C181" t="inlineStr">
        <is>
          <t>Föryngringsavverkning</t>
        </is>
      </c>
      <c r="D181" s="1" t="n">
        <v>44895</v>
      </c>
      <c r="E181" s="1" t="n">
        <v>46228</v>
      </c>
      <c r="F181" t="inlineStr">
        <is>
          <t>VÄSTERNORRLANDS LÄN</t>
        </is>
      </c>
      <c r="G181" t="inlineStr">
        <is>
          <t>ÅNGE</t>
        </is>
      </c>
      <c r="H181" t="inlineStr">
        <is>
          <t>SCA</t>
        </is>
      </c>
      <c r="I181" t="n">
        <v>3.4</v>
      </c>
      <c r="J181" t="n">
        <v>0</v>
      </c>
      <c r="K181" t="n">
        <v>0</v>
      </c>
      <c r="L181" t="n">
        <v>2</v>
      </c>
      <c r="M181" t="n">
        <v>1</v>
      </c>
      <c r="N181" t="n">
        <v>0</v>
      </c>
      <c r="O181" t="n">
        <v>0</v>
      </c>
      <c r="P181" t="n">
        <v>0</v>
      </c>
      <c r="Q181" t="n">
        <v>3</v>
      </c>
      <c r="R181" t="n">
        <v>1</v>
      </c>
      <c r="S181" t="n">
        <v>3</v>
      </c>
      <c r="T181" t="n">
        <v>4</v>
      </c>
      <c r="U181" t="n">
        <v>4</v>
      </c>
      <c r="V181" s="2" t="inlineStr">
        <is>
          <t>Garnlav
Lunglav
Ullticka</t>
        </is>
      </c>
      <c r="W181">
        <f>HYPERLINK("https://klasma.github.io/Logging_2260/artfynd/A 57299-2022 artfynd.xlsx", "A 57299-2022")</f>
        <v/>
      </c>
      <c r="X181">
        <f>HYPERLINK("https://klasma.github.io/Logging_2260/kartor/A 57299-2022 karta.png", "A 57299-2022")</f>
        <v/>
      </c>
      <c r="Y181">
        <f>HYPERLINK("https://klasma.github.io/Logging_2260/kartor_geotiff/A 57299-2022 georefererad karta.tif", "A 57299-2022")</f>
        <v/>
      </c>
      <c r="AA181">
        <f>HYPERLINK("https://klasma.github.io/Logging_2260/klagomål/A 57299-2022 FSC-klagomål.docx", "A 57299-2022")</f>
        <v/>
      </c>
      <c r="AB181">
        <f>HYPERLINK("https://klasma.github.io/Logging_2260/klagomålsmail/A 57299-2022 FSC-klagomål mail.docx", "A 57299-2022")</f>
        <v/>
      </c>
      <c r="AC181">
        <f>HYPERLINK("https://klasma.github.io/Logging_2260/tillsyn/A 57299-2022 tillsynsbegäran.docx", "A 57299-2022")</f>
        <v/>
      </c>
      <c r="AD181">
        <f>HYPERLINK("https://klasma.github.io/Logging_2260/tillsynsmail/A 57299-2022 tillsynsbegäran mail.docx", "A 57299-2022")</f>
        <v/>
      </c>
    </row>
    <row r="182" ht="15" customHeight="1">
      <c r="A182" t="inlineStr">
        <is>
          <t>A 16853-2023</t>
        </is>
      </c>
      <c r="B182" t="inlineStr">
        <is>
          <t>avverkningsanmälan</t>
        </is>
      </c>
      <c r="C182" t="inlineStr">
        <is>
          <t>Avverkning för att bevara och utveckla /försöksver</t>
        </is>
      </c>
      <c r="D182" s="1" t="n">
        <v>45033</v>
      </c>
      <c r="E182" s="1" t="n">
        <v>46228</v>
      </c>
      <c r="F182" t="inlineStr">
        <is>
          <t>VÄSTERNORRLANDS LÄN</t>
        </is>
      </c>
      <c r="G182" t="inlineStr">
        <is>
          <t>ÅNGE</t>
        </is>
      </c>
      <c r="I182" t="n">
        <v>0.7</v>
      </c>
      <c r="J182" t="n">
        <v>2</v>
      </c>
      <c r="K182" t="n">
        <v>0</v>
      </c>
      <c r="L182" t="n">
        <v>1</v>
      </c>
      <c r="M182" t="n">
        <v>0</v>
      </c>
      <c r="N182" t="n">
        <v>1</v>
      </c>
      <c r="O182" t="n">
        <v>0</v>
      </c>
      <c r="P182" t="n">
        <v>0</v>
      </c>
      <c r="Q182" t="n">
        <v>2</v>
      </c>
      <c r="R182" t="n">
        <v>1</v>
      </c>
      <c r="S182" t="n">
        <v>3</v>
      </c>
      <c r="T182" t="n">
        <v>3</v>
      </c>
      <c r="U182" t="n">
        <v>1</v>
      </c>
      <c r="V182" s="2" t="inlineStr">
        <is>
          <t>Flodpärlmussla
Duvhök
Tallbit</t>
        </is>
      </c>
      <c r="W182">
        <f>HYPERLINK("https://klasma.github.io/Logging_2260/artfynd/A 16853-2023 artfynd.xlsx", "A 16853-2023")</f>
        <v/>
      </c>
      <c r="X182">
        <f>HYPERLINK("https://klasma.github.io/Logging_2260/kartor/A 16853-2023 karta.png", "A 16853-2023")</f>
        <v/>
      </c>
      <c r="Y182">
        <f>HYPERLINK("https://klasma.github.io/Logging_2260/kartor_geotiff/A 16853-2023 georefererad karta.tif", "A 16853-2023")</f>
        <v/>
      </c>
      <c r="AA182">
        <f>HYPERLINK("https://klasma.github.io/Logging_2260/klagomål/A 16853-2023 FSC-klagomål.docx", "A 16853-2023")</f>
        <v/>
      </c>
      <c r="AB182">
        <f>HYPERLINK("https://klasma.github.io/Logging_2260/klagomålsmail/A 16853-2023 FSC-klagomål mail.docx", "A 16853-2023")</f>
        <v/>
      </c>
      <c r="AC182">
        <f>HYPERLINK("https://klasma.github.io/Logging_2260/tillsyn/A 16853-2023 tillsynsbegäran.docx", "A 16853-2023")</f>
        <v/>
      </c>
      <c r="AD182">
        <f>HYPERLINK("https://klasma.github.io/Logging_2260/tillsynsmail/A 16853-2023 tillsynsbegäran mail.docx", "A 16853-2023")</f>
        <v/>
      </c>
      <c r="AE182">
        <f>HYPERLINK("https://klasma.github.io/Logging_2260/fåglar/A 16853-2023 prioriterade fågelarter.docx", "A 16853-2023")</f>
        <v/>
      </c>
    </row>
    <row r="183" ht="15" customHeight="1">
      <c r="A183" t="inlineStr">
        <is>
          <t>A 25390-2026</t>
        </is>
      </c>
      <c r="B183" t="inlineStr">
        <is>
          <t>avverkningsanmälan</t>
        </is>
      </c>
      <c r="C183" t="inlineStr">
        <is>
          <t>Föryngringsavverkning</t>
        </is>
      </c>
      <c r="D183" s="1" t="n">
        <v>46176</v>
      </c>
      <c r="E183" s="1" t="n">
        <v>46228</v>
      </c>
      <c r="F183" t="inlineStr">
        <is>
          <t>VÄSTERNORRLANDS LÄN</t>
        </is>
      </c>
      <c r="G183" t="inlineStr">
        <is>
          <t>ÅNGE</t>
        </is>
      </c>
      <c r="H183" t="inlineStr">
        <is>
          <t>SCA</t>
        </is>
      </c>
      <c r="I183" t="n">
        <v>4</v>
      </c>
      <c r="J183" t="n">
        <v>2</v>
      </c>
      <c r="K183" t="n">
        <v>0</v>
      </c>
      <c r="L183" t="n">
        <v>1</v>
      </c>
      <c r="M183" t="n">
        <v>0</v>
      </c>
      <c r="N183" t="n">
        <v>0</v>
      </c>
      <c r="O183" t="n">
        <v>0</v>
      </c>
      <c r="P183" t="n">
        <v>0</v>
      </c>
      <c r="Q183" t="n">
        <v>1</v>
      </c>
      <c r="R183" t="n">
        <v>0</v>
      </c>
      <c r="S183" t="n">
        <v>3</v>
      </c>
      <c r="T183" t="n">
        <v>3</v>
      </c>
      <c r="U183" t="n">
        <v>0</v>
      </c>
      <c r="V183" s="2" t="inlineStr">
        <is>
          <t>Lunglav
Fläcknycklar
Revlummer</t>
        </is>
      </c>
      <c r="W183">
        <f>HYPERLINK("https://klasma.github.io/Logging_2260/artfynd/A 25390-2026 artfynd.xlsx", "A 25390-2026")</f>
        <v/>
      </c>
      <c r="X183">
        <f>HYPERLINK("https://klasma.github.io/Logging_2260/kartor/A 25390-2026 karta.png", "A 25390-2026")</f>
        <v/>
      </c>
      <c r="Y183">
        <f>HYPERLINK("https://klasma.github.io/Logging_2260/kartor_geotiff/A 25390-2026 georefererad karta.tif", "A 25390-2026")</f>
        <v/>
      </c>
      <c r="AA183">
        <f>HYPERLINK("https://klasma.github.io/Logging_2260/klagomål/A 25390-2026 FSC-klagomål.docx", "A 25390-2026")</f>
        <v/>
      </c>
      <c r="AB183">
        <f>HYPERLINK("https://klasma.github.io/Logging_2260/klagomålsmail/A 25390-2026 FSC-klagomål mail.docx", "A 25390-2026")</f>
        <v/>
      </c>
      <c r="AC183">
        <f>HYPERLINK("https://klasma.github.io/Logging_2260/tillsyn/A 25390-2026 tillsynsbegäran.docx", "A 25390-2026")</f>
        <v/>
      </c>
      <c r="AD183">
        <f>HYPERLINK("https://klasma.github.io/Logging_2260/tillsynsmail/A 25390-2026 tillsynsbegäran mail.docx", "A 25390-2026")</f>
        <v/>
      </c>
    </row>
    <row r="184" ht="15" customHeight="1">
      <c r="A184" t="inlineStr">
        <is>
          <t>A 49381-2025</t>
        </is>
      </c>
      <c r="B184" t="inlineStr">
        <is>
          <t>avverkningsanmälan</t>
        </is>
      </c>
      <c r="C184" t="inlineStr">
        <is>
          <t>Föryngringsavverkning</t>
        </is>
      </c>
      <c r="D184" s="1" t="n">
        <v>45938</v>
      </c>
      <c r="E184" s="1" t="n">
        <v>46228</v>
      </c>
      <c r="F184" t="inlineStr">
        <is>
          <t>VÄSTERNORRLANDS LÄN</t>
        </is>
      </c>
      <c r="G184" t="inlineStr">
        <is>
          <t>ÅNGE</t>
        </is>
      </c>
      <c r="H184" t="inlineStr">
        <is>
          <t>SCA</t>
        </is>
      </c>
      <c r="I184" t="n">
        <v>20.6</v>
      </c>
      <c r="J184" t="n">
        <v>0</v>
      </c>
      <c r="K184" t="n">
        <v>1</v>
      </c>
      <c r="L184" t="n">
        <v>0</v>
      </c>
      <c r="M184" t="n">
        <v>2</v>
      </c>
      <c r="N184" t="n">
        <v>0</v>
      </c>
      <c r="O184" t="n">
        <v>0</v>
      </c>
      <c r="P184" t="n">
        <v>0</v>
      </c>
      <c r="Q184" t="n">
        <v>2</v>
      </c>
      <c r="R184" t="n">
        <v>2</v>
      </c>
      <c r="S184" t="n">
        <v>3</v>
      </c>
      <c r="T184" t="n">
        <v>3</v>
      </c>
      <c r="U184" t="n">
        <v>0</v>
      </c>
      <c r="V184" s="2" t="inlineStr">
        <is>
          <t>Fläckporing
Lateritticka
Vedticka</t>
        </is>
      </c>
      <c r="W184">
        <f>HYPERLINK("https://klasma.github.io/Logging_2260/artfynd/A 49381-2025 artfynd.xlsx", "A 49381-2025")</f>
        <v/>
      </c>
      <c r="X184">
        <f>HYPERLINK("https://klasma.github.io/Logging_2260/kartor/A 49381-2025 karta.png", "A 49381-2025")</f>
        <v/>
      </c>
      <c r="Y184">
        <f>HYPERLINK("https://klasma.github.io/Logging_2260/kartor_geotiff/A 49381-2025 georefererad karta.tif", "A 49381-2025")</f>
        <v/>
      </c>
      <c r="AA184">
        <f>HYPERLINK("https://klasma.github.io/Logging_2260/klagomål/A 49381-2025 FSC-klagomål.docx", "A 49381-2025")</f>
        <v/>
      </c>
      <c r="AB184">
        <f>HYPERLINK("https://klasma.github.io/Logging_2260/klagomålsmail/A 49381-2025 FSC-klagomål mail.docx", "A 49381-2025")</f>
        <v/>
      </c>
      <c r="AC184">
        <f>HYPERLINK("https://klasma.github.io/Logging_2260/tillsyn/A 49381-2025 tillsynsbegäran.docx", "A 49381-2025")</f>
        <v/>
      </c>
      <c r="AD184">
        <f>HYPERLINK("https://klasma.github.io/Logging_2260/tillsynsmail/A 49381-2025 tillsynsbegäran mail.docx", "A 49381-2025")</f>
        <v/>
      </c>
    </row>
    <row r="185" ht="15" customHeight="1">
      <c r="A185" t="inlineStr">
        <is>
          <t>A 4093-2025</t>
        </is>
      </c>
      <c r="B185" t="inlineStr">
        <is>
          <t>avverkningsanmälan</t>
        </is>
      </c>
      <c r="C185" t="inlineStr">
        <is>
          <t>Föryngringsavverkning</t>
        </is>
      </c>
      <c r="D185" s="1" t="n">
        <v>45684</v>
      </c>
      <c r="E185" s="1" t="n">
        <v>46228</v>
      </c>
      <c r="F185" t="inlineStr">
        <is>
          <t>VÄSTERNORRLANDS LÄN</t>
        </is>
      </c>
      <c r="G185" t="inlineStr">
        <is>
          <t>ÅNGE</t>
        </is>
      </c>
      <c r="H185" t="inlineStr">
        <is>
          <t>SCA</t>
        </is>
      </c>
      <c r="I185" t="n">
        <v>2.6</v>
      </c>
      <c r="J185" t="n">
        <v>1</v>
      </c>
      <c r="K185" t="n">
        <v>2</v>
      </c>
      <c r="L185" t="n">
        <v>0</v>
      </c>
      <c r="M185" t="n">
        <v>1</v>
      </c>
      <c r="N185" t="n">
        <v>0</v>
      </c>
      <c r="O185" t="n">
        <v>0</v>
      </c>
      <c r="P185" t="n">
        <v>0</v>
      </c>
      <c r="Q185" t="n">
        <v>1</v>
      </c>
      <c r="R185" t="n">
        <v>1</v>
      </c>
      <c r="S185" t="n">
        <v>3</v>
      </c>
      <c r="T185" t="n">
        <v>3</v>
      </c>
      <c r="U185" t="n">
        <v>3</v>
      </c>
      <c r="V185" s="2" t="inlineStr">
        <is>
          <t>Garnlav
Kransrams
Spindelblomster</t>
        </is>
      </c>
      <c r="W185">
        <f>HYPERLINK("https://klasma.github.io/Logging_2260/artfynd/A 4093-2025 artfynd.xlsx", "A 4093-2025")</f>
        <v/>
      </c>
      <c r="X185">
        <f>HYPERLINK("https://klasma.github.io/Logging_2260/kartor/A 4093-2025 karta.png", "A 4093-2025")</f>
        <v/>
      </c>
      <c r="Y185">
        <f>HYPERLINK("https://klasma.github.io/Logging_2260/kartor_geotiff/A 4093-2025 georefererad karta.tif", "A 4093-2025")</f>
        <v/>
      </c>
      <c r="AA185">
        <f>HYPERLINK("https://klasma.github.io/Logging_2260/klagomål/A 4093-2025 FSC-klagomål.docx", "A 4093-2025")</f>
        <v/>
      </c>
      <c r="AB185">
        <f>HYPERLINK("https://klasma.github.io/Logging_2260/klagomålsmail/A 4093-2025 FSC-klagomål mail.docx", "A 4093-2025")</f>
        <v/>
      </c>
      <c r="AC185">
        <f>HYPERLINK("https://klasma.github.io/Logging_2260/tillsyn/A 4093-2025 tillsynsbegäran.docx", "A 4093-2025")</f>
        <v/>
      </c>
      <c r="AD185">
        <f>HYPERLINK("https://klasma.github.io/Logging_2260/tillsynsmail/A 4093-2025 tillsynsbegäran mail.docx", "A 4093-2025")</f>
        <v/>
      </c>
    </row>
    <row r="186" ht="15" customHeight="1">
      <c r="A186" t="inlineStr">
        <is>
          <t>A 43552-2023</t>
        </is>
      </c>
      <c r="B186" t="inlineStr">
        <is>
          <t>avverkningsanmälan</t>
        </is>
      </c>
      <c r="C186" t="inlineStr">
        <is>
          <t>Föryngringsavverkning</t>
        </is>
      </c>
      <c r="D186" s="1" t="n">
        <v>45181</v>
      </c>
      <c r="E186" s="1" t="n">
        <v>46228</v>
      </c>
      <c r="F186" t="inlineStr">
        <is>
          <t>VÄSTERNORRLANDS LÄN</t>
        </is>
      </c>
      <c r="G186" t="inlineStr">
        <is>
          <t>ÅNGE</t>
        </is>
      </c>
      <c r="H186" t="inlineStr">
        <is>
          <t>SCA</t>
        </is>
      </c>
      <c r="I186" t="n">
        <v>7.3</v>
      </c>
      <c r="J186" t="n">
        <v>1</v>
      </c>
      <c r="K186" t="n">
        <v>1</v>
      </c>
      <c r="L186" t="n">
        <v>0</v>
      </c>
      <c r="M186" t="n">
        <v>1</v>
      </c>
      <c r="N186" t="n">
        <v>0</v>
      </c>
      <c r="O186" t="n">
        <v>0</v>
      </c>
      <c r="P186" t="n">
        <v>0</v>
      </c>
      <c r="Q186" t="n">
        <v>1</v>
      </c>
      <c r="R186" t="n">
        <v>1</v>
      </c>
      <c r="S186" t="n">
        <v>3</v>
      </c>
      <c r="T186" t="n">
        <v>4</v>
      </c>
      <c r="U186" t="n">
        <v>0</v>
      </c>
      <c r="V186" s="2" t="inlineStr">
        <is>
          <t>Garnlav
Stuplav
Revlummer</t>
        </is>
      </c>
      <c r="W186">
        <f>HYPERLINK("https://klasma.github.io/Logging_2260/artfynd/A 43552-2023 artfynd.xlsx", "A 43552-2023")</f>
        <v/>
      </c>
      <c r="X186">
        <f>HYPERLINK("https://klasma.github.io/Logging_2260/kartor/A 43552-2023 karta.png", "A 43552-2023")</f>
        <v/>
      </c>
      <c r="Y186">
        <f>HYPERLINK("https://klasma.github.io/Logging_2260/kartor_geotiff/A 43552-2023 georefererad karta.tif", "A 43552-2023")</f>
        <v/>
      </c>
      <c r="AA186">
        <f>HYPERLINK("https://klasma.github.io/Logging_2260/klagomål/A 43552-2023 FSC-klagomål.docx", "A 43552-2023")</f>
        <v/>
      </c>
      <c r="AB186">
        <f>HYPERLINK("https://klasma.github.io/Logging_2260/klagomålsmail/A 43552-2023 FSC-klagomål mail.docx", "A 43552-2023")</f>
        <v/>
      </c>
      <c r="AC186">
        <f>HYPERLINK("https://klasma.github.io/Logging_2260/tillsyn/A 43552-2023 tillsynsbegäran.docx", "A 43552-2023")</f>
        <v/>
      </c>
      <c r="AD186">
        <f>HYPERLINK("https://klasma.github.io/Logging_2260/tillsynsmail/A 43552-2023 tillsynsbegäran mail.docx", "A 43552-2023")</f>
        <v/>
      </c>
    </row>
    <row r="187" ht="15" customHeight="1">
      <c r="A187" t="inlineStr">
        <is>
          <t>A 4186-2025</t>
        </is>
      </c>
      <c r="B187" t="inlineStr">
        <is>
          <t>avverkningsanmälan</t>
        </is>
      </c>
      <c r="C187" t="inlineStr">
        <is>
          <t>Avverkning för att bevara och utveckla /försöksver</t>
        </is>
      </c>
      <c r="D187" s="1" t="n">
        <v>45685</v>
      </c>
      <c r="E187" s="1" t="n">
        <v>46228</v>
      </c>
      <c r="F187" t="inlineStr">
        <is>
          <t>VÄSTERNORRLANDS LÄN</t>
        </is>
      </c>
      <c r="G187" t="inlineStr">
        <is>
          <t>ÅNGE</t>
        </is>
      </c>
      <c r="H187" t="inlineStr">
        <is>
          <t>SCA</t>
        </is>
      </c>
      <c r="I187" t="n">
        <v>2.4</v>
      </c>
      <c r="J187" t="n">
        <v>3</v>
      </c>
      <c r="K187" t="n">
        <v>0</v>
      </c>
      <c r="L187" t="n">
        <v>2</v>
      </c>
      <c r="M187" t="n">
        <v>0</v>
      </c>
      <c r="N187" t="n">
        <v>0</v>
      </c>
      <c r="O187" t="n">
        <v>0</v>
      </c>
      <c r="P187" t="n">
        <v>0</v>
      </c>
      <c r="Q187" t="n">
        <v>2</v>
      </c>
      <c r="R187" t="n">
        <v>0</v>
      </c>
      <c r="S187" t="n">
        <v>3</v>
      </c>
      <c r="T187" t="n">
        <v>3</v>
      </c>
      <c r="U187" t="n">
        <v>1</v>
      </c>
      <c r="V187" s="2" t="inlineStr">
        <is>
          <t>Brunlångöra
Tretåig hackspett
Vattenfladdermus</t>
        </is>
      </c>
      <c r="W187">
        <f>HYPERLINK("https://klasma.github.io/Logging_2260/artfynd/A 4186-2025 artfynd.xlsx", "A 4186-2025")</f>
        <v/>
      </c>
      <c r="X187">
        <f>HYPERLINK("https://klasma.github.io/Logging_2260/kartor/A 4186-2025 karta.png", "A 4186-2025")</f>
        <v/>
      </c>
      <c r="Y187">
        <f>HYPERLINK("https://klasma.github.io/Logging_2260/kartor_geotiff/A 4186-2025 georefererad karta.tif", "A 4186-2025")</f>
        <v/>
      </c>
      <c r="AA187">
        <f>HYPERLINK("https://klasma.github.io/Logging_2260/klagomål/A 4186-2025 FSC-klagomål.docx", "A 4186-2025")</f>
        <v/>
      </c>
      <c r="AB187">
        <f>HYPERLINK("https://klasma.github.io/Logging_2260/klagomålsmail/A 4186-2025 FSC-klagomål mail.docx", "A 4186-2025")</f>
        <v/>
      </c>
      <c r="AC187">
        <f>HYPERLINK("https://klasma.github.io/Logging_2260/tillsyn/A 4186-2025 tillsynsbegäran.docx", "A 4186-2025")</f>
        <v/>
      </c>
      <c r="AD187">
        <f>HYPERLINK("https://klasma.github.io/Logging_2260/tillsynsmail/A 4186-2025 tillsynsbegäran mail.docx", "A 4186-2025")</f>
        <v/>
      </c>
      <c r="AE187">
        <f>HYPERLINK("https://klasma.github.io/Logging_2260/fåglar/A 4186-2025 prioriterade fågelarter.docx", "A 4186-2025")</f>
        <v/>
      </c>
    </row>
    <row r="188" ht="15" customHeight="1">
      <c r="A188" t="inlineStr">
        <is>
          <t>A 39181-2024</t>
        </is>
      </c>
      <c r="B188" t="inlineStr">
        <is>
          <t>avverkningsanmälan</t>
        </is>
      </c>
      <c r="C188" t="inlineStr">
        <is>
          <t>Föryngringsavverkning</t>
        </is>
      </c>
      <c r="D188" s="1" t="n">
        <v>45548</v>
      </c>
      <c r="E188" s="1" t="n">
        <v>46228</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24795-2024</t>
        </is>
      </c>
      <c r="B189" t="inlineStr">
        <is>
          <t>avverkningsanmälan</t>
        </is>
      </c>
      <c r="C189" t="inlineStr">
        <is>
          <t>Avverkning för att bevara och utveckla /försöksver</t>
        </is>
      </c>
      <c r="D189" s="1" t="n">
        <v>45460</v>
      </c>
      <c r="E189" s="1" t="n">
        <v>46228</v>
      </c>
      <c r="F189" t="inlineStr">
        <is>
          <t>VÄSTERNORRLANDS LÄN</t>
        </is>
      </c>
      <c r="G189" t="inlineStr">
        <is>
          <t>ÅNGE</t>
        </is>
      </c>
      <c r="H189" t="inlineStr">
        <is>
          <t>SCA</t>
        </is>
      </c>
      <c r="I189" t="n">
        <v>2.2</v>
      </c>
      <c r="J189" t="n">
        <v>1</v>
      </c>
      <c r="K189" t="n">
        <v>2</v>
      </c>
      <c r="L189" t="n">
        <v>1</v>
      </c>
      <c r="M189" t="n">
        <v>0</v>
      </c>
      <c r="N189" t="n">
        <v>0</v>
      </c>
      <c r="O189" t="n">
        <v>0</v>
      </c>
      <c r="P189" t="n">
        <v>0</v>
      </c>
      <c r="Q189" t="n">
        <v>1</v>
      </c>
      <c r="R189" t="n">
        <v>0</v>
      </c>
      <c r="S189" t="n">
        <v>3</v>
      </c>
      <c r="T189" t="n">
        <v>5</v>
      </c>
      <c r="U189" t="n">
        <v>3</v>
      </c>
      <c r="V189" s="2" t="inlineStr">
        <is>
          <t>Lunglav
Plattlummer
Skinnlav</t>
        </is>
      </c>
      <c r="W189">
        <f>HYPERLINK("https://klasma.github.io/Logging_2260/artfynd/A 24795-2024 artfynd.xlsx", "A 24795-2024")</f>
        <v/>
      </c>
      <c r="X189">
        <f>HYPERLINK("https://klasma.github.io/Logging_2260/kartor/A 24795-2024 karta.png", "A 24795-2024")</f>
        <v/>
      </c>
      <c r="Y189">
        <f>HYPERLINK("https://klasma.github.io/Logging_2260/kartor_geotiff/A 24795-2024 georefererad karta.tif", "A 24795-2024")</f>
        <v/>
      </c>
      <c r="AA189">
        <f>HYPERLINK("https://klasma.github.io/Logging_2260/klagomål/A 24795-2024 FSC-klagomål.docx", "A 24795-2024")</f>
        <v/>
      </c>
      <c r="AB189">
        <f>HYPERLINK("https://klasma.github.io/Logging_2260/klagomålsmail/A 24795-2024 FSC-klagomål mail.docx", "A 24795-2024")</f>
        <v/>
      </c>
      <c r="AC189">
        <f>HYPERLINK("https://klasma.github.io/Logging_2260/tillsyn/A 24795-2024 tillsynsbegäran.docx", "A 24795-2024")</f>
        <v/>
      </c>
      <c r="AD189">
        <f>HYPERLINK("https://klasma.github.io/Logging_2260/tillsynsmail/A 24795-2024 tillsynsbegäran mail.docx", "A 24795-2024")</f>
        <v/>
      </c>
    </row>
    <row r="190" ht="15" customHeight="1">
      <c r="A190" t="inlineStr">
        <is>
          <t>A 28274-2023</t>
        </is>
      </c>
      <c r="B190" t="inlineStr">
        <is>
          <t>avverkningsanmälan</t>
        </is>
      </c>
      <c r="C190" t="inlineStr">
        <is>
          <t>Föryngringsavverkning</t>
        </is>
      </c>
      <c r="D190" s="1" t="n">
        <v>45099</v>
      </c>
      <c r="E190" s="1" t="n">
        <v>46228</v>
      </c>
      <c r="F190" t="inlineStr">
        <is>
          <t>VÄSTERNORRLANDS LÄN</t>
        </is>
      </c>
      <c r="G190" t="inlineStr">
        <is>
          <t>ÅNGE</t>
        </is>
      </c>
      <c r="I190" t="n">
        <v>19.2</v>
      </c>
      <c r="J190" t="n">
        <v>1</v>
      </c>
      <c r="K190" t="n">
        <v>1</v>
      </c>
      <c r="L190" t="n">
        <v>1</v>
      </c>
      <c r="M190" t="n">
        <v>1</v>
      </c>
      <c r="N190" t="n">
        <v>0</v>
      </c>
      <c r="O190" t="n">
        <v>0</v>
      </c>
      <c r="P190" t="n">
        <v>0</v>
      </c>
      <c r="Q190" t="n">
        <v>2</v>
      </c>
      <c r="R190" t="n">
        <v>1</v>
      </c>
      <c r="S190" t="n">
        <v>3</v>
      </c>
      <c r="T190" t="n">
        <v>5</v>
      </c>
      <c r="U190" t="n">
        <v>5</v>
      </c>
      <c r="V190" s="2" t="inlineStr">
        <is>
          <t>Knärot
Lunglav
Grönpyrola</t>
        </is>
      </c>
      <c r="W190">
        <f>HYPERLINK("https://klasma.github.io/Logging_2260/artfynd/A 28274-2023 artfynd.xlsx", "A 28274-2023")</f>
        <v/>
      </c>
      <c r="X190">
        <f>HYPERLINK("https://klasma.github.io/Logging_2260/kartor/A 28274-2023 karta.png", "A 28274-2023")</f>
        <v/>
      </c>
      <c r="Y190">
        <f>HYPERLINK("https://klasma.github.io/Logging_2260/kartor_geotiff/A 28274-2023 georefererad karta.tif", "A 28274-2023")</f>
        <v/>
      </c>
      <c r="Z190">
        <f>HYPERLINK("https://klasma.github.io/Logging_2260/knärot/A 28274-2023 karta knärot.png", "A 28274-2023")</f>
        <v/>
      </c>
      <c r="AA190">
        <f>HYPERLINK("https://klasma.github.io/Logging_2260/klagomål/A 28274-2023 FSC-klagomål.docx", "A 28274-2023")</f>
        <v/>
      </c>
      <c r="AB190">
        <f>HYPERLINK("https://klasma.github.io/Logging_2260/klagomålsmail/A 28274-2023 FSC-klagomål mail.docx", "A 28274-2023")</f>
        <v/>
      </c>
      <c r="AC190">
        <f>HYPERLINK("https://klasma.github.io/Logging_2260/tillsyn/A 28274-2023 tillsynsbegäran.docx", "A 28274-2023")</f>
        <v/>
      </c>
      <c r="AD190">
        <f>HYPERLINK("https://klasma.github.io/Logging_2260/tillsynsmail/A 28274-2023 tillsynsbegäran mail.docx", "A 28274-2023")</f>
        <v/>
      </c>
    </row>
    <row r="191" ht="15" customHeight="1">
      <c r="A191" t="inlineStr">
        <is>
          <t>A 23759-2025</t>
        </is>
      </c>
      <c r="B191" t="inlineStr">
        <is>
          <t>avverkningsanmälan</t>
        </is>
      </c>
      <c r="C191" t="inlineStr">
        <is>
          <t>Föryngringsavverkning</t>
        </is>
      </c>
      <c r="D191" s="1" t="n">
        <v>45793</v>
      </c>
      <c r="E191" s="1" t="n">
        <v>46228</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46228</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46228</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62861-2021</t>
        </is>
      </c>
      <c r="B194" t="inlineStr">
        <is>
          <t>avverkningsanmälan</t>
        </is>
      </c>
      <c r="C194" t="inlineStr">
        <is>
          <t>Föryngringsavverkning</t>
        </is>
      </c>
      <c r="D194" s="1" t="n">
        <v>44503</v>
      </c>
      <c r="E194" s="1" t="n">
        <v>46228</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55178-2024</t>
        </is>
      </c>
      <c r="B195" t="inlineStr">
        <is>
          <t>avverkningsanmälan</t>
        </is>
      </c>
      <c r="C195" t="inlineStr">
        <is>
          <t>Föryngringsavverkning</t>
        </is>
      </c>
      <c r="D195" s="1" t="n">
        <v>45621</v>
      </c>
      <c r="E195" s="1" t="n">
        <v>46228</v>
      </c>
      <c r="F195" t="inlineStr">
        <is>
          <t>VÄSTERNORRLANDS LÄN</t>
        </is>
      </c>
      <c r="G195" t="inlineStr">
        <is>
          <t>ÅNGE</t>
        </is>
      </c>
      <c r="H195" t="inlineStr">
        <is>
          <t>SCA</t>
        </is>
      </c>
      <c r="I195" t="n">
        <v>4.8</v>
      </c>
      <c r="J195" t="n">
        <v>1</v>
      </c>
      <c r="K195" t="n">
        <v>0</v>
      </c>
      <c r="L195" t="n">
        <v>1</v>
      </c>
      <c r="M195" t="n">
        <v>1</v>
      </c>
      <c r="N195" t="n">
        <v>0</v>
      </c>
      <c r="O195" t="n">
        <v>0</v>
      </c>
      <c r="P195" t="n">
        <v>0</v>
      </c>
      <c r="Q195" t="n">
        <v>2</v>
      </c>
      <c r="R195" t="n">
        <v>1</v>
      </c>
      <c r="S195" t="n">
        <v>2</v>
      </c>
      <c r="T195" t="n">
        <v>3</v>
      </c>
      <c r="U195" t="n">
        <v>0</v>
      </c>
      <c r="V195" s="2" t="inlineStr">
        <is>
          <t>Knärot
Stiftgelélav</t>
        </is>
      </c>
      <c r="W195">
        <f>HYPERLINK("https://klasma.github.io/Logging_2260/artfynd/A 55178-2024 artfynd.xlsx", "A 55178-2024")</f>
        <v/>
      </c>
      <c r="X195">
        <f>HYPERLINK("https://klasma.github.io/Logging_2260/kartor/A 55178-2024 karta.png", "A 55178-2024")</f>
        <v/>
      </c>
      <c r="Y195">
        <f>HYPERLINK("https://klasma.github.io/Logging_2260/kartor_geotiff/A 55178-2024 georefererad karta.tif", "A 55178-2024")</f>
        <v/>
      </c>
      <c r="Z195">
        <f>HYPERLINK("https://klasma.github.io/Logging_2260/knärot/A 55178-2024 karta knärot.png", "A 55178-2024")</f>
        <v/>
      </c>
      <c r="AA195">
        <f>HYPERLINK("https://klasma.github.io/Logging_2260/klagomål/A 55178-2024 FSC-klagomål.docx", "A 55178-2024")</f>
        <v/>
      </c>
      <c r="AB195">
        <f>HYPERLINK("https://klasma.github.io/Logging_2260/klagomålsmail/A 55178-2024 FSC-klagomål mail.docx", "A 55178-2024")</f>
        <v/>
      </c>
      <c r="AC195">
        <f>HYPERLINK("https://klasma.github.io/Logging_2260/tillsyn/A 55178-2024 tillsynsbegäran.docx", "A 55178-2024")</f>
        <v/>
      </c>
      <c r="AD195">
        <f>HYPERLINK("https://klasma.github.io/Logging_2260/tillsynsmail/A 55178-2024 tillsynsbegäran mail.docx", "A 55178-2024")</f>
        <v/>
      </c>
    </row>
    <row r="196" ht="15" customHeight="1">
      <c r="A196" t="inlineStr">
        <is>
          <t>A 49871-2024</t>
        </is>
      </c>
      <c r="B196" t="inlineStr">
        <is>
          <t>avverkningsanmälan</t>
        </is>
      </c>
      <c r="C196" t="inlineStr">
        <is>
          <t>Föryngringsavverkning</t>
        </is>
      </c>
      <c r="D196" s="1" t="n">
        <v>45597</v>
      </c>
      <c r="E196" s="1" t="n">
        <v>46228</v>
      </c>
      <c r="F196" t="inlineStr">
        <is>
          <t>VÄSTERNORRLANDS LÄN</t>
        </is>
      </c>
      <c r="G196" t="inlineStr">
        <is>
          <t>ÅNGE</t>
        </is>
      </c>
      <c r="H196" t="inlineStr">
        <is>
          <t>SCA</t>
        </is>
      </c>
      <c r="I196" t="n">
        <v>6.3</v>
      </c>
      <c r="J196" t="n">
        <v>1</v>
      </c>
      <c r="K196" t="n">
        <v>0</v>
      </c>
      <c r="L196" t="n">
        <v>0</v>
      </c>
      <c r="M196" t="n">
        <v>2</v>
      </c>
      <c r="N196" t="n">
        <v>0</v>
      </c>
      <c r="O196" t="n">
        <v>0</v>
      </c>
      <c r="P196" t="n">
        <v>0</v>
      </c>
      <c r="Q196" t="n">
        <v>2</v>
      </c>
      <c r="R196" t="n">
        <v>2</v>
      </c>
      <c r="S196" t="n">
        <v>2</v>
      </c>
      <c r="T196" t="n">
        <v>3</v>
      </c>
      <c r="U196" t="n">
        <v>3</v>
      </c>
      <c r="V196" s="2" t="inlineStr">
        <is>
          <t>Garnlav
Knärot</t>
        </is>
      </c>
      <c r="W196">
        <f>HYPERLINK("https://klasma.github.io/Logging_2260/artfynd/A 49871-2024 artfynd.xlsx", "A 49871-2024")</f>
        <v/>
      </c>
      <c r="X196">
        <f>HYPERLINK("https://klasma.github.io/Logging_2260/kartor/A 49871-2024 karta.png", "A 49871-2024")</f>
        <v/>
      </c>
      <c r="Y196">
        <f>HYPERLINK("https://klasma.github.io/Logging_2260/kartor_geotiff/A 49871-2024 georefererad karta.tif", "A 49871-2024")</f>
        <v/>
      </c>
      <c r="Z196">
        <f>HYPERLINK("https://klasma.github.io/Logging_2260/knärot/A 49871-2024 karta knärot.png", "A 49871-2024")</f>
        <v/>
      </c>
      <c r="AA196">
        <f>HYPERLINK("https://klasma.github.io/Logging_2260/klagomål/A 49871-2024 FSC-klagomål.docx", "A 49871-2024")</f>
        <v/>
      </c>
      <c r="AB196">
        <f>HYPERLINK("https://klasma.github.io/Logging_2260/klagomålsmail/A 49871-2024 FSC-klagomål mail.docx", "A 49871-2024")</f>
        <v/>
      </c>
      <c r="AC196">
        <f>HYPERLINK("https://klasma.github.io/Logging_2260/tillsyn/A 49871-2024 tillsynsbegäran.docx", "A 49871-2024")</f>
        <v/>
      </c>
      <c r="AD196">
        <f>HYPERLINK("https://klasma.github.io/Logging_2260/tillsynsmail/A 49871-2024 tillsynsbegäran mail.docx", "A 49871-2024")</f>
        <v/>
      </c>
    </row>
    <row r="197" ht="15" customHeight="1">
      <c r="A197" t="inlineStr">
        <is>
          <t>A 64510-2023</t>
        </is>
      </c>
      <c r="B197" t="inlineStr">
        <is>
          <t>avverkningsanmälan</t>
        </is>
      </c>
      <c r="C197" t="inlineStr">
        <is>
          <t>Föryngringsavverkning</t>
        </is>
      </c>
      <c r="D197" s="1" t="n">
        <v>45281</v>
      </c>
      <c r="E197" s="1" t="n">
        <v>46228</v>
      </c>
      <c r="F197" t="inlineStr">
        <is>
          <t>VÄSTERNORRLANDS LÄN</t>
        </is>
      </c>
      <c r="G197" t="inlineStr">
        <is>
          <t>ÅNGE</t>
        </is>
      </c>
      <c r="I197" t="n">
        <v>3.7</v>
      </c>
      <c r="J197" t="n">
        <v>0</v>
      </c>
      <c r="K197" t="n">
        <v>0</v>
      </c>
      <c r="L197" t="n">
        <v>2</v>
      </c>
      <c r="M197" t="n">
        <v>0</v>
      </c>
      <c r="N197" t="n">
        <v>0</v>
      </c>
      <c r="O197" t="n">
        <v>0</v>
      </c>
      <c r="P197" t="n">
        <v>0</v>
      </c>
      <c r="Q197" t="n">
        <v>2</v>
      </c>
      <c r="R197" t="n">
        <v>0</v>
      </c>
      <c r="S197" t="n">
        <v>2</v>
      </c>
      <c r="T197" t="n">
        <v>2</v>
      </c>
      <c r="U197" t="n">
        <v>2</v>
      </c>
      <c r="V197" s="2" t="inlineStr">
        <is>
          <t>Dropptaggsvamp
Mörk kolflarnlav</t>
        </is>
      </c>
      <c r="W197">
        <f>HYPERLINK("https://klasma.github.io/Logging_2260/artfynd/A 64510-2023 artfynd.xlsx", "A 64510-2023")</f>
        <v/>
      </c>
      <c r="X197">
        <f>HYPERLINK("https://klasma.github.io/Logging_2260/kartor/A 64510-2023 karta.png", "A 64510-2023")</f>
        <v/>
      </c>
      <c r="Y197">
        <f>HYPERLINK("https://klasma.github.io/Logging_2260/kartor_geotiff/A 64510-2023 georefererad karta.tif", "A 64510-2023")</f>
        <v/>
      </c>
      <c r="AA197">
        <f>HYPERLINK("https://klasma.github.io/Logging_2260/klagomål/A 64510-2023 FSC-klagomål.docx", "A 64510-2023")</f>
        <v/>
      </c>
      <c r="AB197">
        <f>HYPERLINK("https://klasma.github.io/Logging_2260/klagomålsmail/A 64510-2023 FSC-klagomål mail.docx", "A 64510-2023")</f>
        <v/>
      </c>
      <c r="AC197">
        <f>HYPERLINK("https://klasma.github.io/Logging_2260/tillsyn/A 64510-2023 tillsynsbegäran.docx", "A 64510-2023")</f>
        <v/>
      </c>
      <c r="AD197">
        <f>HYPERLINK("https://klasma.github.io/Logging_2260/tillsynsmail/A 64510-2023 tillsynsbegäran mail.docx", "A 64510-2023")</f>
        <v/>
      </c>
    </row>
    <row r="198" ht="15" customHeight="1">
      <c r="A198" t="inlineStr">
        <is>
          <t>A 37184-2025</t>
        </is>
      </c>
      <c r="B198" t="inlineStr">
        <is>
          <t>avverkningsanmälan</t>
        </is>
      </c>
      <c r="C198" t="inlineStr">
        <is>
          <t>Föryngringsavverkning</t>
        </is>
      </c>
      <c r="D198" s="1" t="n">
        <v>45875</v>
      </c>
      <c r="E198" s="1" t="n">
        <v>46228</v>
      </c>
      <c r="F198" t="inlineStr">
        <is>
          <t>VÄSTERNORRLANDS LÄN</t>
        </is>
      </c>
      <c r="G198" t="inlineStr">
        <is>
          <t>ÅNGE</t>
        </is>
      </c>
      <c r="H198" t="inlineStr">
        <is>
          <t>SCA</t>
        </is>
      </c>
      <c r="I198" t="n">
        <v>2.5</v>
      </c>
      <c r="J198" t="n">
        <v>0</v>
      </c>
      <c r="K198" t="n">
        <v>0</v>
      </c>
      <c r="L198" t="n">
        <v>2</v>
      </c>
      <c r="M198" t="n">
        <v>0</v>
      </c>
      <c r="N198" t="n">
        <v>0</v>
      </c>
      <c r="O198" t="n">
        <v>0</v>
      </c>
      <c r="P198" t="n">
        <v>0</v>
      </c>
      <c r="Q198" t="n">
        <v>2</v>
      </c>
      <c r="R198" t="n">
        <v>0</v>
      </c>
      <c r="S198" t="n">
        <v>2</v>
      </c>
      <c r="T198" t="n">
        <v>2</v>
      </c>
      <c r="U198" t="n">
        <v>2</v>
      </c>
      <c r="V198" s="2" t="inlineStr">
        <is>
          <t>Lunglav
Rosenticka</t>
        </is>
      </c>
      <c r="W198">
        <f>HYPERLINK("https://klasma.github.io/Logging_2260/artfynd/A 37184-2025 artfynd.xlsx", "A 37184-2025")</f>
        <v/>
      </c>
      <c r="X198">
        <f>HYPERLINK("https://klasma.github.io/Logging_2260/kartor/A 37184-2025 karta.png", "A 37184-2025")</f>
        <v/>
      </c>
      <c r="Y198">
        <f>HYPERLINK("https://klasma.github.io/Logging_2260/kartor_geotiff/A 37184-2025 georefererad karta.tif", "A 37184-2025")</f>
        <v/>
      </c>
      <c r="AA198">
        <f>HYPERLINK("https://klasma.github.io/Logging_2260/klagomål/A 37184-2025 FSC-klagomål.docx", "A 37184-2025")</f>
        <v/>
      </c>
      <c r="AB198">
        <f>HYPERLINK("https://klasma.github.io/Logging_2260/klagomålsmail/A 37184-2025 FSC-klagomål mail.docx", "A 37184-2025")</f>
        <v/>
      </c>
      <c r="AC198">
        <f>HYPERLINK("https://klasma.github.io/Logging_2260/tillsyn/A 37184-2025 tillsynsbegäran.docx", "A 37184-2025")</f>
        <v/>
      </c>
      <c r="AD198">
        <f>HYPERLINK("https://klasma.github.io/Logging_2260/tillsynsmail/A 37184-2025 tillsynsbegäran mail.docx", "A 37184-2025")</f>
        <v/>
      </c>
    </row>
    <row r="199" ht="15" customHeight="1">
      <c r="A199" t="inlineStr">
        <is>
          <t>A 24797-2024</t>
        </is>
      </c>
      <c r="B199" t="inlineStr">
        <is>
          <t>avverkningsanmälan</t>
        </is>
      </c>
      <c r="C199" t="inlineStr">
        <is>
          <t>Avverkning för att bevara och utveckla /försöksver</t>
        </is>
      </c>
      <c r="D199" s="1" t="n">
        <v>45460</v>
      </c>
      <c r="E199" s="1" t="n">
        <v>46228</v>
      </c>
      <c r="F199" t="inlineStr">
        <is>
          <t>VÄSTERNORRLANDS LÄN</t>
        </is>
      </c>
      <c r="G199" t="inlineStr">
        <is>
          <t>ÅNGE</t>
        </is>
      </c>
      <c r="H199" t="inlineStr">
        <is>
          <t>SCA</t>
        </is>
      </c>
      <c r="I199" t="n">
        <v>2.3</v>
      </c>
      <c r="J199" t="n">
        <v>1</v>
      </c>
      <c r="K199" t="n">
        <v>2</v>
      </c>
      <c r="L199" t="n">
        <v>0</v>
      </c>
      <c r="M199" t="n">
        <v>0</v>
      </c>
      <c r="N199" t="n">
        <v>0</v>
      </c>
      <c r="O199" t="n">
        <v>0</v>
      </c>
      <c r="P199" t="n">
        <v>0</v>
      </c>
      <c r="Q199" t="n">
        <v>0</v>
      </c>
      <c r="R199" t="n">
        <v>0</v>
      </c>
      <c r="S199" t="n">
        <v>2</v>
      </c>
      <c r="T199" t="n">
        <v>2</v>
      </c>
      <c r="U199" t="n">
        <v>1</v>
      </c>
      <c r="V199" s="2" t="inlineStr">
        <is>
          <t>Plattlummer
Skinnlav</t>
        </is>
      </c>
      <c r="W199">
        <f>HYPERLINK("https://klasma.github.io/Logging_2260/artfynd/A 24797-2024 artfynd.xlsx", "A 24797-2024")</f>
        <v/>
      </c>
      <c r="X199">
        <f>HYPERLINK("https://klasma.github.io/Logging_2260/kartor/A 24797-2024 karta.png", "A 24797-2024")</f>
        <v/>
      </c>
      <c r="Y199">
        <f>HYPERLINK("https://klasma.github.io/Logging_2260/kartor_geotiff/A 24797-2024 georefererad karta.tif", "A 24797-2024")</f>
        <v/>
      </c>
      <c r="AA199">
        <f>HYPERLINK("https://klasma.github.io/Logging_2260/klagomål/A 24797-2024 FSC-klagomål.docx", "A 24797-2024")</f>
        <v/>
      </c>
      <c r="AB199">
        <f>HYPERLINK("https://klasma.github.io/Logging_2260/klagomålsmail/A 24797-2024 FSC-klagomål mail.docx", "A 24797-2024")</f>
        <v/>
      </c>
      <c r="AC199">
        <f>HYPERLINK("https://klasma.github.io/Logging_2260/tillsyn/A 24797-2024 tillsynsbegäran.docx", "A 24797-2024")</f>
        <v/>
      </c>
      <c r="AD199">
        <f>HYPERLINK("https://klasma.github.io/Logging_2260/tillsynsmail/A 24797-2024 tillsynsbegäran mail.docx", "A 24797-2024")</f>
        <v/>
      </c>
    </row>
    <row r="200" ht="15" customHeight="1">
      <c r="A200" t="inlineStr">
        <is>
          <t>A 24798-2024</t>
        </is>
      </c>
      <c r="B200" t="inlineStr">
        <is>
          <t>avverkningsanmälan</t>
        </is>
      </c>
      <c r="C200" t="inlineStr">
        <is>
          <t>Avverkning för att bevara och utveckla /försöksver</t>
        </is>
      </c>
      <c r="D200" s="1" t="n">
        <v>45460</v>
      </c>
      <c r="E200" s="1" t="n">
        <v>46228</v>
      </c>
      <c r="F200" t="inlineStr">
        <is>
          <t>VÄSTERNORRLANDS LÄN</t>
        </is>
      </c>
      <c r="G200" t="inlineStr">
        <is>
          <t>ÅNGE</t>
        </is>
      </c>
      <c r="H200" t="inlineStr">
        <is>
          <t>SCA</t>
        </is>
      </c>
      <c r="I200" t="n">
        <v>1.3</v>
      </c>
      <c r="J200" t="n">
        <v>1</v>
      </c>
      <c r="K200" t="n">
        <v>0</v>
      </c>
      <c r="L200" t="n">
        <v>1</v>
      </c>
      <c r="M200" t="n">
        <v>0</v>
      </c>
      <c r="N200" t="n">
        <v>0</v>
      </c>
      <c r="O200" t="n">
        <v>0</v>
      </c>
      <c r="P200" t="n">
        <v>0</v>
      </c>
      <c r="Q200" t="n">
        <v>1</v>
      </c>
      <c r="R200" t="n">
        <v>0</v>
      </c>
      <c r="S200" t="n">
        <v>2</v>
      </c>
      <c r="T200" t="n">
        <v>2</v>
      </c>
      <c r="U200" t="n">
        <v>2</v>
      </c>
      <c r="V200" s="2" t="inlineStr">
        <is>
          <t>Lunglav
Tjäder</t>
        </is>
      </c>
      <c r="W200">
        <f>HYPERLINK("https://klasma.github.io/Logging_2260/artfynd/A 24798-2024 artfynd.xlsx", "A 24798-2024")</f>
        <v/>
      </c>
      <c r="X200">
        <f>HYPERLINK("https://klasma.github.io/Logging_2260/kartor/A 24798-2024 karta.png", "A 24798-2024")</f>
        <v/>
      </c>
      <c r="Y200">
        <f>HYPERLINK("https://klasma.github.io/Logging_2260/kartor_geotiff/A 24798-2024 georefererad karta.tif", "A 24798-2024")</f>
        <v/>
      </c>
      <c r="AA200">
        <f>HYPERLINK("https://klasma.github.io/Logging_2260/klagomål/A 24798-2024 FSC-klagomål.docx", "A 24798-2024")</f>
        <v/>
      </c>
      <c r="AB200">
        <f>HYPERLINK("https://klasma.github.io/Logging_2260/klagomålsmail/A 24798-2024 FSC-klagomål mail.docx", "A 24798-2024")</f>
        <v/>
      </c>
      <c r="AC200">
        <f>HYPERLINK("https://klasma.github.io/Logging_2260/tillsyn/A 24798-2024 tillsynsbegäran.docx", "A 24798-2024")</f>
        <v/>
      </c>
      <c r="AD200">
        <f>HYPERLINK("https://klasma.github.io/Logging_2260/tillsynsmail/A 24798-2024 tillsynsbegäran mail.docx", "A 24798-2024")</f>
        <v/>
      </c>
      <c r="AE200">
        <f>HYPERLINK("https://klasma.github.io/Logging_2260/fåglar/A 24798-2024 prioriterade fågelarter.docx", "A 24798-2024")</f>
        <v/>
      </c>
    </row>
    <row r="201" ht="15" customHeight="1">
      <c r="A201" t="inlineStr">
        <is>
          <t>A 38298-2025</t>
        </is>
      </c>
      <c r="B201" t="inlineStr">
        <is>
          <t>avverkningsanmälan</t>
        </is>
      </c>
      <c r="C201" t="inlineStr">
        <is>
          <t>Föryngringsavverkning</t>
        </is>
      </c>
      <c r="D201" s="1" t="n">
        <v>45883</v>
      </c>
      <c r="E201" s="1" t="n">
        <v>46228</v>
      </c>
      <c r="F201" t="inlineStr">
        <is>
          <t>VÄSTERNORRLANDS LÄN</t>
        </is>
      </c>
      <c r="G201" t="inlineStr">
        <is>
          <t>ÅNGE</t>
        </is>
      </c>
      <c r="I201" t="n">
        <v>4.5</v>
      </c>
      <c r="J201" t="n">
        <v>0</v>
      </c>
      <c r="K201" t="n">
        <v>0</v>
      </c>
      <c r="L201" t="n">
        <v>2</v>
      </c>
      <c r="M201" t="n">
        <v>0</v>
      </c>
      <c r="N201" t="n">
        <v>0</v>
      </c>
      <c r="O201" t="n">
        <v>0</v>
      </c>
      <c r="P201" t="n">
        <v>0</v>
      </c>
      <c r="Q201" t="n">
        <v>2</v>
      </c>
      <c r="R201" t="n">
        <v>0</v>
      </c>
      <c r="S201" t="n">
        <v>2</v>
      </c>
      <c r="T201" t="n">
        <v>3</v>
      </c>
      <c r="U201" t="n">
        <v>0</v>
      </c>
      <c r="V201" s="2" t="inlineStr">
        <is>
          <t>Kolflarnlav
Lunglav</t>
        </is>
      </c>
      <c r="W201">
        <f>HYPERLINK("https://klasma.github.io/Logging_2260/artfynd/A 38298-2025 artfynd.xlsx", "A 38298-2025")</f>
        <v/>
      </c>
      <c r="X201">
        <f>HYPERLINK("https://klasma.github.io/Logging_2260/kartor/A 38298-2025 karta.png", "A 38298-2025")</f>
        <v/>
      </c>
      <c r="Y201">
        <f>HYPERLINK("https://klasma.github.io/Logging_2260/kartor_geotiff/A 38298-2025 georefererad karta.tif", "A 38298-2025")</f>
        <v/>
      </c>
      <c r="AA201">
        <f>HYPERLINK("https://klasma.github.io/Logging_2260/klagomål/A 38298-2025 FSC-klagomål.docx", "A 38298-2025")</f>
        <v/>
      </c>
      <c r="AB201">
        <f>HYPERLINK("https://klasma.github.io/Logging_2260/klagomålsmail/A 38298-2025 FSC-klagomål mail.docx", "A 38298-2025")</f>
        <v/>
      </c>
      <c r="AC201">
        <f>HYPERLINK("https://klasma.github.io/Logging_2260/tillsyn/A 38298-2025 tillsynsbegäran.docx", "A 38298-2025")</f>
        <v/>
      </c>
      <c r="AD201">
        <f>HYPERLINK("https://klasma.github.io/Logging_2260/tillsynsmail/A 38298-2025 tillsynsbegäran mail.docx", "A 38298-2025")</f>
        <v/>
      </c>
    </row>
    <row r="202" ht="15" customHeight="1">
      <c r="A202" t="inlineStr">
        <is>
          <t>A 1116-2023</t>
        </is>
      </c>
      <c r="B202" t="inlineStr">
        <is>
          <t>avverkningsanmälan</t>
        </is>
      </c>
      <c r="C202" t="inlineStr">
        <is>
          <t>Föryngringsavverkning</t>
        </is>
      </c>
      <c r="D202" s="1" t="n">
        <v>44929</v>
      </c>
      <c r="E202" s="1" t="n">
        <v>46228</v>
      </c>
      <c r="F202" t="inlineStr">
        <is>
          <t>VÄSTERNORRLANDS LÄN</t>
        </is>
      </c>
      <c r="G202" t="inlineStr">
        <is>
          <t>ÅNGE</t>
        </is>
      </c>
      <c r="I202" t="n">
        <v>17.2</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HYPERLINK("https://klasma.github.io/Logging_2260/artfynd/A 1116-2023 artfynd.xlsx", "A 1116-2023")</f>
        <v/>
      </c>
      <c r="X202">
        <f>HYPERLINK("https://klasma.github.io/Logging_2260/kartor/A 1116-2023 karta.png", "A 1116-2023")</f>
        <v/>
      </c>
      <c r="Y202">
        <f>HYPERLINK("https://klasma.github.io/Logging_2260/kartor_geotiff/A 1116-2023 georefererad karta.tif", "A 1116-2023")</f>
        <v/>
      </c>
      <c r="AA202">
        <f>HYPERLINK("https://klasma.github.io/Logging_2260/klagomål/A 1116-2023 FSC-klagomål.docx", "A 1116-2023")</f>
        <v/>
      </c>
      <c r="AB202">
        <f>HYPERLINK("https://klasma.github.io/Logging_2260/klagomålsmail/A 1116-2023 FSC-klagomål mail.docx", "A 1116-2023")</f>
        <v/>
      </c>
      <c r="AC202">
        <f>HYPERLINK("https://klasma.github.io/Logging_2260/tillsyn/A 1116-2023 tillsynsbegäran.docx", "A 1116-2023")</f>
        <v/>
      </c>
      <c r="AD202">
        <f>HYPERLINK("https://klasma.github.io/Logging_2260/tillsynsmail/A 1116-2023 tillsynsbegäran mail.docx", "A 1116-2023")</f>
        <v/>
      </c>
    </row>
    <row r="203" ht="15" customHeight="1">
      <c r="A203" t="inlineStr">
        <is>
          <t>A 42864-2025</t>
        </is>
      </c>
      <c r="B203" t="inlineStr">
        <is>
          <t>avverkningsanmälan</t>
        </is>
      </c>
      <c r="C203" t="inlineStr">
        <is>
          <t>Föryngringsavverkning</t>
        </is>
      </c>
      <c r="D203" s="1" t="n">
        <v>45908</v>
      </c>
      <c r="E203" s="1" t="n">
        <v>46228</v>
      </c>
      <c r="F203" t="inlineStr">
        <is>
          <t>VÄSTERNORRLANDS LÄN</t>
        </is>
      </c>
      <c r="G203" t="inlineStr">
        <is>
          <t>ÅNGE</t>
        </is>
      </c>
      <c r="I203" t="n">
        <v>2.9</v>
      </c>
      <c r="J203" t="n">
        <v>0</v>
      </c>
      <c r="K203" t="n">
        <v>0</v>
      </c>
      <c r="L203" t="n">
        <v>2</v>
      </c>
      <c r="M203" t="n">
        <v>0</v>
      </c>
      <c r="N203" t="n">
        <v>0</v>
      </c>
      <c r="O203" t="n">
        <v>0</v>
      </c>
      <c r="P203" t="n">
        <v>0</v>
      </c>
      <c r="Q203" t="n">
        <v>2</v>
      </c>
      <c r="R203" t="n">
        <v>0</v>
      </c>
      <c r="S203" t="n">
        <v>2</v>
      </c>
      <c r="T203" t="n">
        <v>2</v>
      </c>
      <c r="U203" t="n">
        <v>0</v>
      </c>
      <c r="V203" s="2" t="inlineStr">
        <is>
          <t>Mörk kolflarnlav
Vedflamlav</t>
        </is>
      </c>
      <c r="W203">
        <f>HYPERLINK("https://klasma.github.io/Logging_2260/artfynd/A 42864-2025 artfynd.xlsx", "A 42864-2025")</f>
        <v/>
      </c>
      <c r="X203">
        <f>HYPERLINK("https://klasma.github.io/Logging_2260/kartor/A 42864-2025 karta.png", "A 42864-2025")</f>
        <v/>
      </c>
      <c r="Y203">
        <f>HYPERLINK("https://klasma.github.io/Logging_2260/kartor_geotiff/A 42864-2025 georefererad karta.tif", "A 42864-2025")</f>
        <v/>
      </c>
      <c r="AA203">
        <f>HYPERLINK("https://klasma.github.io/Logging_2260/klagomål/A 42864-2025 FSC-klagomål.docx", "A 42864-2025")</f>
        <v/>
      </c>
      <c r="AB203">
        <f>HYPERLINK("https://klasma.github.io/Logging_2260/klagomålsmail/A 42864-2025 FSC-klagomål mail.docx", "A 42864-2025")</f>
        <v/>
      </c>
      <c r="AC203">
        <f>HYPERLINK("https://klasma.github.io/Logging_2260/tillsyn/A 42864-2025 tillsynsbegäran.docx", "A 42864-2025")</f>
        <v/>
      </c>
      <c r="AD203">
        <f>HYPERLINK("https://klasma.github.io/Logging_2260/tillsynsmail/A 42864-2025 tillsynsbegäran mail.docx", "A 42864-2025")</f>
        <v/>
      </c>
    </row>
    <row r="204" ht="15" customHeight="1">
      <c r="A204" t="inlineStr">
        <is>
          <t>A 43707-2025</t>
        </is>
      </c>
      <c r="B204" t="inlineStr">
        <is>
          <t>avverkningsanmälan</t>
        </is>
      </c>
      <c r="C204" t="inlineStr">
        <is>
          <t>Föryngringsavverkning</t>
        </is>
      </c>
      <c r="D204" s="1" t="n">
        <v>45912</v>
      </c>
      <c r="E204" s="1" t="n">
        <v>46228</v>
      </c>
      <c r="F204" t="inlineStr">
        <is>
          <t>VÄSTERNORRLANDS LÄN</t>
        </is>
      </c>
      <c r="G204" t="inlineStr">
        <is>
          <t>ÅNGE</t>
        </is>
      </c>
      <c r="H204" t="inlineStr">
        <is>
          <t>SCA</t>
        </is>
      </c>
      <c r="I204" t="n">
        <v>12.5</v>
      </c>
      <c r="J204" t="n">
        <v>1</v>
      </c>
      <c r="K204" t="n">
        <v>0</v>
      </c>
      <c r="L204" t="n">
        <v>1</v>
      </c>
      <c r="M204" t="n">
        <v>1</v>
      </c>
      <c r="N204" t="n">
        <v>0</v>
      </c>
      <c r="O204" t="n">
        <v>0</v>
      </c>
      <c r="P204" t="n">
        <v>0</v>
      </c>
      <c r="Q204" t="n">
        <v>2</v>
      </c>
      <c r="R204" t="n">
        <v>1</v>
      </c>
      <c r="S204" t="n">
        <v>2</v>
      </c>
      <c r="T204" t="n">
        <v>6</v>
      </c>
      <c r="U204" t="n">
        <v>0</v>
      </c>
      <c r="V204" s="2" t="inlineStr">
        <is>
          <t>Knärot
Lunglav</t>
        </is>
      </c>
      <c r="W204">
        <f>HYPERLINK("https://klasma.github.io/Logging_2260/artfynd/A 43707-2025 artfynd.xlsx", "A 43707-2025")</f>
        <v/>
      </c>
      <c r="X204">
        <f>HYPERLINK("https://klasma.github.io/Logging_2260/kartor/A 43707-2025 karta.png", "A 43707-2025")</f>
        <v/>
      </c>
      <c r="Y204">
        <f>HYPERLINK("https://klasma.github.io/Logging_2260/kartor_geotiff/A 43707-2025 georefererad karta.tif", "A 43707-2025")</f>
        <v/>
      </c>
      <c r="Z204">
        <f>HYPERLINK("https://klasma.github.io/Logging_2260/knärot/A 43707-2025 karta knärot.png", "A 43707-2025")</f>
        <v/>
      </c>
      <c r="AA204">
        <f>HYPERLINK("https://klasma.github.io/Logging_2260/klagomål/A 43707-2025 FSC-klagomål.docx", "A 43707-2025")</f>
        <v/>
      </c>
      <c r="AB204">
        <f>HYPERLINK("https://klasma.github.io/Logging_2260/klagomålsmail/A 43707-2025 FSC-klagomål mail.docx", "A 43707-2025")</f>
        <v/>
      </c>
      <c r="AC204">
        <f>HYPERLINK("https://klasma.github.io/Logging_2260/tillsyn/A 43707-2025 tillsynsbegäran.docx", "A 43707-2025")</f>
        <v/>
      </c>
      <c r="AD204">
        <f>HYPERLINK("https://klasma.github.io/Logging_2260/tillsynsmail/A 43707-2025 tillsynsbegäran mail.docx", "A 43707-2025")</f>
        <v/>
      </c>
    </row>
    <row r="205" ht="15" customHeight="1">
      <c r="A205" t="inlineStr">
        <is>
          <t>A 43880-2025</t>
        </is>
      </c>
      <c r="B205" t="inlineStr">
        <is>
          <t>avverkningsanmälan</t>
        </is>
      </c>
      <c r="C205" t="inlineStr">
        <is>
          <t>Föryngringsavverkning</t>
        </is>
      </c>
      <c r="D205" s="1" t="n">
        <v>45912</v>
      </c>
      <c r="E205" s="1" t="n">
        <v>46228</v>
      </c>
      <c r="F205" t="inlineStr">
        <is>
          <t>VÄSTERNORRLANDS LÄN</t>
        </is>
      </c>
      <c r="G205" t="inlineStr">
        <is>
          <t>ÅNGE</t>
        </is>
      </c>
      <c r="H205" t="inlineStr">
        <is>
          <t>SCA</t>
        </is>
      </c>
      <c r="I205" t="n">
        <v>3.5</v>
      </c>
      <c r="J205" t="n">
        <v>1</v>
      </c>
      <c r="K205" t="n">
        <v>0</v>
      </c>
      <c r="L205" t="n">
        <v>2</v>
      </c>
      <c r="M205" t="n">
        <v>0</v>
      </c>
      <c r="N205" t="n">
        <v>0</v>
      </c>
      <c r="O205" t="n">
        <v>0</v>
      </c>
      <c r="P205" t="n">
        <v>0</v>
      </c>
      <c r="Q205" t="n">
        <v>2</v>
      </c>
      <c r="R205" t="n">
        <v>0</v>
      </c>
      <c r="S205" t="n">
        <v>2</v>
      </c>
      <c r="T205" t="n">
        <v>2</v>
      </c>
      <c r="U205" t="n">
        <v>0</v>
      </c>
      <c r="V205" s="2" t="inlineStr">
        <is>
          <t>Tretåig hackspett
Vitgrynig nållav</t>
        </is>
      </c>
      <c r="W205">
        <f>HYPERLINK("https://klasma.github.io/Logging_2260/artfynd/A 43880-2025 artfynd.xlsx", "A 43880-2025")</f>
        <v/>
      </c>
      <c r="X205">
        <f>HYPERLINK("https://klasma.github.io/Logging_2260/kartor/A 43880-2025 karta.png", "A 43880-2025")</f>
        <v/>
      </c>
      <c r="Y205">
        <f>HYPERLINK("https://klasma.github.io/Logging_2260/kartor_geotiff/A 43880-2025 georefererad karta.tif", "A 43880-2025")</f>
        <v/>
      </c>
      <c r="AA205">
        <f>HYPERLINK("https://klasma.github.io/Logging_2260/klagomål/A 43880-2025 FSC-klagomål.docx", "A 43880-2025")</f>
        <v/>
      </c>
      <c r="AB205">
        <f>HYPERLINK("https://klasma.github.io/Logging_2260/klagomålsmail/A 43880-2025 FSC-klagomål mail.docx", "A 43880-2025")</f>
        <v/>
      </c>
      <c r="AC205">
        <f>HYPERLINK("https://klasma.github.io/Logging_2260/tillsyn/A 43880-2025 tillsynsbegäran.docx", "A 43880-2025")</f>
        <v/>
      </c>
      <c r="AD205">
        <f>HYPERLINK("https://klasma.github.io/Logging_2260/tillsynsmail/A 43880-2025 tillsynsbegäran mail.docx", "A 43880-2025")</f>
        <v/>
      </c>
      <c r="AE205">
        <f>HYPERLINK("https://klasma.github.io/Logging_2260/fåglar/A 43880-2025 prioriterade fågelarter.docx", "A 43880-2025")</f>
        <v/>
      </c>
    </row>
    <row r="206" ht="15" customHeight="1">
      <c r="A206" t="inlineStr">
        <is>
          <t>A 57272-2024</t>
        </is>
      </c>
      <c r="B206" t="inlineStr">
        <is>
          <t>avverkningsanmälan</t>
        </is>
      </c>
      <c r="C206" t="inlineStr">
        <is>
          <t>Föryngringsavverkning</t>
        </is>
      </c>
      <c r="D206" s="1" t="n">
        <v>45629</v>
      </c>
      <c r="E206" s="1" t="n">
        <v>46228</v>
      </c>
      <c r="F206" t="inlineStr">
        <is>
          <t>VÄSTERNORRLANDS LÄN</t>
        </is>
      </c>
      <c r="G206" t="inlineStr">
        <is>
          <t>ÅNGE</t>
        </is>
      </c>
      <c r="H206" t="inlineStr">
        <is>
          <t>SCA</t>
        </is>
      </c>
      <c r="I206" t="n">
        <v>5.4</v>
      </c>
      <c r="J206" t="n">
        <v>0</v>
      </c>
      <c r="K206" t="n">
        <v>0</v>
      </c>
      <c r="L206" t="n">
        <v>2</v>
      </c>
      <c r="M206" t="n">
        <v>0</v>
      </c>
      <c r="N206" t="n">
        <v>0</v>
      </c>
      <c r="O206" t="n">
        <v>0</v>
      </c>
      <c r="P206" t="n">
        <v>0</v>
      </c>
      <c r="Q206" t="n">
        <v>2</v>
      </c>
      <c r="R206" t="n">
        <v>0</v>
      </c>
      <c r="S206" t="n">
        <v>2</v>
      </c>
      <c r="T206" t="n">
        <v>2</v>
      </c>
      <c r="U206" t="n">
        <v>0</v>
      </c>
      <c r="V206" s="2" t="inlineStr">
        <is>
          <t>Orange taggsvamp
Vedflamlav</t>
        </is>
      </c>
      <c r="W206">
        <f>HYPERLINK("https://klasma.github.io/Logging_2260/artfynd/A 57272-2024 artfynd.xlsx", "A 57272-2024")</f>
        <v/>
      </c>
      <c r="X206">
        <f>HYPERLINK("https://klasma.github.io/Logging_2260/kartor/A 57272-2024 karta.png", "A 57272-2024")</f>
        <v/>
      </c>
      <c r="Y206">
        <f>HYPERLINK("https://klasma.github.io/Logging_2260/kartor_geotiff/A 57272-2024 georefererad karta.tif", "A 57272-2024")</f>
        <v/>
      </c>
      <c r="AA206">
        <f>HYPERLINK("https://klasma.github.io/Logging_2260/klagomål/A 57272-2024 FSC-klagomål.docx", "A 57272-2024")</f>
        <v/>
      </c>
      <c r="AB206">
        <f>HYPERLINK("https://klasma.github.io/Logging_2260/klagomålsmail/A 57272-2024 FSC-klagomål mail.docx", "A 57272-2024")</f>
        <v/>
      </c>
      <c r="AC206">
        <f>HYPERLINK("https://klasma.github.io/Logging_2260/tillsyn/A 57272-2024 tillsynsbegäran.docx", "A 57272-2024")</f>
        <v/>
      </c>
      <c r="AD206">
        <f>HYPERLINK("https://klasma.github.io/Logging_2260/tillsynsmail/A 57272-2024 tillsynsbegäran mail.docx", "A 57272-2024")</f>
        <v/>
      </c>
    </row>
    <row r="207" ht="15" customHeight="1">
      <c r="A207" t="inlineStr">
        <is>
          <t>A 4351-2024</t>
        </is>
      </c>
      <c r="B207" t="inlineStr">
        <is>
          <t>avverkningsanmälan</t>
        </is>
      </c>
      <c r="C207" t="inlineStr">
        <is>
          <t>Avverkning för annat ändamål</t>
        </is>
      </c>
      <c r="D207" s="1" t="n">
        <v>45324</v>
      </c>
      <c r="E207" s="1" t="n">
        <v>46228</v>
      </c>
      <c r="F207" t="inlineStr">
        <is>
          <t>VÄSTERNORRLANDS LÄN</t>
        </is>
      </c>
      <c r="G207" t="inlineStr">
        <is>
          <t>ÅNGE</t>
        </is>
      </c>
      <c r="H207" t="inlineStr">
        <is>
          <t>SCA</t>
        </is>
      </c>
      <c r="I207" t="n">
        <v>0.5</v>
      </c>
      <c r="J207" t="n">
        <v>0</v>
      </c>
      <c r="K207" t="n">
        <v>0</v>
      </c>
      <c r="L207" t="n">
        <v>1</v>
      </c>
      <c r="M207" t="n">
        <v>1</v>
      </c>
      <c r="N207" t="n">
        <v>0</v>
      </c>
      <c r="O207" t="n">
        <v>0</v>
      </c>
      <c r="P207" t="n">
        <v>0</v>
      </c>
      <c r="Q207" t="n">
        <v>2</v>
      </c>
      <c r="R207" t="n">
        <v>1</v>
      </c>
      <c r="S207" t="n">
        <v>2</v>
      </c>
      <c r="T207" t="n">
        <v>2</v>
      </c>
      <c r="U207" t="n">
        <v>2</v>
      </c>
      <c r="V207" s="2" t="inlineStr">
        <is>
          <t>Garnlav
Mörk kolflarnlav</t>
        </is>
      </c>
      <c r="W207">
        <f>HYPERLINK("https://klasma.github.io/Logging_2260/artfynd/A 4351-2024 artfynd.xlsx", "A 4351-2024")</f>
        <v/>
      </c>
      <c r="X207">
        <f>HYPERLINK("https://klasma.github.io/Logging_2260/kartor/A 4351-2024 karta.png", "A 4351-2024")</f>
        <v/>
      </c>
      <c r="Y207">
        <f>HYPERLINK("https://klasma.github.io/Logging_2260/kartor_geotiff/A 4351-2024 georefererad karta.tif", "A 4351-2024")</f>
        <v/>
      </c>
      <c r="AA207">
        <f>HYPERLINK("https://klasma.github.io/Logging_2260/klagomål/A 4351-2024 FSC-klagomål.docx", "A 4351-2024")</f>
        <v/>
      </c>
      <c r="AB207">
        <f>HYPERLINK("https://klasma.github.io/Logging_2260/klagomålsmail/A 4351-2024 FSC-klagomål mail.docx", "A 4351-2024")</f>
        <v/>
      </c>
      <c r="AC207">
        <f>HYPERLINK("https://klasma.github.io/Logging_2260/tillsyn/A 4351-2024 tillsynsbegäran.docx", "A 4351-2024")</f>
        <v/>
      </c>
      <c r="AD207">
        <f>HYPERLINK("https://klasma.github.io/Logging_2260/tillsynsmail/A 4351-2024 tillsynsbegäran mail.docx", "A 4351-2024")</f>
        <v/>
      </c>
    </row>
    <row r="208" ht="15" customHeight="1">
      <c r="A208" t="inlineStr">
        <is>
          <t>A 54625-2025</t>
        </is>
      </c>
      <c r="B208" t="inlineStr">
        <is>
          <t>avverkningsanmälan</t>
        </is>
      </c>
      <c r="C208" t="inlineStr">
        <is>
          <t>Föryngringsavverkning</t>
        </is>
      </c>
      <c r="D208" s="1" t="n">
        <v>45966</v>
      </c>
      <c r="E208" s="1" t="n">
        <v>46228</v>
      </c>
      <c r="F208" t="inlineStr">
        <is>
          <t>VÄSTERNORRLANDS LÄN</t>
        </is>
      </c>
      <c r="G208" t="inlineStr">
        <is>
          <t>ÅNGE</t>
        </is>
      </c>
      <c r="H208" t="inlineStr">
        <is>
          <t>SCA</t>
        </is>
      </c>
      <c r="I208" t="n">
        <v>2.5</v>
      </c>
      <c r="J208" t="n">
        <v>1</v>
      </c>
      <c r="K208" t="n">
        <v>0</v>
      </c>
      <c r="L208" t="n">
        <v>2</v>
      </c>
      <c r="M208" t="n">
        <v>0</v>
      </c>
      <c r="N208" t="n">
        <v>0</v>
      </c>
      <c r="O208" t="n">
        <v>0</v>
      </c>
      <c r="P208" t="n">
        <v>0</v>
      </c>
      <c r="Q208" t="n">
        <v>2</v>
      </c>
      <c r="R208" t="n">
        <v>0</v>
      </c>
      <c r="S208" t="n">
        <v>2</v>
      </c>
      <c r="T208" t="n">
        <v>3</v>
      </c>
      <c r="U208" t="n">
        <v>0</v>
      </c>
      <c r="V208" s="2" t="inlineStr">
        <is>
          <t>Dropptaggsvamp
Talltita</t>
        </is>
      </c>
      <c r="W208">
        <f>HYPERLINK("https://klasma.github.io/Logging_2260/artfynd/A 54625-2025 artfynd.xlsx", "A 54625-2025")</f>
        <v/>
      </c>
      <c r="X208">
        <f>HYPERLINK("https://klasma.github.io/Logging_2260/kartor/A 54625-2025 karta.png", "A 54625-2025")</f>
        <v/>
      </c>
      <c r="Y208">
        <f>HYPERLINK("https://klasma.github.io/Logging_2260/kartor_geotiff/A 54625-2025 georefererad karta.tif", "A 54625-2025")</f>
        <v/>
      </c>
      <c r="AA208">
        <f>HYPERLINK("https://klasma.github.io/Logging_2260/klagomål/A 54625-2025 FSC-klagomål.docx", "A 54625-2025")</f>
        <v/>
      </c>
      <c r="AB208">
        <f>HYPERLINK("https://klasma.github.io/Logging_2260/klagomålsmail/A 54625-2025 FSC-klagomål mail.docx", "A 54625-2025")</f>
        <v/>
      </c>
      <c r="AC208">
        <f>HYPERLINK("https://klasma.github.io/Logging_2260/tillsyn/A 54625-2025 tillsynsbegäran.docx", "A 54625-2025")</f>
        <v/>
      </c>
      <c r="AD208">
        <f>HYPERLINK("https://klasma.github.io/Logging_2260/tillsynsmail/A 54625-2025 tillsynsbegäran mail.docx", "A 54625-2025")</f>
        <v/>
      </c>
      <c r="AE208">
        <f>HYPERLINK("https://klasma.github.io/Logging_2260/fåglar/A 54625-2025 prioriterade fågelarter.docx", "A 54625-2025")</f>
        <v/>
      </c>
    </row>
    <row r="209" ht="15" customHeight="1">
      <c r="A209" t="inlineStr">
        <is>
          <t>A 48695-2024</t>
        </is>
      </c>
      <c r="B209" t="inlineStr">
        <is>
          <t>avverkningsanmälan</t>
        </is>
      </c>
      <c r="C209" t="inlineStr">
        <is>
          <t>Föryngringsavverkning</t>
        </is>
      </c>
      <c r="D209" s="1" t="n">
        <v>45593</v>
      </c>
      <c r="E209" s="1" t="n">
        <v>46228</v>
      </c>
      <c r="F209" t="inlineStr">
        <is>
          <t>VÄSTERNORRLANDS LÄN</t>
        </is>
      </c>
      <c r="G209" t="inlineStr">
        <is>
          <t>ÅNGE</t>
        </is>
      </c>
      <c r="H209" t="inlineStr">
        <is>
          <t>SCA</t>
        </is>
      </c>
      <c r="I209" t="n">
        <v>1.2</v>
      </c>
      <c r="J209" t="n">
        <v>0</v>
      </c>
      <c r="K209" t="n">
        <v>0</v>
      </c>
      <c r="L209" t="n">
        <v>2</v>
      </c>
      <c r="M209" t="n">
        <v>0</v>
      </c>
      <c r="N209" t="n">
        <v>0</v>
      </c>
      <c r="O209" t="n">
        <v>0</v>
      </c>
      <c r="P209" t="n">
        <v>0</v>
      </c>
      <c r="Q209" t="n">
        <v>2</v>
      </c>
      <c r="R209" t="n">
        <v>0</v>
      </c>
      <c r="S209" t="n">
        <v>2</v>
      </c>
      <c r="T209" t="n">
        <v>2</v>
      </c>
      <c r="U209" t="n">
        <v>0</v>
      </c>
      <c r="V209" s="2" t="inlineStr">
        <is>
          <t>Lunglav
Ullticka</t>
        </is>
      </c>
      <c r="W209">
        <f>HYPERLINK("https://klasma.github.io/Logging_2260/artfynd/A 48695-2024 artfynd.xlsx", "A 48695-2024")</f>
        <v/>
      </c>
      <c r="X209">
        <f>HYPERLINK("https://klasma.github.io/Logging_2260/kartor/A 48695-2024 karta.png", "A 48695-2024")</f>
        <v/>
      </c>
      <c r="Y209">
        <f>HYPERLINK("https://klasma.github.io/Logging_2260/kartor_geotiff/A 48695-2024 georefererad karta.tif", "A 48695-2024")</f>
        <v/>
      </c>
      <c r="AA209">
        <f>HYPERLINK("https://klasma.github.io/Logging_2260/klagomål/A 48695-2024 FSC-klagomål.docx", "A 48695-2024")</f>
        <v/>
      </c>
      <c r="AB209">
        <f>HYPERLINK("https://klasma.github.io/Logging_2260/klagomålsmail/A 48695-2024 FSC-klagomål mail.docx", "A 48695-2024")</f>
        <v/>
      </c>
      <c r="AC209">
        <f>HYPERLINK("https://klasma.github.io/Logging_2260/tillsyn/A 48695-2024 tillsynsbegäran.docx", "A 48695-2024")</f>
        <v/>
      </c>
      <c r="AD209">
        <f>HYPERLINK("https://klasma.github.io/Logging_2260/tillsynsmail/A 48695-2024 tillsynsbegäran mail.docx", "A 48695-2024")</f>
        <v/>
      </c>
    </row>
    <row r="210" ht="15" customHeight="1">
      <c r="A210" t="inlineStr">
        <is>
          <t>A 21592-2026</t>
        </is>
      </c>
      <c r="B210" t="inlineStr">
        <is>
          <t>avverkningsanmälan</t>
        </is>
      </c>
      <c r="C210" t="inlineStr">
        <is>
          <t>Föryngringsavverkning</t>
        </is>
      </c>
      <c r="D210" s="1" t="n">
        <v>46149</v>
      </c>
      <c r="E210" s="1" t="n">
        <v>46228</v>
      </c>
      <c r="F210" t="inlineStr">
        <is>
          <t>VÄSTERNORRLANDS LÄN</t>
        </is>
      </c>
      <c r="G210" t="inlineStr">
        <is>
          <t>ÅNGE</t>
        </is>
      </c>
      <c r="H210" t="inlineStr">
        <is>
          <t>SCA</t>
        </is>
      </c>
      <c r="I210" t="n">
        <v>19.7</v>
      </c>
      <c r="J210" t="n">
        <v>1</v>
      </c>
      <c r="K210" t="n">
        <v>0</v>
      </c>
      <c r="L210" t="n">
        <v>0</v>
      </c>
      <c r="M210" t="n">
        <v>1</v>
      </c>
      <c r="N210" t="n">
        <v>1</v>
      </c>
      <c r="O210" t="n">
        <v>0</v>
      </c>
      <c r="P210" t="n">
        <v>0</v>
      </c>
      <c r="Q210" t="n">
        <v>2</v>
      </c>
      <c r="R210" t="n">
        <v>2</v>
      </c>
      <c r="S210" t="n">
        <v>2</v>
      </c>
      <c r="T210" t="n">
        <v>2</v>
      </c>
      <c r="U210" t="n">
        <v>0</v>
      </c>
      <c r="V210" s="2" t="inlineStr">
        <is>
          <t>Långskägg
Garnlav</t>
        </is>
      </c>
      <c r="W210">
        <f>HYPERLINK("https://klasma.github.io/Logging_2260/artfynd/A 21592-2026 artfynd.xlsx", "A 21592-2026")</f>
        <v/>
      </c>
      <c r="X210">
        <f>HYPERLINK("https://klasma.github.io/Logging_2260/kartor/A 21592-2026 karta.png", "A 21592-2026")</f>
        <v/>
      </c>
      <c r="Y210">
        <f>HYPERLINK("https://klasma.github.io/Logging_2260/kartor_geotiff/A 21592-2026 georefererad karta.tif", "A 21592-2026")</f>
        <v/>
      </c>
      <c r="AA210">
        <f>HYPERLINK("https://klasma.github.io/Logging_2260/klagomål/A 21592-2026 FSC-klagomål.docx", "A 21592-2026")</f>
        <v/>
      </c>
      <c r="AB210">
        <f>HYPERLINK("https://klasma.github.io/Logging_2260/klagomålsmail/A 21592-2026 FSC-klagomål mail.docx", "A 21592-2026")</f>
        <v/>
      </c>
      <c r="AC210">
        <f>HYPERLINK("https://klasma.github.io/Logging_2260/tillsyn/A 21592-2026 tillsynsbegäran.docx", "A 21592-2026")</f>
        <v/>
      </c>
      <c r="AD210">
        <f>HYPERLINK("https://klasma.github.io/Logging_2260/tillsynsmail/A 21592-2026 tillsynsbegäran mail.docx", "A 21592-2026")</f>
        <v/>
      </c>
    </row>
    <row r="211" ht="15" customHeight="1">
      <c r="A211" t="inlineStr">
        <is>
          <t>A 4873-2025</t>
        </is>
      </c>
      <c r="B211" t="inlineStr">
        <is>
          <t>avverkningsanmälan</t>
        </is>
      </c>
      <c r="C211" t="inlineStr">
        <is>
          <t>Föryngringsavverkning</t>
        </is>
      </c>
      <c r="D211" s="1" t="n">
        <v>45688</v>
      </c>
      <c r="E211" s="1" t="n">
        <v>46228</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60134-2025</t>
        </is>
      </c>
      <c r="B212" t="inlineStr">
        <is>
          <t>avverkningsanmälan</t>
        </is>
      </c>
      <c r="C212" t="inlineStr">
        <is>
          <t>Föryngringsavverkning</t>
        </is>
      </c>
      <c r="D212" s="1" t="n">
        <v>45994</v>
      </c>
      <c r="E212" s="1" t="n">
        <v>46228</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t="n">
        <v>0</v>
      </c>
      <c r="V212" s="2" t="inlineStr">
        <is>
          <t>Lunglav
Skinnlav</t>
        </is>
      </c>
      <c r="W212">
        <f>HYPERLINK("https://klasma.github.io/Logging_2260/artfynd/A 60134-2025 artfynd.xlsx", "A 60134-2025")</f>
        <v/>
      </c>
      <c r="X212">
        <f>HYPERLINK("https://klasma.github.io/Logging_2260/kartor/A 60134-2025 karta.png", "A 60134-2025")</f>
        <v/>
      </c>
      <c r="Y212">
        <f>HYPERLINK("https://klasma.github.io/Logging_2260/kartor_geotiff/A 60134-2025 georefererad karta.tif", "A 60134-2025")</f>
        <v/>
      </c>
      <c r="AA212">
        <f>HYPERLINK("https://klasma.github.io/Logging_2260/klagomål/A 60134-2025 FSC-klagomål.docx", "A 60134-2025")</f>
        <v/>
      </c>
      <c r="AB212">
        <f>HYPERLINK("https://klasma.github.io/Logging_2260/klagomålsmail/A 60134-2025 FSC-klagomål mail.docx", "A 60134-2025")</f>
        <v/>
      </c>
      <c r="AC212">
        <f>HYPERLINK("https://klasma.github.io/Logging_2260/tillsyn/A 60134-2025 tillsynsbegäran.docx", "A 60134-2025")</f>
        <v/>
      </c>
      <c r="AD212">
        <f>HYPERLINK("https://klasma.github.io/Logging_2260/tillsynsmail/A 60134-2025 tillsynsbegäran mail.docx", "A 60134-2025")</f>
        <v/>
      </c>
    </row>
    <row r="213" ht="15" customHeight="1">
      <c r="A213" t="inlineStr">
        <is>
          <t>A 57089-2024</t>
        </is>
      </c>
      <c r="B213" t="inlineStr">
        <is>
          <t>avverkningsanmälan</t>
        </is>
      </c>
      <c r="C213" t="inlineStr">
        <is>
          <t>Avverkning för att bevara och utveckla /försöksver</t>
        </is>
      </c>
      <c r="D213" s="1" t="n">
        <v>45629</v>
      </c>
      <c r="E213" s="1" t="n">
        <v>46228</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53663-2022</t>
        </is>
      </c>
      <c r="B214" t="inlineStr">
        <is>
          <t>avverkningsanmälan</t>
        </is>
      </c>
      <c r="C214" t="inlineStr">
        <is>
          <t>Avverkning för att bevara och utveckla /försöksver</t>
        </is>
      </c>
      <c r="D214" s="1" t="n">
        <v>44879</v>
      </c>
      <c r="E214" s="1" t="n">
        <v>46228</v>
      </c>
      <c r="F214" t="inlineStr">
        <is>
          <t>VÄSTERNORRLANDS LÄN</t>
        </is>
      </c>
      <c r="G214" t="inlineStr">
        <is>
          <t>ÅNGE</t>
        </is>
      </c>
      <c r="H214" t="inlineStr">
        <is>
          <t>SCA</t>
        </is>
      </c>
      <c r="I214" t="n">
        <v>0.7</v>
      </c>
      <c r="J214" t="n">
        <v>0</v>
      </c>
      <c r="K214" t="n">
        <v>0</v>
      </c>
      <c r="L214" t="n">
        <v>1</v>
      </c>
      <c r="M214" t="n">
        <v>1</v>
      </c>
      <c r="N214" t="n">
        <v>0</v>
      </c>
      <c r="O214" t="n">
        <v>0</v>
      </c>
      <c r="P214" t="n">
        <v>0</v>
      </c>
      <c r="Q214" t="n">
        <v>2</v>
      </c>
      <c r="R214" t="n">
        <v>1</v>
      </c>
      <c r="S214" t="n">
        <v>2</v>
      </c>
      <c r="T214" t="n">
        <v>2</v>
      </c>
      <c r="U214" t="n">
        <v>0</v>
      </c>
      <c r="V214" s="2" t="inlineStr">
        <is>
          <t>Vitskaftad svartspik
Vitgrynig nållav</t>
        </is>
      </c>
      <c r="W214">
        <f>HYPERLINK("https://klasma.github.io/Logging_2260/artfynd/A 53663-2022 artfynd.xlsx", "A 53663-2022")</f>
        <v/>
      </c>
      <c r="X214">
        <f>HYPERLINK("https://klasma.github.io/Logging_2260/kartor/A 53663-2022 karta.png", "A 53663-2022")</f>
        <v/>
      </c>
      <c r="Y214">
        <f>HYPERLINK("https://klasma.github.io/Logging_2260/kartor_geotiff/A 53663-2022 georefererad karta.tif", "A 53663-2022")</f>
        <v/>
      </c>
      <c r="AA214">
        <f>HYPERLINK("https://klasma.github.io/Logging_2260/klagomål/A 53663-2022 FSC-klagomål.docx", "A 53663-2022")</f>
        <v/>
      </c>
      <c r="AB214">
        <f>HYPERLINK("https://klasma.github.io/Logging_2260/klagomålsmail/A 53663-2022 FSC-klagomål mail.docx", "A 53663-2022")</f>
        <v/>
      </c>
      <c r="AC214">
        <f>HYPERLINK("https://klasma.github.io/Logging_2260/tillsyn/A 53663-2022 tillsynsbegäran.docx", "A 53663-2022")</f>
        <v/>
      </c>
      <c r="AD214">
        <f>HYPERLINK("https://klasma.github.io/Logging_2260/tillsynsmail/A 53663-2022 tillsynsbegäran mail.docx", "A 53663-2022")</f>
        <v/>
      </c>
    </row>
    <row r="215" ht="15" customHeight="1">
      <c r="A215" t="inlineStr">
        <is>
          <t>A 47719-2024</t>
        </is>
      </c>
      <c r="B215" t="inlineStr">
        <is>
          <t>avverkningsanmälan</t>
        </is>
      </c>
      <c r="C215" t="inlineStr">
        <is>
          <t>Föryngringsavverkning</t>
        </is>
      </c>
      <c r="D215" s="1" t="n">
        <v>45588</v>
      </c>
      <c r="E215" s="1" t="n">
        <v>46228</v>
      </c>
      <c r="F215" t="inlineStr">
        <is>
          <t>VÄSTERNORRLANDS LÄN</t>
        </is>
      </c>
      <c r="G215" t="inlineStr">
        <is>
          <t>ÅNGE</t>
        </is>
      </c>
      <c r="H215" t="inlineStr">
        <is>
          <t>SCA</t>
        </is>
      </c>
      <c r="I215" t="n">
        <v>1.4</v>
      </c>
      <c r="J215" t="n">
        <v>0</v>
      </c>
      <c r="K215" t="n">
        <v>0</v>
      </c>
      <c r="L215" t="n">
        <v>2</v>
      </c>
      <c r="M215" t="n">
        <v>0</v>
      </c>
      <c r="N215" t="n">
        <v>0</v>
      </c>
      <c r="O215" t="n">
        <v>0</v>
      </c>
      <c r="P215" t="n">
        <v>0</v>
      </c>
      <c r="Q215" t="n">
        <v>2</v>
      </c>
      <c r="R215" t="n">
        <v>0</v>
      </c>
      <c r="S215" t="n">
        <v>2</v>
      </c>
      <c r="T215" t="n">
        <v>2</v>
      </c>
      <c r="U215" t="n">
        <v>0</v>
      </c>
      <c r="V215" s="2" t="inlineStr">
        <is>
          <t>Dvärgbägarlav
Vedskivlav</t>
        </is>
      </c>
      <c r="W215">
        <f>HYPERLINK("https://klasma.github.io/Logging_2260/artfynd/A 47719-2024 artfynd.xlsx", "A 47719-2024")</f>
        <v/>
      </c>
      <c r="X215">
        <f>HYPERLINK("https://klasma.github.io/Logging_2260/kartor/A 47719-2024 karta.png", "A 47719-2024")</f>
        <v/>
      </c>
      <c r="Y215">
        <f>HYPERLINK("https://klasma.github.io/Logging_2260/kartor_geotiff/A 47719-2024 georefererad karta.tif", "A 47719-2024")</f>
        <v/>
      </c>
      <c r="AA215">
        <f>HYPERLINK("https://klasma.github.io/Logging_2260/klagomål/A 47719-2024 FSC-klagomål.docx", "A 47719-2024")</f>
        <v/>
      </c>
      <c r="AB215">
        <f>HYPERLINK("https://klasma.github.io/Logging_2260/klagomålsmail/A 47719-2024 FSC-klagomål mail.docx", "A 47719-2024")</f>
        <v/>
      </c>
      <c r="AC215">
        <f>HYPERLINK("https://klasma.github.io/Logging_2260/tillsyn/A 47719-2024 tillsynsbegäran.docx", "A 47719-2024")</f>
        <v/>
      </c>
      <c r="AD215">
        <f>HYPERLINK("https://klasma.github.io/Logging_2260/tillsynsmail/A 47719-2024 tillsynsbegäran mail.docx", "A 47719-2024")</f>
        <v/>
      </c>
    </row>
    <row r="216" ht="15" customHeight="1">
      <c r="A216" t="inlineStr">
        <is>
          <t>A 35979-2023</t>
        </is>
      </c>
      <c r="B216" t="inlineStr">
        <is>
          <t>avverkningsanmälan</t>
        </is>
      </c>
      <c r="C216" t="inlineStr">
        <is>
          <t>Föryngringsavverkning</t>
        </is>
      </c>
      <c r="D216" s="1" t="n">
        <v>45148</v>
      </c>
      <c r="E216" s="1" t="n">
        <v>46228</v>
      </c>
      <c r="F216" t="inlineStr">
        <is>
          <t>VÄSTERNORRLANDS LÄN</t>
        </is>
      </c>
      <c r="G216" t="inlineStr">
        <is>
          <t>ÅNGE</t>
        </is>
      </c>
      <c r="H216" t="inlineStr">
        <is>
          <t>SCA</t>
        </is>
      </c>
      <c r="I216" t="n">
        <v>1.1</v>
      </c>
      <c r="J216" t="n">
        <v>1</v>
      </c>
      <c r="K216" t="n">
        <v>0</v>
      </c>
      <c r="L216" t="n">
        <v>0</v>
      </c>
      <c r="M216" t="n">
        <v>1</v>
      </c>
      <c r="N216" t="n">
        <v>0</v>
      </c>
      <c r="O216" t="n">
        <v>0</v>
      </c>
      <c r="P216" t="n">
        <v>0</v>
      </c>
      <c r="Q216" t="n">
        <v>1</v>
      </c>
      <c r="R216" t="n">
        <v>1</v>
      </c>
      <c r="S216" t="n">
        <v>2</v>
      </c>
      <c r="T216" t="n">
        <v>2</v>
      </c>
      <c r="U216" t="n">
        <v>0</v>
      </c>
      <c r="V216" s="2" t="inlineStr">
        <is>
          <t>Garnlav
Spillkråka</t>
        </is>
      </c>
      <c r="W216">
        <f>HYPERLINK("https://klasma.github.io/Logging_2260/artfynd/A 35979-2023 artfynd.xlsx", "A 35979-2023")</f>
        <v/>
      </c>
      <c r="X216">
        <f>HYPERLINK("https://klasma.github.io/Logging_2260/kartor/A 35979-2023 karta.png", "A 35979-2023")</f>
        <v/>
      </c>
      <c r="Y216">
        <f>HYPERLINK("https://klasma.github.io/Logging_2260/kartor_geotiff/A 35979-2023 georefererad karta.tif", "A 35979-2023")</f>
        <v/>
      </c>
      <c r="AA216">
        <f>HYPERLINK("https://klasma.github.io/Logging_2260/klagomål/A 35979-2023 FSC-klagomål.docx", "A 35979-2023")</f>
        <v/>
      </c>
      <c r="AB216">
        <f>HYPERLINK("https://klasma.github.io/Logging_2260/klagomålsmail/A 35979-2023 FSC-klagomål mail.docx", "A 35979-2023")</f>
        <v/>
      </c>
      <c r="AC216">
        <f>HYPERLINK("https://klasma.github.io/Logging_2260/tillsyn/A 35979-2023 tillsynsbegäran.docx", "A 35979-2023")</f>
        <v/>
      </c>
      <c r="AD216">
        <f>HYPERLINK("https://klasma.github.io/Logging_2260/tillsynsmail/A 35979-2023 tillsynsbegäran mail.docx", "A 35979-2023")</f>
        <v/>
      </c>
      <c r="AE216">
        <f>HYPERLINK("https://klasma.github.io/Logging_2260/fåglar/A 35979-2023 prioriterade fågelarter.docx", "A 35979-2023")</f>
        <v/>
      </c>
    </row>
    <row r="217" ht="15" customHeight="1">
      <c r="A217" t="inlineStr">
        <is>
          <t>A 43171-2024</t>
        </is>
      </c>
      <c r="B217" t="inlineStr">
        <is>
          <t>avverkningsanmälan</t>
        </is>
      </c>
      <c r="C217" t="inlineStr">
        <is>
          <t>Föryngringsavverkning</t>
        </is>
      </c>
      <c r="D217" s="1" t="n">
        <v>45567</v>
      </c>
      <c r="E217" s="1" t="n">
        <v>46228</v>
      </c>
      <c r="F217" t="inlineStr">
        <is>
          <t>VÄSTERNORRLANDS LÄN</t>
        </is>
      </c>
      <c r="G217" t="inlineStr">
        <is>
          <t>ÅNGE</t>
        </is>
      </c>
      <c r="H217" t="inlineStr">
        <is>
          <t>SCA</t>
        </is>
      </c>
      <c r="I217" t="n">
        <v>3.4</v>
      </c>
      <c r="J217" t="n">
        <v>0</v>
      </c>
      <c r="K217" t="n">
        <v>0</v>
      </c>
      <c r="L217" t="n">
        <v>2</v>
      </c>
      <c r="M217" t="n">
        <v>0</v>
      </c>
      <c r="N217" t="n">
        <v>0</v>
      </c>
      <c r="O217" t="n">
        <v>0</v>
      </c>
      <c r="P217" t="n">
        <v>0</v>
      </c>
      <c r="Q217" t="n">
        <v>2</v>
      </c>
      <c r="R217" t="n">
        <v>0</v>
      </c>
      <c r="S217" t="n">
        <v>2</v>
      </c>
      <c r="T217" t="n">
        <v>2</v>
      </c>
      <c r="U217" t="n">
        <v>0</v>
      </c>
      <c r="V217" s="2" t="inlineStr">
        <is>
          <t>Kortskaftad ärgspik
Rosenticka</t>
        </is>
      </c>
      <c r="W217">
        <f>HYPERLINK("https://klasma.github.io/Logging_2260/artfynd/A 43171-2024 artfynd.xlsx", "A 43171-2024")</f>
        <v/>
      </c>
      <c r="X217">
        <f>HYPERLINK("https://klasma.github.io/Logging_2260/kartor/A 43171-2024 karta.png", "A 43171-2024")</f>
        <v/>
      </c>
      <c r="Y217">
        <f>HYPERLINK("https://klasma.github.io/Logging_2260/kartor_geotiff/A 43171-2024 georefererad karta.tif", "A 43171-2024")</f>
        <v/>
      </c>
      <c r="AA217">
        <f>HYPERLINK("https://klasma.github.io/Logging_2260/klagomål/A 43171-2024 FSC-klagomål.docx", "A 43171-2024")</f>
        <v/>
      </c>
      <c r="AB217">
        <f>HYPERLINK("https://klasma.github.io/Logging_2260/klagomålsmail/A 43171-2024 FSC-klagomål mail.docx", "A 43171-2024")</f>
        <v/>
      </c>
      <c r="AC217">
        <f>HYPERLINK("https://klasma.github.io/Logging_2260/tillsyn/A 43171-2024 tillsynsbegäran.docx", "A 43171-2024")</f>
        <v/>
      </c>
      <c r="AD217">
        <f>HYPERLINK("https://klasma.github.io/Logging_2260/tillsynsmail/A 43171-2024 tillsynsbegäran mail.docx", "A 43171-2024")</f>
        <v/>
      </c>
    </row>
    <row r="218" ht="15" customHeight="1">
      <c r="A218" t="inlineStr">
        <is>
          <t>A 13953-2026</t>
        </is>
      </c>
      <c r="B218" t="inlineStr">
        <is>
          <t>avverkningsanmälan</t>
        </is>
      </c>
      <c r="C218" t="inlineStr">
        <is>
          <t>Föryngringsavverkning</t>
        </is>
      </c>
      <c r="D218" s="1" t="n">
        <v>46098</v>
      </c>
      <c r="E218" s="1" t="n">
        <v>46228</v>
      </c>
      <c r="F218" t="inlineStr">
        <is>
          <t>VÄSTERNORRLANDS LÄN</t>
        </is>
      </c>
      <c r="G218" t="inlineStr">
        <is>
          <t>ÅNGE</t>
        </is>
      </c>
      <c r="H218" t="inlineStr">
        <is>
          <t>Holmen skog AB</t>
        </is>
      </c>
      <c r="I218" t="n">
        <v>3.1</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HYPERLINK("https://klasma.github.io/Logging_2260/artfynd/A 13953-2026 artfynd.xlsx", "A 13953-2026")</f>
        <v/>
      </c>
      <c r="X218">
        <f>HYPERLINK("https://klasma.github.io/Logging_2260/kartor/A 13953-2026 karta.png", "A 13953-2026")</f>
        <v/>
      </c>
      <c r="Y218">
        <f>HYPERLINK("https://klasma.github.io/Logging_2260/kartor_geotiff/A 13953-2026 georefererad karta.tif", "A 13953-2026")</f>
        <v/>
      </c>
      <c r="AA218">
        <f>HYPERLINK("https://klasma.github.io/Logging_2260/klagomål/A 13953-2026 FSC-klagomål.docx", "A 13953-2026")</f>
        <v/>
      </c>
      <c r="AB218">
        <f>HYPERLINK("https://klasma.github.io/Logging_2260/klagomålsmail/A 13953-2026 FSC-klagomål mail.docx", "A 13953-2026")</f>
        <v/>
      </c>
      <c r="AC218">
        <f>HYPERLINK("https://klasma.github.io/Logging_2260/tillsyn/A 13953-2026 tillsynsbegäran.docx", "A 13953-2026")</f>
        <v/>
      </c>
      <c r="AD218">
        <f>HYPERLINK("https://klasma.github.io/Logging_2260/tillsynsmail/A 13953-2026 tillsynsbegäran mail.docx", "A 13953-2026")</f>
        <v/>
      </c>
    </row>
    <row r="219" ht="15" customHeight="1">
      <c r="A219" t="inlineStr">
        <is>
          <t>A 31493-2024</t>
        </is>
      </c>
      <c r="B219" t="inlineStr">
        <is>
          <t>avverkningsanmälan</t>
        </is>
      </c>
      <c r="C219" t="inlineStr">
        <is>
          <t>Avverkning för att bevara och utveckla /försöksver</t>
        </is>
      </c>
      <c r="D219" s="1" t="n">
        <v>45505</v>
      </c>
      <c r="E219" s="1" t="n">
        <v>46228</v>
      </c>
      <c r="F219" t="inlineStr">
        <is>
          <t>VÄSTERNORRLANDS LÄN</t>
        </is>
      </c>
      <c r="G219" t="inlineStr">
        <is>
          <t>ÅNGE</t>
        </is>
      </c>
      <c r="H219" t="inlineStr">
        <is>
          <t>SCA</t>
        </is>
      </c>
      <c r="I219" t="n">
        <v>4.4</v>
      </c>
      <c r="J219" t="n">
        <v>1</v>
      </c>
      <c r="K219" t="n">
        <v>1</v>
      </c>
      <c r="L219" t="n">
        <v>0</v>
      </c>
      <c r="M219" t="n">
        <v>1</v>
      </c>
      <c r="N219" t="n">
        <v>0</v>
      </c>
      <c r="O219" t="n">
        <v>0</v>
      </c>
      <c r="P219" t="n">
        <v>0</v>
      </c>
      <c r="Q219" t="n">
        <v>1</v>
      </c>
      <c r="R219" t="n">
        <v>1</v>
      </c>
      <c r="S219" t="n">
        <v>2</v>
      </c>
      <c r="T219" t="n">
        <v>4</v>
      </c>
      <c r="U219" t="n">
        <v>0</v>
      </c>
      <c r="V219" s="2" t="inlineStr">
        <is>
          <t>Knärot
Korallblylav</t>
        </is>
      </c>
      <c r="W219">
        <f>HYPERLINK("https://klasma.github.io/Logging_2260/artfynd/A 31493-2024 artfynd.xlsx", "A 31493-2024")</f>
        <v/>
      </c>
      <c r="X219">
        <f>HYPERLINK("https://klasma.github.io/Logging_2260/kartor/A 31493-2024 karta.png", "A 31493-2024")</f>
        <v/>
      </c>
      <c r="Y219">
        <f>HYPERLINK("https://klasma.github.io/Logging_2260/kartor_geotiff/A 31493-2024 georefererad karta.tif", "A 31493-2024")</f>
        <v/>
      </c>
      <c r="Z219">
        <f>HYPERLINK("https://klasma.github.io/Logging_2260/knärot/A 31493-2024 karta knärot.png", "A 31493-2024")</f>
        <v/>
      </c>
      <c r="AA219">
        <f>HYPERLINK("https://klasma.github.io/Logging_2260/klagomål/A 31493-2024 FSC-klagomål.docx", "A 31493-2024")</f>
        <v/>
      </c>
      <c r="AB219">
        <f>HYPERLINK("https://klasma.github.io/Logging_2260/klagomålsmail/A 31493-2024 FSC-klagomål mail.docx", "A 31493-2024")</f>
        <v/>
      </c>
      <c r="AC219">
        <f>HYPERLINK("https://klasma.github.io/Logging_2260/tillsyn/A 31493-2024 tillsynsbegäran.docx", "A 31493-2024")</f>
        <v/>
      </c>
      <c r="AD219">
        <f>HYPERLINK("https://klasma.github.io/Logging_2260/tillsynsmail/A 31493-2024 tillsynsbegäran mail.docx", "A 31493-2024")</f>
        <v/>
      </c>
    </row>
    <row r="220" ht="15" customHeight="1">
      <c r="A220" t="inlineStr">
        <is>
          <t>A 37914-2024</t>
        </is>
      </c>
      <c r="B220" t="inlineStr">
        <is>
          <t>avverkningsanmälan</t>
        </is>
      </c>
      <c r="C220" t="inlineStr">
        <is>
          <t>Avverkning för att bevara och utveckla /försöksver</t>
        </is>
      </c>
      <c r="D220" s="1" t="n">
        <v>45544</v>
      </c>
      <c r="E220" s="1" t="n">
        <v>46228</v>
      </c>
      <c r="F220" t="inlineStr">
        <is>
          <t>VÄSTERNORRLANDS LÄN</t>
        </is>
      </c>
      <c r="G220" t="inlineStr">
        <is>
          <t>ÅNGE</t>
        </is>
      </c>
      <c r="H220" t="inlineStr">
        <is>
          <t>SCA</t>
        </is>
      </c>
      <c r="I220" t="n">
        <v>9</v>
      </c>
      <c r="J220" t="n">
        <v>2</v>
      </c>
      <c r="K220" t="n">
        <v>0</v>
      </c>
      <c r="L220" t="n">
        <v>1</v>
      </c>
      <c r="M220" t="n">
        <v>0</v>
      </c>
      <c r="N220" t="n">
        <v>0</v>
      </c>
      <c r="O220" t="n">
        <v>0</v>
      </c>
      <c r="P220" t="n">
        <v>0</v>
      </c>
      <c r="Q220" t="n">
        <v>1</v>
      </c>
      <c r="R220" t="n">
        <v>0</v>
      </c>
      <c r="S220" t="n">
        <v>2</v>
      </c>
      <c r="T220" t="n">
        <v>2</v>
      </c>
      <c r="U220" t="n">
        <v>2</v>
      </c>
      <c r="V220" s="2" t="inlineStr">
        <is>
          <t>Brunlångöra
Vattenfladdermus</t>
        </is>
      </c>
      <c r="W220">
        <f>HYPERLINK("https://klasma.github.io/Logging_2260/artfynd/A 37914-2024 artfynd.xlsx", "A 37914-2024")</f>
        <v/>
      </c>
      <c r="X220">
        <f>HYPERLINK("https://klasma.github.io/Logging_2260/kartor/A 37914-2024 karta.png", "A 37914-2024")</f>
        <v/>
      </c>
      <c r="Y220">
        <f>HYPERLINK("https://klasma.github.io/Logging_2260/kartor_geotiff/A 37914-2024 georefererad karta.tif", "A 37914-2024")</f>
        <v/>
      </c>
      <c r="AA220">
        <f>HYPERLINK("https://klasma.github.io/Logging_2260/klagomål/A 37914-2024 FSC-klagomål.docx", "A 37914-2024")</f>
        <v/>
      </c>
      <c r="AB220">
        <f>HYPERLINK("https://klasma.github.io/Logging_2260/klagomålsmail/A 37914-2024 FSC-klagomål mail.docx", "A 37914-2024")</f>
        <v/>
      </c>
      <c r="AC220">
        <f>HYPERLINK("https://klasma.github.io/Logging_2260/tillsyn/A 37914-2024 tillsynsbegäran.docx", "A 37914-2024")</f>
        <v/>
      </c>
      <c r="AD220">
        <f>HYPERLINK("https://klasma.github.io/Logging_2260/tillsynsmail/A 37914-2024 tillsynsbegäran mail.docx", "A 37914-2024")</f>
        <v/>
      </c>
    </row>
    <row r="221" ht="15" customHeight="1">
      <c r="A221" t="inlineStr">
        <is>
          <t>A 165-2025</t>
        </is>
      </c>
      <c r="B221" t="inlineStr">
        <is>
          <t>avverkningsanmälan</t>
        </is>
      </c>
      <c r="C221" t="inlineStr">
        <is>
          <t>Föryngringsavverkning</t>
        </is>
      </c>
      <c r="D221" s="1" t="n">
        <v>45659</v>
      </c>
      <c r="E221" s="1" t="n">
        <v>46228</v>
      </c>
      <c r="F221" t="inlineStr">
        <is>
          <t>VÄSTERNORRLANDS LÄN</t>
        </is>
      </c>
      <c r="G221" t="inlineStr">
        <is>
          <t>ÅNGE</t>
        </is>
      </c>
      <c r="I221" t="n">
        <v>13.9</v>
      </c>
      <c r="J221" t="n">
        <v>1</v>
      </c>
      <c r="K221" t="n">
        <v>0</v>
      </c>
      <c r="L221" t="n">
        <v>2</v>
      </c>
      <c r="M221" t="n">
        <v>0</v>
      </c>
      <c r="N221" t="n">
        <v>0</v>
      </c>
      <c r="O221" t="n">
        <v>0</v>
      </c>
      <c r="P221" t="n">
        <v>0</v>
      </c>
      <c r="Q221" t="n">
        <v>2</v>
      </c>
      <c r="R221" t="n">
        <v>0</v>
      </c>
      <c r="S221" t="n">
        <v>2</v>
      </c>
      <c r="T221" t="n">
        <v>2</v>
      </c>
      <c r="U221" t="n">
        <v>1</v>
      </c>
      <c r="V221" s="2" t="inlineStr">
        <is>
          <t>Doftskinn
Tretåig hackspett</t>
        </is>
      </c>
      <c r="W221">
        <f>HYPERLINK("https://klasma.github.io/Logging_2260/artfynd/A 165-2025 artfynd.xlsx", "A 165-2025")</f>
        <v/>
      </c>
      <c r="X221">
        <f>HYPERLINK("https://klasma.github.io/Logging_2260/kartor/A 165-2025 karta.png", "A 165-2025")</f>
        <v/>
      </c>
      <c r="Y221">
        <f>HYPERLINK("https://klasma.github.io/Logging_2260/kartor_geotiff/A 165-2025 georefererad karta.tif", "A 165-2025")</f>
        <v/>
      </c>
      <c r="AA221">
        <f>HYPERLINK("https://klasma.github.io/Logging_2260/klagomål/A 165-2025 FSC-klagomål.docx", "A 165-2025")</f>
        <v/>
      </c>
      <c r="AB221">
        <f>HYPERLINK("https://klasma.github.io/Logging_2260/klagomålsmail/A 165-2025 FSC-klagomål mail.docx", "A 165-2025")</f>
        <v/>
      </c>
      <c r="AC221">
        <f>HYPERLINK("https://klasma.github.io/Logging_2260/tillsyn/A 165-2025 tillsynsbegäran.docx", "A 165-2025")</f>
        <v/>
      </c>
      <c r="AD221">
        <f>HYPERLINK("https://klasma.github.io/Logging_2260/tillsynsmail/A 165-2025 tillsynsbegäran mail.docx", "A 165-2025")</f>
        <v/>
      </c>
      <c r="AE221">
        <f>HYPERLINK("https://klasma.github.io/Logging_2260/fåglar/A 165-2025 prioriterade fågelarter.docx", "A 165-2025")</f>
        <v/>
      </c>
    </row>
    <row r="222" ht="15" customHeight="1">
      <c r="A222" t="inlineStr">
        <is>
          <t>A 32659-2024</t>
        </is>
      </c>
      <c r="B222" t="inlineStr">
        <is>
          <t>avverkningsanmälan</t>
        </is>
      </c>
      <c r="C222" t="inlineStr">
        <is>
          <t>Föryngringsavverkning</t>
        </is>
      </c>
      <c r="D222" s="1" t="n">
        <v>45513</v>
      </c>
      <c r="E222" s="1" t="n">
        <v>46228</v>
      </c>
      <c r="F222" t="inlineStr">
        <is>
          <t>VÄSTERNORRLANDS LÄN</t>
        </is>
      </c>
      <c r="G222" t="inlineStr">
        <is>
          <t>ÅNGE</t>
        </is>
      </c>
      <c r="H222" t="inlineStr">
        <is>
          <t>SCA</t>
        </is>
      </c>
      <c r="I222" t="n">
        <v>6.9</v>
      </c>
      <c r="J222" t="n">
        <v>0</v>
      </c>
      <c r="K222" t="n">
        <v>0</v>
      </c>
      <c r="L222" t="n">
        <v>2</v>
      </c>
      <c r="M222" t="n">
        <v>0</v>
      </c>
      <c r="N222" t="n">
        <v>0</v>
      </c>
      <c r="O222" t="n">
        <v>0</v>
      </c>
      <c r="P222" t="n">
        <v>0</v>
      </c>
      <c r="Q222" t="n">
        <v>2</v>
      </c>
      <c r="R222" t="n">
        <v>0</v>
      </c>
      <c r="S222" t="n">
        <v>2</v>
      </c>
      <c r="T222" t="n">
        <v>2</v>
      </c>
      <c r="U222" t="n">
        <v>0</v>
      </c>
      <c r="V222" s="2" t="inlineStr">
        <is>
          <t>Lunglav
Stjärntagging</t>
        </is>
      </c>
      <c r="W222">
        <f>HYPERLINK("https://klasma.github.io/Logging_2260/artfynd/A 32659-2024 artfynd.xlsx", "A 32659-2024")</f>
        <v/>
      </c>
      <c r="X222">
        <f>HYPERLINK("https://klasma.github.io/Logging_2260/kartor/A 32659-2024 karta.png", "A 32659-2024")</f>
        <v/>
      </c>
      <c r="Y222">
        <f>HYPERLINK("https://klasma.github.io/Logging_2260/kartor_geotiff/A 32659-2024 georefererad karta.tif", "A 32659-2024")</f>
        <v/>
      </c>
      <c r="AA222">
        <f>HYPERLINK("https://klasma.github.io/Logging_2260/klagomål/A 32659-2024 FSC-klagomål.docx", "A 32659-2024")</f>
        <v/>
      </c>
      <c r="AB222">
        <f>HYPERLINK("https://klasma.github.io/Logging_2260/klagomålsmail/A 32659-2024 FSC-klagomål mail.docx", "A 32659-2024")</f>
        <v/>
      </c>
      <c r="AC222">
        <f>HYPERLINK("https://klasma.github.io/Logging_2260/tillsyn/A 32659-2024 tillsynsbegäran.docx", "A 32659-2024")</f>
        <v/>
      </c>
      <c r="AD222">
        <f>HYPERLINK("https://klasma.github.io/Logging_2260/tillsynsmail/A 32659-2024 tillsynsbegäran mail.docx", "A 32659-2024")</f>
        <v/>
      </c>
    </row>
    <row r="223" ht="15" customHeight="1">
      <c r="A223" t="inlineStr">
        <is>
          <t>A 46795-2023</t>
        </is>
      </c>
      <c r="B223" t="inlineStr">
        <is>
          <t>avverkningsanmälan</t>
        </is>
      </c>
      <c r="C223" t="inlineStr">
        <is>
          <t>Föryngringsavverkning</t>
        </is>
      </c>
      <c r="D223" s="1" t="n">
        <v>45198</v>
      </c>
      <c r="E223" s="1" t="n">
        <v>46228</v>
      </c>
      <c r="F223" t="inlineStr">
        <is>
          <t>VÄSTERNORRLANDS LÄN</t>
        </is>
      </c>
      <c r="G223" t="inlineStr">
        <is>
          <t>ÅNGE</t>
        </is>
      </c>
      <c r="H223" t="inlineStr">
        <is>
          <t>Holmen skog AB</t>
        </is>
      </c>
      <c r="I223" t="n">
        <v>2.5</v>
      </c>
      <c r="J223" t="n">
        <v>0</v>
      </c>
      <c r="K223" t="n">
        <v>1</v>
      </c>
      <c r="L223" t="n">
        <v>1</v>
      </c>
      <c r="M223" t="n">
        <v>0</v>
      </c>
      <c r="N223" t="n">
        <v>0</v>
      </c>
      <c r="O223" t="n">
        <v>0</v>
      </c>
      <c r="P223" t="n">
        <v>0</v>
      </c>
      <c r="Q223" t="n">
        <v>1</v>
      </c>
      <c r="R223" t="n">
        <v>0</v>
      </c>
      <c r="S223" t="n">
        <v>2</v>
      </c>
      <c r="T223" t="n">
        <v>4</v>
      </c>
      <c r="U223" t="n">
        <v>0</v>
      </c>
      <c r="V223" s="2" t="inlineStr">
        <is>
          <t>Småflikig brosklav
Stor aspticka</t>
        </is>
      </c>
      <c r="W223">
        <f>HYPERLINK("https://klasma.github.io/Logging_2260/artfynd/A 46795-2023 artfynd.xlsx", "A 46795-2023")</f>
        <v/>
      </c>
      <c r="X223">
        <f>HYPERLINK("https://klasma.github.io/Logging_2260/kartor/A 46795-2023 karta.png", "A 46795-2023")</f>
        <v/>
      </c>
      <c r="Y223">
        <f>HYPERLINK("https://klasma.github.io/Logging_2260/kartor_geotiff/A 46795-2023 georefererad karta.tif", "A 46795-2023")</f>
        <v/>
      </c>
      <c r="AA223">
        <f>HYPERLINK("https://klasma.github.io/Logging_2260/klagomål/A 46795-2023 FSC-klagomål.docx", "A 46795-2023")</f>
        <v/>
      </c>
      <c r="AB223">
        <f>HYPERLINK("https://klasma.github.io/Logging_2260/klagomålsmail/A 46795-2023 FSC-klagomål mail.docx", "A 46795-2023")</f>
        <v/>
      </c>
      <c r="AC223">
        <f>HYPERLINK("https://klasma.github.io/Logging_2260/tillsyn/A 46795-2023 tillsynsbegäran.docx", "A 46795-2023")</f>
        <v/>
      </c>
      <c r="AD223">
        <f>HYPERLINK("https://klasma.github.io/Logging_2260/tillsynsmail/A 46795-2023 tillsynsbegäran mail.docx", "A 46795-2023")</f>
        <v/>
      </c>
    </row>
    <row r="224" ht="15" customHeight="1">
      <c r="A224" t="inlineStr">
        <is>
          <t>A 30054-2024</t>
        </is>
      </c>
      <c r="B224" t="inlineStr">
        <is>
          <t>avverkningsanmälan</t>
        </is>
      </c>
      <c r="C224" t="inlineStr">
        <is>
          <t>Föryngringsavverkning</t>
        </is>
      </c>
      <c r="D224" s="1" t="n">
        <v>45488</v>
      </c>
      <c r="E224" s="1" t="n">
        <v>46228</v>
      </c>
      <c r="F224" t="inlineStr">
        <is>
          <t>VÄSTERNORRLANDS LÄN</t>
        </is>
      </c>
      <c r="G224" t="inlineStr">
        <is>
          <t>ÅNGE</t>
        </is>
      </c>
      <c r="H224" t="inlineStr">
        <is>
          <t>SCA</t>
        </is>
      </c>
      <c r="I224" t="n">
        <v>11.7</v>
      </c>
      <c r="J224" t="n">
        <v>0</v>
      </c>
      <c r="K224" t="n">
        <v>0</v>
      </c>
      <c r="L224" t="n">
        <v>2</v>
      </c>
      <c r="M224" t="n">
        <v>0</v>
      </c>
      <c r="N224" t="n">
        <v>0</v>
      </c>
      <c r="O224" t="n">
        <v>0</v>
      </c>
      <c r="P224" t="n">
        <v>0</v>
      </c>
      <c r="Q224" t="n">
        <v>2</v>
      </c>
      <c r="R224" t="n">
        <v>0</v>
      </c>
      <c r="S224" t="n">
        <v>2</v>
      </c>
      <c r="T224" t="n">
        <v>2</v>
      </c>
      <c r="U224" t="n">
        <v>2</v>
      </c>
      <c r="V224" s="2" t="inlineStr">
        <is>
          <t>Dropptaggsvamp
Orange taggsvamp</t>
        </is>
      </c>
      <c r="W224">
        <f>HYPERLINK("https://klasma.github.io/Logging_2260/artfynd/A 30054-2024 artfynd.xlsx", "A 30054-2024")</f>
        <v/>
      </c>
      <c r="X224">
        <f>HYPERLINK("https://klasma.github.io/Logging_2260/kartor/A 30054-2024 karta.png", "A 30054-2024")</f>
        <v/>
      </c>
      <c r="Y224">
        <f>HYPERLINK("https://klasma.github.io/Logging_2260/kartor_geotiff/A 30054-2024 georefererad karta.tif", "A 30054-2024")</f>
        <v/>
      </c>
      <c r="AA224">
        <f>HYPERLINK("https://klasma.github.io/Logging_2260/klagomål/A 30054-2024 FSC-klagomål.docx", "A 30054-2024")</f>
        <v/>
      </c>
      <c r="AB224">
        <f>HYPERLINK("https://klasma.github.io/Logging_2260/klagomålsmail/A 30054-2024 FSC-klagomål mail.docx", "A 30054-2024")</f>
        <v/>
      </c>
      <c r="AC224">
        <f>HYPERLINK("https://klasma.github.io/Logging_2260/tillsyn/A 30054-2024 tillsynsbegäran.docx", "A 30054-2024")</f>
        <v/>
      </c>
      <c r="AD224">
        <f>HYPERLINK("https://klasma.github.io/Logging_2260/tillsynsmail/A 30054-2024 tillsynsbegäran mail.docx", "A 30054-2024")</f>
        <v/>
      </c>
    </row>
    <row r="225" ht="15" customHeight="1">
      <c r="A225" t="inlineStr">
        <is>
          <t>A 36414-2025</t>
        </is>
      </c>
      <c r="B225" t="inlineStr">
        <is>
          <t>avverkningsanmälan</t>
        </is>
      </c>
      <c r="C225" t="inlineStr">
        <is>
          <t>Föryngringsavverkning</t>
        </is>
      </c>
      <c r="D225" s="1" t="n">
        <v>45868</v>
      </c>
      <c r="E225" s="1" t="n">
        <v>46228</v>
      </c>
      <c r="F225" t="inlineStr">
        <is>
          <t>VÄSTERNORRLANDS LÄN</t>
        </is>
      </c>
      <c r="G225" t="inlineStr">
        <is>
          <t>ÅNGE</t>
        </is>
      </c>
      <c r="I225" t="n">
        <v>5.4</v>
      </c>
      <c r="J225" t="n">
        <v>0</v>
      </c>
      <c r="K225" t="n">
        <v>0</v>
      </c>
      <c r="L225" t="n">
        <v>2</v>
      </c>
      <c r="M225" t="n">
        <v>0</v>
      </c>
      <c r="N225" t="n">
        <v>0</v>
      </c>
      <c r="O225" t="n">
        <v>0</v>
      </c>
      <c r="P225" t="n">
        <v>0</v>
      </c>
      <c r="Q225" t="n">
        <v>2</v>
      </c>
      <c r="R225" t="n">
        <v>0</v>
      </c>
      <c r="S225" t="n">
        <v>2</v>
      </c>
      <c r="T225" t="n">
        <v>3</v>
      </c>
      <c r="U225" t="n">
        <v>3</v>
      </c>
      <c r="V225" s="2" t="inlineStr">
        <is>
          <t>Kolflarnlav
Lunglav</t>
        </is>
      </c>
      <c r="W225">
        <f>HYPERLINK("https://klasma.github.io/Logging_2260/artfynd/A 36414-2025 artfynd.xlsx", "A 36414-2025")</f>
        <v/>
      </c>
      <c r="X225">
        <f>HYPERLINK("https://klasma.github.io/Logging_2260/kartor/A 36414-2025 karta.png", "A 36414-2025")</f>
        <v/>
      </c>
      <c r="Y225">
        <f>HYPERLINK("https://klasma.github.io/Logging_2260/kartor_geotiff/A 36414-2025 georefererad karta.tif", "A 36414-2025")</f>
        <v/>
      </c>
      <c r="AA225">
        <f>HYPERLINK("https://klasma.github.io/Logging_2260/klagomål/A 36414-2025 FSC-klagomål.docx", "A 36414-2025")</f>
        <v/>
      </c>
      <c r="AB225">
        <f>HYPERLINK("https://klasma.github.io/Logging_2260/klagomålsmail/A 36414-2025 FSC-klagomål mail.docx", "A 36414-2025")</f>
        <v/>
      </c>
      <c r="AC225">
        <f>HYPERLINK("https://klasma.github.io/Logging_2260/tillsyn/A 36414-2025 tillsynsbegäran.docx", "A 36414-2025")</f>
        <v/>
      </c>
      <c r="AD225">
        <f>HYPERLINK("https://klasma.github.io/Logging_2260/tillsynsmail/A 36414-2025 tillsynsbegäran mail.docx", "A 36414-2025")</f>
        <v/>
      </c>
    </row>
    <row r="226" ht="15" customHeight="1">
      <c r="A226" t="inlineStr">
        <is>
          <t>S 1109-2025</t>
        </is>
      </c>
      <c r="B226" t="inlineStr">
        <is>
          <t>samrådsanmälan</t>
        </is>
      </c>
      <c r="C226" t="inlineStr">
        <is>
          <t>Annan skogsbruksåtgärd</t>
        </is>
      </c>
      <c r="D226" s="1" t="n">
        <v>45751</v>
      </c>
      <c r="E226" s="1" t="n">
        <v>46228</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46228</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46228</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46228</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46228</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71366-2021</t>
        </is>
      </c>
      <c r="B231" t="inlineStr">
        <is>
          <t>avverkningsanmälan</t>
        </is>
      </c>
      <c r="C231" t="inlineStr">
        <is>
          <t>Föryngringsavverkning</t>
        </is>
      </c>
      <c r="D231" s="1" t="n">
        <v>44539</v>
      </c>
      <c r="E231" s="1" t="n">
        <v>46228</v>
      </c>
      <c r="F231" t="inlineStr">
        <is>
          <t>VÄSTERNORRLANDS LÄN</t>
        </is>
      </c>
      <c r="G231" t="inlineStr">
        <is>
          <t>ÅNGE</t>
        </is>
      </c>
      <c r="H231" t="inlineStr">
        <is>
          <t>SCA</t>
        </is>
      </c>
      <c r="I231" t="n">
        <v>2.3</v>
      </c>
      <c r="J231" t="n">
        <v>1</v>
      </c>
      <c r="K231" t="n">
        <v>0</v>
      </c>
      <c r="L231" t="n">
        <v>0</v>
      </c>
      <c r="M231" t="n">
        <v>1</v>
      </c>
      <c r="N231" t="n">
        <v>0</v>
      </c>
      <c r="O231" t="n">
        <v>0</v>
      </c>
      <c r="P231" t="n">
        <v>0</v>
      </c>
      <c r="Q231" t="n">
        <v>1</v>
      </c>
      <c r="R231" t="n">
        <v>1</v>
      </c>
      <c r="S231" t="n">
        <v>1</v>
      </c>
      <c r="T231" t="n">
        <v>2</v>
      </c>
      <c r="U231" t="n">
        <v>2</v>
      </c>
      <c r="V231" s="2" t="inlineStr">
        <is>
          <t>Knärot</t>
        </is>
      </c>
      <c r="W231">
        <f>HYPERLINK("https://klasma.github.io/Logging_2260/artfynd/A 71366-2021 artfynd.xlsx", "A 71366-2021")</f>
        <v/>
      </c>
      <c r="X231">
        <f>HYPERLINK("https://klasma.github.io/Logging_2260/kartor/A 71366-2021 karta.png", "A 71366-2021")</f>
        <v/>
      </c>
      <c r="Y231">
        <f>HYPERLINK("https://klasma.github.io/Logging_2260/kartor_geotiff/A 71366-2021 georefererad karta.tif", "A 71366-2021")</f>
        <v/>
      </c>
      <c r="Z231">
        <f>HYPERLINK("https://klasma.github.io/Logging_2260/knärot/A 71366-2021 karta knärot.png", "A 71366-2021")</f>
        <v/>
      </c>
      <c r="AA231">
        <f>HYPERLINK("https://klasma.github.io/Logging_2260/klagomål/A 71366-2021 FSC-klagomål.docx", "A 71366-2021")</f>
        <v/>
      </c>
      <c r="AB231">
        <f>HYPERLINK("https://klasma.github.io/Logging_2260/klagomålsmail/A 71366-2021 FSC-klagomål mail.docx", "A 71366-2021")</f>
        <v/>
      </c>
      <c r="AC231">
        <f>HYPERLINK("https://klasma.github.io/Logging_2260/tillsyn/A 71366-2021 tillsynsbegäran.docx", "A 71366-2021")</f>
        <v/>
      </c>
      <c r="AD231">
        <f>HYPERLINK("https://klasma.github.io/Logging_2260/tillsynsmail/A 71366-2021 tillsynsbegäran mail.docx", "A 71366-2021")</f>
        <v/>
      </c>
    </row>
    <row r="232" ht="15" customHeight="1">
      <c r="A232" t="inlineStr">
        <is>
          <t>A 30774-2024</t>
        </is>
      </c>
      <c r="B232" t="inlineStr">
        <is>
          <t>avverkningsanmälan</t>
        </is>
      </c>
      <c r="C232" t="inlineStr">
        <is>
          <t>Föryngringsavverkning</t>
        </is>
      </c>
      <c r="D232" s="1" t="n">
        <v>45496</v>
      </c>
      <c r="E232" s="1" t="n">
        <v>46228</v>
      </c>
      <c r="F232" t="inlineStr">
        <is>
          <t>VÄSTERNORRLANDS LÄN</t>
        </is>
      </c>
      <c r="G232" t="inlineStr">
        <is>
          <t>ÅNGE</t>
        </is>
      </c>
      <c r="H232" t="inlineStr">
        <is>
          <t>SCA</t>
        </is>
      </c>
      <c r="I232" t="n">
        <v>2.2</v>
      </c>
      <c r="J232" t="n">
        <v>1</v>
      </c>
      <c r="K232" t="n">
        <v>0</v>
      </c>
      <c r="L232" t="n">
        <v>0</v>
      </c>
      <c r="M232" t="n">
        <v>0</v>
      </c>
      <c r="N232" t="n">
        <v>0</v>
      </c>
      <c r="O232" t="n">
        <v>0</v>
      </c>
      <c r="P232" t="n">
        <v>0</v>
      </c>
      <c r="Q232" t="n">
        <v>0</v>
      </c>
      <c r="R232" t="n">
        <v>0</v>
      </c>
      <c r="S232" t="n">
        <v>1</v>
      </c>
      <c r="T232" t="n">
        <v>2</v>
      </c>
      <c r="U232" t="n">
        <v>2</v>
      </c>
      <c r="V232" s="2" t="inlineStr">
        <is>
          <t>Tjäder</t>
        </is>
      </c>
      <c r="W232">
        <f>HYPERLINK("https://klasma.github.io/Logging_2260/artfynd/A 30774-2024 artfynd.xlsx", "A 30774-2024")</f>
        <v/>
      </c>
      <c r="X232">
        <f>HYPERLINK("https://klasma.github.io/Logging_2260/kartor/A 30774-2024 karta.png", "A 30774-2024")</f>
        <v/>
      </c>
      <c r="Y232">
        <f>HYPERLINK("https://klasma.github.io/Logging_2260/kartor_geotiff/A 30774-2024 georefererad karta.tif", "A 30774-2024")</f>
        <v/>
      </c>
      <c r="AA232">
        <f>HYPERLINK("https://klasma.github.io/Logging_2260/klagomål/A 30774-2024 FSC-klagomål.docx", "A 30774-2024")</f>
        <v/>
      </c>
      <c r="AB232">
        <f>HYPERLINK("https://klasma.github.io/Logging_2260/klagomålsmail/A 30774-2024 FSC-klagomål mail.docx", "A 30774-2024")</f>
        <v/>
      </c>
      <c r="AC232">
        <f>HYPERLINK("https://klasma.github.io/Logging_2260/tillsyn/A 30774-2024 tillsynsbegäran.docx", "A 30774-2024")</f>
        <v/>
      </c>
      <c r="AD232">
        <f>HYPERLINK("https://klasma.github.io/Logging_2260/tillsynsmail/A 30774-2024 tillsynsbegäran mail.docx", "A 30774-2024")</f>
        <v/>
      </c>
      <c r="AE232">
        <f>HYPERLINK("https://klasma.github.io/Logging_2260/fåglar/A 30774-2024 prioriterade fågelarter.docx", "A 30774-2024")</f>
        <v/>
      </c>
    </row>
    <row r="233" ht="15" customHeight="1">
      <c r="A233" t="inlineStr">
        <is>
          <t>A 34754-2024</t>
        </is>
      </c>
      <c r="B233" t="inlineStr">
        <is>
          <t>avverkningsanmälan</t>
        </is>
      </c>
      <c r="C233" t="inlineStr">
        <is>
          <t>Föryngringsavverkning</t>
        </is>
      </c>
      <c r="D233" s="1" t="n">
        <v>45526</v>
      </c>
      <c r="E233" s="1" t="n">
        <v>46228</v>
      </c>
      <c r="F233" t="inlineStr">
        <is>
          <t>VÄSTERNORRLANDS LÄN</t>
        </is>
      </c>
      <c r="G233" t="inlineStr">
        <is>
          <t>ÅNGE</t>
        </is>
      </c>
      <c r="H233" t="inlineStr">
        <is>
          <t>SCA</t>
        </is>
      </c>
      <c r="I233" t="n">
        <v>0.9</v>
      </c>
      <c r="J233" t="n">
        <v>1</v>
      </c>
      <c r="K233" t="n">
        <v>0</v>
      </c>
      <c r="L233" t="n">
        <v>0</v>
      </c>
      <c r="M233" t="n">
        <v>0</v>
      </c>
      <c r="N233" t="n">
        <v>0</v>
      </c>
      <c r="O233" t="n">
        <v>0</v>
      </c>
      <c r="P233" t="n">
        <v>0</v>
      </c>
      <c r="Q233" t="n">
        <v>0</v>
      </c>
      <c r="R233" t="n">
        <v>0</v>
      </c>
      <c r="S233" t="n">
        <v>1</v>
      </c>
      <c r="T233" t="n">
        <v>1</v>
      </c>
      <c r="U233" t="n">
        <v>0</v>
      </c>
      <c r="V233" s="2" t="inlineStr">
        <is>
          <t>Järpe</t>
        </is>
      </c>
      <c r="W233">
        <f>HYPERLINK("https://klasma.github.io/Logging_2260/artfynd/A 34754-2024 artfynd.xlsx", "A 34754-2024")</f>
        <v/>
      </c>
      <c r="X233">
        <f>HYPERLINK("https://klasma.github.io/Logging_2260/kartor/A 34754-2024 karta.png", "A 34754-2024")</f>
        <v/>
      </c>
      <c r="Y233">
        <f>HYPERLINK("https://klasma.github.io/Logging_2260/kartor_geotiff/A 34754-2024 georefererad karta.tif", "A 34754-2024")</f>
        <v/>
      </c>
      <c r="AA233">
        <f>HYPERLINK("https://klasma.github.io/Logging_2260/klagomål/A 34754-2024 FSC-klagomål.docx", "A 34754-2024")</f>
        <v/>
      </c>
      <c r="AB233">
        <f>HYPERLINK("https://klasma.github.io/Logging_2260/klagomålsmail/A 34754-2024 FSC-klagomål mail.docx", "A 34754-2024")</f>
        <v/>
      </c>
      <c r="AC233">
        <f>HYPERLINK("https://klasma.github.io/Logging_2260/tillsyn/A 34754-2024 tillsynsbegäran.docx", "A 34754-2024")</f>
        <v/>
      </c>
      <c r="AD233">
        <f>HYPERLINK("https://klasma.github.io/Logging_2260/tillsynsmail/A 34754-2024 tillsynsbegäran mail.docx", "A 34754-2024")</f>
        <v/>
      </c>
      <c r="AE233">
        <f>HYPERLINK("https://klasma.github.io/Logging_2260/fåglar/A 34754-2024 prioriterade fågelarter.docx", "A 34754-2024")</f>
        <v/>
      </c>
    </row>
    <row r="234" ht="15" customHeight="1">
      <c r="A234" t="inlineStr">
        <is>
          <t>A 38606-2024</t>
        </is>
      </c>
      <c r="B234" t="inlineStr">
        <is>
          <t>avverkningsanmälan</t>
        </is>
      </c>
      <c r="C234" t="inlineStr">
        <is>
          <t>Föryngringsavverkning</t>
        </is>
      </c>
      <c r="D234" s="1" t="n">
        <v>45546</v>
      </c>
      <c r="E234" s="1" t="n">
        <v>46228</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50612-2024</t>
        </is>
      </c>
      <c r="B235" t="inlineStr">
        <is>
          <t>avverkningsanmälan</t>
        </is>
      </c>
      <c r="C235" t="inlineStr">
        <is>
          <t>Föryngringsavverkning</t>
        </is>
      </c>
      <c r="D235" s="1" t="n">
        <v>45601</v>
      </c>
      <c r="E235" s="1" t="n">
        <v>46228</v>
      </c>
      <c r="F235" t="inlineStr">
        <is>
          <t>VÄSTERNORRLANDS LÄN</t>
        </is>
      </c>
      <c r="G235" t="inlineStr">
        <is>
          <t>ÅNGE</t>
        </is>
      </c>
      <c r="I235" t="n">
        <v>1.9</v>
      </c>
      <c r="J235" t="n">
        <v>0</v>
      </c>
      <c r="K235" t="n">
        <v>0</v>
      </c>
      <c r="L235" t="n">
        <v>1</v>
      </c>
      <c r="M235" t="n">
        <v>0</v>
      </c>
      <c r="N235" t="n">
        <v>0</v>
      </c>
      <c r="O235" t="n">
        <v>0</v>
      </c>
      <c r="P235" t="n">
        <v>0</v>
      </c>
      <c r="Q235" t="n">
        <v>1</v>
      </c>
      <c r="R235" t="n">
        <v>0</v>
      </c>
      <c r="S235" t="n">
        <v>1</v>
      </c>
      <c r="T235" t="n">
        <v>1</v>
      </c>
      <c r="U235" t="n">
        <v>0</v>
      </c>
      <c r="V235" s="2" t="inlineStr">
        <is>
          <t>Gullklöver</t>
        </is>
      </c>
      <c r="W235">
        <f>HYPERLINK("https://klasma.github.io/Logging_2260/artfynd/A 50612-2024 artfynd.xlsx", "A 50612-2024")</f>
        <v/>
      </c>
      <c r="X235">
        <f>HYPERLINK("https://klasma.github.io/Logging_2260/kartor/A 50612-2024 karta.png", "A 50612-2024")</f>
        <v/>
      </c>
      <c r="Y235">
        <f>HYPERLINK("https://klasma.github.io/Logging_2260/kartor_geotiff/A 50612-2024 georefererad karta.tif", "A 50612-2024")</f>
        <v/>
      </c>
      <c r="AA235">
        <f>HYPERLINK("https://klasma.github.io/Logging_2260/klagomål/A 50612-2024 FSC-klagomål.docx", "A 50612-2024")</f>
        <v/>
      </c>
      <c r="AB235">
        <f>HYPERLINK("https://klasma.github.io/Logging_2260/klagomålsmail/A 50612-2024 FSC-klagomål mail.docx", "A 50612-2024")</f>
        <v/>
      </c>
      <c r="AC235">
        <f>HYPERLINK("https://klasma.github.io/Logging_2260/tillsyn/A 50612-2024 tillsynsbegäran.docx", "A 50612-2024")</f>
        <v/>
      </c>
      <c r="AD235">
        <f>HYPERLINK("https://klasma.github.io/Logging_2260/tillsynsmail/A 50612-2024 tillsynsbegäran mail.docx", "A 50612-2024")</f>
        <v/>
      </c>
    </row>
    <row r="236" ht="15" customHeight="1">
      <c r="A236" t="inlineStr">
        <is>
          <t>A 27308-2024</t>
        </is>
      </c>
      <c r="B236" t="inlineStr">
        <is>
          <t>avverkningsanmälan</t>
        </is>
      </c>
      <c r="C236" t="inlineStr">
        <is>
          <t>Föryngringsavverkning</t>
        </is>
      </c>
      <c r="D236" s="1" t="n">
        <v>45471</v>
      </c>
      <c r="E236" s="1" t="n">
        <v>46228</v>
      </c>
      <c r="F236" t="inlineStr">
        <is>
          <t>VÄSTERNORRLANDS LÄN</t>
        </is>
      </c>
      <c r="G236" t="inlineStr">
        <is>
          <t>ÅNGE</t>
        </is>
      </c>
      <c r="H236" t="inlineStr">
        <is>
          <t>SCA</t>
        </is>
      </c>
      <c r="I236" t="n">
        <v>15.9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HYPERLINK("https://klasma.github.io/Logging_2260/artfynd/A 27308-2024 artfynd.xlsx", "A 27308-2024")</f>
        <v/>
      </c>
      <c r="X236">
        <f>HYPERLINK("https://klasma.github.io/Logging_2260/kartor/A 27308-2024 karta.png", "A 27308-2024")</f>
        <v/>
      </c>
      <c r="Y236">
        <f>HYPERLINK("https://klasma.github.io/Logging_2260/kartor_geotiff/A 27308-2024 georefererad karta.tif", "A 27308-2024")</f>
        <v/>
      </c>
      <c r="AA236">
        <f>HYPERLINK("https://klasma.github.io/Logging_2260/klagomål/A 27308-2024 FSC-klagomål.docx", "A 27308-2024")</f>
        <v/>
      </c>
      <c r="AB236">
        <f>HYPERLINK("https://klasma.github.io/Logging_2260/klagomålsmail/A 27308-2024 FSC-klagomål mail.docx", "A 27308-2024")</f>
        <v/>
      </c>
      <c r="AC236">
        <f>HYPERLINK("https://klasma.github.io/Logging_2260/tillsyn/A 27308-2024 tillsynsbegäran.docx", "A 27308-2024")</f>
        <v/>
      </c>
      <c r="AD236">
        <f>HYPERLINK("https://klasma.github.io/Logging_2260/tillsynsmail/A 27308-2024 tillsynsbegäran mail.docx", "A 27308-2024")</f>
        <v/>
      </c>
    </row>
    <row r="237" ht="15" customHeight="1">
      <c r="A237" t="inlineStr">
        <is>
          <t>A 20020-2026</t>
        </is>
      </c>
      <c r="B237" t="inlineStr">
        <is>
          <t>avverkningsanmälan</t>
        </is>
      </c>
      <c r="C237" t="inlineStr">
        <is>
          <t>Föryngringsavverkning</t>
        </is>
      </c>
      <c r="D237" s="1" t="n">
        <v>46136</v>
      </c>
      <c r="E237" s="1" t="n">
        <v>46228</v>
      </c>
      <c r="F237" t="inlineStr">
        <is>
          <t>VÄSTERNORRLANDS LÄN</t>
        </is>
      </c>
      <c r="G237" t="inlineStr">
        <is>
          <t>ÅNGE</t>
        </is>
      </c>
      <c r="I237" t="n">
        <v>0.6</v>
      </c>
      <c r="J237" t="n">
        <v>1</v>
      </c>
      <c r="K237" t="n">
        <v>0</v>
      </c>
      <c r="L237" t="n">
        <v>1</v>
      </c>
      <c r="M237" t="n">
        <v>0</v>
      </c>
      <c r="N237" t="n">
        <v>0</v>
      </c>
      <c r="O237" t="n">
        <v>0</v>
      </c>
      <c r="P237" t="n">
        <v>0</v>
      </c>
      <c r="Q237" t="n">
        <v>1</v>
      </c>
      <c r="R237" t="n">
        <v>0</v>
      </c>
      <c r="S237" t="n">
        <v>1</v>
      </c>
      <c r="T237" t="n">
        <v>5</v>
      </c>
      <c r="U237" t="n">
        <v>5</v>
      </c>
      <c r="V237" s="2" t="inlineStr">
        <is>
          <t>Tretåig hackspett</t>
        </is>
      </c>
      <c r="W237">
        <f>HYPERLINK("https://klasma.github.io/Logging_2260/artfynd/A 20020-2026 artfynd.xlsx", "A 20020-2026")</f>
        <v/>
      </c>
      <c r="X237">
        <f>HYPERLINK("https://klasma.github.io/Logging_2260/kartor/A 20020-2026 karta.png", "A 20020-2026")</f>
        <v/>
      </c>
      <c r="Y237">
        <f>HYPERLINK("https://klasma.github.io/Logging_2260/kartor_geotiff/A 20020-2026 georefererad karta.tif", "A 20020-2026")</f>
        <v/>
      </c>
      <c r="Z237">
        <f>HYPERLINK("https://klasma.github.io/Logging_2260/knärot/A 20020-2026 karta knärot.png", "A 20020-2026")</f>
        <v/>
      </c>
      <c r="AA237">
        <f>HYPERLINK("https://klasma.github.io/Logging_2260/klagomål/A 20020-2026 FSC-klagomål.docx", "A 20020-2026")</f>
        <v/>
      </c>
      <c r="AB237">
        <f>HYPERLINK("https://klasma.github.io/Logging_2260/klagomålsmail/A 20020-2026 FSC-klagomål mail.docx", "A 20020-2026")</f>
        <v/>
      </c>
      <c r="AC237">
        <f>HYPERLINK("https://klasma.github.io/Logging_2260/tillsyn/A 20020-2026 tillsynsbegäran.docx", "A 20020-2026")</f>
        <v/>
      </c>
      <c r="AD237">
        <f>HYPERLINK("https://klasma.github.io/Logging_2260/tillsynsmail/A 20020-2026 tillsynsbegäran mail.docx", "A 20020-2026")</f>
        <v/>
      </c>
      <c r="AE237">
        <f>HYPERLINK("https://klasma.github.io/Logging_2260/fåglar/A 20020-2026 prioriterade fågelarter.docx", "A 20020-2026")</f>
        <v/>
      </c>
    </row>
    <row r="238" ht="15" customHeight="1">
      <c r="A238" t="inlineStr">
        <is>
          <t>A 38603-2024</t>
        </is>
      </c>
      <c r="B238" t="inlineStr">
        <is>
          <t>avverkningsanmälan</t>
        </is>
      </c>
      <c r="C238" t="inlineStr">
        <is>
          <t>Föryngringsavverkning</t>
        </is>
      </c>
      <c r="D238" s="1" t="n">
        <v>45546</v>
      </c>
      <c r="E238" s="1" t="n">
        <v>46228</v>
      </c>
      <c r="F238" t="inlineStr">
        <is>
          <t>VÄSTERNORRLANDS LÄN</t>
        </is>
      </c>
      <c r="G238" t="inlineStr">
        <is>
          <t>ÅNGE</t>
        </is>
      </c>
      <c r="H238" t="inlineStr">
        <is>
          <t>SCA</t>
        </is>
      </c>
      <c r="I238" t="n">
        <v>5.6</v>
      </c>
      <c r="J238" t="n">
        <v>0</v>
      </c>
      <c r="K238" t="n">
        <v>0</v>
      </c>
      <c r="L238" t="n">
        <v>1</v>
      </c>
      <c r="M238" t="n">
        <v>0</v>
      </c>
      <c r="N238" t="n">
        <v>0</v>
      </c>
      <c r="O238" t="n">
        <v>0</v>
      </c>
      <c r="P238" t="n">
        <v>0</v>
      </c>
      <c r="Q238" t="n">
        <v>1</v>
      </c>
      <c r="R238" t="n">
        <v>0</v>
      </c>
      <c r="S238" t="n">
        <v>1</v>
      </c>
      <c r="T238" t="n">
        <v>1</v>
      </c>
      <c r="U238" t="n">
        <v>0</v>
      </c>
      <c r="V238" s="2" t="inlineStr">
        <is>
          <t>Rynkskinn</t>
        </is>
      </c>
      <c r="W238">
        <f>HYPERLINK("https://klasma.github.io/Logging_2260/artfynd/A 38603-2024 artfynd.xlsx", "A 38603-2024")</f>
        <v/>
      </c>
      <c r="X238">
        <f>HYPERLINK("https://klasma.github.io/Logging_2260/kartor/A 38603-2024 karta.png", "A 38603-2024")</f>
        <v/>
      </c>
      <c r="Y238">
        <f>HYPERLINK("https://klasma.github.io/Logging_2260/kartor_geotiff/A 38603-2024 georefererad karta.tif", "A 38603-2024")</f>
        <v/>
      </c>
      <c r="AA238">
        <f>HYPERLINK("https://klasma.github.io/Logging_2260/klagomål/A 38603-2024 FSC-klagomål.docx", "A 38603-2024")</f>
        <v/>
      </c>
      <c r="AB238">
        <f>HYPERLINK("https://klasma.github.io/Logging_2260/klagomålsmail/A 38603-2024 FSC-klagomål mail.docx", "A 38603-2024")</f>
        <v/>
      </c>
      <c r="AC238">
        <f>HYPERLINK("https://klasma.github.io/Logging_2260/tillsyn/A 38603-2024 tillsynsbegäran.docx", "A 38603-2024")</f>
        <v/>
      </c>
      <c r="AD238">
        <f>HYPERLINK("https://klasma.github.io/Logging_2260/tillsynsmail/A 38603-2024 tillsynsbegäran mail.docx", "A 38603-2024")</f>
        <v/>
      </c>
    </row>
    <row r="239" ht="15" customHeight="1">
      <c r="A239" t="inlineStr">
        <is>
          <t>A 31878-2024</t>
        </is>
      </c>
      <c r="B239" t="inlineStr">
        <is>
          <t>avverkningsanmälan</t>
        </is>
      </c>
      <c r="C239" t="inlineStr">
        <is>
          <t>Föryngringsavverkning</t>
        </is>
      </c>
      <c r="D239" s="1" t="n">
        <v>45509</v>
      </c>
      <c r="E239" s="1" t="n">
        <v>46228</v>
      </c>
      <c r="F239" t="inlineStr">
        <is>
          <t>VÄSTERNORRLANDS LÄN</t>
        </is>
      </c>
      <c r="G239" t="inlineStr">
        <is>
          <t>ÅNGE</t>
        </is>
      </c>
      <c r="H239" t="inlineStr">
        <is>
          <t>SCA</t>
        </is>
      </c>
      <c r="I239" t="n">
        <v>5.1</v>
      </c>
      <c r="J239" t="n">
        <v>0</v>
      </c>
      <c r="K239" t="n">
        <v>1</v>
      </c>
      <c r="L239" t="n">
        <v>0</v>
      </c>
      <c r="M239" t="n">
        <v>0</v>
      </c>
      <c r="N239" t="n">
        <v>0</v>
      </c>
      <c r="O239" t="n">
        <v>0</v>
      </c>
      <c r="P239" t="n">
        <v>0</v>
      </c>
      <c r="Q239" t="n">
        <v>0</v>
      </c>
      <c r="R239" t="n">
        <v>0</v>
      </c>
      <c r="S239" t="n">
        <v>1</v>
      </c>
      <c r="T239" t="n">
        <v>1</v>
      </c>
      <c r="U239" t="n">
        <v>0</v>
      </c>
      <c r="V239" s="2" t="inlineStr">
        <is>
          <t>Grönpyrola</t>
        </is>
      </c>
      <c r="W239">
        <f>HYPERLINK("https://klasma.github.io/Logging_2260/artfynd/A 31878-2024 artfynd.xlsx", "A 31878-2024")</f>
        <v/>
      </c>
      <c r="X239">
        <f>HYPERLINK("https://klasma.github.io/Logging_2260/kartor/A 31878-2024 karta.png", "A 31878-2024")</f>
        <v/>
      </c>
      <c r="Y239">
        <f>HYPERLINK("https://klasma.github.io/Logging_2260/kartor_geotiff/A 31878-2024 georefererad karta.tif", "A 31878-2024")</f>
        <v/>
      </c>
      <c r="AA239">
        <f>HYPERLINK("https://klasma.github.io/Logging_2260/klagomål/A 31878-2024 FSC-klagomål.docx", "A 31878-2024")</f>
        <v/>
      </c>
      <c r="AB239">
        <f>HYPERLINK("https://klasma.github.io/Logging_2260/klagomålsmail/A 31878-2024 FSC-klagomål mail.docx", "A 31878-2024")</f>
        <v/>
      </c>
      <c r="AC239">
        <f>HYPERLINK("https://klasma.github.io/Logging_2260/tillsyn/A 31878-2024 tillsynsbegäran.docx", "A 31878-2024")</f>
        <v/>
      </c>
      <c r="AD239">
        <f>HYPERLINK("https://klasma.github.io/Logging_2260/tillsynsmail/A 31878-2024 tillsynsbegäran mail.docx", "A 31878-2024")</f>
        <v/>
      </c>
    </row>
    <row r="240" ht="15" customHeight="1">
      <c r="A240" t="inlineStr">
        <is>
          <t>A 46094-2025</t>
        </is>
      </c>
      <c r="B240" t="inlineStr">
        <is>
          <t>avverkningsanmälan</t>
        </is>
      </c>
      <c r="C240" t="inlineStr">
        <is>
          <t>Föryngringsavverkning</t>
        </is>
      </c>
      <c r="D240" s="1" t="n">
        <v>45924</v>
      </c>
      <c r="E240" s="1" t="n">
        <v>46228</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57526-2024</t>
        </is>
      </c>
      <c r="B241" t="inlineStr">
        <is>
          <t>avverkningsanmälan</t>
        </is>
      </c>
      <c r="C241" t="inlineStr">
        <is>
          <t>Föryngringsavverkning</t>
        </is>
      </c>
      <c r="D241" s="1" t="n">
        <v>45630</v>
      </c>
      <c r="E241" s="1" t="n">
        <v>46228</v>
      </c>
      <c r="F241" t="inlineStr">
        <is>
          <t>VÄSTERNORRLANDS LÄN</t>
        </is>
      </c>
      <c r="G241" t="inlineStr">
        <is>
          <t>ÅNGE</t>
        </is>
      </c>
      <c r="I241" t="n">
        <v>3.2</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HYPERLINK("https://klasma.github.io/Logging_2260/artfynd/A 57526-2024 artfynd.xlsx", "A 57526-2024")</f>
        <v/>
      </c>
      <c r="X241">
        <f>HYPERLINK("https://klasma.github.io/Logging_2260/kartor/A 57526-2024 karta.png", "A 57526-2024")</f>
        <v/>
      </c>
      <c r="Y241">
        <f>HYPERLINK("https://klasma.github.io/Logging_2260/kartor_geotiff/A 57526-2024 georefererad karta.tif", "A 57526-2024")</f>
        <v/>
      </c>
      <c r="AA241">
        <f>HYPERLINK("https://klasma.github.io/Logging_2260/klagomål/A 57526-2024 FSC-klagomål.docx", "A 57526-2024")</f>
        <v/>
      </c>
      <c r="AB241">
        <f>HYPERLINK("https://klasma.github.io/Logging_2260/klagomålsmail/A 57526-2024 FSC-klagomål mail.docx", "A 57526-2024")</f>
        <v/>
      </c>
      <c r="AC241">
        <f>HYPERLINK("https://klasma.github.io/Logging_2260/tillsyn/A 57526-2024 tillsynsbegäran.docx", "A 57526-2024")</f>
        <v/>
      </c>
      <c r="AD241">
        <f>HYPERLINK("https://klasma.github.io/Logging_2260/tillsynsmail/A 57526-2024 tillsynsbegäran mail.docx", "A 57526-2024")</f>
        <v/>
      </c>
    </row>
    <row r="242" ht="15" customHeight="1">
      <c r="A242" t="inlineStr">
        <is>
          <t>A 35593-2024</t>
        </is>
      </c>
      <c r="B242" t="inlineStr">
        <is>
          <t>avverkningsanmälan</t>
        </is>
      </c>
      <c r="C242" t="inlineStr">
        <is>
          <t>Avverkning för att bevara och utveckla /försöksver</t>
        </is>
      </c>
      <c r="D242" s="1" t="n">
        <v>45531</v>
      </c>
      <c r="E242" s="1" t="n">
        <v>46228</v>
      </c>
      <c r="F242" t="inlineStr">
        <is>
          <t>VÄSTERNORRLANDS LÄN</t>
        </is>
      </c>
      <c r="G242" t="inlineStr">
        <is>
          <t>ÅNGE</t>
        </is>
      </c>
      <c r="I242" t="n">
        <v>17.6</v>
      </c>
      <c r="J242" t="n">
        <v>1</v>
      </c>
      <c r="K242" t="n">
        <v>0</v>
      </c>
      <c r="L242" t="n">
        <v>0</v>
      </c>
      <c r="M242" t="n">
        <v>0</v>
      </c>
      <c r="N242" t="n">
        <v>0</v>
      </c>
      <c r="O242" t="n">
        <v>0</v>
      </c>
      <c r="P242" t="n">
        <v>0</v>
      </c>
      <c r="Q242" t="n">
        <v>0</v>
      </c>
      <c r="R242" t="n">
        <v>0</v>
      </c>
      <c r="S242" t="n">
        <v>1</v>
      </c>
      <c r="T242" t="n">
        <v>1</v>
      </c>
      <c r="U242" t="n">
        <v>0</v>
      </c>
      <c r="V242" s="2" t="inlineStr">
        <is>
          <t>Järpe</t>
        </is>
      </c>
      <c r="W242">
        <f>HYPERLINK("https://klasma.github.io/Logging_2260/artfynd/A 35593-2024 artfynd.xlsx", "A 35593-2024")</f>
        <v/>
      </c>
      <c r="X242">
        <f>HYPERLINK("https://klasma.github.io/Logging_2260/kartor/A 35593-2024 karta.png", "A 35593-2024")</f>
        <v/>
      </c>
      <c r="Y242">
        <f>HYPERLINK("https://klasma.github.io/Logging_2260/kartor_geotiff/A 35593-2024 georefererad karta.tif", "A 35593-2024")</f>
        <v/>
      </c>
      <c r="AA242">
        <f>HYPERLINK("https://klasma.github.io/Logging_2260/klagomål/A 35593-2024 FSC-klagomål.docx", "A 35593-2024")</f>
        <v/>
      </c>
      <c r="AB242">
        <f>HYPERLINK("https://klasma.github.io/Logging_2260/klagomålsmail/A 35593-2024 FSC-klagomål mail.docx", "A 35593-2024")</f>
        <v/>
      </c>
      <c r="AC242">
        <f>HYPERLINK("https://klasma.github.io/Logging_2260/tillsyn/A 35593-2024 tillsynsbegäran.docx", "A 35593-2024")</f>
        <v/>
      </c>
      <c r="AD242">
        <f>HYPERLINK("https://klasma.github.io/Logging_2260/tillsynsmail/A 35593-2024 tillsynsbegäran mail.docx", "A 35593-2024")</f>
        <v/>
      </c>
      <c r="AE242">
        <f>HYPERLINK("https://klasma.github.io/Logging_2260/fåglar/A 35593-2024 prioriterade fågelarter.docx", "A 35593-2024")</f>
        <v/>
      </c>
    </row>
    <row r="243" ht="15" customHeight="1">
      <c r="A243" t="inlineStr">
        <is>
          <t>A 46829-2025</t>
        </is>
      </c>
      <c r="B243" t="inlineStr">
        <is>
          <t>avverkningsanmälan</t>
        </is>
      </c>
      <c r="C243" t="inlineStr">
        <is>
          <t>Föryngringsavverkning</t>
        </is>
      </c>
      <c r="D243" s="1" t="n">
        <v>45927</v>
      </c>
      <c r="E243" s="1" t="n">
        <v>46228</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1449-2025</t>
        </is>
      </c>
      <c r="B244" t="inlineStr">
        <is>
          <t>avverkningsanmälan</t>
        </is>
      </c>
      <c r="C244" t="inlineStr">
        <is>
          <t>Föryngringsavverkning</t>
        </is>
      </c>
      <c r="D244" s="1" t="n">
        <v>45670</v>
      </c>
      <c r="E244" s="1" t="n">
        <v>46228</v>
      </c>
      <c r="F244" t="inlineStr">
        <is>
          <t>VÄSTERNORRLANDS LÄN</t>
        </is>
      </c>
      <c r="G244" t="inlineStr">
        <is>
          <t>ÅNGE</t>
        </is>
      </c>
      <c r="I244" t="n">
        <v>6.3</v>
      </c>
      <c r="J244" t="n">
        <v>0</v>
      </c>
      <c r="K244" t="n">
        <v>1</v>
      </c>
      <c r="L244" t="n">
        <v>0</v>
      </c>
      <c r="M244" t="n">
        <v>0</v>
      </c>
      <c r="N244" t="n">
        <v>0</v>
      </c>
      <c r="O244" t="n">
        <v>0</v>
      </c>
      <c r="P244" t="n">
        <v>0</v>
      </c>
      <c r="Q244" t="n">
        <v>0</v>
      </c>
      <c r="R244" t="n">
        <v>0</v>
      </c>
      <c r="S244" t="n">
        <v>1</v>
      </c>
      <c r="T244" t="n">
        <v>1</v>
      </c>
      <c r="U244" t="n">
        <v>0</v>
      </c>
      <c r="V244" s="2" t="inlineStr">
        <is>
          <t>Korallblylav</t>
        </is>
      </c>
      <c r="W244">
        <f>HYPERLINK("https://klasma.github.io/Logging_2260/artfynd/A 1449-2025 artfynd.xlsx", "A 1449-2025")</f>
        <v/>
      </c>
      <c r="X244">
        <f>HYPERLINK("https://klasma.github.io/Logging_2260/kartor/A 1449-2025 karta.png", "A 1449-2025")</f>
        <v/>
      </c>
      <c r="Y244">
        <f>HYPERLINK("https://klasma.github.io/Logging_2260/kartor_geotiff/A 1449-2025 georefererad karta.tif", "A 1449-2025")</f>
        <v/>
      </c>
      <c r="AA244">
        <f>HYPERLINK("https://klasma.github.io/Logging_2260/klagomål/A 1449-2025 FSC-klagomål.docx", "A 1449-2025")</f>
        <v/>
      </c>
      <c r="AB244">
        <f>HYPERLINK("https://klasma.github.io/Logging_2260/klagomålsmail/A 1449-2025 FSC-klagomål mail.docx", "A 1449-2025")</f>
        <v/>
      </c>
      <c r="AC244">
        <f>HYPERLINK("https://klasma.github.io/Logging_2260/tillsyn/A 1449-2025 tillsynsbegäran.docx", "A 1449-2025")</f>
        <v/>
      </c>
      <c r="AD244">
        <f>HYPERLINK("https://klasma.github.io/Logging_2260/tillsynsmail/A 1449-2025 tillsynsbegäran mail.docx", "A 1449-2025")</f>
        <v/>
      </c>
    </row>
    <row r="245" ht="15" customHeight="1">
      <c r="A245" t="inlineStr">
        <is>
          <t>A 38099-2024</t>
        </is>
      </c>
      <c r="B245" t="inlineStr">
        <is>
          <t>avverkningsanmälan</t>
        </is>
      </c>
      <c r="C245" t="inlineStr">
        <is>
          <t>Föryngringsavverkning</t>
        </is>
      </c>
      <c r="D245" s="1" t="n">
        <v>45545</v>
      </c>
      <c r="E245" s="1" t="n">
        <v>46228</v>
      </c>
      <c r="F245" t="inlineStr">
        <is>
          <t>VÄSTERNORRLANDS LÄN</t>
        </is>
      </c>
      <c r="G245" t="inlineStr">
        <is>
          <t>ÅNGE</t>
        </is>
      </c>
      <c r="H245" t="inlineStr">
        <is>
          <t>Holmen skog AB</t>
        </is>
      </c>
      <c r="I245" t="n">
        <v>3.7</v>
      </c>
      <c r="J245" t="n">
        <v>1</v>
      </c>
      <c r="K245" t="n">
        <v>0</v>
      </c>
      <c r="L245" t="n">
        <v>0</v>
      </c>
      <c r="M245" t="n">
        <v>0</v>
      </c>
      <c r="N245" t="n">
        <v>0</v>
      </c>
      <c r="O245" t="n">
        <v>0</v>
      </c>
      <c r="P245" t="n">
        <v>0</v>
      </c>
      <c r="Q245" t="n">
        <v>0</v>
      </c>
      <c r="R245" t="n">
        <v>0</v>
      </c>
      <c r="S245" t="n">
        <v>1</v>
      </c>
      <c r="T245" t="n">
        <v>1</v>
      </c>
      <c r="U245" t="n">
        <v>1</v>
      </c>
      <c r="V245" s="2" t="inlineStr">
        <is>
          <t>Utter</t>
        </is>
      </c>
      <c r="W245">
        <f>HYPERLINK("https://klasma.github.io/Logging_2260/artfynd/A 38099-2024 artfynd.xlsx", "A 38099-2024")</f>
        <v/>
      </c>
      <c r="X245">
        <f>HYPERLINK("https://klasma.github.io/Logging_2260/kartor/A 38099-2024 karta.png", "A 38099-2024")</f>
        <v/>
      </c>
      <c r="Y245">
        <f>HYPERLINK("https://klasma.github.io/Logging_2260/kartor_geotiff/A 38099-2024 georefererad karta.tif", "A 38099-2024")</f>
        <v/>
      </c>
      <c r="AA245">
        <f>HYPERLINK("https://klasma.github.io/Logging_2260/klagomål/A 38099-2024 FSC-klagomål.docx", "A 38099-2024")</f>
        <v/>
      </c>
      <c r="AB245">
        <f>HYPERLINK("https://klasma.github.io/Logging_2260/klagomålsmail/A 38099-2024 FSC-klagomål mail.docx", "A 38099-2024")</f>
        <v/>
      </c>
      <c r="AC245">
        <f>HYPERLINK("https://klasma.github.io/Logging_2260/tillsyn/A 38099-2024 tillsynsbegäran.docx", "A 38099-2024")</f>
        <v/>
      </c>
      <c r="AD245">
        <f>HYPERLINK("https://klasma.github.io/Logging_2260/tillsynsmail/A 38099-2024 tillsynsbegäran mail.docx", "A 38099-2024")</f>
        <v/>
      </c>
    </row>
    <row r="246" ht="15" customHeight="1">
      <c r="A246" t="inlineStr">
        <is>
          <t>A 40214-2024</t>
        </is>
      </c>
      <c r="B246" t="inlineStr">
        <is>
          <t>avverkningsanmälan</t>
        </is>
      </c>
      <c r="C246" t="inlineStr">
        <is>
          <t>Föryngringsavverkning</t>
        </is>
      </c>
      <c r="D246" s="1" t="n">
        <v>45554</v>
      </c>
      <c r="E246" s="1" t="n">
        <v>46228</v>
      </c>
      <c r="F246" t="inlineStr">
        <is>
          <t>VÄSTERNORRLANDS LÄN</t>
        </is>
      </c>
      <c r="G246" t="inlineStr">
        <is>
          <t>ÅNGE</t>
        </is>
      </c>
      <c r="H246" t="inlineStr">
        <is>
          <t>SCA</t>
        </is>
      </c>
      <c r="I246" t="n">
        <v>7.7</v>
      </c>
      <c r="J246" t="n">
        <v>0</v>
      </c>
      <c r="K246" t="n">
        <v>0</v>
      </c>
      <c r="L246" t="n">
        <v>1</v>
      </c>
      <c r="M246" t="n">
        <v>0</v>
      </c>
      <c r="N246" t="n">
        <v>0</v>
      </c>
      <c r="O246" t="n">
        <v>0</v>
      </c>
      <c r="P246" t="n">
        <v>0</v>
      </c>
      <c r="Q246" t="n">
        <v>1</v>
      </c>
      <c r="R246" t="n">
        <v>0</v>
      </c>
      <c r="S246" t="n">
        <v>1</v>
      </c>
      <c r="T246" t="n">
        <v>2</v>
      </c>
      <c r="U246" t="n">
        <v>0</v>
      </c>
      <c r="V246" s="2" t="inlineStr">
        <is>
          <t>Lunglav</t>
        </is>
      </c>
      <c r="W246">
        <f>HYPERLINK("https://klasma.github.io/Logging_2260/artfynd/A 40214-2024 artfynd.xlsx", "A 40214-2024")</f>
        <v/>
      </c>
      <c r="X246">
        <f>HYPERLINK("https://klasma.github.io/Logging_2260/kartor/A 40214-2024 karta.png", "A 40214-2024")</f>
        <v/>
      </c>
      <c r="Y246">
        <f>HYPERLINK("https://klasma.github.io/Logging_2260/kartor_geotiff/A 40214-2024 georefererad karta.tif", "A 40214-2024")</f>
        <v/>
      </c>
      <c r="AA246">
        <f>HYPERLINK("https://klasma.github.io/Logging_2260/klagomål/A 40214-2024 FSC-klagomål.docx", "A 40214-2024")</f>
        <v/>
      </c>
      <c r="AB246">
        <f>HYPERLINK("https://klasma.github.io/Logging_2260/klagomålsmail/A 40214-2024 FSC-klagomål mail.docx", "A 40214-2024")</f>
        <v/>
      </c>
      <c r="AC246">
        <f>HYPERLINK("https://klasma.github.io/Logging_2260/tillsyn/A 40214-2024 tillsynsbegäran.docx", "A 40214-2024")</f>
        <v/>
      </c>
      <c r="AD246">
        <f>HYPERLINK("https://klasma.github.io/Logging_2260/tillsynsmail/A 40214-2024 tillsynsbegäran mail.docx", "A 40214-2024")</f>
        <v/>
      </c>
    </row>
    <row r="247" ht="15" customHeight="1">
      <c r="A247" t="inlineStr">
        <is>
          <t>A 44415-2021</t>
        </is>
      </c>
      <c r="B247" t="inlineStr">
        <is>
          <t>avverkningsanmälan</t>
        </is>
      </c>
      <c r="C247" t="inlineStr">
        <is>
          <t>Föryngringsavverkning</t>
        </is>
      </c>
      <c r="D247" s="1" t="n">
        <v>44435</v>
      </c>
      <c r="E247" s="1" t="n">
        <v>46228</v>
      </c>
      <c r="F247" t="inlineStr">
        <is>
          <t>VÄSTERNORRLANDS LÄN</t>
        </is>
      </c>
      <c r="G247" t="inlineStr">
        <is>
          <t>ÅNGE</t>
        </is>
      </c>
      <c r="I247" t="n">
        <v>5.2</v>
      </c>
      <c r="J247" t="n">
        <v>0</v>
      </c>
      <c r="K247" t="n">
        <v>1</v>
      </c>
      <c r="L247" t="n">
        <v>0</v>
      </c>
      <c r="M247" t="n">
        <v>0</v>
      </c>
      <c r="N247" t="n">
        <v>0</v>
      </c>
      <c r="O247" t="n">
        <v>0</v>
      </c>
      <c r="P247" t="n">
        <v>0</v>
      </c>
      <c r="Q247" t="n">
        <v>0</v>
      </c>
      <c r="R247" t="n">
        <v>0</v>
      </c>
      <c r="S247" t="n">
        <v>1</v>
      </c>
      <c r="T247" t="n">
        <v>1</v>
      </c>
      <c r="U247" t="n">
        <v>1</v>
      </c>
      <c r="V247" s="2" t="inlineStr">
        <is>
          <t>Strutbräken</t>
        </is>
      </c>
      <c r="W247">
        <f>HYPERLINK("https://klasma.github.io/Logging_2260/artfynd/A 44415-2021 artfynd.xlsx", "A 44415-2021")</f>
        <v/>
      </c>
      <c r="X247">
        <f>HYPERLINK("https://klasma.github.io/Logging_2260/kartor/A 44415-2021 karta.png", "A 44415-2021")</f>
        <v/>
      </c>
      <c r="Y247">
        <f>HYPERLINK("https://klasma.github.io/Logging_2260/kartor_geotiff/A 44415-2021 georefererad karta.tif", "A 44415-2021")</f>
        <v/>
      </c>
      <c r="AA247">
        <f>HYPERLINK("https://klasma.github.io/Logging_2260/klagomål/A 44415-2021 FSC-klagomål.docx", "A 44415-2021")</f>
        <v/>
      </c>
      <c r="AB247">
        <f>HYPERLINK("https://klasma.github.io/Logging_2260/klagomålsmail/A 44415-2021 FSC-klagomål mail.docx", "A 44415-2021")</f>
        <v/>
      </c>
      <c r="AC247">
        <f>HYPERLINK("https://klasma.github.io/Logging_2260/tillsyn/A 44415-2021 tillsynsbegäran.docx", "A 44415-2021")</f>
        <v/>
      </c>
      <c r="AD247">
        <f>HYPERLINK("https://klasma.github.io/Logging_2260/tillsynsmail/A 44415-2021 tillsynsbegäran mail.docx", "A 44415-2021")</f>
        <v/>
      </c>
    </row>
    <row r="248" ht="15" customHeight="1">
      <c r="A248" t="inlineStr">
        <is>
          <t>A 58534-2025</t>
        </is>
      </c>
      <c r="B248" t="inlineStr">
        <is>
          <t>avverkningsanmälan</t>
        </is>
      </c>
      <c r="C248" t="inlineStr">
        <is>
          <t>Föryngringsavverkning</t>
        </is>
      </c>
      <c r="D248" s="1" t="n">
        <v>45985</v>
      </c>
      <c r="E248" s="1" t="n">
        <v>46228</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52424-2023</t>
        </is>
      </c>
      <c r="B249" t="inlineStr">
        <is>
          <t>avverkningsanmälan</t>
        </is>
      </c>
      <c r="C249" t="inlineStr">
        <is>
          <t>Föryngringsavverkning</t>
        </is>
      </c>
      <c r="D249" s="1" t="n">
        <v>45217</v>
      </c>
      <c r="E249" s="1" t="n">
        <v>46228</v>
      </c>
      <c r="F249" t="inlineStr">
        <is>
          <t>VÄSTERNORRLANDS LÄN</t>
        </is>
      </c>
      <c r="G249" t="inlineStr">
        <is>
          <t>ÅNGE</t>
        </is>
      </c>
      <c r="H249" t="inlineStr">
        <is>
          <t>SCA</t>
        </is>
      </c>
      <c r="I249" t="n">
        <v>3.8</v>
      </c>
      <c r="J249" t="n">
        <v>1</v>
      </c>
      <c r="K249" t="n">
        <v>0</v>
      </c>
      <c r="L249" t="n">
        <v>0</v>
      </c>
      <c r="M249" t="n">
        <v>0</v>
      </c>
      <c r="N249" t="n">
        <v>0</v>
      </c>
      <c r="O249" t="n">
        <v>0</v>
      </c>
      <c r="P249" t="n">
        <v>0</v>
      </c>
      <c r="Q249" t="n">
        <v>0</v>
      </c>
      <c r="R249" t="n">
        <v>0</v>
      </c>
      <c r="S249" t="n">
        <v>1</v>
      </c>
      <c r="T249" t="n">
        <v>1</v>
      </c>
      <c r="U249" t="n">
        <v>0</v>
      </c>
      <c r="V249" s="2" t="inlineStr">
        <is>
          <t>Revlummer</t>
        </is>
      </c>
      <c r="W249">
        <f>HYPERLINK("https://klasma.github.io/Logging_2260/artfynd/A 52424-2023 artfynd.xlsx", "A 52424-2023")</f>
        <v/>
      </c>
      <c r="X249">
        <f>HYPERLINK("https://klasma.github.io/Logging_2260/kartor/A 52424-2023 karta.png", "A 52424-2023")</f>
        <v/>
      </c>
      <c r="Y249">
        <f>HYPERLINK("https://klasma.github.io/Logging_2260/kartor_geotiff/A 52424-2023 georefererad karta.tif", "A 52424-2023")</f>
        <v/>
      </c>
      <c r="AA249">
        <f>HYPERLINK("https://klasma.github.io/Logging_2260/klagomål/A 52424-2023 FSC-klagomål.docx", "A 52424-2023")</f>
        <v/>
      </c>
      <c r="AB249">
        <f>HYPERLINK("https://klasma.github.io/Logging_2260/klagomålsmail/A 52424-2023 FSC-klagomål mail.docx", "A 52424-2023")</f>
        <v/>
      </c>
      <c r="AC249">
        <f>HYPERLINK("https://klasma.github.io/Logging_2260/tillsyn/A 52424-2023 tillsynsbegäran.docx", "A 52424-2023")</f>
        <v/>
      </c>
      <c r="AD249">
        <f>HYPERLINK("https://klasma.github.io/Logging_2260/tillsynsmail/A 52424-2023 tillsynsbegäran mail.docx", "A 52424-2023")</f>
        <v/>
      </c>
    </row>
    <row r="250" ht="15" customHeight="1">
      <c r="A250" t="inlineStr">
        <is>
          <t>A 61076-2025</t>
        </is>
      </c>
      <c r="B250" t="inlineStr">
        <is>
          <t>avverkningsanmälan</t>
        </is>
      </c>
      <c r="C250" t="inlineStr">
        <is>
          <t>Föryngringsavverkning</t>
        </is>
      </c>
      <c r="D250" s="1" t="n">
        <v>46000</v>
      </c>
      <c r="E250" s="1" t="n">
        <v>46228</v>
      </c>
      <c r="F250" t="inlineStr">
        <is>
          <t>VÄSTERNORRLANDS LÄN</t>
        </is>
      </c>
      <c r="G250" t="inlineStr">
        <is>
          <t>ÅNGE</t>
        </is>
      </c>
      <c r="H250" t="inlineStr">
        <is>
          <t>Holmen skog AB</t>
        </is>
      </c>
      <c r="I250" t="n">
        <v>2.7</v>
      </c>
      <c r="J250" t="n">
        <v>0</v>
      </c>
      <c r="K250" t="n">
        <v>1</v>
      </c>
      <c r="L250" t="n">
        <v>0</v>
      </c>
      <c r="M250" t="n">
        <v>0</v>
      </c>
      <c r="N250" t="n">
        <v>0</v>
      </c>
      <c r="O250" t="n">
        <v>0</v>
      </c>
      <c r="P250" t="n">
        <v>0</v>
      </c>
      <c r="Q250" t="n">
        <v>0</v>
      </c>
      <c r="R250" t="n">
        <v>0</v>
      </c>
      <c r="S250" t="n">
        <v>1</v>
      </c>
      <c r="T250" t="n">
        <v>1</v>
      </c>
      <c r="U250" t="n">
        <v>1</v>
      </c>
      <c r="V250" s="2" t="inlineStr">
        <is>
          <t>Stor aspticka</t>
        </is>
      </c>
      <c r="W250">
        <f>HYPERLINK("https://klasma.github.io/Logging_2260/artfynd/A 61076-2025 artfynd.xlsx", "A 61076-2025")</f>
        <v/>
      </c>
      <c r="X250">
        <f>HYPERLINK("https://klasma.github.io/Logging_2260/kartor/A 61076-2025 karta.png", "A 61076-2025")</f>
        <v/>
      </c>
      <c r="Y250">
        <f>HYPERLINK("https://klasma.github.io/Logging_2260/kartor_geotiff/A 61076-2025 georefererad karta.tif", "A 61076-2025")</f>
        <v/>
      </c>
      <c r="AA250">
        <f>HYPERLINK("https://klasma.github.io/Logging_2260/klagomål/A 61076-2025 FSC-klagomål.docx", "A 61076-2025")</f>
        <v/>
      </c>
      <c r="AB250">
        <f>HYPERLINK("https://klasma.github.io/Logging_2260/klagomålsmail/A 61076-2025 FSC-klagomål mail.docx", "A 61076-2025")</f>
        <v/>
      </c>
      <c r="AC250">
        <f>HYPERLINK("https://klasma.github.io/Logging_2260/tillsyn/A 61076-2025 tillsynsbegäran.docx", "A 61076-2025")</f>
        <v/>
      </c>
      <c r="AD250">
        <f>HYPERLINK("https://klasma.github.io/Logging_2260/tillsynsmail/A 61076-2025 tillsynsbegäran mail.docx", "A 61076-2025")</f>
        <v/>
      </c>
    </row>
    <row r="251" ht="15" customHeight="1">
      <c r="A251" t="inlineStr">
        <is>
          <t>A 10687-2022</t>
        </is>
      </c>
      <c r="B251" t="inlineStr">
        <is>
          <t>avverkningsanmälan</t>
        </is>
      </c>
      <c r="C251" t="inlineStr">
        <is>
          <t>Föryngringsavverkning</t>
        </is>
      </c>
      <c r="D251" s="1" t="n">
        <v>44624</v>
      </c>
      <c r="E251" s="1" t="n">
        <v>46228</v>
      </c>
      <c r="F251" t="inlineStr">
        <is>
          <t>VÄSTERNORRLANDS LÄN</t>
        </is>
      </c>
      <c r="G251" t="inlineStr">
        <is>
          <t>ÅNGE</t>
        </is>
      </c>
      <c r="I251" t="n">
        <v>0.7</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HYPERLINK("https://klasma.github.io/Logging_2260/artfynd/A 10687-2022 artfynd.xlsx", "A 10687-2022")</f>
        <v/>
      </c>
      <c r="X251">
        <f>HYPERLINK("https://klasma.github.io/Logging_2260/kartor/A 10687-2022 karta.png", "A 10687-2022")</f>
        <v/>
      </c>
      <c r="Y251">
        <f>HYPERLINK("https://klasma.github.io/Logging_2260/kartor_geotiff/A 10687-2022 georefererad karta.tif", "A 10687-2022")</f>
        <v/>
      </c>
      <c r="AA251">
        <f>HYPERLINK("https://klasma.github.io/Logging_2260/klagomål/A 10687-2022 FSC-klagomål.docx", "A 10687-2022")</f>
        <v/>
      </c>
      <c r="AB251">
        <f>HYPERLINK("https://klasma.github.io/Logging_2260/klagomålsmail/A 10687-2022 FSC-klagomål mail.docx", "A 10687-2022")</f>
        <v/>
      </c>
      <c r="AC251">
        <f>HYPERLINK("https://klasma.github.io/Logging_2260/tillsyn/A 10687-2022 tillsynsbegäran.docx", "A 10687-2022")</f>
        <v/>
      </c>
      <c r="AD251">
        <f>HYPERLINK("https://klasma.github.io/Logging_2260/tillsynsmail/A 10687-2022 tillsynsbegäran mail.docx", "A 10687-2022")</f>
        <v/>
      </c>
      <c r="AE251">
        <f>HYPERLINK("https://klasma.github.io/Logging_2260/fåglar/A 10687-2022 prioriterade fågelarter.docx", "A 10687-2022")</f>
        <v/>
      </c>
    </row>
    <row r="252" ht="15" customHeight="1">
      <c r="A252" t="inlineStr">
        <is>
          <t>A 28541-2026</t>
        </is>
      </c>
      <c r="B252" t="inlineStr">
        <is>
          <t>avverkningsanmälan</t>
        </is>
      </c>
      <c r="C252" t="inlineStr">
        <is>
          <t>Föryngringsavverkning</t>
        </is>
      </c>
      <c r="D252" s="1" t="n">
        <v>46197</v>
      </c>
      <c r="E252" s="1" t="n">
        <v>46228</v>
      </c>
      <c r="F252" t="inlineStr">
        <is>
          <t>VÄSTERNORRLANDS LÄN</t>
        </is>
      </c>
      <c r="G252" t="inlineStr">
        <is>
          <t>ÅNGE</t>
        </is>
      </c>
      <c r="H252" t="inlineStr">
        <is>
          <t>SCA</t>
        </is>
      </c>
      <c r="I252" t="n">
        <v>1.2</v>
      </c>
      <c r="J252" t="n">
        <v>0</v>
      </c>
      <c r="K252" t="n">
        <v>0</v>
      </c>
      <c r="L252" t="n">
        <v>1</v>
      </c>
      <c r="M252" t="n">
        <v>0</v>
      </c>
      <c r="N252" t="n">
        <v>0</v>
      </c>
      <c r="O252" t="n">
        <v>0</v>
      </c>
      <c r="P252" t="n">
        <v>0</v>
      </c>
      <c r="Q252" t="n">
        <v>1</v>
      </c>
      <c r="R252" t="n">
        <v>0</v>
      </c>
      <c r="S252" t="n">
        <v>1</v>
      </c>
      <c r="T252" t="n">
        <v>1</v>
      </c>
      <c r="U252" t="n">
        <v>0</v>
      </c>
      <c r="V252" s="2" t="inlineStr">
        <is>
          <t>Dropptaggsvamp</t>
        </is>
      </c>
      <c r="W252">
        <f>HYPERLINK("https://klasma.github.io/Logging_2260/artfynd/A 28541-2026 artfynd.xlsx", "A 28541-2026")</f>
        <v/>
      </c>
      <c r="X252">
        <f>HYPERLINK("https://klasma.github.io/Logging_2260/kartor/A 28541-2026 karta.png", "A 28541-2026")</f>
        <v/>
      </c>
      <c r="Y252">
        <f>HYPERLINK("https://klasma.github.io/Logging_2260/kartor_geotiff/A 28541-2026 georefererad karta.tif", "A 28541-2026")</f>
        <v/>
      </c>
      <c r="AA252">
        <f>HYPERLINK("https://klasma.github.io/Logging_2260/klagomål/A 28541-2026 FSC-klagomål.docx", "A 28541-2026")</f>
        <v/>
      </c>
      <c r="AB252">
        <f>HYPERLINK("https://klasma.github.io/Logging_2260/klagomålsmail/A 28541-2026 FSC-klagomål mail.docx", "A 28541-2026")</f>
        <v/>
      </c>
      <c r="AC252">
        <f>HYPERLINK("https://klasma.github.io/Logging_2260/tillsyn/A 28541-2026 tillsynsbegäran.docx", "A 28541-2026")</f>
        <v/>
      </c>
      <c r="AD252">
        <f>HYPERLINK("https://klasma.github.io/Logging_2260/tillsynsmail/A 28541-2026 tillsynsbegäran mail.docx", "A 28541-2026")</f>
        <v/>
      </c>
    </row>
    <row r="253" ht="15" customHeight="1">
      <c r="A253" t="inlineStr">
        <is>
          <t>A 62084-2025</t>
        </is>
      </c>
      <c r="B253" t="inlineStr">
        <is>
          <t>avverkningsanmälan</t>
        </is>
      </c>
      <c r="C253" t="inlineStr">
        <is>
          <t>Föryngringsavverkning</t>
        </is>
      </c>
      <c r="D253" s="1" t="n">
        <v>46006</v>
      </c>
      <c r="E253" s="1" t="n">
        <v>46228</v>
      </c>
      <c r="F253" t="inlineStr">
        <is>
          <t>VÄSTERNORRLANDS LÄN</t>
        </is>
      </c>
      <c r="G253" t="inlineStr">
        <is>
          <t>ÅNGE</t>
        </is>
      </c>
      <c r="I253" t="n">
        <v>1.8</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62084-2025 artfynd.xlsx", "A 62084-2025")</f>
        <v/>
      </c>
      <c r="X253">
        <f>HYPERLINK("https://klasma.github.io/Logging_2260/kartor/A 62084-2025 karta.png", "A 62084-2025")</f>
        <v/>
      </c>
      <c r="Y253">
        <f>HYPERLINK("https://klasma.github.io/Logging_2260/kartor_geotiff/A 62084-2025 georefererad karta.tif", "A 62084-2025")</f>
        <v/>
      </c>
      <c r="AA253">
        <f>HYPERLINK("https://klasma.github.io/Logging_2260/klagomål/A 62084-2025 FSC-klagomål.docx", "A 62084-2025")</f>
        <v/>
      </c>
      <c r="AB253">
        <f>HYPERLINK("https://klasma.github.io/Logging_2260/klagomålsmail/A 62084-2025 FSC-klagomål mail.docx", "A 62084-2025")</f>
        <v/>
      </c>
      <c r="AC253">
        <f>HYPERLINK("https://klasma.github.io/Logging_2260/tillsyn/A 62084-2025 tillsynsbegäran.docx", "A 62084-2025")</f>
        <v/>
      </c>
      <c r="AD253">
        <f>HYPERLINK("https://klasma.github.io/Logging_2260/tillsynsmail/A 62084-2025 tillsynsbegäran mail.docx", "A 62084-2025")</f>
        <v/>
      </c>
    </row>
    <row r="254" ht="15" customHeight="1">
      <c r="A254" t="inlineStr">
        <is>
          <t>A 34091-2022</t>
        </is>
      </c>
      <c r="B254" t="inlineStr">
        <is>
          <t>avverkningsanmälan</t>
        </is>
      </c>
      <c r="C254" t="inlineStr">
        <is>
          <t>Föryngringsavverkning</t>
        </is>
      </c>
      <c r="D254" s="1" t="n">
        <v>44791</v>
      </c>
      <c r="E254" s="1" t="n">
        <v>46228</v>
      </c>
      <c r="F254" t="inlineStr">
        <is>
          <t>VÄSTERNORRLANDS LÄN</t>
        </is>
      </c>
      <c r="G254" t="inlineStr">
        <is>
          <t>ÅNGE</t>
        </is>
      </c>
      <c r="I254" t="n">
        <v>10.1</v>
      </c>
      <c r="J254" t="n">
        <v>0</v>
      </c>
      <c r="K254" t="n">
        <v>1</v>
      </c>
      <c r="L254" t="n">
        <v>0</v>
      </c>
      <c r="M254" t="n">
        <v>0</v>
      </c>
      <c r="N254" t="n">
        <v>0</v>
      </c>
      <c r="O254" t="n">
        <v>0</v>
      </c>
      <c r="P254" t="n">
        <v>0</v>
      </c>
      <c r="Q254" t="n">
        <v>0</v>
      </c>
      <c r="R254" t="n">
        <v>0</v>
      </c>
      <c r="S254" t="n">
        <v>1</v>
      </c>
      <c r="T254" t="n">
        <v>1</v>
      </c>
      <c r="U254" t="n">
        <v>0</v>
      </c>
      <c r="V254" s="2" t="inlineStr">
        <is>
          <t>Tibast</t>
        </is>
      </c>
      <c r="W254">
        <f>HYPERLINK("https://klasma.github.io/Logging_2260/artfynd/A 34091-2022 artfynd.xlsx", "A 34091-2022")</f>
        <v/>
      </c>
      <c r="X254">
        <f>HYPERLINK("https://klasma.github.io/Logging_2260/kartor/A 34091-2022 karta.png", "A 34091-2022")</f>
        <v/>
      </c>
      <c r="Y254">
        <f>HYPERLINK("https://klasma.github.io/Logging_2260/kartor_geotiff/A 34091-2022 georefererad karta.tif", "A 34091-2022")</f>
        <v/>
      </c>
      <c r="AA254">
        <f>HYPERLINK("https://klasma.github.io/Logging_2260/klagomål/A 34091-2022 FSC-klagomål.docx", "A 34091-2022")</f>
        <v/>
      </c>
      <c r="AB254">
        <f>HYPERLINK("https://klasma.github.io/Logging_2260/klagomålsmail/A 34091-2022 FSC-klagomål mail.docx", "A 34091-2022")</f>
        <v/>
      </c>
      <c r="AC254">
        <f>HYPERLINK("https://klasma.github.io/Logging_2260/tillsyn/A 34091-2022 tillsynsbegäran.docx", "A 34091-2022")</f>
        <v/>
      </c>
      <c r="AD254">
        <f>HYPERLINK("https://klasma.github.io/Logging_2260/tillsynsmail/A 34091-2022 tillsynsbegäran mail.docx", "A 34091-2022")</f>
        <v/>
      </c>
    </row>
    <row r="255" ht="15" customHeight="1">
      <c r="A255" t="inlineStr">
        <is>
          <t>A 5669-2026</t>
        </is>
      </c>
      <c r="B255" t="inlineStr">
        <is>
          <t>avverkningsanmälan</t>
        </is>
      </c>
      <c r="C255" t="inlineStr">
        <is>
          <t>Föryngringsavverkning</t>
        </is>
      </c>
      <c r="D255" s="1" t="n">
        <v>46051</v>
      </c>
      <c r="E255" s="1" t="n">
        <v>46228</v>
      </c>
      <c r="F255" t="inlineStr">
        <is>
          <t>VÄSTERNORRLANDS LÄN</t>
        </is>
      </c>
      <c r="G255" t="inlineStr">
        <is>
          <t>ÅNGE</t>
        </is>
      </c>
      <c r="H255" t="inlineStr">
        <is>
          <t>SCA</t>
        </is>
      </c>
      <c r="I255" t="n">
        <v>13.6</v>
      </c>
      <c r="J255" t="n">
        <v>1</v>
      </c>
      <c r="K255" t="n">
        <v>0</v>
      </c>
      <c r="L255" t="n">
        <v>0</v>
      </c>
      <c r="M255" t="n">
        <v>0</v>
      </c>
      <c r="N255" t="n">
        <v>0</v>
      </c>
      <c r="O255" t="n">
        <v>0</v>
      </c>
      <c r="P255" t="n">
        <v>0</v>
      </c>
      <c r="Q255" t="n">
        <v>0</v>
      </c>
      <c r="R255" t="n">
        <v>0</v>
      </c>
      <c r="S255" t="n">
        <v>1</v>
      </c>
      <c r="T255" t="n">
        <v>1</v>
      </c>
      <c r="U255" t="n">
        <v>0</v>
      </c>
      <c r="V255" s="2" t="inlineStr">
        <is>
          <t>Fläcknycklar</t>
        </is>
      </c>
      <c r="W255">
        <f>HYPERLINK("https://klasma.github.io/Logging_2260/artfynd/A 5669-2026 artfynd.xlsx", "A 5669-2026")</f>
        <v/>
      </c>
      <c r="X255">
        <f>HYPERLINK("https://klasma.github.io/Logging_2260/kartor/A 5669-2026 karta.png", "A 5669-2026")</f>
        <v/>
      </c>
      <c r="Y255">
        <f>HYPERLINK("https://klasma.github.io/Logging_2260/kartor_geotiff/A 5669-2026 georefererad karta.tif", "A 5669-2026")</f>
        <v/>
      </c>
      <c r="AA255">
        <f>HYPERLINK("https://klasma.github.io/Logging_2260/klagomål/A 5669-2026 FSC-klagomål.docx", "A 5669-2026")</f>
        <v/>
      </c>
      <c r="AB255">
        <f>HYPERLINK("https://klasma.github.io/Logging_2260/klagomålsmail/A 5669-2026 FSC-klagomål mail.docx", "A 5669-2026")</f>
        <v/>
      </c>
      <c r="AC255">
        <f>HYPERLINK("https://klasma.github.io/Logging_2260/tillsyn/A 5669-2026 tillsynsbegäran.docx", "A 5669-2026")</f>
        <v/>
      </c>
      <c r="AD255">
        <f>HYPERLINK("https://klasma.github.io/Logging_2260/tillsynsmail/A 5669-2026 tillsynsbegäran mail.docx", "A 5669-2026")</f>
        <v/>
      </c>
    </row>
    <row r="256" ht="15" customHeight="1">
      <c r="A256" t="inlineStr">
        <is>
          <t>A 56091-2024</t>
        </is>
      </c>
      <c r="B256" t="inlineStr">
        <is>
          <t>avverkningsanmälan</t>
        </is>
      </c>
      <c r="C256" t="inlineStr">
        <is>
          <t>Avverkning för att bevara och utveckla /försöksver</t>
        </is>
      </c>
      <c r="D256" s="1" t="n">
        <v>45624</v>
      </c>
      <c r="E256" s="1" t="n">
        <v>46228</v>
      </c>
      <c r="F256" t="inlineStr">
        <is>
          <t>VÄSTERNORRLANDS LÄN</t>
        </is>
      </c>
      <c r="G256" t="inlineStr">
        <is>
          <t>ÅNGE</t>
        </is>
      </c>
      <c r="H256" t="inlineStr">
        <is>
          <t>SCA</t>
        </is>
      </c>
      <c r="I256" t="n">
        <v>2.5</v>
      </c>
      <c r="J256" t="n">
        <v>0</v>
      </c>
      <c r="K256" t="n">
        <v>0</v>
      </c>
      <c r="L256" t="n">
        <v>1</v>
      </c>
      <c r="M256" t="n">
        <v>0</v>
      </c>
      <c r="N256" t="n">
        <v>0</v>
      </c>
      <c r="O256" t="n">
        <v>0</v>
      </c>
      <c r="P256" t="n">
        <v>0</v>
      </c>
      <c r="Q256" t="n">
        <v>1</v>
      </c>
      <c r="R256" t="n">
        <v>0</v>
      </c>
      <c r="S256" t="n">
        <v>1</v>
      </c>
      <c r="T256" t="n">
        <v>1</v>
      </c>
      <c r="U256" t="n">
        <v>0</v>
      </c>
      <c r="V256" s="2" t="inlineStr">
        <is>
          <t>Mörk kolflarnlav</t>
        </is>
      </c>
      <c r="W256">
        <f>HYPERLINK("https://klasma.github.io/Logging_2260/artfynd/A 56091-2024 artfynd.xlsx", "A 56091-2024")</f>
        <v/>
      </c>
      <c r="X256">
        <f>HYPERLINK("https://klasma.github.io/Logging_2260/kartor/A 56091-2024 karta.png", "A 56091-2024")</f>
        <v/>
      </c>
      <c r="Y256">
        <f>HYPERLINK("https://klasma.github.io/Logging_2260/kartor_geotiff/A 56091-2024 georefererad karta.tif", "A 56091-2024")</f>
        <v/>
      </c>
      <c r="AA256">
        <f>HYPERLINK("https://klasma.github.io/Logging_2260/klagomål/A 56091-2024 FSC-klagomål.docx", "A 56091-2024")</f>
        <v/>
      </c>
      <c r="AB256">
        <f>HYPERLINK("https://klasma.github.io/Logging_2260/klagomålsmail/A 56091-2024 FSC-klagomål mail.docx", "A 56091-2024")</f>
        <v/>
      </c>
      <c r="AC256">
        <f>HYPERLINK("https://klasma.github.io/Logging_2260/tillsyn/A 56091-2024 tillsynsbegäran.docx", "A 56091-2024")</f>
        <v/>
      </c>
      <c r="AD256">
        <f>HYPERLINK("https://klasma.github.io/Logging_2260/tillsynsmail/A 56091-2024 tillsynsbegäran mail.docx", "A 56091-2024")</f>
        <v/>
      </c>
    </row>
    <row r="257" ht="15" customHeight="1">
      <c r="A257" t="inlineStr">
        <is>
          <t>A 60365-2024</t>
        </is>
      </c>
      <c r="B257" t="inlineStr">
        <is>
          <t>avverkningsanmälan</t>
        </is>
      </c>
      <c r="C257" t="inlineStr">
        <is>
          <t>Avverkning för annat ändamål</t>
        </is>
      </c>
      <c r="D257" s="1" t="n">
        <v>45643</v>
      </c>
      <c r="E257" s="1" t="n">
        <v>46228</v>
      </c>
      <c r="F257" t="inlineStr">
        <is>
          <t>VÄSTERNORRLANDS LÄN</t>
        </is>
      </c>
      <c r="G257" t="inlineStr">
        <is>
          <t>ÅNGE</t>
        </is>
      </c>
      <c r="I257" t="n">
        <v>1</v>
      </c>
      <c r="J257" t="n">
        <v>0</v>
      </c>
      <c r="K257" t="n">
        <v>0</v>
      </c>
      <c r="L257" t="n">
        <v>1</v>
      </c>
      <c r="M257" t="n">
        <v>0</v>
      </c>
      <c r="N257" t="n">
        <v>0</v>
      </c>
      <c r="O257" t="n">
        <v>0</v>
      </c>
      <c r="P257" t="n">
        <v>0</v>
      </c>
      <c r="Q257" t="n">
        <v>1</v>
      </c>
      <c r="R257" t="n">
        <v>0</v>
      </c>
      <c r="S257" t="n">
        <v>1</v>
      </c>
      <c r="T257" t="n">
        <v>1</v>
      </c>
      <c r="U257" t="n">
        <v>1</v>
      </c>
      <c r="V257" s="2" t="inlineStr">
        <is>
          <t>Mindre tåtelsmygare</t>
        </is>
      </c>
      <c r="W257">
        <f>HYPERLINK("https://klasma.github.io/Logging_2260/artfynd/A 60365-2024 artfynd.xlsx", "A 60365-2024")</f>
        <v/>
      </c>
      <c r="X257">
        <f>HYPERLINK("https://klasma.github.io/Logging_2260/kartor/A 60365-2024 karta.png", "A 60365-2024")</f>
        <v/>
      </c>
      <c r="Y257">
        <f>HYPERLINK("https://klasma.github.io/Logging_2260/kartor_geotiff/A 60365-2024 georefererad karta.tif", "A 60365-2024")</f>
        <v/>
      </c>
      <c r="AA257">
        <f>HYPERLINK("https://klasma.github.io/Logging_2260/klagomål/A 60365-2024 FSC-klagomål.docx", "A 60365-2024")</f>
        <v/>
      </c>
      <c r="AB257">
        <f>HYPERLINK("https://klasma.github.io/Logging_2260/klagomålsmail/A 60365-2024 FSC-klagomål mail.docx", "A 60365-2024")</f>
        <v/>
      </c>
      <c r="AC257">
        <f>HYPERLINK("https://klasma.github.io/Logging_2260/tillsyn/A 60365-2024 tillsynsbegäran.docx", "A 60365-2024")</f>
        <v/>
      </c>
      <c r="AD257">
        <f>HYPERLINK("https://klasma.github.io/Logging_2260/tillsynsmail/A 60365-2024 tillsynsbegäran mail.docx", "A 60365-2024")</f>
        <v/>
      </c>
    </row>
    <row r="258" ht="15" customHeight="1">
      <c r="A258" t="inlineStr">
        <is>
          <t>A 30538-2026</t>
        </is>
      </c>
      <c r="B258" t="inlineStr">
        <is>
          <t>avverkningsanmälan</t>
        </is>
      </c>
      <c r="C258" t="inlineStr">
        <is>
          <t>Föryngringsavverkning</t>
        </is>
      </c>
      <c r="D258" s="1" t="n">
        <v>46210</v>
      </c>
      <c r="E258" s="1" t="n">
        <v>46228</v>
      </c>
      <c r="F258" t="inlineStr">
        <is>
          <t>VÄSTERNORRLANDS LÄN</t>
        </is>
      </c>
      <c r="G258" t="inlineStr">
        <is>
          <t>ÅNGE</t>
        </is>
      </c>
      <c r="H258" t="inlineStr">
        <is>
          <t>SCA</t>
        </is>
      </c>
      <c r="I258" t="n">
        <v>3.4</v>
      </c>
      <c r="J258" t="n">
        <v>1</v>
      </c>
      <c r="K258" t="n">
        <v>0</v>
      </c>
      <c r="L258" t="n">
        <v>0</v>
      </c>
      <c r="M258" t="n">
        <v>0</v>
      </c>
      <c r="N258" t="n">
        <v>0</v>
      </c>
      <c r="O258" t="n">
        <v>0</v>
      </c>
      <c r="P258" t="n">
        <v>0</v>
      </c>
      <c r="Q258" t="n">
        <v>0</v>
      </c>
      <c r="R258" t="n">
        <v>0</v>
      </c>
      <c r="S258" t="n">
        <v>1</v>
      </c>
      <c r="T258" t="n">
        <v>1</v>
      </c>
      <c r="U258" t="n">
        <v>0</v>
      </c>
      <c r="V258" s="2" t="inlineStr">
        <is>
          <t>Mattlummer</t>
        </is>
      </c>
      <c r="W258">
        <f>HYPERLINK("https://klasma.github.io/Logging_2260/artfynd/A 30538-2026 artfynd.xlsx", "A 30538-2026")</f>
        <v/>
      </c>
      <c r="X258">
        <f>HYPERLINK("https://klasma.github.io/Logging_2260/kartor/A 30538-2026 karta.png", "A 30538-2026")</f>
        <v/>
      </c>
      <c r="Y258">
        <f>HYPERLINK("https://klasma.github.io/Logging_2260/kartor_geotiff/A 30538-2026 georefererad karta.tif", "A 30538-2026")</f>
        <v/>
      </c>
      <c r="AA258">
        <f>HYPERLINK("https://klasma.github.io/Logging_2260/klagomål/A 30538-2026 FSC-klagomål.docx", "A 30538-2026")</f>
        <v/>
      </c>
      <c r="AB258">
        <f>HYPERLINK("https://klasma.github.io/Logging_2260/klagomålsmail/A 30538-2026 FSC-klagomål mail.docx", "A 30538-2026")</f>
        <v/>
      </c>
      <c r="AC258">
        <f>HYPERLINK("https://klasma.github.io/Logging_2260/tillsyn/A 30538-2026 tillsynsbegäran.docx", "A 30538-2026")</f>
        <v/>
      </c>
      <c r="AD258">
        <f>HYPERLINK("https://klasma.github.io/Logging_2260/tillsynsmail/A 30538-2026 tillsynsbegäran mail.docx", "A 30538-2026")</f>
        <v/>
      </c>
    </row>
    <row r="259" ht="15" customHeight="1">
      <c r="A259" t="inlineStr">
        <is>
          <t>A 31458-2026</t>
        </is>
      </c>
      <c r="B259" t="inlineStr">
        <is>
          <t>avverkningsanmälan</t>
        </is>
      </c>
      <c r="C259" t="inlineStr">
        <is>
          <t>Föryngringsavverkning</t>
        </is>
      </c>
      <c r="D259" s="1" t="n">
        <v>46221</v>
      </c>
      <c r="E259" s="1" t="n">
        <v>46228</v>
      </c>
      <c r="F259" t="inlineStr">
        <is>
          <t>VÄSTERNORRLANDS LÄN</t>
        </is>
      </c>
      <c r="G259" t="inlineStr">
        <is>
          <t>ÅNGE</t>
        </is>
      </c>
      <c r="H259" t="inlineStr">
        <is>
          <t>SCA</t>
        </is>
      </c>
      <c r="I259" t="n">
        <v>32.6</v>
      </c>
      <c r="J259" t="n">
        <v>1</v>
      </c>
      <c r="K259" t="n">
        <v>0</v>
      </c>
      <c r="L259" t="n">
        <v>0</v>
      </c>
      <c r="M259" t="n">
        <v>0</v>
      </c>
      <c r="N259" t="n">
        <v>0</v>
      </c>
      <c r="O259" t="n">
        <v>0</v>
      </c>
      <c r="P259" t="n">
        <v>0</v>
      </c>
      <c r="Q259" t="n">
        <v>0</v>
      </c>
      <c r="R259" t="n">
        <v>0</v>
      </c>
      <c r="S259" t="n">
        <v>1</v>
      </c>
      <c r="T259" t="n">
        <v>1</v>
      </c>
      <c r="U259" t="n">
        <v>0</v>
      </c>
      <c r="V259" s="2" t="inlineStr">
        <is>
          <t>Revlummer</t>
        </is>
      </c>
      <c r="W259">
        <f>HYPERLINK("https://klasma.github.io/Logging_2260/artfynd/A 31458-2026 artfynd.xlsx", "A 31458-2026")</f>
        <v/>
      </c>
      <c r="X259">
        <f>HYPERLINK("https://klasma.github.io/Logging_2260/kartor/A 31458-2026 karta.png", "A 31458-2026")</f>
        <v/>
      </c>
      <c r="Y259">
        <f>HYPERLINK("https://klasma.github.io/Logging_2260/kartor_geotiff/A 31458-2026 georefererad karta.tif", "A 31458-2026")</f>
        <v/>
      </c>
      <c r="AA259">
        <f>HYPERLINK("https://klasma.github.io/Logging_2260/klagomål/A 31458-2026 FSC-klagomål.docx", "A 31458-2026")</f>
        <v/>
      </c>
      <c r="AB259">
        <f>HYPERLINK("https://klasma.github.io/Logging_2260/klagomålsmail/A 31458-2026 FSC-klagomål mail.docx", "A 31458-2026")</f>
        <v/>
      </c>
      <c r="AC259">
        <f>HYPERLINK("https://klasma.github.io/Logging_2260/tillsyn/A 31458-2026 tillsynsbegäran.docx", "A 31458-2026")</f>
        <v/>
      </c>
      <c r="AD259">
        <f>HYPERLINK("https://klasma.github.io/Logging_2260/tillsynsmail/A 31458-2026 tillsynsbegäran mail.docx", "A 31458-2026")</f>
        <v/>
      </c>
    </row>
    <row r="260" ht="15" customHeight="1">
      <c r="A260" t="inlineStr">
        <is>
          <t>A 53336-2024</t>
        </is>
      </c>
      <c r="B260" t="inlineStr">
        <is>
          <t>avverkningsanmälan</t>
        </is>
      </c>
      <c r="C260" t="inlineStr">
        <is>
          <t>Föryngringsavverkning</t>
        </is>
      </c>
      <c r="D260" s="1" t="n">
        <v>45614</v>
      </c>
      <c r="E260" s="1" t="n">
        <v>46228</v>
      </c>
      <c r="F260" t="inlineStr">
        <is>
          <t>VÄSTERNORRLANDS LÄN</t>
        </is>
      </c>
      <c r="G260" t="inlineStr">
        <is>
          <t>ÅNGE</t>
        </is>
      </c>
      <c r="I260" t="n">
        <v>1.5</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HYPERLINK("https://klasma.github.io/Logging_2260/artfynd/A 53336-2024 artfynd.xlsx", "A 53336-2024")</f>
        <v/>
      </c>
      <c r="X260">
        <f>HYPERLINK("https://klasma.github.io/Logging_2260/kartor/A 53336-2024 karta.png", "A 53336-2024")</f>
        <v/>
      </c>
      <c r="Y260">
        <f>HYPERLINK("https://klasma.github.io/Logging_2260/kartor_geotiff/A 53336-2024 georefererad karta.tif", "A 53336-2024")</f>
        <v/>
      </c>
      <c r="AA260">
        <f>HYPERLINK("https://klasma.github.io/Logging_2260/klagomål/A 53336-2024 FSC-klagomål.docx", "A 53336-2024")</f>
        <v/>
      </c>
      <c r="AB260">
        <f>HYPERLINK("https://klasma.github.io/Logging_2260/klagomålsmail/A 53336-2024 FSC-klagomål mail.docx", "A 53336-2024")</f>
        <v/>
      </c>
      <c r="AC260">
        <f>HYPERLINK("https://klasma.github.io/Logging_2260/tillsyn/A 53336-2024 tillsynsbegäran.docx", "A 53336-2024")</f>
        <v/>
      </c>
      <c r="AD260">
        <f>HYPERLINK("https://klasma.github.io/Logging_2260/tillsynsmail/A 53336-2024 tillsynsbegäran mail.docx", "A 53336-2024")</f>
        <v/>
      </c>
    </row>
    <row r="261" ht="15" customHeight="1">
      <c r="A261" t="inlineStr">
        <is>
          <t>A 26218-2026</t>
        </is>
      </c>
      <c r="B261" t="inlineStr">
        <is>
          <t>avverkningsanmälan</t>
        </is>
      </c>
      <c r="C261" t="inlineStr">
        <is>
          <t>Föryngringsavverkning</t>
        </is>
      </c>
      <c r="D261" s="1" t="n">
        <v>46182</v>
      </c>
      <c r="E261" s="1" t="n">
        <v>46228</v>
      </c>
      <c r="F261" t="inlineStr">
        <is>
          <t>VÄSTERNORRLANDS LÄN</t>
        </is>
      </c>
      <c r="G261" t="inlineStr">
        <is>
          <t>ÅNGE</t>
        </is>
      </c>
      <c r="H261" t="inlineStr">
        <is>
          <t>SCA</t>
        </is>
      </c>
      <c r="I261" t="n">
        <v>22.2</v>
      </c>
      <c r="J261" t="n">
        <v>1</v>
      </c>
      <c r="K261" t="n">
        <v>1</v>
      </c>
      <c r="L261" t="n">
        <v>0</v>
      </c>
      <c r="M261" t="n">
        <v>0</v>
      </c>
      <c r="N261" t="n">
        <v>0</v>
      </c>
      <c r="O261" t="n">
        <v>0</v>
      </c>
      <c r="P261" t="n">
        <v>0</v>
      </c>
      <c r="Q261" t="n">
        <v>0</v>
      </c>
      <c r="R261" t="n">
        <v>0</v>
      </c>
      <c r="S261" t="n">
        <v>1</v>
      </c>
      <c r="T261" t="n">
        <v>1</v>
      </c>
      <c r="U261" t="n">
        <v>0</v>
      </c>
      <c r="V261" s="2" t="inlineStr">
        <is>
          <t>Korallrot</t>
        </is>
      </c>
      <c r="W261">
        <f>HYPERLINK("https://klasma.github.io/Logging_2260/artfynd/A 26218-2026 artfynd.xlsx", "A 26218-2026")</f>
        <v/>
      </c>
      <c r="X261">
        <f>HYPERLINK("https://klasma.github.io/Logging_2260/kartor/A 26218-2026 karta.png", "A 26218-2026")</f>
        <v/>
      </c>
      <c r="Y261">
        <f>HYPERLINK("https://klasma.github.io/Logging_2260/kartor_geotiff/A 26218-2026 georefererad karta.tif", "A 26218-2026")</f>
        <v/>
      </c>
      <c r="AA261">
        <f>HYPERLINK("https://klasma.github.io/Logging_2260/klagomål/A 26218-2026 FSC-klagomål.docx", "A 26218-2026")</f>
        <v/>
      </c>
      <c r="AB261">
        <f>HYPERLINK("https://klasma.github.io/Logging_2260/klagomålsmail/A 26218-2026 FSC-klagomål mail.docx", "A 26218-2026")</f>
        <v/>
      </c>
      <c r="AC261">
        <f>HYPERLINK("https://klasma.github.io/Logging_2260/tillsyn/A 26218-2026 tillsynsbegäran.docx", "A 26218-2026")</f>
        <v/>
      </c>
      <c r="AD261">
        <f>HYPERLINK("https://klasma.github.io/Logging_2260/tillsynsmail/A 26218-2026 tillsynsbegäran mail.docx", "A 26218-2026")</f>
        <v/>
      </c>
    </row>
    <row r="262" ht="15" customHeight="1">
      <c r="A262" t="inlineStr">
        <is>
          <t>A 53549-2023</t>
        </is>
      </c>
      <c r="B262" t="inlineStr">
        <is>
          <t>avverkningsanmälan</t>
        </is>
      </c>
      <c r="C262" t="inlineStr">
        <is>
          <t>Föryngringsavverkning</t>
        </is>
      </c>
      <c r="D262" s="1" t="n">
        <v>45230</v>
      </c>
      <c r="E262" s="1" t="n">
        <v>46228</v>
      </c>
      <c r="F262" t="inlineStr">
        <is>
          <t>VÄSTERNORRLANDS LÄN</t>
        </is>
      </c>
      <c r="G262" t="inlineStr">
        <is>
          <t>ÅNGE</t>
        </is>
      </c>
      <c r="H262" t="inlineStr">
        <is>
          <t>Holmen skog AB</t>
        </is>
      </c>
      <c r="I262" t="n">
        <v>1.8</v>
      </c>
      <c r="J262" t="n">
        <v>1</v>
      </c>
      <c r="K262" t="n">
        <v>0</v>
      </c>
      <c r="L262" t="n">
        <v>0</v>
      </c>
      <c r="M262" t="n">
        <v>0</v>
      </c>
      <c r="N262" t="n">
        <v>0</v>
      </c>
      <c r="O262" t="n">
        <v>0</v>
      </c>
      <c r="P262" t="n">
        <v>0</v>
      </c>
      <c r="Q262" t="n">
        <v>0</v>
      </c>
      <c r="R262" t="n">
        <v>0</v>
      </c>
      <c r="S262" t="n">
        <v>1</v>
      </c>
      <c r="T262" t="n">
        <v>1</v>
      </c>
      <c r="U262" t="n">
        <v>1</v>
      </c>
      <c r="V262" s="2" t="inlineStr">
        <is>
          <t>Järpe</t>
        </is>
      </c>
      <c r="W262">
        <f>HYPERLINK("https://klasma.github.io/Logging_2260/artfynd/A 53549-2023 artfynd.xlsx", "A 53549-2023")</f>
        <v/>
      </c>
      <c r="X262">
        <f>HYPERLINK("https://klasma.github.io/Logging_2260/kartor/A 53549-2023 karta.png", "A 53549-2023")</f>
        <v/>
      </c>
      <c r="Y262">
        <f>HYPERLINK("https://klasma.github.io/Logging_2260/kartor_geotiff/A 53549-2023 georefererad karta.tif", "A 53549-2023")</f>
        <v/>
      </c>
      <c r="AA262">
        <f>HYPERLINK("https://klasma.github.io/Logging_2260/klagomål/A 53549-2023 FSC-klagomål.docx", "A 53549-2023")</f>
        <v/>
      </c>
      <c r="AB262">
        <f>HYPERLINK("https://klasma.github.io/Logging_2260/klagomålsmail/A 53549-2023 FSC-klagomål mail.docx", "A 53549-2023")</f>
        <v/>
      </c>
      <c r="AC262">
        <f>HYPERLINK("https://klasma.github.io/Logging_2260/tillsyn/A 53549-2023 tillsynsbegäran.docx", "A 53549-2023")</f>
        <v/>
      </c>
      <c r="AD262">
        <f>HYPERLINK("https://klasma.github.io/Logging_2260/tillsynsmail/A 53549-2023 tillsynsbegäran mail.docx", "A 53549-2023")</f>
        <v/>
      </c>
      <c r="AE262">
        <f>HYPERLINK("https://klasma.github.io/Logging_2260/fåglar/A 53549-2023 prioriterade fågelarter.docx", "A 53549-2023")</f>
        <v/>
      </c>
    </row>
    <row r="263" ht="15" customHeight="1">
      <c r="A263" t="inlineStr">
        <is>
          <t>A 26605-2026</t>
        </is>
      </c>
      <c r="B263" t="inlineStr">
        <is>
          <t>avverkningsanmälan</t>
        </is>
      </c>
      <c r="C263" t="inlineStr">
        <is>
          <t>Avverkning för att bevara och utveckla /försöksver</t>
        </is>
      </c>
      <c r="D263" s="1" t="n">
        <v>46183</v>
      </c>
      <c r="E263" s="1" t="n">
        <v>46228</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41825-2022</t>
        </is>
      </c>
      <c r="B264" t="inlineStr">
        <is>
          <t>avverkningsanmälan</t>
        </is>
      </c>
      <c r="C264" t="inlineStr">
        <is>
          <t>Föryngringsavverkning</t>
        </is>
      </c>
      <c r="D264" s="1" t="n">
        <v>44827</v>
      </c>
      <c r="E264" s="1" t="n">
        <v>46228</v>
      </c>
      <c r="F264" t="inlineStr">
        <is>
          <t>VÄSTERNORRLANDS LÄN</t>
        </is>
      </c>
      <c r="G264" t="inlineStr">
        <is>
          <t>ÅNGE</t>
        </is>
      </c>
      <c r="H264" t="inlineStr">
        <is>
          <t>SCA</t>
        </is>
      </c>
      <c r="I264" t="n">
        <v>3.3</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HYPERLINK("https://klasma.github.io/Logging_2260/artfynd/A 41825-2022 artfynd.xlsx", "A 41825-2022")</f>
        <v/>
      </c>
      <c r="X264">
        <f>HYPERLINK("https://klasma.github.io/Logging_2260/kartor/A 41825-2022 karta.png", "A 41825-2022")</f>
        <v/>
      </c>
      <c r="Y264">
        <f>HYPERLINK("https://klasma.github.io/Logging_2260/kartor_geotiff/A 41825-2022 georefererad karta.tif", "A 41825-2022")</f>
        <v/>
      </c>
      <c r="Z264">
        <f>HYPERLINK("https://klasma.github.io/Logging_2260/knärot/A 41825-2022 karta knärot.png", "A 41825-2022")</f>
        <v/>
      </c>
      <c r="AA264">
        <f>HYPERLINK("https://klasma.github.io/Logging_2260/klagomål/A 41825-2022 FSC-klagomål.docx", "A 41825-2022")</f>
        <v/>
      </c>
      <c r="AB264">
        <f>HYPERLINK("https://klasma.github.io/Logging_2260/klagomålsmail/A 41825-2022 FSC-klagomål mail.docx", "A 41825-2022")</f>
        <v/>
      </c>
      <c r="AC264">
        <f>HYPERLINK("https://klasma.github.io/Logging_2260/tillsyn/A 41825-2022 tillsynsbegäran.docx", "A 41825-2022")</f>
        <v/>
      </c>
      <c r="AD264">
        <f>HYPERLINK("https://klasma.github.io/Logging_2260/tillsynsmail/A 41825-2022 tillsynsbegäran mail.docx", "A 41825-2022")</f>
        <v/>
      </c>
    </row>
    <row r="265" ht="15" customHeight="1">
      <c r="A265" t="inlineStr">
        <is>
          <t>A 57594-2022</t>
        </is>
      </c>
      <c r="B265" t="inlineStr">
        <is>
          <t>avverkningsanmälan</t>
        </is>
      </c>
      <c r="C265" t="inlineStr">
        <is>
          <t>Avverkning för att bevara och utveckla /försöksver</t>
        </is>
      </c>
      <c r="D265" s="1" t="n">
        <v>44896</v>
      </c>
      <c r="E265" s="1" t="n">
        <v>46228</v>
      </c>
      <c r="F265" t="inlineStr">
        <is>
          <t>VÄSTERNORRLANDS LÄN</t>
        </is>
      </c>
      <c r="G265" t="inlineStr">
        <is>
          <t>ÅNGE</t>
        </is>
      </c>
      <c r="H265" t="inlineStr">
        <is>
          <t>SCA</t>
        </is>
      </c>
      <c r="I265" t="n">
        <v>5.3</v>
      </c>
      <c r="J265" t="n">
        <v>0</v>
      </c>
      <c r="K265" t="n">
        <v>0</v>
      </c>
      <c r="L265" t="n">
        <v>1</v>
      </c>
      <c r="M265" t="n">
        <v>0</v>
      </c>
      <c r="N265" t="n">
        <v>0</v>
      </c>
      <c r="O265" t="n">
        <v>0</v>
      </c>
      <c r="P265" t="n">
        <v>0</v>
      </c>
      <c r="Q265" t="n">
        <v>1</v>
      </c>
      <c r="R265" t="n">
        <v>0</v>
      </c>
      <c r="S265" t="n">
        <v>1</v>
      </c>
      <c r="T265" t="n">
        <v>1</v>
      </c>
      <c r="U265" t="n">
        <v>0</v>
      </c>
      <c r="V265" s="2" t="inlineStr">
        <is>
          <t>Lunglav</t>
        </is>
      </c>
      <c r="W265">
        <f>HYPERLINK("https://klasma.github.io/Logging_2260/artfynd/A 57594-2022 artfynd.xlsx", "A 57594-2022")</f>
        <v/>
      </c>
      <c r="X265">
        <f>HYPERLINK("https://klasma.github.io/Logging_2260/kartor/A 57594-2022 karta.png", "A 57594-2022")</f>
        <v/>
      </c>
      <c r="Y265">
        <f>HYPERLINK("https://klasma.github.io/Logging_2260/kartor_geotiff/A 57594-2022 georefererad karta.tif", "A 57594-2022")</f>
        <v/>
      </c>
      <c r="AA265">
        <f>HYPERLINK("https://klasma.github.io/Logging_2260/klagomål/A 57594-2022 FSC-klagomål.docx", "A 57594-2022")</f>
        <v/>
      </c>
      <c r="AB265">
        <f>HYPERLINK("https://klasma.github.io/Logging_2260/klagomålsmail/A 57594-2022 FSC-klagomål mail.docx", "A 57594-2022")</f>
        <v/>
      </c>
      <c r="AC265">
        <f>HYPERLINK("https://klasma.github.io/Logging_2260/tillsyn/A 57594-2022 tillsynsbegäran.docx", "A 57594-2022")</f>
        <v/>
      </c>
      <c r="AD265">
        <f>HYPERLINK("https://klasma.github.io/Logging_2260/tillsynsmail/A 57594-2022 tillsynsbegäran mail.docx", "A 57594-2022")</f>
        <v/>
      </c>
    </row>
    <row r="266" ht="15" customHeight="1">
      <c r="A266" t="inlineStr">
        <is>
          <t>A 18869-2024</t>
        </is>
      </c>
      <c r="B266" t="inlineStr">
        <is>
          <t>avverkningsanmälan</t>
        </is>
      </c>
      <c r="C266" t="inlineStr">
        <is>
          <t>Föryngringsavverkning</t>
        </is>
      </c>
      <c r="D266" s="1" t="n">
        <v>45426</v>
      </c>
      <c r="E266" s="1" t="n">
        <v>46228</v>
      </c>
      <c r="F266" t="inlineStr">
        <is>
          <t>VÄSTERNORRLANDS LÄN</t>
        </is>
      </c>
      <c r="G266" t="inlineStr">
        <is>
          <t>ÅNGE</t>
        </is>
      </c>
      <c r="H266" t="inlineStr">
        <is>
          <t>SCA</t>
        </is>
      </c>
      <c r="I266" t="n">
        <v>4.1</v>
      </c>
      <c r="J266" t="n">
        <v>1</v>
      </c>
      <c r="K266" t="n">
        <v>1</v>
      </c>
      <c r="L266" t="n">
        <v>0</v>
      </c>
      <c r="M266" t="n">
        <v>0</v>
      </c>
      <c r="N266" t="n">
        <v>0</v>
      </c>
      <c r="O266" t="n">
        <v>0</v>
      </c>
      <c r="P266" t="n">
        <v>0</v>
      </c>
      <c r="Q266" t="n">
        <v>0</v>
      </c>
      <c r="R266" t="n">
        <v>0</v>
      </c>
      <c r="S266" t="n">
        <v>1</v>
      </c>
      <c r="T266" t="n">
        <v>1</v>
      </c>
      <c r="U266" t="n">
        <v>0</v>
      </c>
      <c r="V266" s="2" t="inlineStr">
        <is>
          <t>Tvåblad</t>
        </is>
      </c>
      <c r="W266">
        <f>HYPERLINK("https://klasma.github.io/Logging_2260/artfynd/A 18869-2024 artfynd.xlsx", "A 18869-2024")</f>
        <v/>
      </c>
      <c r="X266">
        <f>HYPERLINK("https://klasma.github.io/Logging_2260/kartor/A 18869-2024 karta.png", "A 18869-2024")</f>
        <v/>
      </c>
      <c r="Y266">
        <f>HYPERLINK("https://klasma.github.io/Logging_2260/kartor_geotiff/A 18869-2024 georefererad karta.tif", "A 18869-2024")</f>
        <v/>
      </c>
      <c r="AA266">
        <f>HYPERLINK("https://klasma.github.io/Logging_2260/klagomål/A 18869-2024 FSC-klagomål.docx", "A 18869-2024")</f>
        <v/>
      </c>
      <c r="AB266">
        <f>HYPERLINK("https://klasma.github.io/Logging_2260/klagomålsmail/A 18869-2024 FSC-klagomål mail.docx", "A 18869-2024")</f>
        <v/>
      </c>
      <c r="AC266">
        <f>HYPERLINK("https://klasma.github.io/Logging_2260/tillsyn/A 18869-2024 tillsynsbegäran.docx", "A 18869-2024")</f>
        <v/>
      </c>
      <c r="AD266">
        <f>HYPERLINK("https://klasma.github.io/Logging_2260/tillsynsmail/A 18869-2024 tillsynsbegäran mail.docx", "A 18869-2024")</f>
        <v/>
      </c>
    </row>
    <row r="267" ht="15" customHeight="1">
      <c r="A267" t="inlineStr">
        <is>
          <t>A 55015-2023</t>
        </is>
      </c>
      <c r="B267" t="inlineStr">
        <is>
          <t>avverkningsanmälan</t>
        </is>
      </c>
      <c r="C267" t="inlineStr">
        <is>
          <t>Föryngringsavverkning</t>
        </is>
      </c>
      <c r="D267" s="1" t="n">
        <v>45237</v>
      </c>
      <c r="E267" s="1" t="n">
        <v>46228</v>
      </c>
      <c r="F267" t="inlineStr">
        <is>
          <t>VÄSTERNORRLANDS LÄN</t>
        </is>
      </c>
      <c r="G267" t="inlineStr">
        <is>
          <t>ÅNGE</t>
        </is>
      </c>
      <c r="H267" t="inlineStr">
        <is>
          <t>Sveaskog</t>
        </is>
      </c>
      <c r="I267" t="n">
        <v>2.7</v>
      </c>
      <c r="J267" t="n">
        <v>0</v>
      </c>
      <c r="K267" t="n">
        <v>0</v>
      </c>
      <c r="L267" t="n">
        <v>1</v>
      </c>
      <c r="M267" t="n">
        <v>0</v>
      </c>
      <c r="N267" t="n">
        <v>0</v>
      </c>
      <c r="O267" t="n">
        <v>0</v>
      </c>
      <c r="P267" t="n">
        <v>0</v>
      </c>
      <c r="Q267" t="n">
        <v>1</v>
      </c>
      <c r="R267" t="n">
        <v>0</v>
      </c>
      <c r="S267" t="n">
        <v>1</v>
      </c>
      <c r="T267" t="n">
        <v>1</v>
      </c>
      <c r="U267" t="n">
        <v>1</v>
      </c>
      <c r="V267" s="2" t="inlineStr">
        <is>
          <t>Lunglav</t>
        </is>
      </c>
      <c r="W267">
        <f>HYPERLINK("https://klasma.github.io/Logging_2260/artfynd/A 55015-2023 artfynd.xlsx", "A 55015-2023")</f>
        <v/>
      </c>
      <c r="X267">
        <f>HYPERLINK("https://klasma.github.io/Logging_2260/kartor/A 55015-2023 karta.png", "A 55015-2023")</f>
        <v/>
      </c>
      <c r="Y267">
        <f>HYPERLINK("https://klasma.github.io/Logging_2260/kartor_geotiff/A 55015-2023 georefererad karta.tif", "A 55015-2023")</f>
        <v/>
      </c>
      <c r="AA267">
        <f>HYPERLINK("https://klasma.github.io/Logging_2260/klagomål/A 55015-2023 FSC-klagomål.docx", "A 55015-2023")</f>
        <v/>
      </c>
      <c r="AB267">
        <f>HYPERLINK("https://klasma.github.io/Logging_2260/klagomålsmail/A 55015-2023 FSC-klagomål mail.docx", "A 55015-2023")</f>
        <v/>
      </c>
      <c r="AC267">
        <f>HYPERLINK("https://klasma.github.io/Logging_2260/tillsyn/A 55015-2023 tillsynsbegäran.docx", "A 55015-2023")</f>
        <v/>
      </c>
      <c r="AD267">
        <f>HYPERLINK("https://klasma.github.io/Logging_2260/tillsynsmail/A 55015-2023 tillsynsbegäran mail.docx", "A 55015-2023")</f>
        <v/>
      </c>
    </row>
    <row r="268" ht="15" customHeight="1">
      <c r="A268" t="inlineStr">
        <is>
          <t>A 41493-2021</t>
        </is>
      </c>
      <c r="B268" t="inlineStr">
        <is>
          <t>avverkningsanmälan</t>
        </is>
      </c>
      <c r="C268" t="inlineStr">
        <is>
          <t>Avverkning för att bevara och utveckla /försöksver</t>
        </is>
      </c>
      <c r="D268" s="1" t="n">
        <v>44424</v>
      </c>
      <c r="E268" s="1" t="n">
        <v>46228</v>
      </c>
      <c r="F268" t="inlineStr">
        <is>
          <t>VÄSTERNORRLANDS LÄN</t>
        </is>
      </c>
      <c r="G268" t="inlineStr">
        <is>
          <t>ÅNGE</t>
        </is>
      </c>
      <c r="H268" t="inlineStr">
        <is>
          <t>SCA</t>
        </is>
      </c>
      <c r="I268" t="n">
        <v>8</v>
      </c>
      <c r="J268" t="n">
        <v>1</v>
      </c>
      <c r="K268" t="n">
        <v>0</v>
      </c>
      <c r="L268" t="n">
        <v>0</v>
      </c>
      <c r="M268" t="n">
        <v>1</v>
      </c>
      <c r="N268" t="n">
        <v>0</v>
      </c>
      <c r="O268" t="n">
        <v>0</v>
      </c>
      <c r="P268" t="n">
        <v>0</v>
      </c>
      <c r="Q268" t="n">
        <v>1</v>
      </c>
      <c r="R268" t="n">
        <v>1</v>
      </c>
      <c r="S268" t="n">
        <v>1</v>
      </c>
      <c r="T268" t="n">
        <v>3</v>
      </c>
      <c r="U268" t="n">
        <v>0</v>
      </c>
      <c r="V268" s="2" t="inlineStr">
        <is>
          <t>Knärot</t>
        </is>
      </c>
      <c r="W268">
        <f>HYPERLINK("https://klasma.github.io/Logging_2260/artfynd/A 41493-2021 artfynd.xlsx", "A 41493-2021")</f>
        <v/>
      </c>
      <c r="X268">
        <f>HYPERLINK("https://klasma.github.io/Logging_2260/kartor/A 41493-2021 karta.png", "A 41493-2021")</f>
        <v/>
      </c>
      <c r="Y268">
        <f>HYPERLINK("https://klasma.github.io/Logging_2260/kartor_geotiff/A 41493-2021 georefererad karta.tif", "A 41493-2021")</f>
        <v/>
      </c>
      <c r="Z268">
        <f>HYPERLINK("https://klasma.github.io/Logging_2260/knärot/A 41493-2021 karta knärot.png", "A 41493-2021")</f>
        <v/>
      </c>
      <c r="AA268">
        <f>HYPERLINK("https://klasma.github.io/Logging_2260/klagomål/A 41493-2021 FSC-klagomål.docx", "A 41493-2021")</f>
        <v/>
      </c>
      <c r="AB268">
        <f>HYPERLINK("https://klasma.github.io/Logging_2260/klagomålsmail/A 41493-2021 FSC-klagomål mail.docx", "A 41493-2021")</f>
        <v/>
      </c>
      <c r="AC268">
        <f>HYPERLINK("https://klasma.github.io/Logging_2260/tillsyn/A 41493-2021 tillsynsbegäran.docx", "A 41493-2021")</f>
        <v/>
      </c>
      <c r="AD268">
        <f>HYPERLINK("https://klasma.github.io/Logging_2260/tillsynsmail/A 41493-2021 tillsynsbegäran mail.docx", "A 41493-2021")</f>
        <v/>
      </c>
    </row>
    <row r="269" ht="15" customHeight="1">
      <c r="A269" t="inlineStr">
        <is>
          <t>A 31510-2024</t>
        </is>
      </c>
      <c r="B269" t="inlineStr">
        <is>
          <t>avverkningsanmälan</t>
        </is>
      </c>
      <c r="C269" t="inlineStr">
        <is>
          <t>Avverkning för att bevara och utveckla /försöksver</t>
        </is>
      </c>
      <c r="D269" s="1" t="n">
        <v>45505</v>
      </c>
      <c r="E269" s="1" t="n">
        <v>46228</v>
      </c>
      <c r="F269" t="inlineStr">
        <is>
          <t>VÄSTERNORRLANDS LÄN</t>
        </is>
      </c>
      <c r="G269" t="inlineStr">
        <is>
          <t>ÅNGE</t>
        </is>
      </c>
      <c r="H269" t="inlineStr">
        <is>
          <t>SCA</t>
        </is>
      </c>
      <c r="I269" t="n">
        <v>6</v>
      </c>
      <c r="J269" t="n">
        <v>1</v>
      </c>
      <c r="K269" t="n">
        <v>0</v>
      </c>
      <c r="L269" t="n">
        <v>0</v>
      </c>
      <c r="M269" t="n">
        <v>1</v>
      </c>
      <c r="N269" t="n">
        <v>0</v>
      </c>
      <c r="O269" t="n">
        <v>0</v>
      </c>
      <c r="P269" t="n">
        <v>0</v>
      </c>
      <c r="Q269" t="n">
        <v>1</v>
      </c>
      <c r="R269" t="n">
        <v>1</v>
      </c>
      <c r="S269" t="n">
        <v>1</v>
      </c>
      <c r="T269" t="n">
        <v>1</v>
      </c>
      <c r="U269" t="n">
        <v>0</v>
      </c>
      <c r="V269" s="2" t="inlineStr">
        <is>
          <t>Doftticka</t>
        </is>
      </c>
      <c r="W269">
        <f>HYPERLINK("https://klasma.github.io/Logging_2260/artfynd/A 31510-2024 artfynd.xlsx", "A 31510-2024")</f>
        <v/>
      </c>
      <c r="X269">
        <f>HYPERLINK("https://klasma.github.io/Logging_2260/kartor/A 31510-2024 karta.png", "A 31510-2024")</f>
        <v/>
      </c>
      <c r="Y269">
        <f>HYPERLINK("https://klasma.github.io/Logging_2260/kartor_geotiff/A 31510-2024 georefererad karta.tif", "A 31510-2024")</f>
        <v/>
      </c>
      <c r="AA269">
        <f>HYPERLINK("https://klasma.github.io/Logging_2260/klagomål/A 31510-2024 FSC-klagomål.docx", "A 31510-2024")</f>
        <v/>
      </c>
      <c r="AB269">
        <f>HYPERLINK("https://klasma.github.io/Logging_2260/klagomålsmail/A 31510-2024 FSC-klagomål mail.docx", "A 31510-2024")</f>
        <v/>
      </c>
      <c r="AC269">
        <f>HYPERLINK("https://klasma.github.io/Logging_2260/tillsyn/A 31510-2024 tillsynsbegäran.docx", "A 31510-2024")</f>
        <v/>
      </c>
      <c r="AD269">
        <f>HYPERLINK("https://klasma.github.io/Logging_2260/tillsynsmail/A 31510-2024 tillsynsbegäran mail.docx", "A 31510-2024")</f>
        <v/>
      </c>
    </row>
    <row r="270" ht="15" customHeight="1">
      <c r="A270" t="inlineStr">
        <is>
          <t>A 15287-2025</t>
        </is>
      </c>
      <c r="B270" t="inlineStr">
        <is>
          <t>avverkningsanmälan</t>
        </is>
      </c>
      <c r="C270" t="inlineStr">
        <is>
          <t>Föryngringsavverkning</t>
        </is>
      </c>
      <c r="D270" s="1" t="n">
        <v>45745</v>
      </c>
      <c r="E270" s="1" t="n">
        <v>46228</v>
      </c>
      <c r="F270" t="inlineStr">
        <is>
          <t>VÄSTERNORRLANDS LÄN</t>
        </is>
      </c>
      <c r="G270" t="inlineStr">
        <is>
          <t>ÅNGE</t>
        </is>
      </c>
      <c r="H270" t="inlineStr">
        <is>
          <t>SCA</t>
        </is>
      </c>
      <c r="I270" t="n">
        <v>4.3</v>
      </c>
      <c r="J270" t="n">
        <v>1</v>
      </c>
      <c r="K270" t="n">
        <v>0</v>
      </c>
      <c r="L270" t="n">
        <v>1</v>
      </c>
      <c r="M270" t="n">
        <v>0</v>
      </c>
      <c r="N270" t="n">
        <v>0</v>
      </c>
      <c r="O270" t="n">
        <v>0</v>
      </c>
      <c r="P270" t="n">
        <v>0</v>
      </c>
      <c r="Q270" t="n">
        <v>1</v>
      </c>
      <c r="R270" t="n">
        <v>0</v>
      </c>
      <c r="S270" t="n">
        <v>1</v>
      </c>
      <c r="T270" t="n">
        <v>1</v>
      </c>
      <c r="U270" t="n">
        <v>0</v>
      </c>
      <c r="V270" s="2" t="inlineStr">
        <is>
          <t>Tretåig hackspett</t>
        </is>
      </c>
      <c r="W270">
        <f>HYPERLINK("https://klasma.github.io/Logging_2260/artfynd/A 15287-2025 artfynd.xlsx", "A 15287-2025")</f>
        <v/>
      </c>
      <c r="X270">
        <f>HYPERLINK("https://klasma.github.io/Logging_2260/kartor/A 15287-2025 karta.png", "A 15287-2025")</f>
        <v/>
      </c>
      <c r="Y270">
        <f>HYPERLINK("https://klasma.github.io/Logging_2260/kartor_geotiff/A 15287-2025 georefererad karta.tif", "A 15287-2025")</f>
        <v/>
      </c>
      <c r="AA270">
        <f>HYPERLINK("https://klasma.github.io/Logging_2260/klagomål/A 15287-2025 FSC-klagomål.docx", "A 15287-2025")</f>
        <v/>
      </c>
      <c r="AB270">
        <f>HYPERLINK("https://klasma.github.io/Logging_2260/klagomålsmail/A 15287-2025 FSC-klagomål mail.docx", "A 15287-2025")</f>
        <v/>
      </c>
      <c r="AC270">
        <f>HYPERLINK("https://klasma.github.io/Logging_2260/tillsyn/A 15287-2025 tillsynsbegäran.docx", "A 15287-2025")</f>
        <v/>
      </c>
      <c r="AD270">
        <f>HYPERLINK("https://klasma.github.io/Logging_2260/tillsynsmail/A 15287-2025 tillsynsbegäran mail.docx", "A 15287-2025")</f>
        <v/>
      </c>
      <c r="AE270">
        <f>HYPERLINK("https://klasma.github.io/Logging_2260/fåglar/A 15287-2025 prioriterade fågelarter.docx", "A 15287-2025")</f>
        <v/>
      </c>
    </row>
    <row r="271" ht="15" customHeight="1">
      <c r="A271" t="inlineStr">
        <is>
          <t>A 54751-2021</t>
        </is>
      </c>
      <c r="B271" t="inlineStr">
        <is>
          <t>avverkningsanmälan</t>
        </is>
      </c>
      <c r="C271" t="inlineStr">
        <is>
          <t>Föryngringsavverkning</t>
        </is>
      </c>
      <c r="D271" s="1" t="n">
        <v>44473</v>
      </c>
      <c r="E271" s="1" t="n">
        <v>46228</v>
      </c>
      <c r="F271" t="inlineStr">
        <is>
          <t>VÄSTERNORRLANDS LÄN</t>
        </is>
      </c>
      <c r="G271" t="inlineStr">
        <is>
          <t>ÅNGE</t>
        </is>
      </c>
      <c r="I271" t="n">
        <v>6.5</v>
      </c>
      <c r="J271" t="n">
        <v>0</v>
      </c>
      <c r="K271" t="n">
        <v>0</v>
      </c>
      <c r="L271" t="n">
        <v>0</v>
      </c>
      <c r="M271" t="n">
        <v>1</v>
      </c>
      <c r="N271" t="n">
        <v>0</v>
      </c>
      <c r="O271" t="n">
        <v>0</v>
      </c>
      <c r="P271" t="n">
        <v>0</v>
      </c>
      <c r="Q271" t="n">
        <v>1</v>
      </c>
      <c r="R271" t="n">
        <v>1</v>
      </c>
      <c r="S271" t="n">
        <v>1</v>
      </c>
      <c r="T271" t="n">
        <v>1</v>
      </c>
      <c r="U271" t="n">
        <v>0</v>
      </c>
      <c r="V271" s="2" t="inlineStr">
        <is>
          <t>Gräddporing</t>
        </is>
      </c>
      <c r="W271">
        <f>HYPERLINK("https://klasma.github.io/Logging_2260/artfynd/A 54751-2021 artfynd.xlsx", "A 54751-2021")</f>
        <v/>
      </c>
      <c r="X271">
        <f>HYPERLINK("https://klasma.github.io/Logging_2260/kartor/A 54751-2021 karta.png", "A 54751-2021")</f>
        <v/>
      </c>
      <c r="Y271">
        <f>HYPERLINK("https://klasma.github.io/Logging_2260/kartor_geotiff/A 54751-2021 georefererad karta.tif", "A 54751-2021")</f>
        <v/>
      </c>
      <c r="AA271">
        <f>HYPERLINK("https://klasma.github.io/Logging_2260/klagomål/A 54751-2021 FSC-klagomål.docx", "A 54751-2021")</f>
        <v/>
      </c>
      <c r="AB271">
        <f>HYPERLINK("https://klasma.github.io/Logging_2260/klagomålsmail/A 54751-2021 FSC-klagomål mail.docx", "A 54751-2021")</f>
        <v/>
      </c>
      <c r="AC271">
        <f>HYPERLINK("https://klasma.github.io/Logging_2260/tillsyn/A 54751-2021 tillsynsbegäran.docx", "A 54751-2021")</f>
        <v/>
      </c>
      <c r="AD271">
        <f>HYPERLINK("https://klasma.github.io/Logging_2260/tillsynsmail/A 54751-2021 tillsynsbegäran mail.docx", "A 54751-2021")</f>
        <v/>
      </c>
    </row>
    <row r="272" ht="15" customHeight="1">
      <c r="A272" t="inlineStr">
        <is>
          <t>A 39180-2024</t>
        </is>
      </c>
      <c r="B272" t="inlineStr">
        <is>
          <t>avverkningsanmälan</t>
        </is>
      </c>
      <c r="C272" t="inlineStr">
        <is>
          <t>Föryngringsavverkning</t>
        </is>
      </c>
      <c r="D272" s="1" t="n">
        <v>45548</v>
      </c>
      <c r="E272" s="1" t="n">
        <v>46228</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t="n">
        <v>0</v>
      </c>
      <c r="V272" s="2" t="inlineStr">
        <is>
          <t>Grov husmossa</t>
        </is>
      </c>
      <c r="W272">
        <f>HYPERLINK("https://klasma.github.io/Logging_2260/artfynd/A 39180-2024 artfynd.xlsx", "A 39180-2024")</f>
        <v/>
      </c>
      <c r="X272">
        <f>HYPERLINK("https://klasma.github.io/Logging_2260/kartor/A 39180-2024 karta.png", "A 39180-2024")</f>
        <v/>
      </c>
      <c r="Y272">
        <f>HYPERLINK("https://klasma.github.io/Logging_2260/kartor_geotiff/A 39180-2024 georefererad karta.tif", "A 39180-2024")</f>
        <v/>
      </c>
      <c r="AA272">
        <f>HYPERLINK("https://klasma.github.io/Logging_2260/klagomål/A 39180-2024 FSC-klagomål.docx", "A 39180-2024")</f>
        <v/>
      </c>
      <c r="AB272">
        <f>HYPERLINK("https://klasma.github.io/Logging_2260/klagomålsmail/A 39180-2024 FSC-klagomål mail.docx", "A 39180-2024")</f>
        <v/>
      </c>
      <c r="AC272">
        <f>HYPERLINK("https://klasma.github.io/Logging_2260/tillsyn/A 39180-2024 tillsynsbegäran.docx", "A 39180-2024")</f>
        <v/>
      </c>
      <c r="AD272">
        <f>HYPERLINK("https://klasma.github.io/Logging_2260/tillsynsmail/A 39180-2024 tillsynsbegäran mail.docx", "A 39180-2024")</f>
        <v/>
      </c>
    </row>
    <row r="273" ht="15" customHeight="1">
      <c r="A273" t="inlineStr">
        <is>
          <t>A 54982-2023</t>
        </is>
      </c>
      <c r="B273" t="inlineStr">
        <is>
          <t>avverkningsanmälan</t>
        </is>
      </c>
      <c r="C273" t="inlineStr">
        <is>
          <t>Föryngringsavverkning</t>
        </is>
      </c>
      <c r="D273" s="1" t="n">
        <v>45236</v>
      </c>
      <c r="E273" s="1" t="n">
        <v>46228</v>
      </c>
      <c r="F273" t="inlineStr">
        <is>
          <t>VÄSTERNORRLANDS LÄN</t>
        </is>
      </c>
      <c r="G273" t="inlineStr">
        <is>
          <t>ÅNGE</t>
        </is>
      </c>
      <c r="H273" t="inlineStr">
        <is>
          <t>SCA</t>
        </is>
      </c>
      <c r="I273" t="n">
        <v>26.2</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HYPERLINK("https://klasma.github.io/Logging_2260/artfynd/A 54982-2023 artfynd.xlsx", "A 54982-2023")</f>
        <v/>
      </c>
      <c r="X273">
        <f>HYPERLINK("https://klasma.github.io/Logging_2260/kartor/A 54982-2023 karta.png", "A 54982-2023")</f>
        <v/>
      </c>
      <c r="Y273">
        <f>HYPERLINK("https://klasma.github.io/Logging_2260/kartor_geotiff/A 54982-2023 georefererad karta.tif", "A 54982-2023")</f>
        <v/>
      </c>
      <c r="AA273">
        <f>HYPERLINK("https://klasma.github.io/Logging_2260/klagomål/A 54982-2023 FSC-klagomål.docx", "A 54982-2023")</f>
        <v/>
      </c>
      <c r="AB273">
        <f>HYPERLINK("https://klasma.github.io/Logging_2260/klagomålsmail/A 54982-2023 FSC-klagomål mail.docx", "A 54982-2023")</f>
        <v/>
      </c>
      <c r="AC273">
        <f>HYPERLINK("https://klasma.github.io/Logging_2260/tillsyn/A 54982-2023 tillsynsbegäran.docx", "A 54982-2023")</f>
        <v/>
      </c>
      <c r="AD273">
        <f>HYPERLINK("https://klasma.github.io/Logging_2260/tillsynsmail/A 54982-2023 tillsynsbegäran mail.docx", "A 54982-2023")</f>
        <v/>
      </c>
    </row>
    <row r="274" ht="15" customHeight="1">
      <c r="A274" t="inlineStr">
        <is>
          <t>A 25332-2025</t>
        </is>
      </c>
      <c r="B274" t="inlineStr">
        <is>
          <t>avverkningsanmälan</t>
        </is>
      </c>
      <c r="C274" t="inlineStr">
        <is>
          <t>Föryngringsavverkning</t>
        </is>
      </c>
      <c r="D274" s="1" t="n">
        <v>45800</v>
      </c>
      <c r="E274" s="1" t="n">
        <v>46228</v>
      </c>
      <c r="F274" t="inlineStr">
        <is>
          <t>VÄSTERNORRLANDS LÄN</t>
        </is>
      </c>
      <c r="G274" t="inlineStr">
        <is>
          <t>ÅNGE</t>
        </is>
      </c>
      <c r="H274" t="inlineStr">
        <is>
          <t>SCA</t>
        </is>
      </c>
      <c r="I274" t="n">
        <v>1.6</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HYPERLINK("https://klasma.github.io/Logging_2260/artfynd/A 25332-2025 artfynd.xlsx", "A 25332-2025")</f>
        <v/>
      </c>
      <c r="X274">
        <f>HYPERLINK("https://klasma.github.io/Logging_2260/kartor/A 25332-2025 karta.png", "A 25332-2025")</f>
        <v/>
      </c>
      <c r="Y274">
        <f>HYPERLINK("https://klasma.github.io/Logging_2260/kartor_geotiff/A 25332-2025 georefererad karta.tif", "A 25332-2025")</f>
        <v/>
      </c>
      <c r="AA274">
        <f>HYPERLINK("https://klasma.github.io/Logging_2260/klagomål/A 25332-2025 FSC-klagomål.docx", "A 25332-2025")</f>
        <v/>
      </c>
      <c r="AB274">
        <f>HYPERLINK("https://klasma.github.io/Logging_2260/klagomålsmail/A 25332-2025 FSC-klagomål mail.docx", "A 25332-2025")</f>
        <v/>
      </c>
      <c r="AC274">
        <f>HYPERLINK("https://klasma.github.io/Logging_2260/tillsyn/A 25332-2025 tillsynsbegäran.docx", "A 25332-2025")</f>
        <v/>
      </c>
      <c r="AD274">
        <f>HYPERLINK("https://klasma.github.io/Logging_2260/tillsynsmail/A 25332-2025 tillsynsbegäran mail.docx", "A 25332-2025")</f>
        <v/>
      </c>
    </row>
    <row r="275" ht="15" customHeight="1">
      <c r="A275" t="inlineStr">
        <is>
          <t>A 54386-2024</t>
        </is>
      </c>
      <c r="B275" t="inlineStr">
        <is>
          <t>avverkningsanmälan</t>
        </is>
      </c>
      <c r="C275" t="inlineStr">
        <is>
          <t>Föryngringsavverkning</t>
        </is>
      </c>
      <c r="D275" s="1" t="n">
        <v>45617</v>
      </c>
      <c r="E275" s="1" t="n">
        <v>46228</v>
      </c>
      <c r="F275" t="inlineStr">
        <is>
          <t>VÄSTERNORRLANDS LÄN</t>
        </is>
      </c>
      <c r="G275" t="inlineStr">
        <is>
          <t>ÅNGE</t>
        </is>
      </c>
      <c r="H275" t="inlineStr">
        <is>
          <t>SCA</t>
        </is>
      </c>
      <c r="I275" t="n">
        <v>1.9</v>
      </c>
      <c r="J275" t="n">
        <v>0</v>
      </c>
      <c r="K275" t="n">
        <v>0</v>
      </c>
      <c r="L275" t="n">
        <v>1</v>
      </c>
      <c r="M275" t="n">
        <v>0</v>
      </c>
      <c r="N275" t="n">
        <v>0</v>
      </c>
      <c r="O275" t="n">
        <v>0</v>
      </c>
      <c r="P275" t="n">
        <v>0</v>
      </c>
      <c r="Q275" t="n">
        <v>1</v>
      </c>
      <c r="R275" t="n">
        <v>0</v>
      </c>
      <c r="S275" t="n">
        <v>1</v>
      </c>
      <c r="T275" t="n">
        <v>1</v>
      </c>
      <c r="U275" t="n">
        <v>0</v>
      </c>
      <c r="V275" s="2" t="inlineStr">
        <is>
          <t>Reliktbock</t>
        </is>
      </c>
      <c r="W275">
        <f>HYPERLINK("https://klasma.github.io/Logging_2260/artfynd/A 54386-2024 artfynd.xlsx", "A 54386-2024")</f>
        <v/>
      </c>
      <c r="X275">
        <f>HYPERLINK("https://klasma.github.io/Logging_2260/kartor/A 54386-2024 karta.png", "A 54386-2024")</f>
        <v/>
      </c>
      <c r="Y275">
        <f>HYPERLINK("https://klasma.github.io/Logging_2260/kartor_geotiff/A 54386-2024 georefererad karta.tif", "A 54386-2024")</f>
        <v/>
      </c>
      <c r="AA275">
        <f>HYPERLINK("https://klasma.github.io/Logging_2260/klagomål/A 54386-2024 FSC-klagomål.docx", "A 54386-2024")</f>
        <v/>
      </c>
      <c r="AB275">
        <f>HYPERLINK("https://klasma.github.io/Logging_2260/klagomålsmail/A 54386-2024 FSC-klagomål mail.docx", "A 54386-2024")</f>
        <v/>
      </c>
      <c r="AC275">
        <f>HYPERLINK("https://klasma.github.io/Logging_2260/tillsyn/A 54386-2024 tillsynsbegäran.docx", "A 54386-2024")</f>
        <v/>
      </c>
      <c r="AD275">
        <f>HYPERLINK("https://klasma.github.io/Logging_2260/tillsynsmail/A 54386-2024 tillsynsbegäran mail.docx", "A 54386-2024")</f>
        <v/>
      </c>
    </row>
    <row r="276" ht="15" customHeight="1">
      <c r="A276" t="inlineStr">
        <is>
          <t>A 35648-2025</t>
        </is>
      </c>
      <c r="B276" t="inlineStr">
        <is>
          <t>avverkningsanmälan</t>
        </is>
      </c>
      <c r="C276" t="inlineStr">
        <is>
          <t>Föryngringsavverkning</t>
        </is>
      </c>
      <c r="D276" s="1" t="n">
        <v>45859</v>
      </c>
      <c r="E276" s="1" t="n">
        <v>46228</v>
      </c>
      <c r="F276" t="inlineStr">
        <is>
          <t>VÄSTERNORRLANDS LÄN</t>
        </is>
      </c>
      <c r="G276" t="inlineStr">
        <is>
          <t>ÅNGE</t>
        </is>
      </c>
      <c r="H276" t="inlineStr">
        <is>
          <t>Sveaskog</t>
        </is>
      </c>
      <c r="I276" t="n">
        <v>9.1</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35648-2025 artfynd.xlsx", "A 35648-2025")</f>
        <v/>
      </c>
      <c r="X276">
        <f>HYPERLINK("https://klasma.github.io/Logging_2260/kartor/A 35648-2025 karta.png", "A 35648-2025")</f>
        <v/>
      </c>
      <c r="Y276">
        <f>HYPERLINK("https://klasma.github.io/Logging_2260/kartor_geotiff/A 35648-2025 georefererad karta.tif", "A 35648-2025")</f>
        <v/>
      </c>
      <c r="AA276">
        <f>HYPERLINK("https://klasma.github.io/Logging_2260/klagomål/A 35648-2025 FSC-klagomål.docx", "A 35648-2025")</f>
        <v/>
      </c>
      <c r="AB276">
        <f>HYPERLINK("https://klasma.github.io/Logging_2260/klagomålsmail/A 35648-2025 FSC-klagomål mail.docx", "A 35648-2025")</f>
        <v/>
      </c>
      <c r="AC276">
        <f>HYPERLINK("https://klasma.github.io/Logging_2260/tillsyn/A 35648-2025 tillsynsbegäran.docx", "A 35648-2025")</f>
        <v/>
      </c>
      <c r="AD276">
        <f>HYPERLINK("https://klasma.github.io/Logging_2260/tillsynsmail/A 35648-2025 tillsynsbegäran mail.docx", "A 35648-2025")</f>
        <v/>
      </c>
    </row>
    <row r="277" ht="15" customHeight="1">
      <c r="A277" t="inlineStr">
        <is>
          <t>A 35827-2025</t>
        </is>
      </c>
      <c r="B277" t="inlineStr">
        <is>
          <t>avverkningsanmälan</t>
        </is>
      </c>
      <c r="C277" t="inlineStr">
        <is>
          <t>Föryngringsavverkning</t>
        </is>
      </c>
      <c r="D277" s="1" t="n">
        <v>45861</v>
      </c>
      <c r="E277" s="1" t="n">
        <v>46228</v>
      </c>
      <c r="F277" t="inlineStr">
        <is>
          <t>VÄSTERNORRLANDS LÄN</t>
        </is>
      </c>
      <c r="G277" t="inlineStr">
        <is>
          <t>ÅNGE</t>
        </is>
      </c>
      <c r="I277" t="n">
        <v>0.6</v>
      </c>
      <c r="J277" t="n">
        <v>1</v>
      </c>
      <c r="K277" t="n">
        <v>0</v>
      </c>
      <c r="L277" t="n">
        <v>0</v>
      </c>
      <c r="M277" t="n">
        <v>0</v>
      </c>
      <c r="N277" t="n">
        <v>0</v>
      </c>
      <c r="O277" t="n">
        <v>0</v>
      </c>
      <c r="P277" t="n">
        <v>0</v>
      </c>
      <c r="Q277" t="n">
        <v>0</v>
      </c>
      <c r="R277" t="n">
        <v>0</v>
      </c>
      <c r="S277" t="n">
        <v>1</v>
      </c>
      <c r="T277" t="n">
        <v>2</v>
      </c>
      <c r="U277" t="n">
        <v>2</v>
      </c>
      <c r="V277" s="2" t="inlineStr">
        <is>
          <t>Järpe</t>
        </is>
      </c>
      <c r="W277">
        <f>HYPERLINK("https://klasma.github.io/Logging_2260/artfynd/A 35827-2025 artfynd.xlsx", "A 35827-2025")</f>
        <v/>
      </c>
      <c r="X277">
        <f>HYPERLINK("https://klasma.github.io/Logging_2260/kartor/A 35827-2025 karta.png", "A 35827-2025")</f>
        <v/>
      </c>
      <c r="Y277">
        <f>HYPERLINK("https://klasma.github.io/Logging_2260/kartor_geotiff/A 35827-2025 georefererad karta.tif", "A 35827-2025")</f>
        <v/>
      </c>
      <c r="AA277">
        <f>HYPERLINK("https://klasma.github.io/Logging_2260/klagomål/A 35827-2025 FSC-klagomål.docx", "A 35827-2025")</f>
        <v/>
      </c>
      <c r="AB277">
        <f>HYPERLINK("https://klasma.github.io/Logging_2260/klagomålsmail/A 35827-2025 FSC-klagomål mail.docx", "A 35827-2025")</f>
        <v/>
      </c>
      <c r="AC277">
        <f>HYPERLINK("https://klasma.github.io/Logging_2260/tillsyn/A 35827-2025 tillsynsbegäran.docx", "A 35827-2025")</f>
        <v/>
      </c>
      <c r="AD277">
        <f>HYPERLINK("https://klasma.github.io/Logging_2260/tillsynsmail/A 35827-2025 tillsynsbegäran mail.docx", "A 35827-2025")</f>
        <v/>
      </c>
      <c r="AE277">
        <f>HYPERLINK("https://klasma.github.io/Logging_2260/fåglar/A 35827-2025 prioriterade fågelarter.docx", "A 35827-2025")</f>
        <v/>
      </c>
    </row>
    <row r="278" ht="15" customHeight="1">
      <c r="A278" t="inlineStr">
        <is>
          <t>S 1222-2024</t>
        </is>
      </c>
      <c r="B278" t="inlineStr">
        <is>
          <t>samrådsanmälan</t>
        </is>
      </c>
      <c r="C278" t="inlineStr">
        <is>
          <t>Annan skogsbruksåtgärd</t>
        </is>
      </c>
      <c r="D278" s="1" t="n">
        <v>45398</v>
      </c>
      <c r="E278" s="1" t="n">
        <v>46228</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46228</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46228</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46228</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38432-2021</t>
        </is>
      </c>
      <c r="B282" t="inlineStr">
        <is>
          <t>avverkningsanmälan</t>
        </is>
      </c>
      <c r="C282" t="inlineStr">
        <is>
          <t>Avverkning för annat ändamål</t>
        </is>
      </c>
      <c r="D282" s="1" t="n">
        <v>44406</v>
      </c>
      <c r="E282" s="1" t="n">
        <v>46228</v>
      </c>
      <c r="F282" t="inlineStr">
        <is>
          <t>VÄSTERNORRLANDS LÄN</t>
        </is>
      </c>
      <c r="G282" t="inlineStr">
        <is>
          <t>ÅNGE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46228</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46228</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46228</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46228</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39744-2021</t>
        </is>
      </c>
      <c r="B287" t="inlineStr">
        <is>
          <t>avverkningsanmälan</t>
        </is>
      </c>
      <c r="C287" t="inlineStr">
        <is>
          <t>Föryngringsavverkning</t>
        </is>
      </c>
      <c r="D287" s="1" t="n">
        <v>44417</v>
      </c>
      <c r="E287" s="1" t="n">
        <v>46228</v>
      </c>
      <c r="F287" t="inlineStr">
        <is>
          <t>VÄSTERNORRLANDS LÄN</t>
        </is>
      </c>
      <c r="G287" t="inlineStr">
        <is>
          <t>ÅNGE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46228</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46228</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66265-2021</t>
        </is>
      </c>
      <c r="B290" t="inlineStr">
        <is>
          <t>avverkningsanmälan</t>
        </is>
      </c>
      <c r="C290" t="inlineStr">
        <is>
          <t>Föryngringsavverkning</t>
        </is>
      </c>
      <c r="D290" s="1" t="n">
        <v>44518</v>
      </c>
      <c r="E290" s="1" t="n">
        <v>46228</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71669-2021</t>
        </is>
      </c>
      <c r="B291" t="inlineStr">
        <is>
          <t>avverkningsanmälan</t>
        </is>
      </c>
      <c r="C291" t="inlineStr">
        <is>
          <t>Föryngringsavverkning</t>
        </is>
      </c>
      <c r="D291" s="1" t="n">
        <v>44538</v>
      </c>
      <c r="E291" s="1" t="n">
        <v>46228</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46228</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46228</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46228</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58941-2021</t>
        </is>
      </c>
      <c r="B295" t="inlineStr">
        <is>
          <t>avverkningsanmälan</t>
        </is>
      </c>
      <c r="C295" t="inlineStr">
        <is>
          <t>Föryngringsavverkning</t>
        </is>
      </c>
      <c r="D295" s="1" t="n">
        <v>44489</v>
      </c>
      <c r="E295" s="1" t="n">
        <v>46228</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52705-2021</t>
        </is>
      </c>
      <c r="B296" t="inlineStr">
        <is>
          <t>avverkningsanmälan</t>
        </is>
      </c>
      <c r="C296" t="inlineStr">
        <is>
          <t>Föryngringsavverkning</t>
        </is>
      </c>
      <c r="D296" s="1" t="n">
        <v>44466</v>
      </c>
      <c r="E296" s="1" t="n">
        <v>46228</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46228</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46228</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47282-2022</t>
        </is>
      </c>
      <c r="B299" t="inlineStr">
        <is>
          <t>avverkningsanmälan</t>
        </is>
      </c>
      <c r="C299" t="inlineStr">
        <is>
          <t>Föryngringsavverkning</t>
        </is>
      </c>
      <c r="D299" s="1" t="n">
        <v>44852</v>
      </c>
      <c r="E299" s="1" t="n">
        <v>46228</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7649-2022</t>
        </is>
      </c>
      <c r="B300" t="inlineStr">
        <is>
          <t>avverkningsanmälan</t>
        </is>
      </c>
      <c r="C300" t="inlineStr">
        <is>
          <t>Föryngringsavverkning</t>
        </is>
      </c>
      <c r="D300" s="1" t="n">
        <v>44607</v>
      </c>
      <c r="E300" s="1" t="n">
        <v>46228</v>
      </c>
      <c r="F300" t="inlineStr">
        <is>
          <t>VÄSTERNORRLANDS LÄN</t>
        </is>
      </c>
      <c r="G300" t="inlineStr">
        <is>
          <t>ÅNGE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70809-2021</t>
        </is>
      </c>
      <c r="B301" t="inlineStr">
        <is>
          <t>avverkningsanmälan</t>
        </is>
      </c>
      <c r="C301" t="inlineStr">
        <is>
          <t>Föryngringsavverkning</t>
        </is>
      </c>
      <c r="D301" s="1" t="n">
        <v>44537</v>
      </c>
      <c r="E301" s="1" t="n">
        <v>46228</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46228</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46228</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39729-2021</t>
        </is>
      </c>
      <c r="B304" t="inlineStr">
        <is>
          <t>avverkningsanmälan</t>
        </is>
      </c>
      <c r="C304" t="inlineStr">
        <is>
          <t>Föryngringsavverkning</t>
        </is>
      </c>
      <c r="D304" s="1" t="n">
        <v>44417</v>
      </c>
      <c r="E304" s="1" t="n">
        <v>46228</v>
      </c>
      <c r="F304" t="inlineStr">
        <is>
          <t>VÄSTERNORRLANDS LÄN</t>
        </is>
      </c>
      <c r="G304" t="inlineStr">
        <is>
          <t>ÅNGE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51427-2021</t>
        </is>
      </c>
      <c r="B305" t="inlineStr">
        <is>
          <t>avverkningsanmälan</t>
        </is>
      </c>
      <c r="C305" t="inlineStr">
        <is>
          <t>Föryngringsavverkning</t>
        </is>
      </c>
      <c r="D305" s="1" t="n">
        <v>44461</v>
      </c>
      <c r="E305" s="1" t="n">
        <v>46228</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9998-2022</t>
        </is>
      </c>
      <c r="B306" t="inlineStr">
        <is>
          <t>avverkningsanmälan</t>
        </is>
      </c>
      <c r="C306" t="inlineStr">
        <is>
          <t>Föryngringsavverkning</t>
        </is>
      </c>
      <c r="D306" s="1" t="n">
        <v>44621</v>
      </c>
      <c r="E306" s="1" t="n">
        <v>46228</v>
      </c>
      <c r="F306" t="inlineStr">
        <is>
          <t>VÄSTERNORRLANDS LÄN</t>
        </is>
      </c>
      <c r="G306" t="inlineStr">
        <is>
          <t>ÅNGE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46228</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70899-2021</t>
        </is>
      </c>
      <c r="B308" t="inlineStr">
        <is>
          <t>avverkningsanmälan</t>
        </is>
      </c>
      <c r="C308" t="inlineStr">
        <is>
          <t>Föryngringsavverkning</t>
        </is>
      </c>
      <c r="D308" s="1" t="n">
        <v>44537</v>
      </c>
      <c r="E308" s="1" t="n">
        <v>46228</v>
      </c>
      <c r="F308" t="inlineStr">
        <is>
          <t>VÄSTERNORRLANDS LÄN</t>
        </is>
      </c>
      <c r="G308" t="inlineStr">
        <is>
          <t>ÅNGE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46228</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35497-2022</t>
        </is>
      </c>
      <c r="B310" t="inlineStr">
        <is>
          <t>avverkningsanmälan</t>
        </is>
      </c>
      <c r="C310" t="inlineStr">
        <is>
          <t>Avverkning för att bevara och utveckla /försöksver</t>
        </is>
      </c>
      <c r="D310" s="1" t="n">
        <v>44798</v>
      </c>
      <c r="E310" s="1" t="n">
        <v>46228</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46228</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32536-2022</t>
        </is>
      </c>
      <c r="B312" t="inlineStr">
        <is>
          <t>avverkningsanmälan</t>
        </is>
      </c>
      <c r="C312" t="inlineStr">
        <is>
          <t>Föryngringsavverkning</t>
        </is>
      </c>
      <c r="D312" s="1" t="n">
        <v>44783</v>
      </c>
      <c r="E312" s="1" t="n">
        <v>46228</v>
      </c>
      <c r="F312" t="inlineStr">
        <is>
          <t>VÄSTERNORRLANDS LÄN</t>
        </is>
      </c>
      <c r="G312" t="inlineStr">
        <is>
          <t>ÅNGE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46228</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47443-2022</t>
        </is>
      </c>
      <c r="B314" t="inlineStr">
        <is>
          <t>avverkningsanmälan</t>
        </is>
      </c>
      <c r="C314" t="inlineStr">
        <is>
          <t>Föryngringsavverkning</t>
        </is>
      </c>
      <c r="D314" s="1" t="n">
        <v>44853</v>
      </c>
      <c r="E314" s="1" t="n">
        <v>46228</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42881-2021</t>
        </is>
      </c>
      <c r="B315" t="inlineStr">
        <is>
          <t>avverkningsanmälan</t>
        </is>
      </c>
      <c r="C315" t="inlineStr">
        <is>
          <t>Föryngringsavverkning</t>
        </is>
      </c>
      <c r="D315" s="1" t="n">
        <v>44431</v>
      </c>
      <c r="E315" s="1" t="n">
        <v>46228</v>
      </c>
      <c r="F315" t="inlineStr">
        <is>
          <t>VÄSTERNORRLANDS LÄN</t>
        </is>
      </c>
      <c r="G315" t="inlineStr">
        <is>
          <t>ÅNGE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39723-2021</t>
        </is>
      </c>
      <c r="B316" t="inlineStr">
        <is>
          <t>avverkningsanmälan</t>
        </is>
      </c>
      <c r="C316" t="inlineStr">
        <is>
          <t>Föryngringsavverkning</t>
        </is>
      </c>
      <c r="D316" s="1" t="n">
        <v>44417</v>
      </c>
      <c r="E316" s="1" t="n">
        <v>46228</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58942-2021</t>
        </is>
      </c>
      <c r="B317" t="inlineStr">
        <is>
          <t>avverkningsanmälan</t>
        </is>
      </c>
      <c r="C317" t="inlineStr">
        <is>
          <t>Föryngringsavverkning</t>
        </is>
      </c>
      <c r="D317" s="1" t="n">
        <v>44489</v>
      </c>
      <c r="E317" s="1" t="n">
        <v>46228</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71651-2021</t>
        </is>
      </c>
      <c r="B318" t="inlineStr">
        <is>
          <t>avverkningsanmälan</t>
        </is>
      </c>
      <c r="C318" t="inlineStr">
        <is>
          <t>Föryngringsavverkning</t>
        </is>
      </c>
      <c r="D318" s="1" t="n">
        <v>44538</v>
      </c>
      <c r="E318" s="1" t="n">
        <v>46228</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6115-2022</t>
        </is>
      </c>
      <c r="B319" t="inlineStr">
        <is>
          <t>avverkningsanmälan</t>
        </is>
      </c>
      <c r="C319" t="inlineStr">
        <is>
          <t>Föryngringsavverkning</t>
        </is>
      </c>
      <c r="D319" s="1" t="n">
        <v>44599</v>
      </c>
      <c r="E319" s="1" t="n">
        <v>46228</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49137-2021</t>
        </is>
      </c>
      <c r="B320" t="inlineStr">
        <is>
          <t>avverkningsanmälan</t>
        </is>
      </c>
      <c r="C320" t="inlineStr">
        <is>
          <t>Föryngringsavverkning</t>
        </is>
      </c>
      <c r="D320" s="1" t="n">
        <v>44453</v>
      </c>
      <c r="E320" s="1" t="n">
        <v>46228</v>
      </c>
      <c r="F320" t="inlineStr">
        <is>
          <t>VÄSTERNORRLANDS LÄN</t>
        </is>
      </c>
      <c r="G320" t="inlineStr">
        <is>
          <t>ÅNGE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50333-2021</t>
        </is>
      </c>
      <c r="B321" t="inlineStr">
        <is>
          <t>avverkningsanmälan</t>
        </is>
      </c>
      <c r="C321" t="inlineStr">
        <is>
          <t>Föryngringsavverkning</t>
        </is>
      </c>
      <c r="D321" s="1" t="n">
        <v>44454</v>
      </c>
      <c r="E321" s="1" t="n">
        <v>46228</v>
      </c>
      <c r="F321" t="inlineStr">
        <is>
          <t>VÄSTERNORRLANDS LÄN</t>
        </is>
      </c>
      <c r="G321" t="inlineStr">
        <is>
          <t>ÅNGE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46228</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55912-2021</t>
        </is>
      </c>
      <c r="B323" t="inlineStr">
        <is>
          <t>avverkningsanmälan</t>
        </is>
      </c>
      <c r="C323" t="inlineStr">
        <is>
          <t>Föryngringsavverkning</t>
        </is>
      </c>
      <c r="D323" s="1" t="n">
        <v>44476</v>
      </c>
      <c r="E323" s="1" t="n">
        <v>46228</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46228</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46228</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51163-2021</t>
        </is>
      </c>
      <c r="B326" t="inlineStr">
        <is>
          <t>avverkningsanmälan</t>
        </is>
      </c>
      <c r="C326" t="inlineStr">
        <is>
          <t>Föryngringsavverkning</t>
        </is>
      </c>
      <c r="D326" s="1" t="n">
        <v>44461</v>
      </c>
      <c r="E326" s="1" t="n">
        <v>46228</v>
      </c>
      <c r="F326" t="inlineStr">
        <is>
          <t>VÄSTERNORRLANDS LÄN</t>
        </is>
      </c>
      <c r="G326" t="inlineStr">
        <is>
          <t>ÅNGE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46228</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50125-2021</t>
        </is>
      </c>
      <c r="B328" t="inlineStr">
        <is>
          <t>avverkningsanmälan</t>
        </is>
      </c>
      <c r="C328" t="inlineStr">
        <is>
          <t>Föryngringsavverkning</t>
        </is>
      </c>
      <c r="D328" s="1" t="n">
        <v>44456</v>
      </c>
      <c r="E328" s="1" t="n">
        <v>46228</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6898-2022</t>
        </is>
      </c>
      <c r="B329" t="inlineStr">
        <is>
          <t>avverkningsanmälan</t>
        </is>
      </c>
      <c r="C329" t="inlineStr">
        <is>
          <t>Föryngringsavverkning</t>
        </is>
      </c>
      <c r="D329" s="1" t="n">
        <v>44602</v>
      </c>
      <c r="E329" s="1" t="n">
        <v>46228</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69736-2021</t>
        </is>
      </c>
      <c r="B330" t="inlineStr">
        <is>
          <t>avverkningsanmälan</t>
        </is>
      </c>
      <c r="C330" t="inlineStr">
        <is>
          <t>Föryngringsavverkning</t>
        </is>
      </c>
      <c r="D330" s="1" t="n">
        <v>44532</v>
      </c>
      <c r="E330" s="1" t="n">
        <v>46228</v>
      </c>
      <c r="F330" t="inlineStr">
        <is>
          <t>VÄSTERNORRLANDS LÄN</t>
        </is>
      </c>
      <c r="G330" t="inlineStr">
        <is>
          <t>ÅNGE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66560-2021</t>
        </is>
      </c>
      <c r="B331" t="inlineStr">
        <is>
          <t>avverkningsanmälan</t>
        </is>
      </c>
      <c r="C331" t="inlineStr">
        <is>
          <t>Föryngringsavverkning</t>
        </is>
      </c>
      <c r="D331" s="1" t="n">
        <v>44519</v>
      </c>
      <c r="E331" s="1" t="n">
        <v>46228</v>
      </c>
      <c r="F331" t="inlineStr">
        <is>
          <t>VÄSTERNORRLANDS LÄN</t>
        </is>
      </c>
      <c r="G331" t="inlineStr">
        <is>
          <t>ÅNGE</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31647-2022</t>
        </is>
      </c>
      <c r="B332" t="inlineStr">
        <is>
          <t>avverkningsanmälan</t>
        </is>
      </c>
      <c r="C332" t="inlineStr">
        <is>
          <t>Avverkning för att bevara och utveckla /försöksver</t>
        </is>
      </c>
      <c r="D332" s="1" t="n">
        <v>44775</v>
      </c>
      <c r="E332" s="1" t="n">
        <v>46228</v>
      </c>
      <c r="F332" t="inlineStr">
        <is>
          <t>VÄSTERNORRLANDS LÄN</t>
        </is>
      </c>
      <c r="G332" t="inlineStr">
        <is>
          <t>ÅNGE</t>
        </is>
      </c>
      <c r="H332" t="inlineStr">
        <is>
          <t>SCA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35507-2022</t>
        </is>
      </c>
      <c r="B333" t="inlineStr">
        <is>
          <t>avverkningsanmälan</t>
        </is>
      </c>
      <c r="C333" t="inlineStr">
        <is>
          <t>Föryngringsavverkning</t>
        </is>
      </c>
      <c r="D333" s="1" t="n">
        <v>44798</v>
      </c>
      <c r="E333" s="1" t="n">
        <v>46228</v>
      </c>
      <c r="F333" t="inlineStr">
        <is>
          <t>VÄSTERNORRLANDS LÄN</t>
        </is>
      </c>
      <c r="G333" t="inlineStr">
        <is>
          <t>ÅNGE</t>
        </is>
      </c>
      <c r="H333" t="inlineStr">
        <is>
          <t>SCA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10680-2022</t>
        </is>
      </c>
      <c r="B334" t="inlineStr">
        <is>
          <t>avverkningsanmälan</t>
        </is>
      </c>
      <c r="C334" t="inlineStr">
        <is>
          <t>Avverkning för annat ändamål</t>
        </is>
      </c>
      <c r="D334" s="1" t="n">
        <v>44624</v>
      </c>
      <c r="E334" s="1" t="n">
        <v>46228</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10686-2022</t>
        </is>
      </c>
      <c r="B335" t="inlineStr">
        <is>
          <t>avverkningsanmälan</t>
        </is>
      </c>
      <c r="C335" t="inlineStr">
        <is>
          <t>Föryngringsavverkning</t>
        </is>
      </c>
      <c r="D335" s="1" t="n">
        <v>44624</v>
      </c>
      <c r="E335" s="1" t="n">
        <v>46228</v>
      </c>
      <c r="F335" t="inlineStr">
        <is>
          <t>VÄSTERNORRLANDS LÄN</t>
        </is>
      </c>
      <c r="G335" t="inlineStr">
        <is>
          <t>ÅNGE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24355-2022</t>
        </is>
      </c>
      <c r="B336" t="inlineStr">
        <is>
          <t>avverkningsanmälan</t>
        </is>
      </c>
      <c r="C336" t="inlineStr">
        <is>
          <t>Föryngringsavverkning</t>
        </is>
      </c>
      <c r="D336" s="1" t="n">
        <v>44726</v>
      </c>
      <c r="E336" s="1" t="n">
        <v>46228</v>
      </c>
      <c r="F336" t="inlineStr">
        <is>
          <t>VÄSTERNORRLANDS LÄN</t>
        </is>
      </c>
      <c r="G336" t="inlineStr">
        <is>
          <t>ÅNGE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62870-2021</t>
        </is>
      </c>
      <c r="B337" t="inlineStr">
        <is>
          <t>avverkningsanmälan</t>
        </is>
      </c>
      <c r="C337" t="inlineStr">
        <is>
          <t>Avverkning för att bevara och utveckla /försöksver</t>
        </is>
      </c>
      <c r="D337" s="1" t="n">
        <v>44503</v>
      </c>
      <c r="E337" s="1" t="n">
        <v>46228</v>
      </c>
      <c r="F337" t="inlineStr">
        <is>
          <t>VÄSTERNORRLANDS LÄN</t>
        </is>
      </c>
      <c r="G337" t="inlineStr">
        <is>
          <t>ÅNGE</t>
        </is>
      </c>
      <c r="H337" t="inlineStr">
        <is>
          <t>Övriga statliga verk och myndigheter</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14084-2022</t>
        </is>
      </c>
      <c r="B338" t="inlineStr">
        <is>
          <t>avverkningsanmälan</t>
        </is>
      </c>
      <c r="C338" t="inlineStr">
        <is>
          <t>Föryngringsavverkning</t>
        </is>
      </c>
      <c r="D338" s="1" t="n">
        <v>44651</v>
      </c>
      <c r="E338" s="1" t="n">
        <v>46228</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14091-2022</t>
        </is>
      </c>
      <c r="B339" t="inlineStr">
        <is>
          <t>avverkningsanmälan</t>
        </is>
      </c>
      <c r="C339" t="inlineStr">
        <is>
          <t>Föryngringsavverkning</t>
        </is>
      </c>
      <c r="D339" s="1" t="n">
        <v>44651</v>
      </c>
      <c r="E339" s="1" t="n">
        <v>46228</v>
      </c>
      <c r="F339" t="inlineStr">
        <is>
          <t>VÄSTERNORRLANDS LÄN</t>
        </is>
      </c>
      <c r="G339" t="inlineStr">
        <is>
          <t>ÅNGE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46351-2022</t>
        </is>
      </c>
      <c r="B340" t="inlineStr">
        <is>
          <t>avverkningsanmälan</t>
        </is>
      </c>
      <c r="C340" t="inlineStr">
        <is>
          <t>Föryngringsavverkning</t>
        </is>
      </c>
      <c r="D340" s="1" t="n">
        <v>44847</v>
      </c>
      <c r="E340" s="1" t="n">
        <v>46228</v>
      </c>
      <c r="F340" t="inlineStr">
        <is>
          <t>VÄSTERNORRLANDS LÄN</t>
        </is>
      </c>
      <c r="G340" t="inlineStr">
        <is>
          <t>ÅNGE</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44413-2022</t>
        </is>
      </c>
      <c r="B341" t="inlineStr">
        <is>
          <t>avverkningsanmälan</t>
        </is>
      </c>
      <c r="C341" t="inlineStr">
        <is>
          <t>Föryngringsavverkning</t>
        </is>
      </c>
      <c r="D341" s="1" t="n">
        <v>44839</v>
      </c>
      <c r="E341" s="1" t="n">
        <v>46228</v>
      </c>
      <c r="F341" t="inlineStr">
        <is>
          <t>VÄSTERNORRLANDS LÄN</t>
        </is>
      </c>
      <c r="G341" t="inlineStr">
        <is>
          <t>ÅNGE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5366-2022</t>
        </is>
      </c>
      <c r="B342" t="inlineStr">
        <is>
          <t>avverkningsanmälan</t>
        </is>
      </c>
      <c r="C342" t="inlineStr">
        <is>
          <t>Föryngringsavverkning</t>
        </is>
      </c>
      <c r="D342" s="1" t="n">
        <v>44594</v>
      </c>
      <c r="E342" s="1" t="n">
        <v>46228</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53010-2022</t>
        </is>
      </c>
      <c r="B343" t="inlineStr">
        <is>
          <t>avverkningsanmälan</t>
        </is>
      </c>
      <c r="C343" t="inlineStr">
        <is>
          <t>Föryngringsavverkning</t>
        </is>
      </c>
      <c r="D343" s="1" t="n">
        <v>44875</v>
      </c>
      <c r="E343" s="1" t="n">
        <v>46228</v>
      </c>
      <c r="F343" t="inlineStr">
        <is>
          <t>VÄSTERNORRLANDS LÄN</t>
        </is>
      </c>
      <c r="G343" t="inlineStr">
        <is>
          <t>ÅNGE</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55905-2021</t>
        </is>
      </c>
      <c r="B344" t="inlineStr">
        <is>
          <t>avverkningsanmälan</t>
        </is>
      </c>
      <c r="C344" t="inlineStr">
        <is>
          <t>Föryngringsavverkning</t>
        </is>
      </c>
      <c r="D344" s="1" t="n">
        <v>44476</v>
      </c>
      <c r="E344" s="1" t="n">
        <v>46228</v>
      </c>
      <c r="F344" t="inlineStr">
        <is>
          <t>VÄSTERNORRLANDS LÄN</t>
        </is>
      </c>
      <c r="G344" t="inlineStr">
        <is>
          <t>ÅNGE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17580-2022</t>
        </is>
      </c>
      <c r="B345" t="inlineStr">
        <is>
          <t>avverkningsanmälan</t>
        </is>
      </c>
      <c r="C345" t="inlineStr">
        <is>
          <t>Föryngringsavverkning</t>
        </is>
      </c>
      <c r="D345" s="1" t="n">
        <v>44679</v>
      </c>
      <c r="E345" s="1" t="n">
        <v>46228</v>
      </c>
      <c r="F345" t="inlineStr">
        <is>
          <t>VÄSTERNORRLANDS LÄN</t>
        </is>
      </c>
      <c r="G345" t="inlineStr">
        <is>
          <t>ÅNGE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70893-2021</t>
        </is>
      </c>
      <c r="B346" t="inlineStr">
        <is>
          <t>avverkningsanmälan</t>
        </is>
      </c>
      <c r="C346" t="inlineStr">
        <is>
          <t>Föryngringsavverkning</t>
        </is>
      </c>
      <c r="D346" s="1" t="n">
        <v>44538</v>
      </c>
      <c r="E346" s="1" t="n">
        <v>46228</v>
      </c>
      <c r="F346" t="inlineStr">
        <is>
          <t>VÄSTERNORRLANDS LÄN</t>
        </is>
      </c>
      <c r="G346" t="inlineStr">
        <is>
          <t>ÅNGE</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20369-2022</t>
        </is>
      </c>
      <c r="B347" t="inlineStr">
        <is>
          <t>avverkningsanmälan</t>
        </is>
      </c>
      <c r="C347" t="inlineStr">
        <is>
          <t>Föryngringsavverkning</t>
        </is>
      </c>
      <c r="D347" s="1" t="n">
        <v>44699</v>
      </c>
      <c r="E347" s="1" t="n">
        <v>46228</v>
      </c>
      <c r="F347" t="inlineStr">
        <is>
          <t>VÄSTERNORRLANDS LÄN</t>
        </is>
      </c>
      <c r="G347" t="inlineStr">
        <is>
          <t>ÅNGE</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5113-2022</t>
        </is>
      </c>
      <c r="B348" t="inlineStr">
        <is>
          <t>avverkningsanmälan</t>
        </is>
      </c>
      <c r="C348" t="inlineStr">
        <is>
          <t>Föryngringsavverkning</t>
        </is>
      </c>
      <c r="D348" s="1" t="n">
        <v>44593</v>
      </c>
      <c r="E348" s="1" t="n">
        <v>46228</v>
      </c>
      <c r="F348" t="inlineStr">
        <is>
          <t>VÄSTERNORRLANDS LÄN</t>
        </is>
      </c>
      <c r="G348" t="inlineStr">
        <is>
          <t>ÅNGE</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61761-2021</t>
        </is>
      </c>
      <c r="B349" t="inlineStr">
        <is>
          <t>avverkningsanmälan</t>
        </is>
      </c>
      <c r="C349" t="inlineStr">
        <is>
          <t>Föryngringsavverkning</t>
        </is>
      </c>
      <c r="D349" s="1" t="n">
        <v>44501</v>
      </c>
      <c r="E349" s="1" t="n">
        <v>46228</v>
      </c>
      <c r="F349" t="inlineStr">
        <is>
          <t>VÄSTERNORRLANDS LÄN</t>
        </is>
      </c>
      <c r="G349" t="inlineStr">
        <is>
          <t>ÅNGE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30768-2022</t>
        </is>
      </c>
      <c r="B350" t="inlineStr">
        <is>
          <t>avverkningsanmälan</t>
        </is>
      </c>
      <c r="C350" t="inlineStr">
        <is>
          <t>Föryngringsavverkning</t>
        </is>
      </c>
      <c r="D350" s="1" t="n">
        <v>44764</v>
      </c>
      <c r="E350" s="1" t="n">
        <v>46228</v>
      </c>
      <c r="F350" t="inlineStr">
        <is>
          <t>VÄSTERNORRLANDS LÄN</t>
        </is>
      </c>
      <c r="G350" t="inlineStr">
        <is>
          <t>ÅNGE</t>
        </is>
      </c>
      <c r="H350" t="inlineStr">
        <is>
          <t>Sveaskog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51494-2022</t>
        </is>
      </c>
      <c r="B351" t="inlineStr">
        <is>
          <t>avverkningsanmälan</t>
        </is>
      </c>
      <c r="C351" t="inlineStr">
        <is>
          <t>Föryngringsavverkning</t>
        </is>
      </c>
      <c r="D351" s="1" t="n">
        <v>44869</v>
      </c>
      <c r="E351" s="1" t="n">
        <v>46228</v>
      </c>
      <c r="F351" t="inlineStr">
        <is>
          <t>VÄSTERNORRLANDS LÄN</t>
        </is>
      </c>
      <c r="G351" t="inlineStr">
        <is>
          <t>ÅNGE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35283-2022</t>
        </is>
      </c>
      <c r="B352" t="inlineStr">
        <is>
          <t>avverkningsanmälan</t>
        </is>
      </c>
      <c r="C352" t="inlineStr">
        <is>
          <t>Föryngringsavverkning</t>
        </is>
      </c>
      <c r="D352" s="1" t="n">
        <v>44798</v>
      </c>
      <c r="E352" s="1" t="n">
        <v>46228</v>
      </c>
      <c r="F352" t="inlineStr">
        <is>
          <t>VÄSTERNORRLANDS LÄN</t>
        </is>
      </c>
      <c r="G352" t="inlineStr">
        <is>
          <t>ÅNGE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33274-2022</t>
        </is>
      </c>
      <c r="B353" t="inlineStr">
        <is>
          <t>avverkningsanmälan</t>
        </is>
      </c>
      <c r="C353" t="inlineStr">
        <is>
          <t>Föryngringsavverkning</t>
        </is>
      </c>
      <c r="D353" s="1" t="n">
        <v>44788</v>
      </c>
      <c r="E353" s="1" t="n">
        <v>46228</v>
      </c>
      <c r="F353" t="inlineStr">
        <is>
          <t>VÄSTERNORRLANDS LÄN</t>
        </is>
      </c>
      <c r="G353" t="inlineStr">
        <is>
          <t>ÅNGE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47660-2022</t>
        </is>
      </c>
      <c r="B354" t="inlineStr">
        <is>
          <t>avverkningsanmälan</t>
        </is>
      </c>
      <c r="C354" t="inlineStr">
        <is>
          <t>Föryngringsavverkning</t>
        </is>
      </c>
      <c r="D354" s="1" t="n">
        <v>44854</v>
      </c>
      <c r="E354" s="1" t="n">
        <v>46228</v>
      </c>
      <c r="F354" t="inlineStr">
        <is>
          <t>VÄSTERNORRLANDS LÄN</t>
        </is>
      </c>
      <c r="G354" t="inlineStr">
        <is>
          <t>ÅNGE</t>
        </is>
      </c>
      <c r="H354" t="inlineStr">
        <is>
          <t>Holmen skog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50710-2021</t>
        </is>
      </c>
      <c r="B355" t="inlineStr">
        <is>
          <t>avverkningsanmälan</t>
        </is>
      </c>
      <c r="C355" t="inlineStr">
        <is>
          <t>Föryngringsavverkning</t>
        </is>
      </c>
      <c r="D355" s="1" t="n">
        <v>44460</v>
      </c>
      <c r="E355" s="1" t="n">
        <v>46228</v>
      </c>
      <c r="F355" t="inlineStr">
        <is>
          <t>VÄSTERNORRLANDS LÄN</t>
        </is>
      </c>
      <c r="G355" t="inlineStr">
        <is>
          <t>ÅNGE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46228</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7633-2022</t>
        </is>
      </c>
      <c r="B357" t="inlineStr">
        <is>
          <t>avverkningsanmälan</t>
        </is>
      </c>
      <c r="C357" t="inlineStr">
        <is>
          <t>Föryngringsavverkning</t>
        </is>
      </c>
      <c r="D357" s="1" t="n">
        <v>44607</v>
      </c>
      <c r="E357" s="1" t="n">
        <v>46228</v>
      </c>
      <c r="F357" t="inlineStr">
        <is>
          <t>VÄSTERNORRLANDS LÄN</t>
        </is>
      </c>
      <c r="G357" t="inlineStr">
        <is>
          <t>ÅNGE</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57418-2021</t>
        </is>
      </c>
      <c r="B358" t="inlineStr">
        <is>
          <t>avverkningsanmälan</t>
        </is>
      </c>
      <c r="C358" t="inlineStr">
        <is>
          <t>Föryngringsavverkning</t>
        </is>
      </c>
      <c r="D358" s="1" t="n">
        <v>44483</v>
      </c>
      <c r="E358" s="1" t="n">
        <v>46228</v>
      </c>
      <c r="F358" t="inlineStr">
        <is>
          <t>VÄSTERNORRLANDS LÄN</t>
        </is>
      </c>
      <c r="G358" t="inlineStr">
        <is>
          <t>ÅNGE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53664-2022</t>
        </is>
      </c>
      <c r="B359" t="inlineStr">
        <is>
          <t>avverkningsanmälan</t>
        </is>
      </c>
      <c r="C359" t="inlineStr">
        <is>
          <t>Avverkning för att bevara och utveckla /försöksver</t>
        </is>
      </c>
      <c r="D359" s="1" t="n">
        <v>44879</v>
      </c>
      <c r="E359" s="1" t="n">
        <v>46228</v>
      </c>
      <c r="F359" t="inlineStr">
        <is>
          <t>VÄSTERNORRLANDS LÄN</t>
        </is>
      </c>
      <c r="G359" t="inlineStr">
        <is>
          <t>ÅNGE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1297-2022</t>
        </is>
      </c>
      <c r="B360" t="inlineStr">
        <is>
          <t>avverkningsanmälan</t>
        </is>
      </c>
      <c r="C360" t="inlineStr">
        <is>
          <t>Föryngringsavverkning</t>
        </is>
      </c>
      <c r="D360" s="1" t="n">
        <v>44572</v>
      </c>
      <c r="E360" s="1" t="n">
        <v>46228</v>
      </c>
      <c r="F360" t="inlineStr">
        <is>
          <t>VÄSTERNORRLANDS LÄN</t>
        </is>
      </c>
      <c r="G360" t="inlineStr">
        <is>
          <t>ÅNGE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74194-2021</t>
        </is>
      </c>
      <c r="B361" t="inlineStr">
        <is>
          <t>avverkningsanmälan</t>
        </is>
      </c>
      <c r="C361" t="inlineStr">
        <is>
          <t>Föryngringsavverkning</t>
        </is>
      </c>
      <c r="D361" s="1" t="n">
        <v>44558</v>
      </c>
      <c r="E361" s="1" t="n">
        <v>46228</v>
      </c>
      <c r="F361" t="inlineStr">
        <is>
          <t>VÄSTERNORRLANDS LÄN</t>
        </is>
      </c>
      <c r="G361" t="inlineStr">
        <is>
          <t>ÅNGE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70899-2021</t>
        </is>
      </c>
      <c r="B362" t="inlineStr">
        <is>
          <t>avverkningsanmälan</t>
        </is>
      </c>
      <c r="C362" t="inlineStr">
        <is>
          <t>Föryngringsavverkning</t>
        </is>
      </c>
      <c r="D362" s="1" t="n">
        <v>44537</v>
      </c>
      <c r="E362" s="1" t="n">
        <v>46228</v>
      </c>
      <c r="F362" t="inlineStr">
        <is>
          <t>VÄSTERNORRLANDS LÄN</t>
        </is>
      </c>
      <c r="G362" t="inlineStr">
        <is>
          <t>ÅNGE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13641-2022</t>
        </is>
      </c>
      <c r="B363" t="inlineStr">
        <is>
          <t>avverkningsanmälan</t>
        </is>
      </c>
      <c r="C363" t="inlineStr">
        <is>
          <t>Föryngringsavverkning</t>
        </is>
      </c>
      <c r="D363" s="1" t="n">
        <v>44648</v>
      </c>
      <c r="E363" s="1" t="n">
        <v>46228</v>
      </c>
      <c r="F363" t="inlineStr">
        <is>
          <t>VÄSTERNORRLANDS LÄN</t>
        </is>
      </c>
      <c r="G363" t="inlineStr">
        <is>
          <t>ÅNGE</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61909-2021</t>
        </is>
      </c>
      <c r="B364" t="inlineStr">
        <is>
          <t>avverkningsanmälan</t>
        </is>
      </c>
      <c r="C364" t="inlineStr">
        <is>
          <t>Föryngringsavverkning</t>
        </is>
      </c>
      <c r="D364" s="1" t="n">
        <v>44502</v>
      </c>
      <c r="E364" s="1" t="n">
        <v>46228</v>
      </c>
      <c r="F364" t="inlineStr">
        <is>
          <t>VÄSTERNORRLANDS LÄN</t>
        </is>
      </c>
      <c r="G364" t="inlineStr">
        <is>
          <t>ÅNGE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45145-2021</t>
        </is>
      </c>
      <c r="B365" t="inlineStr">
        <is>
          <t>avverkningsanmälan</t>
        </is>
      </c>
      <c r="C365" t="inlineStr">
        <is>
          <t>Föryngringsavverkning</t>
        </is>
      </c>
      <c r="D365" s="1" t="n">
        <v>44439</v>
      </c>
      <c r="E365" s="1" t="n">
        <v>46228</v>
      </c>
      <c r="F365" t="inlineStr">
        <is>
          <t>VÄSTERNORRLANDS LÄN</t>
        </is>
      </c>
      <c r="G365" t="inlineStr">
        <is>
          <t>ÅNGE</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46053-2021</t>
        </is>
      </c>
      <c r="B366" t="inlineStr">
        <is>
          <t>avverkningsanmälan</t>
        </is>
      </c>
      <c r="C366" t="inlineStr">
        <is>
          <t>Avverkning för annat ändamål</t>
        </is>
      </c>
      <c r="D366" s="1" t="n">
        <v>44441</v>
      </c>
      <c r="E366" s="1" t="n">
        <v>46228</v>
      </c>
      <c r="F366" t="inlineStr">
        <is>
          <t>VÄSTERNORRLANDS LÄN</t>
        </is>
      </c>
      <c r="G366" t="inlineStr">
        <is>
          <t>ÅNGE</t>
        </is>
      </c>
      <c r="H366" t="inlineStr">
        <is>
          <t>SCA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71302-2021</t>
        </is>
      </c>
      <c r="B367" t="inlineStr">
        <is>
          <t>avverkningsanmälan</t>
        </is>
      </c>
      <c r="C367" t="inlineStr">
        <is>
          <t>Föryngringsavverkning</t>
        </is>
      </c>
      <c r="D367" s="1" t="n">
        <v>44539</v>
      </c>
      <c r="E367" s="1" t="n">
        <v>46228</v>
      </c>
      <c r="F367" t="inlineStr">
        <is>
          <t>VÄSTERNORRLANDS LÄN</t>
        </is>
      </c>
      <c r="G367" t="inlineStr">
        <is>
          <t>ÅNGE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6732-2022</t>
        </is>
      </c>
      <c r="B368" t="inlineStr">
        <is>
          <t>avverkningsanmälan</t>
        </is>
      </c>
      <c r="C368" t="inlineStr">
        <is>
          <t>Föryngringsavverkning</t>
        </is>
      </c>
      <c r="D368" s="1" t="n">
        <v>44602</v>
      </c>
      <c r="E368" s="1" t="n">
        <v>46228</v>
      </c>
      <c r="F368" t="inlineStr">
        <is>
          <t>VÄSTERNORRLANDS LÄN</t>
        </is>
      </c>
      <c r="G368" t="inlineStr">
        <is>
          <t>ÅNGE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44412-2022</t>
        </is>
      </c>
      <c r="B369" t="inlineStr">
        <is>
          <t>avverkningsanmälan</t>
        </is>
      </c>
      <c r="C369" t="inlineStr">
        <is>
          <t>Föryngringsavverkning</t>
        </is>
      </c>
      <c r="D369" s="1" t="n">
        <v>44839</v>
      </c>
      <c r="E369" s="1" t="n">
        <v>46228</v>
      </c>
      <c r="F369" t="inlineStr">
        <is>
          <t>VÄSTERNORRLANDS LÄN</t>
        </is>
      </c>
      <c r="G369" t="inlineStr">
        <is>
          <t>ÅNGE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6263-2022</t>
        </is>
      </c>
      <c r="B370" t="inlineStr">
        <is>
          <t>avverkningsanmälan</t>
        </is>
      </c>
      <c r="C370" t="inlineStr">
        <is>
          <t>Föryngringsavverkning</t>
        </is>
      </c>
      <c r="D370" s="1" t="n">
        <v>44600</v>
      </c>
      <c r="E370" s="1" t="n">
        <v>46228</v>
      </c>
      <c r="F370" t="inlineStr">
        <is>
          <t>VÄSTERNORRLANDS LÄN</t>
        </is>
      </c>
      <c r="G370" t="inlineStr">
        <is>
          <t>ÅNGE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17044-2022</t>
        </is>
      </c>
      <c r="B371" t="inlineStr">
        <is>
          <t>avverkningsanmälan</t>
        </is>
      </c>
      <c r="C371" t="inlineStr">
        <is>
          <t>Avverkning för annat ändamål</t>
        </is>
      </c>
      <c r="D371" s="1" t="n">
        <v>44676</v>
      </c>
      <c r="E371" s="1" t="n">
        <v>46228</v>
      </c>
      <c r="F371" t="inlineStr">
        <is>
          <t>VÄSTERNORRLANDS LÄN</t>
        </is>
      </c>
      <c r="G371" t="inlineStr">
        <is>
          <t>ÅNGE</t>
        </is>
      </c>
      <c r="H371" t="inlineStr">
        <is>
          <t>Övriga Aktiebolag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50640-2022</t>
        </is>
      </c>
      <c r="B372" t="inlineStr">
        <is>
          <t>avverkningsanmälan</t>
        </is>
      </c>
      <c r="C372" t="inlineStr">
        <is>
          <t>Föryngringsavverkning</t>
        </is>
      </c>
      <c r="D372" s="1" t="n">
        <v>44866</v>
      </c>
      <c r="E372" s="1" t="n">
        <v>46228</v>
      </c>
      <c r="F372" t="inlineStr">
        <is>
          <t>VÄSTERNORRLANDS LÄN</t>
        </is>
      </c>
      <c r="G372" t="inlineStr">
        <is>
          <t>ÅNGE</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38369-2021</t>
        </is>
      </c>
      <c r="B373" t="inlineStr">
        <is>
          <t>avverkningsanmälan</t>
        </is>
      </c>
      <c r="C373" t="inlineStr">
        <is>
          <t>Föryngringsavverkning</t>
        </is>
      </c>
      <c r="D373" s="1" t="n">
        <v>44406</v>
      </c>
      <c r="E373" s="1" t="n">
        <v>46228</v>
      </c>
      <c r="F373" t="inlineStr">
        <is>
          <t>VÄSTERNORRLANDS LÄN</t>
        </is>
      </c>
      <c r="G373" t="inlineStr">
        <is>
          <t>ÅNGE</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18024-2022</t>
        </is>
      </c>
      <c r="B374" t="inlineStr">
        <is>
          <t>avverkningsanmälan</t>
        </is>
      </c>
      <c r="C374" t="inlineStr">
        <is>
          <t>Avverkning för att bevara och utveckla /försöksver</t>
        </is>
      </c>
      <c r="D374" s="1" t="n">
        <v>44683</v>
      </c>
      <c r="E374" s="1" t="n">
        <v>46228</v>
      </c>
      <c r="F374" t="inlineStr">
        <is>
          <t>VÄSTERNORRLANDS LÄN</t>
        </is>
      </c>
      <c r="G374" t="inlineStr">
        <is>
          <t>ÅNGE</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17963-2022</t>
        </is>
      </c>
      <c r="B375" t="inlineStr">
        <is>
          <t>avverkningsanmälan</t>
        </is>
      </c>
      <c r="C375" t="inlineStr">
        <is>
          <t>Avverkning för annat ändamål</t>
        </is>
      </c>
      <c r="D375" s="1" t="n">
        <v>44683</v>
      </c>
      <c r="E375" s="1" t="n">
        <v>46228</v>
      </c>
      <c r="F375" t="inlineStr">
        <is>
          <t>VÄSTERNORRLANDS LÄN</t>
        </is>
      </c>
      <c r="G375" t="inlineStr">
        <is>
          <t>ÅNGE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35496-2022</t>
        </is>
      </c>
      <c r="B376" t="inlineStr">
        <is>
          <t>avverkningsanmälan</t>
        </is>
      </c>
      <c r="C376" t="inlineStr">
        <is>
          <t>Avverkning för att bevara och utveckla /försöksver</t>
        </is>
      </c>
      <c r="D376" s="1" t="n">
        <v>44798</v>
      </c>
      <c r="E376" s="1" t="n">
        <v>46228</v>
      </c>
      <c r="F376" t="inlineStr">
        <is>
          <t>VÄSTERNORRLANDS LÄN</t>
        </is>
      </c>
      <c r="G376" t="inlineStr">
        <is>
          <t>ÅNGE</t>
        </is>
      </c>
      <c r="H376" t="inlineStr">
        <is>
          <t>SCA</t>
        </is>
      </c>
      <c r="I376" t="n">
        <v>15.6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46824-2021</t>
        </is>
      </c>
      <c r="B377" t="inlineStr">
        <is>
          <t>avverkningsanmälan</t>
        </is>
      </c>
      <c r="C377" t="inlineStr">
        <is>
          <t>Föryngringsavverkning</t>
        </is>
      </c>
      <c r="D377" s="1" t="n">
        <v>44446</v>
      </c>
      <c r="E377" s="1" t="n">
        <v>46228</v>
      </c>
      <c r="F377" t="inlineStr">
        <is>
          <t>VÄSTERNORRLANDS LÄN</t>
        </is>
      </c>
      <c r="G377" t="inlineStr">
        <is>
          <t>ÅNGE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51542-2022</t>
        </is>
      </c>
      <c r="B378" t="inlineStr">
        <is>
          <t>avverkningsanmälan</t>
        </is>
      </c>
      <c r="C378" t="inlineStr">
        <is>
          <t>Avverkning för att bevara och utveckla /försöksver</t>
        </is>
      </c>
      <c r="D378" s="1" t="n">
        <v>44869</v>
      </c>
      <c r="E378" s="1" t="n">
        <v>46228</v>
      </c>
      <c r="F378" t="inlineStr">
        <is>
          <t>VÄSTERNORRLANDS LÄN</t>
        </is>
      </c>
      <c r="G378" t="inlineStr">
        <is>
          <t>ÅNGE</t>
        </is>
      </c>
      <c r="H378" t="inlineStr">
        <is>
          <t>SCA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5552-2022</t>
        </is>
      </c>
      <c r="B379" t="inlineStr">
        <is>
          <t>avverkningsanmälan</t>
        </is>
      </c>
      <c r="C379" t="inlineStr">
        <is>
          <t>Föryngringsavverkning</t>
        </is>
      </c>
      <c r="D379" s="1" t="n">
        <v>44595</v>
      </c>
      <c r="E379" s="1" t="n">
        <v>46228</v>
      </c>
      <c r="F379" t="inlineStr">
        <is>
          <t>VÄSTERNORRLANDS LÄN</t>
        </is>
      </c>
      <c r="G379" t="inlineStr">
        <is>
          <t>ÅNGE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35026-2022</t>
        </is>
      </c>
      <c r="B380" t="inlineStr">
        <is>
          <t>avverkningsanmälan</t>
        </is>
      </c>
      <c r="C380" t="inlineStr">
        <is>
          <t>Avverkning för att bevara och utveckla /försöksver</t>
        </is>
      </c>
      <c r="D380" s="1" t="n">
        <v>44796</v>
      </c>
      <c r="E380" s="1" t="n">
        <v>46228</v>
      </c>
      <c r="F380" t="inlineStr">
        <is>
          <t>VÄSTERNORRLANDS LÄN</t>
        </is>
      </c>
      <c r="G380" t="inlineStr">
        <is>
          <t>ÅNGE</t>
        </is>
      </c>
      <c r="H380" t="inlineStr">
        <is>
          <t>SCA</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39594-2022</t>
        </is>
      </c>
      <c r="B381" t="inlineStr">
        <is>
          <t>avverkningsanmälan</t>
        </is>
      </c>
      <c r="C381" t="inlineStr">
        <is>
          <t>Föryngringsavverkning</t>
        </is>
      </c>
      <c r="D381" s="1" t="n">
        <v>44818</v>
      </c>
      <c r="E381" s="1" t="n">
        <v>46228</v>
      </c>
      <c r="F381" t="inlineStr">
        <is>
          <t>VÄSTERNORRLANDS LÄN</t>
        </is>
      </c>
      <c r="G381" t="inlineStr">
        <is>
          <t>ÅNGE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10313-2022</t>
        </is>
      </c>
      <c r="B382" t="inlineStr">
        <is>
          <t>avverkningsanmälan</t>
        </is>
      </c>
      <c r="C382" t="inlineStr">
        <is>
          <t>Föryngringsavverkning</t>
        </is>
      </c>
      <c r="D382" s="1" t="n">
        <v>44622</v>
      </c>
      <c r="E382" s="1" t="n">
        <v>46228</v>
      </c>
      <c r="F382" t="inlineStr">
        <is>
          <t>VÄSTERNORRLANDS LÄN</t>
        </is>
      </c>
      <c r="G382" t="inlineStr">
        <is>
          <t>ÅNGE</t>
        </is>
      </c>
      <c r="H382" t="inlineStr">
        <is>
          <t>SCA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15368-2024</t>
        </is>
      </c>
      <c r="B383" t="inlineStr">
        <is>
          <t>avverkningsanmälan</t>
        </is>
      </c>
      <c r="C383" t="inlineStr">
        <is>
          <t>Föryngringsavverkning</t>
        </is>
      </c>
      <c r="D383" s="1" t="n">
        <v>45400</v>
      </c>
      <c r="E383" s="1" t="n">
        <v>46228</v>
      </c>
      <c r="F383" t="inlineStr">
        <is>
          <t>VÄSTERNORRLANDS LÄN</t>
        </is>
      </c>
      <c r="G383" t="inlineStr">
        <is>
          <t>ÅNGE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17009-2023</t>
        </is>
      </c>
      <c r="B384" t="inlineStr">
        <is>
          <t>avverkningsanmälan</t>
        </is>
      </c>
      <c r="C384" t="inlineStr">
        <is>
          <t>Föryngringsavverkning</t>
        </is>
      </c>
      <c r="D384" s="1" t="n">
        <v>45033</v>
      </c>
      <c r="E384" s="1" t="n">
        <v>46228</v>
      </c>
      <c r="F384" t="inlineStr">
        <is>
          <t>VÄSTERNORRLANDS LÄN</t>
        </is>
      </c>
      <c r="G384" t="inlineStr">
        <is>
          <t>ÅNGE</t>
        </is>
      </c>
      <c r="H384" t="inlineStr">
        <is>
          <t>SCA</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16303-2025</t>
        </is>
      </c>
      <c r="B385" t="inlineStr">
        <is>
          <t>avverkningsanmälan</t>
        </is>
      </c>
      <c r="C385" t="inlineStr">
        <is>
          <t>Avverkning för annat ändamål</t>
        </is>
      </c>
      <c r="D385" s="1" t="n">
        <v>45751</v>
      </c>
      <c r="E385" s="1" t="n">
        <v>46228</v>
      </c>
      <c r="F385" t="inlineStr">
        <is>
          <t>VÄSTERNORRLANDS LÄN</t>
        </is>
      </c>
      <c r="G385" t="inlineStr">
        <is>
          <t>ÅNGE</t>
        </is>
      </c>
      <c r="H385" t="inlineStr">
        <is>
          <t>SCA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24324-2022</t>
        </is>
      </c>
      <c r="B386" t="inlineStr">
        <is>
          <t>avverkningsanmälan</t>
        </is>
      </c>
      <c r="C386" t="inlineStr">
        <is>
          <t>Föryngringsavverkning</t>
        </is>
      </c>
      <c r="D386" s="1" t="n">
        <v>44725</v>
      </c>
      <c r="E386" s="1" t="n">
        <v>46228</v>
      </c>
      <c r="F386" t="inlineStr">
        <is>
          <t>VÄSTERNORRLANDS LÄN</t>
        </is>
      </c>
      <c r="G386" t="inlineStr">
        <is>
          <t>ÅNGE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24325-2022</t>
        </is>
      </c>
      <c r="B387" t="inlineStr">
        <is>
          <t>avverkningsanmälan</t>
        </is>
      </c>
      <c r="C387" t="inlineStr">
        <is>
          <t>Föryngringsavverkning</t>
        </is>
      </c>
      <c r="D387" s="1" t="n">
        <v>44725</v>
      </c>
      <c r="E387" s="1" t="n">
        <v>46228</v>
      </c>
      <c r="F387" t="inlineStr">
        <is>
          <t>VÄSTERNORRLANDS LÄN</t>
        </is>
      </c>
      <c r="G387" t="inlineStr">
        <is>
          <t>ÅNGE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11529-2023</t>
        </is>
      </c>
      <c r="B388" t="inlineStr">
        <is>
          <t>avverkningsanmälan</t>
        </is>
      </c>
      <c r="C388" t="inlineStr">
        <is>
          <t>Föryngringsavverkning</t>
        </is>
      </c>
      <c r="D388" s="1" t="n">
        <v>44993</v>
      </c>
      <c r="E388" s="1" t="n">
        <v>46228</v>
      </c>
      <c r="F388" t="inlineStr">
        <is>
          <t>VÄSTERNORRLANDS LÄN</t>
        </is>
      </c>
      <c r="G388" t="inlineStr">
        <is>
          <t>ÅNGE</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16362-2023</t>
        </is>
      </c>
      <c r="B389" t="inlineStr">
        <is>
          <t>avverkningsanmälan</t>
        </is>
      </c>
      <c r="C389" t="inlineStr">
        <is>
          <t>Föryngringsavverkning</t>
        </is>
      </c>
      <c r="D389" s="1" t="n">
        <v>45028</v>
      </c>
      <c r="E389" s="1" t="n">
        <v>46228</v>
      </c>
      <c r="F389" t="inlineStr">
        <is>
          <t>VÄSTERNORRLANDS LÄN</t>
        </is>
      </c>
      <c r="G389" t="inlineStr">
        <is>
          <t>ÅNGE</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34851-2023</t>
        </is>
      </c>
      <c r="B390" t="inlineStr">
        <is>
          <t>avverkningsanmälan</t>
        </is>
      </c>
      <c r="C390" t="inlineStr">
        <is>
          <t>Föryngringsavverkning</t>
        </is>
      </c>
      <c r="D390" s="1" t="n">
        <v>45141</v>
      </c>
      <c r="E390" s="1" t="n">
        <v>46228</v>
      </c>
      <c r="F390" t="inlineStr">
        <is>
          <t>VÄSTERNORRLANDS LÄN</t>
        </is>
      </c>
      <c r="G390" t="inlineStr">
        <is>
          <t>ÅNGE</t>
        </is>
      </c>
      <c r="H390" t="inlineStr">
        <is>
          <t>SCA</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39973-2023</t>
        </is>
      </c>
      <c r="B391" t="inlineStr">
        <is>
          <t>avverkningsanmälan</t>
        </is>
      </c>
      <c r="C391" t="inlineStr">
        <is>
          <t>Föryngringsavverkning</t>
        </is>
      </c>
      <c r="D391" s="1" t="n">
        <v>45168</v>
      </c>
      <c r="E391" s="1" t="n">
        <v>46228</v>
      </c>
      <c r="F391" t="inlineStr">
        <is>
          <t>VÄSTERNORRLANDS LÄN</t>
        </is>
      </c>
      <c r="G391" t="inlineStr">
        <is>
          <t>ÅNGE</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33747-2024</t>
        </is>
      </c>
      <c r="B392" t="inlineStr">
        <is>
          <t>avverkningsanmälan</t>
        </is>
      </c>
      <c r="C392" t="inlineStr">
        <is>
          <t>Föryngringsavverkning</t>
        </is>
      </c>
      <c r="D392" s="1" t="n">
        <v>45520</v>
      </c>
      <c r="E392" s="1" t="n">
        <v>46228</v>
      </c>
      <c r="F392" t="inlineStr">
        <is>
          <t>VÄSTERNORRLANDS LÄN</t>
        </is>
      </c>
      <c r="G392" t="inlineStr">
        <is>
          <t>ÅNGE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27002-2023</t>
        </is>
      </c>
      <c r="B393" t="inlineStr">
        <is>
          <t>avverkningsanmälan</t>
        </is>
      </c>
      <c r="C393" t="inlineStr">
        <is>
          <t>Föryngringsavverkning</t>
        </is>
      </c>
      <c r="D393" s="1" t="n">
        <v>45093</v>
      </c>
      <c r="E393" s="1" t="n">
        <v>46228</v>
      </c>
      <c r="F393" t="inlineStr">
        <is>
          <t>VÄSTERNORRLANDS LÄN</t>
        </is>
      </c>
      <c r="G393" t="inlineStr">
        <is>
          <t>ÅNGE</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54946-2021</t>
        </is>
      </c>
      <c r="B394" t="inlineStr">
        <is>
          <t>avverkningsanmälan</t>
        </is>
      </c>
      <c r="C394" t="inlineStr">
        <is>
          <t>Föryngringsavverkning</t>
        </is>
      </c>
      <c r="D394" s="1" t="n">
        <v>44474</v>
      </c>
      <c r="E394" s="1" t="n">
        <v>46228</v>
      </c>
      <c r="F394" t="inlineStr">
        <is>
          <t>VÄSTERNORRLANDS LÄN</t>
        </is>
      </c>
      <c r="G394" t="inlineStr">
        <is>
          <t>ÅNGE</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38960-2021</t>
        </is>
      </c>
      <c r="B395" t="inlineStr">
        <is>
          <t>avverkningsanmälan</t>
        </is>
      </c>
      <c r="C395" t="inlineStr">
        <is>
          <t>Avverkning för annat ändamål</t>
        </is>
      </c>
      <c r="D395" s="1" t="n">
        <v>44411</v>
      </c>
      <c r="E395" s="1" t="n">
        <v>46228</v>
      </c>
      <c r="F395" t="inlineStr">
        <is>
          <t>VÄSTERNORRLANDS LÄN</t>
        </is>
      </c>
      <c r="G395" t="inlineStr">
        <is>
          <t>ÅNGE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113-2025</t>
        </is>
      </c>
      <c r="B396" t="inlineStr">
        <is>
          <t>avverkningsanmälan</t>
        </is>
      </c>
      <c r="C396" t="inlineStr">
        <is>
          <t>Föryngringsavverkning</t>
        </is>
      </c>
      <c r="D396" s="1" t="n">
        <v>45659</v>
      </c>
      <c r="E396" s="1" t="n">
        <v>46228</v>
      </c>
      <c r="F396" t="inlineStr">
        <is>
          <t>VÄSTERNORRLANDS LÄN</t>
        </is>
      </c>
      <c r="G396" t="inlineStr">
        <is>
          <t>ÅNGE</t>
        </is>
      </c>
      <c r="H396" t="inlineStr">
        <is>
          <t>SCA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45027-2023</t>
        </is>
      </c>
      <c r="B397" t="inlineStr">
        <is>
          <t>avverkningsanmälan</t>
        </is>
      </c>
      <c r="C397" t="inlineStr">
        <is>
          <t>Föryngringsavverkning</t>
        </is>
      </c>
      <c r="D397" s="1" t="n">
        <v>45190</v>
      </c>
      <c r="E397" s="1" t="n">
        <v>46228</v>
      </c>
      <c r="F397" t="inlineStr">
        <is>
          <t>VÄSTERNORRLANDS LÄN</t>
        </is>
      </c>
      <c r="G397" t="inlineStr">
        <is>
          <t>ÅNGE</t>
        </is>
      </c>
      <c r="H397" t="inlineStr">
        <is>
          <t>SCA</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30273-2023</t>
        </is>
      </c>
      <c r="B398" t="inlineStr">
        <is>
          <t>avverkningsanmälan</t>
        </is>
      </c>
      <c r="C398" t="inlineStr">
        <is>
          <t>Föryngringsavverkning</t>
        </is>
      </c>
      <c r="D398" s="1" t="n">
        <v>45099</v>
      </c>
      <c r="E398" s="1" t="n">
        <v>46228</v>
      </c>
      <c r="F398" t="inlineStr">
        <is>
          <t>VÄSTERNORRLANDS LÄN</t>
        </is>
      </c>
      <c r="G398" t="inlineStr">
        <is>
          <t>ÅNGE</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24231-2024</t>
        </is>
      </c>
      <c r="B399" t="inlineStr">
        <is>
          <t>avverkningsanmälan</t>
        </is>
      </c>
      <c r="C399" t="inlineStr">
        <is>
          <t>Föryngringsavverkning</t>
        </is>
      </c>
      <c r="D399" s="1" t="n">
        <v>45457</v>
      </c>
      <c r="E399" s="1" t="n">
        <v>46228</v>
      </c>
      <c r="F399" t="inlineStr">
        <is>
          <t>VÄSTERNORRLANDS LÄN</t>
        </is>
      </c>
      <c r="G399" t="inlineStr">
        <is>
          <t>ÅNGE</t>
        </is>
      </c>
      <c r="H399" t="inlineStr">
        <is>
          <t>Sveaskog</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14889-2022</t>
        </is>
      </c>
      <c r="B400" t="inlineStr">
        <is>
          <t>avverkningsanmälan</t>
        </is>
      </c>
      <c r="C400" t="inlineStr">
        <is>
          <t>Föryngringsavverkning</t>
        </is>
      </c>
      <c r="D400" s="1" t="n">
        <v>44656</v>
      </c>
      <c r="E400" s="1" t="n">
        <v>46228</v>
      </c>
      <c r="F400" t="inlineStr">
        <is>
          <t>VÄSTERNORRLANDS LÄN</t>
        </is>
      </c>
      <c r="G400" t="inlineStr">
        <is>
          <t>ÅNGE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36290-2023</t>
        </is>
      </c>
      <c r="B401" t="inlineStr">
        <is>
          <t>avverkningsanmälan</t>
        </is>
      </c>
      <c r="C401" t="inlineStr">
        <is>
          <t>Föryngringsavverkning</t>
        </is>
      </c>
      <c r="D401" s="1" t="n">
        <v>45152</v>
      </c>
      <c r="E401" s="1" t="n">
        <v>46228</v>
      </c>
      <c r="F401" t="inlineStr">
        <is>
          <t>VÄSTERNORRLANDS LÄN</t>
        </is>
      </c>
      <c r="G401" t="inlineStr">
        <is>
          <t>ÅNGE</t>
        </is>
      </c>
      <c r="H401" t="inlineStr">
        <is>
          <t>Övriga Aktiebolag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10087-2023</t>
        </is>
      </c>
      <c r="B402" t="inlineStr">
        <is>
          <t>avverkningsanmälan</t>
        </is>
      </c>
      <c r="C402" t="inlineStr">
        <is>
          <t>Avverkning för att bevara och utveckla /försöksver</t>
        </is>
      </c>
      <c r="D402" s="1" t="n">
        <v>44985</v>
      </c>
      <c r="E402" s="1" t="n">
        <v>46228</v>
      </c>
      <c r="F402" t="inlineStr">
        <is>
          <t>VÄSTERNORRLANDS LÄN</t>
        </is>
      </c>
      <c r="G402" t="inlineStr">
        <is>
          <t>ÅNGE</t>
        </is>
      </c>
      <c r="H402" t="inlineStr">
        <is>
          <t>SCA</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17044-2023</t>
        </is>
      </c>
      <c r="B403" t="inlineStr">
        <is>
          <t>avverkningsanmälan</t>
        </is>
      </c>
      <c r="C403" t="inlineStr">
        <is>
          <t>Föryngringsavverkning</t>
        </is>
      </c>
      <c r="D403" s="1" t="n">
        <v>45034</v>
      </c>
      <c r="E403" s="1" t="n">
        <v>46228</v>
      </c>
      <c r="F403" t="inlineStr">
        <is>
          <t>VÄSTERNORRLANDS LÄN</t>
        </is>
      </c>
      <c r="G403" t="inlineStr">
        <is>
          <t>ÅNGE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17670-2023</t>
        </is>
      </c>
      <c r="B404" t="inlineStr">
        <is>
          <t>avverkningsanmälan</t>
        </is>
      </c>
      <c r="C404" t="inlineStr">
        <is>
          <t>Föryngringsavverkning</t>
        </is>
      </c>
      <c r="D404" s="1" t="n">
        <v>45036</v>
      </c>
      <c r="E404" s="1" t="n">
        <v>46228</v>
      </c>
      <c r="F404" t="inlineStr">
        <is>
          <t>VÄSTERNORRLANDS LÄN</t>
        </is>
      </c>
      <c r="G404" t="inlineStr">
        <is>
          <t>ÅNGE</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57109-2023</t>
        </is>
      </c>
      <c r="B405" t="inlineStr">
        <is>
          <t>avverkningsanmälan</t>
        </is>
      </c>
      <c r="C405" t="inlineStr">
        <is>
          <t>Föryngringsavverkning</t>
        </is>
      </c>
      <c r="D405" s="1" t="n">
        <v>45239</v>
      </c>
      <c r="E405" s="1" t="n">
        <v>46228</v>
      </c>
      <c r="F405" t="inlineStr">
        <is>
          <t>VÄSTERNORRLANDS LÄN</t>
        </is>
      </c>
      <c r="G405" t="inlineStr">
        <is>
          <t>ÅNGE</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34959-2023</t>
        </is>
      </c>
      <c r="B406" t="inlineStr">
        <is>
          <t>avverkningsanmälan</t>
        </is>
      </c>
      <c r="C406" t="inlineStr">
        <is>
          <t>Föryngringsavverkning</t>
        </is>
      </c>
      <c r="D406" s="1" t="n">
        <v>45142</v>
      </c>
      <c r="E406" s="1" t="n">
        <v>46228</v>
      </c>
      <c r="F406" t="inlineStr">
        <is>
          <t>VÄSTERNORRLANDS LÄN</t>
        </is>
      </c>
      <c r="G406" t="inlineStr">
        <is>
          <t>ÅNGE</t>
        </is>
      </c>
      <c r="H406" t="inlineStr">
        <is>
          <t>Sveaskog</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8406-2023</t>
        </is>
      </c>
      <c r="B407" t="inlineStr">
        <is>
          <t>avverkningsanmälan</t>
        </is>
      </c>
      <c r="C407" t="inlineStr">
        <is>
          <t>Föryngringsavverkning</t>
        </is>
      </c>
      <c r="D407" s="1" t="n">
        <v>44971</v>
      </c>
      <c r="E407" s="1" t="n">
        <v>46228</v>
      </c>
      <c r="F407" t="inlineStr">
        <is>
          <t>VÄSTERNORRLANDS LÄN</t>
        </is>
      </c>
      <c r="G407" t="inlineStr">
        <is>
          <t>ÅNGE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42857-2022</t>
        </is>
      </c>
      <c r="B408" t="inlineStr">
        <is>
          <t>avverkningsanmälan</t>
        </is>
      </c>
      <c r="C408" t="inlineStr">
        <is>
          <t>Föryngringsavverkning</t>
        </is>
      </c>
      <c r="D408" s="1" t="n">
        <v>44832</v>
      </c>
      <c r="E408" s="1" t="n">
        <v>46228</v>
      </c>
      <c r="F408" t="inlineStr">
        <is>
          <t>VÄSTERNORRLANDS LÄN</t>
        </is>
      </c>
      <c r="G408" t="inlineStr">
        <is>
          <t>ÅNGE</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6-2025</t>
        </is>
      </c>
      <c r="B409" t="inlineStr">
        <is>
          <t>avverkningsanmälan</t>
        </is>
      </c>
      <c r="C409" t="inlineStr">
        <is>
          <t>Föryngringsavverkning</t>
        </is>
      </c>
      <c r="D409" s="1" t="n">
        <v>45658</v>
      </c>
      <c r="E409" s="1" t="n">
        <v>46228</v>
      </c>
      <c r="F409" t="inlineStr">
        <is>
          <t>VÄSTERNORRLANDS LÄN</t>
        </is>
      </c>
      <c r="G409" t="inlineStr">
        <is>
          <t>ÅNGE</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61577-2023</t>
        </is>
      </c>
      <c r="B410" t="inlineStr">
        <is>
          <t>avverkningsanmälan</t>
        </is>
      </c>
      <c r="C410" t="inlineStr">
        <is>
          <t>Föryngringsavverkning</t>
        </is>
      </c>
      <c r="D410" s="1" t="n">
        <v>45265</v>
      </c>
      <c r="E410" s="1" t="n">
        <v>46228</v>
      </c>
      <c r="F410" t="inlineStr">
        <is>
          <t>VÄSTERNORRLANDS LÄN</t>
        </is>
      </c>
      <c r="G410" t="inlineStr">
        <is>
          <t>ÅNGE</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31325-2022</t>
        </is>
      </c>
      <c r="B411" t="inlineStr">
        <is>
          <t>avverkningsanmälan</t>
        </is>
      </c>
      <c r="C411" t="inlineStr">
        <is>
          <t>Föryngringsavverkning</t>
        </is>
      </c>
      <c r="D411" s="1" t="n">
        <v>44774</v>
      </c>
      <c r="E411" s="1" t="n">
        <v>46228</v>
      </c>
      <c r="F411" t="inlineStr">
        <is>
          <t>VÄSTERNORRLANDS LÄN</t>
        </is>
      </c>
      <c r="G411" t="inlineStr">
        <is>
          <t>ÅNGE</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22411-2023</t>
        </is>
      </c>
      <c r="B412" t="inlineStr">
        <is>
          <t>avverkningsanmälan</t>
        </is>
      </c>
      <c r="C412" t="inlineStr">
        <is>
          <t>Föryngringsavverkning</t>
        </is>
      </c>
      <c r="D412" s="1" t="n">
        <v>45070</v>
      </c>
      <c r="E412" s="1" t="n">
        <v>46228</v>
      </c>
      <c r="F412" t="inlineStr">
        <is>
          <t>VÄSTERNORRLANDS LÄN</t>
        </is>
      </c>
      <c r="G412" t="inlineStr">
        <is>
          <t>ÅNGE</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24232-2024</t>
        </is>
      </c>
      <c r="B413" t="inlineStr">
        <is>
          <t>avverkningsanmälan</t>
        </is>
      </c>
      <c r="C413" t="inlineStr">
        <is>
          <t>Föryngringsavverkning</t>
        </is>
      </c>
      <c r="D413" s="1" t="n">
        <v>45457</v>
      </c>
      <c r="E413" s="1" t="n">
        <v>46228</v>
      </c>
      <c r="F413" t="inlineStr">
        <is>
          <t>VÄSTERNORRLANDS LÄN</t>
        </is>
      </c>
      <c r="G413" t="inlineStr">
        <is>
          <t>ÅNGE</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9382-2025</t>
        </is>
      </c>
      <c r="B414" t="inlineStr">
        <is>
          <t>avverkningsanmälan</t>
        </is>
      </c>
      <c r="C414" t="inlineStr">
        <is>
          <t>Föryngringsavverkning</t>
        </is>
      </c>
      <c r="D414" s="1" t="n">
        <v>45715</v>
      </c>
      <c r="E414" s="1" t="n">
        <v>46228</v>
      </c>
      <c r="F414" t="inlineStr">
        <is>
          <t>VÄSTERNORRLANDS LÄN</t>
        </is>
      </c>
      <c r="G414" t="inlineStr">
        <is>
          <t>ÅNGE</t>
        </is>
      </c>
      <c r="H414" t="inlineStr">
        <is>
          <t>SCA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56434-2021</t>
        </is>
      </c>
      <c r="B415" t="inlineStr">
        <is>
          <t>avverkningsanmälan</t>
        </is>
      </c>
      <c r="C415" t="inlineStr">
        <is>
          <t>Föryngringsavverkning</t>
        </is>
      </c>
      <c r="D415" s="1" t="n">
        <v>44477</v>
      </c>
      <c r="E415" s="1" t="n">
        <v>46228</v>
      </c>
      <c r="F415" t="inlineStr">
        <is>
          <t>VÄSTERNORRLANDS LÄN</t>
        </is>
      </c>
      <c r="G415" t="inlineStr">
        <is>
          <t>ÅNGE</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18067-2025</t>
        </is>
      </c>
      <c r="B416" t="inlineStr">
        <is>
          <t>avverkningsanmälan</t>
        </is>
      </c>
      <c r="C416" t="inlineStr">
        <is>
          <t>Föryngringsavverkning</t>
        </is>
      </c>
      <c r="D416" s="1" t="n">
        <v>45761</v>
      </c>
      <c r="E416" s="1" t="n">
        <v>46228</v>
      </c>
      <c r="F416" t="inlineStr">
        <is>
          <t>VÄSTERNORRLANDS LÄN</t>
        </is>
      </c>
      <c r="G416" t="inlineStr">
        <is>
          <t>ÅNGE</t>
        </is>
      </c>
      <c r="H416" t="inlineStr">
        <is>
          <t>SCA</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11396-2024</t>
        </is>
      </c>
      <c r="B417" t="inlineStr">
        <is>
          <t>avverkningsanmälan</t>
        </is>
      </c>
      <c r="C417" t="inlineStr">
        <is>
          <t>Föryngringsavverkning</t>
        </is>
      </c>
      <c r="D417" s="1" t="n">
        <v>45372</v>
      </c>
      <c r="E417" s="1" t="n">
        <v>46228</v>
      </c>
      <c r="F417" t="inlineStr">
        <is>
          <t>VÄSTERNORRLANDS LÄN</t>
        </is>
      </c>
      <c r="G417" t="inlineStr">
        <is>
          <t>ÅNGE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29462-2024</t>
        </is>
      </c>
      <c r="B418" t="inlineStr">
        <is>
          <t>avverkningsanmälan</t>
        </is>
      </c>
      <c r="C418" t="inlineStr">
        <is>
          <t>Föryngringsavverkning</t>
        </is>
      </c>
      <c r="D418" s="1" t="n">
        <v>45483</v>
      </c>
      <c r="E418" s="1" t="n">
        <v>46228</v>
      </c>
      <c r="F418" t="inlineStr">
        <is>
          <t>VÄSTERNORRLANDS LÄN</t>
        </is>
      </c>
      <c r="G418" t="inlineStr">
        <is>
          <t>ÅNGE</t>
        </is>
      </c>
      <c r="H418" t="inlineStr">
        <is>
          <t>SCA</t>
        </is>
      </c>
      <c r="I418" t="n">
        <v>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732-2023</t>
        </is>
      </c>
      <c r="B419" t="inlineStr">
        <is>
          <t>avverkningsanmälan</t>
        </is>
      </c>
      <c r="C419" t="inlineStr">
        <is>
          <t>Föryngringsavverkning</t>
        </is>
      </c>
      <c r="D419" s="1" t="n">
        <v>44931</v>
      </c>
      <c r="E419" s="1" t="n">
        <v>46228</v>
      </c>
      <c r="F419" t="inlineStr">
        <is>
          <t>VÄSTERNORRLANDS LÄN</t>
        </is>
      </c>
      <c r="G419" t="inlineStr">
        <is>
          <t>ÅNGE</t>
        </is>
      </c>
      <c r="H419" t="inlineStr">
        <is>
          <t>Sveaskog</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46775-2024</t>
        </is>
      </c>
      <c r="B420" t="inlineStr">
        <is>
          <t>avverkningsanmälan</t>
        </is>
      </c>
      <c r="C420" t="inlineStr">
        <is>
          <t>Föryngringsavverkning</t>
        </is>
      </c>
      <c r="D420" s="1" t="n">
        <v>45583</v>
      </c>
      <c r="E420" s="1" t="n">
        <v>46228</v>
      </c>
      <c r="F420" t="inlineStr">
        <is>
          <t>VÄSTERNORRLANDS LÄN</t>
        </is>
      </c>
      <c r="G420" t="inlineStr">
        <is>
          <t>ÅNGE</t>
        </is>
      </c>
      <c r="H420" t="inlineStr">
        <is>
          <t>SCA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46780-2024</t>
        </is>
      </c>
      <c r="B421" t="inlineStr">
        <is>
          <t>avverkningsanmälan</t>
        </is>
      </c>
      <c r="C421" t="inlineStr">
        <is>
          <t>Föryngringsavverkning</t>
        </is>
      </c>
      <c r="D421" s="1" t="n">
        <v>45583</v>
      </c>
      <c r="E421" s="1" t="n">
        <v>46228</v>
      </c>
      <c r="F421" t="inlineStr">
        <is>
          <t>VÄSTERNORRLANDS LÄN</t>
        </is>
      </c>
      <c r="G421" t="inlineStr">
        <is>
          <t>ÅNGE</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55177-2024</t>
        </is>
      </c>
      <c r="B422" t="inlineStr">
        <is>
          <t>avverkningsanmälan</t>
        </is>
      </c>
      <c r="C422" t="inlineStr">
        <is>
          <t>Föryngringsavverkning</t>
        </is>
      </c>
      <c r="D422" s="1" t="n">
        <v>45621</v>
      </c>
      <c r="E422" s="1" t="n">
        <v>46228</v>
      </c>
      <c r="F422" t="inlineStr">
        <is>
          <t>VÄSTERNORRLANDS LÄN</t>
        </is>
      </c>
      <c r="G422" t="inlineStr">
        <is>
          <t>ÅNGE</t>
        </is>
      </c>
      <c r="H422" t="inlineStr">
        <is>
          <t>SCA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58943-2022</t>
        </is>
      </c>
      <c r="B423" t="inlineStr">
        <is>
          <t>avverkningsanmälan</t>
        </is>
      </c>
      <c r="C423" t="inlineStr">
        <is>
          <t>Föryngringsavverkning</t>
        </is>
      </c>
      <c r="D423" s="1" t="n">
        <v>44903</v>
      </c>
      <c r="E423" s="1" t="n">
        <v>46228</v>
      </c>
      <c r="F423" t="inlineStr">
        <is>
          <t>VÄSTERNORRLANDS LÄN</t>
        </is>
      </c>
      <c r="G423" t="inlineStr">
        <is>
          <t>ÅNGE</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33305-2024</t>
        </is>
      </c>
      <c r="B424" t="inlineStr">
        <is>
          <t>avverkningsanmälan</t>
        </is>
      </c>
      <c r="C424" t="inlineStr">
        <is>
          <t>Föryngringsavverkning</t>
        </is>
      </c>
      <c r="D424" s="1" t="n">
        <v>45518</v>
      </c>
      <c r="E424" s="1" t="n">
        <v>46228</v>
      </c>
      <c r="F424" t="inlineStr">
        <is>
          <t>VÄSTERNORRLANDS LÄN</t>
        </is>
      </c>
      <c r="G424" t="inlineStr">
        <is>
          <t>ÅNGE</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33306-2024</t>
        </is>
      </c>
      <c r="B425" t="inlineStr">
        <is>
          <t>avverkningsanmälan</t>
        </is>
      </c>
      <c r="C425" t="inlineStr">
        <is>
          <t>Föryngringsavverkning</t>
        </is>
      </c>
      <c r="D425" s="1" t="n">
        <v>45518</v>
      </c>
      <c r="E425" s="1" t="n">
        <v>46228</v>
      </c>
      <c r="F425" t="inlineStr">
        <is>
          <t>VÄSTERNORRLANDS LÄN</t>
        </is>
      </c>
      <c r="G425" t="inlineStr">
        <is>
          <t>ÅNGE</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28506-2024</t>
        </is>
      </c>
      <c r="B426" t="inlineStr">
        <is>
          <t>avverkningsanmälan</t>
        </is>
      </c>
      <c r="C426" t="inlineStr">
        <is>
          <t>Föryngringsavverkning</t>
        </is>
      </c>
      <c r="D426" s="1" t="n">
        <v>45477</v>
      </c>
      <c r="E426" s="1" t="n">
        <v>46228</v>
      </c>
      <c r="F426" t="inlineStr">
        <is>
          <t>VÄSTERNORRLANDS LÄN</t>
        </is>
      </c>
      <c r="G426" t="inlineStr">
        <is>
          <t>ÅNGE</t>
        </is>
      </c>
      <c r="H426" t="inlineStr">
        <is>
          <t>SCA</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34861-2024</t>
        </is>
      </c>
      <c r="B427" t="inlineStr">
        <is>
          <t>avverkningsanmälan</t>
        </is>
      </c>
      <c r="C427" t="inlineStr">
        <is>
          <t>Föryngringsavverkning</t>
        </is>
      </c>
      <c r="D427" s="1" t="n">
        <v>45527</v>
      </c>
      <c r="E427" s="1" t="n">
        <v>46228</v>
      </c>
      <c r="F427" t="inlineStr">
        <is>
          <t>VÄSTERNORRLANDS LÄN</t>
        </is>
      </c>
      <c r="G427" t="inlineStr">
        <is>
          <t>ÅNGE</t>
        </is>
      </c>
      <c r="H427" t="inlineStr">
        <is>
          <t>SCA</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61461-2023</t>
        </is>
      </c>
      <c r="B428" t="inlineStr">
        <is>
          <t>avverkningsanmälan</t>
        </is>
      </c>
      <c r="C428" t="inlineStr">
        <is>
          <t>Föryngringsavverkning</t>
        </is>
      </c>
      <c r="D428" s="1" t="n">
        <v>45264</v>
      </c>
      <c r="E428" s="1" t="n">
        <v>46228</v>
      </c>
      <c r="F428" t="inlineStr">
        <is>
          <t>VÄSTERNORRLANDS LÄN</t>
        </is>
      </c>
      <c r="G428" t="inlineStr">
        <is>
          <t>ÅNGE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57593-2022</t>
        </is>
      </c>
      <c r="B429" t="inlineStr">
        <is>
          <t>avverkningsanmälan</t>
        </is>
      </c>
      <c r="C429" t="inlineStr">
        <is>
          <t>Avverkning för att bevara och utveckla /försöksver</t>
        </is>
      </c>
      <c r="D429" s="1" t="n">
        <v>44896</v>
      </c>
      <c r="E429" s="1" t="n">
        <v>46228</v>
      </c>
      <c r="F429" t="inlineStr">
        <is>
          <t>VÄSTERNORRLANDS LÄN</t>
        </is>
      </c>
      <c r="G429" t="inlineStr">
        <is>
          <t>ÅNGE</t>
        </is>
      </c>
      <c r="H429" t="inlineStr">
        <is>
          <t>SCA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57597-2022</t>
        </is>
      </c>
      <c r="B430" t="inlineStr">
        <is>
          <t>avverkningsanmälan</t>
        </is>
      </c>
      <c r="C430" t="inlineStr">
        <is>
          <t>Avverkning för att bevara och utveckla /försöksver</t>
        </is>
      </c>
      <c r="D430" s="1" t="n">
        <v>44896</v>
      </c>
      <c r="E430" s="1" t="n">
        <v>46228</v>
      </c>
      <c r="F430" t="inlineStr">
        <is>
          <t>VÄSTERNORRLANDS LÄN</t>
        </is>
      </c>
      <c r="G430" t="inlineStr">
        <is>
          <t>ÅNGE</t>
        </is>
      </c>
      <c r="H430" t="inlineStr">
        <is>
          <t>SCA</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25903-2022</t>
        </is>
      </c>
      <c r="B431" t="inlineStr">
        <is>
          <t>avverkningsanmälan</t>
        </is>
      </c>
      <c r="C431" t="inlineStr">
        <is>
          <t>Föryngringsavverkning</t>
        </is>
      </c>
      <c r="D431" s="1" t="n">
        <v>44733</v>
      </c>
      <c r="E431" s="1" t="n">
        <v>46228</v>
      </c>
      <c r="F431" t="inlineStr">
        <is>
          <t>VÄSTERNORRLANDS LÄN</t>
        </is>
      </c>
      <c r="G431" t="inlineStr">
        <is>
          <t>ÅNGE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2140-2023</t>
        </is>
      </c>
      <c r="B432" t="inlineStr">
        <is>
          <t>avverkningsanmälan</t>
        </is>
      </c>
      <c r="C432" t="inlineStr">
        <is>
          <t>Föryngringsavverkning</t>
        </is>
      </c>
      <c r="D432" s="1" t="n">
        <v>44940</v>
      </c>
      <c r="E432" s="1" t="n">
        <v>46228</v>
      </c>
      <c r="F432" t="inlineStr">
        <is>
          <t>VÄSTERNORRLANDS LÄN</t>
        </is>
      </c>
      <c r="G432" t="inlineStr">
        <is>
          <t>ÅNGE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1103-2023</t>
        </is>
      </c>
      <c r="B433" t="inlineStr">
        <is>
          <t>avverkningsanmälan</t>
        </is>
      </c>
      <c r="C433" t="inlineStr">
        <is>
          <t>Föryngringsavverkning</t>
        </is>
      </c>
      <c r="D433" s="1" t="n">
        <v>44929</v>
      </c>
      <c r="E433" s="1" t="n">
        <v>46228</v>
      </c>
      <c r="F433" t="inlineStr">
        <is>
          <t>VÄSTERNORRLANDS LÄN</t>
        </is>
      </c>
      <c r="G433" t="inlineStr">
        <is>
          <t>ÅNGE</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10558-2023</t>
        </is>
      </c>
      <c r="B434" t="inlineStr">
        <is>
          <t>avverkningsanmälan</t>
        </is>
      </c>
      <c r="C434" t="inlineStr">
        <is>
          <t>Föryngringsavverkning</t>
        </is>
      </c>
      <c r="D434" s="1" t="n">
        <v>44987</v>
      </c>
      <c r="E434" s="1" t="n">
        <v>46228</v>
      </c>
      <c r="F434" t="inlineStr">
        <is>
          <t>VÄSTERNORRLANDS LÄN</t>
        </is>
      </c>
      <c r="G434" t="inlineStr">
        <is>
          <t>ÅNGE</t>
        </is>
      </c>
      <c r="H434" t="inlineStr">
        <is>
          <t>SCA</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47488-2023</t>
        </is>
      </c>
      <c r="B435" t="inlineStr">
        <is>
          <t>avverkningsanmälan</t>
        </is>
      </c>
      <c r="C435" t="inlineStr">
        <is>
          <t>Föryngringsavverkning</t>
        </is>
      </c>
      <c r="D435" s="1" t="n">
        <v>45202</v>
      </c>
      <c r="E435" s="1" t="n">
        <v>46228</v>
      </c>
      <c r="F435" t="inlineStr">
        <is>
          <t>VÄSTERNORRLANDS LÄN</t>
        </is>
      </c>
      <c r="G435" t="inlineStr">
        <is>
          <t>ÅNGE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44158-2024</t>
        </is>
      </c>
      <c r="B436" t="inlineStr">
        <is>
          <t>avverkningsanmälan</t>
        </is>
      </c>
      <c r="C436" t="inlineStr">
        <is>
          <t>Föryngringsavverkning</t>
        </is>
      </c>
      <c r="D436" s="1" t="n">
        <v>45572</v>
      </c>
      <c r="E436" s="1" t="n">
        <v>46228</v>
      </c>
      <c r="F436" t="inlineStr">
        <is>
          <t>VÄSTERNORRLANDS LÄN</t>
        </is>
      </c>
      <c r="G436" t="inlineStr">
        <is>
          <t>ÅNGE</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3362-2023</t>
        </is>
      </c>
      <c r="B437" t="inlineStr">
        <is>
          <t>avverkningsanmälan</t>
        </is>
      </c>
      <c r="C437" t="inlineStr">
        <is>
          <t>Avverkning för annat ändamål</t>
        </is>
      </c>
      <c r="D437" s="1" t="n">
        <v>44945</v>
      </c>
      <c r="E437" s="1" t="n">
        <v>46228</v>
      </c>
      <c r="F437" t="inlineStr">
        <is>
          <t>VÄSTERNORRLANDS LÄN</t>
        </is>
      </c>
      <c r="G437" t="inlineStr">
        <is>
          <t>ÅNGE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59600-2024</t>
        </is>
      </c>
      <c r="B438" t="inlineStr">
        <is>
          <t>avverkningsanmälan</t>
        </is>
      </c>
      <c r="C438" t="inlineStr">
        <is>
          <t>Föryngringsavverkning</t>
        </is>
      </c>
      <c r="D438" s="1" t="n">
        <v>45638</v>
      </c>
      <c r="E438" s="1" t="n">
        <v>46228</v>
      </c>
      <c r="F438" t="inlineStr">
        <is>
          <t>VÄSTERNORRLANDS LÄN</t>
        </is>
      </c>
      <c r="G438" t="inlineStr">
        <is>
          <t>ÅNGE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41829-2021</t>
        </is>
      </c>
      <c r="B439" t="inlineStr">
        <is>
          <t>avverkningsanmälan</t>
        </is>
      </c>
      <c r="C439" t="inlineStr">
        <is>
          <t>Föryngringsavverkning</t>
        </is>
      </c>
      <c r="D439" s="1" t="n">
        <v>44425</v>
      </c>
      <c r="E439" s="1" t="n">
        <v>46228</v>
      </c>
      <c r="F439" t="inlineStr">
        <is>
          <t>VÄSTERNORRLANDS LÄN</t>
        </is>
      </c>
      <c r="G439" t="inlineStr">
        <is>
          <t>ÅNGE</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39933-2022</t>
        </is>
      </c>
      <c r="B440" t="inlineStr">
        <is>
          <t>avverkningsanmälan</t>
        </is>
      </c>
      <c r="C440" t="inlineStr">
        <is>
          <t>Föryngringsavverkning</t>
        </is>
      </c>
      <c r="D440" s="1" t="n">
        <v>44819</v>
      </c>
      <c r="E440" s="1" t="n">
        <v>46228</v>
      </c>
      <c r="F440" t="inlineStr">
        <is>
          <t>VÄSTERNORRLANDS LÄN</t>
        </is>
      </c>
      <c r="G440" t="inlineStr">
        <is>
          <t>ÅNGE</t>
        </is>
      </c>
      <c r="H440" t="inlineStr">
        <is>
          <t>SCA</t>
        </is>
      </c>
      <c r="I440" t="n">
        <v>13.8</v>
      </c>
      <c r="J440" t="n">
        <v>0</v>
      </c>
      <c r="K440" t="n">
        <v>0</v>
      </c>
      <c r="L440" t="n">
        <v>0</v>
      </c>
      <c r="M440" t="n">
        <v>0</v>
      </c>
      <c r="N440" t="n">
        <v>0</v>
      </c>
      <c r="O440" t="n">
        <v>0</v>
      </c>
      <c r="P440" t="n">
        <v>0</v>
      </c>
      <c r="Q440" t="n">
        <v>0</v>
      </c>
      <c r="R440" t="n">
        <v>0</v>
      </c>
      <c r="S440" t="n">
        <v>0</v>
      </c>
      <c r="T440" t="n">
        <v>0</v>
      </c>
      <c r="U440" t="n">
        <v>0</v>
      </c>
      <c r="V440" s="2" t="inlineStr"/>
      <c r="Z440">
        <f>HYPERLINK("https://klasma.github.io/Logging_2260/knärot/A 39933-2022 karta knärot.png", "A 39933-2022")</f>
        <v/>
      </c>
      <c r="AA440">
        <f>HYPERLINK("https://klasma.github.io/Logging_2260/klagomål/A 39933-2022 FSC-klagomål.docx", "A 39933-2022")</f>
        <v/>
      </c>
      <c r="AB440">
        <f>HYPERLINK("https://klasma.github.io/Logging_2260/klagomålsmail/A 39933-2022 FSC-klagomål mail.docx", "A 39933-2022")</f>
        <v/>
      </c>
      <c r="AC440">
        <f>HYPERLINK("https://klasma.github.io/Logging_2260/tillsyn/A 39933-2022 tillsynsbegäran.docx", "A 39933-2022")</f>
        <v/>
      </c>
      <c r="AD440">
        <f>HYPERLINK("https://klasma.github.io/Logging_2260/tillsynsmail/A 39933-2022 tillsynsbegäran mail.docx", "A 39933-2022")</f>
        <v/>
      </c>
    </row>
    <row r="441" ht="15" customHeight="1">
      <c r="A441" t="inlineStr">
        <is>
          <t>A 52685-2024</t>
        </is>
      </c>
      <c r="B441" t="inlineStr">
        <is>
          <t>avverkningsanmälan</t>
        </is>
      </c>
      <c r="C441" t="inlineStr">
        <is>
          <t>Föryngringsavverkning</t>
        </is>
      </c>
      <c r="D441" s="1" t="n">
        <v>45610</v>
      </c>
      <c r="E441" s="1" t="n">
        <v>46228</v>
      </c>
      <c r="F441" t="inlineStr">
        <is>
          <t>VÄSTERNORRLANDS LÄN</t>
        </is>
      </c>
      <c r="G441" t="inlineStr">
        <is>
          <t>ÅNGE</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55328-2023</t>
        </is>
      </c>
      <c r="B442" t="inlineStr">
        <is>
          <t>avverkningsanmälan</t>
        </is>
      </c>
      <c r="C442" t="inlineStr">
        <is>
          <t>Föryngringsavverkning</t>
        </is>
      </c>
      <c r="D442" s="1" t="n">
        <v>45237</v>
      </c>
      <c r="E442" s="1" t="n">
        <v>46228</v>
      </c>
      <c r="F442" t="inlineStr">
        <is>
          <t>VÄSTERNORRLANDS LÄN</t>
        </is>
      </c>
      <c r="G442" t="inlineStr">
        <is>
          <t>ÅNGE</t>
        </is>
      </c>
      <c r="H442" t="inlineStr">
        <is>
          <t>SCA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36466-2024</t>
        </is>
      </c>
      <c r="B443" t="inlineStr">
        <is>
          <t>avverkningsanmälan</t>
        </is>
      </c>
      <c r="C443" t="inlineStr">
        <is>
          <t>Avverkning för att bevara och utveckla /försöksver</t>
        </is>
      </c>
      <c r="D443" s="1" t="n">
        <v>45537</v>
      </c>
      <c r="E443" s="1" t="n">
        <v>46228</v>
      </c>
      <c r="F443" t="inlineStr">
        <is>
          <t>VÄSTERNORRLANDS LÄN</t>
        </is>
      </c>
      <c r="G443" t="inlineStr">
        <is>
          <t>ÅNGE</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5369-2022</t>
        </is>
      </c>
      <c r="B444" t="inlineStr">
        <is>
          <t>avverkningsanmälan</t>
        </is>
      </c>
      <c r="C444" t="inlineStr">
        <is>
          <t>Föryngringsavverkning</t>
        </is>
      </c>
      <c r="D444" s="1" t="n">
        <v>44594</v>
      </c>
      <c r="E444" s="1" t="n">
        <v>46228</v>
      </c>
      <c r="F444" t="inlineStr">
        <is>
          <t>VÄSTERNORRLANDS LÄN</t>
        </is>
      </c>
      <c r="G444" t="inlineStr">
        <is>
          <t>ÅNGE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35650-2024</t>
        </is>
      </c>
      <c r="B445" t="inlineStr">
        <is>
          <t>avverkningsanmälan</t>
        </is>
      </c>
      <c r="C445" t="inlineStr">
        <is>
          <t>Föryngringsavverkning</t>
        </is>
      </c>
      <c r="D445" s="1" t="n">
        <v>45532</v>
      </c>
      <c r="E445" s="1" t="n">
        <v>46228</v>
      </c>
      <c r="F445" t="inlineStr">
        <is>
          <t>VÄSTERNORRLANDS LÄN</t>
        </is>
      </c>
      <c r="G445" t="inlineStr">
        <is>
          <t>ÅNGE</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213-2024</t>
        </is>
      </c>
      <c r="B446" t="inlineStr">
        <is>
          <t>avverkningsanmälan</t>
        </is>
      </c>
      <c r="C446" t="inlineStr">
        <is>
          <t>Föryngringsavverkning</t>
        </is>
      </c>
      <c r="D446" s="1" t="n">
        <v>45293</v>
      </c>
      <c r="E446" s="1" t="n">
        <v>46228</v>
      </c>
      <c r="F446" t="inlineStr">
        <is>
          <t>VÄSTERNORRLANDS LÄN</t>
        </is>
      </c>
      <c r="G446" t="inlineStr">
        <is>
          <t>ÅNGE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19709-2025</t>
        </is>
      </c>
      <c r="B447" t="inlineStr">
        <is>
          <t>avverkningsanmälan</t>
        </is>
      </c>
      <c r="C447" t="inlineStr">
        <is>
          <t>Föryngringsavverkning</t>
        </is>
      </c>
      <c r="D447" s="1" t="n">
        <v>45771</v>
      </c>
      <c r="E447" s="1" t="n">
        <v>46228</v>
      </c>
      <c r="F447" t="inlineStr">
        <is>
          <t>VÄSTERNORRLANDS LÄN</t>
        </is>
      </c>
      <c r="G447" t="inlineStr">
        <is>
          <t>ÅNGE</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11531-2023</t>
        </is>
      </c>
      <c r="B448" t="inlineStr">
        <is>
          <t>avverkningsanmälan</t>
        </is>
      </c>
      <c r="C448" t="inlineStr">
        <is>
          <t>Föryngringsavverkning</t>
        </is>
      </c>
      <c r="D448" s="1" t="n">
        <v>44993</v>
      </c>
      <c r="E448" s="1" t="n">
        <v>46228</v>
      </c>
      <c r="F448" t="inlineStr">
        <is>
          <t>VÄSTERNORRLANDS LÄN</t>
        </is>
      </c>
      <c r="G448" t="inlineStr">
        <is>
          <t>ÅNGE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11532-2023</t>
        </is>
      </c>
      <c r="B449" t="inlineStr">
        <is>
          <t>avverkningsanmälan</t>
        </is>
      </c>
      <c r="C449" t="inlineStr">
        <is>
          <t>Föryngringsavverkning</t>
        </is>
      </c>
      <c r="D449" s="1" t="n">
        <v>44993</v>
      </c>
      <c r="E449" s="1" t="n">
        <v>46228</v>
      </c>
      <c r="F449" t="inlineStr">
        <is>
          <t>VÄSTERNORRLANDS LÄN</t>
        </is>
      </c>
      <c r="G449" t="inlineStr">
        <is>
          <t>ÅNGE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45459-2022</t>
        </is>
      </c>
      <c r="B450" t="inlineStr">
        <is>
          <t>avverkningsanmälan</t>
        </is>
      </c>
      <c r="C450" t="inlineStr">
        <is>
          <t>Föryngringsavverkning</t>
        </is>
      </c>
      <c r="D450" s="1" t="n">
        <v>44845</v>
      </c>
      <c r="E450" s="1" t="n">
        <v>46228</v>
      </c>
      <c r="F450" t="inlineStr">
        <is>
          <t>VÄSTERNORRLANDS LÄN</t>
        </is>
      </c>
      <c r="G450" t="inlineStr">
        <is>
          <t>ÅNGE</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41758-2024</t>
        </is>
      </c>
      <c r="B451" t="inlineStr">
        <is>
          <t>avverkningsanmälan</t>
        </is>
      </c>
      <c r="C451" t="inlineStr">
        <is>
          <t>Föryngringsavverkning</t>
        </is>
      </c>
      <c r="D451" s="1" t="n">
        <v>45561</v>
      </c>
      <c r="E451" s="1" t="n">
        <v>46228</v>
      </c>
      <c r="F451" t="inlineStr">
        <is>
          <t>VÄSTERNORRLANDS LÄN</t>
        </is>
      </c>
      <c r="G451" t="inlineStr">
        <is>
          <t>ÅNGE</t>
        </is>
      </c>
      <c r="H451" t="inlineStr">
        <is>
          <t>SCA</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9759-2024</t>
        </is>
      </c>
      <c r="B452" t="inlineStr">
        <is>
          <t>avverkningsanmälan</t>
        </is>
      </c>
      <c r="C452" t="inlineStr">
        <is>
          <t>Föryngringsavverkning</t>
        </is>
      </c>
      <c r="D452" s="1" t="n">
        <v>45362</v>
      </c>
      <c r="E452" s="1" t="n">
        <v>46228</v>
      </c>
      <c r="F452" t="inlineStr">
        <is>
          <t>VÄSTERNORRLANDS LÄN</t>
        </is>
      </c>
      <c r="G452" t="inlineStr">
        <is>
          <t>ÅNGE</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35426-2024</t>
        </is>
      </c>
      <c r="B453" t="inlineStr">
        <is>
          <t>avverkningsanmälan</t>
        </is>
      </c>
      <c r="C453" t="inlineStr">
        <is>
          <t>Föryngringsavverkning</t>
        </is>
      </c>
      <c r="D453" s="1" t="n">
        <v>45531</v>
      </c>
      <c r="E453" s="1" t="n">
        <v>46228</v>
      </c>
      <c r="F453" t="inlineStr">
        <is>
          <t>VÄSTERNORRLANDS LÄN</t>
        </is>
      </c>
      <c r="G453" t="inlineStr">
        <is>
          <t>ÅNGE</t>
        </is>
      </c>
      <c r="H453" t="inlineStr">
        <is>
          <t>SCA</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35488-2024</t>
        </is>
      </c>
      <c r="B454" t="inlineStr">
        <is>
          <t>avverkningsanmälan</t>
        </is>
      </c>
      <c r="C454" t="inlineStr">
        <is>
          <t>Föryngringsavverkning</t>
        </is>
      </c>
      <c r="D454" s="1" t="n">
        <v>45531</v>
      </c>
      <c r="E454" s="1" t="n">
        <v>46228</v>
      </c>
      <c r="F454" t="inlineStr">
        <is>
          <t>VÄSTERNORRLANDS LÄN</t>
        </is>
      </c>
      <c r="G454" t="inlineStr">
        <is>
          <t>ÅNGE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3347-2024</t>
        </is>
      </c>
      <c r="B455" t="inlineStr">
        <is>
          <t>avverkningsanmälan</t>
        </is>
      </c>
      <c r="C455" t="inlineStr">
        <is>
          <t>Föryngringsavverkning</t>
        </is>
      </c>
      <c r="D455" s="1" t="n">
        <v>45317</v>
      </c>
      <c r="E455" s="1" t="n">
        <v>46228</v>
      </c>
      <c r="F455" t="inlineStr">
        <is>
          <t>VÄSTERNORRLANDS LÄN</t>
        </is>
      </c>
      <c r="G455" t="inlineStr">
        <is>
          <t>ÅNGE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52683-2024</t>
        </is>
      </c>
      <c r="B456" t="inlineStr">
        <is>
          <t>avverkningsanmälan</t>
        </is>
      </c>
      <c r="C456" t="inlineStr">
        <is>
          <t>Föryngringsavverkning</t>
        </is>
      </c>
      <c r="D456" s="1" t="n">
        <v>45610</v>
      </c>
      <c r="E456" s="1" t="n">
        <v>46228</v>
      </c>
      <c r="F456" t="inlineStr">
        <is>
          <t>VÄSTERNORRLANDS LÄN</t>
        </is>
      </c>
      <c r="G456" t="inlineStr">
        <is>
          <t>ÅNGE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40790-2023</t>
        </is>
      </c>
      <c r="B457" t="inlineStr">
        <is>
          <t>avverkningsanmälan</t>
        </is>
      </c>
      <c r="C457" t="inlineStr">
        <is>
          <t>Föryngringsavverkning</t>
        </is>
      </c>
      <c r="D457" s="1" t="n">
        <v>45170</v>
      </c>
      <c r="E457" s="1" t="n">
        <v>46228</v>
      </c>
      <c r="F457" t="inlineStr">
        <is>
          <t>VÄSTERNORRLANDS LÄN</t>
        </is>
      </c>
      <c r="G457" t="inlineStr">
        <is>
          <t>ÅNGE</t>
        </is>
      </c>
      <c r="H457" t="inlineStr">
        <is>
          <t>SCA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38002-2024</t>
        </is>
      </c>
      <c r="B458" t="inlineStr">
        <is>
          <t>avverkningsanmälan</t>
        </is>
      </c>
      <c r="C458" t="inlineStr">
        <is>
          <t>Föryngringsavverkning</t>
        </is>
      </c>
      <c r="D458" s="1" t="n">
        <v>45544</v>
      </c>
      <c r="E458" s="1" t="n">
        <v>46228</v>
      </c>
      <c r="F458" t="inlineStr">
        <is>
          <t>VÄSTERNORRLANDS LÄN</t>
        </is>
      </c>
      <c r="G458" t="inlineStr">
        <is>
          <t>ÅNGE</t>
        </is>
      </c>
      <c r="H458" t="inlineStr">
        <is>
          <t>SCA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60514-2024</t>
        </is>
      </c>
      <c r="B459" t="inlineStr">
        <is>
          <t>avverkningsanmälan</t>
        </is>
      </c>
      <c r="C459" t="inlineStr">
        <is>
          <t>Föryngringsavverkning</t>
        </is>
      </c>
      <c r="D459" s="1" t="n">
        <v>45643</v>
      </c>
      <c r="E459" s="1" t="n">
        <v>46228</v>
      </c>
      <c r="F459" t="inlineStr">
        <is>
          <t>VÄSTERNORRLANDS LÄN</t>
        </is>
      </c>
      <c r="G459" t="inlineStr">
        <is>
          <t>ÅNGE</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741-2024</t>
        </is>
      </c>
      <c r="B460" t="inlineStr">
        <is>
          <t>avverkningsanmälan</t>
        </is>
      </c>
      <c r="C460" t="inlineStr">
        <is>
          <t>Föryngringsavverkning</t>
        </is>
      </c>
      <c r="D460" s="1" t="n">
        <v>45300</v>
      </c>
      <c r="E460" s="1" t="n">
        <v>46228</v>
      </c>
      <c r="F460" t="inlineStr">
        <is>
          <t>VÄSTERNORRLANDS LÄN</t>
        </is>
      </c>
      <c r="G460" t="inlineStr">
        <is>
          <t>ÅNGE</t>
        </is>
      </c>
      <c r="I460" t="n">
        <v>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48369-2024</t>
        </is>
      </c>
      <c r="B461" t="inlineStr">
        <is>
          <t>avverkningsanmälan</t>
        </is>
      </c>
      <c r="C461" t="inlineStr">
        <is>
          <t>Föryngringsavverkning</t>
        </is>
      </c>
      <c r="D461" s="1" t="n">
        <v>45590</v>
      </c>
      <c r="E461" s="1" t="n">
        <v>46228</v>
      </c>
      <c r="F461" t="inlineStr">
        <is>
          <t>VÄSTERNORRLANDS LÄN</t>
        </is>
      </c>
      <c r="G461" t="inlineStr">
        <is>
          <t>ÅNGE</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21200-2024</t>
        </is>
      </c>
      <c r="B462" t="inlineStr">
        <is>
          <t>avverkningsanmälan</t>
        </is>
      </c>
      <c r="C462" t="inlineStr">
        <is>
          <t>Föryngringsavverkning</t>
        </is>
      </c>
      <c r="D462" s="1" t="n">
        <v>45440</v>
      </c>
      <c r="E462" s="1" t="n">
        <v>46228</v>
      </c>
      <c r="F462" t="inlineStr">
        <is>
          <t>VÄSTERNORRLANDS LÄN</t>
        </is>
      </c>
      <c r="G462" t="inlineStr">
        <is>
          <t>ÅNGE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10017-2025</t>
        </is>
      </c>
      <c r="B463" t="inlineStr">
        <is>
          <t>avverkningsanmälan</t>
        </is>
      </c>
      <c r="C463" t="inlineStr">
        <is>
          <t>Föryngringsavverkning</t>
        </is>
      </c>
      <c r="D463" s="1" t="n">
        <v>45719</v>
      </c>
      <c r="E463" s="1" t="n">
        <v>46228</v>
      </c>
      <c r="F463" t="inlineStr">
        <is>
          <t>VÄSTERNORRLANDS LÄN</t>
        </is>
      </c>
      <c r="G463" t="inlineStr">
        <is>
          <t>ÅNGE</t>
        </is>
      </c>
      <c r="H463" t="inlineStr">
        <is>
          <t>SCA</t>
        </is>
      </c>
      <c r="I463" t="n">
        <v>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16524-2025</t>
        </is>
      </c>
      <c r="B464" t="inlineStr">
        <is>
          <t>avverkningsanmälan</t>
        </is>
      </c>
      <c r="C464" t="inlineStr">
        <is>
          <t>Föryngringsavverkning</t>
        </is>
      </c>
      <c r="D464" s="1" t="n">
        <v>45751</v>
      </c>
      <c r="E464" s="1" t="n">
        <v>46228</v>
      </c>
      <c r="F464" t="inlineStr">
        <is>
          <t>VÄSTERNORRLANDS LÄN</t>
        </is>
      </c>
      <c r="G464" t="inlineStr">
        <is>
          <t>ÅNGE</t>
        </is>
      </c>
      <c r="H464" t="inlineStr">
        <is>
          <t>Sveaskog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1127-2023</t>
        </is>
      </c>
      <c r="B465" t="inlineStr">
        <is>
          <t>avverkningsanmälan</t>
        </is>
      </c>
      <c r="C465" t="inlineStr">
        <is>
          <t>Föryngringsavverkning</t>
        </is>
      </c>
      <c r="D465" s="1" t="n">
        <v>44929</v>
      </c>
      <c r="E465" s="1" t="n">
        <v>46228</v>
      </c>
      <c r="F465" t="inlineStr">
        <is>
          <t>VÄSTERNORRLANDS LÄN</t>
        </is>
      </c>
      <c r="G465" t="inlineStr">
        <is>
          <t>ÅNGE</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22755-2023</t>
        </is>
      </c>
      <c r="B466" t="inlineStr">
        <is>
          <t>avverkningsanmälan</t>
        </is>
      </c>
      <c r="C466" t="inlineStr">
        <is>
          <t>Föryngringsavverkning</t>
        </is>
      </c>
      <c r="D466" s="1" t="n">
        <v>45071</v>
      </c>
      <c r="E466" s="1" t="n">
        <v>46228</v>
      </c>
      <c r="F466" t="inlineStr">
        <is>
          <t>VÄSTERNORRLANDS LÄN</t>
        </is>
      </c>
      <c r="G466" t="inlineStr">
        <is>
          <t>ÅNGE</t>
        </is>
      </c>
      <c r="H466" t="inlineStr">
        <is>
          <t>SCA</t>
        </is>
      </c>
      <c r="I466" t="n">
        <v>12.6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42043-2024</t>
        </is>
      </c>
      <c r="B467" t="inlineStr">
        <is>
          <t>avverkningsanmälan</t>
        </is>
      </c>
      <c r="C467" t="inlineStr">
        <is>
          <t>Föryngringsavverkning</t>
        </is>
      </c>
      <c r="D467" s="1" t="n">
        <v>45561</v>
      </c>
      <c r="E467" s="1" t="n">
        <v>46228</v>
      </c>
      <c r="F467" t="inlineStr">
        <is>
          <t>VÄSTERNORRLANDS LÄN</t>
        </is>
      </c>
      <c r="G467" t="inlineStr">
        <is>
          <t>ÅNGE</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42046-2024</t>
        </is>
      </c>
      <c r="B468" t="inlineStr">
        <is>
          <t>avverkningsanmälan</t>
        </is>
      </c>
      <c r="C468" t="inlineStr">
        <is>
          <t>Föryngringsavverkning</t>
        </is>
      </c>
      <c r="D468" s="1" t="n">
        <v>45561</v>
      </c>
      <c r="E468" s="1" t="n">
        <v>46228</v>
      </c>
      <c r="F468" t="inlineStr">
        <is>
          <t>VÄSTERNORRLANDS LÄN</t>
        </is>
      </c>
      <c r="G468" t="inlineStr">
        <is>
          <t>ÅNGE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4727-2023</t>
        </is>
      </c>
      <c r="B469" t="inlineStr">
        <is>
          <t>avverkningsanmälan</t>
        </is>
      </c>
      <c r="C469" t="inlineStr">
        <is>
          <t>Föryngringsavverkning</t>
        </is>
      </c>
      <c r="D469" s="1" t="n">
        <v>44953</v>
      </c>
      <c r="E469" s="1" t="n">
        <v>46228</v>
      </c>
      <c r="F469" t="inlineStr">
        <is>
          <t>VÄSTERNORRLANDS LÄN</t>
        </is>
      </c>
      <c r="G469" t="inlineStr">
        <is>
          <t>ÅNGE</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30474-2024</t>
        </is>
      </c>
      <c r="B470" t="inlineStr">
        <is>
          <t>avverkningsanmälan</t>
        </is>
      </c>
      <c r="C470" t="inlineStr">
        <is>
          <t>Föryngringsavverkning</t>
        </is>
      </c>
      <c r="D470" s="1" t="n">
        <v>45491</v>
      </c>
      <c r="E470" s="1" t="n">
        <v>46228</v>
      </c>
      <c r="F470" t="inlineStr">
        <is>
          <t>VÄSTERNORRLANDS LÄN</t>
        </is>
      </c>
      <c r="G470" t="inlineStr">
        <is>
          <t>ÅNGE</t>
        </is>
      </c>
      <c r="H470" t="inlineStr">
        <is>
          <t>SCA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47243-2024</t>
        </is>
      </c>
      <c r="B471" t="inlineStr">
        <is>
          <t>avverkningsanmälan</t>
        </is>
      </c>
      <c r="C471" t="inlineStr">
        <is>
          <t>Föryngringsavverkning</t>
        </is>
      </c>
      <c r="D471" s="1" t="n">
        <v>45586</v>
      </c>
      <c r="E471" s="1" t="n">
        <v>46228</v>
      </c>
      <c r="F471" t="inlineStr">
        <is>
          <t>VÄSTERNORRLANDS LÄN</t>
        </is>
      </c>
      <c r="G471" t="inlineStr">
        <is>
          <t>ÅNGE</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55664-2023</t>
        </is>
      </c>
      <c r="B472" t="inlineStr">
        <is>
          <t>avverkningsanmälan</t>
        </is>
      </c>
      <c r="C472" t="inlineStr">
        <is>
          <t>Föryngringsavverkning</t>
        </is>
      </c>
      <c r="D472" s="1" t="n">
        <v>45238</v>
      </c>
      <c r="E472" s="1" t="n">
        <v>46228</v>
      </c>
      <c r="F472" t="inlineStr">
        <is>
          <t>VÄSTERNORRLANDS LÄN</t>
        </is>
      </c>
      <c r="G472" t="inlineStr">
        <is>
          <t>ÅNGE</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30747-2024</t>
        </is>
      </c>
      <c r="B473" t="inlineStr">
        <is>
          <t>avverkningsanmälan</t>
        </is>
      </c>
      <c r="C473" t="inlineStr">
        <is>
          <t>Avverkning för annat ändamål</t>
        </is>
      </c>
      <c r="D473" s="1" t="n">
        <v>45496</v>
      </c>
      <c r="E473" s="1" t="n">
        <v>46228</v>
      </c>
      <c r="F473" t="inlineStr">
        <is>
          <t>VÄSTERNORRLANDS LÄN</t>
        </is>
      </c>
      <c r="G473" t="inlineStr">
        <is>
          <t>ÅNGE</t>
        </is>
      </c>
      <c r="H473" t="inlineStr">
        <is>
          <t>SCA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58939-2021</t>
        </is>
      </c>
      <c r="B474" t="inlineStr">
        <is>
          <t>avverkningsanmälan</t>
        </is>
      </c>
      <c r="C474" t="inlineStr">
        <is>
          <t>Föryngringsavverkning</t>
        </is>
      </c>
      <c r="D474" s="1" t="n">
        <v>44489</v>
      </c>
      <c r="E474" s="1" t="n">
        <v>46228</v>
      </c>
      <c r="F474" t="inlineStr">
        <is>
          <t>VÄSTERNORRLANDS LÄN</t>
        </is>
      </c>
      <c r="G474" t="inlineStr">
        <is>
          <t>ÅNGE</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43066-2022</t>
        </is>
      </c>
      <c r="B475" t="inlineStr">
        <is>
          <t>avverkningsanmälan</t>
        </is>
      </c>
      <c r="C475" t="inlineStr">
        <is>
          <t>Föryngringsavverkning</t>
        </is>
      </c>
      <c r="D475" s="1" t="n">
        <v>44833</v>
      </c>
      <c r="E475" s="1" t="n">
        <v>46228</v>
      </c>
      <c r="F475" t="inlineStr">
        <is>
          <t>VÄSTERNORRLANDS LÄN</t>
        </is>
      </c>
      <c r="G475" t="inlineStr">
        <is>
          <t>ÅNGE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56874-2024</t>
        </is>
      </c>
      <c r="B476" t="inlineStr">
        <is>
          <t>avverkningsanmälan</t>
        </is>
      </c>
      <c r="C476" t="inlineStr">
        <is>
          <t>Föryngringsavverkning</t>
        </is>
      </c>
      <c r="D476" s="1" t="n">
        <v>45628</v>
      </c>
      <c r="E476" s="1" t="n">
        <v>46228</v>
      </c>
      <c r="F476" t="inlineStr">
        <is>
          <t>VÄSTERNORRLANDS LÄN</t>
        </is>
      </c>
      <c r="G476" t="inlineStr">
        <is>
          <t>ÅNGE</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58087-2024</t>
        </is>
      </c>
      <c r="B477" t="inlineStr">
        <is>
          <t>avverkningsanmälan</t>
        </is>
      </c>
      <c r="C477" t="inlineStr">
        <is>
          <t>Föryngringsavverkning</t>
        </is>
      </c>
      <c r="D477" s="1" t="n">
        <v>45632</v>
      </c>
      <c r="E477" s="1" t="n">
        <v>46228</v>
      </c>
      <c r="F477" t="inlineStr">
        <is>
          <t>VÄSTERNORRLANDS LÄN</t>
        </is>
      </c>
      <c r="G477" t="inlineStr">
        <is>
          <t>ÅNGE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58639-2023</t>
        </is>
      </c>
      <c r="B478" t="inlineStr">
        <is>
          <t>avverkningsanmälan</t>
        </is>
      </c>
      <c r="C478" t="inlineStr">
        <is>
          <t>Föryngringsavverkning</t>
        </is>
      </c>
      <c r="D478" s="1" t="n">
        <v>45251</v>
      </c>
      <c r="E478" s="1" t="n">
        <v>46228</v>
      </c>
      <c r="F478" t="inlineStr">
        <is>
          <t>VÄSTERNORRLANDS LÄN</t>
        </is>
      </c>
      <c r="G478" t="inlineStr">
        <is>
          <t>ÅNGE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44635-2024</t>
        </is>
      </c>
      <c r="B479" t="inlineStr">
        <is>
          <t>avverkningsanmälan</t>
        </is>
      </c>
      <c r="C479" t="inlineStr">
        <is>
          <t>Föryngringsavverkning</t>
        </is>
      </c>
      <c r="D479" s="1" t="n">
        <v>45574</v>
      </c>
      <c r="E479" s="1" t="n">
        <v>46228</v>
      </c>
      <c r="F479" t="inlineStr">
        <is>
          <t>VÄSTERNORRLANDS LÄN</t>
        </is>
      </c>
      <c r="G479" t="inlineStr">
        <is>
          <t>ÅNGE</t>
        </is>
      </c>
      <c r="H479" t="inlineStr">
        <is>
          <t>SCA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63530-2023</t>
        </is>
      </c>
      <c r="B480" t="inlineStr">
        <is>
          <t>avverkningsanmälan</t>
        </is>
      </c>
      <c r="C480" t="inlineStr">
        <is>
          <t>Föryngringsavverkning</t>
        </is>
      </c>
      <c r="D480" s="1" t="n">
        <v>45274</v>
      </c>
      <c r="E480" s="1" t="n">
        <v>46228</v>
      </c>
      <c r="F480" t="inlineStr">
        <is>
          <t>VÄSTERNORRLANDS LÄN</t>
        </is>
      </c>
      <c r="G480" t="inlineStr">
        <is>
          <t>ÅNGE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3249-2024</t>
        </is>
      </c>
      <c r="B481" t="inlineStr">
        <is>
          <t>avverkningsanmälan</t>
        </is>
      </c>
      <c r="C481" t="inlineStr">
        <is>
          <t>Föryngringsavverkning</t>
        </is>
      </c>
      <c r="D481" s="1" t="n">
        <v>45316</v>
      </c>
      <c r="E481" s="1" t="n">
        <v>46228</v>
      </c>
      <c r="F481" t="inlineStr">
        <is>
          <t>VÄSTERNORRLANDS LÄN</t>
        </is>
      </c>
      <c r="G481" t="inlineStr">
        <is>
          <t>ÅNGE</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2299-2025</t>
        </is>
      </c>
      <c r="B482" t="inlineStr">
        <is>
          <t>avverkningsanmälan</t>
        </is>
      </c>
      <c r="C482" t="inlineStr">
        <is>
          <t>Föryngringsavverkning</t>
        </is>
      </c>
      <c r="D482" s="1" t="n">
        <v>45673</v>
      </c>
      <c r="E482" s="1" t="n">
        <v>46228</v>
      </c>
      <c r="F482" t="inlineStr">
        <is>
          <t>VÄSTERNORRLANDS LÄN</t>
        </is>
      </c>
      <c r="G482" t="inlineStr">
        <is>
          <t>ÅNGE</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58275-2022</t>
        </is>
      </c>
      <c r="B483" t="inlineStr">
        <is>
          <t>avverkningsanmälan</t>
        </is>
      </c>
      <c r="C483" t="inlineStr">
        <is>
          <t>Föryngringsavverkning</t>
        </is>
      </c>
      <c r="D483" s="1" t="n">
        <v>44901</v>
      </c>
      <c r="E483" s="1" t="n">
        <v>46228</v>
      </c>
      <c r="F483" t="inlineStr">
        <is>
          <t>VÄSTERNORRLANDS LÄN</t>
        </is>
      </c>
      <c r="G483" t="inlineStr">
        <is>
          <t>ÅNGE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42948-2024</t>
        </is>
      </c>
      <c r="B484" t="inlineStr">
        <is>
          <t>avverkningsanmälan</t>
        </is>
      </c>
      <c r="C484" t="inlineStr">
        <is>
          <t>Föryngringsavverkning</t>
        </is>
      </c>
      <c r="D484" s="1" t="n">
        <v>45567</v>
      </c>
      <c r="E484" s="1" t="n">
        <v>46228</v>
      </c>
      <c r="F484" t="inlineStr">
        <is>
          <t>VÄSTERNORRLANDS LÄN</t>
        </is>
      </c>
      <c r="G484" t="inlineStr">
        <is>
          <t>ÅNGE</t>
        </is>
      </c>
      <c r="H484" t="inlineStr">
        <is>
          <t>SCA</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42953-2024</t>
        </is>
      </c>
      <c r="B485" t="inlineStr">
        <is>
          <t>avverkningsanmälan</t>
        </is>
      </c>
      <c r="C485" t="inlineStr">
        <is>
          <t>Avverkning för att bevara och utveckla /försöksver</t>
        </is>
      </c>
      <c r="D485" s="1" t="n">
        <v>45567</v>
      </c>
      <c r="E485" s="1" t="n">
        <v>46228</v>
      </c>
      <c r="F485" t="inlineStr">
        <is>
          <t>VÄSTERNORRLANDS LÄN</t>
        </is>
      </c>
      <c r="G485" t="inlineStr">
        <is>
          <t>ÅNGE</t>
        </is>
      </c>
      <c r="H485" t="inlineStr">
        <is>
          <t>SCA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42968-2024</t>
        </is>
      </c>
      <c r="B486" t="inlineStr">
        <is>
          <t>avverkningsanmälan</t>
        </is>
      </c>
      <c r="C486" t="inlineStr">
        <is>
          <t>Avverkning för att bevara och utveckla /försöksver</t>
        </is>
      </c>
      <c r="D486" s="1" t="n">
        <v>45567</v>
      </c>
      <c r="E486" s="1" t="n">
        <v>46228</v>
      </c>
      <c r="F486" t="inlineStr">
        <is>
          <t>VÄSTERNORRLANDS LÄN</t>
        </is>
      </c>
      <c r="G486" t="inlineStr">
        <is>
          <t>ÅNGE</t>
        </is>
      </c>
      <c r="H486" t="inlineStr">
        <is>
          <t>SCA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31457-2024</t>
        </is>
      </c>
      <c r="B487" t="inlineStr">
        <is>
          <t>avverkningsanmälan</t>
        </is>
      </c>
      <c r="C487" t="inlineStr">
        <is>
          <t>Föryngringsavverkning</t>
        </is>
      </c>
      <c r="D487" s="1" t="n">
        <v>45505</v>
      </c>
      <c r="E487" s="1" t="n">
        <v>46228</v>
      </c>
      <c r="F487" t="inlineStr">
        <is>
          <t>VÄSTERNORRLANDS LÄN</t>
        </is>
      </c>
      <c r="G487" t="inlineStr">
        <is>
          <t>ÅNGE</t>
        </is>
      </c>
      <c r="H487" t="inlineStr">
        <is>
          <t>SCA</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26011-2024</t>
        </is>
      </c>
      <c r="B488" t="inlineStr">
        <is>
          <t>avverkningsanmälan</t>
        </is>
      </c>
      <c r="C488" t="inlineStr">
        <is>
          <t>Föryngringsavverkning</t>
        </is>
      </c>
      <c r="D488" s="1" t="n">
        <v>45467</v>
      </c>
      <c r="E488" s="1" t="n">
        <v>46228</v>
      </c>
      <c r="F488" t="inlineStr">
        <is>
          <t>VÄSTERNORRLANDS LÄN</t>
        </is>
      </c>
      <c r="G488" t="inlineStr">
        <is>
          <t>ÅNGE</t>
        </is>
      </c>
      <c r="H488" t="inlineStr">
        <is>
          <t>SCA</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26014-2024</t>
        </is>
      </c>
      <c r="B489" t="inlineStr">
        <is>
          <t>avverkningsanmälan</t>
        </is>
      </c>
      <c r="C489" t="inlineStr">
        <is>
          <t>Föryngringsavverkning</t>
        </is>
      </c>
      <c r="D489" s="1" t="n">
        <v>45467</v>
      </c>
      <c r="E489" s="1" t="n">
        <v>46228</v>
      </c>
      <c r="F489" t="inlineStr">
        <is>
          <t>VÄSTERNORRLANDS LÄN</t>
        </is>
      </c>
      <c r="G489" t="inlineStr">
        <is>
          <t>ÅNGE</t>
        </is>
      </c>
      <c r="H489" t="inlineStr">
        <is>
          <t>SCA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27682-2023</t>
        </is>
      </c>
      <c r="B490" t="inlineStr">
        <is>
          <t>avverkningsanmälan</t>
        </is>
      </c>
      <c r="C490" t="inlineStr">
        <is>
          <t>Föryngringsavverkning</t>
        </is>
      </c>
      <c r="D490" s="1" t="n">
        <v>45097</v>
      </c>
      <c r="E490" s="1" t="n">
        <v>46228</v>
      </c>
      <c r="F490" t="inlineStr">
        <is>
          <t>VÄSTERNORRLANDS LÄN</t>
        </is>
      </c>
      <c r="G490" t="inlineStr">
        <is>
          <t>ÅNGE</t>
        </is>
      </c>
      <c r="H490" t="inlineStr">
        <is>
          <t>SCA</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28779-2023</t>
        </is>
      </c>
      <c r="B491" t="inlineStr">
        <is>
          <t>avverkningsanmälan</t>
        </is>
      </c>
      <c r="C491" t="inlineStr">
        <is>
          <t>Föryngringsavverkning</t>
        </is>
      </c>
      <c r="D491" s="1" t="n">
        <v>45104</v>
      </c>
      <c r="E491" s="1" t="n">
        <v>46228</v>
      </c>
      <c r="F491" t="inlineStr">
        <is>
          <t>VÄSTERNORRLANDS LÄN</t>
        </is>
      </c>
      <c r="G491" t="inlineStr">
        <is>
          <t>ÅNGE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30751-2024</t>
        </is>
      </c>
      <c r="B492" t="inlineStr">
        <is>
          <t>avverkningsanmälan</t>
        </is>
      </c>
      <c r="C492" t="inlineStr">
        <is>
          <t>Föryngringsavverkning</t>
        </is>
      </c>
      <c r="D492" s="1" t="n">
        <v>45496</v>
      </c>
      <c r="E492" s="1" t="n">
        <v>46228</v>
      </c>
      <c r="F492" t="inlineStr">
        <is>
          <t>VÄSTERNORRLANDS LÄN</t>
        </is>
      </c>
      <c r="G492" t="inlineStr">
        <is>
          <t>ÅNGE</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56699-2023</t>
        </is>
      </c>
      <c r="B493" t="inlineStr">
        <is>
          <t>avverkningsanmälan</t>
        </is>
      </c>
      <c r="C493" t="inlineStr">
        <is>
          <t>Föryngringsavverkning</t>
        </is>
      </c>
      <c r="D493" s="1" t="n">
        <v>45243</v>
      </c>
      <c r="E493" s="1" t="n">
        <v>46228</v>
      </c>
      <c r="F493" t="inlineStr">
        <is>
          <t>VÄSTERNORRLANDS LÄN</t>
        </is>
      </c>
      <c r="G493" t="inlineStr">
        <is>
          <t>ÅNGE</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28873-2024</t>
        </is>
      </c>
      <c r="B494" t="inlineStr">
        <is>
          <t>avverkningsanmälan</t>
        </is>
      </c>
      <c r="C494" t="inlineStr">
        <is>
          <t>Föryngringsavverkning</t>
        </is>
      </c>
      <c r="D494" s="1" t="n">
        <v>45478</v>
      </c>
      <c r="E494" s="1" t="n">
        <v>46228</v>
      </c>
      <c r="F494" t="inlineStr">
        <is>
          <t>VÄSTERNORRLANDS LÄN</t>
        </is>
      </c>
      <c r="G494" t="inlineStr">
        <is>
          <t>ÅNGE</t>
        </is>
      </c>
      <c r="H494" t="inlineStr">
        <is>
          <t>SCA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25680-2023</t>
        </is>
      </c>
      <c r="B495" t="inlineStr">
        <is>
          <t>avverkningsanmälan</t>
        </is>
      </c>
      <c r="C495" t="inlineStr">
        <is>
          <t>Föryngringsavverkning</t>
        </is>
      </c>
      <c r="D495" s="1" t="n">
        <v>45089</v>
      </c>
      <c r="E495" s="1" t="n">
        <v>46228</v>
      </c>
      <c r="F495" t="inlineStr">
        <is>
          <t>VÄSTERNORRLANDS LÄN</t>
        </is>
      </c>
      <c r="G495" t="inlineStr">
        <is>
          <t>ÅNGE</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41222-2024</t>
        </is>
      </c>
      <c r="B496" t="inlineStr">
        <is>
          <t>avverkningsanmälan</t>
        </is>
      </c>
      <c r="C496" t="inlineStr">
        <is>
          <t>Föryngringsavverkning</t>
        </is>
      </c>
      <c r="D496" s="1" t="n">
        <v>45559</v>
      </c>
      <c r="E496" s="1" t="n">
        <v>46228</v>
      </c>
      <c r="F496" t="inlineStr">
        <is>
          <t>VÄSTERNORRLANDS LÄN</t>
        </is>
      </c>
      <c r="G496" t="inlineStr">
        <is>
          <t>ÅNGE</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13706-2023</t>
        </is>
      </c>
      <c r="B497" t="inlineStr">
        <is>
          <t>avverkningsanmälan</t>
        </is>
      </c>
      <c r="C497" t="inlineStr">
        <is>
          <t>Föryngringsavverkning</t>
        </is>
      </c>
      <c r="D497" s="1" t="n">
        <v>45006</v>
      </c>
      <c r="E497" s="1" t="n">
        <v>46228</v>
      </c>
      <c r="F497" t="inlineStr">
        <is>
          <t>VÄSTERNORRLANDS LÄN</t>
        </is>
      </c>
      <c r="G497" t="inlineStr">
        <is>
          <t>ÅNGE</t>
        </is>
      </c>
      <c r="H497" t="inlineStr">
        <is>
          <t>SCA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18542-2022</t>
        </is>
      </c>
      <c r="B498" t="inlineStr">
        <is>
          <t>avverkningsanmälan</t>
        </is>
      </c>
      <c r="C498" t="inlineStr">
        <is>
          <t>Avverkning för annat ändamål</t>
        </is>
      </c>
      <c r="D498" s="1" t="n">
        <v>44686</v>
      </c>
      <c r="E498" s="1" t="n">
        <v>46228</v>
      </c>
      <c r="F498" t="inlineStr">
        <is>
          <t>VÄSTERNORRLANDS LÄN</t>
        </is>
      </c>
      <c r="G498" t="inlineStr">
        <is>
          <t>ÅNGE</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36342-2024</t>
        </is>
      </c>
      <c r="B499" t="inlineStr">
        <is>
          <t>avverkningsanmälan</t>
        </is>
      </c>
      <c r="C499" t="inlineStr">
        <is>
          <t>Avverkning för att bevara och utveckla /försöksver</t>
        </is>
      </c>
      <c r="D499" s="1" t="n">
        <v>45534</v>
      </c>
      <c r="E499" s="1" t="n">
        <v>46228</v>
      </c>
      <c r="F499" t="inlineStr">
        <is>
          <t>VÄSTERNORRLANDS LÄN</t>
        </is>
      </c>
      <c r="G499" t="inlineStr">
        <is>
          <t>ÅNGE</t>
        </is>
      </c>
      <c r="H499" t="inlineStr">
        <is>
          <t>SCA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55007-2022</t>
        </is>
      </c>
      <c r="B500" t="inlineStr">
        <is>
          <t>avverkningsanmälan</t>
        </is>
      </c>
      <c r="C500" t="inlineStr">
        <is>
          <t>Avverkning för annat ändamål</t>
        </is>
      </c>
      <c r="D500" s="1" t="n">
        <v>44881</v>
      </c>
      <c r="E500" s="1" t="n">
        <v>46228</v>
      </c>
      <c r="F500" t="inlineStr">
        <is>
          <t>VÄSTERNORRLANDS LÄN</t>
        </is>
      </c>
      <c r="G500" t="inlineStr">
        <is>
          <t>ÅNGE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63607-2021</t>
        </is>
      </c>
      <c r="B501" t="inlineStr">
        <is>
          <t>avverkningsanmälan</t>
        </is>
      </c>
      <c r="C501" t="inlineStr">
        <is>
          <t>Föryngringsavverkning</t>
        </is>
      </c>
      <c r="D501" s="1" t="n">
        <v>44508</v>
      </c>
      <c r="E501" s="1" t="n">
        <v>46228</v>
      </c>
      <c r="F501" t="inlineStr">
        <is>
          <t>VÄSTERNORRLANDS LÄN</t>
        </is>
      </c>
      <c r="G501" t="inlineStr">
        <is>
          <t>ÅNGE</t>
        </is>
      </c>
      <c r="H501" t="inlineStr">
        <is>
          <t>SCA</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41781-2024</t>
        </is>
      </c>
      <c r="B502" t="inlineStr">
        <is>
          <t>avverkningsanmälan</t>
        </is>
      </c>
      <c r="C502" t="inlineStr">
        <is>
          <t>Avverkning för att bevara och utveckla /försöksver</t>
        </is>
      </c>
      <c r="D502" s="1" t="n">
        <v>45561</v>
      </c>
      <c r="E502" s="1" t="n">
        <v>46228</v>
      </c>
      <c r="F502" t="inlineStr">
        <is>
          <t>VÄSTERNORRLANDS LÄN</t>
        </is>
      </c>
      <c r="G502" t="inlineStr">
        <is>
          <t>ÅNGE</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3330-2025</t>
        </is>
      </c>
      <c r="B503" t="inlineStr">
        <is>
          <t>avverkningsanmälan</t>
        </is>
      </c>
      <c r="C503" t="inlineStr">
        <is>
          <t>Föryngringsavverkning</t>
        </is>
      </c>
      <c r="D503" s="1" t="n">
        <v>45679</v>
      </c>
      <c r="E503" s="1" t="n">
        <v>46228</v>
      </c>
      <c r="F503" t="inlineStr">
        <is>
          <t>VÄSTERNORRLANDS LÄN</t>
        </is>
      </c>
      <c r="G503" t="inlineStr">
        <is>
          <t>ÅNGE</t>
        </is>
      </c>
      <c r="H503" t="inlineStr">
        <is>
          <t>SCA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41831-2021</t>
        </is>
      </c>
      <c r="B504" t="inlineStr">
        <is>
          <t>avverkningsanmälan</t>
        </is>
      </c>
      <c r="C504" t="inlineStr">
        <is>
          <t>Föryngringsavverkning</t>
        </is>
      </c>
      <c r="D504" s="1" t="n">
        <v>44425</v>
      </c>
      <c r="E504" s="1" t="n">
        <v>46228</v>
      </c>
      <c r="F504" t="inlineStr">
        <is>
          <t>VÄSTERNORRLANDS LÄN</t>
        </is>
      </c>
      <c r="G504" t="inlineStr">
        <is>
          <t>ÅNGE</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10282-2025</t>
        </is>
      </c>
      <c r="B505" t="inlineStr">
        <is>
          <t>avverkningsanmälan</t>
        </is>
      </c>
      <c r="C505" t="inlineStr">
        <is>
          <t>Föryngringsavverkning</t>
        </is>
      </c>
      <c r="D505" s="1" t="n">
        <v>45720</v>
      </c>
      <c r="E505" s="1" t="n">
        <v>46228</v>
      </c>
      <c r="F505" t="inlineStr">
        <is>
          <t>VÄSTERNORRLANDS LÄN</t>
        </is>
      </c>
      <c r="G505" t="inlineStr">
        <is>
          <t>ÅNGE</t>
        </is>
      </c>
      <c r="H505" t="inlineStr">
        <is>
          <t>SCA</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36674-2025</t>
        </is>
      </c>
      <c r="B506" t="inlineStr">
        <is>
          <t>avverkningsanmälan</t>
        </is>
      </c>
      <c r="C506" t="inlineStr">
        <is>
          <t>Föryngringsavverkning</t>
        </is>
      </c>
      <c r="D506" s="1" t="n">
        <v>45873</v>
      </c>
      <c r="E506" s="1" t="n">
        <v>46228</v>
      </c>
      <c r="F506" t="inlineStr">
        <is>
          <t>VÄSTERNORRLANDS LÄN</t>
        </is>
      </c>
      <c r="G506" t="inlineStr">
        <is>
          <t>ÅNGE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58613-2023</t>
        </is>
      </c>
      <c r="B507" t="inlineStr">
        <is>
          <t>avverkningsanmälan</t>
        </is>
      </c>
      <c r="C507" t="inlineStr">
        <is>
          <t>Föryngringsavverkning</t>
        </is>
      </c>
      <c r="D507" s="1" t="n">
        <v>45251</v>
      </c>
      <c r="E507" s="1" t="n">
        <v>46228</v>
      </c>
      <c r="F507" t="inlineStr">
        <is>
          <t>VÄSTERNORRLANDS LÄN</t>
        </is>
      </c>
      <c r="G507" t="inlineStr">
        <is>
          <t>ÅNGE</t>
        </is>
      </c>
      <c r="H507" t="inlineStr">
        <is>
          <t>Övriga Aktiebolag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51055-2023</t>
        </is>
      </c>
      <c r="B508" t="inlineStr">
        <is>
          <t>avverkningsanmälan</t>
        </is>
      </c>
      <c r="C508" t="inlineStr">
        <is>
          <t>Föryngringsavverkning</t>
        </is>
      </c>
      <c r="D508" s="1" t="n">
        <v>45218</v>
      </c>
      <c r="E508" s="1" t="n">
        <v>46228</v>
      </c>
      <c r="F508" t="inlineStr">
        <is>
          <t>VÄSTERNORRLANDS LÄN</t>
        </is>
      </c>
      <c r="G508" t="inlineStr">
        <is>
          <t>ÅNGE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36740-2025</t>
        </is>
      </c>
      <c r="B509" t="inlineStr">
        <is>
          <t>avverkningsanmälan</t>
        </is>
      </c>
      <c r="C509" t="inlineStr">
        <is>
          <t>Föryngringsavverkning</t>
        </is>
      </c>
      <c r="D509" s="1" t="n">
        <v>45873</v>
      </c>
      <c r="E509" s="1" t="n">
        <v>46228</v>
      </c>
      <c r="F509" t="inlineStr">
        <is>
          <t>VÄSTERNORRLANDS LÄN</t>
        </is>
      </c>
      <c r="G509" t="inlineStr">
        <is>
          <t>ÅNGE</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5455-2023</t>
        </is>
      </c>
      <c r="B510" t="inlineStr">
        <is>
          <t>avverkningsanmälan</t>
        </is>
      </c>
      <c r="C510" t="inlineStr">
        <is>
          <t>Föryngringsavverkning</t>
        </is>
      </c>
      <c r="D510" s="1" t="n">
        <v>44959</v>
      </c>
      <c r="E510" s="1" t="n">
        <v>46228</v>
      </c>
      <c r="F510" t="inlineStr">
        <is>
          <t>VÄSTERNORRLANDS LÄN</t>
        </is>
      </c>
      <c r="G510" t="inlineStr">
        <is>
          <t>ÅNGE</t>
        </is>
      </c>
      <c r="H510" t="inlineStr">
        <is>
          <t>SCA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38686-2025</t>
        </is>
      </c>
      <c r="B511" t="inlineStr">
        <is>
          <t>avverkningsanmälan</t>
        </is>
      </c>
      <c r="C511" t="inlineStr">
        <is>
          <t>Föryngringsavverkning</t>
        </is>
      </c>
      <c r="D511" s="1" t="n">
        <v>45884</v>
      </c>
      <c r="E511" s="1" t="n">
        <v>46228</v>
      </c>
      <c r="F511" t="inlineStr">
        <is>
          <t>VÄSTERNORRLANDS LÄN</t>
        </is>
      </c>
      <c r="G511" t="inlineStr">
        <is>
          <t>ÅNGE</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43775-2022</t>
        </is>
      </c>
      <c r="B512" t="inlineStr">
        <is>
          <t>avverkningsanmälan</t>
        </is>
      </c>
      <c r="C512" t="inlineStr">
        <is>
          <t>Föryngringsavverkning</t>
        </is>
      </c>
      <c r="D512" s="1" t="n">
        <v>44837</v>
      </c>
      <c r="E512" s="1" t="n">
        <v>46228</v>
      </c>
      <c r="F512" t="inlineStr">
        <is>
          <t>VÄSTERNORRLANDS LÄN</t>
        </is>
      </c>
      <c r="G512" t="inlineStr">
        <is>
          <t>ÅNGE</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36456-2025</t>
        </is>
      </c>
      <c r="B513" t="inlineStr">
        <is>
          <t>avverkningsanmälan</t>
        </is>
      </c>
      <c r="C513" t="inlineStr">
        <is>
          <t>Föryngringsavverkning</t>
        </is>
      </c>
      <c r="D513" s="1" t="n">
        <v>45869</v>
      </c>
      <c r="E513" s="1" t="n">
        <v>46228</v>
      </c>
      <c r="F513" t="inlineStr">
        <is>
          <t>VÄSTERNORRLANDS LÄN</t>
        </is>
      </c>
      <c r="G513" t="inlineStr">
        <is>
          <t>ÅNGE</t>
        </is>
      </c>
      <c r="H513" t="inlineStr">
        <is>
          <t>SCA</t>
        </is>
      </c>
      <c r="I513" t="n">
        <v>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36873-2025</t>
        </is>
      </c>
      <c r="B514" t="inlineStr">
        <is>
          <t>avverkningsanmälan</t>
        </is>
      </c>
      <c r="C514" t="inlineStr">
        <is>
          <t>Föryngringsavverkning</t>
        </is>
      </c>
      <c r="D514" s="1" t="n">
        <v>45874</v>
      </c>
      <c r="E514" s="1" t="n">
        <v>46228</v>
      </c>
      <c r="F514" t="inlineStr">
        <is>
          <t>VÄSTERNORRLANDS LÄN</t>
        </is>
      </c>
      <c r="G514" t="inlineStr">
        <is>
          <t>ÅNGE</t>
        </is>
      </c>
      <c r="H514" t="inlineStr">
        <is>
          <t>SCA</t>
        </is>
      </c>
      <c r="I514" t="n">
        <v>16.9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37047-2025</t>
        </is>
      </c>
      <c r="B515" t="inlineStr">
        <is>
          <t>avverkningsanmälan</t>
        </is>
      </c>
      <c r="C515" t="inlineStr">
        <is>
          <t>Föryngringsavverkning</t>
        </is>
      </c>
      <c r="D515" s="1" t="n">
        <v>45875</v>
      </c>
      <c r="E515" s="1" t="n">
        <v>46228</v>
      </c>
      <c r="F515" t="inlineStr">
        <is>
          <t>VÄSTERNORRLANDS LÄN</t>
        </is>
      </c>
      <c r="G515" t="inlineStr">
        <is>
          <t>ÅNGE</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16915-2024</t>
        </is>
      </c>
      <c r="B516" t="inlineStr">
        <is>
          <t>avverkningsanmälan</t>
        </is>
      </c>
      <c r="C516" t="inlineStr">
        <is>
          <t>Föryngringsavverkning</t>
        </is>
      </c>
      <c r="D516" s="1" t="n">
        <v>45411</v>
      </c>
      <c r="E516" s="1" t="n">
        <v>46228</v>
      </c>
      <c r="F516" t="inlineStr">
        <is>
          <t>VÄSTERNORRLANDS LÄN</t>
        </is>
      </c>
      <c r="G516" t="inlineStr">
        <is>
          <t>ÅNGE</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57560-2023</t>
        </is>
      </c>
      <c r="B517" t="inlineStr">
        <is>
          <t>avverkningsanmälan</t>
        </is>
      </c>
      <c r="C517" t="inlineStr">
        <is>
          <t>Föryngringsavverkning</t>
        </is>
      </c>
      <c r="D517" s="1" t="n">
        <v>45243</v>
      </c>
      <c r="E517" s="1" t="n">
        <v>46228</v>
      </c>
      <c r="F517" t="inlineStr">
        <is>
          <t>VÄSTERNORRLANDS LÄN</t>
        </is>
      </c>
      <c r="G517" t="inlineStr">
        <is>
          <t>ÅNGE</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16576-2023</t>
        </is>
      </c>
      <c r="B518" t="inlineStr">
        <is>
          <t>avverkningsanmälan</t>
        </is>
      </c>
      <c r="C518" t="inlineStr">
        <is>
          <t>Föryngringsavverkning</t>
        </is>
      </c>
      <c r="D518" s="1" t="n">
        <v>45029</v>
      </c>
      <c r="E518" s="1" t="n">
        <v>46228</v>
      </c>
      <c r="F518" t="inlineStr">
        <is>
          <t>VÄSTERNORRLANDS LÄN</t>
        </is>
      </c>
      <c r="G518" t="inlineStr">
        <is>
          <t>ÅNGE</t>
        </is>
      </c>
      <c r="H518" t="inlineStr">
        <is>
          <t>SCA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37275-2025</t>
        </is>
      </c>
      <c r="B519" t="inlineStr">
        <is>
          <t>avverkningsanmälan</t>
        </is>
      </c>
      <c r="C519" t="inlineStr">
        <is>
          <t>Föryngringsavverkning</t>
        </is>
      </c>
      <c r="D519" s="1" t="n">
        <v>45876</v>
      </c>
      <c r="E519" s="1" t="n">
        <v>46228</v>
      </c>
      <c r="F519" t="inlineStr">
        <is>
          <t>VÄSTERNORRLANDS LÄN</t>
        </is>
      </c>
      <c r="G519" t="inlineStr">
        <is>
          <t>ÅNGE</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37303-2025</t>
        </is>
      </c>
      <c r="B520" t="inlineStr">
        <is>
          <t>avverkningsanmälan</t>
        </is>
      </c>
      <c r="C520" t="inlineStr">
        <is>
          <t>Föryngringsavverkning</t>
        </is>
      </c>
      <c r="D520" s="1" t="n">
        <v>45876</v>
      </c>
      <c r="E520" s="1" t="n">
        <v>46228</v>
      </c>
      <c r="F520" t="inlineStr">
        <is>
          <t>VÄSTERNORRLANDS LÄN</t>
        </is>
      </c>
      <c r="G520" t="inlineStr">
        <is>
          <t>ÅNGE</t>
        </is>
      </c>
      <c r="H520" t="inlineStr">
        <is>
          <t>SCA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58445-2022</t>
        </is>
      </c>
      <c r="B521" t="inlineStr">
        <is>
          <t>avverkningsanmälan</t>
        </is>
      </c>
      <c r="C521" t="inlineStr">
        <is>
          <t>Föryngringsavverkning</t>
        </is>
      </c>
      <c r="D521" s="1" t="n">
        <v>44901</v>
      </c>
      <c r="E521" s="1" t="n">
        <v>46228</v>
      </c>
      <c r="F521" t="inlineStr">
        <is>
          <t>VÄSTERNORRLANDS LÄN</t>
        </is>
      </c>
      <c r="G521" t="inlineStr">
        <is>
          <t>ÅNGE</t>
        </is>
      </c>
      <c r="H521" t="inlineStr">
        <is>
          <t>SCA</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37233-2025</t>
        </is>
      </c>
      <c r="B522" t="inlineStr">
        <is>
          <t>avverkningsanmälan</t>
        </is>
      </c>
      <c r="C522" t="inlineStr">
        <is>
          <t>Föryngringsavverkning</t>
        </is>
      </c>
      <c r="D522" s="1" t="n">
        <v>45876</v>
      </c>
      <c r="E522" s="1" t="n">
        <v>46228</v>
      </c>
      <c r="F522" t="inlineStr">
        <is>
          <t>VÄSTERNORRLANDS LÄN</t>
        </is>
      </c>
      <c r="G522" t="inlineStr">
        <is>
          <t>ÅNGE</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4359-2025</t>
        </is>
      </c>
      <c r="B523" t="inlineStr">
        <is>
          <t>avverkningsanmälan</t>
        </is>
      </c>
      <c r="C523" t="inlineStr">
        <is>
          <t>Föryngringsavverkning</t>
        </is>
      </c>
      <c r="D523" s="1" t="n">
        <v>45686</v>
      </c>
      <c r="E523" s="1" t="n">
        <v>46228</v>
      </c>
      <c r="F523" t="inlineStr">
        <is>
          <t>VÄSTERNORRLANDS LÄN</t>
        </is>
      </c>
      <c r="G523" t="inlineStr">
        <is>
          <t>ÅNGE</t>
        </is>
      </c>
      <c r="H523" t="inlineStr">
        <is>
          <t>Holmen skog AB</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37371-2025</t>
        </is>
      </c>
      <c r="B524" t="inlineStr">
        <is>
          <t>avverkningsanmälan</t>
        </is>
      </c>
      <c r="C524" t="inlineStr">
        <is>
          <t>Föryngringsavverkning</t>
        </is>
      </c>
      <c r="D524" s="1" t="n">
        <v>45877</v>
      </c>
      <c r="E524" s="1" t="n">
        <v>46228</v>
      </c>
      <c r="F524" t="inlineStr">
        <is>
          <t>VÄSTERNORRLANDS LÄN</t>
        </is>
      </c>
      <c r="G524" t="inlineStr">
        <is>
          <t>ÅNGE</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37383-2025</t>
        </is>
      </c>
      <c r="B525" t="inlineStr">
        <is>
          <t>avverkningsanmälan</t>
        </is>
      </c>
      <c r="C525" t="inlineStr">
        <is>
          <t>Föryngringsavverkning</t>
        </is>
      </c>
      <c r="D525" s="1" t="n">
        <v>45877</v>
      </c>
      <c r="E525" s="1" t="n">
        <v>46228</v>
      </c>
      <c r="F525" t="inlineStr">
        <is>
          <t>VÄSTERNORRLANDS LÄN</t>
        </is>
      </c>
      <c r="G525" t="inlineStr">
        <is>
          <t>ÅNGE</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37663-2025</t>
        </is>
      </c>
      <c r="B526" t="inlineStr">
        <is>
          <t>avverkningsanmälan</t>
        </is>
      </c>
      <c r="C526" t="inlineStr">
        <is>
          <t>Föryngringsavverkning</t>
        </is>
      </c>
      <c r="D526" s="1" t="n">
        <v>45880</v>
      </c>
      <c r="E526" s="1" t="n">
        <v>46228</v>
      </c>
      <c r="F526" t="inlineStr">
        <is>
          <t>VÄSTERNORRLANDS LÄN</t>
        </is>
      </c>
      <c r="G526" t="inlineStr">
        <is>
          <t>ÅNGE</t>
        </is>
      </c>
      <c r="H526" t="inlineStr">
        <is>
          <t>SCA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32069-2023</t>
        </is>
      </c>
      <c r="B527" t="inlineStr">
        <is>
          <t>avverkningsanmälan</t>
        </is>
      </c>
      <c r="C527" t="inlineStr">
        <is>
          <t>Föryngringsavverkning</t>
        </is>
      </c>
      <c r="D527" s="1" t="n">
        <v>45107</v>
      </c>
      <c r="E527" s="1" t="n">
        <v>46228</v>
      </c>
      <c r="F527" t="inlineStr">
        <is>
          <t>VÄSTERNORRLANDS LÄN</t>
        </is>
      </c>
      <c r="G527" t="inlineStr">
        <is>
          <t>ÅNGE</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37723-2025</t>
        </is>
      </c>
      <c r="B528" t="inlineStr">
        <is>
          <t>avverkningsanmälan</t>
        </is>
      </c>
      <c r="C528" t="inlineStr">
        <is>
          <t>Föryngringsavverkning</t>
        </is>
      </c>
      <c r="D528" s="1" t="n">
        <v>45880</v>
      </c>
      <c r="E528" s="1" t="n">
        <v>46228</v>
      </c>
      <c r="F528" t="inlineStr">
        <is>
          <t>VÄSTERNORRLANDS LÄN</t>
        </is>
      </c>
      <c r="G528" t="inlineStr">
        <is>
          <t>ÅNGE</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34726-2024</t>
        </is>
      </c>
      <c r="B529" t="inlineStr">
        <is>
          <t>avverkningsanmälan</t>
        </is>
      </c>
      <c r="C529" t="inlineStr">
        <is>
          <t>Föryngringsavverkning</t>
        </is>
      </c>
      <c r="D529" s="1" t="n">
        <v>45526</v>
      </c>
      <c r="E529" s="1" t="n">
        <v>46228</v>
      </c>
      <c r="F529" t="inlineStr">
        <is>
          <t>VÄSTERNORRLANDS LÄN</t>
        </is>
      </c>
      <c r="G529" t="inlineStr">
        <is>
          <t>ÅNGE</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26013-2024</t>
        </is>
      </c>
      <c r="B530" t="inlineStr">
        <is>
          <t>avverkningsanmälan</t>
        </is>
      </c>
      <c r="C530" t="inlineStr">
        <is>
          <t>Föryngringsavverkning</t>
        </is>
      </c>
      <c r="D530" s="1" t="n">
        <v>45467</v>
      </c>
      <c r="E530" s="1" t="n">
        <v>46228</v>
      </c>
      <c r="F530" t="inlineStr">
        <is>
          <t>VÄSTERNORRLANDS LÄN</t>
        </is>
      </c>
      <c r="G530" t="inlineStr">
        <is>
          <t>ÅNGE</t>
        </is>
      </c>
      <c r="H530" t="inlineStr">
        <is>
          <t>SCA</t>
        </is>
      </c>
      <c r="I530" t="n">
        <v>6.8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20055-2026</t>
        </is>
      </c>
      <c r="B531" t="inlineStr">
        <is>
          <t>avverkningsanmälan</t>
        </is>
      </c>
      <c r="C531" t="inlineStr">
        <is>
          <t>Avverkning för att bevara och utveckla /försöksver</t>
        </is>
      </c>
      <c r="D531" s="1" t="n">
        <v>46135</v>
      </c>
      <c r="E531" s="1" t="n">
        <v>46228</v>
      </c>
      <c r="F531" t="inlineStr">
        <is>
          <t>VÄSTERNORRLANDS LÄN</t>
        </is>
      </c>
      <c r="G531" t="inlineStr">
        <is>
          <t>ÅNGE</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38078-2025</t>
        </is>
      </c>
      <c r="B532" t="inlineStr">
        <is>
          <t>avverkningsanmälan</t>
        </is>
      </c>
      <c r="C532" t="inlineStr">
        <is>
          <t>Föryngringsavverkning</t>
        </is>
      </c>
      <c r="D532" s="1" t="n">
        <v>45882</v>
      </c>
      <c r="E532" s="1" t="n">
        <v>46228</v>
      </c>
      <c r="F532" t="inlineStr">
        <is>
          <t>VÄSTERNORRLANDS LÄN</t>
        </is>
      </c>
      <c r="G532" t="inlineStr">
        <is>
          <t>ÅNGE</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38332-2025</t>
        </is>
      </c>
      <c r="B533" t="inlineStr">
        <is>
          <t>avverkningsanmälan</t>
        </is>
      </c>
      <c r="C533" t="inlineStr">
        <is>
          <t>Föryngringsavverkning</t>
        </is>
      </c>
      <c r="D533" s="1" t="n">
        <v>45883</v>
      </c>
      <c r="E533" s="1" t="n">
        <v>46228</v>
      </c>
      <c r="F533" t="inlineStr">
        <is>
          <t>VÄSTERNORRLANDS LÄN</t>
        </is>
      </c>
      <c r="G533" t="inlineStr">
        <is>
          <t>ÅNGE</t>
        </is>
      </c>
      <c r="H533" t="inlineStr">
        <is>
          <t>SCA</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38386-2025</t>
        </is>
      </c>
      <c r="B534" t="inlineStr">
        <is>
          <t>avverkningsanmälan</t>
        </is>
      </c>
      <c r="C534" t="inlineStr">
        <is>
          <t>Föryngringsavverkning</t>
        </is>
      </c>
      <c r="D534" s="1" t="n">
        <v>45883</v>
      </c>
      <c r="E534" s="1" t="n">
        <v>46228</v>
      </c>
      <c r="F534" t="inlineStr">
        <is>
          <t>VÄSTERNORRLANDS LÄN</t>
        </is>
      </c>
      <c r="G534" t="inlineStr">
        <is>
          <t>ÅNGE</t>
        </is>
      </c>
      <c r="H534" t="inlineStr">
        <is>
          <t>SCA</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36205-2025</t>
        </is>
      </c>
      <c r="B535" t="inlineStr">
        <is>
          <t>avverkningsanmälan</t>
        </is>
      </c>
      <c r="C535" t="inlineStr">
        <is>
          <t>Föryngringsavverkning</t>
        </is>
      </c>
      <c r="D535" s="1" t="n">
        <v>45867</v>
      </c>
      <c r="E535" s="1" t="n">
        <v>46228</v>
      </c>
      <c r="F535" t="inlineStr">
        <is>
          <t>VÄSTERNORRLANDS LÄN</t>
        </is>
      </c>
      <c r="G535" t="inlineStr">
        <is>
          <t>ÅNGE</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16903-2024</t>
        </is>
      </c>
      <c r="B536" t="inlineStr">
        <is>
          <t>avverkningsanmälan</t>
        </is>
      </c>
      <c r="C536" t="inlineStr">
        <is>
          <t>Föryngringsavverkning</t>
        </is>
      </c>
      <c r="D536" s="1" t="n">
        <v>45411</v>
      </c>
      <c r="E536" s="1" t="n">
        <v>46228</v>
      </c>
      <c r="F536" t="inlineStr">
        <is>
          <t>VÄSTERNORRLANDS LÄN</t>
        </is>
      </c>
      <c r="G536" t="inlineStr">
        <is>
          <t>ÅNGE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32439-2024</t>
        </is>
      </c>
      <c r="B537" t="inlineStr">
        <is>
          <t>avverkningsanmälan</t>
        </is>
      </c>
      <c r="C537" t="inlineStr">
        <is>
          <t>Föryngringsavverkning</t>
        </is>
      </c>
      <c r="D537" s="1" t="n">
        <v>45512</v>
      </c>
      <c r="E537" s="1" t="n">
        <v>46228</v>
      </c>
      <c r="F537" t="inlineStr">
        <is>
          <t>VÄSTERNORRLANDS LÄN</t>
        </is>
      </c>
      <c r="G537" t="inlineStr">
        <is>
          <t>ÅNGE</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16572-2023</t>
        </is>
      </c>
      <c r="B538" t="inlineStr">
        <is>
          <t>avverkningsanmälan</t>
        </is>
      </c>
      <c r="C538" t="inlineStr">
        <is>
          <t>Föryngringsavverkning</t>
        </is>
      </c>
      <c r="D538" s="1" t="n">
        <v>45029</v>
      </c>
      <c r="E538" s="1" t="n">
        <v>46228</v>
      </c>
      <c r="F538" t="inlineStr">
        <is>
          <t>VÄSTERNORRLANDS LÄN</t>
        </is>
      </c>
      <c r="G538" t="inlineStr">
        <is>
          <t>ÅNGE</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62091-2025</t>
        </is>
      </c>
      <c r="B539" t="inlineStr">
        <is>
          <t>avverkningsanmälan</t>
        </is>
      </c>
      <c r="C539" t="inlineStr">
        <is>
          <t>Föryngringsavverkning</t>
        </is>
      </c>
      <c r="D539" s="1" t="n">
        <v>46006</v>
      </c>
      <c r="E539" s="1" t="n">
        <v>46228</v>
      </c>
      <c r="F539" t="inlineStr">
        <is>
          <t>VÄSTERNORRLANDS LÄN</t>
        </is>
      </c>
      <c r="G539" t="inlineStr">
        <is>
          <t>ÅNGE</t>
        </is>
      </c>
      <c r="H539" t="inlineStr">
        <is>
          <t>SCA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58-2026</t>
        </is>
      </c>
      <c r="B540" t="inlineStr">
        <is>
          <t>avverkningsanmälan</t>
        </is>
      </c>
      <c r="C540" t="inlineStr">
        <is>
          <t>Föryngringsavverkning</t>
        </is>
      </c>
      <c r="D540" s="1" t="n">
        <v>46024</v>
      </c>
      <c r="E540" s="1" t="n">
        <v>46228</v>
      </c>
      <c r="F540" t="inlineStr">
        <is>
          <t>VÄSTERNORRLANDS LÄN</t>
        </is>
      </c>
      <c r="G540" t="inlineStr">
        <is>
          <t>ÅNGE</t>
        </is>
      </c>
      <c r="H540" t="inlineStr">
        <is>
          <t>Kyrkan</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44518-2024</t>
        </is>
      </c>
      <c r="B541" t="inlineStr">
        <is>
          <t>avverkningsanmälan</t>
        </is>
      </c>
      <c r="C541" t="inlineStr">
        <is>
          <t>Föryngringsavverkning</t>
        </is>
      </c>
      <c r="D541" s="1" t="n">
        <v>45574</v>
      </c>
      <c r="E541" s="1" t="n">
        <v>46228</v>
      </c>
      <c r="F541" t="inlineStr">
        <is>
          <t>VÄSTERNORRLANDS LÄN</t>
        </is>
      </c>
      <c r="G541" t="inlineStr">
        <is>
          <t>ÅNGE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39434-2025</t>
        </is>
      </c>
      <c r="B542" t="inlineStr">
        <is>
          <t>avverkningsanmälan</t>
        </is>
      </c>
      <c r="C542" t="inlineStr">
        <is>
          <t>Föryngringsavverkning</t>
        </is>
      </c>
      <c r="D542" s="1" t="n">
        <v>45889</v>
      </c>
      <c r="E542" s="1" t="n">
        <v>46228</v>
      </c>
      <c r="F542" t="inlineStr">
        <is>
          <t>VÄSTERNORRLANDS LÄN</t>
        </is>
      </c>
      <c r="G542" t="inlineStr">
        <is>
          <t>ÅNGE</t>
        </is>
      </c>
      <c r="H542" t="inlineStr">
        <is>
          <t>SCA</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35581-2024</t>
        </is>
      </c>
      <c r="B543" t="inlineStr">
        <is>
          <t>avverkningsanmälan</t>
        </is>
      </c>
      <c r="C543" t="inlineStr">
        <is>
          <t>Föryngringsavverkning</t>
        </is>
      </c>
      <c r="D543" s="1" t="n">
        <v>45531</v>
      </c>
      <c r="E543" s="1" t="n">
        <v>46228</v>
      </c>
      <c r="F543" t="inlineStr">
        <is>
          <t>VÄSTERNORRLANDS LÄN</t>
        </is>
      </c>
      <c r="G543" t="inlineStr">
        <is>
          <t>ÅNGE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3256-2024</t>
        </is>
      </c>
      <c r="B544" t="inlineStr">
        <is>
          <t>avverkningsanmälan</t>
        </is>
      </c>
      <c r="C544" t="inlineStr">
        <is>
          <t>Föryngringsavverkning</t>
        </is>
      </c>
      <c r="D544" s="1" t="n">
        <v>45316</v>
      </c>
      <c r="E544" s="1" t="n">
        <v>46228</v>
      </c>
      <c r="F544" t="inlineStr">
        <is>
          <t>VÄSTERNORRLANDS LÄN</t>
        </is>
      </c>
      <c r="G544" t="inlineStr">
        <is>
          <t>ÅNGE</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20080-2026</t>
        </is>
      </c>
      <c r="B545" t="inlineStr">
        <is>
          <t>avverkningsanmälan</t>
        </is>
      </c>
      <c r="C545" t="inlineStr">
        <is>
          <t>Föryngringsavverkning</t>
        </is>
      </c>
      <c r="D545" s="1" t="n">
        <v>46136</v>
      </c>
      <c r="E545" s="1" t="n">
        <v>46228</v>
      </c>
      <c r="F545" t="inlineStr">
        <is>
          <t>VÄSTERNORRLANDS LÄN</t>
        </is>
      </c>
      <c r="G545" t="inlineStr">
        <is>
          <t>ÅNGE</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57287-2022</t>
        </is>
      </c>
      <c r="B546" t="inlineStr">
        <is>
          <t>avverkningsanmälan</t>
        </is>
      </c>
      <c r="C546" t="inlineStr">
        <is>
          <t>Föryngringsavverkning</t>
        </is>
      </c>
      <c r="D546" s="1" t="n">
        <v>44895</v>
      </c>
      <c r="E546" s="1" t="n">
        <v>46228</v>
      </c>
      <c r="F546" t="inlineStr">
        <is>
          <t>VÄSTERNORRLANDS LÄN</t>
        </is>
      </c>
      <c r="G546" t="inlineStr">
        <is>
          <t>ÅNGE</t>
        </is>
      </c>
      <c r="H546" t="inlineStr">
        <is>
          <t>SCA</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1090-2023</t>
        </is>
      </c>
      <c r="B547" t="inlineStr">
        <is>
          <t>avverkningsanmälan</t>
        </is>
      </c>
      <c r="C547" t="inlineStr">
        <is>
          <t>Föryngringsavverkning</t>
        </is>
      </c>
      <c r="D547" s="1" t="n">
        <v>44929</v>
      </c>
      <c r="E547" s="1" t="n">
        <v>46228</v>
      </c>
      <c r="F547" t="inlineStr">
        <is>
          <t>VÄSTERNORRLANDS LÄN</t>
        </is>
      </c>
      <c r="G547" t="inlineStr">
        <is>
          <t>ÅNGE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51609-2023</t>
        </is>
      </c>
      <c r="B548" t="inlineStr">
        <is>
          <t>avverkningsanmälan</t>
        </is>
      </c>
      <c r="C548" t="inlineStr">
        <is>
          <t>Föryngringsavverkning</t>
        </is>
      </c>
      <c r="D548" s="1" t="n">
        <v>45215</v>
      </c>
      <c r="E548" s="1" t="n">
        <v>46228</v>
      </c>
      <c r="F548" t="inlineStr">
        <is>
          <t>VÄSTERNORRLANDS LÄN</t>
        </is>
      </c>
      <c r="G548" t="inlineStr">
        <is>
          <t>ÅNGE</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27661-2024</t>
        </is>
      </c>
      <c r="B549" t="inlineStr">
        <is>
          <t>avverkningsanmälan</t>
        </is>
      </c>
      <c r="C549" t="inlineStr">
        <is>
          <t>Föryngringsavverkning</t>
        </is>
      </c>
      <c r="D549" s="1" t="n">
        <v>45474</v>
      </c>
      <c r="E549" s="1" t="n">
        <v>46228</v>
      </c>
      <c r="F549" t="inlineStr">
        <is>
          <t>VÄSTERNORRLANDS LÄN</t>
        </is>
      </c>
      <c r="G549" t="inlineStr">
        <is>
          <t>ÅNGE</t>
        </is>
      </c>
      <c r="H549" t="inlineStr">
        <is>
          <t>SCA</t>
        </is>
      </c>
      <c r="I549" t="n">
        <v>19.1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52060-2025</t>
        </is>
      </c>
      <c r="B550" t="inlineStr">
        <is>
          <t>avverkningsanmälan</t>
        </is>
      </c>
      <c r="C550" t="inlineStr">
        <is>
          <t>Föryngringsavverkning</t>
        </is>
      </c>
      <c r="D550" s="1" t="n">
        <v>45952</v>
      </c>
      <c r="E550" s="1" t="n">
        <v>46228</v>
      </c>
      <c r="F550" t="inlineStr">
        <is>
          <t>VÄSTERNORRLANDS LÄN</t>
        </is>
      </c>
      <c r="G550" t="inlineStr">
        <is>
          <t>ÅNGE</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12021-2022</t>
        </is>
      </c>
      <c r="B551" t="inlineStr">
        <is>
          <t>avverkningsanmälan</t>
        </is>
      </c>
      <c r="C551" t="inlineStr">
        <is>
          <t>Föryngringsavverkning</t>
        </is>
      </c>
      <c r="D551" s="1" t="n">
        <v>44635</v>
      </c>
      <c r="E551" s="1" t="n">
        <v>46228</v>
      </c>
      <c r="F551" t="inlineStr">
        <is>
          <t>VÄSTERNORRLANDS LÄN</t>
        </is>
      </c>
      <c r="G551" t="inlineStr">
        <is>
          <t>ÅNGE</t>
        </is>
      </c>
      <c r="H551" t="inlineStr">
        <is>
          <t>SCA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55045-2025</t>
        </is>
      </c>
      <c r="B552" t="inlineStr">
        <is>
          <t>avverkningsanmälan</t>
        </is>
      </c>
      <c r="C552" t="inlineStr">
        <is>
          <t>Föryngringsavverkning</t>
        </is>
      </c>
      <c r="D552" s="1" t="n">
        <v>45967</v>
      </c>
      <c r="E552" s="1" t="n">
        <v>46228</v>
      </c>
      <c r="F552" t="inlineStr">
        <is>
          <t>VÄSTERNORRLANDS LÄN</t>
        </is>
      </c>
      <c r="G552" t="inlineStr">
        <is>
          <t>ÅNGE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38693-2025</t>
        </is>
      </c>
      <c r="B553" t="inlineStr">
        <is>
          <t>avverkningsanmälan</t>
        </is>
      </c>
      <c r="C553" t="inlineStr">
        <is>
          <t>Föryngringsavverkning</t>
        </is>
      </c>
      <c r="D553" s="1" t="n">
        <v>45884</v>
      </c>
      <c r="E553" s="1" t="n">
        <v>46228</v>
      </c>
      <c r="F553" t="inlineStr">
        <is>
          <t>VÄSTERNORRLANDS LÄN</t>
        </is>
      </c>
      <c r="G553" t="inlineStr">
        <is>
          <t>ÅNGE</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38703-2025</t>
        </is>
      </c>
      <c r="B554" t="inlineStr">
        <is>
          <t>avverkningsanmälan</t>
        </is>
      </c>
      <c r="C554" t="inlineStr">
        <is>
          <t>Föryngringsavverkning</t>
        </is>
      </c>
      <c r="D554" s="1" t="n">
        <v>45885</v>
      </c>
      <c r="E554" s="1" t="n">
        <v>46228</v>
      </c>
      <c r="F554" t="inlineStr">
        <is>
          <t>VÄSTERNORRLANDS LÄN</t>
        </is>
      </c>
      <c r="G554" t="inlineStr">
        <is>
          <t>ÅNGE</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38711-2025</t>
        </is>
      </c>
      <c r="B555" t="inlineStr">
        <is>
          <t>avverkningsanmälan</t>
        </is>
      </c>
      <c r="C555" t="inlineStr">
        <is>
          <t>Föryngringsavverkning</t>
        </is>
      </c>
      <c r="D555" s="1" t="n">
        <v>45886</v>
      </c>
      <c r="E555" s="1" t="n">
        <v>46228</v>
      </c>
      <c r="F555" t="inlineStr">
        <is>
          <t>VÄSTERNORRLANDS LÄN</t>
        </is>
      </c>
      <c r="G555" t="inlineStr">
        <is>
          <t>ÅNGE</t>
        </is>
      </c>
      <c r="H555" t="inlineStr">
        <is>
          <t>SCA</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40665-2025</t>
        </is>
      </c>
      <c r="B556" t="inlineStr">
        <is>
          <t>avverkningsanmälan</t>
        </is>
      </c>
      <c r="C556" t="inlineStr">
        <is>
          <t>Föryngringsavverkning</t>
        </is>
      </c>
      <c r="D556" s="1" t="n">
        <v>45896</v>
      </c>
      <c r="E556" s="1" t="n">
        <v>46228</v>
      </c>
      <c r="F556" t="inlineStr">
        <is>
          <t>VÄSTERNORRLANDS LÄN</t>
        </is>
      </c>
      <c r="G556" t="inlineStr">
        <is>
          <t>ÅNGE</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40898-2025</t>
        </is>
      </c>
      <c r="B557" t="inlineStr">
        <is>
          <t>avverkningsanmälan</t>
        </is>
      </c>
      <c r="C557" t="inlineStr">
        <is>
          <t>Föryngringsavverkning</t>
        </is>
      </c>
      <c r="D557" s="1" t="n">
        <v>45897</v>
      </c>
      <c r="E557" s="1" t="n">
        <v>46228</v>
      </c>
      <c r="F557" t="inlineStr">
        <is>
          <t>VÄSTERNORRLANDS LÄN</t>
        </is>
      </c>
      <c r="G557" t="inlineStr">
        <is>
          <t>ÅNGE</t>
        </is>
      </c>
      <c r="H557" t="inlineStr">
        <is>
          <t>SCA</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40899-2025</t>
        </is>
      </c>
      <c r="B558" t="inlineStr">
        <is>
          <t>avverkningsanmälan</t>
        </is>
      </c>
      <c r="C558" t="inlineStr">
        <is>
          <t>Föryngringsavverkning</t>
        </is>
      </c>
      <c r="D558" s="1" t="n">
        <v>45897</v>
      </c>
      <c r="E558" s="1" t="n">
        <v>46228</v>
      </c>
      <c r="F558" t="inlineStr">
        <is>
          <t>VÄSTERNORRLANDS LÄN</t>
        </is>
      </c>
      <c r="G558" t="inlineStr">
        <is>
          <t>ÅNGE</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33782-2025</t>
        </is>
      </c>
      <c r="B559" t="inlineStr">
        <is>
          <t>avverkningsanmälan</t>
        </is>
      </c>
      <c r="C559" t="inlineStr">
        <is>
          <t>Föryngringsavverkning</t>
        </is>
      </c>
      <c r="D559" s="1" t="n">
        <v>45842</v>
      </c>
      <c r="E559" s="1" t="n">
        <v>46228</v>
      </c>
      <c r="F559" t="inlineStr">
        <is>
          <t>VÄSTERNORRLANDS LÄN</t>
        </is>
      </c>
      <c r="G559" t="inlineStr">
        <is>
          <t>ÅNGE</t>
        </is>
      </c>
      <c r="H559" t="inlineStr">
        <is>
          <t>SCA</t>
        </is>
      </c>
      <c r="I559" t="n">
        <v>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33717-2025</t>
        </is>
      </c>
      <c r="B560" t="inlineStr">
        <is>
          <t>avverkningsanmälan</t>
        </is>
      </c>
      <c r="C560" t="inlineStr">
        <is>
          <t>Föryngringsavverkning</t>
        </is>
      </c>
      <c r="D560" s="1" t="n">
        <v>45841</v>
      </c>
      <c r="E560" s="1" t="n">
        <v>46228</v>
      </c>
      <c r="F560" t="inlineStr">
        <is>
          <t>VÄSTERNORRLANDS LÄN</t>
        </is>
      </c>
      <c r="G560" t="inlineStr">
        <is>
          <t>ÅNGE</t>
        </is>
      </c>
      <c r="I560" t="n">
        <v>14.3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4361-2024</t>
        </is>
      </c>
      <c r="B561" t="inlineStr">
        <is>
          <t>avverkningsanmälan</t>
        </is>
      </c>
      <c r="C561" t="inlineStr">
        <is>
          <t>Föryngringsavverkning</t>
        </is>
      </c>
      <c r="D561" s="1" t="n">
        <v>45325</v>
      </c>
      <c r="E561" s="1" t="n">
        <v>46228</v>
      </c>
      <c r="F561" t="inlineStr">
        <is>
          <t>VÄSTERNORRLANDS LÄN</t>
        </is>
      </c>
      <c r="G561" t="inlineStr">
        <is>
          <t>ÅNGE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58605-2025</t>
        </is>
      </c>
      <c r="B562" t="inlineStr">
        <is>
          <t>avverkningsanmälan</t>
        </is>
      </c>
      <c r="C562" t="inlineStr">
        <is>
          <t>Föryngringsavverkning</t>
        </is>
      </c>
      <c r="D562" s="1" t="n">
        <v>45986</v>
      </c>
      <c r="E562" s="1" t="n">
        <v>46228</v>
      </c>
      <c r="F562" t="inlineStr">
        <is>
          <t>VÄSTERNORRLANDS LÄN</t>
        </is>
      </c>
      <c r="G562" t="inlineStr">
        <is>
          <t>ÅNGE</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3977-2025</t>
        </is>
      </c>
      <c r="B563" t="inlineStr">
        <is>
          <t>avverkningsanmälan</t>
        </is>
      </c>
      <c r="C563" t="inlineStr">
        <is>
          <t>Föryngringsavverkning</t>
        </is>
      </c>
      <c r="D563" s="1" t="n">
        <v>45684</v>
      </c>
      <c r="E563" s="1" t="n">
        <v>46228</v>
      </c>
      <c r="F563" t="inlineStr">
        <is>
          <t>VÄSTERNORRLANDS LÄN</t>
        </is>
      </c>
      <c r="G563" t="inlineStr">
        <is>
          <t>ÅNGE</t>
        </is>
      </c>
      <c r="H563" t="inlineStr">
        <is>
          <t>Holmen skog AB</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41872-2025</t>
        </is>
      </c>
      <c r="B564" t="inlineStr">
        <is>
          <t>avverkningsanmälan</t>
        </is>
      </c>
      <c r="C564" t="inlineStr">
        <is>
          <t>Föryngringsavverkning</t>
        </is>
      </c>
      <c r="D564" s="1" t="n">
        <v>45903</v>
      </c>
      <c r="E564" s="1" t="n">
        <v>46228</v>
      </c>
      <c r="F564" t="inlineStr">
        <is>
          <t>VÄSTERNORRLANDS LÄN</t>
        </is>
      </c>
      <c r="G564" t="inlineStr">
        <is>
          <t>ÅNGE</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40788-2024</t>
        </is>
      </c>
      <c r="B565" t="inlineStr">
        <is>
          <t>avverkningsanmälan</t>
        </is>
      </c>
      <c r="C565" t="inlineStr">
        <is>
          <t>Föryngringsavverkning</t>
        </is>
      </c>
      <c r="D565" s="1" t="n">
        <v>45558</v>
      </c>
      <c r="E565" s="1" t="n">
        <v>46228</v>
      </c>
      <c r="F565" t="inlineStr">
        <is>
          <t>VÄSTERNORRLANDS LÄN</t>
        </is>
      </c>
      <c r="G565" t="inlineStr">
        <is>
          <t>ÅNGE</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41870-2025</t>
        </is>
      </c>
      <c r="B566" t="inlineStr">
        <is>
          <t>avverkningsanmälan</t>
        </is>
      </c>
      <c r="C566" t="inlineStr">
        <is>
          <t>Föryngringsavverkning</t>
        </is>
      </c>
      <c r="D566" s="1" t="n">
        <v>45903</v>
      </c>
      <c r="E566" s="1" t="n">
        <v>46228</v>
      </c>
      <c r="F566" t="inlineStr">
        <is>
          <t>VÄSTERNORRLANDS LÄN</t>
        </is>
      </c>
      <c r="G566" t="inlineStr">
        <is>
          <t>ÅNGE</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31864-2024</t>
        </is>
      </c>
      <c r="B567" t="inlineStr">
        <is>
          <t>avverkningsanmälan</t>
        </is>
      </c>
      <c r="C567" t="inlineStr">
        <is>
          <t>Föryngringsavverkning</t>
        </is>
      </c>
      <c r="D567" s="1" t="n">
        <v>45509</v>
      </c>
      <c r="E567" s="1" t="n">
        <v>46228</v>
      </c>
      <c r="F567" t="inlineStr">
        <is>
          <t>VÄSTERNORRLANDS LÄN</t>
        </is>
      </c>
      <c r="G567" t="inlineStr">
        <is>
          <t>ÅNGE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42786-2025</t>
        </is>
      </c>
      <c r="B568" t="inlineStr">
        <is>
          <t>avverkningsanmälan</t>
        </is>
      </c>
      <c r="C568" t="inlineStr">
        <is>
          <t>Föryngringsavverkning</t>
        </is>
      </c>
      <c r="D568" s="1" t="n">
        <v>45908</v>
      </c>
      <c r="E568" s="1" t="n">
        <v>46228</v>
      </c>
      <c r="F568" t="inlineStr">
        <is>
          <t>VÄSTERNORRLANDS LÄN</t>
        </is>
      </c>
      <c r="G568" t="inlineStr">
        <is>
          <t>ÅNGE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9328-2026</t>
        </is>
      </c>
      <c r="B569" t="inlineStr">
        <is>
          <t>avverkningsanmälan</t>
        </is>
      </c>
      <c r="C569" t="inlineStr">
        <is>
          <t>Föryngringsavverkning</t>
        </is>
      </c>
      <c r="D569" s="1" t="n">
        <v>46070</v>
      </c>
      <c r="E569" s="1" t="n">
        <v>46228</v>
      </c>
      <c r="F569" t="inlineStr">
        <is>
          <t>VÄSTERNORRLANDS LÄN</t>
        </is>
      </c>
      <c r="G569" t="inlineStr">
        <is>
          <t>ÅNGE</t>
        </is>
      </c>
      <c r="H569" t="inlineStr">
        <is>
          <t>SCA</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58774-2023</t>
        </is>
      </c>
      <c r="B570" t="inlineStr">
        <is>
          <t>avverkningsanmälan</t>
        </is>
      </c>
      <c r="C570" t="inlineStr">
        <is>
          <t>Föryngringsavverkning</t>
        </is>
      </c>
      <c r="D570" s="1" t="n">
        <v>45251</v>
      </c>
      <c r="E570" s="1" t="n">
        <v>46228</v>
      </c>
      <c r="F570" t="inlineStr">
        <is>
          <t>VÄSTERNORRLANDS LÄN</t>
        </is>
      </c>
      <c r="G570" t="inlineStr">
        <is>
          <t>ÅNGE</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21089-2024</t>
        </is>
      </c>
      <c r="B571" t="inlineStr">
        <is>
          <t>avverkningsanmälan</t>
        </is>
      </c>
      <c r="C571" t="inlineStr">
        <is>
          <t>Föryngringsavverkning</t>
        </is>
      </c>
      <c r="D571" s="1" t="n">
        <v>45439</v>
      </c>
      <c r="E571" s="1" t="n">
        <v>46228</v>
      </c>
      <c r="F571" t="inlineStr">
        <is>
          <t>VÄSTERNORRLANDS LÄN</t>
        </is>
      </c>
      <c r="G571" t="inlineStr">
        <is>
          <t>ÅNGE</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21151-2024</t>
        </is>
      </c>
      <c r="B572" t="inlineStr">
        <is>
          <t>avverkningsanmälan</t>
        </is>
      </c>
      <c r="C572" t="inlineStr">
        <is>
          <t>Föryngringsavverkning</t>
        </is>
      </c>
      <c r="D572" s="1" t="n">
        <v>45440</v>
      </c>
      <c r="E572" s="1" t="n">
        <v>46228</v>
      </c>
      <c r="F572" t="inlineStr">
        <is>
          <t>VÄSTERNORRLANDS LÄN</t>
        </is>
      </c>
      <c r="G572" t="inlineStr">
        <is>
          <t>ÅNGE</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20143-2026</t>
        </is>
      </c>
      <c r="B573" t="inlineStr">
        <is>
          <t>avverkningsanmälan</t>
        </is>
      </c>
      <c r="C573" t="inlineStr">
        <is>
          <t>Föryngringsavverkning</t>
        </is>
      </c>
      <c r="D573" s="1" t="n">
        <v>46137</v>
      </c>
      <c r="E573" s="1" t="n">
        <v>46228</v>
      </c>
      <c r="F573" t="inlineStr">
        <is>
          <t>VÄSTERNORRLANDS LÄN</t>
        </is>
      </c>
      <c r="G573" t="inlineStr">
        <is>
          <t>ÅNGE</t>
        </is>
      </c>
      <c r="H573" t="inlineStr">
        <is>
          <t>SCA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16365-2023</t>
        </is>
      </c>
      <c r="B574" t="inlineStr">
        <is>
          <t>avverkningsanmälan</t>
        </is>
      </c>
      <c r="C574" t="inlineStr">
        <is>
          <t>Föryngringsavverkning</t>
        </is>
      </c>
      <c r="D574" s="1" t="n">
        <v>45028</v>
      </c>
      <c r="E574" s="1" t="n">
        <v>46228</v>
      </c>
      <c r="F574" t="inlineStr">
        <is>
          <t>VÄSTERNORRLANDS LÄN</t>
        </is>
      </c>
      <c r="G574" t="inlineStr">
        <is>
          <t>ÅNGE</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13164-2022</t>
        </is>
      </c>
      <c r="B575" t="inlineStr">
        <is>
          <t>avverkningsanmälan</t>
        </is>
      </c>
      <c r="C575" t="inlineStr">
        <is>
          <t>Föryngringsavverkning</t>
        </is>
      </c>
      <c r="D575" s="1" t="n">
        <v>44644</v>
      </c>
      <c r="E575" s="1" t="n">
        <v>46228</v>
      </c>
      <c r="F575" t="inlineStr">
        <is>
          <t>VÄSTERNORRLANDS LÄN</t>
        </is>
      </c>
      <c r="G575" t="inlineStr">
        <is>
          <t>ÅNGE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43091-2025</t>
        </is>
      </c>
      <c r="B576" t="inlineStr">
        <is>
          <t>avverkningsanmälan</t>
        </is>
      </c>
      <c r="C576" t="inlineStr">
        <is>
          <t>Föryngringsavverkning</t>
        </is>
      </c>
      <c r="D576" s="1" t="n">
        <v>45909</v>
      </c>
      <c r="E576" s="1" t="n">
        <v>46228</v>
      </c>
      <c r="F576" t="inlineStr">
        <is>
          <t>VÄSTERNORRLANDS LÄN</t>
        </is>
      </c>
      <c r="G576" t="inlineStr">
        <is>
          <t>ÅNGE</t>
        </is>
      </c>
      <c r="H576" t="inlineStr">
        <is>
          <t>Kyrkan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42730-2025</t>
        </is>
      </c>
      <c r="B577" t="inlineStr">
        <is>
          <t>avverkningsanmälan</t>
        </is>
      </c>
      <c r="C577" t="inlineStr">
        <is>
          <t>Föryngringsavverkning</t>
        </is>
      </c>
      <c r="D577" s="1" t="n">
        <v>45908</v>
      </c>
      <c r="E577" s="1" t="n">
        <v>46228</v>
      </c>
      <c r="F577" t="inlineStr">
        <is>
          <t>VÄSTERNORRLANDS LÄN</t>
        </is>
      </c>
      <c r="G577" t="inlineStr">
        <is>
          <t>ÅNGE</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43237-2025</t>
        </is>
      </c>
      <c r="B578" t="inlineStr">
        <is>
          <t>avverkningsanmälan</t>
        </is>
      </c>
      <c r="C578" t="inlineStr">
        <is>
          <t>Föryngringsavverkning</t>
        </is>
      </c>
      <c r="D578" s="1" t="n">
        <v>45910</v>
      </c>
      <c r="E578" s="1" t="n">
        <v>46228</v>
      </c>
      <c r="F578" t="inlineStr">
        <is>
          <t>VÄSTERNORRLANDS LÄN</t>
        </is>
      </c>
      <c r="G578" t="inlineStr">
        <is>
          <t>ÅNGE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43250-2025</t>
        </is>
      </c>
      <c r="B579" t="inlineStr">
        <is>
          <t>avverkningsanmälan</t>
        </is>
      </c>
      <c r="C579" t="inlineStr">
        <is>
          <t>Föryngringsavverkning</t>
        </is>
      </c>
      <c r="D579" s="1" t="n">
        <v>45910</v>
      </c>
      <c r="E579" s="1" t="n">
        <v>46228</v>
      </c>
      <c r="F579" t="inlineStr">
        <is>
          <t>VÄSTERNORRLANDS LÄN</t>
        </is>
      </c>
      <c r="G579" t="inlineStr">
        <is>
          <t>ÅNGE</t>
        </is>
      </c>
      <c r="H579" t="inlineStr">
        <is>
          <t>SCA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43415-2025</t>
        </is>
      </c>
      <c r="B580" t="inlineStr">
        <is>
          <t>avverkningsanmälan</t>
        </is>
      </c>
      <c r="C580" t="inlineStr">
        <is>
          <t>Föryngringsavverkning</t>
        </is>
      </c>
      <c r="D580" s="1" t="n">
        <v>45911</v>
      </c>
      <c r="E580" s="1" t="n">
        <v>46228</v>
      </c>
      <c r="F580" t="inlineStr">
        <is>
          <t>VÄSTERNORRLANDS LÄN</t>
        </is>
      </c>
      <c r="G580" t="inlineStr">
        <is>
          <t>ÅNGE</t>
        </is>
      </c>
      <c r="H580" t="inlineStr">
        <is>
          <t>SCA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43386-2025</t>
        </is>
      </c>
      <c r="B581" t="inlineStr">
        <is>
          <t>avverkningsanmälan</t>
        </is>
      </c>
      <c r="C581" t="inlineStr">
        <is>
          <t>Föryngringsavverkning</t>
        </is>
      </c>
      <c r="D581" s="1" t="n">
        <v>45911</v>
      </c>
      <c r="E581" s="1" t="n">
        <v>46228</v>
      </c>
      <c r="F581" t="inlineStr">
        <is>
          <t>VÄSTERNORRLANDS LÄN</t>
        </is>
      </c>
      <c r="G581" t="inlineStr">
        <is>
          <t>ÅNGE</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43385-2025</t>
        </is>
      </c>
      <c r="B582" t="inlineStr">
        <is>
          <t>avverkningsanmälan</t>
        </is>
      </c>
      <c r="C582" t="inlineStr">
        <is>
          <t>Föryngringsavverkning</t>
        </is>
      </c>
      <c r="D582" s="1" t="n">
        <v>45911</v>
      </c>
      <c r="E582" s="1" t="n">
        <v>46228</v>
      </c>
      <c r="F582" t="inlineStr">
        <is>
          <t>VÄSTERNORRLANDS LÄN</t>
        </is>
      </c>
      <c r="G582" t="inlineStr">
        <is>
          <t>ÅNGE</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43389-2025</t>
        </is>
      </c>
      <c r="B583" t="inlineStr">
        <is>
          <t>avverkningsanmälan</t>
        </is>
      </c>
      <c r="C583" t="inlineStr">
        <is>
          <t>Föryngringsavverkning</t>
        </is>
      </c>
      <c r="D583" s="1" t="n">
        <v>45911</v>
      </c>
      <c r="E583" s="1" t="n">
        <v>46228</v>
      </c>
      <c r="F583" t="inlineStr">
        <is>
          <t>VÄSTERNORRLANDS LÄN</t>
        </is>
      </c>
      <c r="G583" t="inlineStr">
        <is>
          <t>ÅNGE</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20231-2022</t>
        </is>
      </c>
      <c r="B584" t="inlineStr">
        <is>
          <t>avverkningsanmälan</t>
        </is>
      </c>
      <c r="C584" t="inlineStr">
        <is>
          <t>Föryngringsavverkning</t>
        </is>
      </c>
      <c r="D584" s="1" t="n">
        <v>44698</v>
      </c>
      <c r="E584" s="1" t="n">
        <v>46228</v>
      </c>
      <c r="F584" t="inlineStr">
        <is>
          <t>VÄSTERNORRLANDS LÄN</t>
        </is>
      </c>
      <c r="G584" t="inlineStr">
        <is>
          <t>ÅNGE</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43590-2025</t>
        </is>
      </c>
      <c r="B585" t="inlineStr">
        <is>
          <t>avverkningsanmälan</t>
        </is>
      </c>
      <c r="C585" t="inlineStr">
        <is>
          <t>Föryngringsavverkning</t>
        </is>
      </c>
      <c r="D585" s="1" t="n">
        <v>45911</v>
      </c>
      <c r="E585" s="1" t="n">
        <v>46228</v>
      </c>
      <c r="F585" t="inlineStr">
        <is>
          <t>VÄSTERNORRLANDS LÄN</t>
        </is>
      </c>
      <c r="G585" t="inlineStr">
        <is>
          <t>ÅNGE</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43221-2025</t>
        </is>
      </c>
      <c r="B586" t="inlineStr">
        <is>
          <t>avverkningsanmälan</t>
        </is>
      </c>
      <c r="C586" t="inlineStr">
        <is>
          <t>Föryngringsavverkning</t>
        </is>
      </c>
      <c r="D586" s="1" t="n">
        <v>45910</v>
      </c>
      <c r="E586" s="1" t="n">
        <v>46228</v>
      </c>
      <c r="F586" t="inlineStr">
        <is>
          <t>VÄSTERNORRLANDS LÄN</t>
        </is>
      </c>
      <c r="G586" t="inlineStr">
        <is>
          <t>ÅNGE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15369-2024</t>
        </is>
      </c>
      <c r="B587" t="inlineStr">
        <is>
          <t>avverkningsanmälan</t>
        </is>
      </c>
      <c r="C587" t="inlineStr">
        <is>
          <t>Föryngringsavverkning</t>
        </is>
      </c>
      <c r="D587" s="1" t="n">
        <v>45400</v>
      </c>
      <c r="E587" s="1" t="n">
        <v>46228</v>
      </c>
      <c r="F587" t="inlineStr">
        <is>
          <t>VÄSTERNORRLANDS LÄN</t>
        </is>
      </c>
      <c r="G587" t="inlineStr">
        <is>
          <t>ÅNGE</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43265-2025</t>
        </is>
      </c>
      <c r="B588" t="inlineStr">
        <is>
          <t>avverkningsanmälan</t>
        </is>
      </c>
      <c r="C588" t="inlineStr">
        <is>
          <t>Föryngringsavverkning</t>
        </is>
      </c>
      <c r="D588" s="1" t="n">
        <v>45910</v>
      </c>
      <c r="E588" s="1" t="n">
        <v>46228</v>
      </c>
      <c r="F588" t="inlineStr">
        <is>
          <t>VÄSTERNORRLANDS LÄN</t>
        </is>
      </c>
      <c r="G588" t="inlineStr">
        <is>
          <t>ÅNGE</t>
        </is>
      </c>
      <c r="H588" t="inlineStr">
        <is>
          <t>SCA</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26010-2024</t>
        </is>
      </c>
      <c r="B589" t="inlineStr">
        <is>
          <t>avverkningsanmälan</t>
        </is>
      </c>
      <c r="C589" t="inlineStr">
        <is>
          <t>Föryngringsavverkning</t>
        </is>
      </c>
      <c r="D589" s="1" t="n">
        <v>45467</v>
      </c>
      <c r="E589" s="1" t="n">
        <v>46228</v>
      </c>
      <c r="F589" t="inlineStr">
        <is>
          <t>VÄSTERNORRLANDS LÄN</t>
        </is>
      </c>
      <c r="G589" t="inlineStr">
        <is>
          <t>ÅNGE</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53856-2024</t>
        </is>
      </c>
      <c r="B590" t="inlineStr">
        <is>
          <t>avverkningsanmälan</t>
        </is>
      </c>
      <c r="C590" t="inlineStr">
        <is>
          <t>Föryngringsavverkning</t>
        </is>
      </c>
      <c r="D590" s="1" t="n">
        <v>45615</v>
      </c>
      <c r="E590" s="1" t="n">
        <v>46228</v>
      </c>
      <c r="F590" t="inlineStr">
        <is>
          <t>VÄSTERNORRLANDS LÄN</t>
        </is>
      </c>
      <c r="G590" t="inlineStr">
        <is>
          <t>ÅNGE</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52785-2024</t>
        </is>
      </c>
      <c r="B591" t="inlineStr">
        <is>
          <t>avverkningsanmälan</t>
        </is>
      </c>
      <c r="C591" t="inlineStr">
        <is>
          <t>Föryngringsavverkning</t>
        </is>
      </c>
      <c r="D591" s="1" t="n">
        <v>45610</v>
      </c>
      <c r="E591" s="1" t="n">
        <v>46228</v>
      </c>
      <c r="F591" t="inlineStr">
        <is>
          <t>VÄSTERNORRLANDS LÄN</t>
        </is>
      </c>
      <c r="G591" t="inlineStr">
        <is>
          <t>ÅNGE</t>
        </is>
      </c>
      <c r="H591" t="inlineStr">
        <is>
          <t>SCA</t>
        </is>
      </c>
      <c r="I591" t="n">
        <v>9.300000000000001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52786-2024</t>
        </is>
      </c>
      <c r="B592" t="inlineStr">
        <is>
          <t>avverkningsanmälan</t>
        </is>
      </c>
      <c r="C592" t="inlineStr">
        <is>
          <t>Föryngringsavverkning</t>
        </is>
      </c>
      <c r="D592" s="1" t="n">
        <v>45610</v>
      </c>
      <c r="E592" s="1" t="n">
        <v>46228</v>
      </c>
      <c r="F592" t="inlineStr">
        <is>
          <t>VÄSTERNORRLANDS LÄN</t>
        </is>
      </c>
      <c r="G592" t="inlineStr">
        <is>
          <t>ÅNGE</t>
        </is>
      </c>
      <c r="H592" t="inlineStr">
        <is>
          <t>SCA</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46254-2023</t>
        </is>
      </c>
      <c r="B593" t="inlineStr">
        <is>
          <t>avverkningsanmälan</t>
        </is>
      </c>
      <c r="C593" t="inlineStr">
        <is>
          <t>Avverkning för annat ändamål</t>
        </is>
      </c>
      <c r="D593" s="1" t="n">
        <v>45196</v>
      </c>
      <c r="E593" s="1" t="n">
        <v>46228</v>
      </c>
      <c r="F593" t="inlineStr">
        <is>
          <t>VÄSTERNORRLANDS LÄN</t>
        </is>
      </c>
      <c r="G593" t="inlineStr">
        <is>
          <t>ÅNGE</t>
        </is>
      </c>
      <c r="H593" t="inlineStr">
        <is>
          <t>SCA</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46262-2023</t>
        </is>
      </c>
      <c r="B594" t="inlineStr">
        <is>
          <t>avverkningsanmälan</t>
        </is>
      </c>
      <c r="C594" t="inlineStr">
        <is>
          <t>Avverkning för att bevara och utveckla /försöksver</t>
        </is>
      </c>
      <c r="D594" s="1" t="n">
        <v>45196</v>
      </c>
      <c r="E594" s="1" t="n">
        <v>46228</v>
      </c>
      <c r="F594" t="inlineStr">
        <is>
          <t>VÄSTERNORRLANDS LÄN</t>
        </is>
      </c>
      <c r="G594" t="inlineStr">
        <is>
          <t>ÅNGE</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43252-2025</t>
        </is>
      </c>
      <c r="B595" t="inlineStr">
        <is>
          <t>avverkningsanmälan</t>
        </is>
      </c>
      <c r="C595" t="inlineStr">
        <is>
          <t>Föryngringsavverkning</t>
        </is>
      </c>
      <c r="D595" s="1" t="n">
        <v>45910</v>
      </c>
      <c r="E595" s="1" t="n">
        <v>46228</v>
      </c>
      <c r="F595" t="inlineStr">
        <is>
          <t>VÄSTERNORRLANDS LÄN</t>
        </is>
      </c>
      <c r="G595" t="inlineStr">
        <is>
          <t>ÅNGE</t>
        </is>
      </c>
      <c r="H595" t="inlineStr">
        <is>
          <t>SCA</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51059-2024</t>
        </is>
      </c>
      <c r="B596" t="inlineStr">
        <is>
          <t>avverkningsanmälan</t>
        </is>
      </c>
      <c r="C596" t="inlineStr">
        <is>
          <t>Avverkning för att bevara och utveckla /försöksver</t>
        </is>
      </c>
      <c r="D596" s="1" t="n">
        <v>45603</v>
      </c>
      <c r="E596" s="1" t="n">
        <v>46228</v>
      </c>
      <c r="F596" t="inlineStr">
        <is>
          <t>VÄSTERNORRLANDS LÄN</t>
        </is>
      </c>
      <c r="G596" t="inlineStr">
        <is>
          <t>ÅNGE</t>
        </is>
      </c>
      <c r="H596" t="inlineStr">
        <is>
          <t>SCA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49487-2024</t>
        </is>
      </c>
      <c r="B597" t="inlineStr">
        <is>
          <t>avverkningsanmälan</t>
        </is>
      </c>
      <c r="C597" t="inlineStr">
        <is>
          <t>Föryngringsavverkning</t>
        </is>
      </c>
      <c r="D597" s="1" t="n">
        <v>45596</v>
      </c>
      <c r="E597" s="1" t="n">
        <v>46228</v>
      </c>
      <c r="F597" t="inlineStr">
        <is>
          <t>VÄSTERNORRLANDS LÄN</t>
        </is>
      </c>
      <c r="G597" t="inlineStr">
        <is>
          <t>ÅNGE</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28814-2025</t>
        </is>
      </c>
      <c r="B598" t="inlineStr">
        <is>
          <t>avverkningsanmälan</t>
        </is>
      </c>
      <c r="C598" t="inlineStr">
        <is>
          <t>Föryngringsavverkning</t>
        </is>
      </c>
      <c r="D598" s="1" t="n">
        <v>45820</v>
      </c>
      <c r="E598" s="1" t="n">
        <v>46228</v>
      </c>
      <c r="F598" t="inlineStr">
        <is>
          <t>VÄSTERNORRLANDS LÄN</t>
        </is>
      </c>
      <c r="G598" t="inlineStr">
        <is>
          <t>ÅNGE</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39619-2024</t>
        </is>
      </c>
      <c r="B599" t="inlineStr">
        <is>
          <t>avverkningsanmälan</t>
        </is>
      </c>
      <c r="C599" t="inlineStr">
        <is>
          <t>Föryngringsavverkning</t>
        </is>
      </c>
      <c r="D599" s="1" t="n">
        <v>45552</v>
      </c>
      <c r="E599" s="1" t="n">
        <v>46228</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5613-2024</t>
        </is>
      </c>
      <c r="B600" t="inlineStr">
        <is>
          <t>avverkningsanmälan</t>
        </is>
      </c>
      <c r="C600" t="inlineStr">
        <is>
          <t>Föryngringsavverkning</t>
        </is>
      </c>
      <c r="D600" s="1" t="n">
        <v>45334</v>
      </c>
      <c r="E600" s="1" t="n">
        <v>46228</v>
      </c>
      <c r="F600" t="inlineStr">
        <is>
          <t>VÄSTERNORRLANDS LÄN</t>
        </is>
      </c>
      <c r="G600" t="inlineStr">
        <is>
          <t>ÅNGE</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15799-2025</t>
        </is>
      </c>
      <c r="B601" t="inlineStr">
        <is>
          <t>avverkningsanmälan</t>
        </is>
      </c>
      <c r="C601" t="inlineStr">
        <is>
          <t>Föryngringsavverkning</t>
        </is>
      </c>
      <c r="D601" s="1" t="n">
        <v>45748</v>
      </c>
      <c r="E601" s="1" t="n">
        <v>46228</v>
      </c>
      <c r="F601" t="inlineStr">
        <is>
          <t>VÄSTERNORRLANDS LÄN</t>
        </is>
      </c>
      <c r="G601" t="inlineStr">
        <is>
          <t>ÅNGE</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61928-2021</t>
        </is>
      </c>
      <c r="B602" t="inlineStr">
        <is>
          <t>avverkningsanmälan</t>
        </is>
      </c>
      <c r="C602" t="inlineStr">
        <is>
          <t>Föryngringsavverkning</t>
        </is>
      </c>
      <c r="D602" s="1" t="n">
        <v>44502</v>
      </c>
      <c r="E602" s="1" t="n">
        <v>46228</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5367-2022</t>
        </is>
      </c>
      <c r="B603" t="inlineStr">
        <is>
          <t>avverkningsanmälan</t>
        </is>
      </c>
      <c r="C603" t="inlineStr">
        <is>
          <t>Föryngringsavverkning</t>
        </is>
      </c>
      <c r="D603" s="1" t="n">
        <v>44594</v>
      </c>
      <c r="E603" s="1" t="n">
        <v>46228</v>
      </c>
      <c r="F603" t="inlineStr">
        <is>
          <t>VÄSTERNORRLANDS LÄN</t>
        </is>
      </c>
      <c r="G603" t="inlineStr">
        <is>
          <t>ÅNGE</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24293-2023</t>
        </is>
      </c>
      <c r="B604" t="inlineStr">
        <is>
          <t>avverkningsanmälan</t>
        </is>
      </c>
      <c r="C604" t="inlineStr">
        <is>
          <t>Föryngringsavverkning</t>
        </is>
      </c>
      <c r="D604" s="1" t="n">
        <v>45079</v>
      </c>
      <c r="E604" s="1" t="n">
        <v>46228</v>
      </c>
      <c r="F604" t="inlineStr">
        <is>
          <t>VÄSTERNORRLANDS LÄN</t>
        </is>
      </c>
      <c r="G604" t="inlineStr">
        <is>
          <t>ÅNGE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20158-2026</t>
        </is>
      </c>
      <c r="B605" t="inlineStr">
        <is>
          <t>avverkningsanmälan</t>
        </is>
      </c>
      <c r="C605" t="inlineStr">
        <is>
          <t>Föryngringsavverkning</t>
        </is>
      </c>
      <c r="D605" s="1" t="n">
        <v>46138</v>
      </c>
      <c r="E605" s="1" t="n">
        <v>46228</v>
      </c>
      <c r="F605" t="inlineStr">
        <is>
          <t>VÄSTERNORRLANDS LÄN</t>
        </is>
      </c>
      <c r="G605" t="inlineStr">
        <is>
          <t>ÅNGE</t>
        </is>
      </c>
      <c r="H605" t="inlineStr">
        <is>
          <t>SCA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20172-2026</t>
        </is>
      </c>
      <c r="B606" t="inlineStr">
        <is>
          <t>avverkningsanmälan</t>
        </is>
      </c>
      <c r="C606" t="inlineStr">
        <is>
          <t>Föryngringsavverkning</t>
        </is>
      </c>
      <c r="D606" s="1" t="n">
        <v>46139</v>
      </c>
      <c r="E606" s="1" t="n">
        <v>46228</v>
      </c>
      <c r="F606" t="inlineStr">
        <is>
          <t>VÄSTERNORRLANDS LÄN</t>
        </is>
      </c>
      <c r="G606" t="inlineStr">
        <is>
          <t>ÅNGE</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39985-2023</t>
        </is>
      </c>
      <c r="B607" t="inlineStr">
        <is>
          <t>avverkningsanmälan</t>
        </is>
      </c>
      <c r="C607" t="inlineStr">
        <is>
          <t>Avverkning för annat ändamål</t>
        </is>
      </c>
      <c r="D607" s="1" t="n">
        <v>45168</v>
      </c>
      <c r="E607" s="1" t="n">
        <v>46228</v>
      </c>
      <c r="F607" t="inlineStr">
        <is>
          <t>VÄSTERNORRLANDS LÄN</t>
        </is>
      </c>
      <c r="G607" t="inlineStr">
        <is>
          <t>ÅNGE</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51370-2025</t>
        </is>
      </c>
      <c r="B608" t="inlineStr">
        <is>
          <t>avverkningsanmälan</t>
        </is>
      </c>
      <c r="C608" t="inlineStr">
        <is>
          <t>Föryngringsavverkning</t>
        </is>
      </c>
      <c r="D608" s="1" t="n">
        <v>45950</v>
      </c>
      <c r="E608" s="1" t="n">
        <v>46228</v>
      </c>
      <c r="F608" t="inlineStr">
        <is>
          <t>VÄSTERNORRLANDS LÄN</t>
        </is>
      </c>
      <c r="G608" t="inlineStr">
        <is>
          <t>ÅNGE</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26734-2025</t>
        </is>
      </c>
      <c r="B609" t="inlineStr">
        <is>
          <t>avverkningsanmälan</t>
        </is>
      </c>
      <c r="C609" t="inlineStr">
        <is>
          <t>Föryngringsavverkning</t>
        </is>
      </c>
      <c r="D609" s="1" t="n">
        <v>45810</v>
      </c>
      <c r="E609" s="1" t="n">
        <v>46228</v>
      </c>
      <c r="F609" t="inlineStr">
        <is>
          <t>VÄSTERNORRLANDS LÄN</t>
        </is>
      </c>
      <c r="G609" t="inlineStr">
        <is>
          <t>ÅNGE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20135-2026</t>
        </is>
      </c>
      <c r="B610" t="inlineStr">
        <is>
          <t>avverkningsanmälan</t>
        </is>
      </c>
      <c r="C610" t="inlineStr">
        <is>
          <t>Föryngringsavverkning</t>
        </is>
      </c>
      <c r="D610" s="1" t="n">
        <v>46136</v>
      </c>
      <c r="E610" s="1" t="n">
        <v>46228</v>
      </c>
      <c r="F610" t="inlineStr">
        <is>
          <t>VÄSTERNORRLANDS LÄN</t>
        </is>
      </c>
      <c r="G610" t="inlineStr">
        <is>
          <t>ÅNGE</t>
        </is>
      </c>
      <c r="H610" t="inlineStr">
        <is>
          <t>SCA</t>
        </is>
      </c>
      <c r="I610" t="n">
        <v>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1420-2023</t>
        </is>
      </c>
      <c r="B611" t="inlineStr">
        <is>
          <t>avverkningsanmälan</t>
        </is>
      </c>
      <c r="C611" t="inlineStr">
        <is>
          <t>Föryngringsavverkning</t>
        </is>
      </c>
      <c r="D611" s="1" t="n">
        <v>44936</v>
      </c>
      <c r="E611" s="1" t="n">
        <v>46228</v>
      </c>
      <c r="F611" t="inlineStr">
        <is>
          <t>VÄSTERNORRLANDS LÄN</t>
        </is>
      </c>
      <c r="G611" t="inlineStr">
        <is>
          <t>ÅNGE</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34691-2024</t>
        </is>
      </c>
      <c r="B612" t="inlineStr">
        <is>
          <t>avverkningsanmälan</t>
        </is>
      </c>
      <c r="C612" t="inlineStr">
        <is>
          <t>Föryngringsavverkning</t>
        </is>
      </c>
      <c r="D612" s="1" t="n">
        <v>45526</v>
      </c>
      <c r="E612" s="1" t="n">
        <v>46228</v>
      </c>
      <c r="F612" t="inlineStr">
        <is>
          <t>VÄSTERNORRLANDS LÄN</t>
        </is>
      </c>
      <c r="G612" t="inlineStr">
        <is>
          <t>ÅNGE</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45401-2025</t>
        </is>
      </c>
      <c r="B613" t="inlineStr">
        <is>
          <t>avverkningsanmälan</t>
        </is>
      </c>
      <c r="C613" t="inlineStr">
        <is>
          <t>Föryngringsavverkning</t>
        </is>
      </c>
      <c r="D613" s="1" t="n">
        <v>45922</v>
      </c>
      <c r="E613" s="1" t="n">
        <v>46228</v>
      </c>
      <c r="F613" t="inlineStr">
        <is>
          <t>VÄSTERNORRLANDS LÄN</t>
        </is>
      </c>
      <c r="G613" t="inlineStr">
        <is>
          <t>ÅNGE</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5223-2026</t>
        </is>
      </c>
      <c r="B614" t="inlineStr">
        <is>
          <t>avverkningsanmälan</t>
        </is>
      </c>
      <c r="C614" t="inlineStr">
        <is>
          <t>Föryngringsavverkning</t>
        </is>
      </c>
      <c r="D614" s="1" t="n">
        <v>46049</v>
      </c>
      <c r="E614" s="1" t="n">
        <v>46228</v>
      </c>
      <c r="F614" t="inlineStr">
        <is>
          <t>VÄSTERNORRLANDS LÄN</t>
        </is>
      </c>
      <c r="G614" t="inlineStr">
        <is>
          <t>ÅNGE</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45660-2025</t>
        </is>
      </c>
      <c r="B615" t="inlineStr">
        <is>
          <t>avverkningsanmälan</t>
        </is>
      </c>
      <c r="C615" t="inlineStr">
        <is>
          <t>Föryngringsavverkning</t>
        </is>
      </c>
      <c r="D615" s="1" t="n">
        <v>45923</v>
      </c>
      <c r="E615" s="1" t="n">
        <v>46228</v>
      </c>
      <c r="F615" t="inlineStr">
        <is>
          <t>VÄSTERNORRLANDS LÄN</t>
        </is>
      </c>
      <c r="G615" t="inlineStr">
        <is>
          <t>ÅNGE</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54585-2024</t>
        </is>
      </c>
      <c r="B616" t="inlineStr">
        <is>
          <t>avverkningsanmälan</t>
        </is>
      </c>
      <c r="C616" t="inlineStr">
        <is>
          <t>Föryngringsavverkning</t>
        </is>
      </c>
      <c r="D616" s="1" t="n">
        <v>45617</v>
      </c>
      <c r="E616" s="1" t="n">
        <v>46228</v>
      </c>
      <c r="F616" t="inlineStr">
        <is>
          <t>VÄSTERNORRLANDS LÄN</t>
        </is>
      </c>
      <c r="G616" t="inlineStr">
        <is>
          <t>ÅNGE</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45875-2025</t>
        </is>
      </c>
      <c r="B617" t="inlineStr">
        <is>
          <t>avverkningsanmälan</t>
        </is>
      </c>
      <c r="C617" t="inlineStr">
        <is>
          <t>Föryngringsavverkning</t>
        </is>
      </c>
      <c r="D617" s="1" t="n">
        <v>45923</v>
      </c>
      <c r="E617" s="1" t="n">
        <v>46228</v>
      </c>
      <c r="F617" t="inlineStr">
        <is>
          <t>VÄSTERNORRLANDS LÄN</t>
        </is>
      </c>
      <c r="G617" t="inlineStr">
        <is>
          <t>ÅNGE</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45659-2025</t>
        </is>
      </c>
      <c r="B618" t="inlineStr">
        <is>
          <t>avverkningsanmälan</t>
        </is>
      </c>
      <c r="C618" t="inlineStr">
        <is>
          <t>Föryngringsavverkning</t>
        </is>
      </c>
      <c r="D618" s="1" t="n">
        <v>45923</v>
      </c>
      <c r="E618" s="1" t="n">
        <v>46228</v>
      </c>
      <c r="F618" t="inlineStr">
        <is>
          <t>VÄSTERNORRLANDS LÄN</t>
        </is>
      </c>
      <c r="G618" t="inlineStr">
        <is>
          <t>ÅNGE</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17452-2025</t>
        </is>
      </c>
      <c r="B619" t="inlineStr">
        <is>
          <t>avverkningsanmälan</t>
        </is>
      </c>
      <c r="C619" t="inlineStr">
        <is>
          <t>Föryngringsavverkning</t>
        </is>
      </c>
      <c r="D619" s="1" t="n">
        <v>45757</v>
      </c>
      <c r="E619" s="1" t="n">
        <v>46228</v>
      </c>
      <c r="F619" t="inlineStr">
        <is>
          <t>VÄSTERNORRLANDS LÄN</t>
        </is>
      </c>
      <c r="G619" t="inlineStr">
        <is>
          <t>ÅNGE</t>
        </is>
      </c>
      <c r="H619" t="inlineStr">
        <is>
          <t>SCA</t>
        </is>
      </c>
      <c r="I619" t="n">
        <v>9.800000000000001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46419-2025</t>
        </is>
      </c>
      <c r="B620" t="inlineStr">
        <is>
          <t>avverkningsanmälan</t>
        </is>
      </c>
      <c r="C620" t="inlineStr">
        <is>
          <t>Föryngringsavverkning</t>
        </is>
      </c>
      <c r="D620" s="1" t="n">
        <v>45925</v>
      </c>
      <c r="E620" s="1" t="n">
        <v>46228</v>
      </c>
      <c r="F620" t="inlineStr">
        <is>
          <t>VÄSTERNORRLANDS LÄN</t>
        </is>
      </c>
      <c r="G620" t="inlineStr">
        <is>
          <t>ÅNGE</t>
        </is>
      </c>
      <c r="H620" t="inlineStr">
        <is>
          <t>SCA</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46111-2025</t>
        </is>
      </c>
      <c r="B621" t="inlineStr">
        <is>
          <t>avverkningsanmälan</t>
        </is>
      </c>
      <c r="C621" t="inlineStr">
        <is>
          <t>Föryngringsavverkning</t>
        </is>
      </c>
      <c r="D621" s="1" t="n">
        <v>45924</v>
      </c>
      <c r="E621" s="1" t="n">
        <v>46228</v>
      </c>
      <c r="F621" t="inlineStr">
        <is>
          <t>VÄSTERNORRLANDS LÄN</t>
        </is>
      </c>
      <c r="G621" t="inlineStr">
        <is>
          <t>ÅNGE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46416-2025</t>
        </is>
      </c>
      <c r="B622" t="inlineStr">
        <is>
          <t>avverkningsanmälan</t>
        </is>
      </c>
      <c r="C622" t="inlineStr">
        <is>
          <t>Föryngringsavverkning</t>
        </is>
      </c>
      <c r="D622" s="1" t="n">
        <v>45925</v>
      </c>
      <c r="E622" s="1" t="n">
        <v>46228</v>
      </c>
      <c r="F622" t="inlineStr">
        <is>
          <t>VÄSTERNORRLANDS LÄN</t>
        </is>
      </c>
      <c r="G622" t="inlineStr">
        <is>
          <t>ÅNGE</t>
        </is>
      </c>
      <c r="H622" t="inlineStr">
        <is>
          <t>SCA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46109-2025</t>
        </is>
      </c>
      <c r="B623" t="inlineStr">
        <is>
          <t>avverkningsanmälan</t>
        </is>
      </c>
      <c r="C623" t="inlineStr">
        <is>
          <t>Föryngringsavverkning</t>
        </is>
      </c>
      <c r="D623" s="1" t="n">
        <v>45924</v>
      </c>
      <c r="E623" s="1" t="n">
        <v>46228</v>
      </c>
      <c r="F623" t="inlineStr">
        <is>
          <t>VÄSTERNORRLANDS LÄN</t>
        </is>
      </c>
      <c r="G623" t="inlineStr">
        <is>
          <t>ÅNGE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45970-2025</t>
        </is>
      </c>
      <c r="B624" t="inlineStr">
        <is>
          <t>avverkningsanmälan</t>
        </is>
      </c>
      <c r="C624" t="inlineStr">
        <is>
          <t>Föryngringsavverkning</t>
        </is>
      </c>
      <c r="D624" s="1" t="n">
        <v>45924</v>
      </c>
      <c r="E624" s="1" t="n">
        <v>46228</v>
      </c>
      <c r="F624" t="inlineStr">
        <is>
          <t>VÄSTERNORRLANDS LÄN</t>
        </is>
      </c>
      <c r="G624" t="inlineStr">
        <is>
          <t>ÅNGE</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8860-2026</t>
        </is>
      </c>
      <c r="B625" t="inlineStr">
        <is>
          <t>avverkningsanmälan</t>
        </is>
      </c>
      <c r="C625" t="inlineStr">
        <is>
          <t>Föryngringsavverkning</t>
        </is>
      </c>
      <c r="D625" s="1" t="n">
        <v>46066</v>
      </c>
      <c r="E625" s="1" t="n">
        <v>46228</v>
      </c>
      <c r="F625" t="inlineStr">
        <is>
          <t>VÄSTERNORRLANDS LÄN</t>
        </is>
      </c>
      <c r="G625" t="inlineStr">
        <is>
          <t>ÅNGE</t>
        </is>
      </c>
      <c r="H625" t="inlineStr">
        <is>
          <t>SCA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46933-2025</t>
        </is>
      </c>
      <c r="B626" t="inlineStr">
        <is>
          <t>avverkningsanmälan</t>
        </is>
      </c>
      <c r="C626" t="inlineStr">
        <is>
          <t>Föryngringsavverkning</t>
        </is>
      </c>
      <c r="D626" s="1" t="n">
        <v>45929</v>
      </c>
      <c r="E626" s="1" t="n">
        <v>46228</v>
      </c>
      <c r="F626" t="inlineStr">
        <is>
          <t>VÄSTERNORRLANDS LÄN</t>
        </is>
      </c>
      <c r="G626" t="inlineStr">
        <is>
          <t>ÅNGE</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19912-2026</t>
        </is>
      </c>
      <c r="B627" t="inlineStr">
        <is>
          <t>avverkningsanmälan</t>
        </is>
      </c>
      <c r="C627" t="inlineStr">
        <is>
          <t>Föryngringsavverkning</t>
        </is>
      </c>
      <c r="D627" s="1" t="n">
        <v>46136</v>
      </c>
      <c r="E627" s="1" t="n">
        <v>46228</v>
      </c>
      <c r="F627" t="inlineStr">
        <is>
          <t>VÄSTERNORRLANDS LÄN</t>
        </is>
      </c>
      <c r="G627" t="inlineStr">
        <is>
          <t>ÅNGE</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5999-2025</t>
        </is>
      </c>
      <c r="B628" t="inlineStr">
        <is>
          <t>avverkningsanmälan</t>
        </is>
      </c>
      <c r="C628" t="inlineStr">
        <is>
          <t>Föryngringsavverkning</t>
        </is>
      </c>
      <c r="D628" s="1" t="n">
        <v>45695</v>
      </c>
      <c r="E628" s="1" t="n">
        <v>46228</v>
      </c>
      <c r="F628" t="inlineStr">
        <is>
          <t>VÄSTERNORRLANDS LÄN</t>
        </is>
      </c>
      <c r="G628" t="inlineStr">
        <is>
          <t>ÅNGE</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12751-2026</t>
        </is>
      </c>
      <c r="B629" t="inlineStr">
        <is>
          <t>avverkningsanmälan</t>
        </is>
      </c>
      <c r="C629" t="inlineStr">
        <is>
          <t>Föryngringsavverkning</t>
        </is>
      </c>
      <c r="D629" s="1" t="n">
        <v>46091</v>
      </c>
      <c r="E629" s="1" t="n">
        <v>46228</v>
      </c>
      <c r="F629" t="inlineStr">
        <is>
          <t>VÄSTERNORRLANDS LÄN</t>
        </is>
      </c>
      <c r="G629" t="inlineStr">
        <is>
          <t>ÅNGE</t>
        </is>
      </c>
      <c r="H629" t="inlineStr">
        <is>
          <t>SCA</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31729-2024</t>
        </is>
      </c>
      <c r="B630" t="inlineStr">
        <is>
          <t>avverkningsanmälan</t>
        </is>
      </c>
      <c r="C630" t="inlineStr">
        <is>
          <t>Föryngringsavverkning</t>
        </is>
      </c>
      <c r="D630" s="1" t="n">
        <v>45509</v>
      </c>
      <c r="E630" s="1" t="n">
        <v>46228</v>
      </c>
      <c r="F630" t="inlineStr">
        <is>
          <t>VÄSTERNORRLANDS LÄN</t>
        </is>
      </c>
      <c r="G630" t="inlineStr">
        <is>
          <t>ÅNGE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47305-2025</t>
        </is>
      </c>
      <c r="B631" t="inlineStr">
        <is>
          <t>avverkningsanmälan</t>
        </is>
      </c>
      <c r="C631" t="inlineStr">
        <is>
          <t>Föryngringsavverkning</t>
        </is>
      </c>
      <c r="D631" s="1" t="n">
        <v>45930</v>
      </c>
      <c r="E631" s="1" t="n">
        <v>46228</v>
      </c>
      <c r="F631" t="inlineStr">
        <is>
          <t>VÄSTERNORRLANDS LÄN</t>
        </is>
      </c>
      <c r="G631" t="inlineStr">
        <is>
          <t>ÅNGE</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20474-2026</t>
        </is>
      </c>
      <c r="B632" t="inlineStr">
        <is>
          <t>avverkningsanmälan</t>
        </is>
      </c>
      <c r="C632" t="inlineStr">
        <is>
          <t>Föryngringsavverkning</t>
        </is>
      </c>
      <c r="D632" s="1" t="n">
        <v>46140</v>
      </c>
      <c r="E632" s="1" t="n">
        <v>46228</v>
      </c>
      <c r="F632" t="inlineStr">
        <is>
          <t>VÄSTERNORRLANDS LÄN</t>
        </is>
      </c>
      <c r="G632" t="inlineStr">
        <is>
          <t>ÅNGE</t>
        </is>
      </c>
      <c r="H632" t="inlineStr">
        <is>
          <t>SCA</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10409-2026</t>
        </is>
      </c>
      <c r="B633" t="inlineStr">
        <is>
          <t>avverkningsanmälan</t>
        </is>
      </c>
      <c r="C633" t="inlineStr">
        <is>
          <t>Föryngringsavverkning</t>
        </is>
      </c>
      <c r="D633" s="1" t="n">
        <v>46077</v>
      </c>
      <c r="E633" s="1" t="n">
        <v>46228</v>
      </c>
      <c r="F633" t="inlineStr">
        <is>
          <t>VÄSTERNORRLANDS LÄN</t>
        </is>
      </c>
      <c r="G633" t="inlineStr">
        <is>
          <t>ÅNGE</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1897-2026</t>
        </is>
      </c>
      <c r="B634" t="inlineStr">
        <is>
          <t>avverkningsanmälan</t>
        </is>
      </c>
      <c r="C634" t="inlineStr">
        <is>
          <t>Föryngringsavverkning</t>
        </is>
      </c>
      <c r="D634" s="1" t="n">
        <v>46035</v>
      </c>
      <c r="E634" s="1" t="n">
        <v>46228</v>
      </c>
      <c r="F634" t="inlineStr">
        <is>
          <t>VÄSTERNORRLANDS LÄN</t>
        </is>
      </c>
      <c r="G634" t="inlineStr">
        <is>
          <t>ÅNGE</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47440-2025</t>
        </is>
      </c>
      <c r="B635" t="inlineStr">
        <is>
          <t>avverkningsanmälan</t>
        </is>
      </c>
      <c r="C635" t="inlineStr">
        <is>
          <t>Föryngringsavverkning</t>
        </is>
      </c>
      <c r="D635" s="1" t="n">
        <v>45930</v>
      </c>
      <c r="E635" s="1" t="n">
        <v>46228</v>
      </c>
      <c r="F635" t="inlineStr">
        <is>
          <t>VÄSTERNORRLANDS LÄN</t>
        </is>
      </c>
      <c r="G635" t="inlineStr">
        <is>
          <t>ÅNGE</t>
        </is>
      </c>
      <c r="H635" t="inlineStr">
        <is>
          <t>SCA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47488-2025</t>
        </is>
      </c>
      <c r="B636" t="inlineStr">
        <is>
          <t>avverkningsanmälan</t>
        </is>
      </c>
      <c r="C636" t="inlineStr">
        <is>
          <t>Föryngringsavverkning</t>
        </is>
      </c>
      <c r="D636" s="1" t="n">
        <v>45930</v>
      </c>
      <c r="E636" s="1" t="n">
        <v>46228</v>
      </c>
      <c r="F636" t="inlineStr">
        <is>
          <t>VÄSTERNORRLANDS LÄN</t>
        </is>
      </c>
      <c r="G636" t="inlineStr">
        <is>
          <t>ÅNGE</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47196-2025</t>
        </is>
      </c>
      <c r="B637" t="inlineStr">
        <is>
          <t>avverkningsanmälan</t>
        </is>
      </c>
      <c r="C637" t="inlineStr">
        <is>
          <t>Föryngringsavverkning</t>
        </is>
      </c>
      <c r="D637" s="1" t="n">
        <v>45930</v>
      </c>
      <c r="E637" s="1" t="n">
        <v>46228</v>
      </c>
      <c r="F637" t="inlineStr">
        <is>
          <t>VÄSTERNORRLANDS LÄN</t>
        </is>
      </c>
      <c r="G637" t="inlineStr">
        <is>
          <t>ÅNGE</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54908-2021</t>
        </is>
      </c>
      <c r="B638" t="inlineStr">
        <is>
          <t>avverkningsanmälan</t>
        </is>
      </c>
      <c r="C638" t="inlineStr">
        <is>
          <t>Föryngringsavverkning</t>
        </is>
      </c>
      <c r="D638" s="1" t="n">
        <v>44474</v>
      </c>
      <c r="E638" s="1" t="n">
        <v>46228</v>
      </c>
      <c r="F638" t="inlineStr">
        <is>
          <t>VÄSTERNORRLANDS LÄN</t>
        </is>
      </c>
      <c r="G638" t="inlineStr">
        <is>
          <t>ÅNGE</t>
        </is>
      </c>
      <c r="I638" t="n">
        <v>7.8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45933-2023</t>
        </is>
      </c>
      <c r="B639" t="inlineStr">
        <is>
          <t>avverkningsanmälan</t>
        </is>
      </c>
      <c r="C639" t="inlineStr">
        <is>
          <t>Avverkning för annat ändamål</t>
        </is>
      </c>
      <c r="D639" s="1" t="n">
        <v>45195</v>
      </c>
      <c r="E639" s="1" t="n">
        <v>46228</v>
      </c>
      <c r="F639" t="inlineStr">
        <is>
          <t>VÄSTERNORRLANDS LÄN</t>
        </is>
      </c>
      <c r="G639" t="inlineStr">
        <is>
          <t>ÅNGE</t>
        </is>
      </c>
      <c r="H639" t="inlineStr">
        <is>
          <t>SCA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20093-2026</t>
        </is>
      </c>
      <c r="B640" t="inlineStr">
        <is>
          <t>avverkningsanmälan</t>
        </is>
      </c>
      <c r="C640" t="inlineStr">
        <is>
          <t>Föryngringsavverkning</t>
        </is>
      </c>
      <c r="D640" s="1" t="n">
        <v>46135</v>
      </c>
      <c r="E640" s="1" t="n">
        <v>46228</v>
      </c>
      <c r="F640" t="inlineStr">
        <is>
          <t>VÄSTERNORRLANDS LÄN</t>
        </is>
      </c>
      <c r="G640" t="inlineStr">
        <is>
          <t>ÅNGE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20681-2026</t>
        </is>
      </c>
      <c r="B641" t="inlineStr">
        <is>
          <t>avverkningsanmälan</t>
        </is>
      </c>
      <c r="C641" t="inlineStr">
        <is>
          <t>Föryngringsavverkning</t>
        </is>
      </c>
      <c r="D641" s="1" t="n">
        <v>46141</v>
      </c>
      <c r="E641" s="1" t="n">
        <v>46228</v>
      </c>
      <c r="F641" t="inlineStr">
        <is>
          <t>VÄSTERNORRLANDS LÄN</t>
        </is>
      </c>
      <c r="G641" t="inlineStr">
        <is>
          <t>ÅNGE</t>
        </is>
      </c>
      <c r="H641" t="inlineStr">
        <is>
          <t>SCA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46015-2024</t>
        </is>
      </c>
      <c r="B642" t="inlineStr">
        <is>
          <t>avverkningsanmälan</t>
        </is>
      </c>
      <c r="C642" t="inlineStr">
        <is>
          <t>Föryngringsavverkning</t>
        </is>
      </c>
      <c r="D642" s="1" t="n">
        <v>45580</v>
      </c>
      <c r="E642" s="1" t="n">
        <v>46228</v>
      </c>
      <c r="F642" t="inlineStr">
        <is>
          <t>VÄSTERNORRLANDS LÄN</t>
        </is>
      </c>
      <c r="G642" t="inlineStr">
        <is>
          <t>ÅNGE</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44636-2024</t>
        </is>
      </c>
      <c r="B643" t="inlineStr">
        <is>
          <t>avverkningsanmälan</t>
        </is>
      </c>
      <c r="C643" t="inlineStr">
        <is>
          <t>Föryngringsavverkning</t>
        </is>
      </c>
      <c r="D643" s="1" t="n">
        <v>45574</v>
      </c>
      <c r="E643" s="1" t="n">
        <v>46228</v>
      </c>
      <c r="F643" t="inlineStr">
        <is>
          <t>VÄSTERNORRLANDS LÄN</t>
        </is>
      </c>
      <c r="G643" t="inlineStr">
        <is>
          <t>ÅNGE</t>
        </is>
      </c>
      <c r="H643" t="inlineStr">
        <is>
          <t>SCA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48055-2025</t>
        </is>
      </c>
      <c r="B644" t="inlineStr">
        <is>
          <t>avverkningsanmälan</t>
        </is>
      </c>
      <c r="C644" t="inlineStr">
        <is>
          <t>Föryngringsavverkning</t>
        </is>
      </c>
      <c r="D644" s="1" t="n">
        <v>45932</v>
      </c>
      <c r="E644" s="1" t="n">
        <v>46228</v>
      </c>
      <c r="F644" t="inlineStr">
        <is>
          <t>VÄSTERNORRLANDS LÄN</t>
        </is>
      </c>
      <c r="G644" t="inlineStr">
        <is>
          <t>ÅNGE</t>
        </is>
      </c>
      <c r="H644" t="inlineStr">
        <is>
          <t>SCA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48069-2025</t>
        </is>
      </c>
      <c r="B645" t="inlineStr">
        <is>
          <t>avverkningsanmälan</t>
        </is>
      </c>
      <c r="C645" t="inlineStr">
        <is>
          <t>Föryngringsavverkning</t>
        </is>
      </c>
      <c r="D645" s="1" t="n">
        <v>45932</v>
      </c>
      <c r="E645" s="1" t="n">
        <v>46228</v>
      </c>
      <c r="F645" t="inlineStr">
        <is>
          <t>VÄSTERNORRLANDS LÄN</t>
        </is>
      </c>
      <c r="G645" t="inlineStr">
        <is>
          <t>ÅNGE</t>
        </is>
      </c>
      <c r="H645" t="inlineStr">
        <is>
          <t>SCA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48679-2025</t>
        </is>
      </c>
      <c r="B646" t="inlineStr">
        <is>
          <t>avverkningsanmälan</t>
        </is>
      </c>
      <c r="C646" t="inlineStr">
        <is>
          <t>Avverkning för annat ändamål</t>
        </is>
      </c>
      <c r="D646" s="1" t="n">
        <v>45936</v>
      </c>
      <c r="E646" s="1" t="n">
        <v>46228</v>
      </c>
      <c r="F646" t="inlineStr">
        <is>
          <t>VÄSTERNORRLANDS LÄN</t>
        </is>
      </c>
      <c r="G646" t="inlineStr">
        <is>
          <t>ÅNGE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20682-2026</t>
        </is>
      </c>
      <c r="B647" t="inlineStr">
        <is>
          <t>avverkningsanmälan</t>
        </is>
      </c>
      <c r="C647" t="inlineStr">
        <is>
          <t>Föryngringsavverkning</t>
        </is>
      </c>
      <c r="D647" s="1" t="n">
        <v>46141</v>
      </c>
      <c r="E647" s="1" t="n">
        <v>46228</v>
      </c>
      <c r="F647" t="inlineStr">
        <is>
          <t>VÄSTERNORRLANDS LÄN</t>
        </is>
      </c>
      <c r="G647" t="inlineStr">
        <is>
          <t>ÅNGE</t>
        </is>
      </c>
      <c r="H647" t="inlineStr">
        <is>
          <t>SCA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25377-2024</t>
        </is>
      </c>
      <c r="B648" t="inlineStr">
        <is>
          <t>avverkningsanmälan</t>
        </is>
      </c>
      <c r="C648" t="inlineStr">
        <is>
          <t>Föryngringsavverkning</t>
        </is>
      </c>
      <c r="D648" s="1" t="n">
        <v>45462</v>
      </c>
      <c r="E648" s="1" t="n">
        <v>46228</v>
      </c>
      <c r="F648" t="inlineStr">
        <is>
          <t>VÄSTERNORRLANDS LÄN</t>
        </is>
      </c>
      <c r="G648" t="inlineStr">
        <is>
          <t>ÅNGE</t>
        </is>
      </c>
      <c r="H648" t="inlineStr">
        <is>
          <t>SCA</t>
        </is>
      </c>
      <c r="I648" t="n">
        <v>20.7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21176-2025</t>
        </is>
      </c>
      <c r="B649" t="inlineStr">
        <is>
          <t>avverkningsanmälan</t>
        </is>
      </c>
      <c r="C649" t="inlineStr">
        <is>
          <t>Föryngringsavverkning</t>
        </is>
      </c>
      <c r="D649" s="1" t="n">
        <v>45779</v>
      </c>
      <c r="E649" s="1" t="n">
        <v>46228</v>
      </c>
      <c r="F649" t="inlineStr">
        <is>
          <t>VÄSTERNORRLANDS LÄN</t>
        </is>
      </c>
      <c r="G649" t="inlineStr">
        <is>
          <t>ÅNGE</t>
        </is>
      </c>
      <c r="H649" t="inlineStr">
        <is>
          <t>SCA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49562-2025</t>
        </is>
      </c>
      <c r="B650" t="inlineStr">
        <is>
          <t>avverkningsanmälan</t>
        </is>
      </c>
      <c r="C650" t="inlineStr">
        <is>
          <t>Föryngringsavverkning</t>
        </is>
      </c>
      <c r="D650" s="1" t="n">
        <v>45939</v>
      </c>
      <c r="E650" s="1" t="n">
        <v>46228</v>
      </c>
      <c r="F650" t="inlineStr">
        <is>
          <t>VÄSTERNORRLANDS LÄN</t>
        </is>
      </c>
      <c r="G650" t="inlineStr">
        <is>
          <t>ÅNGE</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20473-2026</t>
        </is>
      </c>
      <c r="B651" t="inlineStr">
        <is>
          <t>avverkningsanmälan</t>
        </is>
      </c>
      <c r="C651" t="inlineStr">
        <is>
          <t>Föryngringsavverkning</t>
        </is>
      </c>
      <c r="D651" s="1" t="n">
        <v>46140</v>
      </c>
      <c r="E651" s="1" t="n">
        <v>46228</v>
      </c>
      <c r="F651" t="inlineStr">
        <is>
          <t>VÄSTERNORRLANDS LÄN</t>
        </is>
      </c>
      <c r="G651" t="inlineStr">
        <is>
          <t>ÅNGE</t>
        </is>
      </c>
      <c r="H651" t="inlineStr">
        <is>
          <t>SCA</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1654-2026</t>
        </is>
      </c>
      <c r="B652" t="inlineStr">
        <is>
          <t>avverkningsanmälan</t>
        </is>
      </c>
      <c r="C652" t="inlineStr">
        <is>
          <t>Föryngringsavverkning</t>
        </is>
      </c>
      <c r="D652" s="1" t="n">
        <v>46034</v>
      </c>
      <c r="E652" s="1" t="n">
        <v>46228</v>
      </c>
      <c r="F652" t="inlineStr">
        <is>
          <t>VÄSTERNORRLANDS LÄN</t>
        </is>
      </c>
      <c r="G652" t="inlineStr">
        <is>
          <t>ÅNGE</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39975-2023</t>
        </is>
      </c>
      <c r="B653" t="inlineStr">
        <is>
          <t>avverkningsanmälan</t>
        </is>
      </c>
      <c r="C653" t="inlineStr">
        <is>
          <t>Föryngringsavverkning</t>
        </is>
      </c>
      <c r="D653" s="1" t="n">
        <v>45168</v>
      </c>
      <c r="E653" s="1" t="n">
        <v>46228</v>
      </c>
      <c r="F653" t="inlineStr">
        <is>
          <t>VÄSTERNORRLANDS LÄN</t>
        </is>
      </c>
      <c r="G653" t="inlineStr">
        <is>
          <t>ÅNGE</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18112-2025</t>
        </is>
      </c>
      <c r="B654" t="inlineStr">
        <is>
          <t>avverkningsanmälan</t>
        </is>
      </c>
      <c r="C654" t="inlineStr">
        <is>
          <t>Föryngringsavverkning</t>
        </is>
      </c>
      <c r="D654" s="1" t="n">
        <v>45761</v>
      </c>
      <c r="E654" s="1" t="n">
        <v>46228</v>
      </c>
      <c r="F654" t="inlineStr">
        <is>
          <t>VÄSTERNORRLANDS LÄN</t>
        </is>
      </c>
      <c r="G654" t="inlineStr">
        <is>
          <t>ÅNGE</t>
        </is>
      </c>
      <c r="H654" t="inlineStr">
        <is>
          <t>SCA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49603-2025</t>
        </is>
      </c>
      <c r="B655" t="inlineStr">
        <is>
          <t>avverkningsanmälan</t>
        </is>
      </c>
      <c r="C655" t="inlineStr">
        <is>
          <t>Föryngringsavverkning</t>
        </is>
      </c>
      <c r="D655" s="1" t="n">
        <v>45939</v>
      </c>
      <c r="E655" s="1" t="n">
        <v>46228</v>
      </c>
      <c r="F655" t="inlineStr">
        <is>
          <t>VÄSTERNORRLANDS LÄN</t>
        </is>
      </c>
      <c r="G655" t="inlineStr">
        <is>
          <t>ÅNGE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31041-2025</t>
        </is>
      </c>
      <c r="B656" t="inlineStr">
        <is>
          <t>avverkningsanmälan</t>
        </is>
      </c>
      <c r="C656" t="inlineStr">
        <is>
          <t>Föryngringsavverkning</t>
        </is>
      </c>
      <c r="D656" s="1" t="n">
        <v>45832</v>
      </c>
      <c r="E656" s="1" t="n">
        <v>46228</v>
      </c>
      <c r="F656" t="inlineStr">
        <is>
          <t>VÄSTERNORRLANDS LÄN</t>
        </is>
      </c>
      <c r="G656" t="inlineStr">
        <is>
          <t>ÅNGE</t>
        </is>
      </c>
      <c r="H656" t="inlineStr">
        <is>
          <t>SCA</t>
        </is>
      </c>
      <c r="I656" t="n">
        <v>15.1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53970-2021</t>
        </is>
      </c>
      <c r="B657" t="inlineStr">
        <is>
          <t>avverkningsanmälan</t>
        </is>
      </c>
      <c r="C657" t="inlineStr">
        <is>
          <t>Avverkning för annat ändamål</t>
        </is>
      </c>
      <c r="D657" s="1" t="n">
        <v>44469</v>
      </c>
      <c r="E657" s="1" t="n">
        <v>46228</v>
      </c>
      <c r="F657" t="inlineStr">
        <is>
          <t>VÄSTERNORRLANDS LÄN</t>
        </is>
      </c>
      <c r="G657" t="inlineStr">
        <is>
          <t>ÅNGE</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49476-2025</t>
        </is>
      </c>
      <c r="B658" t="inlineStr">
        <is>
          <t>avverkningsanmälan</t>
        </is>
      </c>
      <c r="C658" t="inlineStr">
        <is>
          <t>Föryngringsavverkning</t>
        </is>
      </c>
      <c r="D658" s="1" t="n">
        <v>45939</v>
      </c>
      <c r="E658" s="1" t="n">
        <v>46228</v>
      </c>
      <c r="F658" t="inlineStr">
        <is>
          <t>VÄSTERNORRLANDS LÄN</t>
        </is>
      </c>
      <c r="G658" t="inlineStr">
        <is>
          <t>ÅNGE</t>
        </is>
      </c>
      <c r="H658" t="inlineStr">
        <is>
          <t>SCA</t>
        </is>
      </c>
      <c r="I658" t="n">
        <v>11.4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49600-2025</t>
        </is>
      </c>
      <c r="B659" t="inlineStr">
        <is>
          <t>avverkningsanmälan</t>
        </is>
      </c>
      <c r="C659" t="inlineStr">
        <is>
          <t>Föryngringsavverkning</t>
        </is>
      </c>
      <c r="D659" s="1" t="n">
        <v>45939</v>
      </c>
      <c r="E659" s="1" t="n">
        <v>46228</v>
      </c>
      <c r="F659" t="inlineStr">
        <is>
          <t>VÄSTERNORRLANDS LÄN</t>
        </is>
      </c>
      <c r="G659" t="inlineStr">
        <is>
          <t>ÅNGE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5492-2026</t>
        </is>
      </c>
      <c r="B660" t="inlineStr">
        <is>
          <t>avverkningsanmälan</t>
        </is>
      </c>
      <c r="C660" t="inlineStr">
        <is>
          <t>Föryngringsavverkning</t>
        </is>
      </c>
      <c r="D660" s="1" t="n">
        <v>46050</v>
      </c>
      <c r="E660" s="1" t="n">
        <v>46228</v>
      </c>
      <c r="F660" t="inlineStr">
        <is>
          <t>VÄSTERNORRLANDS LÄN</t>
        </is>
      </c>
      <c r="G660" t="inlineStr">
        <is>
          <t>ÅNGE</t>
        </is>
      </c>
      <c r="I660" t="n">
        <v>11.3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12756-2026</t>
        </is>
      </c>
      <c r="B661" t="inlineStr">
        <is>
          <t>avverkningsanmälan</t>
        </is>
      </c>
      <c r="C661" t="inlineStr">
        <is>
          <t>Föryngringsavverkning</t>
        </is>
      </c>
      <c r="D661" s="1" t="n">
        <v>46091</v>
      </c>
      <c r="E661" s="1" t="n">
        <v>46228</v>
      </c>
      <c r="F661" t="inlineStr">
        <is>
          <t>VÄSTERNORRLANDS LÄN</t>
        </is>
      </c>
      <c r="G661" t="inlineStr">
        <is>
          <t>ÅNGE</t>
        </is>
      </c>
      <c r="H661" t="inlineStr">
        <is>
          <t>SCA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13491-2023</t>
        </is>
      </c>
      <c r="B662" t="inlineStr">
        <is>
          <t>avverkningsanmälan</t>
        </is>
      </c>
      <c r="C662" t="inlineStr">
        <is>
          <t>Föryngringsavverkning</t>
        </is>
      </c>
      <c r="D662" s="1" t="n">
        <v>45005</v>
      </c>
      <c r="E662" s="1" t="n">
        <v>46228</v>
      </c>
      <c r="F662" t="inlineStr">
        <is>
          <t>VÄSTERNORRLANDS LÄN</t>
        </is>
      </c>
      <c r="G662" t="inlineStr">
        <is>
          <t>ÅNGE</t>
        </is>
      </c>
      <c r="H662" t="inlineStr">
        <is>
          <t>SCA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33062-2022</t>
        </is>
      </c>
      <c r="B663" t="inlineStr">
        <is>
          <t>avverkningsanmälan</t>
        </is>
      </c>
      <c r="C663" t="inlineStr">
        <is>
          <t>Föryngringsavverkning</t>
        </is>
      </c>
      <c r="D663" s="1" t="n">
        <v>44785</v>
      </c>
      <c r="E663" s="1" t="n">
        <v>46228</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4374-2026</t>
        </is>
      </c>
      <c r="B664" t="inlineStr">
        <is>
          <t>avverkningsanmälan</t>
        </is>
      </c>
      <c r="C664" t="inlineStr">
        <is>
          <t>Föryngringsavverkning</t>
        </is>
      </c>
      <c r="D664" s="1" t="n">
        <v>46045</v>
      </c>
      <c r="E664" s="1" t="n">
        <v>46228</v>
      </c>
      <c r="F664" t="inlineStr">
        <is>
          <t>VÄSTERNORRLANDS LÄN</t>
        </is>
      </c>
      <c r="G664" t="inlineStr">
        <is>
          <t>ÅNGE</t>
        </is>
      </c>
      <c r="I664" t="n">
        <v>13.5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30347-2024</t>
        </is>
      </c>
      <c r="B665" t="inlineStr">
        <is>
          <t>avverkningsanmälan</t>
        </is>
      </c>
      <c r="C665" t="inlineStr">
        <is>
          <t>Föryngringsavverkning</t>
        </is>
      </c>
      <c r="D665" s="1" t="n">
        <v>45490</v>
      </c>
      <c r="E665" s="1" t="n">
        <v>46228</v>
      </c>
      <c r="F665" t="inlineStr">
        <is>
          <t>VÄSTERNORRLANDS LÄN</t>
        </is>
      </c>
      <c r="G665" t="inlineStr">
        <is>
          <t>ÅNGE</t>
        </is>
      </c>
      <c r="H665" t="inlineStr">
        <is>
          <t>SCA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50210-2025</t>
        </is>
      </c>
      <c r="B666" t="inlineStr">
        <is>
          <t>avverkningsanmälan</t>
        </is>
      </c>
      <c r="C666" t="inlineStr">
        <is>
          <t>Föryngringsavverkning</t>
        </is>
      </c>
      <c r="D666" s="1" t="n">
        <v>45943</v>
      </c>
      <c r="E666" s="1" t="n">
        <v>46228</v>
      </c>
      <c r="F666" t="inlineStr">
        <is>
          <t>VÄSTERNORRLANDS LÄN</t>
        </is>
      </c>
      <c r="G666" t="inlineStr">
        <is>
          <t>ÅNGE</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42863-2025</t>
        </is>
      </c>
      <c r="B667" t="inlineStr">
        <is>
          <t>avverkningsanmälan</t>
        </is>
      </c>
      <c r="C667" t="inlineStr">
        <is>
          <t>Föryngringsavverkning</t>
        </is>
      </c>
      <c r="D667" s="1" t="n">
        <v>45908</v>
      </c>
      <c r="E667" s="1" t="n">
        <v>46228</v>
      </c>
      <c r="F667" t="inlineStr">
        <is>
          <t>VÄSTERNORRLANDS LÄN</t>
        </is>
      </c>
      <c r="G667" t="inlineStr">
        <is>
          <t>ÅNGE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45128-2022</t>
        </is>
      </c>
      <c r="B668" t="inlineStr">
        <is>
          <t>avverkningsanmälan</t>
        </is>
      </c>
      <c r="C668" t="inlineStr">
        <is>
          <t>Föryngringsavverkning</t>
        </is>
      </c>
      <c r="D668" s="1" t="n">
        <v>44844</v>
      </c>
      <c r="E668" s="1" t="n">
        <v>46228</v>
      </c>
      <c r="F668" t="inlineStr">
        <is>
          <t>VÄSTERNORRLANDS LÄN</t>
        </is>
      </c>
      <c r="G668" t="inlineStr">
        <is>
          <t>ÅNGE</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42040-2024</t>
        </is>
      </c>
      <c r="B669" t="inlineStr">
        <is>
          <t>avverkningsanmälan</t>
        </is>
      </c>
      <c r="C669" t="inlineStr">
        <is>
          <t>Föryngringsavverkning</t>
        </is>
      </c>
      <c r="D669" s="1" t="n">
        <v>45561</v>
      </c>
      <c r="E669" s="1" t="n">
        <v>46228</v>
      </c>
      <c r="F669" t="inlineStr">
        <is>
          <t>VÄSTERNORRLANDS LÄN</t>
        </is>
      </c>
      <c r="G669" t="inlineStr">
        <is>
          <t>ÅNGE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50571-2025</t>
        </is>
      </c>
      <c r="B670" t="inlineStr">
        <is>
          <t>avverkningsanmälan</t>
        </is>
      </c>
      <c r="C670" t="inlineStr">
        <is>
          <t>Föryngringsavverkning</t>
        </is>
      </c>
      <c r="D670" s="1" t="n">
        <v>45945</v>
      </c>
      <c r="E670" s="1" t="n">
        <v>46228</v>
      </c>
      <c r="F670" t="inlineStr">
        <is>
          <t>VÄSTERNORRLANDS LÄN</t>
        </is>
      </c>
      <c r="G670" t="inlineStr">
        <is>
          <t>ÅNGE</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14413-2026</t>
        </is>
      </c>
      <c r="B671" t="inlineStr">
        <is>
          <t>avverkningsanmälan</t>
        </is>
      </c>
      <c r="C671" t="inlineStr">
        <is>
          <t>Föryngringsavverkning</t>
        </is>
      </c>
      <c r="D671" s="1" t="n">
        <v>46100</v>
      </c>
      <c r="E671" s="1" t="n">
        <v>46228</v>
      </c>
      <c r="F671" t="inlineStr">
        <is>
          <t>VÄSTERNORRLANDS LÄN</t>
        </is>
      </c>
      <c r="G671" t="inlineStr">
        <is>
          <t>ÅNGE</t>
        </is>
      </c>
      <c r="H671" t="inlineStr">
        <is>
          <t>SCA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20463-2026</t>
        </is>
      </c>
      <c r="B672" t="inlineStr">
        <is>
          <t>avverkningsanmälan</t>
        </is>
      </c>
      <c r="C672" t="inlineStr">
        <is>
          <t>Föryngringsavverkning</t>
        </is>
      </c>
      <c r="D672" s="1" t="n">
        <v>46140</v>
      </c>
      <c r="E672" s="1" t="n">
        <v>46228</v>
      </c>
      <c r="F672" t="inlineStr">
        <is>
          <t>VÄSTERNORRLANDS LÄN</t>
        </is>
      </c>
      <c r="G672" t="inlineStr">
        <is>
          <t>ÅNGE</t>
        </is>
      </c>
      <c r="H672" t="inlineStr">
        <is>
          <t>SCA</t>
        </is>
      </c>
      <c r="I672" t="n">
        <v>10.8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5433-2024</t>
        </is>
      </c>
      <c r="B673" t="inlineStr">
        <is>
          <t>avverkningsanmälan</t>
        </is>
      </c>
      <c r="C673" t="inlineStr">
        <is>
          <t>Föryngringsavverkning</t>
        </is>
      </c>
      <c r="D673" s="1" t="n">
        <v>45331</v>
      </c>
      <c r="E673" s="1" t="n">
        <v>46228</v>
      </c>
      <c r="F673" t="inlineStr">
        <is>
          <t>VÄSTERNORRLANDS LÄN</t>
        </is>
      </c>
      <c r="G673" t="inlineStr">
        <is>
          <t>ÅNGE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5456-2024</t>
        </is>
      </c>
      <c r="B674" t="inlineStr">
        <is>
          <t>avverkningsanmälan</t>
        </is>
      </c>
      <c r="C674" t="inlineStr">
        <is>
          <t>Föryngringsavverkning</t>
        </is>
      </c>
      <c r="D674" s="1" t="n">
        <v>45331</v>
      </c>
      <c r="E674" s="1" t="n">
        <v>46228</v>
      </c>
      <c r="F674" t="inlineStr">
        <is>
          <t>VÄSTERNORRLANDS LÄN</t>
        </is>
      </c>
      <c r="G674" t="inlineStr">
        <is>
          <t>ÅNGE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3357-2024</t>
        </is>
      </c>
      <c r="B675" t="inlineStr">
        <is>
          <t>avverkningsanmälan</t>
        </is>
      </c>
      <c r="C675" t="inlineStr">
        <is>
          <t>Föryngringsavverkning</t>
        </is>
      </c>
      <c r="D675" s="1" t="n">
        <v>45317</v>
      </c>
      <c r="E675" s="1" t="n">
        <v>46228</v>
      </c>
      <c r="F675" t="inlineStr">
        <is>
          <t>VÄSTERNORRLANDS LÄN</t>
        </is>
      </c>
      <c r="G675" t="inlineStr">
        <is>
          <t>ÅNGE</t>
        </is>
      </c>
      <c r="I675" t="n">
        <v>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12760-2026</t>
        </is>
      </c>
      <c r="B676" t="inlineStr">
        <is>
          <t>avverkningsanmälan</t>
        </is>
      </c>
      <c r="C676" t="inlineStr">
        <is>
          <t>Föryngringsavverkning</t>
        </is>
      </c>
      <c r="D676" s="1" t="n">
        <v>46091</v>
      </c>
      <c r="E676" s="1" t="n">
        <v>46228</v>
      </c>
      <c r="F676" t="inlineStr">
        <is>
          <t>VÄSTERNORRLANDS LÄN</t>
        </is>
      </c>
      <c r="G676" t="inlineStr">
        <is>
          <t>ÅNGE</t>
        </is>
      </c>
      <c r="H676" t="inlineStr">
        <is>
          <t>SCA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10705-2026</t>
        </is>
      </c>
      <c r="B677" t="inlineStr">
        <is>
          <t>avverkningsanmälan</t>
        </is>
      </c>
      <c r="C677" t="inlineStr">
        <is>
          <t>Föryngringsavverkning</t>
        </is>
      </c>
      <c r="D677" s="1" t="n">
        <v>46078</v>
      </c>
      <c r="E677" s="1" t="n">
        <v>46228</v>
      </c>
      <c r="F677" t="inlineStr">
        <is>
          <t>VÄSTERNORRLANDS LÄN</t>
        </is>
      </c>
      <c r="G677" t="inlineStr">
        <is>
          <t>ÅNGE</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10708-2026</t>
        </is>
      </c>
      <c r="B678" t="inlineStr">
        <is>
          <t>avverkningsanmälan</t>
        </is>
      </c>
      <c r="C678" t="inlineStr">
        <is>
          <t>Föryngringsavverkning</t>
        </is>
      </c>
      <c r="D678" s="1" t="n">
        <v>46078</v>
      </c>
      <c r="E678" s="1" t="n">
        <v>46228</v>
      </c>
      <c r="F678" t="inlineStr">
        <is>
          <t>VÄSTERNORRLANDS LÄN</t>
        </is>
      </c>
      <c r="G678" t="inlineStr">
        <is>
          <t>ÅNGE</t>
        </is>
      </c>
      <c r="H678" t="inlineStr">
        <is>
          <t>SCA</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26960-2026</t>
        </is>
      </c>
      <c r="B679" t="inlineStr">
        <is>
          <t>avverkningsanmälan</t>
        </is>
      </c>
      <c r="C679" t="inlineStr">
        <is>
          <t>Föryngringsavverkning</t>
        </is>
      </c>
      <c r="D679" s="1" t="n">
        <v>46185</v>
      </c>
      <c r="E679" s="1" t="n">
        <v>46228</v>
      </c>
      <c r="F679" t="inlineStr">
        <is>
          <t>VÄSTERNORRLANDS LÄN</t>
        </is>
      </c>
      <c r="G679" t="inlineStr">
        <is>
          <t>ÅNGE</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50767-2025</t>
        </is>
      </c>
      <c r="B680" t="inlineStr">
        <is>
          <t>avverkningsanmälan</t>
        </is>
      </c>
      <c r="C680" t="inlineStr">
        <is>
          <t>Föryngringsavverkning</t>
        </is>
      </c>
      <c r="D680" s="1" t="n">
        <v>45946</v>
      </c>
      <c r="E680" s="1" t="n">
        <v>46228</v>
      </c>
      <c r="F680" t="inlineStr">
        <is>
          <t>VÄSTERNORRLANDS LÄN</t>
        </is>
      </c>
      <c r="G680" t="inlineStr">
        <is>
          <t>ÅNGE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50769-2025</t>
        </is>
      </c>
      <c r="B681" t="inlineStr">
        <is>
          <t>avverkningsanmälan</t>
        </is>
      </c>
      <c r="C681" t="inlineStr">
        <is>
          <t>Föryngringsavverkning</t>
        </is>
      </c>
      <c r="D681" s="1" t="n">
        <v>45946</v>
      </c>
      <c r="E681" s="1" t="n">
        <v>46228</v>
      </c>
      <c r="F681" t="inlineStr">
        <is>
          <t>VÄSTERNORRLANDS LÄN</t>
        </is>
      </c>
      <c r="G681" t="inlineStr">
        <is>
          <t>ÅNGE</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22752-2023</t>
        </is>
      </c>
      <c r="B682" t="inlineStr">
        <is>
          <t>avverkningsanmälan</t>
        </is>
      </c>
      <c r="C682" t="inlineStr">
        <is>
          <t>Föryngringsavverkning</t>
        </is>
      </c>
      <c r="D682" s="1" t="n">
        <v>45071</v>
      </c>
      <c r="E682" s="1" t="n">
        <v>46228</v>
      </c>
      <c r="F682" t="inlineStr">
        <is>
          <t>VÄSTERNORRLANDS LÄN</t>
        </is>
      </c>
      <c r="G682" t="inlineStr">
        <is>
          <t>ÅNGE</t>
        </is>
      </c>
      <c r="H682" t="inlineStr">
        <is>
          <t>SCA</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11032-2025</t>
        </is>
      </c>
      <c r="B683" t="inlineStr">
        <is>
          <t>avverkningsanmälan</t>
        </is>
      </c>
      <c r="C683" t="inlineStr">
        <is>
          <t>Föryngringsavverkning</t>
        </is>
      </c>
      <c r="D683" s="1" t="n">
        <v>45723</v>
      </c>
      <c r="E683" s="1" t="n">
        <v>46228</v>
      </c>
      <c r="F683" t="inlineStr">
        <is>
          <t>VÄSTERNORRLANDS LÄN</t>
        </is>
      </c>
      <c r="G683" t="inlineStr">
        <is>
          <t>ÅNGE</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51109-2025</t>
        </is>
      </c>
      <c r="B684" t="inlineStr">
        <is>
          <t>avverkningsanmälan</t>
        </is>
      </c>
      <c r="C684" t="inlineStr">
        <is>
          <t>Föryngringsavverkning</t>
        </is>
      </c>
      <c r="D684" s="1" t="n">
        <v>45947</v>
      </c>
      <c r="E684" s="1" t="n">
        <v>46228</v>
      </c>
      <c r="F684" t="inlineStr">
        <is>
          <t>VÄSTERNORRLANDS LÄN</t>
        </is>
      </c>
      <c r="G684" t="inlineStr">
        <is>
          <t>ÅNGE</t>
        </is>
      </c>
      <c r="H684" t="inlineStr">
        <is>
          <t>Holmen skog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60779-2024</t>
        </is>
      </c>
      <c r="B685" t="inlineStr">
        <is>
          <t>avverkningsanmälan</t>
        </is>
      </c>
      <c r="C685" t="inlineStr">
        <is>
          <t>Föryngringsavverkning</t>
        </is>
      </c>
      <c r="D685" s="1" t="n">
        <v>45644</v>
      </c>
      <c r="E685" s="1" t="n">
        <v>46228</v>
      </c>
      <c r="F685" t="inlineStr">
        <is>
          <t>VÄSTERNORRLANDS LÄN</t>
        </is>
      </c>
      <c r="G685" t="inlineStr">
        <is>
          <t>ÅNGE</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20842-2026</t>
        </is>
      </c>
      <c r="B686" t="inlineStr">
        <is>
          <t>avverkningsanmälan</t>
        </is>
      </c>
      <c r="C686" t="inlineStr">
        <is>
          <t>Föryngringsavverkning</t>
        </is>
      </c>
      <c r="D686" s="1" t="n">
        <v>46142</v>
      </c>
      <c r="E686" s="1" t="n">
        <v>46228</v>
      </c>
      <c r="F686" t="inlineStr">
        <is>
          <t>VÄSTERNORRLANDS LÄN</t>
        </is>
      </c>
      <c r="G686" t="inlineStr">
        <is>
          <t>ÅNGE</t>
        </is>
      </c>
      <c r="H686" t="inlineStr">
        <is>
          <t>SCA</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60003-2023</t>
        </is>
      </c>
      <c r="B687" t="inlineStr">
        <is>
          <t>avverkningsanmälan</t>
        </is>
      </c>
      <c r="C687" t="inlineStr">
        <is>
          <t>Föryngringsavverkning</t>
        </is>
      </c>
      <c r="D687" s="1" t="n">
        <v>45257</v>
      </c>
      <c r="E687" s="1" t="n">
        <v>46228</v>
      </c>
      <c r="F687" t="inlineStr">
        <is>
          <t>VÄSTERNORRLANDS LÄN</t>
        </is>
      </c>
      <c r="G687" t="inlineStr">
        <is>
          <t>ÅNGE</t>
        </is>
      </c>
      <c r="H687" t="inlineStr">
        <is>
          <t>SCA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4876-2023</t>
        </is>
      </c>
      <c r="B688" t="inlineStr">
        <is>
          <t>avverkningsanmälan</t>
        </is>
      </c>
      <c r="C688" t="inlineStr">
        <is>
          <t>Föryngringsavverkning</t>
        </is>
      </c>
      <c r="D688" s="1" t="n">
        <v>44957</v>
      </c>
      <c r="E688" s="1" t="n">
        <v>46228</v>
      </c>
      <c r="F688" t="inlineStr">
        <is>
          <t>VÄSTERNORRLANDS LÄN</t>
        </is>
      </c>
      <c r="G688" t="inlineStr">
        <is>
          <t>ÅNGE</t>
        </is>
      </c>
      <c r="H688" t="inlineStr">
        <is>
          <t>SCA</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57591-2022</t>
        </is>
      </c>
      <c r="B689" t="inlineStr">
        <is>
          <t>avverkningsanmälan</t>
        </is>
      </c>
      <c r="C689" t="inlineStr">
        <is>
          <t>Avverkning för att bevara och utveckla /försöksver</t>
        </is>
      </c>
      <c r="D689" s="1" t="n">
        <v>44896</v>
      </c>
      <c r="E689" s="1" t="n">
        <v>46228</v>
      </c>
      <c r="F689" t="inlineStr">
        <is>
          <t>VÄSTERNORRLANDS LÄN</t>
        </is>
      </c>
      <c r="G689" t="inlineStr">
        <is>
          <t>ÅNGE</t>
        </is>
      </c>
      <c r="H689" t="inlineStr">
        <is>
          <t>SCA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52121-2025</t>
        </is>
      </c>
      <c r="B690" t="inlineStr">
        <is>
          <t>avverkningsanmälan</t>
        </is>
      </c>
      <c r="C690" t="inlineStr">
        <is>
          <t>Föryngringsavverkning</t>
        </is>
      </c>
      <c r="D690" s="1" t="n">
        <v>45952</v>
      </c>
      <c r="E690" s="1" t="n">
        <v>46228</v>
      </c>
      <c r="F690" t="inlineStr">
        <is>
          <t>VÄSTERNORRLANDS LÄN</t>
        </is>
      </c>
      <c r="G690" t="inlineStr">
        <is>
          <t>ÅNGE</t>
        </is>
      </c>
      <c r="H690" t="inlineStr">
        <is>
          <t>SCA</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25034-2023</t>
        </is>
      </c>
      <c r="B691" t="inlineStr">
        <is>
          <t>avverkningsanmälan</t>
        </is>
      </c>
      <c r="C691" t="inlineStr">
        <is>
          <t>Avverkning för annat ändamål</t>
        </is>
      </c>
      <c r="D691" s="1" t="n">
        <v>45085</v>
      </c>
      <c r="E691" s="1" t="n">
        <v>46228</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13875-2022</t>
        </is>
      </c>
      <c r="B692" t="inlineStr">
        <is>
          <t>avverkningsanmälan</t>
        </is>
      </c>
      <c r="C692" t="inlineStr">
        <is>
          <t>Föryngringsavverkning</t>
        </is>
      </c>
      <c r="D692" s="1" t="n">
        <v>44649</v>
      </c>
      <c r="E692" s="1" t="n">
        <v>46228</v>
      </c>
      <c r="F692" t="inlineStr">
        <is>
          <t>VÄSTERNORRLANDS LÄN</t>
        </is>
      </c>
      <c r="G692" t="inlineStr">
        <is>
          <t>ÅNGE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51813-2025</t>
        </is>
      </c>
      <c r="B693" t="inlineStr">
        <is>
          <t>avverkningsanmälan</t>
        </is>
      </c>
      <c r="C693" t="inlineStr">
        <is>
          <t>Föryngringsavverkning</t>
        </is>
      </c>
      <c r="D693" s="1" t="n">
        <v>45951</v>
      </c>
      <c r="E693" s="1" t="n">
        <v>46228</v>
      </c>
      <c r="F693" t="inlineStr">
        <is>
          <t>VÄSTERNORRLANDS LÄN</t>
        </is>
      </c>
      <c r="G693" t="inlineStr">
        <is>
          <t>ÅNGE</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52335-2025</t>
        </is>
      </c>
      <c r="B694" t="inlineStr">
        <is>
          <t>avverkningsanmälan</t>
        </is>
      </c>
      <c r="C694" t="inlineStr">
        <is>
          <t>Avverkning för annat ändamål</t>
        </is>
      </c>
      <c r="D694" s="1" t="n">
        <v>45953</v>
      </c>
      <c r="E694" s="1" t="n">
        <v>46228</v>
      </c>
      <c r="F694" t="inlineStr">
        <is>
          <t>VÄSTERNORRLANDS LÄN</t>
        </is>
      </c>
      <c r="G694" t="inlineStr">
        <is>
          <t>ÅNGE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52283-2025</t>
        </is>
      </c>
      <c r="B695" t="inlineStr">
        <is>
          <t>avverkningsanmälan</t>
        </is>
      </c>
      <c r="C695" t="inlineStr">
        <is>
          <t>Föryngringsavverkning</t>
        </is>
      </c>
      <c r="D695" s="1" t="n">
        <v>45953</v>
      </c>
      <c r="E695" s="1" t="n">
        <v>46228</v>
      </c>
      <c r="F695" t="inlineStr">
        <is>
          <t>VÄSTERNORRLANDS LÄN</t>
        </is>
      </c>
      <c r="G695" t="inlineStr">
        <is>
          <t>ÅNGE</t>
        </is>
      </c>
      <c r="I695" t="n">
        <v>8.9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54316-2024</t>
        </is>
      </c>
      <c r="B696" t="inlineStr">
        <is>
          <t>avverkningsanmälan</t>
        </is>
      </c>
      <c r="C696" t="inlineStr">
        <is>
          <t>Föryngringsavverkning</t>
        </is>
      </c>
      <c r="D696" s="1" t="n">
        <v>45617</v>
      </c>
      <c r="E696" s="1" t="n">
        <v>46228</v>
      </c>
      <c r="F696" t="inlineStr">
        <is>
          <t>VÄSTERNORRLANDS LÄN</t>
        </is>
      </c>
      <c r="G696" t="inlineStr">
        <is>
          <t>ÅNGE</t>
        </is>
      </c>
      <c r="H696" t="inlineStr">
        <is>
          <t>SCA</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21254-2026</t>
        </is>
      </c>
      <c r="B697" t="inlineStr">
        <is>
          <t>avverkningsanmälan</t>
        </is>
      </c>
      <c r="C697" t="inlineStr">
        <is>
          <t>Föryngringsavverkning</t>
        </is>
      </c>
      <c r="D697" s="1" t="n">
        <v>46147</v>
      </c>
      <c r="E697" s="1" t="n">
        <v>46228</v>
      </c>
      <c r="F697" t="inlineStr">
        <is>
          <t>VÄSTERNORRLANDS LÄN</t>
        </is>
      </c>
      <c r="G697" t="inlineStr">
        <is>
          <t>ÅNGE</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8650-2024</t>
        </is>
      </c>
      <c r="B698" t="inlineStr">
        <is>
          <t>avverkningsanmälan</t>
        </is>
      </c>
      <c r="C698" t="inlineStr">
        <is>
          <t>Föryngringsavverkning</t>
        </is>
      </c>
      <c r="D698" s="1" t="n">
        <v>45356</v>
      </c>
      <c r="E698" s="1" t="n">
        <v>46228</v>
      </c>
      <c r="F698" t="inlineStr">
        <is>
          <t>VÄSTERNORRLANDS LÄN</t>
        </is>
      </c>
      <c r="G698" t="inlineStr">
        <is>
          <t>ÅNGE</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21351-2026</t>
        </is>
      </c>
      <c r="B699" t="inlineStr">
        <is>
          <t>avverkningsanmälan</t>
        </is>
      </c>
      <c r="C699" t="inlineStr">
        <is>
          <t>Föryngringsavverkning</t>
        </is>
      </c>
      <c r="D699" s="1" t="n">
        <v>46147</v>
      </c>
      <c r="E699" s="1" t="n">
        <v>46228</v>
      </c>
      <c r="F699" t="inlineStr">
        <is>
          <t>VÄSTERNORRLANDS LÄN</t>
        </is>
      </c>
      <c r="G699" t="inlineStr">
        <is>
          <t>ÅNGE</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21201-2026</t>
        </is>
      </c>
      <c r="B700" t="inlineStr">
        <is>
          <t>avverkningsanmälan</t>
        </is>
      </c>
      <c r="C700" t="inlineStr">
        <is>
          <t>Föryngringsavverkning</t>
        </is>
      </c>
      <c r="D700" s="1" t="n">
        <v>46146</v>
      </c>
      <c r="E700" s="1" t="n">
        <v>46228</v>
      </c>
      <c r="F700" t="inlineStr">
        <is>
          <t>VÄSTERNORRLANDS LÄN</t>
        </is>
      </c>
      <c r="G700" t="inlineStr">
        <is>
          <t>ÅNGE</t>
        </is>
      </c>
      <c r="H700" t="inlineStr">
        <is>
          <t>SCA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52411-2025</t>
        </is>
      </c>
      <c r="B701" t="inlineStr">
        <is>
          <t>avverkningsanmälan</t>
        </is>
      </c>
      <c r="C701" t="inlineStr">
        <is>
          <t>Föryngringsavverkning</t>
        </is>
      </c>
      <c r="D701" s="1" t="n">
        <v>45954</v>
      </c>
      <c r="E701" s="1" t="n">
        <v>46228</v>
      </c>
      <c r="F701" t="inlineStr">
        <is>
          <t>VÄSTERNORRLANDS LÄN</t>
        </is>
      </c>
      <c r="G701" t="inlineStr">
        <is>
          <t>ÅNGE</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53858-2024</t>
        </is>
      </c>
      <c r="B702" t="inlineStr">
        <is>
          <t>avverkningsanmälan</t>
        </is>
      </c>
      <c r="C702" t="inlineStr">
        <is>
          <t>Föryngringsavverkning</t>
        </is>
      </c>
      <c r="D702" s="1" t="n">
        <v>45615</v>
      </c>
      <c r="E702" s="1" t="n">
        <v>46228</v>
      </c>
      <c r="F702" t="inlineStr">
        <is>
          <t>VÄSTERNORRLANDS LÄN</t>
        </is>
      </c>
      <c r="G702" t="inlineStr">
        <is>
          <t>ÅNGE</t>
        </is>
      </c>
      <c r="H702" t="inlineStr">
        <is>
          <t>SCA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45631-2021</t>
        </is>
      </c>
      <c r="B703" t="inlineStr">
        <is>
          <t>avverkningsanmälan</t>
        </is>
      </c>
      <c r="C703" t="inlineStr">
        <is>
          <t>Föryngringsavverkning</t>
        </is>
      </c>
      <c r="D703" s="1" t="n">
        <v>44440</v>
      </c>
      <c r="E703" s="1" t="n">
        <v>46228</v>
      </c>
      <c r="F703" t="inlineStr">
        <is>
          <t>VÄSTERNORRLANDS LÄN</t>
        </is>
      </c>
      <c r="G703" t="inlineStr">
        <is>
          <t>ÅNGE</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52858-2025</t>
        </is>
      </c>
      <c r="B704" t="inlineStr">
        <is>
          <t>avverkningsanmälan</t>
        </is>
      </c>
      <c r="C704" t="inlineStr">
        <is>
          <t>Föryngringsavverkning</t>
        </is>
      </c>
      <c r="D704" s="1" t="n">
        <v>45957</v>
      </c>
      <c r="E704" s="1" t="n">
        <v>46228</v>
      </c>
      <c r="F704" t="inlineStr">
        <is>
          <t>VÄSTERNORRLANDS LÄN</t>
        </is>
      </c>
      <c r="G704" t="inlineStr">
        <is>
          <t>ÅNGE</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53512-2023</t>
        </is>
      </c>
      <c r="B705" t="inlineStr">
        <is>
          <t>avverkningsanmälan</t>
        </is>
      </c>
      <c r="C705" t="inlineStr">
        <is>
          <t>Föryngringsavverkning</t>
        </is>
      </c>
      <c r="D705" s="1" t="n">
        <v>45230</v>
      </c>
      <c r="E705" s="1" t="n">
        <v>46228</v>
      </c>
      <c r="F705" t="inlineStr">
        <is>
          <t>VÄSTERNORRLANDS LÄN</t>
        </is>
      </c>
      <c r="G705" t="inlineStr">
        <is>
          <t>ÅNGE</t>
        </is>
      </c>
      <c r="H705" t="inlineStr">
        <is>
          <t>Holmen skog AB</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53381-2025</t>
        </is>
      </c>
      <c r="B706" t="inlineStr">
        <is>
          <t>avverkningsanmälan</t>
        </is>
      </c>
      <c r="C706" t="inlineStr">
        <is>
          <t>Föryngringsavverkning</t>
        </is>
      </c>
      <c r="D706" s="1" t="n">
        <v>45959</v>
      </c>
      <c r="E706" s="1" t="n">
        <v>46228</v>
      </c>
      <c r="F706" t="inlineStr">
        <is>
          <t>VÄSTERNORRLANDS LÄN</t>
        </is>
      </c>
      <c r="G706" t="inlineStr">
        <is>
          <t>ÅNGE</t>
        </is>
      </c>
      <c r="I706" t="n">
        <v>9.6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10878-2024</t>
        </is>
      </c>
      <c r="B707" t="inlineStr">
        <is>
          <t>avverkningsanmälan</t>
        </is>
      </c>
      <c r="C707" t="inlineStr">
        <is>
          <t>Föryngringsavverkning</t>
        </is>
      </c>
      <c r="D707" s="1" t="n">
        <v>45370</v>
      </c>
      <c r="E707" s="1" t="n">
        <v>46228</v>
      </c>
      <c r="F707" t="inlineStr">
        <is>
          <t>VÄSTERNORRLANDS LÄN</t>
        </is>
      </c>
      <c r="G707" t="inlineStr">
        <is>
          <t>ÅNGE</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53012-2025</t>
        </is>
      </c>
      <c r="B708" t="inlineStr">
        <is>
          <t>avverkningsanmälan</t>
        </is>
      </c>
      <c r="C708" t="inlineStr">
        <is>
          <t>Föryngringsavverkning</t>
        </is>
      </c>
      <c r="D708" s="1" t="n">
        <v>45957</v>
      </c>
      <c r="E708" s="1" t="n">
        <v>46228</v>
      </c>
      <c r="F708" t="inlineStr">
        <is>
          <t>VÄSTERNORRLANDS LÄN</t>
        </is>
      </c>
      <c r="G708" t="inlineStr">
        <is>
          <t>ÅNGE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4006-2022</t>
        </is>
      </c>
      <c r="B709" t="inlineStr">
        <is>
          <t>avverkningsanmälan</t>
        </is>
      </c>
      <c r="C709" t="inlineStr">
        <is>
          <t>Föryngringsavverkning</t>
        </is>
      </c>
      <c r="D709" s="1" t="n">
        <v>44587</v>
      </c>
      <c r="E709" s="1" t="n">
        <v>46228</v>
      </c>
      <c r="F709" t="inlineStr">
        <is>
          <t>VÄSTERNORRLANDS LÄN</t>
        </is>
      </c>
      <c r="G709" t="inlineStr">
        <is>
          <t>ÅNGE</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27251-2026</t>
        </is>
      </c>
      <c r="B710" t="inlineStr">
        <is>
          <t>avverkningsanmälan</t>
        </is>
      </c>
      <c r="C710" t="inlineStr">
        <is>
          <t>Föryngringsavverkning</t>
        </is>
      </c>
      <c r="D710" s="1" t="n">
        <v>46188</v>
      </c>
      <c r="E710" s="1" t="n">
        <v>46228</v>
      </c>
      <c r="F710" t="inlineStr">
        <is>
          <t>VÄSTERNORRLANDS LÄN</t>
        </is>
      </c>
      <c r="G710" t="inlineStr">
        <is>
          <t>ÅNGE</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53013-2025</t>
        </is>
      </c>
      <c r="B711" t="inlineStr">
        <is>
          <t>avverkningsanmälan</t>
        </is>
      </c>
      <c r="C711" t="inlineStr">
        <is>
          <t>Föryngringsavverkning</t>
        </is>
      </c>
      <c r="D711" s="1" t="n">
        <v>45957</v>
      </c>
      <c r="E711" s="1" t="n">
        <v>46228</v>
      </c>
      <c r="F711" t="inlineStr">
        <is>
          <t>VÄSTERNORRLANDS LÄN</t>
        </is>
      </c>
      <c r="G711" t="inlineStr">
        <is>
          <t>ÅNGE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61781-2023</t>
        </is>
      </c>
      <c r="B712" t="inlineStr">
        <is>
          <t>avverkningsanmälan</t>
        </is>
      </c>
      <c r="C712" t="inlineStr">
        <is>
          <t>Föryngringsavverkning</t>
        </is>
      </c>
      <c r="D712" s="1" t="n">
        <v>45265</v>
      </c>
      <c r="E712" s="1" t="n">
        <v>46228</v>
      </c>
      <c r="F712" t="inlineStr">
        <is>
          <t>VÄSTERNORRLANDS LÄN</t>
        </is>
      </c>
      <c r="G712" t="inlineStr">
        <is>
          <t>ÅNGE</t>
        </is>
      </c>
      <c r="H712" t="inlineStr">
        <is>
          <t>SCA</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33783-2024</t>
        </is>
      </c>
      <c r="B713" t="inlineStr">
        <is>
          <t>avverkningsanmälan</t>
        </is>
      </c>
      <c r="C713" t="inlineStr">
        <is>
          <t>Föryngringsavverkning</t>
        </is>
      </c>
      <c r="D713" s="1" t="n">
        <v>45520</v>
      </c>
      <c r="E713" s="1" t="n">
        <v>46228</v>
      </c>
      <c r="F713" t="inlineStr">
        <is>
          <t>VÄSTERNORRLANDS LÄN</t>
        </is>
      </c>
      <c r="G713" t="inlineStr">
        <is>
          <t>ÅNGE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63170-2023</t>
        </is>
      </c>
      <c r="B714" t="inlineStr">
        <is>
          <t>avverkningsanmälan</t>
        </is>
      </c>
      <c r="C714" t="inlineStr">
        <is>
          <t>Föryngringsavverkning</t>
        </is>
      </c>
      <c r="D714" s="1" t="n">
        <v>45273</v>
      </c>
      <c r="E714" s="1" t="n">
        <v>46228</v>
      </c>
      <c r="F714" t="inlineStr">
        <is>
          <t>VÄSTERNORRLANDS LÄN</t>
        </is>
      </c>
      <c r="G714" t="inlineStr">
        <is>
          <t>ÅNGE</t>
        </is>
      </c>
      <c r="H714" t="inlineStr">
        <is>
          <t>Holmen skog AB</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27246-2026</t>
        </is>
      </c>
      <c r="B715" t="inlineStr">
        <is>
          <t>avverkningsanmälan</t>
        </is>
      </c>
      <c r="C715" t="inlineStr">
        <is>
          <t>Avverkning för annat ändamål</t>
        </is>
      </c>
      <c r="D715" s="1" t="n">
        <v>46188</v>
      </c>
      <c r="E715" s="1" t="n">
        <v>46228</v>
      </c>
      <c r="F715" t="inlineStr">
        <is>
          <t>VÄSTERNORRLANDS LÄN</t>
        </is>
      </c>
      <c r="G715" t="inlineStr">
        <is>
          <t>ÅNGE</t>
        </is>
      </c>
      <c r="H715" t="inlineStr">
        <is>
          <t>SCA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53713-2025</t>
        </is>
      </c>
      <c r="B716" t="inlineStr">
        <is>
          <t>avverkningsanmälan</t>
        </is>
      </c>
      <c r="C716" t="inlineStr">
        <is>
          <t>Föryngringsavverkning</t>
        </is>
      </c>
      <c r="D716" s="1" t="n">
        <v>45960</v>
      </c>
      <c r="E716" s="1" t="n">
        <v>46228</v>
      </c>
      <c r="F716" t="inlineStr">
        <is>
          <t>VÄSTERNORRLANDS LÄN</t>
        </is>
      </c>
      <c r="G716" t="inlineStr">
        <is>
          <t>ÅNGE</t>
        </is>
      </c>
      <c r="H716" t="inlineStr">
        <is>
          <t>SCA</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47792-2022</t>
        </is>
      </c>
      <c r="B717" t="inlineStr">
        <is>
          <t>avverkningsanmälan</t>
        </is>
      </c>
      <c r="C717" t="inlineStr">
        <is>
          <t>Föryngringsavverkning</t>
        </is>
      </c>
      <c r="D717" s="1" t="n">
        <v>44854</v>
      </c>
      <c r="E717" s="1" t="n">
        <v>46228</v>
      </c>
      <c r="F717" t="inlineStr">
        <is>
          <t>VÄSTERNORRLANDS LÄN</t>
        </is>
      </c>
      <c r="G717" t="inlineStr">
        <is>
          <t>ÅNGE</t>
        </is>
      </c>
      <c r="H717" t="inlineStr">
        <is>
          <t>SCA</t>
        </is>
      </c>
      <c r="I717" t="n">
        <v>10.9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21466-2026</t>
        </is>
      </c>
      <c r="B718" t="inlineStr">
        <is>
          <t>avverkningsanmälan</t>
        </is>
      </c>
      <c r="C718" t="inlineStr">
        <is>
          <t>Föryngringsavverkning</t>
        </is>
      </c>
      <c r="D718" s="1" t="n">
        <v>46148</v>
      </c>
      <c r="E718" s="1" t="n">
        <v>46228</v>
      </c>
      <c r="F718" t="inlineStr">
        <is>
          <t>VÄSTERNORRLANDS LÄN</t>
        </is>
      </c>
      <c r="G718" t="inlineStr">
        <is>
          <t>ÅNGE</t>
        </is>
      </c>
      <c r="H718" t="inlineStr">
        <is>
          <t>SCA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54357-2025</t>
        </is>
      </c>
      <c r="B719" t="inlineStr">
        <is>
          <t>avverkningsanmälan</t>
        </is>
      </c>
      <c r="C719" t="inlineStr">
        <is>
          <t>Föryngringsavverkning</t>
        </is>
      </c>
      <c r="D719" s="1" t="n">
        <v>45965</v>
      </c>
      <c r="E719" s="1" t="n">
        <v>46228</v>
      </c>
      <c r="F719" t="inlineStr">
        <is>
          <t>VÄSTERNORRLANDS LÄN</t>
        </is>
      </c>
      <c r="G719" t="inlineStr">
        <is>
          <t>ÅNGE</t>
        </is>
      </c>
      <c r="H719" t="inlineStr">
        <is>
          <t>SCA</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21692-2026</t>
        </is>
      </c>
      <c r="B720" t="inlineStr">
        <is>
          <t>avverkningsanmälan</t>
        </is>
      </c>
      <c r="C720" t="inlineStr">
        <is>
          <t>Föryngringsavverkning</t>
        </is>
      </c>
      <c r="D720" s="1" t="n">
        <v>46149</v>
      </c>
      <c r="E720" s="1" t="n">
        <v>46228</v>
      </c>
      <c r="F720" t="inlineStr">
        <is>
          <t>VÄSTERNORRLANDS LÄN</t>
        </is>
      </c>
      <c r="G720" t="inlineStr">
        <is>
          <t>ÅNGE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54197-2025</t>
        </is>
      </c>
      <c r="B721" t="inlineStr">
        <is>
          <t>avverkningsanmälan</t>
        </is>
      </c>
      <c r="C721" t="inlineStr">
        <is>
          <t>Föryngringsavverkning</t>
        </is>
      </c>
      <c r="D721" s="1" t="n">
        <v>45964</v>
      </c>
      <c r="E721" s="1" t="n">
        <v>46228</v>
      </c>
      <c r="F721" t="inlineStr">
        <is>
          <t>VÄSTERNORRLANDS LÄN</t>
        </is>
      </c>
      <c r="G721" t="inlineStr">
        <is>
          <t>ÅNGE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54925-2025</t>
        </is>
      </c>
      <c r="B722" t="inlineStr">
        <is>
          <t>avverkningsanmälan</t>
        </is>
      </c>
      <c r="C722" t="inlineStr">
        <is>
          <t>Föryngringsavverkning</t>
        </is>
      </c>
      <c r="D722" s="1" t="n">
        <v>45967</v>
      </c>
      <c r="E722" s="1" t="n">
        <v>46228</v>
      </c>
      <c r="F722" t="inlineStr">
        <is>
          <t>VÄSTERNORRLANDS LÄN</t>
        </is>
      </c>
      <c r="G722" t="inlineStr">
        <is>
          <t>ÅNGE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54926-2025</t>
        </is>
      </c>
      <c r="B723" t="inlineStr">
        <is>
          <t>avverkningsanmälan</t>
        </is>
      </c>
      <c r="C723" t="inlineStr">
        <is>
          <t>Föryngringsavverkning</t>
        </is>
      </c>
      <c r="D723" s="1" t="n">
        <v>45967</v>
      </c>
      <c r="E723" s="1" t="n">
        <v>46228</v>
      </c>
      <c r="F723" t="inlineStr">
        <is>
          <t>VÄSTERNORRLANDS LÄN</t>
        </is>
      </c>
      <c r="G723" t="inlineStr">
        <is>
          <t>ÅNGE</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54715-2025</t>
        </is>
      </c>
      <c r="B724" t="inlineStr">
        <is>
          <t>avverkningsanmälan</t>
        </is>
      </c>
      <c r="C724" t="inlineStr">
        <is>
          <t>Föryngringsavverkning</t>
        </is>
      </c>
      <c r="D724" s="1" t="n">
        <v>45966</v>
      </c>
      <c r="E724" s="1" t="n">
        <v>46228</v>
      </c>
      <c r="F724" t="inlineStr">
        <is>
          <t>VÄSTERNORRLANDS LÄN</t>
        </is>
      </c>
      <c r="G724" t="inlineStr">
        <is>
          <t>ÅNGE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21437-2026</t>
        </is>
      </c>
      <c r="B725" t="inlineStr">
        <is>
          <t>avverkningsanmälan</t>
        </is>
      </c>
      <c r="C725" t="inlineStr">
        <is>
          <t>Föryngringsavverkning</t>
        </is>
      </c>
      <c r="D725" s="1" t="n">
        <v>46148</v>
      </c>
      <c r="E725" s="1" t="n">
        <v>46228</v>
      </c>
      <c r="F725" t="inlineStr">
        <is>
          <t>VÄSTERNORRLANDS LÄN</t>
        </is>
      </c>
      <c r="G725" t="inlineStr">
        <is>
          <t>ÅNGE</t>
        </is>
      </c>
      <c r="H725" t="inlineStr">
        <is>
          <t>SCA</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54705-2025</t>
        </is>
      </c>
      <c r="B726" t="inlineStr">
        <is>
          <t>avverkningsanmälan</t>
        </is>
      </c>
      <c r="C726" t="inlineStr">
        <is>
          <t>Föryngringsavverkning</t>
        </is>
      </c>
      <c r="D726" s="1" t="n">
        <v>45966</v>
      </c>
      <c r="E726" s="1" t="n">
        <v>46228</v>
      </c>
      <c r="F726" t="inlineStr">
        <is>
          <t>VÄSTERNORRLANDS LÄN</t>
        </is>
      </c>
      <c r="G726" t="inlineStr">
        <is>
          <t>ÅNGE</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21579-2026</t>
        </is>
      </c>
      <c r="B727" t="inlineStr">
        <is>
          <t>avverkningsanmälan</t>
        </is>
      </c>
      <c r="C727" t="inlineStr">
        <is>
          <t>Föryngringsavverkning</t>
        </is>
      </c>
      <c r="D727" s="1" t="n">
        <v>46148</v>
      </c>
      <c r="E727" s="1" t="n">
        <v>46228</v>
      </c>
      <c r="F727" t="inlineStr">
        <is>
          <t>VÄSTERNORRLANDS LÄN</t>
        </is>
      </c>
      <c r="G727" t="inlineStr">
        <is>
          <t>ÅNGE</t>
        </is>
      </c>
      <c r="H727" t="inlineStr">
        <is>
          <t>SCA</t>
        </is>
      </c>
      <c r="I727" t="n">
        <v>8.199999999999999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1403-2025</t>
        </is>
      </c>
      <c r="B728" t="inlineStr">
        <is>
          <t>avverkningsanmälan</t>
        </is>
      </c>
      <c r="C728" t="inlineStr">
        <is>
          <t>Föryngringsavverkning</t>
        </is>
      </c>
      <c r="D728" s="1" t="n">
        <v>45667</v>
      </c>
      <c r="E728" s="1" t="n">
        <v>46228</v>
      </c>
      <c r="F728" t="inlineStr">
        <is>
          <t>VÄSTERNORRLANDS LÄN</t>
        </is>
      </c>
      <c r="G728" t="inlineStr">
        <is>
          <t>ÅNGE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27618-2026</t>
        </is>
      </c>
      <c r="B729" t="inlineStr">
        <is>
          <t>avverkningsanmälan</t>
        </is>
      </c>
      <c r="C729" t="inlineStr">
        <is>
          <t>Föryngringsavverkning</t>
        </is>
      </c>
      <c r="D729" s="1" t="n">
        <v>46190</v>
      </c>
      <c r="E729" s="1" t="n">
        <v>46228</v>
      </c>
      <c r="F729" t="inlineStr">
        <is>
          <t>VÄSTERNORRLANDS LÄN</t>
        </is>
      </c>
      <c r="G729" t="inlineStr">
        <is>
          <t>ÅNGE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27633-2026</t>
        </is>
      </c>
      <c r="B730" t="inlineStr">
        <is>
          <t>avverkningsanmälan</t>
        </is>
      </c>
      <c r="C730" t="inlineStr">
        <is>
          <t>Föryngringsavverkning</t>
        </is>
      </c>
      <c r="D730" s="1" t="n">
        <v>46190</v>
      </c>
      <c r="E730" s="1" t="n">
        <v>46228</v>
      </c>
      <c r="F730" t="inlineStr">
        <is>
          <t>VÄSTERNORRLANDS LÄN</t>
        </is>
      </c>
      <c r="G730" t="inlineStr">
        <is>
          <t>ÅNGE</t>
        </is>
      </c>
      <c r="H730" t="inlineStr">
        <is>
          <t>SCA</t>
        </is>
      </c>
      <c r="I730" t="n">
        <v>11.4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55816-2025</t>
        </is>
      </c>
      <c r="B731" t="inlineStr">
        <is>
          <t>avverkningsanmälan</t>
        </is>
      </c>
      <c r="C731" t="inlineStr">
        <is>
          <t>Föryngringsavverkning</t>
        </is>
      </c>
      <c r="D731" s="1" t="n">
        <v>45972</v>
      </c>
      <c r="E731" s="1" t="n">
        <v>46228</v>
      </c>
      <c r="F731" t="inlineStr">
        <is>
          <t>VÄSTERNORRLANDS LÄN</t>
        </is>
      </c>
      <c r="G731" t="inlineStr">
        <is>
          <t>ÅNGE</t>
        </is>
      </c>
      <c r="H731" t="inlineStr">
        <is>
          <t>SCA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20393-2022</t>
        </is>
      </c>
      <c r="B732" t="inlineStr">
        <is>
          <t>avverkningsanmälan</t>
        </is>
      </c>
      <c r="C732" t="inlineStr">
        <is>
          <t>Föryngringsavverkning</t>
        </is>
      </c>
      <c r="D732" s="1" t="n">
        <v>44699</v>
      </c>
      <c r="E732" s="1" t="n">
        <v>46228</v>
      </c>
      <c r="F732" t="inlineStr">
        <is>
          <t>VÄSTERNORRLANDS LÄN</t>
        </is>
      </c>
      <c r="G732" t="inlineStr">
        <is>
          <t>ÅNGE</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25320-2023</t>
        </is>
      </c>
      <c r="B733" t="inlineStr">
        <is>
          <t>avverkningsanmälan</t>
        </is>
      </c>
      <c r="C733" t="inlineStr">
        <is>
          <t>Föryngringsavverkning</t>
        </is>
      </c>
      <c r="D733" s="1" t="n">
        <v>45086</v>
      </c>
      <c r="E733" s="1" t="n">
        <v>46228</v>
      </c>
      <c r="F733" t="inlineStr">
        <is>
          <t>VÄSTERNORRLANDS LÄN</t>
        </is>
      </c>
      <c r="G733" t="inlineStr">
        <is>
          <t>ÅNGE</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59626-2022</t>
        </is>
      </c>
      <c r="B734" t="inlineStr">
        <is>
          <t>avverkningsanmälan</t>
        </is>
      </c>
      <c r="C734" t="inlineStr">
        <is>
          <t>Föryngringsavverkning</t>
        </is>
      </c>
      <c r="D734" s="1" t="n">
        <v>44907</v>
      </c>
      <c r="E734" s="1" t="n">
        <v>46228</v>
      </c>
      <c r="F734" t="inlineStr">
        <is>
          <t>VÄSTERNORRLANDS LÄN</t>
        </is>
      </c>
      <c r="G734" t="inlineStr">
        <is>
          <t>ÅNGE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27751-2026</t>
        </is>
      </c>
      <c r="B735" t="inlineStr">
        <is>
          <t>avverkningsanmälan</t>
        </is>
      </c>
      <c r="C735" t="inlineStr">
        <is>
          <t>Avverkning för annat ändamål</t>
        </is>
      </c>
      <c r="D735" s="1" t="n">
        <v>46191</v>
      </c>
      <c r="E735" s="1" t="n">
        <v>46228</v>
      </c>
      <c r="F735" t="inlineStr">
        <is>
          <t>VÄSTERNORRLANDS LÄN</t>
        </is>
      </c>
      <c r="G735" t="inlineStr">
        <is>
          <t>ÅNGE</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56077-2025</t>
        </is>
      </c>
      <c r="B736" t="inlineStr">
        <is>
          <t>avverkningsanmälan</t>
        </is>
      </c>
      <c r="C736" t="inlineStr">
        <is>
          <t>Föryngringsavverkning</t>
        </is>
      </c>
      <c r="D736" s="1" t="n">
        <v>45973</v>
      </c>
      <c r="E736" s="1" t="n">
        <v>46228</v>
      </c>
      <c r="F736" t="inlineStr">
        <is>
          <t>VÄSTERNORRLANDS LÄN</t>
        </is>
      </c>
      <c r="G736" t="inlineStr">
        <is>
          <t>ÅNGE</t>
        </is>
      </c>
      <c r="H736" t="inlineStr">
        <is>
          <t>SCA</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34852-2023</t>
        </is>
      </c>
      <c r="B737" t="inlineStr">
        <is>
          <t>avverkningsanmälan</t>
        </is>
      </c>
      <c r="C737" t="inlineStr">
        <is>
          <t>Föryngringsavverkning</t>
        </is>
      </c>
      <c r="D737" s="1" t="n">
        <v>45141</v>
      </c>
      <c r="E737" s="1" t="n">
        <v>46228</v>
      </c>
      <c r="F737" t="inlineStr">
        <is>
          <t>VÄSTERNORRLANDS LÄN</t>
        </is>
      </c>
      <c r="G737" t="inlineStr">
        <is>
          <t>ÅNGE</t>
        </is>
      </c>
      <c r="H737" t="inlineStr">
        <is>
          <t>SCA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46350-2022</t>
        </is>
      </c>
      <c r="B738" t="inlineStr">
        <is>
          <t>avverkningsanmälan</t>
        </is>
      </c>
      <c r="C738" t="inlineStr">
        <is>
          <t>Föryngringsavverkning</t>
        </is>
      </c>
      <c r="D738" s="1" t="n">
        <v>44847</v>
      </c>
      <c r="E738" s="1" t="n">
        <v>46228</v>
      </c>
      <c r="F738" t="inlineStr">
        <is>
          <t>VÄSTERNORRLANDS LÄN</t>
        </is>
      </c>
      <c r="G738" t="inlineStr">
        <is>
          <t>ÅNGE</t>
        </is>
      </c>
      <c r="H738" t="inlineStr">
        <is>
          <t>SCA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28186-2026</t>
        </is>
      </c>
      <c r="B739" t="inlineStr">
        <is>
          <t>avverkningsanmälan</t>
        </is>
      </c>
      <c r="C739" t="inlineStr">
        <is>
          <t>Föryngringsavverkning</t>
        </is>
      </c>
      <c r="D739" s="1" t="n">
        <v>46195</v>
      </c>
      <c r="E739" s="1" t="n">
        <v>46228</v>
      </c>
      <c r="F739" t="inlineStr">
        <is>
          <t>VÄSTERNORRLANDS LÄN</t>
        </is>
      </c>
      <c r="G739" t="inlineStr">
        <is>
          <t>ÅNGE</t>
        </is>
      </c>
      <c r="H739" t="inlineStr">
        <is>
          <t>SCA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56423-2025</t>
        </is>
      </c>
      <c r="B740" t="inlineStr">
        <is>
          <t>avverkningsanmälan</t>
        </is>
      </c>
      <c r="C740" t="inlineStr">
        <is>
          <t>Föryngringsavverkning</t>
        </is>
      </c>
      <c r="D740" s="1" t="n">
        <v>45975</v>
      </c>
      <c r="E740" s="1" t="n">
        <v>46228</v>
      </c>
      <c r="F740" t="inlineStr">
        <is>
          <t>VÄSTERNORRLANDS LÄN</t>
        </is>
      </c>
      <c r="G740" t="inlineStr">
        <is>
          <t>ÅNGE</t>
        </is>
      </c>
      <c r="H740" t="inlineStr">
        <is>
          <t>SCA</t>
        </is>
      </c>
      <c r="I740" t="n">
        <v>1.5</v>
      </c>
      <c r="J740" t="n">
        <v>0</v>
      </c>
      <c r="K740" t="n">
        <v>0</v>
      </c>
      <c r="L740" t="n">
        <v>0</v>
      </c>
      <c r="M740" t="n">
        <v>0</v>
      </c>
      <c r="N740" t="n">
        <v>0</v>
      </c>
      <c r="O740" t="n">
        <v>0</v>
      </c>
      <c r="P740" t="n">
        <v>0</v>
      </c>
      <c r="Q740" t="n">
        <v>0</v>
      </c>
      <c r="R740" t="n">
        <v>0</v>
      </c>
      <c r="S740" t="n">
        <v>0</v>
      </c>
      <c r="T740" t="n">
        <v>0</v>
      </c>
      <c r="U740" t="n">
        <v>0</v>
      </c>
      <c r="V740" s="2" t="inlineStr"/>
      <c r="Z740">
        <f>HYPERLINK("https://klasma.github.io/Logging_2260/knärot/A 56423-2025 karta knärot.png", "A 56423-2025")</f>
        <v/>
      </c>
      <c r="AA740">
        <f>HYPERLINK("https://klasma.github.io/Logging_2260/klagomål/A 56423-2025 FSC-klagomål.docx", "A 56423-2025")</f>
        <v/>
      </c>
      <c r="AB740">
        <f>HYPERLINK("https://klasma.github.io/Logging_2260/klagomålsmail/A 56423-2025 FSC-klagomål mail.docx", "A 56423-2025")</f>
        <v/>
      </c>
      <c r="AC740">
        <f>HYPERLINK("https://klasma.github.io/Logging_2260/tillsyn/A 56423-2025 tillsynsbegäran.docx", "A 56423-2025")</f>
        <v/>
      </c>
      <c r="AD740">
        <f>HYPERLINK("https://klasma.github.io/Logging_2260/tillsynsmail/A 56423-2025 tillsynsbegäran mail.docx", "A 56423-2025")</f>
        <v/>
      </c>
    </row>
    <row r="741" ht="15" customHeight="1">
      <c r="A741" t="inlineStr">
        <is>
          <t>A 27306-2024</t>
        </is>
      </c>
      <c r="B741" t="inlineStr">
        <is>
          <t>avverkningsanmälan</t>
        </is>
      </c>
      <c r="C741" t="inlineStr">
        <is>
          <t>Föryngringsavverkning</t>
        </is>
      </c>
      <c r="D741" s="1" t="n">
        <v>45471</v>
      </c>
      <c r="E741" s="1" t="n">
        <v>46228</v>
      </c>
      <c r="F741" t="inlineStr">
        <is>
          <t>VÄSTERNORRLANDS LÄN</t>
        </is>
      </c>
      <c r="G741" t="inlineStr">
        <is>
          <t>ÅNGE</t>
        </is>
      </c>
      <c r="H741" t="inlineStr">
        <is>
          <t>SCA</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21884-2026</t>
        </is>
      </c>
      <c r="B742" t="inlineStr">
        <is>
          <t>avverkningsanmälan</t>
        </is>
      </c>
      <c r="C742" t="inlineStr">
        <is>
          <t>Föryngringsavverkning</t>
        </is>
      </c>
      <c r="D742" s="1" t="n">
        <v>46150</v>
      </c>
      <c r="E742" s="1" t="n">
        <v>46228</v>
      </c>
      <c r="F742" t="inlineStr">
        <is>
          <t>VÄSTERNORRLANDS LÄN</t>
        </is>
      </c>
      <c r="G742" t="inlineStr">
        <is>
          <t>ÅNGE</t>
        </is>
      </c>
      <c r="H742" t="inlineStr">
        <is>
          <t>SCA</t>
        </is>
      </c>
      <c r="I742" t="n">
        <v>26.9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57286-2022</t>
        </is>
      </c>
      <c r="B743" t="inlineStr">
        <is>
          <t>avverkningsanmälan</t>
        </is>
      </c>
      <c r="C743" t="inlineStr">
        <is>
          <t>Föryngringsavverkning</t>
        </is>
      </c>
      <c r="D743" s="1" t="n">
        <v>44895</v>
      </c>
      <c r="E743" s="1" t="n">
        <v>46228</v>
      </c>
      <c r="F743" t="inlineStr">
        <is>
          <t>VÄSTERNORRLANDS LÄN</t>
        </is>
      </c>
      <c r="G743" t="inlineStr">
        <is>
          <t>ÅNGE</t>
        </is>
      </c>
      <c r="H743" t="inlineStr">
        <is>
          <t>SCA</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57283-2025</t>
        </is>
      </c>
      <c r="B744" t="inlineStr">
        <is>
          <t>avverkningsanmälan</t>
        </is>
      </c>
      <c r="C744" t="inlineStr">
        <is>
          <t>Föryngringsavverkning</t>
        </is>
      </c>
      <c r="D744" s="1" t="n">
        <v>45979</v>
      </c>
      <c r="E744" s="1" t="n">
        <v>46228</v>
      </c>
      <c r="F744" t="inlineStr">
        <is>
          <t>VÄSTERNORRLANDS LÄN</t>
        </is>
      </c>
      <c r="G744" t="inlineStr">
        <is>
          <t>ÅNGE</t>
        </is>
      </c>
      <c r="H744" t="inlineStr">
        <is>
          <t>SCA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57615-2025</t>
        </is>
      </c>
      <c r="B745" t="inlineStr">
        <is>
          <t>avverkningsanmälan</t>
        </is>
      </c>
      <c r="C745" t="inlineStr">
        <is>
          <t>Föryngringsavverkning</t>
        </is>
      </c>
      <c r="D745" s="1" t="n">
        <v>45981</v>
      </c>
      <c r="E745" s="1" t="n">
        <v>46228</v>
      </c>
      <c r="F745" t="inlineStr">
        <is>
          <t>VÄSTERNORRLANDS LÄN</t>
        </is>
      </c>
      <c r="G745" t="inlineStr">
        <is>
          <t>ÅNGE</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57371-2025</t>
        </is>
      </c>
      <c r="B746" t="inlineStr">
        <is>
          <t>avverkningsanmälan</t>
        </is>
      </c>
      <c r="C746" t="inlineStr">
        <is>
          <t>Föryngringsavverkning</t>
        </is>
      </c>
      <c r="D746" s="1" t="n">
        <v>45980</v>
      </c>
      <c r="E746" s="1" t="n">
        <v>46228</v>
      </c>
      <c r="F746" t="inlineStr">
        <is>
          <t>VÄSTERNORRLANDS LÄN</t>
        </is>
      </c>
      <c r="G746" t="inlineStr">
        <is>
          <t>ÅNGE</t>
        </is>
      </c>
      <c r="H746" t="inlineStr">
        <is>
          <t>SCA</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57457-2025</t>
        </is>
      </c>
      <c r="B747" t="inlineStr">
        <is>
          <t>avverkningsanmälan</t>
        </is>
      </c>
      <c r="C747" t="inlineStr">
        <is>
          <t>Föryngringsavverkning</t>
        </is>
      </c>
      <c r="D747" s="1" t="n">
        <v>45980</v>
      </c>
      <c r="E747" s="1" t="n">
        <v>46228</v>
      </c>
      <c r="F747" t="inlineStr">
        <is>
          <t>VÄSTERNORRLANDS LÄN</t>
        </is>
      </c>
      <c r="G747" t="inlineStr">
        <is>
          <t>ÅNGE</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22191-2026</t>
        </is>
      </c>
      <c r="B748" t="inlineStr">
        <is>
          <t>avverkningsanmälan</t>
        </is>
      </c>
      <c r="C748" t="inlineStr">
        <is>
          <t>Föryngringsavverkning</t>
        </is>
      </c>
      <c r="D748" s="1" t="n">
        <v>46153</v>
      </c>
      <c r="E748" s="1" t="n">
        <v>46228</v>
      </c>
      <c r="F748" t="inlineStr">
        <is>
          <t>VÄSTERNORRLANDS LÄN</t>
        </is>
      </c>
      <c r="G748" t="inlineStr">
        <is>
          <t>ÅNGE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57960-2025</t>
        </is>
      </c>
      <c r="B749" t="inlineStr">
        <is>
          <t>avverkningsanmälan</t>
        </is>
      </c>
      <c r="C749" t="inlineStr">
        <is>
          <t>Avverkning för annat ändamål</t>
        </is>
      </c>
      <c r="D749" s="1" t="n">
        <v>45982</v>
      </c>
      <c r="E749" s="1" t="n">
        <v>46228</v>
      </c>
      <c r="F749" t="inlineStr">
        <is>
          <t>VÄSTERNORRLANDS LÄN</t>
        </is>
      </c>
      <c r="G749" t="inlineStr">
        <is>
          <t>ÅNGE</t>
        </is>
      </c>
      <c r="H749" t="inlineStr">
        <is>
          <t>SCA</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58388-2025</t>
        </is>
      </c>
      <c r="B750" t="inlineStr">
        <is>
          <t>avverkningsanmälan</t>
        </is>
      </c>
      <c r="C750" t="inlineStr">
        <is>
          <t>Föryngringsavverkning</t>
        </is>
      </c>
      <c r="D750" s="1" t="n">
        <v>45985</v>
      </c>
      <c r="E750" s="1" t="n">
        <v>46228</v>
      </c>
      <c r="F750" t="inlineStr">
        <is>
          <t>VÄSTERNORRLANDS LÄN</t>
        </is>
      </c>
      <c r="G750" t="inlineStr">
        <is>
          <t>ÅNGE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58486-2025</t>
        </is>
      </c>
      <c r="B751" t="inlineStr">
        <is>
          <t>avverkningsanmälan</t>
        </is>
      </c>
      <c r="C751" t="inlineStr">
        <is>
          <t>Föryngringsavverkning</t>
        </is>
      </c>
      <c r="D751" s="1" t="n">
        <v>45985</v>
      </c>
      <c r="E751" s="1" t="n">
        <v>46228</v>
      </c>
      <c r="F751" t="inlineStr">
        <is>
          <t>VÄSTERNORRLANDS LÄN</t>
        </is>
      </c>
      <c r="G751" t="inlineStr">
        <is>
          <t>ÅNGE</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41766-2024</t>
        </is>
      </c>
      <c r="B752" t="inlineStr">
        <is>
          <t>avverkningsanmälan</t>
        </is>
      </c>
      <c r="C752" t="inlineStr">
        <is>
          <t>Föryngringsavverkning</t>
        </is>
      </c>
      <c r="D752" s="1" t="n">
        <v>45561</v>
      </c>
      <c r="E752" s="1" t="n">
        <v>46228</v>
      </c>
      <c r="F752" t="inlineStr">
        <is>
          <t>VÄSTERNORRLANDS LÄN</t>
        </is>
      </c>
      <c r="G752" t="inlineStr">
        <is>
          <t>ÅNGE</t>
        </is>
      </c>
      <c r="H752" t="inlineStr">
        <is>
          <t>SCA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57961-2025</t>
        </is>
      </c>
      <c r="B753" t="inlineStr">
        <is>
          <t>avverkningsanmälan</t>
        </is>
      </c>
      <c r="C753" t="inlineStr">
        <is>
          <t>Föryngringsavverkning</t>
        </is>
      </c>
      <c r="D753" s="1" t="n">
        <v>45982</v>
      </c>
      <c r="E753" s="1" t="n">
        <v>46228</v>
      </c>
      <c r="F753" t="inlineStr">
        <is>
          <t>VÄSTERNORRLANDS LÄN</t>
        </is>
      </c>
      <c r="G753" t="inlineStr">
        <is>
          <t>ÅNGE</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58240-2025</t>
        </is>
      </c>
      <c r="B754" t="inlineStr">
        <is>
          <t>avverkningsanmälan</t>
        </is>
      </c>
      <c r="C754" t="inlineStr">
        <is>
          <t>Föryngringsavverkning</t>
        </is>
      </c>
      <c r="D754" s="1" t="n">
        <v>45985</v>
      </c>
      <c r="E754" s="1" t="n">
        <v>46228</v>
      </c>
      <c r="F754" t="inlineStr">
        <is>
          <t>VÄSTERNORRLANDS LÄN</t>
        </is>
      </c>
      <c r="G754" t="inlineStr">
        <is>
          <t>ÅNGE</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58268-2025</t>
        </is>
      </c>
      <c r="B755" t="inlineStr">
        <is>
          <t>avverkningsanmälan</t>
        </is>
      </c>
      <c r="C755" t="inlineStr">
        <is>
          <t>Föryngringsavverkning</t>
        </is>
      </c>
      <c r="D755" s="1" t="n">
        <v>45985</v>
      </c>
      <c r="E755" s="1" t="n">
        <v>46228</v>
      </c>
      <c r="F755" t="inlineStr">
        <is>
          <t>VÄSTERNORRLANDS LÄN</t>
        </is>
      </c>
      <c r="G755" t="inlineStr">
        <is>
          <t>ÅNGE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57991-2025</t>
        </is>
      </c>
      <c r="B756" t="inlineStr">
        <is>
          <t>avverkningsanmälan</t>
        </is>
      </c>
      <c r="C756" t="inlineStr">
        <is>
          <t>Föryngringsavverkning</t>
        </is>
      </c>
      <c r="D756" s="1" t="n">
        <v>45982</v>
      </c>
      <c r="E756" s="1" t="n">
        <v>46228</v>
      </c>
      <c r="F756" t="inlineStr">
        <is>
          <t>VÄSTERNORRLANDS LÄN</t>
        </is>
      </c>
      <c r="G756" t="inlineStr">
        <is>
          <t>ÅNGE</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58048-2025</t>
        </is>
      </c>
      <c r="B757" t="inlineStr">
        <is>
          <t>avverkningsanmälan</t>
        </is>
      </c>
      <c r="C757" t="inlineStr">
        <is>
          <t>Föryngringsavverkning</t>
        </is>
      </c>
      <c r="D757" s="1" t="n">
        <v>45982</v>
      </c>
      <c r="E757" s="1" t="n">
        <v>46228</v>
      </c>
      <c r="F757" t="inlineStr">
        <is>
          <t>VÄSTERNORRLANDS LÄN</t>
        </is>
      </c>
      <c r="G757" t="inlineStr">
        <is>
          <t>ÅNGE</t>
        </is>
      </c>
      <c r="H757" t="inlineStr">
        <is>
          <t>SCA</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39178-2024</t>
        </is>
      </c>
      <c r="B758" t="inlineStr">
        <is>
          <t>avverkningsanmälan</t>
        </is>
      </c>
      <c r="C758" t="inlineStr">
        <is>
          <t>Föryngringsavverkning</t>
        </is>
      </c>
      <c r="D758" s="1" t="n">
        <v>45548</v>
      </c>
      <c r="E758" s="1" t="n">
        <v>46228</v>
      </c>
      <c r="F758" t="inlineStr">
        <is>
          <t>VÄSTERNORRLANDS LÄN</t>
        </is>
      </c>
      <c r="G758" t="inlineStr">
        <is>
          <t>ÅNGE</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22040-2026</t>
        </is>
      </c>
      <c r="B759" t="inlineStr">
        <is>
          <t>avverkningsanmälan</t>
        </is>
      </c>
      <c r="C759" t="inlineStr">
        <is>
          <t>Föryngringsavverkning</t>
        </is>
      </c>
      <c r="D759" s="1" t="n">
        <v>46153</v>
      </c>
      <c r="E759" s="1" t="n">
        <v>46228</v>
      </c>
      <c r="F759" t="inlineStr">
        <is>
          <t>VÄSTERNORRLANDS LÄN</t>
        </is>
      </c>
      <c r="G759" t="inlineStr">
        <is>
          <t>ÅNGE</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28177-2026</t>
        </is>
      </c>
      <c r="B760" t="inlineStr">
        <is>
          <t>avverkningsanmälan</t>
        </is>
      </c>
      <c r="C760" t="inlineStr">
        <is>
          <t>Föryngringsavverkning</t>
        </is>
      </c>
      <c r="D760" s="1" t="n">
        <v>46195</v>
      </c>
      <c r="E760" s="1" t="n">
        <v>46228</v>
      </c>
      <c r="F760" t="inlineStr">
        <is>
          <t>VÄSTERNORRLANDS LÄN</t>
        </is>
      </c>
      <c r="G760" t="inlineStr">
        <is>
          <t>ÅNGE</t>
        </is>
      </c>
      <c r="H760" t="inlineStr">
        <is>
          <t>SCA</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58242-2025</t>
        </is>
      </c>
      <c r="B761" t="inlineStr">
        <is>
          <t>avverkningsanmälan</t>
        </is>
      </c>
      <c r="C761" t="inlineStr">
        <is>
          <t>Föryngringsavverkning</t>
        </is>
      </c>
      <c r="D761" s="1" t="n">
        <v>45985</v>
      </c>
      <c r="E761" s="1" t="n">
        <v>46228</v>
      </c>
      <c r="F761" t="inlineStr">
        <is>
          <t>VÄSTERNORRLANDS LÄN</t>
        </is>
      </c>
      <c r="G761" t="inlineStr">
        <is>
          <t>ÅNGE</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58639-2025</t>
        </is>
      </c>
      <c r="B762" t="inlineStr">
        <is>
          <t>avverkningsanmälan</t>
        </is>
      </c>
      <c r="C762" t="inlineStr">
        <is>
          <t>Föryngringsavverkning</t>
        </is>
      </c>
      <c r="D762" s="1" t="n">
        <v>45986</v>
      </c>
      <c r="E762" s="1" t="n">
        <v>46228</v>
      </c>
      <c r="F762" t="inlineStr">
        <is>
          <t>VÄSTERNORRLANDS LÄN</t>
        </is>
      </c>
      <c r="G762" t="inlineStr">
        <is>
          <t>ÅNGE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51383-2022</t>
        </is>
      </c>
      <c r="B763" t="inlineStr">
        <is>
          <t>avverkningsanmälan</t>
        </is>
      </c>
      <c r="C763" t="inlineStr">
        <is>
          <t>Föryngringsavverkning</t>
        </is>
      </c>
      <c r="D763" s="1" t="n">
        <v>44866</v>
      </c>
      <c r="E763" s="1" t="n">
        <v>46228</v>
      </c>
      <c r="F763" t="inlineStr">
        <is>
          <t>VÄSTERNORRLANDS LÄN</t>
        </is>
      </c>
      <c r="G763" t="inlineStr">
        <is>
          <t>ÅNGE</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51393-2022</t>
        </is>
      </c>
      <c r="B764" t="inlineStr">
        <is>
          <t>avverkningsanmälan</t>
        </is>
      </c>
      <c r="C764" t="inlineStr">
        <is>
          <t>Föryngringsavverkning</t>
        </is>
      </c>
      <c r="D764" s="1" t="n">
        <v>44869</v>
      </c>
      <c r="E764" s="1" t="n">
        <v>46228</v>
      </c>
      <c r="F764" t="inlineStr">
        <is>
          <t>VÄSTERNORRLANDS LÄN</t>
        </is>
      </c>
      <c r="G764" t="inlineStr">
        <is>
          <t>ÅNGE</t>
        </is>
      </c>
      <c r="H764" t="inlineStr">
        <is>
          <t>Holmen skog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21779-2026</t>
        </is>
      </c>
      <c r="B765" t="inlineStr">
        <is>
          <t>avverkningsanmälan</t>
        </is>
      </c>
      <c r="C765" t="inlineStr">
        <is>
          <t>Föryngringsavverkning</t>
        </is>
      </c>
      <c r="D765" s="1" t="n">
        <v>46150</v>
      </c>
      <c r="E765" s="1" t="n">
        <v>46228</v>
      </c>
      <c r="F765" t="inlineStr">
        <is>
          <t>VÄSTERNORRLANDS LÄN</t>
        </is>
      </c>
      <c r="G765" t="inlineStr">
        <is>
          <t>ÅNGE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2415-2024</t>
        </is>
      </c>
      <c r="B766" t="inlineStr">
        <is>
          <t>avverkningsanmälan</t>
        </is>
      </c>
      <c r="C766" t="inlineStr">
        <is>
          <t>Avverkning för annat ändamål</t>
        </is>
      </c>
      <c r="D766" s="1" t="n">
        <v>45310</v>
      </c>
      <c r="E766" s="1" t="n">
        <v>46228</v>
      </c>
      <c r="F766" t="inlineStr">
        <is>
          <t>VÄSTERNORRLANDS LÄN</t>
        </is>
      </c>
      <c r="G766" t="inlineStr">
        <is>
          <t>ÅNGE</t>
        </is>
      </c>
      <c r="H766" t="inlineStr">
        <is>
          <t>Kyrkan</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26490-2024</t>
        </is>
      </c>
      <c r="B767" t="inlineStr">
        <is>
          <t>avverkningsanmälan</t>
        </is>
      </c>
      <c r="C767" t="inlineStr">
        <is>
          <t>Avverkning för annat ändamål</t>
        </is>
      </c>
      <c r="D767" s="1" t="n">
        <v>45469</v>
      </c>
      <c r="E767" s="1" t="n">
        <v>46228</v>
      </c>
      <c r="F767" t="inlineStr">
        <is>
          <t>VÄSTERNORRLANDS LÄN</t>
        </is>
      </c>
      <c r="G767" t="inlineStr">
        <is>
          <t>ÅNGE</t>
        </is>
      </c>
      <c r="H767" t="inlineStr">
        <is>
          <t>Sveaskog</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47779-2023</t>
        </is>
      </c>
      <c r="B768" t="inlineStr">
        <is>
          <t>avverkningsanmälan</t>
        </is>
      </c>
      <c r="C768" t="inlineStr">
        <is>
          <t>Föryngringsavverkning</t>
        </is>
      </c>
      <c r="D768" s="1" t="n">
        <v>45203</v>
      </c>
      <c r="E768" s="1" t="n">
        <v>46228</v>
      </c>
      <c r="F768" t="inlineStr">
        <is>
          <t>VÄSTERNORRLANDS LÄN</t>
        </is>
      </c>
      <c r="G768" t="inlineStr">
        <is>
          <t>ÅNGE</t>
        </is>
      </c>
      <c r="I768" t="n">
        <v>9.6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58585-2025</t>
        </is>
      </c>
      <c r="B769" t="inlineStr">
        <is>
          <t>avverkningsanmälan</t>
        </is>
      </c>
      <c r="C769" t="inlineStr">
        <is>
          <t>Föryngringsavverkning</t>
        </is>
      </c>
      <c r="D769" s="1" t="n">
        <v>45986</v>
      </c>
      <c r="E769" s="1" t="n">
        <v>46228</v>
      </c>
      <c r="F769" t="inlineStr">
        <is>
          <t>VÄSTERNORRLANDS LÄN</t>
        </is>
      </c>
      <c r="G769" t="inlineStr">
        <is>
          <t>ÅNGE</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58599-2025</t>
        </is>
      </c>
      <c r="B770" t="inlineStr">
        <is>
          <t>avverkningsanmälan</t>
        </is>
      </c>
      <c r="C770" t="inlineStr">
        <is>
          <t>Föryngringsavverkning</t>
        </is>
      </c>
      <c r="D770" s="1" t="n">
        <v>45986</v>
      </c>
      <c r="E770" s="1" t="n">
        <v>46228</v>
      </c>
      <c r="F770" t="inlineStr">
        <is>
          <t>VÄSTERNORRLANDS LÄN</t>
        </is>
      </c>
      <c r="G770" t="inlineStr">
        <is>
          <t>ÅNGE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58890-2025</t>
        </is>
      </c>
      <c r="B771" t="inlineStr">
        <is>
          <t>avverkningsanmälan</t>
        </is>
      </c>
      <c r="C771" t="inlineStr">
        <is>
          <t>Föryngringsavverkning</t>
        </is>
      </c>
      <c r="D771" s="1" t="n">
        <v>45987</v>
      </c>
      <c r="E771" s="1" t="n">
        <v>46228</v>
      </c>
      <c r="F771" t="inlineStr">
        <is>
          <t>VÄSTERNORRLANDS LÄN</t>
        </is>
      </c>
      <c r="G771" t="inlineStr">
        <is>
          <t>ÅNGE</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61585-2022</t>
        </is>
      </c>
      <c r="B772" t="inlineStr">
        <is>
          <t>avverkningsanmälan</t>
        </is>
      </c>
      <c r="C772" t="inlineStr">
        <is>
          <t>Föryngringsavverkning</t>
        </is>
      </c>
      <c r="D772" s="1" t="n">
        <v>44916</v>
      </c>
      <c r="E772" s="1" t="n">
        <v>46228</v>
      </c>
      <c r="F772" t="inlineStr">
        <is>
          <t>VÄSTERNORRLANDS LÄN</t>
        </is>
      </c>
      <c r="G772" t="inlineStr">
        <is>
          <t>ÅNGE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58823-2025</t>
        </is>
      </c>
      <c r="B773" t="inlineStr">
        <is>
          <t>avverkningsanmälan</t>
        </is>
      </c>
      <c r="C773" t="inlineStr">
        <is>
          <t>Föryngringsavverkning</t>
        </is>
      </c>
      <c r="D773" s="1" t="n">
        <v>45987</v>
      </c>
      <c r="E773" s="1" t="n">
        <v>46228</v>
      </c>
      <c r="F773" t="inlineStr">
        <is>
          <t>VÄSTERNORRLANDS LÄN</t>
        </is>
      </c>
      <c r="G773" t="inlineStr">
        <is>
          <t>ÅNGE</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58536-2025</t>
        </is>
      </c>
      <c r="B774" t="inlineStr">
        <is>
          <t>avverkningsanmälan</t>
        </is>
      </c>
      <c r="C774" t="inlineStr">
        <is>
          <t>Föryngringsavverkning</t>
        </is>
      </c>
      <c r="D774" s="1" t="n">
        <v>45985</v>
      </c>
      <c r="E774" s="1" t="n">
        <v>46228</v>
      </c>
      <c r="F774" t="inlineStr">
        <is>
          <t>VÄSTERNORRLANDS LÄN</t>
        </is>
      </c>
      <c r="G774" t="inlineStr">
        <is>
          <t>ÅNGE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25311-2023</t>
        </is>
      </c>
      <c r="B775" t="inlineStr">
        <is>
          <t>avverkningsanmälan</t>
        </is>
      </c>
      <c r="C775" t="inlineStr">
        <is>
          <t>Föryngringsavverkning</t>
        </is>
      </c>
      <c r="D775" s="1" t="n">
        <v>45086</v>
      </c>
      <c r="E775" s="1" t="n">
        <v>46228</v>
      </c>
      <c r="F775" t="inlineStr">
        <is>
          <t>VÄSTERNORRLANDS LÄN</t>
        </is>
      </c>
      <c r="G775" t="inlineStr">
        <is>
          <t>ÅNGE</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69790-2021</t>
        </is>
      </c>
      <c r="B776" t="inlineStr">
        <is>
          <t>avverkningsanmälan</t>
        </is>
      </c>
      <c r="C776" t="inlineStr">
        <is>
          <t>Föryngringsavverkning</t>
        </is>
      </c>
      <c r="D776" s="1" t="n">
        <v>44532</v>
      </c>
      <c r="E776" s="1" t="n">
        <v>46228</v>
      </c>
      <c r="F776" t="inlineStr">
        <is>
          <t>VÄSTERNORRLANDS LÄN</t>
        </is>
      </c>
      <c r="G776" t="inlineStr">
        <is>
          <t>ÅNGE</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59062-2025</t>
        </is>
      </c>
      <c r="B777" t="inlineStr">
        <is>
          <t>avverkningsanmälan</t>
        </is>
      </c>
      <c r="C777" t="inlineStr">
        <is>
          <t>Föryngringsavverkning</t>
        </is>
      </c>
      <c r="D777" s="1" t="n">
        <v>45988</v>
      </c>
      <c r="E777" s="1" t="n">
        <v>46228</v>
      </c>
      <c r="F777" t="inlineStr">
        <is>
          <t>VÄSTERNORRLANDS LÄN</t>
        </is>
      </c>
      <c r="G777" t="inlineStr">
        <is>
          <t>ÅNGE</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59064-2025</t>
        </is>
      </c>
      <c r="B778" t="inlineStr">
        <is>
          <t>avverkningsanmälan</t>
        </is>
      </c>
      <c r="C778" t="inlineStr">
        <is>
          <t>Föryngringsavverkning</t>
        </is>
      </c>
      <c r="D778" s="1" t="n">
        <v>45988</v>
      </c>
      <c r="E778" s="1" t="n">
        <v>46228</v>
      </c>
      <c r="F778" t="inlineStr">
        <is>
          <t>VÄSTERNORRLANDS LÄN</t>
        </is>
      </c>
      <c r="G778" t="inlineStr">
        <is>
          <t>ÅNGE</t>
        </is>
      </c>
      <c r="H778" t="inlineStr">
        <is>
          <t>SCA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59065-2025</t>
        </is>
      </c>
      <c r="B779" t="inlineStr">
        <is>
          <t>avverkningsanmälan</t>
        </is>
      </c>
      <c r="C779" t="inlineStr">
        <is>
          <t>Föryngringsavverkning</t>
        </is>
      </c>
      <c r="D779" s="1" t="n">
        <v>45988</v>
      </c>
      <c r="E779" s="1" t="n">
        <v>46228</v>
      </c>
      <c r="F779" t="inlineStr">
        <is>
          <t>VÄSTERNORRLANDS LÄN</t>
        </is>
      </c>
      <c r="G779" t="inlineStr">
        <is>
          <t>ÅNGE</t>
        </is>
      </c>
      <c r="H779" t="inlineStr">
        <is>
          <t>SCA</t>
        </is>
      </c>
      <c r="I779" t="n">
        <v>5.7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53209-2024</t>
        </is>
      </c>
      <c r="B780" t="inlineStr">
        <is>
          <t>avverkningsanmälan</t>
        </is>
      </c>
      <c r="C780" t="inlineStr">
        <is>
          <t>Föryngringsavverkning</t>
        </is>
      </c>
      <c r="D780" s="1" t="n">
        <v>45612</v>
      </c>
      <c r="E780" s="1" t="n">
        <v>46228</v>
      </c>
      <c r="F780" t="inlineStr">
        <is>
          <t>VÄSTERNORRLANDS LÄN</t>
        </is>
      </c>
      <c r="G780" t="inlineStr">
        <is>
          <t>ÅNGE</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30803-2022</t>
        </is>
      </c>
      <c r="B781" t="inlineStr">
        <is>
          <t>avverkningsanmälan</t>
        </is>
      </c>
      <c r="C781" t="inlineStr">
        <is>
          <t>Föryngringsavverkning</t>
        </is>
      </c>
      <c r="D781" s="1" t="n">
        <v>44764</v>
      </c>
      <c r="E781" s="1" t="n">
        <v>46228</v>
      </c>
      <c r="F781" t="inlineStr">
        <is>
          <t>VÄSTERNORRLANDS LÄN</t>
        </is>
      </c>
      <c r="G781" t="inlineStr">
        <is>
          <t>ÅNGE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59063-2025</t>
        </is>
      </c>
      <c r="B782" t="inlineStr">
        <is>
          <t>avverkningsanmälan</t>
        </is>
      </c>
      <c r="C782" t="inlineStr">
        <is>
          <t>Föryngringsavverkning</t>
        </is>
      </c>
      <c r="D782" s="1" t="n">
        <v>45988</v>
      </c>
      <c r="E782" s="1" t="n">
        <v>46228</v>
      </c>
      <c r="F782" t="inlineStr">
        <is>
          <t>VÄSTERNORRLANDS LÄN</t>
        </is>
      </c>
      <c r="G782" t="inlineStr">
        <is>
          <t>ÅNGE</t>
        </is>
      </c>
      <c r="H782" t="inlineStr">
        <is>
          <t>SCA</t>
        </is>
      </c>
      <c r="I782" t="n">
        <v>5.7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59023-2025</t>
        </is>
      </c>
      <c r="B783" t="inlineStr">
        <is>
          <t>avverkningsanmälan</t>
        </is>
      </c>
      <c r="C783" t="inlineStr">
        <is>
          <t>Föryngringsavverkning</t>
        </is>
      </c>
      <c r="D783" s="1" t="n">
        <v>45988</v>
      </c>
      <c r="E783" s="1" t="n">
        <v>46228</v>
      </c>
      <c r="F783" t="inlineStr">
        <is>
          <t>VÄSTERNORRLANDS LÄN</t>
        </is>
      </c>
      <c r="G783" t="inlineStr">
        <is>
          <t>ÅNGE</t>
        </is>
      </c>
      <c r="H783" t="inlineStr">
        <is>
          <t>SCA</t>
        </is>
      </c>
      <c r="I783" t="n">
        <v>5.7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59259-2025</t>
        </is>
      </c>
      <c r="B784" t="inlineStr">
        <is>
          <t>avverkningsanmälan</t>
        </is>
      </c>
      <c r="C784" t="inlineStr">
        <is>
          <t>Avverkning för att bevara och utveckla /försöksver</t>
        </is>
      </c>
      <c r="D784" s="1" t="n">
        <v>45988</v>
      </c>
      <c r="E784" s="1" t="n">
        <v>46228</v>
      </c>
      <c r="F784" t="inlineStr">
        <is>
          <t>VÄSTERNORRLANDS LÄN</t>
        </is>
      </c>
      <c r="G784" t="inlineStr">
        <is>
          <t>ÅNGE</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59319-2025</t>
        </is>
      </c>
      <c r="B785" t="inlineStr">
        <is>
          <t>avverkningsanmälan</t>
        </is>
      </c>
      <c r="C785" t="inlineStr">
        <is>
          <t>Avverkning för att bevara och utveckla /försöksver</t>
        </is>
      </c>
      <c r="D785" s="1" t="n">
        <v>45989</v>
      </c>
      <c r="E785" s="1" t="n">
        <v>46228</v>
      </c>
      <c r="F785" t="inlineStr">
        <is>
          <t>VÄSTERNORRLANDS LÄN</t>
        </is>
      </c>
      <c r="G785" t="inlineStr">
        <is>
          <t>ÅNGE</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59331-2025</t>
        </is>
      </c>
      <c r="B786" t="inlineStr">
        <is>
          <t>avverkningsanmälan</t>
        </is>
      </c>
      <c r="C786" t="inlineStr">
        <is>
          <t>Föryngringsavverkning</t>
        </is>
      </c>
      <c r="D786" s="1" t="n">
        <v>45989</v>
      </c>
      <c r="E786" s="1" t="n">
        <v>46228</v>
      </c>
      <c r="F786" t="inlineStr">
        <is>
          <t>VÄSTERNORRLANDS LÄN</t>
        </is>
      </c>
      <c r="G786" t="inlineStr">
        <is>
          <t>ÅNGE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57596-2022</t>
        </is>
      </c>
      <c r="B787" t="inlineStr">
        <is>
          <t>avverkningsanmälan</t>
        </is>
      </c>
      <c r="C787" t="inlineStr">
        <is>
          <t>Avverkning för att bevara och utveckla /försöksver</t>
        </is>
      </c>
      <c r="D787" s="1" t="n">
        <v>44896</v>
      </c>
      <c r="E787" s="1" t="n">
        <v>46228</v>
      </c>
      <c r="F787" t="inlineStr">
        <is>
          <t>VÄSTERNORRLANDS LÄN</t>
        </is>
      </c>
      <c r="G787" t="inlineStr">
        <is>
          <t>ÅNGE</t>
        </is>
      </c>
      <c r="H787" t="inlineStr">
        <is>
          <t>SCA</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59022-2025</t>
        </is>
      </c>
      <c r="B788" t="inlineStr">
        <is>
          <t>avverkningsanmälan</t>
        </is>
      </c>
      <c r="C788" t="inlineStr">
        <is>
          <t>Föryngringsavverkning</t>
        </is>
      </c>
      <c r="D788" s="1" t="n">
        <v>45988</v>
      </c>
      <c r="E788" s="1" t="n">
        <v>46228</v>
      </c>
      <c r="F788" t="inlineStr">
        <is>
          <t>VÄSTERNORRLANDS LÄN</t>
        </is>
      </c>
      <c r="G788" t="inlineStr">
        <is>
          <t>ÅNGE</t>
        </is>
      </c>
      <c r="H788" t="inlineStr">
        <is>
          <t>SCA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59815-2025</t>
        </is>
      </c>
      <c r="B789" t="inlineStr">
        <is>
          <t>avverkningsanmälan</t>
        </is>
      </c>
      <c r="C789" t="inlineStr">
        <is>
          <t>Föryngringsavverkning</t>
        </is>
      </c>
      <c r="D789" s="1" t="n">
        <v>45992</v>
      </c>
      <c r="E789" s="1" t="n">
        <v>46228</v>
      </c>
      <c r="F789" t="inlineStr">
        <is>
          <t>VÄSTERNORRLANDS LÄN</t>
        </is>
      </c>
      <c r="G789" t="inlineStr">
        <is>
          <t>ÅNGE</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60079-2025</t>
        </is>
      </c>
      <c r="B790" t="inlineStr">
        <is>
          <t>avverkningsanmälan</t>
        </is>
      </c>
      <c r="C790" t="inlineStr">
        <is>
          <t>Föryngringsavverkning</t>
        </is>
      </c>
      <c r="D790" s="1" t="n">
        <v>45993</v>
      </c>
      <c r="E790" s="1" t="n">
        <v>46228</v>
      </c>
      <c r="F790" t="inlineStr">
        <is>
          <t>VÄSTERNORRLANDS LÄN</t>
        </is>
      </c>
      <c r="G790" t="inlineStr">
        <is>
          <t>ÅNGE</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34750-2023</t>
        </is>
      </c>
      <c r="B791" t="inlineStr">
        <is>
          <t>avverkningsanmälan</t>
        </is>
      </c>
      <c r="C791" t="inlineStr">
        <is>
          <t>Föryngringsavverkning</t>
        </is>
      </c>
      <c r="D791" s="1" t="n">
        <v>45139</v>
      </c>
      <c r="E791" s="1" t="n">
        <v>46228</v>
      </c>
      <c r="F791" t="inlineStr">
        <is>
          <t>VÄSTERNORRLANDS LÄN</t>
        </is>
      </c>
      <c r="G791" t="inlineStr">
        <is>
          <t>ÅNGE</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4593-2026</t>
        </is>
      </c>
      <c r="B792" t="inlineStr">
        <is>
          <t>avverkningsanmälan</t>
        </is>
      </c>
      <c r="C792" t="inlineStr">
        <is>
          <t>Föryngringsavverkning</t>
        </is>
      </c>
      <c r="D792" s="1" t="n">
        <v>46048</v>
      </c>
      <c r="E792" s="1" t="n">
        <v>46228</v>
      </c>
      <c r="F792" t="inlineStr">
        <is>
          <t>VÄSTERNORRLANDS LÄN</t>
        </is>
      </c>
      <c r="G792" t="inlineStr">
        <is>
          <t>ÅNGE</t>
        </is>
      </c>
      <c r="H792" t="inlineStr">
        <is>
          <t>SCA</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60061-2025</t>
        </is>
      </c>
      <c r="B793" t="inlineStr">
        <is>
          <t>avverkningsanmälan</t>
        </is>
      </c>
      <c r="C793" t="inlineStr">
        <is>
          <t>Föryngringsavverkning</t>
        </is>
      </c>
      <c r="D793" s="1" t="n">
        <v>45993</v>
      </c>
      <c r="E793" s="1" t="n">
        <v>46228</v>
      </c>
      <c r="F793" t="inlineStr">
        <is>
          <t>VÄSTERNORRLANDS LÄN</t>
        </is>
      </c>
      <c r="G793" t="inlineStr">
        <is>
          <t>ÅNGE</t>
        </is>
      </c>
      <c r="H793" t="inlineStr">
        <is>
          <t>SCA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44180-2023</t>
        </is>
      </c>
      <c r="B794" t="inlineStr">
        <is>
          <t>avverkningsanmälan</t>
        </is>
      </c>
      <c r="C794" t="inlineStr">
        <is>
          <t>Föryngringsavverkning</t>
        </is>
      </c>
      <c r="D794" s="1" t="n">
        <v>45183</v>
      </c>
      <c r="E794" s="1" t="n">
        <v>46228</v>
      </c>
      <c r="F794" t="inlineStr">
        <is>
          <t>VÄSTERNORRLANDS LÄN</t>
        </is>
      </c>
      <c r="G794" t="inlineStr">
        <is>
          <t>ÅNGE</t>
        </is>
      </c>
      <c r="H794" t="inlineStr">
        <is>
          <t>SCA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22520-2026</t>
        </is>
      </c>
      <c r="B795" t="inlineStr">
        <is>
          <t>avverkningsanmälan</t>
        </is>
      </c>
      <c r="C795" t="inlineStr">
        <is>
          <t>Föryngringsavverkning</t>
        </is>
      </c>
      <c r="D795" s="1" t="n">
        <v>46155</v>
      </c>
      <c r="E795" s="1" t="n">
        <v>46228</v>
      </c>
      <c r="F795" t="inlineStr">
        <is>
          <t>VÄSTERNORRLANDS LÄN</t>
        </is>
      </c>
      <c r="G795" t="inlineStr">
        <is>
          <t>ÅNGE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14888-2022</t>
        </is>
      </c>
      <c r="B796" t="inlineStr">
        <is>
          <t>avverkningsanmälan</t>
        </is>
      </c>
      <c r="C796" t="inlineStr">
        <is>
          <t>Föryngringsavverkning</t>
        </is>
      </c>
      <c r="D796" s="1" t="n">
        <v>44656</v>
      </c>
      <c r="E796" s="1" t="n">
        <v>46228</v>
      </c>
      <c r="F796" t="inlineStr">
        <is>
          <t>VÄSTERNORRLANDS LÄN</t>
        </is>
      </c>
      <c r="G796" t="inlineStr">
        <is>
          <t>ÅNGE</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60119-2025</t>
        </is>
      </c>
      <c r="B797" t="inlineStr">
        <is>
          <t>avverkningsanmälan</t>
        </is>
      </c>
      <c r="C797" t="inlineStr">
        <is>
          <t>Föryngringsavverkning</t>
        </is>
      </c>
      <c r="D797" s="1" t="n">
        <v>45994</v>
      </c>
      <c r="E797" s="1" t="n">
        <v>46228</v>
      </c>
      <c r="F797" t="inlineStr">
        <is>
          <t>VÄSTERNORRLANDS LÄN</t>
        </is>
      </c>
      <c r="G797" t="inlineStr">
        <is>
          <t>ÅNGE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60342-2025</t>
        </is>
      </c>
      <c r="B798" t="inlineStr">
        <is>
          <t>avverkningsanmälan</t>
        </is>
      </c>
      <c r="C798" t="inlineStr">
        <is>
          <t>Föryngringsavverkning</t>
        </is>
      </c>
      <c r="D798" s="1" t="n">
        <v>45994</v>
      </c>
      <c r="E798" s="1" t="n">
        <v>46228</v>
      </c>
      <c r="F798" t="inlineStr">
        <is>
          <t>VÄSTERNORRLANDS LÄN</t>
        </is>
      </c>
      <c r="G798" t="inlineStr">
        <is>
          <t>ÅNGE</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60124-2025</t>
        </is>
      </c>
      <c r="B799" t="inlineStr">
        <is>
          <t>avverkningsanmälan</t>
        </is>
      </c>
      <c r="C799" t="inlineStr">
        <is>
          <t>Föryngringsavverkning</t>
        </is>
      </c>
      <c r="D799" s="1" t="n">
        <v>45994</v>
      </c>
      <c r="E799" s="1" t="n">
        <v>46228</v>
      </c>
      <c r="F799" t="inlineStr">
        <is>
          <t>VÄSTERNORRLANDS LÄN</t>
        </is>
      </c>
      <c r="G799" t="inlineStr">
        <is>
          <t>ÅNGE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60520-2025</t>
        </is>
      </c>
      <c r="B800" t="inlineStr">
        <is>
          <t>avverkningsanmälan</t>
        </is>
      </c>
      <c r="C800" t="inlineStr">
        <is>
          <t>Avverkning för annat ändamål</t>
        </is>
      </c>
      <c r="D800" s="1" t="n">
        <v>45995</v>
      </c>
      <c r="E800" s="1" t="n">
        <v>46228</v>
      </c>
      <c r="F800" t="inlineStr">
        <is>
          <t>VÄSTERNORRLANDS LÄN</t>
        </is>
      </c>
      <c r="G800" t="inlineStr">
        <is>
          <t>ÅNGE</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27260-2023</t>
        </is>
      </c>
      <c r="B801" t="inlineStr">
        <is>
          <t>avverkningsanmälan</t>
        </is>
      </c>
      <c r="C801" t="inlineStr">
        <is>
          <t>Föryngringsavverkning</t>
        </is>
      </c>
      <c r="D801" s="1" t="n">
        <v>45092</v>
      </c>
      <c r="E801" s="1" t="n">
        <v>46228</v>
      </c>
      <c r="F801" t="inlineStr">
        <is>
          <t>VÄSTERNORRLANDS LÄN</t>
        </is>
      </c>
      <c r="G801" t="inlineStr">
        <is>
          <t>ÅNGE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58637-2023</t>
        </is>
      </c>
      <c r="B802" t="inlineStr">
        <is>
          <t>avverkningsanmälan</t>
        </is>
      </c>
      <c r="C802" t="inlineStr">
        <is>
          <t>Föryngringsavverkning</t>
        </is>
      </c>
      <c r="D802" s="1" t="n">
        <v>45251</v>
      </c>
      <c r="E802" s="1" t="n">
        <v>46228</v>
      </c>
      <c r="F802" t="inlineStr">
        <is>
          <t>VÄSTERNORRLANDS LÄN</t>
        </is>
      </c>
      <c r="G802" t="inlineStr">
        <is>
          <t>ÅNGE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30753-2024</t>
        </is>
      </c>
      <c r="B803" t="inlineStr">
        <is>
          <t>avverkningsanmälan</t>
        </is>
      </c>
      <c r="C803" t="inlineStr">
        <is>
          <t>Avverkning för annat ändamål</t>
        </is>
      </c>
      <c r="D803" s="1" t="n">
        <v>45496</v>
      </c>
      <c r="E803" s="1" t="n">
        <v>46228</v>
      </c>
      <c r="F803" t="inlineStr">
        <is>
          <t>VÄSTERNORRLANDS LÄN</t>
        </is>
      </c>
      <c r="G803" t="inlineStr">
        <is>
          <t>ÅNGE</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60403-2025</t>
        </is>
      </c>
      <c r="B804" t="inlineStr">
        <is>
          <t>avverkningsanmälan</t>
        </is>
      </c>
      <c r="C804" t="inlineStr">
        <is>
          <t>Föryngringsavverkning</t>
        </is>
      </c>
      <c r="D804" s="1" t="n">
        <v>45995</v>
      </c>
      <c r="E804" s="1" t="n">
        <v>46228</v>
      </c>
      <c r="F804" t="inlineStr">
        <is>
          <t>VÄSTERNORRLANDS LÄN</t>
        </is>
      </c>
      <c r="G804" t="inlineStr">
        <is>
          <t>ÅNGE</t>
        </is>
      </c>
      <c r="H804" t="inlineStr">
        <is>
          <t>SCA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60604-2025</t>
        </is>
      </c>
      <c r="B805" t="inlineStr">
        <is>
          <t>avverkningsanmälan</t>
        </is>
      </c>
      <c r="C805" t="inlineStr">
        <is>
          <t>Föryngringsavverkning</t>
        </is>
      </c>
      <c r="D805" s="1" t="n">
        <v>45995</v>
      </c>
      <c r="E805" s="1" t="n">
        <v>46228</v>
      </c>
      <c r="F805" t="inlineStr">
        <is>
          <t>VÄSTERNORRLANDS LÄN</t>
        </is>
      </c>
      <c r="G805" t="inlineStr">
        <is>
          <t>ÅNGE</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60422-2025</t>
        </is>
      </c>
      <c r="B806" t="inlineStr">
        <is>
          <t>avverkningsanmälan</t>
        </is>
      </c>
      <c r="C806" t="inlineStr">
        <is>
          <t>Föryngringsavverkning</t>
        </is>
      </c>
      <c r="D806" s="1" t="n">
        <v>45995</v>
      </c>
      <c r="E806" s="1" t="n">
        <v>46228</v>
      </c>
      <c r="F806" t="inlineStr">
        <is>
          <t>VÄSTERNORRLANDS LÄN</t>
        </is>
      </c>
      <c r="G806" t="inlineStr">
        <is>
          <t>ÅNGE</t>
        </is>
      </c>
      <c r="H806" t="inlineStr">
        <is>
          <t>SCA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60402-2025</t>
        </is>
      </c>
      <c r="B807" t="inlineStr">
        <is>
          <t>avverkningsanmälan</t>
        </is>
      </c>
      <c r="C807" t="inlineStr">
        <is>
          <t>Föryngringsavverkning</t>
        </is>
      </c>
      <c r="D807" s="1" t="n">
        <v>45995</v>
      </c>
      <c r="E807" s="1" t="n">
        <v>46228</v>
      </c>
      <c r="F807" t="inlineStr">
        <is>
          <t>VÄSTERNORRLANDS LÄN</t>
        </is>
      </c>
      <c r="G807" t="inlineStr">
        <is>
          <t>ÅNGE</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60599-2025</t>
        </is>
      </c>
      <c r="B808" t="inlineStr">
        <is>
          <t>avverkningsanmälan</t>
        </is>
      </c>
      <c r="C808" t="inlineStr">
        <is>
          <t>Föryngringsavverkning</t>
        </is>
      </c>
      <c r="D808" s="1" t="n">
        <v>45994</v>
      </c>
      <c r="E808" s="1" t="n">
        <v>46228</v>
      </c>
      <c r="F808" t="inlineStr">
        <is>
          <t>VÄSTERNORRLANDS LÄN</t>
        </is>
      </c>
      <c r="G808" t="inlineStr">
        <is>
          <t>ÅNGE</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60296-2025</t>
        </is>
      </c>
      <c r="B809" t="inlineStr">
        <is>
          <t>avverkningsanmälan</t>
        </is>
      </c>
      <c r="C809" t="inlineStr">
        <is>
          <t>Föryngringsavverkning</t>
        </is>
      </c>
      <c r="D809" s="1" t="n">
        <v>45994</v>
      </c>
      <c r="E809" s="1" t="n">
        <v>46228</v>
      </c>
      <c r="F809" t="inlineStr">
        <is>
          <t>VÄSTERNORRLANDS LÄN</t>
        </is>
      </c>
      <c r="G809" t="inlineStr">
        <is>
          <t>ÅNGE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57271-2024</t>
        </is>
      </c>
      <c r="B810" t="inlineStr">
        <is>
          <t>avverkningsanmälan</t>
        </is>
      </c>
      <c r="C810" t="inlineStr">
        <is>
          <t>Föryngringsavverkning</t>
        </is>
      </c>
      <c r="D810" s="1" t="n">
        <v>45629</v>
      </c>
      <c r="E810" s="1" t="n">
        <v>46228</v>
      </c>
      <c r="F810" t="inlineStr">
        <is>
          <t>VÄSTERNORRLANDS LÄN</t>
        </is>
      </c>
      <c r="G810" t="inlineStr">
        <is>
          <t>ÅNGE</t>
        </is>
      </c>
      <c r="H810" t="inlineStr">
        <is>
          <t>SCA</t>
        </is>
      </c>
      <c r="I810" t="n">
        <v>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9480-2022</t>
        </is>
      </c>
      <c r="B811" t="inlineStr">
        <is>
          <t>avverkningsanmälan</t>
        </is>
      </c>
      <c r="C811" t="inlineStr">
        <is>
          <t>Föryngringsavverkning</t>
        </is>
      </c>
      <c r="D811" s="1" t="n">
        <v>44616</v>
      </c>
      <c r="E811" s="1" t="n">
        <v>46228</v>
      </c>
      <c r="F811" t="inlineStr">
        <is>
          <t>VÄSTERNORRLANDS LÄN</t>
        </is>
      </c>
      <c r="G811" t="inlineStr">
        <is>
          <t>ÅNGE</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51124-2024</t>
        </is>
      </c>
      <c r="B812" t="inlineStr">
        <is>
          <t>avverkningsanmälan</t>
        </is>
      </c>
      <c r="C812" t="inlineStr">
        <is>
          <t>Föryngringsavverkning</t>
        </is>
      </c>
      <c r="D812" s="1" t="n">
        <v>45603</v>
      </c>
      <c r="E812" s="1" t="n">
        <v>46228</v>
      </c>
      <c r="F812" t="inlineStr">
        <is>
          <t>VÄSTERNORRLANDS LÄN</t>
        </is>
      </c>
      <c r="G812" t="inlineStr">
        <is>
          <t>ÅNGE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22549-2025</t>
        </is>
      </c>
      <c r="B813" t="inlineStr">
        <is>
          <t>avverkningsanmälan</t>
        </is>
      </c>
      <c r="C813" t="inlineStr">
        <is>
          <t>Föryngringsavverkning</t>
        </is>
      </c>
      <c r="D813" s="1" t="n">
        <v>45788</v>
      </c>
      <c r="E813" s="1" t="n">
        <v>46228</v>
      </c>
      <c r="F813" t="inlineStr">
        <is>
          <t>VÄSTERNORRLANDS LÄN</t>
        </is>
      </c>
      <c r="G813" t="inlineStr">
        <is>
          <t>ÅNGE</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60864-2025</t>
        </is>
      </c>
      <c r="B814" t="inlineStr">
        <is>
          <t>avverkningsanmälan</t>
        </is>
      </c>
      <c r="C814" t="inlineStr">
        <is>
          <t>Föryngringsavverkning</t>
        </is>
      </c>
      <c r="D814" s="1" t="n">
        <v>45999</v>
      </c>
      <c r="E814" s="1" t="n">
        <v>46228</v>
      </c>
      <c r="F814" t="inlineStr">
        <is>
          <t>VÄSTERNORRLANDS LÄN</t>
        </is>
      </c>
      <c r="G814" t="inlineStr">
        <is>
          <t>ÅNGE</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61500-2025</t>
        </is>
      </c>
      <c r="B815" t="inlineStr">
        <is>
          <t>avverkningsanmälan</t>
        </is>
      </c>
      <c r="C815" t="inlineStr">
        <is>
          <t>Föryngringsavverkning</t>
        </is>
      </c>
      <c r="D815" s="1" t="n">
        <v>46001</v>
      </c>
      <c r="E815" s="1" t="n">
        <v>46228</v>
      </c>
      <c r="F815" t="inlineStr">
        <is>
          <t>VÄSTERNORRLANDS LÄN</t>
        </is>
      </c>
      <c r="G815" t="inlineStr">
        <is>
          <t>ÅNGE</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61075-2025</t>
        </is>
      </c>
      <c r="B816" t="inlineStr">
        <is>
          <t>avverkningsanmälan</t>
        </is>
      </c>
      <c r="C816" t="inlineStr">
        <is>
          <t>Föryngringsavverkning</t>
        </is>
      </c>
      <c r="D816" s="1" t="n">
        <v>46000</v>
      </c>
      <c r="E816" s="1" t="n">
        <v>46228</v>
      </c>
      <c r="F816" t="inlineStr">
        <is>
          <t>VÄSTERNORRLANDS LÄN</t>
        </is>
      </c>
      <c r="G816" t="inlineStr">
        <is>
          <t>ÅNGE</t>
        </is>
      </c>
      <c r="H816" t="inlineStr">
        <is>
          <t>Holmen skog AB</t>
        </is>
      </c>
      <c r="I816" t="n">
        <v>7.9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51377-2024</t>
        </is>
      </c>
      <c r="B817" t="inlineStr">
        <is>
          <t>avverkningsanmälan</t>
        </is>
      </c>
      <c r="C817" t="inlineStr">
        <is>
          <t>Avverkning för annat ändamål</t>
        </is>
      </c>
      <c r="D817" s="1" t="n">
        <v>45604</v>
      </c>
      <c r="E817" s="1" t="n">
        <v>46228</v>
      </c>
      <c r="F817" t="inlineStr">
        <is>
          <t>VÄSTERNORRLANDS LÄN</t>
        </is>
      </c>
      <c r="G817" t="inlineStr">
        <is>
          <t>ÅNGE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44876-2024</t>
        </is>
      </c>
      <c r="B818" t="inlineStr">
        <is>
          <t>avverkningsanmälan</t>
        </is>
      </c>
      <c r="C818" t="inlineStr">
        <is>
          <t>Avverkning för att bevara och utveckla /försöksver</t>
        </is>
      </c>
      <c r="D818" s="1" t="n">
        <v>45575</v>
      </c>
      <c r="E818" s="1" t="n">
        <v>46228</v>
      </c>
      <c r="F818" t="inlineStr">
        <is>
          <t>VÄSTERNORRLANDS LÄN</t>
        </is>
      </c>
      <c r="G818" t="inlineStr">
        <is>
          <t>ÅNGE</t>
        </is>
      </c>
      <c r="H818" t="inlineStr">
        <is>
          <t>SCA</t>
        </is>
      </c>
      <c r="I818" t="n">
        <v>12.4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61203-2025</t>
        </is>
      </c>
      <c r="B819" t="inlineStr">
        <is>
          <t>avverkningsanmälan</t>
        </is>
      </c>
      <c r="C819" t="inlineStr">
        <is>
          <t>Föryngringsavverkning</t>
        </is>
      </c>
      <c r="D819" s="1" t="n">
        <v>46000</v>
      </c>
      <c r="E819" s="1" t="n">
        <v>46228</v>
      </c>
      <c r="F819" t="inlineStr">
        <is>
          <t>VÄSTERNORRLANDS LÄN</t>
        </is>
      </c>
      <c r="G819" t="inlineStr">
        <is>
          <t>ÅNGE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20229-2022</t>
        </is>
      </c>
      <c r="B820" t="inlineStr">
        <is>
          <t>avverkningsanmälan</t>
        </is>
      </c>
      <c r="C820" t="inlineStr">
        <is>
          <t>Föryngringsavverkning</t>
        </is>
      </c>
      <c r="D820" s="1" t="n">
        <v>44698</v>
      </c>
      <c r="E820" s="1" t="n">
        <v>46228</v>
      </c>
      <c r="F820" t="inlineStr">
        <is>
          <t>VÄSTERNORRLANDS LÄN</t>
        </is>
      </c>
      <c r="G820" t="inlineStr">
        <is>
          <t>ÅNGE</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14097-2022</t>
        </is>
      </c>
      <c r="B821" t="inlineStr">
        <is>
          <t>avverkningsanmälan</t>
        </is>
      </c>
      <c r="C821" t="inlineStr">
        <is>
          <t>Föryngringsavverkning</t>
        </is>
      </c>
      <c r="D821" s="1" t="n">
        <v>44651</v>
      </c>
      <c r="E821" s="1" t="n">
        <v>46228</v>
      </c>
      <c r="F821" t="inlineStr">
        <is>
          <t>VÄSTERNORRLANDS LÄN</t>
        </is>
      </c>
      <c r="G821" t="inlineStr">
        <is>
          <t>ÅNGE</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32901-2023</t>
        </is>
      </c>
      <c r="B822" t="inlineStr">
        <is>
          <t>avverkningsanmälan</t>
        </is>
      </c>
      <c r="C822" t="inlineStr">
        <is>
          <t>Föryngringsavverkning</t>
        </is>
      </c>
      <c r="D822" s="1" t="n">
        <v>45124</v>
      </c>
      <c r="E822" s="1" t="n">
        <v>46228</v>
      </c>
      <c r="F822" t="inlineStr">
        <is>
          <t>VÄSTERNORRLANDS LÄN</t>
        </is>
      </c>
      <c r="G822" t="inlineStr">
        <is>
          <t>ÅNGE</t>
        </is>
      </c>
      <c r="H822" t="inlineStr">
        <is>
          <t>SCA</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15603-2024</t>
        </is>
      </c>
      <c r="B823" t="inlineStr">
        <is>
          <t>avverkningsanmälan</t>
        </is>
      </c>
      <c r="C823" t="inlineStr">
        <is>
          <t>Föryngringsavverkning</t>
        </is>
      </c>
      <c r="D823" s="1" t="n">
        <v>45401</v>
      </c>
      <c r="E823" s="1" t="n">
        <v>46228</v>
      </c>
      <c r="F823" t="inlineStr">
        <is>
          <t>VÄSTERNORRLANDS LÄN</t>
        </is>
      </c>
      <c r="G823" t="inlineStr">
        <is>
          <t>ÅNGE</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61308-2025</t>
        </is>
      </c>
      <c r="B824" t="inlineStr">
        <is>
          <t>avverkningsanmälan</t>
        </is>
      </c>
      <c r="C824" t="inlineStr">
        <is>
          <t>Föryngringsavverkning</t>
        </is>
      </c>
      <c r="D824" s="1" t="n">
        <v>46000</v>
      </c>
      <c r="E824" s="1" t="n">
        <v>46228</v>
      </c>
      <c r="F824" t="inlineStr">
        <is>
          <t>VÄSTERNORRLANDS LÄN</t>
        </is>
      </c>
      <c r="G824" t="inlineStr">
        <is>
          <t>ÅNGE</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61349-2025</t>
        </is>
      </c>
      <c r="B825" t="inlineStr">
        <is>
          <t>avverkningsanmälan</t>
        </is>
      </c>
      <c r="C825" t="inlineStr">
        <is>
          <t>Föryngringsavverkning</t>
        </is>
      </c>
      <c r="D825" s="1" t="n">
        <v>46001</v>
      </c>
      <c r="E825" s="1" t="n">
        <v>46228</v>
      </c>
      <c r="F825" t="inlineStr">
        <is>
          <t>VÄSTERNORRLANDS LÄN</t>
        </is>
      </c>
      <c r="G825" t="inlineStr">
        <is>
          <t>ÅNGE</t>
        </is>
      </c>
      <c r="H825" t="inlineStr">
        <is>
          <t>SCA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28500-2026</t>
        </is>
      </c>
      <c r="B826" t="inlineStr">
        <is>
          <t>avverkningsanmälan</t>
        </is>
      </c>
      <c r="C826" t="inlineStr">
        <is>
          <t>Föryngringsavverkning</t>
        </is>
      </c>
      <c r="D826" s="1" t="n">
        <v>46197</v>
      </c>
      <c r="E826" s="1" t="n">
        <v>46228</v>
      </c>
      <c r="F826" t="inlineStr">
        <is>
          <t>VÄSTERNORRLANDS LÄN</t>
        </is>
      </c>
      <c r="G826" t="inlineStr">
        <is>
          <t>ÅNGE</t>
        </is>
      </c>
      <c r="H826" t="inlineStr">
        <is>
          <t>SCA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61321-2025</t>
        </is>
      </c>
      <c r="B827" t="inlineStr">
        <is>
          <t>avverkningsanmälan</t>
        </is>
      </c>
      <c r="C827" t="inlineStr">
        <is>
          <t>Föryngringsavverkning</t>
        </is>
      </c>
      <c r="D827" s="1" t="n">
        <v>46000</v>
      </c>
      <c r="E827" s="1" t="n">
        <v>46228</v>
      </c>
      <c r="F827" t="inlineStr">
        <is>
          <t>VÄSTERNORRLANDS LÄN</t>
        </is>
      </c>
      <c r="G827" t="inlineStr">
        <is>
          <t>ÅNGE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61332-2025</t>
        </is>
      </c>
      <c r="B828" t="inlineStr">
        <is>
          <t>avverkningsanmälan</t>
        </is>
      </c>
      <c r="C828" t="inlineStr">
        <is>
          <t>Föryngringsavverkning</t>
        </is>
      </c>
      <c r="D828" s="1" t="n">
        <v>46001</v>
      </c>
      <c r="E828" s="1" t="n">
        <v>46228</v>
      </c>
      <c r="F828" t="inlineStr">
        <is>
          <t>VÄSTERNORRLANDS LÄN</t>
        </is>
      </c>
      <c r="G828" t="inlineStr">
        <is>
          <t>ÅNGE</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28495-2026</t>
        </is>
      </c>
      <c r="B829" t="inlineStr">
        <is>
          <t>avverkningsanmälan</t>
        </is>
      </c>
      <c r="C829" t="inlineStr">
        <is>
          <t>Föryngringsavverkning</t>
        </is>
      </c>
      <c r="D829" s="1" t="n">
        <v>46197</v>
      </c>
      <c r="E829" s="1" t="n">
        <v>46228</v>
      </c>
      <c r="F829" t="inlineStr">
        <is>
          <t>VÄSTERNORRLANDS LÄN</t>
        </is>
      </c>
      <c r="G829" t="inlineStr">
        <is>
          <t>ÅNGE</t>
        </is>
      </c>
      <c r="H829" t="inlineStr">
        <is>
          <t>SCA</t>
        </is>
      </c>
      <c r="I829" t="n">
        <v>7.2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61857-2025</t>
        </is>
      </c>
      <c r="B830" t="inlineStr">
        <is>
          <t>avverkningsanmälan</t>
        </is>
      </c>
      <c r="C830" t="inlineStr">
        <is>
          <t>Föryngringsavverkning</t>
        </is>
      </c>
      <c r="D830" s="1" t="n">
        <v>46003</v>
      </c>
      <c r="E830" s="1" t="n">
        <v>46228</v>
      </c>
      <c r="F830" t="inlineStr">
        <is>
          <t>VÄSTERNORRLANDS LÄN</t>
        </is>
      </c>
      <c r="G830" t="inlineStr">
        <is>
          <t>ÅNGE</t>
        </is>
      </c>
      <c r="H830" t="inlineStr">
        <is>
          <t>SCA</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28504-2026</t>
        </is>
      </c>
      <c r="B831" t="inlineStr">
        <is>
          <t>avverkningsanmälan</t>
        </is>
      </c>
      <c r="C831" t="inlineStr">
        <is>
          <t>Föryngringsavverkning</t>
        </is>
      </c>
      <c r="D831" s="1" t="n">
        <v>46197</v>
      </c>
      <c r="E831" s="1" t="n">
        <v>46228</v>
      </c>
      <c r="F831" t="inlineStr">
        <is>
          <t>VÄSTERNORRLANDS LÄN</t>
        </is>
      </c>
      <c r="G831" t="inlineStr">
        <is>
          <t>ÅNGE</t>
        </is>
      </c>
      <c r="H831" t="inlineStr">
        <is>
          <t>SCA</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41355-2024</t>
        </is>
      </c>
      <c r="B832" t="inlineStr">
        <is>
          <t>avverkningsanmälan</t>
        </is>
      </c>
      <c r="C832" t="inlineStr">
        <is>
          <t>Föryngringsavverkning</t>
        </is>
      </c>
      <c r="D832" s="1" t="n">
        <v>45559</v>
      </c>
      <c r="E832" s="1" t="n">
        <v>46228</v>
      </c>
      <c r="F832" t="inlineStr">
        <is>
          <t>VÄSTERNORRLANDS LÄN</t>
        </is>
      </c>
      <c r="G832" t="inlineStr">
        <is>
          <t>ÅNGE</t>
        </is>
      </c>
      <c r="H832" t="inlineStr">
        <is>
          <t>SCA</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34629-2025</t>
        </is>
      </c>
      <c r="B833" t="inlineStr">
        <is>
          <t>avverkningsanmälan</t>
        </is>
      </c>
      <c r="C833" t="inlineStr">
        <is>
          <t>Avverkning för annat ändamål</t>
        </is>
      </c>
      <c r="D833" s="1" t="n">
        <v>45847</v>
      </c>
      <c r="E833" s="1" t="n">
        <v>46228</v>
      </c>
      <c r="F833" t="inlineStr">
        <is>
          <t>VÄSTERNORRLANDS LÄN</t>
        </is>
      </c>
      <c r="G833" t="inlineStr">
        <is>
          <t>ÅNGE</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8569-2026</t>
        </is>
      </c>
      <c r="B834" t="inlineStr">
        <is>
          <t>avverkningsanmälan</t>
        </is>
      </c>
      <c r="C834" t="inlineStr">
        <is>
          <t>Föryngringsavverkning</t>
        </is>
      </c>
      <c r="D834" s="1" t="n">
        <v>46065</v>
      </c>
      <c r="E834" s="1" t="n">
        <v>46228</v>
      </c>
      <c r="F834" t="inlineStr">
        <is>
          <t>VÄSTERNORRLANDS LÄN</t>
        </is>
      </c>
      <c r="G834" t="inlineStr">
        <is>
          <t>ÅNGE</t>
        </is>
      </c>
      <c r="H834" t="inlineStr">
        <is>
          <t>SCA</t>
        </is>
      </c>
      <c r="I834" t="n">
        <v>30.5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22417-2026</t>
        </is>
      </c>
      <c r="B835" t="inlineStr">
        <is>
          <t>avverkningsanmälan</t>
        </is>
      </c>
      <c r="C835" t="inlineStr">
        <is>
          <t>Föryngringsavverkning</t>
        </is>
      </c>
      <c r="D835" s="1" t="n">
        <v>46154</v>
      </c>
      <c r="E835" s="1" t="n">
        <v>46228</v>
      </c>
      <c r="F835" t="inlineStr">
        <is>
          <t>VÄSTERNORRLANDS LÄN</t>
        </is>
      </c>
      <c r="G835" t="inlineStr">
        <is>
          <t>ÅNGE</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11310-2023</t>
        </is>
      </c>
      <c r="B836" t="inlineStr">
        <is>
          <t>avverkningsanmälan</t>
        </is>
      </c>
      <c r="C836" t="inlineStr">
        <is>
          <t>Föryngringsavverkning</t>
        </is>
      </c>
      <c r="D836" s="1" t="n">
        <v>44993</v>
      </c>
      <c r="E836" s="1" t="n">
        <v>46228</v>
      </c>
      <c r="F836" t="inlineStr">
        <is>
          <t>VÄSTERNORRLANDS LÄN</t>
        </is>
      </c>
      <c r="G836" t="inlineStr">
        <is>
          <t>ÅNGE</t>
        </is>
      </c>
      <c r="H836" t="inlineStr">
        <is>
          <t>SCA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62101-2025</t>
        </is>
      </c>
      <c r="B837" t="inlineStr">
        <is>
          <t>avverkningsanmälan</t>
        </is>
      </c>
      <c r="C837" t="inlineStr">
        <is>
          <t>Avverkning för att bevara och utveckla /försöksver</t>
        </is>
      </c>
      <c r="D837" s="1" t="n">
        <v>46006</v>
      </c>
      <c r="E837" s="1" t="n">
        <v>46228</v>
      </c>
      <c r="F837" t="inlineStr">
        <is>
          <t>VÄSTERNORRLANDS LÄN</t>
        </is>
      </c>
      <c r="G837" t="inlineStr">
        <is>
          <t>ÅNGE</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21409-2022</t>
        </is>
      </c>
      <c r="B838" t="inlineStr">
        <is>
          <t>avverkningsanmälan</t>
        </is>
      </c>
      <c r="C838" t="inlineStr">
        <is>
          <t>Föryngringsavverkning</t>
        </is>
      </c>
      <c r="D838" s="1" t="n">
        <v>44705</v>
      </c>
      <c r="E838" s="1" t="n">
        <v>46228</v>
      </c>
      <c r="F838" t="inlineStr">
        <is>
          <t>VÄSTERNORRLANDS LÄN</t>
        </is>
      </c>
      <c r="G838" t="inlineStr">
        <is>
          <t>ÅNGE</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48632-2023</t>
        </is>
      </c>
      <c r="B839" t="inlineStr">
        <is>
          <t>avverkningsanmälan</t>
        </is>
      </c>
      <c r="C839" t="inlineStr">
        <is>
          <t>Föryngringsavverkning</t>
        </is>
      </c>
      <c r="D839" s="1" t="n">
        <v>45208</v>
      </c>
      <c r="E839" s="1" t="n">
        <v>46228</v>
      </c>
      <c r="F839" t="inlineStr">
        <is>
          <t>VÄSTERNORRLANDS LÄN</t>
        </is>
      </c>
      <c r="G839" t="inlineStr">
        <is>
          <t>ÅNGE</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62160-2025</t>
        </is>
      </c>
      <c r="B840" t="inlineStr">
        <is>
          <t>avverkningsanmälan</t>
        </is>
      </c>
      <c r="C840" t="inlineStr">
        <is>
          <t>Föryngringsavverkning</t>
        </is>
      </c>
      <c r="D840" s="1" t="n">
        <v>46006</v>
      </c>
      <c r="E840" s="1" t="n">
        <v>46228</v>
      </c>
      <c r="F840" t="inlineStr">
        <is>
          <t>VÄSTERNORRLANDS LÄN</t>
        </is>
      </c>
      <c r="G840" t="inlineStr">
        <is>
          <t>ÅNGE</t>
        </is>
      </c>
      <c r="H840" t="inlineStr">
        <is>
          <t>SCA</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20761-2024</t>
        </is>
      </c>
      <c r="B841" t="inlineStr">
        <is>
          <t>avverkningsanmälan</t>
        </is>
      </c>
      <c r="C841" t="inlineStr">
        <is>
          <t>Föryngringsavverkning</t>
        </is>
      </c>
      <c r="D841" s="1" t="n">
        <v>45436</v>
      </c>
      <c r="E841" s="1" t="n">
        <v>46228</v>
      </c>
      <c r="F841" t="inlineStr">
        <is>
          <t>VÄSTERNORRLANDS LÄN</t>
        </is>
      </c>
      <c r="G841" t="inlineStr">
        <is>
          <t>ÅNGE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10339-2025</t>
        </is>
      </c>
      <c r="B842" t="inlineStr">
        <is>
          <t>avverkningsanmälan</t>
        </is>
      </c>
      <c r="C842" t="inlineStr">
        <is>
          <t>Föryngringsavverkning</t>
        </is>
      </c>
      <c r="D842" s="1" t="n">
        <v>45720</v>
      </c>
      <c r="E842" s="1" t="n">
        <v>46228</v>
      </c>
      <c r="F842" t="inlineStr">
        <is>
          <t>VÄSTERNORRLANDS LÄN</t>
        </is>
      </c>
      <c r="G842" t="inlineStr">
        <is>
          <t>ÅNGE</t>
        </is>
      </c>
      <c r="H842" t="inlineStr">
        <is>
          <t>SCA</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28283-2026</t>
        </is>
      </c>
      <c r="B843" t="inlineStr">
        <is>
          <t>avverkningsanmälan</t>
        </is>
      </c>
      <c r="C843" t="inlineStr">
        <is>
          <t>Föryngringsavverkning</t>
        </is>
      </c>
      <c r="D843" s="1" t="n">
        <v>46196</v>
      </c>
      <c r="E843" s="1" t="n">
        <v>46228</v>
      </c>
      <c r="F843" t="inlineStr">
        <is>
          <t>VÄSTERNORRLANDS LÄN</t>
        </is>
      </c>
      <c r="G843" t="inlineStr">
        <is>
          <t>ÅNGE</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62661-2025</t>
        </is>
      </c>
      <c r="B844" t="inlineStr">
        <is>
          <t>avverkningsanmälan</t>
        </is>
      </c>
      <c r="C844" t="inlineStr">
        <is>
          <t>Föryngringsavverkning</t>
        </is>
      </c>
      <c r="D844" s="1" t="n">
        <v>46008</v>
      </c>
      <c r="E844" s="1" t="n">
        <v>46228</v>
      </c>
      <c r="F844" t="inlineStr">
        <is>
          <t>VÄSTERNORRLANDS LÄN</t>
        </is>
      </c>
      <c r="G844" t="inlineStr">
        <is>
          <t>ÅNGE</t>
        </is>
      </c>
      <c r="H844" t="inlineStr">
        <is>
          <t>SCA</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12581-2024</t>
        </is>
      </c>
      <c r="B845" t="inlineStr">
        <is>
          <t>avverkningsanmälan</t>
        </is>
      </c>
      <c r="C845" t="inlineStr">
        <is>
          <t>Föryngringsavverkning</t>
        </is>
      </c>
      <c r="D845" s="1" t="n">
        <v>45379</v>
      </c>
      <c r="E845" s="1" t="n">
        <v>46228</v>
      </c>
      <c r="F845" t="inlineStr">
        <is>
          <t>VÄSTERNORRLANDS LÄN</t>
        </is>
      </c>
      <c r="G845" t="inlineStr">
        <is>
          <t>ÅNGE</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52665-2024</t>
        </is>
      </c>
      <c r="B846" t="inlineStr">
        <is>
          <t>avverkningsanmälan</t>
        </is>
      </c>
      <c r="C846" t="inlineStr">
        <is>
          <t>Föryngringsavverkning</t>
        </is>
      </c>
      <c r="D846" s="1" t="n">
        <v>45610</v>
      </c>
      <c r="E846" s="1" t="n">
        <v>46228</v>
      </c>
      <c r="F846" t="inlineStr">
        <is>
          <t>VÄSTERNORRLANDS LÄN</t>
        </is>
      </c>
      <c r="G846" t="inlineStr">
        <is>
          <t>ÅNGE</t>
        </is>
      </c>
      <c r="H846" t="inlineStr">
        <is>
          <t>SCA</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20338-2025</t>
        </is>
      </c>
      <c r="B847" t="inlineStr">
        <is>
          <t>avverkningsanmälan</t>
        </is>
      </c>
      <c r="C847" t="inlineStr">
        <is>
          <t>Föryngringsavverkning</t>
        </is>
      </c>
      <c r="D847" s="1" t="n">
        <v>45775</v>
      </c>
      <c r="E847" s="1" t="n">
        <v>46228</v>
      </c>
      <c r="F847" t="inlineStr">
        <is>
          <t>VÄSTERNORRLANDS LÄN</t>
        </is>
      </c>
      <c r="G847" t="inlineStr">
        <is>
          <t>ÅNGE</t>
        </is>
      </c>
      <c r="H847" t="inlineStr">
        <is>
          <t>SCA</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63092-2025</t>
        </is>
      </c>
      <c r="B848" t="inlineStr">
        <is>
          <t>avverkningsanmälan</t>
        </is>
      </c>
      <c r="C848" t="inlineStr">
        <is>
          <t>Föryngringsavverkning</t>
        </is>
      </c>
      <c r="D848" s="1" t="n">
        <v>46009</v>
      </c>
      <c r="E848" s="1" t="n">
        <v>46228</v>
      </c>
      <c r="F848" t="inlineStr">
        <is>
          <t>VÄSTERNORRLANDS LÄN</t>
        </is>
      </c>
      <c r="G848" t="inlineStr">
        <is>
          <t>ÅNGE</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62763-2025</t>
        </is>
      </c>
      <c r="B849" t="inlineStr">
        <is>
          <t>avverkningsanmälan</t>
        </is>
      </c>
      <c r="C849" t="inlineStr">
        <is>
          <t>Föryngringsavverkning</t>
        </is>
      </c>
      <c r="D849" s="1" t="n">
        <v>46008</v>
      </c>
      <c r="E849" s="1" t="n">
        <v>46228</v>
      </c>
      <c r="F849" t="inlineStr">
        <is>
          <t>VÄSTERNORRLANDS LÄN</t>
        </is>
      </c>
      <c r="G849" t="inlineStr">
        <is>
          <t>ÅNGE</t>
        </is>
      </c>
      <c r="H849" t="inlineStr">
        <is>
          <t>SCA</t>
        </is>
      </c>
      <c r="I849" t="n">
        <v>7.6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62793-2025</t>
        </is>
      </c>
      <c r="B850" t="inlineStr">
        <is>
          <t>avverkningsanmälan</t>
        </is>
      </c>
      <c r="C850" t="inlineStr">
        <is>
          <t>Föryngringsavverkning</t>
        </is>
      </c>
      <c r="D850" s="1" t="n">
        <v>46008</v>
      </c>
      <c r="E850" s="1" t="n">
        <v>46228</v>
      </c>
      <c r="F850" t="inlineStr">
        <is>
          <t>VÄSTERNORRLANDS LÄN</t>
        </is>
      </c>
      <c r="G850" t="inlineStr">
        <is>
          <t>ÅNGE</t>
        </is>
      </c>
      <c r="H850" t="inlineStr">
        <is>
          <t>SCA</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28244-2026</t>
        </is>
      </c>
      <c r="B851" t="inlineStr">
        <is>
          <t>avverkningsanmälan</t>
        </is>
      </c>
      <c r="C851" t="inlineStr">
        <is>
          <t>Föryngringsavverkning</t>
        </is>
      </c>
      <c r="D851" s="1" t="n">
        <v>46196</v>
      </c>
      <c r="E851" s="1" t="n">
        <v>46228</v>
      </c>
      <c r="F851" t="inlineStr">
        <is>
          <t>VÄSTERNORRLANDS LÄN</t>
        </is>
      </c>
      <c r="G851" t="inlineStr">
        <is>
          <t>ÅNGE</t>
        </is>
      </c>
      <c r="H851" t="inlineStr">
        <is>
          <t>SCA</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54342-2023</t>
        </is>
      </c>
      <c r="B852" t="inlineStr">
        <is>
          <t>avverkningsanmälan</t>
        </is>
      </c>
      <c r="C852" t="inlineStr">
        <is>
          <t>Föryngringsavverkning</t>
        </is>
      </c>
      <c r="D852" s="1" t="n">
        <v>45232</v>
      </c>
      <c r="E852" s="1" t="n">
        <v>46228</v>
      </c>
      <c r="F852" t="inlineStr">
        <is>
          <t>VÄSTERNORRLANDS LÄN</t>
        </is>
      </c>
      <c r="G852" t="inlineStr">
        <is>
          <t>ÅNGE</t>
        </is>
      </c>
      <c r="H852" t="inlineStr">
        <is>
          <t>SCA</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12479-2026</t>
        </is>
      </c>
      <c r="B853" t="inlineStr">
        <is>
          <t>avverkningsanmälan</t>
        </is>
      </c>
      <c r="C853" t="inlineStr">
        <is>
          <t>Föryngringsavverkning</t>
        </is>
      </c>
      <c r="D853" s="1" t="n">
        <v>46090</v>
      </c>
      <c r="E853" s="1" t="n">
        <v>46228</v>
      </c>
      <c r="F853" t="inlineStr">
        <is>
          <t>VÄSTERNORRLANDS LÄN</t>
        </is>
      </c>
      <c r="G853" t="inlineStr">
        <is>
          <t>ÅNGE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28336-2026</t>
        </is>
      </c>
      <c r="B854" t="inlineStr">
        <is>
          <t>avverkningsanmälan</t>
        </is>
      </c>
      <c r="C854" t="inlineStr">
        <is>
          <t>Föryngringsavverkning</t>
        </is>
      </c>
      <c r="D854" s="1" t="n">
        <v>46196</v>
      </c>
      <c r="E854" s="1" t="n">
        <v>46228</v>
      </c>
      <c r="F854" t="inlineStr">
        <is>
          <t>VÄSTERNORRLANDS LÄN</t>
        </is>
      </c>
      <c r="G854" t="inlineStr">
        <is>
          <t>ÅNGE</t>
        </is>
      </c>
      <c r="H854" t="inlineStr">
        <is>
          <t>SCA</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19066-2024</t>
        </is>
      </c>
      <c r="B855" t="inlineStr">
        <is>
          <t>avverkningsanmälan</t>
        </is>
      </c>
      <c r="C855" t="inlineStr">
        <is>
          <t>Avverkning för annat ändamål</t>
        </is>
      </c>
      <c r="D855" s="1" t="n">
        <v>45427</v>
      </c>
      <c r="E855" s="1" t="n">
        <v>46228</v>
      </c>
      <c r="F855" t="inlineStr">
        <is>
          <t>VÄSTERNORRLANDS LÄN</t>
        </is>
      </c>
      <c r="G855" t="inlineStr">
        <is>
          <t>ÅNGE</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8070-2022</t>
        </is>
      </c>
      <c r="B856" t="inlineStr">
        <is>
          <t>avverkningsanmälan</t>
        </is>
      </c>
      <c r="C856" t="inlineStr">
        <is>
          <t>Föryngringsavverkning</t>
        </is>
      </c>
      <c r="D856" s="1" t="n">
        <v>44609</v>
      </c>
      <c r="E856" s="1" t="n">
        <v>46228</v>
      </c>
      <c r="F856" t="inlineStr">
        <is>
          <t>VÄSTERNORRLANDS LÄN</t>
        </is>
      </c>
      <c r="G856" t="inlineStr">
        <is>
          <t>ÅNGE</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62336-2025</t>
        </is>
      </c>
      <c r="B857" t="inlineStr">
        <is>
          <t>avverkningsanmälan</t>
        </is>
      </c>
      <c r="C857" t="inlineStr">
        <is>
          <t>Föryngringsavverkning</t>
        </is>
      </c>
      <c r="D857" s="1" t="n">
        <v>46006</v>
      </c>
      <c r="E857" s="1" t="n">
        <v>46228</v>
      </c>
      <c r="F857" t="inlineStr">
        <is>
          <t>VÄSTERNORRLANDS LÄN</t>
        </is>
      </c>
      <c r="G857" t="inlineStr">
        <is>
          <t>ÅNGE</t>
        </is>
      </c>
      <c r="I857" t="n">
        <v>13.4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4651-2022</t>
        </is>
      </c>
      <c r="B858" t="inlineStr">
        <is>
          <t>avverkningsanmälan</t>
        </is>
      </c>
      <c r="C858" t="inlineStr">
        <is>
          <t>Föryngringsavverkning</t>
        </is>
      </c>
      <c r="D858" s="1" t="n">
        <v>44592</v>
      </c>
      <c r="E858" s="1" t="n">
        <v>46228</v>
      </c>
      <c r="F858" t="inlineStr">
        <is>
          <t>VÄSTERNORRLANDS LÄN</t>
        </is>
      </c>
      <c r="G858" t="inlineStr">
        <is>
          <t>ÅNGE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4095-2023</t>
        </is>
      </c>
      <c r="B859" t="inlineStr">
        <is>
          <t>avverkningsanmälan</t>
        </is>
      </c>
      <c r="C859" t="inlineStr">
        <is>
          <t>Föryngringsavverkning</t>
        </is>
      </c>
      <c r="D859" s="1" t="n">
        <v>44952</v>
      </c>
      <c r="E859" s="1" t="n">
        <v>46228</v>
      </c>
      <c r="F859" t="inlineStr">
        <is>
          <t>VÄSTERNORRLANDS LÄN</t>
        </is>
      </c>
      <c r="G859" t="inlineStr">
        <is>
          <t>ÅNGE</t>
        </is>
      </c>
      <c r="I859" t="n">
        <v>13.4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5246-2025</t>
        </is>
      </c>
      <c r="B860" t="inlineStr">
        <is>
          <t>avverkningsanmälan</t>
        </is>
      </c>
      <c r="C860" t="inlineStr">
        <is>
          <t>Föryngringsavverkning</t>
        </is>
      </c>
      <c r="D860" s="1" t="n">
        <v>45692</v>
      </c>
      <c r="E860" s="1" t="n">
        <v>46228</v>
      </c>
      <c r="F860" t="inlineStr">
        <is>
          <t>VÄSTERNORRLANDS LÄN</t>
        </is>
      </c>
      <c r="G860" t="inlineStr">
        <is>
          <t>ÅNGE</t>
        </is>
      </c>
      <c r="H860" t="inlineStr">
        <is>
          <t>SCA</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63686-2025</t>
        </is>
      </c>
      <c r="B861" t="inlineStr">
        <is>
          <t>avverkningsanmälan</t>
        </is>
      </c>
      <c r="C861" t="inlineStr">
        <is>
          <t>Föryngringsavverkning</t>
        </is>
      </c>
      <c r="D861" s="1" t="n">
        <v>46014</v>
      </c>
      <c r="E861" s="1" t="n">
        <v>46228</v>
      </c>
      <c r="F861" t="inlineStr">
        <is>
          <t>VÄSTERNORRLANDS LÄN</t>
        </is>
      </c>
      <c r="G861" t="inlineStr">
        <is>
          <t>ÅNGE</t>
        </is>
      </c>
      <c r="H861" t="inlineStr">
        <is>
          <t>SCA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16973-2025</t>
        </is>
      </c>
      <c r="B862" t="inlineStr">
        <is>
          <t>avverkningsanmälan</t>
        </is>
      </c>
      <c r="C862" t="inlineStr">
        <is>
          <t>Föryngringsavverkning</t>
        </is>
      </c>
      <c r="D862" s="1" t="n">
        <v>45755</v>
      </c>
      <c r="E862" s="1" t="n">
        <v>46228</v>
      </c>
      <c r="F862" t="inlineStr">
        <is>
          <t>VÄSTERNORRLANDS LÄN</t>
        </is>
      </c>
      <c r="G862" t="inlineStr">
        <is>
          <t>ÅNGE</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63642-2025</t>
        </is>
      </c>
      <c r="B863" t="inlineStr">
        <is>
          <t>avverkningsanmälan</t>
        </is>
      </c>
      <c r="C863" t="inlineStr">
        <is>
          <t>Föryngringsavverkning</t>
        </is>
      </c>
      <c r="D863" s="1" t="n">
        <v>46014</v>
      </c>
      <c r="E863" s="1" t="n">
        <v>46228</v>
      </c>
      <c r="F863" t="inlineStr">
        <is>
          <t>VÄSTERNORRLANDS LÄN</t>
        </is>
      </c>
      <c r="G863" t="inlineStr">
        <is>
          <t>ÅNGE</t>
        </is>
      </c>
      <c r="I863" t="n">
        <v>9.699999999999999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34679-2024</t>
        </is>
      </c>
      <c r="B864" t="inlineStr">
        <is>
          <t>avverkningsanmälan</t>
        </is>
      </c>
      <c r="C864" t="inlineStr">
        <is>
          <t>Föryngringsavverkning</t>
        </is>
      </c>
      <c r="D864" s="1" t="n">
        <v>45526</v>
      </c>
      <c r="E864" s="1" t="n">
        <v>46228</v>
      </c>
      <c r="F864" t="inlineStr">
        <is>
          <t>VÄSTERNORRLANDS LÄN</t>
        </is>
      </c>
      <c r="G864" t="inlineStr">
        <is>
          <t>ÅNGE</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63652-2025</t>
        </is>
      </c>
      <c r="B865" t="inlineStr">
        <is>
          <t>avverkningsanmälan</t>
        </is>
      </c>
      <c r="C865" t="inlineStr">
        <is>
          <t>Föryngringsavverkning</t>
        </is>
      </c>
      <c r="D865" s="1" t="n">
        <v>46014</v>
      </c>
      <c r="E865" s="1" t="n">
        <v>46228</v>
      </c>
      <c r="F865" t="inlineStr">
        <is>
          <t>VÄSTERNORRLANDS LÄN</t>
        </is>
      </c>
      <c r="G865" t="inlineStr">
        <is>
          <t>ÅNGE</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63673-2025</t>
        </is>
      </c>
      <c r="B866" t="inlineStr">
        <is>
          <t>avverkningsanmälan</t>
        </is>
      </c>
      <c r="C866" t="inlineStr">
        <is>
          <t>Föryngringsavverkning</t>
        </is>
      </c>
      <c r="D866" s="1" t="n">
        <v>46014</v>
      </c>
      <c r="E866" s="1" t="n">
        <v>46228</v>
      </c>
      <c r="F866" t="inlineStr">
        <is>
          <t>VÄSTERNORRLANDS LÄN</t>
        </is>
      </c>
      <c r="G866" t="inlineStr">
        <is>
          <t>ÅNGE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43096-2023</t>
        </is>
      </c>
      <c r="B867" t="inlineStr">
        <is>
          <t>avverkningsanmälan</t>
        </is>
      </c>
      <c r="C867" t="inlineStr">
        <is>
          <t>Avverkning för annat ändamål</t>
        </is>
      </c>
      <c r="D867" s="1" t="n">
        <v>45182</v>
      </c>
      <c r="E867" s="1" t="n">
        <v>46228</v>
      </c>
      <c r="F867" t="inlineStr">
        <is>
          <t>VÄSTERNORRLANDS LÄN</t>
        </is>
      </c>
      <c r="G867" t="inlineStr">
        <is>
          <t>ÅNGE</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60960-2025</t>
        </is>
      </c>
      <c r="B868" t="inlineStr">
        <is>
          <t>avverkningsanmälan</t>
        </is>
      </c>
      <c r="C868" t="inlineStr">
        <is>
          <t>Föryngringsavverkning</t>
        </is>
      </c>
      <c r="D868" s="1" t="n">
        <v>45999</v>
      </c>
      <c r="E868" s="1" t="n">
        <v>46228</v>
      </c>
      <c r="F868" t="inlineStr">
        <is>
          <t>VÄSTERNORRLANDS LÄN</t>
        </is>
      </c>
      <c r="G868" t="inlineStr">
        <is>
          <t>ÅNGE</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60296-2021</t>
        </is>
      </c>
      <c r="B869" t="inlineStr">
        <is>
          <t>avverkningsanmälan</t>
        </is>
      </c>
      <c r="C869" t="inlineStr">
        <is>
          <t>Föryngringsavverkning</t>
        </is>
      </c>
      <c r="D869" s="1" t="n">
        <v>44495</v>
      </c>
      <c r="E869" s="1" t="n">
        <v>46228</v>
      </c>
      <c r="F869" t="inlineStr">
        <is>
          <t>VÄSTERNORRLANDS LÄN</t>
        </is>
      </c>
      <c r="G869" t="inlineStr">
        <is>
          <t>ÅNGE</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49669-2025</t>
        </is>
      </c>
      <c r="B870" t="inlineStr">
        <is>
          <t>avverkningsanmälan</t>
        </is>
      </c>
      <c r="C870" t="inlineStr">
        <is>
          <t>Föryngringsavverkning</t>
        </is>
      </c>
      <c r="D870" s="1" t="n">
        <v>45939</v>
      </c>
      <c r="E870" s="1" t="n">
        <v>46228</v>
      </c>
      <c r="F870" t="inlineStr">
        <is>
          <t>VÄSTERNORRLANDS LÄN</t>
        </is>
      </c>
      <c r="G870" t="inlineStr">
        <is>
          <t>ÅNGE</t>
        </is>
      </c>
      <c r="H870" t="inlineStr">
        <is>
          <t>SCA</t>
        </is>
      </c>
      <c r="I870" t="n">
        <v>7.1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64080-2025</t>
        </is>
      </c>
      <c r="B871" t="inlineStr">
        <is>
          <t>avverkningsanmälan</t>
        </is>
      </c>
      <c r="C871" t="inlineStr">
        <is>
          <t>Föryngringsavverkning</t>
        </is>
      </c>
      <c r="D871" s="1" t="n">
        <v>46021</v>
      </c>
      <c r="E871" s="1" t="n">
        <v>46228</v>
      </c>
      <c r="F871" t="inlineStr">
        <is>
          <t>VÄSTERNORRLANDS LÄN</t>
        </is>
      </c>
      <c r="G871" t="inlineStr">
        <is>
          <t>ÅNGE</t>
        </is>
      </c>
      <c r="H871" t="inlineStr">
        <is>
          <t>SCA</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25023-2022</t>
        </is>
      </c>
      <c r="B872" t="inlineStr">
        <is>
          <t>avverkningsanmälan</t>
        </is>
      </c>
      <c r="C872" t="inlineStr">
        <is>
          <t>Föryngringsavverkning</t>
        </is>
      </c>
      <c r="D872" s="1" t="n">
        <v>44728</v>
      </c>
      <c r="E872" s="1" t="n">
        <v>46228</v>
      </c>
      <c r="F872" t="inlineStr">
        <is>
          <t>VÄSTERNORRLANDS LÄN</t>
        </is>
      </c>
      <c r="G872" t="inlineStr">
        <is>
          <t>ÅNGE</t>
        </is>
      </c>
      <c r="H872" t="inlineStr">
        <is>
          <t>SCA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63965-2025</t>
        </is>
      </c>
      <c r="B873" t="inlineStr">
        <is>
          <t>avverkningsanmälan</t>
        </is>
      </c>
      <c r="C873" t="inlineStr">
        <is>
          <t>Föryngringsavverkning</t>
        </is>
      </c>
      <c r="D873" s="1" t="n">
        <v>46020</v>
      </c>
      <c r="E873" s="1" t="n">
        <v>46228</v>
      </c>
      <c r="F873" t="inlineStr">
        <is>
          <t>VÄSTERNORRLANDS LÄN</t>
        </is>
      </c>
      <c r="G873" t="inlineStr">
        <is>
          <t>ÅNGE</t>
        </is>
      </c>
      <c r="I873" t="n">
        <v>11.1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22676-2026</t>
        </is>
      </c>
      <c r="B874" t="inlineStr">
        <is>
          <t>avverkningsanmälan</t>
        </is>
      </c>
      <c r="C874" t="inlineStr">
        <is>
          <t>Föryngringsavverkning</t>
        </is>
      </c>
      <c r="D874" s="1" t="n">
        <v>46156</v>
      </c>
      <c r="E874" s="1" t="n">
        <v>46228</v>
      </c>
      <c r="F874" t="inlineStr">
        <is>
          <t>VÄSTERNORRLANDS LÄN</t>
        </is>
      </c>
      <c r="G874" t="inlineStr">
        <is>
          <t>ÅNGE</t>
        </is>
      </c>
      <c r="H874" t="inlineStr">
        <is>
          <t>SCA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22695-2026</t>
        </is>
      </c>
      <c r="B875" t="inlineStr">
        <is>
          <t>avverkningsanmälan</t>
        </is>
      </c>
      <c r="C875" t="inlineStr">
        <is>
          <t>Föryngringsavverkning</t>
        </is>
      </c>
      <c r="D875" s="1" t="n">
        <v>46156</v>
      </c>
      <c r="E875" s="1" t="n">
        <v>46228</v>
      </c>
      <c r="F875" t="inlineStr">
        <is>
          <t>VÄSTERNORRLANDS LÄN</t>
        </is>
      </c>
      <c r="G875" t="inlineStr">
        <is>
          <t>ÅNGE</t>
        </is>
      </c>
      <c r="H875" t="inlineStr">
        <is>
          <t>SCA</t>
        </is>
      </c>
      <c r="I875" t="n">
        <v>11.7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5197-2025</t>
        </is>
      </c>
      <c r="B876" t="inlineStr">
        <is>
          <t>avverkningsanmälan</t>
        </is>
      </c>
      <c r="C876" t="inlineStr">
        <is>
          <t>Föryngringsavverkning</t>
        </is>
      </c>
      <c r="D876" s="1" t="n">
        <v>45691</v>
      </c>
      <c r="E876" s="1" t="n">
        <v>46228</v>
      </c>
      <c r="F876" t="inlineStr">
        <is>
          <t>VÄSTERNORRLANDS LÄN</t>
        </is>
      </c>
      <c r="G876" t="inlineStr">
        <is>
          <t>ÅNGE</t>
        </is>
      </c>
      <c r="H876" t="inlineStr">
        <is>
          <t>SCA</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28742-2026</t>
        </is>
      </c>
      <c r="B877" t="inlineStr">
        <is>
          <t>avverkningsanmälan</t>
        </is>
      </c>
      <c r="C877" t="inlineStr">
        <is>
          <t>Föryngringsavverkning</t>
        </is>
      </c>
      <c r="D877" s="1" t="n">
        <v>46198</v>
      </c>
      <c r="E877" s="1" t="n">
        <v>46228</v>
      </c>
      <c r="F877" t="inlineStr">
        <is>
          <t>VÄSTERNORRLANDS LÄN</t>
        </is>
      </c>
      <c r="G877" t="inlineStr">
        <is>
          <t>ÅNGE</t>
        </is>
      </c>
      <c r="H877" t="inlineStr">
        <is>
          <t>SCA</t>
        </is>
      </c>
      <c r="I877" t="n">
        <v>6.3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232-2026</t>
        </is>
      </c>
      <c r="B878" t="inlineStr">
        <is>
          <t>avverkningsanmälan</t>
        </is>
      </c>
      <c r="C878" t="inlineStr">
        <is>
          <t>Föryngringsavverkning</t>
        </is>
      </c>
      <c r="D878" s="1" t="n">
        <v>46027</v>
      </c>
      <c r="E878" s="1" t="n">
        <v>46228</v>
      </c>
      <c r="F878" t="inlineStr">
        <is>
          <t>VÄSTERNORRLANDS LÄN</t>
        </is>
      </c>
      <c r="G878" t="inlineStr">
        <is>
          <t>ÅNGE</t>
        </is>
      </c>
      <c r="H878" t="inlineStr">
        <is>
          <t>SCA</t>
        </is>
      </c>
      <c r="I878" t="n">
        <v>37.7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353-2026</t>
        </is>
      </c>
      <c r="B879" t="inlineStr">
        <is>
          <t>avverkningsanmälan</t>
        </is>
      </c>
      <c r="C879" t="inlineStr">
        <is>
          <t>Föryngringsavverkning</t>
        </is>
      </c>
      <c r="D879" s="1" t="n">
        <v>46027</v>
      </c>
      <c r="E879" s="1" t="n">
        <v>46228</v>
      </c>
      <c r="F879" t="inlineStr">
        <is>
          <t>VÄSTERNORRLANDS LÄN</t>
        </is>
      </c>
      <c r="G879" t="inlineStr">
        <is>
          <t>ÅNGE</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44565-2024</t>
        </is>
      </c>
      <c r="B880" t="inlineStr">
        <is>
          <t>avverkningsanmälan</t>
        </is>
      </c>
      <c r="C880" t="inlineStr">
        <is>
          <t>Föryngringsavverkning</t>
        </is>
      </c>
      <c r="D880" s="1" t="n">
        <v>45574</v>
      </c>
      <c r="E880" s="1" t="n">
        <v>46228</v>
      </c>
      <c r="F880" t="inlineStr">
        <is>
          <t>VÄSTERNORRLANDS LÄN</t>
        </is>
      </c>
      <c r="G880" t="inlineStr">
        <is>
          <t>ÅNGE</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703-2026</t>
        </is>
      </c>
      <c r="B881" t="inlineStr">
        <is>
          <t>avverkningsanmälan</t>
        </is>
      </c>
      <c r="C881" t="inlineStr">
        <is>
          <t>Avverkning för att bevara och utveckla /försöksver</t>
        </is>
      </c>
      <c r="D881" s="1" t="n">
        <v>46029</v>
      </c>
      <c r="E881" s="1" t="n">
        <v>46228</v>
      </c>
      <c r="F881" t="inlineStr">
        <is>
          <t>VÄSTERNORRLANDS LÄN</t>
        </is>
      </c>
      <c r="G881" t="inlineStr">
        <is>
          <t>ÅNGE</t>
        </is>
      </c>
      <c r="H881" t="inlineStr">
        <is>
          <t>SCA</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40755-2023</t>
        </is>
      </c>
      <c r="B882" t="inlineStr">
        <is>
          <t>avverkningsanmälan</t>
        </is>
      </c>
      <c r="C882" t="inlineStr">
        <is>
          <t>Föryngringsavverkning</t>
        </is>
      </c>
      <c r="D882" s="1" t="n">
        <v>45170</v>
      </c>
      <c r="E882" s="1" t="n">
        <v>46228</v>
      </c>
      <c r="F882" t="inlineStr">
        <is>
          <t>VÄSTERNORRLANDS LÄN</t>
        </is>
      </c>
      <c r="G882" t="inlineStr">
        <is>
          <t>ÅNGE</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61486-2025</t>
        </is>
      </c>
      <c r="B883" t="inlineStr">
        <is>
          <t>avverkningsanmälan</t>
        </is>
      </c>
      <c r="C883" t="inlineStr">
        <is>
          <t>Föryngringsavverkning</t>
        </is>
      </c>
      <c r="D883" s="1" t="n">
        <v>46001</v>
      </c>
      <c r="E883" s="1" t="n">
        <v>46228</v>
      </c>
      <c r="F883" t="inlineStr">
        <is>
          <t>VÄSTERNORRLANDS LÄN</t>
        </is>
      </c>
      <c r="G883" t="inlineStr">
        <is>
          <t>ÅNGE</t>
        </is>
      </c>
      <c r="H883" t="inlineStr">
        <is>
          <t>SCA</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627-2026</t>
        </is>
      </c>
      <c r="B884" t="inlineStr">
        <is>
          <t>avverkningsanmälan</t>
        </is>
      </c>
      <c r="C884" t="inlineStr">
        <is>
          <t>Föryngringsavverkning</t>
        </is>
      </c>
      <c r="D884" s="1" t="n">
        <v>46029</v>
      </c>
      <c r="E884" s="1" t="n">
        <v>46228</v>
      </c>
      <c r="F884" t="inlineStr">
        <is>
          <t>VÄSTERNORRLANDS LÄN</t>
        </is>
      </c>
      <c r="G884" t="inlineStr">
        <is>
          <t>ÅNGE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31696-2022</t>
        </is>
      </c>
      <c r="B885" t="inlineStr">
        <is>
          <t>avverkningsanmälan</t>
        </is>
      </c>
      <c r="C885" t="inlineStr">
        <is>
          <t>Avverkning för annat ändamål</t>
        </is>
      </c>
      <c r="D885" s="1" t="n">
        <v>44776</v>
      </c>
      <c r="E885" s="1" t="n">
        <v>46228</v>
      </c>
      <c r="F885" t="inlineStr">
        <is>
          <t>VÄSTERNORRLANDS LÄN</t>
        </is>
      </c>
      <c r="G885" t="inlineStr">
        <is>
          <t>ÅNGE</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35781-2025</t>
        </is>
      </c>
      <c r="B886" t="inlineStr">
        <is>
          <t>avverkningsanmälan</t>
        </is>
      </c>
      <c r="C886" t="inlineStr">
        <is>
          <t>Föryngringsavverkning</t>
        </is>
      </c>
      <c r="D886" s="1" t="n">
        <v>45860</v>
      </c>
      <c r="E886" s="1" t="n">
        <v>46228</v>
      </c>
      <c r="F886" t="inlineStr">
        <is>
          <t>VÄSTERNORRLANDS LÄN</t>
        </is>
      </c>
      <c r="G886" t="inlineStr">
        <is>
          <t>ÅNGE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10084-2023</t>
        </is>
      </c>
      <c r="B887" t="inlineStr">
        <is>
          <t>avverkningsanmälan</t>
        </is>
      </c>
      <c r="C887" t="inlineStr">
        <is>
          <t>Föryngringsavverkning</t>
        </is>
      </c>
      <c r="D887" s="1" t="n">
        <v>44985</v>
      </c>
      <c r="E887" s="1" t="n">
        <v>46228</v>
      </c>
      <c r="F887" t="inlineStr">
        <is>
          <t>VÄSTERNORRLANDS LÄN</t>
        </is>
      </c>
      <c r="G887" t="inlineStr">
        <is>
          <t>ÅNGE</t>
        </is>
      </c>
      <c r="H887" t="inlineStr">
        <is>
          <t>SCA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23123-2026</t>
        </is>
      </c>
      <c r="B888" t="inlineStr">
        <is>
          <t>avverkningsanmälan</t>
        </is>
      </c>
      <c r="C888" t="inlineStr">
        <is>
          <t>Föryngringsavverkning</t>
        </is>
      </c>
      <c r="D888" s="1" t="n">
        <v>46161</v>
      </c>
      <c r="E888" s="1" t="n">
        <v>46228</v>
      </c>
      <c r="F888" t="inlineStr">
        <is>
          <t>VÄSTERNORRLANDS LÄN</t>
        </is>
      </c>
      <c r="G888" t="inlineStr">
        <is>
          <t>ÅNGE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37038-2024</t>
        </is>
      </c>
      <c r="B889" t="inlineStr">
        <is>
          <t>avverkningsanmälan</t>
        </is>
      </c>
      <c r="C889" t="inlineStr">
        <is>
          <t>Föryngringsavverkning</t>
        </is>
      </c>
      <c r="D889" s="1" t="n">
        <v>45539</v>
      </c>
      <c r="E889" s="1" t="n">
        <v>46228</v>
      </c>
      <c r="F889" t="inlineStr">
        <is>
          <t>VÄSTERNORRLANDS LÄN</t>
        </is>
      </c>
      <c r="G889" t="inlineStr">
        <is>
          <t>ÅNGE</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1266-2026</t>
        </is>
      </c>
      <c r="B890" t="inlineStr">
        <is>
          <t>avverkningsanmälan</t>
        </is>
      </c>
      <c r="C890" t="inlineStr">
        <is>
          <t>Föryngringsavverkning</t>
        </is>
      </c>
      <c r="D890" s="1" t="n">
        <v>46031</v>
      </c>
      <c r="E890" s="1" t="n">
        <v>46228</v>
      </c>
      <c r="F890" t="inlineStr">
        <is>
          <t>VÄSTERNORRLANDS LÄN</t>
        </is>
      </c>
      <c r="G890" t="inlineStr">
        <is>
          <t>ÅNGE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1375-2026</t>
        </is>
      </c>
      <c r="B891" t="inlineStr">
        <is>
          <t>avverkningsanmälan</t>
        </is>
      </c>
      <c r="C891" t="inlineStr">
        <is>
          <t>Föryngringsavverkning</t>
        </is>
      </c>
      <c r="D891" s="1" t="n">
        <v>46031</v>
      </c>
      <c r="E891" s="1" t="n">
        <v>46228</v>
      </c>
      <c r="F891" t="inlineStr">
        <is>
          <t>VÄSTERNORRLANDS LÄN</t>
        </is>
      </c>
      <c r="G891" t="inlineStr">
        <is>
          <t>ÅNGE</t>
        </is>
      </c>
      <c r="H891" t="inlineStr">
        <is>
          <t>SCA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60860-2022</t>
        </is>
      </c>
      <c r="B892" t="inlineStr">
        <is>
          <t>avverkningsanmälan</t>
        </is>
      </c>
      <c r="C892" t="inlineStr">
        <is>
          <t>Avverkning för annat ändamål</t>
        </is>
      </c>
      <c r="D892" s="1" t="n">
        <v>44914</v>
      </c>
      <c r="E892" s="1" t="n">
        <v>46228</v>
      </c>
      <c r="F892" t="inlineStr">
        <is>
          <t>VÄSTERNORRLANDS LÄN</t>
        </is>
      </c>
      <c r="G892" t="inlineStr">
        <is>
          <t>ÅNGE</t>
        </is>
      </c>
      <c r="H892" t="inlineStr">
        <is>
          <t>Holmen skog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1544-2026</t>
        </is>
      </c>
      <c r="B893" t="inlineStr">
        <is>
          <t>avverkningsanmälan</t>
        </is>
      </c>
      <c r="C893" t="inlineStr">
        <is>
          <t>Föryngringsavverkning</t>
        </is>
      </c>
      <c r="D893" s="1" t="n">
        <v>46034</v>
      </c>
      <c r="E893" s="1" t="n">
        <v>46228</v>
      </c>
      <c r="F893" t="inlineStr">
        <is>
          <t>VÄSTERNORRLANDS LÄN</t>
        </is>
      </c>
      <c r="G893" t="inlineStr">
        <is>
          <t>ÅNGE</t>
        </is>
      </c>
      <c r="H893" t="inlineStr">
        <is>
          <t>SCA</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41284-2024</t>
        </is>
      </c>
      <c r="B894" t="inlineStr">
        <is>
          <t>avverkningsanmälan</t>
        </is>
      </c>
      <c r="C894" t="inlineStr">
        <is>
          <t>Avverkning för att bevara och utveckla /försöksver</t>
        </is>
      </c>
      <c r="D894" s="1" t="n">
        <v>45559</v>
      </c>
      <c r="E894" s="1" t="n">
        <v>46228</v>
      </c>
      <c r="F894" t="inlineStr">
        <is>
          <t>VÄSTERNORRLANDS LÄN</t>
        </is>
      </c>
      <c r="G894" t="inlineStr">
        <is>
          <t>ÅNGE</t>
        </is>
      </c>
      <c r="H894" t="inlineStr">
        <is>
          <t>SCA</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1541-2026</t>
        </is>
      </c>
      <c r="B895" t="inlineStr">
        <is>
          <t>avverkningsanmälan</t>
        </is>
      </c>
      <c r="C895" t="inlineStr">
        <is>
          <t>Föryngringsavverkning</t>
        </is>
      </c>
      <c r="D895" s="1" t="n">
        <v>46034</v>
      </c>
      <c r="E895" s="1" t="n">
        <v>46228</v>
      </c>
      <c r="F895" t="inlineStr">
        <is>
          <t>VÄSTERNORRLANDS LÄN</t>
        </is>
      </c>
      <c r="G895" t="inlineStr">
        <is>
          <t>ÅNGE</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1547-2026</t>
        </is>
      </c>
      <c r="B896" t="inlineStr">
        <is>
          <t>avverkningsanmälan</t>
        </is>
      </c>
      <c r="C896" t="inlineStr">
        <is>
          <t>Föryngringsavverkning</t>
        </is>
      </c>
      <c r="D896" s="1" t="n">
        <v>46034</v>
      </c>
      <c r="E896" s="1" t="n">
        <v>46228</v>
      </c>
      <c r="F896" t="inlineStr">
        <is>
          <t>VÄSTERNORRLANDS LÄN</t>
        </is>
      </c>
      <c r="G896" t="inlineStr">
        <is>
          <t>ÅNGE</t>
        </is>
      </c>
      <c r="H896" t="inlineStr">
        <is>
          <t>SCA</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21569-2026</t>
        </is>
      </c>
      <c r="B897" t="inlineStr">
        <is>
          <t>avverkningsanmälan</t>
        </is>
      </c>
      <c r="C897" t="inlineStr">
        <is>
          <t>Föryngringsavverkning</t>
        </is>
      </c>
      <c r="D897" s="1" t="n">
        <v>46148</v>
      </c>
      <c r="E897" s="1" t="n">
        <v>46228</v>
      </c>
      <c r="F897" t="inlineStr">
        <is>
          <t>VÄSTERNORRLANDS LÄN</t>
        </is>
      </c>
      <c r="G897" t="inlineStr">
        <is>
          <t>ÅNGE</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2485-2026</t>
        </is>
      </c>
      <c r="B898" t="inlineStr">
        <is>
          <t>avverkningsanmälan</t>
        </is>
      </c>
      <c r="C898" t="inlineStr">
        <is>
          <t>Föryngringsavverkning</t>
        </is>
      </c>
      <c r="D898" s="1" t="n">
        <v>46037</v>
      </c>
      <c r="E898" s="1" t="n">
        <v>46228</v>
      </c>
      <c r="F898" t="inlineStr">
        <is>
          <t>VÄSTERNORRLANDS LÄN</t>
        </is>
      </c>
      <c r="G898" t="inlineStr">
        <is>
          <t>ÅNGE</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29511-2026</t>
        </is>
      </c>
      <c r="B899" t="inlineStr">
        <is>
          <t>avverkningsanmälan</t>
        </is>
      </c>
      <c r="C899" t="inlineStr">
        <is>
          <t>Föryngringsavverkning</t>
        </is>
      </c>
      <c r="D899" s="1" t="n">
        <v>46203</v>
      </c>
      <c r="E899" s="1" t="n">
        <v>46228</v>
      </c>
      <c r="F899" t="inlineStr">
        <is>
          <t>VÄSTERNORRLANDS LÄN</t>
        </is>
      </c>
      <c r="G899" t="inlineStr">
        <is>
          <t>ÅNGE</t>
        </is>
      </c>
      <c r="H899" t="inlineStr">
        <is>
          <t>SCA</t>
        </is>
      </c>
      <c r="I899" t="n">
        <v>7.1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2984-2025</t>
        </is>
      </c>
      <c r="B900" t="inlineStr">
        <is>
          <t>avverkningsanmälan</t>
        </is>
      </c>
      <c r="C900" t="inlineStr">
        <is>
          <t>Föryngringsavverkning</t>
        </is>
      </c>
      <c r="D900" s="1" t="n">
        <v>45678</v>
      </c>
      <c r="E900" s="1" t="n">
        <v>46228</v>
      </c>
      <c r="F900" t="inlineStr">
        <is>
          <t>VÄSTERNORRLANDS LÄN</t>
        </is>
      </c>
      <c r="G900" t="inlineStr">
        <is>
          <t>ÅNGE</t>
        </is>
      </c>
      <c r="H900" t="inlineStr">
        <is>
          <t>SCA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3133-2024</t>
        </is>
      </c>
      <c r="B901" t="inlineStr">
        <is>
          <t>avverkningsanmälan</t>
        </is>
      </c>
      <c r="C901" t="inlineStr">
        <is>
          <t>Föryngringsavverkning</t>
        </is>
      </c>
      <c r="D901" s="1" t="n">
        <v>45316</v>
      </c>
      <c r="E901" s="1" t="n">
        <v>46228</v>
      </c>
      <c r="F901" t="inlineStr">
        <is>
          <t>VÄSTERNORRLANDS LÄN</t>
        </is>
      </c>
      <c r="G901" t="inlineStr">
        <is>
          <t>ÅNGE</t>
        </is>
      </c>
      <c r="H901" t="inlineStr">
        <is>
          <t>Holmen skog AB</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35540-2025</t>
        </is>
      </c>
      <c r="B902" t="inlineStr">
        <is>
          <t>avverkningsanmälan</t>
        </is>
      </c>
      <c r="C902" t="inlineStr">
        <is>
          <t>Föryngringsavverkning</t>
        </is>
      </c>
      <c r="D902" s="1" t="n">
        <v>45856</v>
      </c>
      <c r="E902" s="1" t="n">
        <v>46228</v>
      </c>
      <c r="F902" t="inlineStr">
        <is>
          <t>VÄSTERNORRLANDS LÄN</t>
        </is>
      </c>
      <c r="G902" t="inlineStr">
        <is>
          <t>ÅNGE</t>
        </is>
      </c>
      <c r="H902" t="inlineStr">
        <is>
          <t>SCA</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56569-2024</t>
        </is>
      </c>
      <c r="B903" t="inlineStr">
        <is>
          <t>avverkningsanmälan</t>
        </is>
      </c>
      <c r="C903" t="inlineStr">
        <is>
          <t>Föryngringsavverkning</t>
        </is>
      </c>
      <c r="D903" s="1" t="n">
        <v>45625</v>
      </c>
      <c r="E903" s="1" t="n">
        <v>46228</v>
      </c>
      <c r="F903" t="inlineStr">
        <is>
          <t>VÄSTERNORRLANDS LÄN</t>
        </is>
      </c>
      <c r="G903" t="inlineStr">
        <is>
          <t>ÅNGE</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35143-2025</t>
        </is>
      </c>
      <c r="B904" t="inlineStr">
        <is>
          <t>avverkningsanmälan</t>
        </is>
      </c>
      <c r="C904" t="inlineStr">
        <is>
          <t>Föryngringsavverkning</t>
        </is>
      </c>
      <c r="D904" s="1" t="n">
        <v>45852</v>
      </c>
      <c r="E904" s="1" t="n">
        <v>46228</v>
      </c>
      <c r="F904" t="inlineStr">
        <is>
          <t>VÄSTERNORRLANDS LÄN</t>
        </is>
      </c>
      <c r="G904" t="inlineStr">
        <is>
          <t>ÅNGE</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3534-2026</t>
        </is>
      </c>
      <c r="B905" t="inlineStr">
        <is>
          <t>avverkningsanmälan</t>
        </is>
      </c>
      <c r="C905" t="inlineStr">
        <is>
          <t>Föryngringsavverkning</t>
        </is>
      </c>
      <c r="D905" s="1" t="n">
        <v>46042</v>
      </c>
      <c r="E905" s="1" t="n">
        <v>46228</v>
      </c>
      <c r="F905" t="inlineStr">
        <is>
          <t>VÄSTERNORRLANDS LÄN</t>
        </is>
      </c>
      <c r="G905" t="inlineStr">
        <is>
          <t>ÅNGE</t>
        </is>
      </c>
      <c r="H905" t="inlineStr">
        <is>
          <t>SCA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29094-2026</t>
        </is>
      </c>
      <c r="B906" t="inlineStr">
        <is>
          <t>avverkningsanmälan</t>
        </is>
      </c>
      <c r="C906" t="inlineStr">
        <is>
          <t>Föryngringsavverkning</t>
        </is>
      </c>
      <c r="D906" s="1" t="n">
        <v>46200</v>
      </c>
      <c r="E906" s="1" t="n">
        <v>46228</v>
      </c>
      <c r="F906" t="inlineStr">
        <is>
          <t>VÄSTERNORRLANDS LÄN</t>
        </is>
      </c>
      <c r="G906" t="inlineStr">
        <is>
          <t>ÅNGE</t>
        </is>
      </c>
      <c r="H906" t="inlineStr">
        <is>
          <t>SCA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3889-2026</t>
        </is>
      </c>
      <c r="B907" t="inlineStr">
        <is>
          <t>avverkningsanmälan</t>
        </is>
      </c>
      <c r="C907" t="inlineStr">
        <is>
          <t>Föryngringsavverkning</t>
        </is>
      </c>
      <c r="D907" s="1" t="n">
        <v>46043</v>
      </c>
      <c r="E907" s="1" t="n">
        <v>46228</v>
      </c>
      <c r="F907" t="inlineStr">
        <is>
          <t>VÄSTERNORRLANDS LÄN</t>
        </is>
      </c>
      <c r="G907" t="inlineStr">
        <is>
          <t>ÅNGE</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23590-2026</t>
        </is>
      </c>
      <c r="B908" t="inlineStr">
        <is>
          <t>avverkningsanmälan</t>
        </is>
      </c>
      <c r="C908" t="inlineStr">
        <is>
          <t>Föryngringsavverkning</t>
        </is>
      </c>
      <c r="D908" s="1" t="n">
        <v>46163</v>
      </c>
      <c r="E908" s="1" t="n">
        <v>46228</v>
      </c>
      <c r="F908" t="inlineStr">
        <is>
          <t>VÄSTERNORRLANDS LÄN</t>
        </is>
      </c>
      <c r="G908" t="inlineStr">
        <is>
          <t>ÅNGE</t>
        </is>
      </c>
      <c r="H908" t="inlineStr">
        <is>
          <t>SCA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29728-2026</t>
        </is>
      </c>
      <c r="B909" t="inlineStr">
        <is>
          <t>avverkningsanmälan</t>
        </is>
      </c>
      <c r="C909" t="inlineStr">
        <is>
          <t>Föryngringsavverkning</t>
        </is>
      </c>
      <c r="D909" s="1" t="n">
        <v>46204</v>
      </c>
      <c r="E909" s="1" t="n">
        <v>46228</v>
      </c>
      <c r="F909" t="inlineStr">
        <is>
          <t>VÄSTERNORRLANDS LÄN</t>
        </is>
      </c>
      <c r="G909" t="inlineStr">
        <is>
          <t>ÅNGE</t>
        </is>
      </c>
      <c r="H909" t="inlineStr">
        <is>
          <t>SCA</t>
        </is>
      </c>
      <c r="I909" t="n">
        <v>28.4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4262-2026</t>
        </is>
      </c>
      <c r="B910" t="inlineStr">
        <is>
          <t>avverkningsanmälan</t>
        </is>
      </c>
      <c r="C910" t="inlineStr">
        <is>
          <t>Föryngringsavverkning</t>
        </is>
      </c>
      <c r="D910" s="1" t="n">
        <v>46045</v>
      </c>
      <c r="E910" s="1" t="n">
        <v>46228</v>
      </c>
      <c r="F910" t="inlineStr">
        <is>
          <t>VÄSTERNORRLANDS LÄN</t>
        </is>
      </c>
      <c r="G910" t="inlineStr">
        <is>
          <t>ÅNGE</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4263-2026</t>
        </is>
      </c>
      <c r="B911" t="inlineStr">
        <is>
          <t>avverkningsanmälan</t>
        </is>
      </c>
      <c r="C911" t="inlineStr">
        <is>
          <t>Föryngringsavverkning</t>
        </is>
      </c>
      <c r="D911" s="1" t="n">
        <v>46045</v>
      </c>
      <c r="E911" s="1" t="n">
        <v>46228</v>
      </c>
      <c r="F911" t="inlineStr">
        <is>
          <t>VÄSTERNORRLANDS LÄN</t>
        </is>
      </c>
      <c r="G911" t="inlineStr">
        <is>
          <t>ÅNGE</t>
        </is>
      </c>
      <c r="H911" t="inlineStr">
        <is>
          <t>SCA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10089-2023</t>
        </is>
      </c>
      <c r="B912" t="inlineStr">
        <is>
          <t>avverkningsanmälan</t>
        </is>
      </c>
      <c r="C912" t="inlineStr">
        <is>
          <t>Avverkning för att bevara och utveckla /försöksver</t>
        </is>
      </c>
      <c r="D912" s="1" t="n">
        <v>44985</v>
      </c>
      <c r="E912" s="1" t="n">
        <v>46228</v>
      </c>
      <c r="F912" t="inlineStr">
        <is>
          <t>VÄSTERNORRLANDS LÄN</t>
        </is>
      </c>
      <c r="G912" t="inlineStr">
        <is>
          <t>ÅNGE</t>
        </is>
      </c>
      <c r="H912" t="inlineStr">
        <is>
          <t>SCA</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10090-2023</t>
        </is>
      </c>
      <c r="B913" t="inlineStr">
        <is>
          <t>avverkningsanmälan</t>
        </is>
      </c>
      <c r="C913" t="inlineStr">
        <is>
          <t>Avverkning för att bevara och utveckla /försöksver</t>
        </is>
      </c>
      <c r="D913" s="1" t="n">
        <v>44985</v>
      </c>
      <c r="E913" s="1" t="n">
        <v>46228</v>
      </c>
      <c r="F913" t="inlineStr">
        <is>
          <t>VÄSTERNORRLANDS LÄN</t>
        </is>
      </c>
      <c r="G913" t="inlineStr">
        <is>
          <t>ÅNGE</t>
        </is>
      </c>
      <c r="H913" t="inlineStr">
        <is>
          <t>SCA</t>
        </is>
      </c>
      <c r="I913" t="n">
        <v>8.4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23562-2026</t>
        </is>
      </c>
      <c r="B914" t="inlineStr">
        <is>
          <t>avverkningsanmälan</t>
        </is>
      </c>
      <c r="C914" t="inlineStr">
        <is>
          <t>Föryngringsavverkning</t>
        </is>
      </c>
      <c r="D914" s="1" t="n">
        <v>46163</v>
      </c>
      <c r="E914" s="1" t="n">
        <v>46228</v>
      </c>
      <c r="F914" t="inlineStr">
        <is>
          <t>VÄSTERNORRLANDS LÄN</t>
        </is>
      </c>
      <c r="G914" t="inlineStr">
        <is>
          <t>ÅNGE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3970-2026</t>
        </is>
      </c>
      <c r="B915" t="inlineStr">
        <is>
          <t>avverkningsanmälan</t>
        </is>
      </c>
      <c r="C915" t="inlineStr">
        <is>
          <t>Föryngringsavverkning</t>
        </is>
      </c>
      <c r="D915" s="1" t="n">
        <v>46044</v>
      </c>
      <c r="E915" s="1" t="n">
        <v>46228</v>
      </c>
      <c r="F915" t="inlineStr">
        <is>
          <t>VÄSTERNORRLANDS LÄN</t>
        </is>
      </c>
      <c r="G915" t="inlineStr">
        <is>
          <t>ÅNGE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23438-2026</t>
        </is>
      </c>
      <c r="B916" t="inlineStr">
        <is>
          <t>avverkningsanmälan</t>
        </is>
      </c>
      <c r="C916" t="inlineStr">
        <is>
          <t>Föryngringsavverkning</t>
        </is>
      </c>
      <c r="D916" s="1" t="n">
        <v>46163</v>
      </c>
      <c r="E916" s="1" t="n">
        <v>46228</v>
      </c>
      <c r="F916" t="inlineStr">
        <is>
          <t>VÄSTERNORRLANDS LÄN</t>
        </is>
      </c>
      <c r="G916" t="inlineStr">
        <is>
          <t>ÅNGE</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23450-2026</t>
        </is>
      </c>
      <c r="B917" t="inlineStr">
        <is>
          <t>avverkningsanmälan</t>
        </is>
      </c>
      <c r="C917" t="inlineStr">
        <is>
          <t>Föryngringsavverkning</t>
        </is>
      </c>
      <c r="D917" s="1" t="n">
        <v>46163</v>
      </c>
      <c r="E917" s="1" t="n">
        <v>46228</v>
      </c>
      <c r="F917" t="inlineStr">
        <is>
          <t>VÄSTERNORRLANDS LÄN</t>
        </is>
      </c>
      <c r="G917" t="inlineStr">
        <is>
          <t>ÅNGE</t>
        </is>
      </c>
      <c r="H917" t="inlineStr">
        <is>
          <t>SCA</t>
        </is>
      </c>
      <c r="I917" t="n">
        <v>12.5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23386-2026</t>
        </is>
      </c>
      <c r="B918" t="inlineStr">
        <is>
          <t>avverkningsanmälan</t>
        </is>
      </c>
      <c r="C918" t="inlineStr">
        <is>
          <t>Föryngringsavverkning</t>
        </is>
      </c>
      <c r="D918" s="1" t="n">
        <v>46162</v>
      </c>
      <c r="E918" s="1" t="n">
        <v>46228</v>
      </c>
      <c r="F918" t="inlineStr">
        <is>
          <t>VÄSTERNORRLANDS LÄN</t>
        </is>
      </c>
      <c r="G918" t="inlineStr">
        <is>
          <t>ÅNGE</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4327-2026</t>
        </is>
      </c>
      <c r="B919" t="inlineStr">
        <is>
          <t>avverkningsanmälan</t>
        </is>
      </c>
      <c r="C919" t="inlineStr">
        <is>
          <t>Föryngringsavverkning</t>
        </is>
      </c>
      <c r="D919" s="1" t="n">
        <v>46045</v>
      </c>
      <c r="E919" s="1" t="n">
        <v>46228</v>
      </c>
      <c r="F919" t="inlineStr">
        <is>
          <t>VÄSTERNORRLANDS LÄN</t>
        </is>
      </c>
      <c r="G919" t="inlineStr">
        <is>
          <t>ÅNGE</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4442-2026</t>
        </is>
      </c>
      <c r="B920" t="inlineStr">
        <is>
          <t>avverkningsanmälan</t>
        </is>
      </c>
      <c r="C920" t="inlineStr">
        <is>
          <t>Föryngringsavverkning</t>
        </is>
      </c>
      <c r="D920" s="1" t="n">
        <v>46045</v>
      </c>
      <c r="E920" s="1" t="n">
        <v>46228</v>
      </c>
      <c r="F920" t="inlineStr">
        <is>
          <t>VÄSTERNORRLANDS LÄN</t>
        </is>
      </c>
      <c r="G920" t="inlineStr">
        <is>
          <t>ÅNGE</t>
        </is>
      </c>
      <c r="H920" t="inlineStr">
        <is>
          <t>SCA</t>
        </is>
      </c>
      <c r="I920" t="n">
        <v>9.199999999999999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4328-2026</t>
        </is>
      </c>
      <c r="B921" t="inlineStr">
        <is>
          <t>avverkningsanmälan</t>
        </is>
      </c>
      <c r="C921" t="inlineStr">
        <is>
          <t>Föryngringsavverkning</t>
        </is>
      </c>
      <c r="D921" s="1" t="n">
        <v>46045</v>
      </c>
      <c r="E921" s="1" t="n">
        <v>46228</v>
      </c>
      <c r="F921" t="inlineStr">
        <is>
          <t>VÄSTERNORRLANDS LÄN</t>
        </is>
      </c>
      <c r="G921" t="inlineStr">
        <is>
          <t>ÅNGE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4441-2026</t>
        </is>
      </c>
      <c r="B922" t="inlineStr">
        <is>
          <t>avverkningsanmälan</t>
        </is>
      </c>
      <c r="C922" t="inlineStr">
        <is>
          <t>Föryngringsavverkning</t>
        </is>
      </c>
      <c r="D922" s="1" t="n">
        <v>46045</v>
      </c>
      <c r="E922" s="1" t="n">
        <v>46228</v>
      </c>
      <c r="F922" t="inlineStr">
        <is>
          <t>VÄSTERNORRLANDS LÄN</t>
        </is>
      </c>
      <c r="G922" t="inlineStr">
        <is>
          <t>ÅNGE</t>
        </is>
      </c>
      <c r="H922" t="inlineStr">
        <is>
          <t>SCA</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19997-2023</t>
        </is>
      </c>
      <c r="B923" t="inlineStr">
        <is>
          <t>avverkningsanmälan</t>
        </is>
      </c>
      <c r="C923" t="inlineStr">
        <is>
          <t>Avverkning för annat ändamål</t>
        </is>
      </c>
      <c r="D923" s="1" t="n">
        <v>45054</v>
      </c>
      <c r="E923" s="1" t="n">
        <v>46228</v>
      </c>
      <c r="F923" t="inlineStr">
        <is>
          <t>VÄSTERNORRLANDS LÄN</t>
        </is>
      </c>
      <c r="G923" t="inlineStr">
        <is>
          <t>ÅNGE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38284-2022</t>
        </is>
      </c>
      <c r="B924" t="inlineStr">
        <is>
          <t>avverkningsanmälan</t>
        </is>
      </c>
      <c r="C924" t="inlineStr">
        <is>
          <t>Föryngringsavverkning</t>
        </is>
      </c>
      <c r="D924" s="1" t="n">
        <v>44812</v>
      </c>
      <c r="E924" s="1" t="n">
        <v>46228</v>
      </c>
      <c r="F924" t="inlineStr">
        <is>
          <t>VÄSTERNORRLANDS LÄN</t>
        </is>
      </c>
      <c r="G924" t="inlineStr">
        <is>
          <t>ÅNGE</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29861-2026</t>
        </is>
      </c>
      <c r="B925" t="inlineStr">
        <is>
          <t>avverkningsanmälan</t>
        </is>
      </c>
      <c r="C925" t="inlineStr">
        <is>
          <t>Föryngringsavverkning</t>
        </is>
      </c>
      <c r="D925" s="1" t="n">
        <v>46205</v>
      </c>
      <c r="E925" s="1" t="n">
        <v>46228</v>
      </c>
      <c r="F925" t="inlineStr">
        <is>
          <t>VÄSTERNORRLANDS LÄN</t>
        </is>
      </c>
      <c r="G925" t="inlineStr">
        <is>
          <t>ÅNGE</t>
        </is>
      </c>
      <c r="H925" t="inlineStr">
        <is>
          <t>SCA</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4586-2026</t>
        </is>
      </c>
      <c r="B926" t="inlineStr">
        <is>
          <t>avverkningsanmälan</t>
        </is>
      </c>
      <c r="C926" t="inlineStr">
        <is>
          <t>Föryngringsavverkning</t>
        </is>
      </c>
      <c r="D926" s="1" t="n">
        <v>46048</v>
      </c>
      <c r="E926" s="1" t="n">
        <v>46228</v>
      </c>
      <c r="F926" t="inlineStr">
        <is>
          <t>VÄSTERNORRLANDS LÄN</t>
        </is>
      </c>
      <c r="G926" t="inlineStr">
        <is>
          <t>ÅNGE</t>
        </is>
      </c>
      <c r="I926" t="n">
        <v>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4592-2026</t>
        </is>
      </c>
      <c r="B927" t="inlineStr">
        <is>
          <t>avverkningsanmälan</t>
        </is>
      </c>
      <c r="C927" t="inlineStr">
        <is>
          <t>Föryngringsavverkning</t>
        </is>
      </c>
      <c r="D927" s="1" t="n">
        <v>46048</v>
      </c>
      <c r="E927" s="1" t="n">
        <v>46228</v>
      </c>
      <c r="F927" t="inlineStr">
        <is>
          <t>VÄSTERNORRLANDS LÄN</t>
        </is>
      </c>
      <c r="G927" t="inlineStr">
        <is>
          <t>ÅNGE</t>
        </is>
      </c>
      <c r="H927" t="inlineStr">
        <is>
          <t>SCA</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5135-2026</t>
        </is>
      </c>
      <c r="B928" t="inlineStr">
        <is>
          <t>avverkningsanmälan</t>
        </is>
      </c>
      <c r="C928" t="inlineStr">
        <is>
          <t>Föryngringsavverkning</t>
        </is>
      </c>
      <c r="D928" s="1" t="n">
        <v>46049</v>
      </c>
      <c r="E928" s="1" t="n">
        <v>46228</v>
      </c>
      <c r="F928" t="inlineStr">
        <is>
          <t>VÄSTERNORRLANDS LÄN</t>
        </is>
      </c>
      <c r="G928" t="inlineStr">
        <is>
          <t>ÅNGE</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1826-2026</t>
        </is>
      </c>
      <c r="B929" t="inlineStr">
        <is>
          <t>avverkningsanmälan</t>
        </is>
      </c>
      <c r="C929" t="inlineStr">
        <is>
          <t>Föryngringsavverkning</t>
        </is>
      </c>
      <c r="D929" s="1" t="n">
        <v>46035</v>
      </c>
      <c r="E929" s="1" t="n">
        <v>46228</v>
      </c>
      <c r="F929" t="inlineStr">
        <is>
          <t>VÄSTERNORRLANDS LÄN</t>
        </is>
      </c>
      <c r="G929" t="inlineStr">
        <is>
          <t>ÅNGE</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23321-2026</t>
        </is>
      </c>
      <c r="B930" t="inlineStr">
        <is>
          <t>avverkningsanmälan</t>
        </is>
      </c>
      <c r="C930" t="inlineStr">
        <is>
          <t>Föryngringsavverkning</t>
        </is>
      </c>
      <c r="D930" s="1" t="n">
        <v>46162</v>
      </c>
      <c r="E930" s="1" t="n">
        <v>46228</v>
      </c>
      <c r="F930" t="inlineStr">
        <is>
          <t>VÄSTERNORRLANDS LÄN</t>
        </is>
      </c>
      <c r="G930" t="inlineStr">
        <is>
          <t>ÅNGE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29698-2026</t>
        </is>
      </c>
      <c r="B931" t="inlineStr">
        <is>
          <t>avverkningsanmälan</t>
        </is>
      </c>
      <c r="C931" t="inlineStr">
        <is>
          <t>Föryngringsavverkning</t>
        </is>
      </c>
      <c r="D931" s="1" t="n">
        <v>46204</v>
      </c>
      <c r="E931" s="1" t="n">
        <v>46228</v>
      </c>
      <c r="F931" t="inlineStr">
        <is>
          <t>VÄSTERNORRLANDS LÄN</t>
        </is>
      </c>
      <c r="G931" t="inlineStr">
        <is>
          <t>ÅNGE</t>
        </is>
      </c>
      <c r="I931" t="n">
        <v>6.5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5393-2025</t>
        </is>
      </c>
      <c r="B932" t="inlineStr">
        <is>
          <t>avverkningsanmälan</t>
        </is>
      </c>
      <c r="C932" t="inlineStr">
        <is>
          <t>Föryngringsavverkning</t>
        </is>
      </c>
      <c r="D932" s="1" t="n">
        <v>45692</v>
      </c>
      <c r="E932" s="1" t="n">
        <v>46228</v>
      </c>
      <c r="F932" t="inlineStr">
        <is>
          <t>VÄSTERNORRLANDS LÄN</t>
        </is>
      </c>
      <c r="G932" t="inlineStr">
        <is>
          <t>ÅNGE</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57529-2024</t>
        </is>
      </c>
      <c r="B933" t="inlineStr">
        <is>
          <t>avverkningsanmälan</t>
        </is>
      </c>
      <c r="C933" t="inlineStr">
        <is>
          <t>Föryngringsavverkning</t>
        </is>
      </c>
      <c r="D933" s="1" t="n">
        <v>45630</v>
      </c>
      <c r="E933" s="1" t="n">
        <v>46228</v>
      </c>
      <c r="F933" t="inlineStr">
        <is>
          <t>VÄSTERNORRLANDS LÄN</t>
        </is>
      </c>
      <c r="G933" t="inlineStr">
        <is>
          <t>ÅNGE</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1769-2023</t>
        </is>
      </c>
      <c r="B934" t="inlineStr">
        <is>
          <t>avverkningsanmälan</t>
        </is>
      </c>
      <c r="C934" t="inlineStr">
        <is>
          <t>Föryngringsavverkning</t>
        </is>
      </c>
      <c r="D934" s="1" t="n">
        <v>44938</v>
      </c>
      <c r="E934" s="1" t="n">
        <v>46228</v>
      </c>
      <c r="F934" t="inlineStr">
        <is>
          <t>VÄSTERNORRLANDS LÄN</t>
        </is>
      </c>
      <c r="G934" t="inlineStr">
        <is>
          <t>ÅNGE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5670-2026</t>
        </is>
      </c>
      <c r="B935" t="inlineStr">
        <is>
          <t>avverkningsanmälan</t>
        </is>
      </c>
      <c r="C935" t="inlineStr">
        <is>
          <t>Föryngringsavverkning</t>
        </is>
      </c>
      <c r="D935" s="1" t="n">
        <v>46051</v>
      </c>
      <c r="E935" s="1" t="n">
        <v>46228</v>
      </c>
      <c r="F935" t="inlineStr">
        <is>
          <t>VÄSTERNORRLANDS LÄN</t>
        </is>
      </c>
      <c r="G935" t="inlineStr">
        <is>
          <t>ÅNGE</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5391-2026</t>
        </is>
      </c>
      <c r="B936" t="inlineStr">
        <is>
          <t>avverkningsanmälan</t>
        </is>
      </c>
      <c r="C936" t="inlineStr">
        <is>
          <t>Föryngringsavverkning</t>
        </is>
      </c>
      <c r="D936" s="1" t="n">
        <v>46050</v>
      </c>
      <c r="E936" s="1" t="n">
        <v>46228</v>
      </c>
      <c r="F936" t="inlineStr">
        <is>
          <t>VÄSTERNORRLANDS LÄN</t>
        </is>
      </c>
      <c r="G936" t="inlineStr">
        <is>
          <t>ÅNGE</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32776-2022</t>
        </is>
      </c>
      <c r="B937" t="inlineStr">
        <is>
          <t>avverkningsanmälan</t>
        </is>
      </c>
      <c r="C937" t="inlineStr">
        <is>
          <t>Föryngringsavverkning</t>
        </is>
      </c>
      <c r="D937" s="1" t="n">
        <v>44783</v>
      </c>
      <c r="E937" s="1" t="n">
        <v>46228</v>
      </c>
      <c r="F937" t="inlineStr">
        <is>
          <t>VÄSTERNORRLANDS LÄN</t>
        </is>
      </c>
      <c r="G937" t="inlineStr">
        <is>
          <t>ÅNGE</t>
        </is>
      </c>
      <c r="H937" t="inlineStr">
        <is>
          <t>SCA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5671-2026</t>
        </is>
      </c>
      <c r="B938" t="inlineStr">
        <is>
          <t>avverkningsanmälan</t>
        </is>
      </c>
      <c r="C938" t="inlineStr">
        <is>
          <t>Föryngringsavverkning</t>
        </is>
      </c>
      <c r="D938" s="1" t="n">
        <v>46051</v>
      </c>
      <c r="E938" s="1" t="n">
        <v>46228</v>
      </c>
      <c r="F938" t="inlineStr">
        <is>
          <t>VÄSTERNORRLANDS LÄN</t>
        </is>
      </c>
      <c r="G938" t="inlineStr">
        <is>
          <t>ÅNGE</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25779-2023</t>
        </is>
      </c>
      <c r="B939" t="inlineStr">
        <is>
          <t>avverkningsanmälan</t>
        </is>
      </c>
      <c r="C939" t="inlineStr">
        <is>
          <t>Föryngringsavverkning</t>
        </is>
      </c>
      <c r="D939" s="1" t="n">
        <v>45090</v>
      </c>
      <c r="E939" s="1" t="n">
        <v>46228</v>
      </c>
      <c r="F939" t="inlineStr">
        <is>
          <t>VÄSTERNORRLANDS LÄN</t>
        </is>
      </c>
      <c r="G939" t="inlineStr">
        <is>
          <t>ÅNGE</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23225-2024</t>
        </is>
      </c>
      <c r="B940" t="inlineStr">
        <is>
          <t>avverkningsanmälan</t>
        </is>
      </c>
      <c r="C940" t="inlineStr">
        <is>
          <t>Föryngringsavverkning</t>
        </is>
      </c>
      <c r="D940" s="1" t="n">
        <v>45452</v>
      </c>
      <c r="E940" s="1" t="n">
        <v>46228</v>
      </c>
      <c r="F940" t="inlineStr">
        <is>
          <t>VÄSTERNORRLANDS LÄN</t>
        </is>
      </c>
      <c r="G940" t="inlineStr">
        <is>
          <t>ÅNGE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29696-2024</t>
        </is>
      </c>
      <c r="B941" t="inlineStr">
        <is>
          <t>avverkningsanmälan</t>
        </is>
      </c>
      <c r="C941" t="inlineStr">
        <is>
          <t>Föryngringsavverkning</t>
        </is>
      </c>
      <c r="D941" s="1" t="n">
        <v>45484</v>
      </c>
      <c r="E941" s="1" t="n">
        <v>46228</v>
      </c>
      <c r="F941" t="inlineStr">
        <is>
          <t>VÄSTERNORRLANDS LÄN</t>
        </is>
      </c>
      <c r="G941" t="inlineStr">
        <is>
          <t>ÅNGE</t>
        </is>
      </c>
      <c r="H941" t="inlineStr">
        <is>
          <t>SCA</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5478-2026</t>
        </is>
      </c>
      <c r="B942" t="inlineStr">
        <is>
          <t>avverkningsanmälan</t>
        </is>
      </c>
      <c r="C942" t="inlineStr">
        <is>
          <t>Föryngringsavverkning</t>
        </is>
      </c>
      <c r="D942" s="1" t="n">
        <v>46050</v>
      </c>
      <c r="E942" s="1" t="n">
        <v>46228</v>
      </c>
      <c r="F942" t="inlineStr">
        <is>
          <t>VÄSTERNORRLANDS LÄN</t>
        </is>
      </c>
      <c r="G942" t="inlineStr">
        <is>
          <t>ÅNGE</t>
        </is>
      </c>
      <c r="I942" t="n">
        <v>7.6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23240-2026</t>
        </is>
      </c>
      <c r="B943" t="inlineStr">
        <is>
          <t>avverkningsanmälan</t>
        </is>
      </c>
      <c r="C943" t="inlineStr">
        <is>
          <t>Föryngringsavverkning</t>
        </is>
      </c>
      <c r="D943" s="1" t="n">
        <v>46162</v>
      </c>
      <c r="E943" s="1" t="n">
        <v>46228</v>
      </c>
      <c r="F943" t="inlineStr">
        <is>
          <t>VÄSTERNORRLANDS LÄN</t>
        </is>
      </c>
      <c r="G943" t="inlineStr">
        <is>
          <t>ÅNGE</t>
        </is>
      </c>
      <c r="H943" t="inlineStr">
        <is>
          <t>SCA</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5470-2026</t>
        </is>
      </c>
      <c r="B944" t="inlineStr">
        <is>
          <t>avverkningsanmälan</t>
        </is>
      </c>
      <c r="C944" t="inlineStr">
        <is>
          <t>Föryngringsavverkning</t>
        </is>
      </c>
      <c r="D944" s="1" t="n">
        <v>46050</v>
      </c>
      <c r="E944" s="1" t="n">
        <v>46228</v>
      </c>
      <c r="F944" t="inlineStr">
        <is>
          <t>VÄSTERNORRLANDS LÄN</t>
        </is>
      </c>
      <c r="G944" t="inlineStr">
        <is>
          <t>ÅNGE</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6462-2024</t>
        </is>
      </c>
      <c r="B945" t="inlineStr">
        <is>
          <t>avverkningsanmälan</t>
        </is>
      </c>
      <c r="C945" t="inlineStr">
        <is>
          <t>Föryngringsavverkning</t>
        </is>
      </c>
      <c r="D945" s="1" t="n">
        <v>45338</v>
      </c>
      <c r="E945" s="1" t="n">
        <v>46228</v>
      </c>
      <c r="F945" t="inlineStr">
        <is>
          <t>VÄSTERNORRLANDS LÄN</t>
        </is>
      </c>
      <c r="G945" t="inlineStr">
        <is>
          <t>ÅNGE</t>
        </is>
      </c>
      <c r="H945" t="inlineStr">
        <is>
          <t>Kyrkan</t>
        </is>
      </c>
      <c r="I945" t="n">
        <v>9.199999999999999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29641-2026</t>
        </is>
      </c>
      <c r="B946" t="inlineStr">
        <is>
          <t>avverkningsanmälan</t>
        </is>
      </c>
      <c r="C946" t="inlineStr">
        <is>
          <t>Föryngringsavverkning</t>
        </is>
      </c>
      <c r="D946" s="1" t="n">
        <v>46204</v>
      </c>
      <c r="E946" s="1" t="n">
        <v>46228</v>
      </c>
      <c r="F946" t="inlineStr">
        <is>
          <t>VÄSTERNORRLANDS LÄN</t>
        </is>
      </c>
      <c r="G946" t="inlineStr">
        <is>
          <t>ÅNGE</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23449-2026</t>
        </is>
      </c>
      <c r="B947" t="inlineStr">
        <is>
          <t>avverkningsanmälan</t>
        </is>
      </c>
      <c r="C947" t="inlineStr">
        <is>
          <t>Föryngringsavverkning</t>
        </is>
      </c>
      <c r="D947" s="1" t="n">
        <v>46163</v>
      </c>
      <c r="E947" s="1" t="n">
        <v>46228</v>
      </c>
      <c r="F947" t="inlineStr">
        <is>
          <t>VÄSTERNORRLANDS LÄN</t>
        </is>
      </c>
      <c r="G947" t="inlineStr">
        <is>
          <t>ÅNGE</t>
        </is>
      </c>
      <c r="H947" t="inlineStr">
        <is>
          <t>SCA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26018-2024</t>
        </is>
      </c>
      <c r="B948" t="inlineStr">
        <is>
          <t>avverkningsanmälan</t>
        </is>
      </c>
      <c r="C948" t="inlineStr">
        <is>
          <t>Föryngringsavverkning</t>
        </is>
      </c>
      <c r="D948" s="1" t="n">
        <v>45467</v>
      </c>
      <c r="E948" s="1" t="n">
        <v>46228</v>
      </c>
      <c r="F948" t="inlineStr">
        <is>
          <t>VÄSTERNORRLANDS LÄN</t>
        </is>
      </c>
      <c r="G948" t="inlineStr">
        <is>
          <t>ÅNGE</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26021-2024</t>
        </is>
      </c>
      <c r="B949" t="inlineStr">
        <is>
          <t>avverkningsanmälan</t>
        </is>
      </c>
      <c r="C949" t="inlineStr">
        <is>
          <t>Föryngringsavverkning</t>
        </is>
      </c>
      <c r="D949" s="1" t="n">
        <v>45467</v>
      </c>
      <c r="E949" s="1" t="n">
        <v>46228</v>
      </c>
      <c r="F949" t="inlineStr">
        <is>
          <t>VÄSTERNORRLANDS LÄN</t>
        </is>
      </c>
      <c r="G949" t="inlineStr">
        <is>
          <t>ÅNGE</t>
        </is>
      </c>
      <c r="H949" t="inlineStr">
        <is>
          <t>SCA</t>
        </is>
      </c>
      <c r="I949" t="n">
        <v>7.7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29639-2026</t>
        </is>
      </c>
      <c r="B950" t="inlineStr">
        <is>
          <t>avverkningsanmälan</t>
        </is>
      </c>
      <c r="C950" t="inlineStr">
        <is>
          <t>Föryngringsavverkning</t>
        </is>
      </c>
      <c r="D950" s="1" t="n">
        <v>46204</v>
      </c>
      <c r="E950" s="1" t="n">
        <v>46228</v>
      </c>
      <c r="F950" t="inlineStr">
        <is>
          <t>VÄSTERNORRLANDS LÄN</t>
        </is>
      </c>
      <c r="G950" t="inlineStr">
        <is>
          <t>ÅNGE</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29643-2026</t>
        </is>
      </c>
      <c r="B951" t="inlineStr">
        <is>
          <t>avverkningsanmälan</t>
        </is>
      </c>
      <c r="C951" t="inlineStr">
        <is>
          <t>Föryngringsavverkning</t>
        </is>
      </c>
      <c r="D951" s="1" t="n">
        <v>46204</v>
      </c>
      <c r="E951" s="1" t="n">
        <v>46228</v>
      </c>
      <c r="F951" t="inlineStr">
        <is>
          <t>VÄSTERNORRLANDS LÄN</t>
        </is>
      </c>
      <c r="G951" t="inlineStr">
        <is>
          <t>ÅNGE</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29673-2024</t>
        </is>
      </c>
      <c r="B952" t="inlineStr">
        <is>
          <t>avverkningsanmälan</t>
        </is>
      </c>
      <c r="C952" t="inlineStr">
        <is>
          <t>Föryngringsavverkning</t>
        </is>
      </c>
      <c r="D952" s="1" t="n">
        <v>45484</v>
      </c>
      <c r="E952" s="1" t="n">
        <v>46228</v>
      </c>
      <c r="F952" t="inlineStr">
        <is>
          <t>VÄSTERNORRLANDS LÄN</t>
        </is>
      </c>
      <c r="G952" t="inlineStr">
        <is>
          <t>ÅNGE</t>
        </is>
      </c>
      <c r="H952" t="inlineStr">
        <is>
          <t>SCA</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29644-2026</t>
        </is>
      </c>
      <c r="B953" t="inlineStr">
        <is>
          <t>avverkningsanmälan</t>
        </is>
      </c>
      <c r="C953" t="inlineStr">
        <is>
          <t>Föryngringsavverkning</t>
        </is>
      </c>
      <c r="D953" s="1" t="n">
        <v>46204</v>
      </c>
      <c r="E953" s="1" t="n">
        <v>46228</v>
      </c>
      <c r="F953" t="inlineStr">
        <is>
          <t>VÄSTERNORRLANDS LÄN</t>
        </is>
      </c>
      <c r="G953" t="inlineStr">
        <is>
          <t>ÅNGE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6901-2026</t>
        </is>
      </c>
      <c r="B954" t="inlineStr">
        <is>
          <t>avverkningsanmälan</t>
        </is>
      </c>
      <c r="C954" t="inlineStr">
        <is>
          <t>Föryngringsavverkning</t>
        </is>
      </c>
      <c r="D954" s="1" t="n">
        <v>46057</v>
      </c>
      <c r="E954" s="1" t="n">
        <v>46228</v>
      </c>
      <c r="F954" t="inlineStr">
        <is>
          <t>VÄSTERNORRLANDS LÄN</t>
        </is>
      </c>
      <c r="G954" t="inlineStr">
        <is>
          <t>ÅNGE</t>
        </is>
      </c>
      <c r="H954" t="inlineStr">
        <is>
          <t>SCA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11399-2025</t>
        </is>
      </c>
      <c r="B955" t="inlineStr">
        <is>
          <t>avverkningsanmälan</t>
        </is>
      </c>
      <c r="C955" t="inlineStr">
        <is>
          <t>Föryngringsavverkning</t>
        </is>
      </c>
      <c r="D955" s="1" t="n">
        <v>45726</v>
      </c>
      <c r="E955" s="1" t="n">
        <v>46228</v>
      </c>
      <c r="F955" t="inlineStr">
        <is>
          <t>VÄSTERNORRLANDS LÄN</t>
        </is>
      </c>
      <c r="G955" t="inlineStr">
        <is>
          <t>ÅNGE</t>
        </is>
      </c>
      <c r="H955" t="inlineStr">
        <is>
          <t>SCA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39021-2024</t>
        </is>
      </c>
      <c r="B956" t="inlineStr">
        <is>
          <t>avverkningsanmälan</t>
        </is>
      </c>
      <c r="C956" t="inlineStr">
        <is>
          <t>Föryngringsavverkning</t>
        </is>
      </c>
      <c r="D956" s="1" t="n">
        <v>45548</v>
      </c>
      <c r="E956" s="1" t="n">
        <v>46228</v>
      </c>
      <c r="F956" t="inlineStr">
        <is>
          <t>VÄSTERNORRLANDS LÄN</t>
        </is>
      </c>
      <c r="G956" t="inlineStr">
        <is>
          <t>ÅNGE</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27915-2024</t>
        </is>
      </c>
      <c r="B957" t="inlineStr">
        <is>
          <t>avverkningsanmälan</t>
        </is>
      </c>
      <c r="C957" t="inlineStr">
        <is>
          <t>Föryngringsavverkning</t>
        </is>
      </c>
      <c r="D957" s="1" t="n">
        <v>45475</v>
      </c>
      <c r="E957" s="1" t="n">
        <v>46228</v>
      </c>
      <c r="F957" t="inlineStr">
        <is>
          <t>VÄSTERNORRLANDS LÄN</t>
        </is>
      </c>
      <c r="G957" t="inlineStr">
        <is>
          <t>ÅNGE</t>
        </is>
      </c>
      <c r="H957" t="inlineStr">
        <is>
          <t>SCA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7005-2026</t>
        </is>
      </c>
      <c r="B958" t="inlineStr">
        <is>
          <t>avverkningsanmälan</t>
        </is>
      </c>
      <c r="C958" t="inlineStr">
        <is>
          <t>Föryngringsavverkning</t>
        </is>
      </c>
      <c r="D958" s="1" t="n">
        <v>46057</v>
      </c>
      <c r="E958" s="1" t="n">
        <v>46228</v>
      </c>
      <c r="F958" t="inlineStr">
        <is>
          <t>VÄSTERNORRLANDS LÄN</t>
        </is>
      </c>
      <c r="G958" t="inlineStr">
        <is>
          <t>ÅNGE</t>
        </is>
      </c>
      <c r="H958" t="inlineStr">
        <is>
          <t>SCA</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6542-2026</t>
        </is>
      </c>
      <c r="B959" t="inlineStr">
        <is>
          <t>avverkningsanmälan</t>
        </is>
      </c>
      <c r="C959" t="inlineStr">
        <is>
          <t>Föryngringsavverkning</t>
        </is>
      </c>
      <c r="D959" s="1" t="n">
        <v>46056</v>
      </c>
      <c r="E959" s="1" t="n">
        <v>46228</v>
      </c>
      <c r="F959" t="inlineStr">
        <is>
          <t>VÄSTERNORRLANDS LÄN</t>
        </is>
      </c>
      <c r="G959" t="inlineStr">
        <is>
          <t>ÅNGE</t>
        </is>
      </c>
      <c r="H959" t="inlineStr">
        <is>
          <t>SCA</t>
        </is>
      </c>
      <c r="I959" t="n">
        <v>28.5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6547-2026</t>
        </is>
      </c>
      <c r="B960" t="inlineStr">
        <is>
          <t>avverkningsanmälan</t>
        </is>
      </c>
      <c r="C960" t="inlineStr">
        <is>
          <t>Föryngringsavverkning</t>
        </is>
      </c>
      <c r="D960" s="1" t="n">
        <v>46056</v>
      </c>
      <c r="E960" s="1" t="n">
        <v>46228</v>
      </c>
      <c r="F960" t="inlineStr">
        <is>
          <t>VÄSTERNORRLANDS LÄN</t>
        </is>
      </c>
      <c r="G960" t="inlineStr">
        <is>
          <t>ÅNGE</t>
        </is>
      </c>
      <c r="H960" t="inlineStr">
        <is>
          <t>SCA</t>
        </is>
      </c>
      <c r="I960" t="n">
        <v>9.199999999999999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6795-2026</t>
        </is>
      </c>
      <c r="B961" t="inlineStr">
        <is>
          <t>avverkningsanmälan</t>
        </is>
      </c>
      <c r="C961" t="inlineStr">
        <is>
          <t>Föryngringsavverkning</t>
        </is>
      </c>
      <c r="D961" s="1" t="n">
        <v>46057</v>
      </c>
      <c r="E961" s="1" t="n">
        <v>46228</v>
      </c>
      <c r="F961" t="inlineStr">
        <is>
          <t>VÄSTERNORRLANDS LÄN</t>
        </is>
      </c>
      <c r="G961" t="inlineStr">
        <is>
          <t>ÅNGE</t>
        </is>
      </c>
      <c r="H961" t="inlineStr">
        <is>
          <t>SCA</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6797-2026</t>
        </is>
      </c>
      <c r="B962" t="inlineStr">
        <is>
          <t>avverkningsanmälan</t>
        </is>
      </c>
      <c r="C962" t="inlineStr">
        <is>
          <t>Föryngringsavverkning</t>
        </is>
      </c>
      <c r="D962" s="1" t="n">
        <v>46057</v>
      </c>
      <c r="E962" s="1" t="n">
        <v>46228</v>
      </c>
      <c r="F962" t="inlineStr">
        <is>
          <t>VÄSTERNORRLANDS LÄN</t>
        </is>
      </c>
      <c r="G962" t="inlineStr">
        <is>
          <t>ÅNGE</t>
        </is>
      </c>
      <c r="H962" t="inlineStr">
        <is>
          <t>SCA</t>
        </is>
      </c>
      <c r="I962" t="n">
        <v>10.7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2433-2024</t>
        </is>
      </c>
      <c r="B963" t="inlineStr">
        <is>
          <t>avverkningsanmälan</t>
        </is>
      </c>
      <c r="C963" t="inlineStr">
        <is>
          <t>Föryngringsavverkning</t>
        </is>
      </c>
      <c r="D963" s="1" t="n">
        <v>45310</v>
      </c>
      <c r="E963" s="1" t="n">
        <v>46228</v>
      </c>
      <c r="F963" t="inlineStr">
        <is>
          <t>VÄSTERNORRLANDS LÄN</t>
        </is>
      </c>
      <c r="G963" t="inlineStr">
        <is>
          <t>ÅNGE</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6918-2026</t>
        </is>
      </c>
      <c r="B964" t="inlineStr">
        <is>
          <t>avverkningsanmälan</t>
        </is>
      </c>
      <c r="C964" t="inlineStr">
        <is>
          <t>Föryngringsavverkning</t>
        </is>
      </c>
      <c r="D964" s="1" t="n">
        <v>46057</v>
      </c>
      <c r="E964" s="1" t="n">
        <v>46228</v>
      </c>
      <c r="F964" t="inlineStr">
        <is>
          <t>VÄSTERNORRLANDS LÄN</t>
        </is>
      </c>
      <c r="G964" t="inlineStr">
        <is>
          <t>ÅNGE</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6932-2026</t>
        </is>
      </c>
      <c r="B965" t="inlineStr">
        <is>
          <t>avverkningsanmälan</t>
        </is>
      </c>
      <c r="C965" t="inlineStr">
        <is>
          <t>Föryngringsavverkning</t>
        </is>
      </c>
      <c r="D965" s="1" t="n">
        <v>46057</v>
      </c>
      <c r="E965" s="1" t="n">
        <v>46228</v>
      </c>
      <c r="F965" t="inlineStr">
        <is>
          <t>VÄSTERNORRLANDS LÄN</t>
        </is>
      </c>
      <c r="G965" t="inlineStr">
        <is>
          <t>ÅNGE</t>
        </is>
      </c>
      <c r="I965" t="n">
        <v>11.2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57846-2022</t>
        </is>
      </c>
      <c r="B966" t="inlineStr">
        <is>
          <t>avverkningsanmälan</t>
        </is>
      </c>
      <c r="C966" t="inlineStr">
        <is>
          <t>Föryngringsavverkning</t>
        </is>
      </c>
      <c r="D966" s="1" t="n">
        <v>44897</v>
      </c>
      <c r="E966" s="1" t="n">
        <v>46228</v>
      </c>
      <c r="F966" t="inlineStr">
        <is>
          <t>VÄSTERNORRLANDS LÄN</t>
        </is>
      </c>
      <c r="G966" t="inlineStr">
        <is>
          <t>ÅNGE</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7026-2026</t>
        </is>
      </c>
      <c r="B967" t="inlineStr">
        <is>
          <t>avverkningsanmälan</t>
        </is>
      </c>
      <c r="C967" t="inlineStr">
        <is>
          <t>Föryngringsavverkning</t>
        </is>
      </c>
      <c r="D967" s="1" t="n">
        <v>46057</v>
      </c>
      <c r="E967" s="1" t="n">
        <v>46228</v>
      </c>
      <c r="F967" t="inlineStr">
        <is>
          <t>VÄSTERNORRLANDS LÄN</t>
        </is>
      </c>
      <c r="G967" t="inlineStr">
        <is>
          <t>ÅNGE</t>
        </is>
      </c>
      <c r="I967" t="n">
        <v>18.4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7284-2026</t>
        </is>
      </c>
      <c r="B968" t="inlineStr">
        <is>
          <t>avverkningsanmälan</t>
        </is>
      </c>
      <c r="C968" t="inlineStr">
        <is>
          <t>Föryngringsavverkning</t>
        </is>
      </c>
      <c r="D968" s="1" t="n">
        <v>46058</v>
      </c>
      <c r="E968" s="1" t="n">
        <v>46228</v>
      </c>
      <c r="F968" t="inlineStr">
        <is>
          <t>VÄSTERNORRLANDS LÄN</t>
        </is>
      </c>
      <c r="G968" t="inlineStr">
        <is>
          <t>ÅNGE</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8868-2023</t>
        </is>
      </c>
      <c r="B969" t="inlineStr">
        <is>
          <t>avverkningsanmälan</t>
        </is>
      </c>
      <c r="C969" t="inlineStr">
        <is>
          <t>Avverkning för att bevara och utveckla /försöksver</t>
        </is>
      </c>
      <c r="D969" s="1" t="n">
        <v>44978</v>
      </c>
      <c r="E969" s="1" t="n">
        <v>46228</v>
      </c>
      <c r="F969" t="inlineStr">
        <is>
          <t>VÄSTERNORRLANDS LÄN</t>
        </is>
      </c>
      <c r="G969" t="inlineStr">
        <is>
          <t>ÅNGE</t>
        </is>
      </c>
      <c r="H969" t="inlineStr">
        <is>
          <t>SCA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7184-2026</t>
        </is>
      </c>
      <c r="B970" t="inlineStr">
        <is>
          <t>avverkningsanmälan</t>
        </is>
      </c>
      <c r="C970" t="inlineStr">
        <is>
          <t>Föryngringsavverkning</t>
        </is>
      </c>
      <c r="D970" s="1" t="n">
        <v>46058</v>
      </c>
      <c r="E970" s="1" t="n">
        <v>46228</v>
      </c>
      <c r="F970" t="inlineStr">
        <is>
          <t>VÄSTERNORRLANDS LÄN</t>
        </is>
      </c>
      <c r="G970" t="inlineStr">
        <is>
          <t>ÅNGE</t>
        </is>
      </c>
      <c r="H970" t="inlineStr">
        <is>
          <t>SCA</t>
        </is>
      </c>
      <c r="I970" t="n">
        <v>19.3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7547-2026</t>
        </is>
      </c>
      <c r="B971" t="inlineStr">
        <is>
          <t>avverkningsanmälan</t>
        </is>
      </c>
      <c r="C971" t="inlineStr">
        <is>
          <t>Föryngringsavverkning</t>
        </is>
      </c>
      <c r="D971" s="1" t="n">
        <v>46059</v>
      </c>
      <c r="E971" s="1" t="n">
        <v>46228</v>
      </c>
      <c r="F971" t="inlineStr">
        <is>
          <t>VÄSTERNORRLANDS LÄN</t>
        </is>
      </c>
      <c r="G971" t="inlineStr">
        <is>
          <t>ÅNGE</t>
        </is>
      </c>
      <c r="H971" t="inlineStr">
        <is>
          <t>SCA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65229-2021</t>
        </is>
      </c>
      <c r="B972" t="inlineStr">
        <is>
          <t>avverkningsanmälan</t>
        </is>
      </c>
      <c r="C972" t="inlineStr">
        <is>
          <t>Föryngringsavverkning</t>
        </is>
      </c>
      <c r="D972" s="1" t="n">
        <v>44515</v>
      </c>
      <c r="E972" s="1" t="n">
        <v>46228</v>
      </c>
      <c r="F972" t="inlineStr">
        <is>
          <t>VÄSTERNORRLANDS LÄN</t>
        </is>
      </c>
      <c r="G972" t="inlineStr">
        <is>
          <t>ÅNGE</t>
        </is>
      </c>
      <c r="I972" t="n">
        <v>12.1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30400-2026</t>
        </is>
      </c>
      <c r="B973" t="inlineStr">
        <is>
          <t>avverkningsanmälan</t>
        </is>
      </c>
      <c r="C973" t="inlineStr">
        <is>
          <t>Föryngringsavverkning</t>
        </is>
      </c>
      <c r="D973" s="1" t="n">
        <v>46209</v>
      </c>
      <c r="E973" s="1" t="n">
        <v>46228</v>
      </c>
      <c r="F973" t="inlineStr">
        <is>
          <t>VÄSTERNORRLANDS LÄN</t>
        </is>
      </c>
      <c r="G973" t="inlineStr">
        <is>
          <t>ÅNGE</t>
        </is>
      </c>
      <c r="H973" t="inlineStr">
        <is>
          <t>SCA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7283-2026</t>
        </is>
      </c>
      <c r="B974" t="inlineStr">
        <is>
          <t>avverkningsanmälan</t>
        </is>
      </c>
      <c r="C974" t="inlineStr">
        <is>
          <t>Föryngringsavverkning</t>
        </is>
      </c>
      <c r="D974" s="1" t="n">
        <v>46058</v>
      </c>
      <c r="E974" s="1" t="n">
        <v>46228</v>
      </c>
      <c r="F974" t="inlineStr">
        <is>
          <t>VÄSTERNORRLANDS LÄN</t>
        </is>
      </c>
      <c r="G974" t="inlineStr">
        <is>
          <t>ÅNGE</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57291-2022</t>
        </is>
      </c>
      <c r="B975" t="inlineStr">
        <is>
          <t>avverkningsanmälan</t>
        </is>
      </c>
      <c r="C975" t="inlineStr">
        <is>
          <t>Föryngringsavverkning</t>
        </is>
      </c>
      <c r="D975" s="1" t="n">
        <v>44895</v>
      </c>
      <c r="E975" s="1" t="n">
        <v>46228</v>
      </c>
      <c r="F975" t="inlineStr">
        <is>
          <t>VÄSTERNORRLANDS LÄN</t>
        </is>
      </c>
      <c r="G975" t="inlineStr">
        <is>
          <t>ÅNGE</t>
        </is>
      </c>
      <c r="H975" t="inlineStr">
        <is>
          <t>SCA</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7548-2026</t>
        </is>
      </c>
      <c r="B976" t="inlineStr">
        <is>
          <t>avverkningsanmälan</t>
        </is>
      </c>
      <c r="C976" t="inlineStr">
        <is>
          <t>Föryngringsavverkning</t>
        </is>
      </c>
      <c r="D976" s="1" t="n">
        <v>46059</v>
      </c>
      <c r="E976" s="1" t="n">
        <v>46228</v>
      </c>
      <c r="F976" t="inlineStr">
        <is>
          <t>VÄSTERNORRLANDS LÄN</t>
        </is>
      </c>
      <c r="G976" t="inlineStr">
        <is>
          <t>ÅNGE</t>
        </is>
      </c>
      <c r="H976" t="inlineStr">
        <is>
          <t>SCA</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4883-2023</t>
        </is>
      </c>
      <c r="B977" t="inlineStr">
        <is>
          <t>avverkningsanmälan</t>
        </is>
      </c>
      <c r="C977" t="inlineStr">
        <is>
          <t>Avverkning för att bevara och utveckla /försöksver</t>
        </is>
      </c>
      <c r="D977" s="1" t="n">
        <v>44957</v>
      </c>
      <c r="E977" s="1" t="n">
        <v>46228</v>
      </c>
      <c r="F977" t="inlineStr">
        <is>
          <t>VÄSTERNORRLANDS LÄN</t>
        </is>
      </c>
      <c r="G977" t="inlineStr">
        <is>
          <t>ÅNGE</t>
        </is>
      </c>
      <c r="H977" t="inlineStr">
        <is>
          <t>SCA</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7634-2026</t>
        </is>
      </c>
      <c r="B978" t="inlineStr">
        <is>
          <t>avverkningsanmälan</t>
        </is>
      </c>
      <c r="C978" t="inlineStr">
        <is>
          <t>Föryngringsavverkning</t>
        </is>
      </c>
      <c r="D978" s="1" t="n">
        <v>46062</v>
      </c>
      <c r="E978" s="1" t="n">
        <v>46228</v>
      </c>
      <c r="F978" t="inlineStr">
        <is>
          <t>VÄSTERNORRLANDS LÄN</t>
        </is>
      </c>
      <c r="G978" t="inlineStr">
        <is>
          <t>ÅNGE</t>
        </is>
      </c>
      <c r="H978" t="inlineStr">
        <is>
          <t>SCA</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7946-2026</t>
        </is>
      </c>
      <c r="B979" t="inlineStr">
        <is>
          <t>avverkningsanmälan</t>
        </is>
      </c>
      <c r="C979" t="inlineStr">
        <is>
          <t>Avverkning för annat ändamål</t>
        </is>
      </c>
      <c r="D979" s="1" t="n">
        <v>46062</v>
      </c>
      <c r="E979" s="1" t="n">
        <v>46228</v>
      </c>
      <c r="F979" t="inlineStr">
        <is>
          <t>VÄSTERNORRLANDS LÄN</t>
        </is>
      </c>
      <c r="G979" t="inlineStr">
        <is>
          <t>ÅNGE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26951-2024</t>
        </is>
      </c>
      <c r="B980" t="inlineStr">
        <is>
          <t>avverkningsanmälan</t>
        </is>
      </c>
      <c r="C980" t="inlineStr">
        <is>
          <t>Föryngringsavverkning</t>
        </is>
      </c>
      <c r="D980" s="1" t="n">
        <v>45470</v>
      </c>
      <c r="E980" s="1" t="n">
        <v>46228</v>
      </c>
      <c r="F980" t="inlineStr">
        <is>
          <t>VÄSTERNORRLANDS LÄN</t>
        </is>
      </c>
      <c r="G980" t="inlineStr">
        <is>
          <t>ÅNGE</t>
        </is>
      </c>
      <c r="H980" t="inlineStr">
        <is>
          <t>SCA</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26952-2024</t>
        </is>
      </c>
      <c r="B981" t="inlineStr">
        <is>
          <t>avverkningsanmälan</t>
        </is>
      </c>
      <c r="C981" t="inlineStr">
        <is>
          <t>Föryngringsavverkning</t>
        </is>
      </c>
      <c r="D981" s="1" t="n">
        <v>45470</v>
      </c>
      <c r="E981" s="1" t="n">
        <v>46228</v>
      </c>
      <c r="F981" t="inlineStr">
        <is>
          <t>VÄSTERNORRLANDS LÄN</t>
        </is>
      </c>
      <c r="G981" t="inlineStr">
        <is>
          <t>ÅNGE</t>
        </is>
      </c>
      <c r="H981" t="inlineStr">
        <is>
          <t>SCA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30466-2026</t>
        </is>
      </c>
      <c r="B982" t="inlineStr">
        <is>
          <t>avverkningsanmälan</t>
        </is>
      </c>
      <c r="C982" t="inlineStr">
        <is>
          <t>Föryngringsavverkning</t>
        </is>
      </c>
      <c r="D982" s="1" t="n">
        <v>46209</v>
      </c>
      <c r="E982" s="1" t="n">
        <v>46228</v>
      </c>
      <c r="F982" t="inlineStr">
        <is>
          <t>VÄSTERNORRLANDS LÄN</t>
        </is>
      </c>
      <c r="G982" t="inlineStr">
        <is>
          <t>ÅNGE</t>
        </is>
      </c>
      <c r="H982" t="inlineStr">
        <is>
          <t>SCA</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1846-2026</t>
        </is>
      </c>
      <c r="B983" t="inlineStr">
        <is>
          <t>avverkningsanmälan</t>
        </is>
      </c>
      <c r="C983" t="inlineStr">
        <is>
          <t>Föryngringsavverkning</t>
        </is>
      </c>
      <c r="D983" s="1" t="n">
        <v>46035</v>
      </c>
      <c r="E983" s="1" t="n">
        <v>46228</v>
      </c>
      <c r="F983" t="inlineStr">
        <is>
          <t>VÄSTERNORRLANDS LÄN</t>
        </is>
      </c>
      <c r="G983" t="inlineStr">
        <is>
          <t>ÅNGE</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8499-2026</t>
        </is>
      </c>
      <c r="B984" t="inlineStr">
        <is>
          <t>avverkningsanmälan</t>
        </is>
      </c>
      <c r="C984" t="inlineStr">
        <is>
          <t>Föryngringsavverkning</t>
        </is>
      </c>
      <c r="D984" s="1" t="n">
        <v>46065</v>
      </c>
      <c r="E984" s="1" t="n">
        <v>46228</v>
      </c>
      <c r="F984" t="inlineStr">
        <is>
          <t>VÄSTERNORRLANDS LÄN</t>
        </is>
      </c>
      <c r="G984" t="inlineStr">
        <is>
          <t>ÅNGE</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8284-2026</t>
        </is>
      </c>
      <c r="B985" t="inlineStr">
        <is>
          <t>avverkningsanmälan</t>
        </is>
      </c>
      <c r="C985" t="inlineStr">
        <is>
          <t>Föryngringsavverkning</t>
        </is>
      </c>
      <c r="D985" s="1" t="n">
        <v>46064</v>
      </c>
      <c r="E985" s="1" t="n">
        <v>46228</v>
      </c>
      <c r="F985" t="inlineStr">
        <is>
          <t>VÄSTERNORRLANDS LÄN</t>
        </is>
      </c>
      <c r="G985" t="inlineStr">
        <is>
          <t>ÅNGE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8143-2026</t>
        </is>
      </c>
      <c r="B986" t="inlineStr">
        <is>
          <t>avverkningsanmälan</t>
        </is>
      </c>
      <c r="C986" t="inlineStr">
        <is>
          <t>Föryngringsavverkning</t>
        </is>
      </c>
      <c r="D986" s="1" t="n">
        <v>46064</v>
      </c>
      <c r="E986" s="1" t="n">
        <v>46228</v>
      </c>
      <c r="F986" t="inlineStr">
        <is>
          <t>VÄSTERNORRLANDS LÄN</t>
        </is>
      </c>
      <c r="G986" t="inlineStr">
        <is>
          <t>ÅNGE</t>
        </is>
      </c>
      <c r="H986" t="inlineStr">
        <is>
          <t>SCA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23658-2026</t>
        </is>
      </c>
      <c r="B987" t="inlineStr">
        <is>
          <t>avverkningsanmälan</t>
        </is>
      </c>
      <c r="C987" t="inlineStr">
        <is>
          <t>Föryngringsavverkning</t>
        </is>
      </c>
      <c r="D987" s="1" t="n">
        <v>46164</v>
      </c>
      <c r="E987" s="1" t="n">
        <v>46228</v>
      </c>
      <c r="F987" t="inlineStr">
        <is>
          <t>VÄSTERNORRLANDS LÄN</t>
        </is>
      </c>
      <c r="G987" t="inlineStr">
        <is>
          <t>ÅNGE</t>
        </is>
      </c>
      <c r="H987" t="inlineStr">
        <is>
          <t>SCA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8926-2026</t>
        </is>
      </c>
      <c r="B988" t="inlineStr">
        <is>
          <t>avverkningsanmälan</t>
        </is>
      </c>
      <c r="C988" t="inlineStr">
        <is>
          <t>Föryngringsavverkning</t>
        </is>
      </c>
      <c r="D988" s="1" t="n">
        <v>46069</v>
      </c>
      <c r="E988" s="1" t="n">
        <v>46228</v>
      </c>
      <c r="F988" t="inlineStr">
        <is>
          <t>VÄSTERNORRLANDS LÄN</t>
        </is>
      </c>
      <c r="G988" t="inlineStr">
        <is>
          <t>ÅNGE</t>
        </is>
      </c>
      <c r="H988" t="inlineStr">
        <is>
          <t>SCA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8874-2026</t>
        </is>
      </c>
      <c r="B989" t="inlineStr">
        <is>
          <t>avverkningsanmälan</t>
        </is>
      </c>
      <c r="C989" t="inlineStr">
        <is>
          <t>Föryngringsavverkning</t>
        </is>
      </c>
      <c r="D989" s="1" t="n">
        <v>46067</v>
      </c>
      <c r="E989" s="1" t="n">
        <v>46228</v>
      </c>
      <c r="F989" t="inlineStr">
        <is>
          <t>VÄSTERNORRLANDS LÄN</t>
        </is>
      </c>
      <c r="G989" t="inlineStr">
        <is>
          <t>ÅNGE</t>
        </is>
      </c>
      <c r="H989" t="inlineStr">
        <is>
          <t>SCA</t>
        </is>
      </c>
      <c r="I989" t="n">
        <v>6.7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8836-2026</t>
        </is>
      </c>
      <c r="B990" t="inlineStr">
        <is>
          <t>avverkningsanmälan</t>
        </is>
      </c>
      <c r="C990" t="inlineStr">
        <is>
          <t>Föryngringsavverkning</t>
        </is>
      </c>
      <c r="D990" s="1" t="n">
        <v>46066</v>
      </c>
      <c r="E990" s="1" t="n">
        <v>46228</v>
      </c>
      <c r="F990" t="inlineStr">
        <is>
          <t>VÄSTERNORRLANDS LÄN</t>
        </is>
      </c>
      <c r="G990" t="inlineStr">
        <is>
          <t>ÅNGE</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30378-2026</t>
        </is>
      </c>
      <c r="B991" t="inlineStr">
        <is>
          <t>avverkningsanmälan</t>
        </is>
      </c>
      <c r="C991" t="inlineStr">
        <is>
          <t>Föryngringsavverkning</t>
        </is>
      </c>
      <c r="D991" s="1" t="n">
        <v>46209</v>
      </c>
      <c r="E991" s="1" t="n">
        <v>46228</v>
      </c>
      <c r="F991" t="inlineStr">
        <is>
          <t>VÄSTERNORRLANDS LÄN</t>
        </is>
      </c>
      <c r="G991" t="inlineStr">
        <is>
          <t>ÅNGE</t>
        </is>
      </c>
      <c r="H991" t="inlineStr">
        <is>
          <t>SCA</t>
        </is>
      </c>
      <c r="I991" t="n">
        <v>6.1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30389-2026</t>
        </is>
      </c>
      <c r="B992" t="inlineStr">
        <is>
          <t>avverkningsanmälan</t>
        </is>
      </c>
      <c r="C992" t="inlineStr">
        <is>
          <t>Föryngringsavverkning</t>
        </is>
      </c>
      <c r="D992" s="1" t="n">
        <v>46209</v>
      </c>
      <c r="E992" s="1" t="n">
        <v>46228</v>
      </c>
      <c r="F992" t="inlineStr">
        <is>
          <t>VÄSTERNORRLANDS LÄN</t>
        </is>
      </c>
      <c r="G992" t="inlineStr">
        <is>
          <t>ÅNGE</t>
        </is>
      </c>
      <c r="H992" t="inlineStr">
        <is>
          <t>SCA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8928-2026</t>
        </is>
      </c>
      <c r="B993" t="inlineStr">
        <is>
          <t>avverkningsanmälan</t>
        </is>
      </c>
      <c r="C993" t="inlineStr">
        <is>
          <t>Föryngringsavverkning</t>
        </is>
      </c>
      <c r="D993" s="1" t="n">
        <v>46069</v>
      </c>
      <c r="E993" s="1" t="n">
        <v>46228</v>
      </c>
      <c r="F993" t="inlineStr">
        <is>
          <t>VÄSTERNORRLANDS LÄN</t>
        </is>
      </c>
      <c r="G993" t="inlineStr">
        <is>
          <t>ÅNGE</t>
        </is>
      </c>
      <c r="H993" t="inlineStr">
        <is>
          <t>SCA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9126-2026</t>
        </is>
      </c>
      <c r="B994" t="inlineStr">
        <is>
          <t>avverkningsanmälan</t>
        </is>
      </c>
      <c r="C994" t="inlineStr">
        <is>
          <t>Föryngringsavverkning</t>
        </is>
      </c>
      <c r="D994" s="1" t="n">
        <v>46069</v>
      </c>
      <c r="E994" s="1" t="n">
        <v>46228</v>
      </c>
      <c r="F994" t="inlineStr">
        <is>
          <t>VÄSTERNORRLANDS LÄN</t>
        </is>
      </c>
      <c r="G994" t="inlineStr">
        <is>
          <t>ÅNGE</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30224-2026</t>
        </is>
      </c>
      <c r="B995" t="inlineStr">
        <is>
          <t>avverkningsanmälan</t>
        </is>
      </c>
      <c r="C995" t="inlineStr">
        <is>
          <t>Föryngringsavverkning</t>
        </is>
      </c>
      <c r="D995" s="1" t="n">
        <v>46206</v>
      </c>
      <c r="E995" s="1" t="n">
        <v>46228</v>
      </c>
      <c r="F995" t="inlineStr">
        <is>
          <t>VÄSTERNORRLANDS LÄN</t>
        </is>
      </c>
      <c r="G995" t="inlineStr">
        <is>
          <t>ÅNGE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8638-2026</t>
        </is>
      </c>
      <c r="B996" t="inlineStr">
        <is>
          <t>avverkningsanmälan</t>
        </is>
      </c>
      <c r="C996" t="inlineStr">
        <is>
          <t>Föryngringsavverkning</t>
        </is>
      </c>
      <c r="D996" s="1" t="n">
        <v>46066</v>
      </c>
      <c r="E996" s="1" t="n">
        <v>46228</v>
      </c>
      <c r="F996" t="inlineStr">
        <is>
          <t>VÄSTERNORRLANDS LÄN</t>
        </is>
      </c>
      <c r="G996" t="inlineStr">
        <is>
          <t>ÅNGE</t>
        </is>
      </c>
      <c r="H996" t="inlineStr">
        <is>
          <t>SCA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3322-2025</t>
        </is>
      </c>
      <c r="B997" t="inlineStr">
        <is>
          <t>avverkningsanmälan</t>
        </is>
      </c>
      <c r="C997" t="inlineStr">
        <is>
          <t>Föryngringsavverkning</t>
        </is>
      </c>
      <c r="D997" s="1" t="n">
        <v>45679</v>
      </c>
      <c r="E997" s="1" t="n">
        <v>46228</v>
      </c>
      <c r="F997" t="inlineStr">
        <is>
          <t>VÄSTERNORRLANDS LÄN</t>
        </is>
      </c>
      <c r="G997" t="inlineStr">
        <is>
          <t>ÅNGE</t>
        </is>
      </c>
      <c r="H997" t="inlineStr">
        <is>
          <t>SCA</t>
        </is>
      </c>
      <c r="I997" t="n">
        <v>11.1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6686-2024</t>
        </is>
      </c>
      <c r="B998" t="inlineStr">
        <is>
          <t>avverkningsanmälan</t>
        </is>
      </c>
      <c r="C998" t="inlineStr">
        <is>
          <t>Föryngringsavverkning</t>
        </is>
      </c>
      <c r="D998" s="1" t="n">
        <v>45341</v>
      </c>
      <c r="E998" s="1" t="n">
        <v>46228</v>
      </c>
      <c r="F998" t="inlineStr">
        <is>
          <t>VÄSTERNORRLANDS LÄN</t>
        </is>
      </c>
      <c r="G998" t="inlineStr">
        <is>
          <t>ÅNGE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9334-2026</t>
        </is>
      </c>
      <c r="B999" t="inlineStr">
        <is>
          <t>avverkningsanmälan</t>
        </is>
      </c>
      <c r="C999" t="inlineStr">
        <is>
          <t>Föryngringsavverkning</t>
        </is>
      </c>
      <c r="D999" s="1" t="n">
        <v>46070</v>
      </c>
      <c r="E999" s="1" t="n">
        <v>46228</v>
      </c>
      <c r="F999" t="inlineStr">
        <is>
          <t>VÄSTERNORRLANDS LÄN</t>
        </is>
      </c>
      <c r="G999" t="inlineStr">
        <is>
          <t>ÅNGE</t>
        </is>
      </c>
      <c r="H999" t="inlineStr">
        <is>
          <t>SCA</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58524-2025</t>
        </is>
      </c>
      <c r="B1000" t="inlineStr">
        <is>
          <t>avverkningsanmälan</t>
        </is>
      </c>
      <c r="C1000" t="inlineStr">
        <is>
          <t>Föryngringsavverkning</t>
        </is>
      </c>
      <c r="D1000" s="1" t="n">
        <v>45985</v>
      </c>
      <c r="E1000" s="1" t="n">
        <v>46228</v>
      </c>
      <c r="F1000" t="inlineStr">
        <is>
          <t>VÄSTERNORRLANDS LÄN</t>
        </is>
      </c>
      <c r="G1000" t="inlineStr">
        <is>
          <t>ÅNGE</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44606-2024</t>
        </is>
      </c>
      <c r="B1001" t="inlineStr">
        <is>
          <t>avverkningsanmälan</t>
        </is>
      </c>
      <c r="C1001" t="inlineStr">
        <is>
          <t>Föryngringsavverkning</t>
        </is>
      </c>
      <c r="D1001" s="1" t="n">
        <v>45574</v>
      </c>
      <c r="E1001" s="1" t="n">
        <v>46228</v>
      </c>
      <c r="F1001" t="inlineStr">
        <is>
          <t>VÄSTERNORRLANDS LÄN</t>
        </is>
      </c>
      <c r="G1001" t="inlineStr">
        <is>
          <t>ÅNGE</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44626-2024</t>
        </is>
      </c>
      <c r="B1002" t="inlineStr">
        <is>
          <t>avverkningsanmälan</t>
        </is>
      </c>
      <c r="C1002" t="inlineStr">
        <is>
          <t>Föryngringsavverkning</t>
        </is>
      </c>
      <c r="D1002" s="1" t="n">
        <v>45574</v>
      </c>
      <c r="E1002" s="1" t="n">
        <v>46228</v>
      </c>
      <c r="F1002" t="inlineStr">
        <is>
          <t>VÄSTERNORRLANDS LÄN</t>
        </is>
      </c>
      <c r="G1002" t="inlineStr">
        <is>
          <t>ÅNGE</t>
        </is>
      </c>
      <c r="H1002" t="inlineStr">
        <is>
          <t>SCA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24434-2026</t>
        </is>
      </c>
      <c r="B1003" t="inlineStr">
        <is>
          <t>avverkningsanmälan</t>
        </is>
      </c>
      <c r="C1003" t="inlineStr">
        <is>
          <t>Avverkning för annat ändamål</t>
        </is>
      </c>
      <c r="D1003" s="1" t="n">
        <v>46169</v>
      </c>
      <c r="E1003" s="1" t="n">
        <v>46228</v>
      </c>
      <c r="F1003" t="inlineStr">
        <is>
          <t>VÄSTERNORRLANDS LÄN</t>
        </is>
      </c>
      <c r="G1003" t="inlineStr">
        <is>
          <t>ÅNGE</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14813-2022</t>
        </is>
      </c>
      <c r="B1004" t="inlineStr">
        <is>
          <t>avverkningsanmälan</t>
        </is>
      </c>
      <c r="C1004" t="inlineStr">
        <is>
          <t>Föryngringsavverkning</t>
        </is>
      </c>
      <c r="D1004" s="1" t="n">
        <v>44656</v>
      </c>
      <c r="E1004" s="1" t="n">
        <v>46228</v>
      </c>
      <c r="F1004" t="inlineStr">
        <is>
          <t>VÄSTERNORRLANDS LÄN</t>
        </is>
      </c>
      <c r="G1004" t="inlineStr">
        <is>
          <t>ÅNGE</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18668-2023</t>
        </is>
      </c>
      <c r="B1005" t="inlineStr">
        <is>
          <t>avverkningsanmälan</t>
        </is>
      </c>
      <c r="C1005" t="inlineStr">
        <is>
          <t>Föryngringsavverkning</t>
        </is>
      </c>
      <c r="D1005" s="1" t="n">
        <v>45043</v>
      </c>
      <c r="E1005" s="1" t="n">
        <v>46228</v>
      </c>
      <c r="F1005" t="inlineStr">
        <is>
          <t>VÄSTERNORRLANDS LÄN</t>
        </is>
      </c>
      <c r="G1005" t="inlineStr">
        <is>
          <t>ÅNGE</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60368-2024</t>
        </is>
      </c>
      <c r="B1006" t="inlineStr">
        <is>
          <t>avverkningsanmälan</t>
        </is>
      </c>
      <c r="C1006" t="inlineStr">
        <is>
          <t>Avverkning för annat ändamål</t>
        </is>
      </c>
      <c r="D1006" s="1" t="n">
        <v>45643</v>
      </c>
      <c r="E1006" s="1" t="n">
        <v>46228</v>
      </c>
      <c r="F1006" t="inlineStr">
        <is>
          <t>VÄSTERNORRLANDS LÄN</t>
        </is>
      </c>
      <c r="G1006" t="inlineStr">
        <is>
          <t>ÅNGE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1964-2022</t>
        </is>
      </c>
      <c r="B1007" t="inlineStr">
        <is>
          <t>avverkningsanmälan</t>
        </is>
      </c>
      <c r="C1007" t="inlineStr">
        <is>
          <t>Föryngringsavverkning</t>
        </is>
      </c>
      <c r="D1007" s="1" t="n">
        <v>44575</v>
      </c>
      <c r="E1007" s="1" t="n">
        <v>46228</v>
      </c>
      <c r="F1007" t="inlineStr">
        <is>
          <t>VÄSTERNORRLANDS LÄN</t>
        </is>
      </c>
      <c r="G1007" t="inlineStr">
        <is>
          <t>ÅNGE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24196-2026</t>
        </is>
      </c>
      <c r="B1008" t="inlineStr">
        <is>
          <t>avverkningsanmälan</t>
        </is>
      </c>
      <c r="C1008" t="inlineStr">
        <is>
          <t>Föryngringsavverkning</t>
        </is>
      </c>
      <c r="D1008" s="1" t="n">
        <v>46168</v>
      </c>
      <c r="E1008" s="1" t="n">
        <v>46228</v>
      </c>
      <c r="F1008" t="inlineStr">
        <is>
          <t>VÄSTERNORRLANDS LÄN</t>
        </is>
      </c>
      <c r="G1008" t="inlineStr">
        <is>
          <t>ÅNGE</t>
        </is>
      </c>
      <c r="H1008" t="inlineStr">
        <is>
          <t>SCA</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18880-2024</t>
        </is>
      </c>
      <c r="B1009" t="inlineStr">
        <is>
          <t>avverkningsanmälan</t>
        </is>
      </c>
      <c r="C1009" t="inlineStr">
        <is>
          <t>Föryngringsavverkning</t>
        </is>
      </c>
      <c r="D1009" s="1" t="n">
        <v>45426</v>
      </c>
      <c r="E1009" s="1" t="n">
        <v>46228</v>
      </c>
      <c r="F1009" t="inlineStr">
        <is>
          <t>VÄSTERNORRLANDS LÄN</t>
        </is>
      </c>
      <c r="G1009" t="inlineStr">
        <is>
          <t>ÅNGE</t>
        </is>
      </c>
      <c r="H1009" t="inlineStr">
        <is>
          <t>SCA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48787-2024</t>
        </is>
      </c>
      <c r="B1010" t="inlineStr">
        <is>
          <t>avverkningsanmälan</t>
        </is>
      </c>
      <c r="C1010" t="inlineStr">
        <is>
          <t>Föryngringsavverkning</t>
        </is>
      </c>
      <c r="D1010" s="1" t="n">
        <v>45593</v>
      </c>
      <c r="E1010" s="1" t="n">
        <v>46228</v>
      </c>
      <c r="F1010" t="inlineStr">
        <is>
          <t>VÄSTERNORRLANDS LÄN</t>
        </is>
      </c>
      <c r="G1010" t="inlineStr">
        <is>
          <t>ÅNGE</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10854-2026</t>
        </is>
      </c>
      <c r="B1011" t="inlineStr">
        <is>
          <t>avverkningsanmälan</t>
        </is>
      </c>
      <c r="C1011" t="inlineStr">
        <is>
          <t>Föryngringsavverkning</t>
        </is>
      </c>
      <c r="D1011" s="1" t="n">
        <v>46078</v>
      </c>
      <c r="E1011" s="1" t="n">
        <v>46228</v>
      </c>
      <c r="F1011" t="inlineStr">
        <is>
          <t>VÄSTERNORRLANDS LÄN</t>
        </is>
      </c>
      <c r="G1011" t="inlineStr">
        <is>
          <t>ÅNGE</t>
        </is>
      </c>
      <c r="H1011" t="inlineStr">
        <is>
          <t>SCA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10678-2026</t>
        </is>
      </c>
      <c r="B1012" t="inlineStr">
        <is>
          <t>avverkningsanmälan</t>
        </is>
      </c>
      <c r="C1012" t="inlineStr">
        <is>
          <t>Föryngringsavverkning</t>
        </is>
      </c>
      <c r="D1012" s="1" t="n">
        <v>46078</v>
      </c>
      <c r="E1012" s="1" t="n">
        <v>46228</v>
      </c>
      <c r="F1012" t="inlineStr">
        <is>
          <t>VÄSTERNORRLANDS LÄN</t>
        </is>
      </c>
      <c r="G1012" t="inlineStr">
        <is>
          <t>ÅNGE</t>
        </is>
      </c>
      <c r="H1012" t="inlineStr">
        <is>
          <t>SCA</t>
        </is>
      </c>
      <c r="I1012" t="n">
        <v>19.9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1886-2024</t>
        </is>
      </c>
      <c r="B1013" t="inlineStr">
        <is>
          <t>avverkningsanmälan</t>
        </is>
      </c>
      <c r="C1013" t="inlineStr">
        <is>
          <t>Föryngringsavverkning</t>
        </is>
      </c>
      <c r="D1013" s="1" t="n">
        <v>45307</v>
      </c>
      <c r="E1013" s="1" t="n">
        <v>46228</v>
      </c>
      <c r="F1013" t="inlineStr">
        <is>
          <t>VÄSTERNORRLANDS LÄN</t>
        </is>
      </c>
      <c r="G1013" t="inlineStr">
        <is>
          <t>ÅNGE</t>
        </is>
      </c>
      <c r="H1013" t="inlineStr">
        <is>
          <t>SCA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41370-2023</t>
        </is>
      </c>
      <c r="B1014" t="inlineStr">
        <is>
          <t>avverkningsanmälan</t>
        </is>
      </c>
      <c r="C1014" t="inlineStr">
        <is>
          <t>Föryngringsavverkning</t>
        </is>
      </c>
      <c r="D1014" s="1" t="n">
        <v>45174</v>
      </c>
      <c r="E1014" s="1" t="n">
        <v>46228</v>
      </c>
      <c r="F1014" t="inlineStr">
        <is>
          <t>VÄSTERNORRLANDS LÄN</t>
        </is>
      </c>
      <c r="G1014" t="inlineStr">
        <is>
          <t>ÅNGE</t>
        </is>
      </c>
      <c r="H1014" t="inlineStr">
        <is>
          <t>Sveaskog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24154-2026</t>
        </is>
      </c>
      <c r="B1015" t="inlineStr">
        <is>
          <t>avverkningsanmälan</t>
        </is>
      </c>
      <c r="C1015" t="inlineStr">
        <is>
          <t>Föryngringsavverkning</t>
        </is>
      </c>
      <c r="D1015" s="1" t="n">
        <v>46168</v>
      </c>
      <c r="E1015" s="1" t="n">
        <v>46228</v>
      </c>
      <c r="F1015" t="inlineStr">
        <is>
          <t>VÄSTERNORRLANDS LÄN</t>
        </is>
      </c>
      <c r="G1015" t="inlineStr">
        <is>
          <t>ÅNGE</t>
        </is>
      </c>
      <c r="H1015" t="inlineStr">
        <is>
          <t>SCA</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24164-2026</t>
        </is>
      </c>
      <c r="B1016" t="inlineStr">
        <is>
          <t>avverkningsanmälan</t>
        </is>
      </c>
      <c r="C1016" t="inlineStr">
        <is>
          <t>Föryngringsavverkning</t>
        </is>
      </c>
      <c r="D1016" s="1" t="n">
        <v>46168</v>
      </c>
      <c r="E1016" s="1" t="n">
        <v>46228</v>
      </c>
      <c r="F1016" t="inlineStr">
        <is>
          <t>VÄSTERNORRLANDS LÄN</t>
        </is>
      </c>
      <c r="G1016" t="inlineStr">
        <is>
          <t>ÅNGE</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30235-2024</t>
        </is>
      </c>
      <c r="B1017" t="inlineStr">
        <is>
          <t>avverkningsanmälan</t>
        </is>
      </c>
      <c r="C1017" t="inlineStr">
        <is>
          <t>Föryngringsavverkning</t>
        </is>
      </c>
      <c r="D1017" s="1" t="n">
        <v>45490</v>
      </c>
      <c r="E1017" s="1" t="n">
        <v>46228</v>
      </c>
      <c r="F1017" t="inlineStr">
        <is>
          <t>VÄSTERNORRLANDS LÄN</t>
        </is>
      </c>
      <c r="G1017" t="inlineStr">
        <is>
          <t>ÅNGE</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6680-2024</t>
        </is>
      </c>
      <c r="B1018" t="inlineStr">
        <is>
          <t>avverkningsanmälan</t>
        </is>
      </c>
      <c r="C1018" t="inlineStr">
        <is>
          <t>Föryngringsavverkning</t>
        </is>
      </c>
      <c r="D1018" s="1" t="n">
        <v>45341</v>
      </c>
      <c r="E1018" s="1" t="n">
        <v>46228</v>
      </c>
      <c r="F1018" t="inlineStr">
        <is>
          <t>VÄSTERNORRLANDS LÄN</t>
        </is>
      </c>
      <c r="G1018" t="inlineStr">
        <is>
          <t>ÅNGE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24189-2026</t>
        </is>
      </c>
      <c r="B1019" t="inlineStr">
        <is>
          <t>avverkningsanmälan</t>
        </is>
      </c>
      <c r="C1019" t="inlineStr">
        <is>
          <t>Föryngringsavverkning</t>
        </is>
      </c>
      <c r="D1019" s="1" t="n">
        <v>46168</v>
      </c>
      <c r="E1019" s="1" t="n">
        <v>46228</v>
      </c>
      <c r="F1019" t="inlineStr">
        <is>
          <t>VÄSTERNORRLANDS LÄN</t>
        </is>
      </c>
      <c r="G1019" t="inlineStr">
        <is>
          <t>ÅNGE</t>
        </is>
      </c>
      <c r="H1019" t="inlineStr">
        <is>
          <t>Sveaskog</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10749-2026</t>
        </is>
      </c>
      <c r="B1020" t="inlineStr">
        <is>
          <t>avverkningsanmälan</t>
        </is>
      </c>
      <c r="C1020" t="inlineStr">
        <is>
          <t>Föryngringsavverkning</t>
        </is>
      </c>
      <c r="D1020" s="1" t="n">
        <v>46078</v>
      </c>
      <c r="E1020" s="1" t="n">
        <v>46228</v>
      </c>
      <c r="F1020" t="inlineStr">
        <is>
          <t>VÄSTERNORRLANDS LÄN</t>
        </is>
      </c>
      <c r="G1020" t="inlineStr">
        <is>
          <t>ÅNGE</t>
        </is>
      </c>
      <c r="H1020" t="inlineStr">
        <is>
          <t>SCA</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10878-2026</t>
        </is>
      </c>
      <c r="B1021" t="inlineStr">
        <is>
          <t>avverkningsanmälan</t>
        </is>
      </c>
      <c r="C1021" t="inlineStr">
        <is>
          <t>Föryngringsavverkning</t>
        </is>
      </c>
      <c r="D1021" s="1" t="n">
        <v>46078</v>
      </c>
      <c r="E1021" s="1" t="n">
        <v>46228</v>
      </c>
      <c r="F1021" t="inlineStr">
        <is>
          <t>VÄSTERNORRLANDS LÄN</t>
        </is>
      </c>
      <c r="G1021" t="inlineStr">
        <is>
          <t>ÅNGE</t>
        </is>
      </c>
      <c r="H1021" t="inlineStr">
        <is>
          <t>SCA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60817-2024</t>
        </is>
      </c>
      <c r="B1022" t="inlineStr">
        <is>
          <t>avverkningsanmälan</t>
        </is>
      </c>
      <c r="C1022" t="inlineStr">
        <is>
          <t>Föryngringsavverkning</t>
        </is>
      </c>
      <c r="D1022" s="1" t="n">
        <v>45644</v>
      </c>
      <c r="E1022" s="1" t="n">
        <v>46228</v>
      </c>
      <c r="F1022" t="inlineStr">
        <is>
          <t>VÄSTERNORRLANDS LÄN</t>
        </is>
      </c>
      <c r="G1022" t="inlineStr">
        <is>
          <t>ÅNGE</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10657-2026</t>
        </is>
      </c>
      <c r="B1023" t="inlineStr">
        <is>
          <t>avverkningsanmälan</t>
        </is>
      </c>
      <c r="C1023" t="inlineStr">
        <is>
          <t>Föryngringsavverkning</t>
        </is>
      </c>
      <c r="D1023" s="1" t="n">
        <v>46078</v>
      </c>
      <c r="E1023" s="1" t="n">
        <v>46228</v>
      </c>
      <c r="F1023" t="inlineStr">
        <is>
          <t>VÄSTERNORRLANDS LÄN</t>
        </is>
      </c>
      <c r="G1023" t="inlineStr">
        <is>
          <t>ÅNGE</t>
        </is>
      </c>
      <c r="H1023" t="inlineStr">
        <is>
          <t>SCA</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18456-2024</t>
        </is>
      </c>
      <c r="B1024" t="inlineStr">
        <is>
          <t>avverkningsanmälan</t>
        </is>
      </c>
      <c r="C1024" t="inlineStr">
        <is>
          <t>Föryngringsavverkning</t>
        </is>
      </c>
      <c r="D1024" s="1" t="n">
        <v>45425</v>
      </c>
      <c r="E1024" s="1" t="n">
        <v>46228</v>
      </c>
      <c r="F1024" t="inlineStr">
        <is>
          <t>VÄSTERNORRLANDS LÄN</t>
        </is>
      </c>
      <c r="G1024" t="inlineStr">
        <is>
          <t>ÅNGE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11075-2026</t>
        </is>
      </c>
      <c r="B1025" t="inlineStr">
        <is>
          <t>avverkningsanmälan</t>
        </is>
      </c>
      <c r="C1025" t="inlineStr">
        <is>
          <t>Föryngringsavverkning</t>
        </is>
      </c>
      <c r="D1025" s="1" t="n">
        <v>46079</v>
      </c>
      <c r="E1025" s="1" t="n">
        <v>46228</v>
      </c>
      <c r="F1025" t="inlineStr">
        <is>
          <t>VÄSTERNORRLANDS LÄN</t>
        </is>
      </c>
      <c r="G1025" t="inlineStr">
        <is>
          <t>ÅNGE</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11157-2026</t>
        </is>
      </c>
      <c r="B1026" t="inlineStr">
        <is>
          <t>avverkningsanmälan</t>
        </is>
      </c>
      <c r="C1026" t="inlineStr">
        <is>
          <t>Föryngringsavverkning</t>
        </is>
      </c>
      <c r="D1026" s="1" t="n">
        <v>46080</v>
      </c>
      <c r="E1026" s="1" t="n">
        <v>46228</v>
      </c>
      <c r="F1026" t="inlineStr">
        <is>
          <t>VÄSTERNORRLANDS LÄN</t>
        </is>
      </c>
      <c r="G1026" t="inlineStr">
        <is>
          <t>ÅNGE</t>
        </is>
      </c>
      <c r="H1026" t="inlineStr">
        <is>
          <t>SCA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11054-2026</t>
        </is>
      </c>
      <c r="B1027" t="inlineStr">
        <is>
          <t>avverkningsanmälan</t>
        </is>
      </c>
      <c r="C1027" t="inlineStr">
        <is>
          <t>Föryngringsavverkning</t>
        </is>
      </c>
      <c r="D1027" s="1" t="n">
        <v>46079</v>
      </c>
      <c r="E1027" s="1" t="n">
        <v>46228</v>
      </c>
      <c r="F1027" t="inlineStr">
        <is>
          <t>VÄSTERNORRLANDS LÄN</t>
        </is>
      </c>
      <c r="G1027" t="inlineStr">
        <is>
          <t>ÅNGE</t>
        </is>
      </c>
      <c r="H1027" t="inlineStr">
        <is>
          <t>SCA</t>
        </is>
      </c>
      <c r="I1027" t="n">
        <v>26.2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30549-2026</t>
        </is>
      </c>
      <c r="B1028" t="inlineStr">
        <is>
          <t>avverkningsanmälan</t>
        </is>
      </c>
      <c r="C1028" t="inlineStr">
        <is>
          <t>Föryngringsavverkning</t>
        </is>
      </c>
      <c r="D1028" s="1" t="n">
        <v>46210</v>
      </c>
      <c r="E1028" s="1" t="n">
        <v>46228</v>
      </c>
      <c r="F1028" t="inlineStr">
        <is>
          <t>VÄSTERNORRLANDS LÄN</t>
        </is>
      </c>
      <c r="G1028" t="inlineStr">
        <is>
          <t>ÅNGE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11256-2026</t>
        </is>
      </c>
      <c r="B1029" t="inlineStr">
        <is>
          <t>avverkningsanmälan</t>
        </is>
      </c>
      <c r="C1029" t="inlineStr">
        <is>
          <t>Föryngringsavverkning</t>
        </is>
      </c>
      <c r="D1029" s="1" t="n">
        <v>46080</v>
      </c>
      <c r="E1029" s="1" t="n">
        <v>46228</v>
      </c>
      <c r="F1029" t="inlineStr">
        <is>
          <t>VÄSTERNORRLANDS LÄN</t>
        </is>
      </c>
      <c r="G1029" t="inlineStr">
        <is>
          <t>ÅNGE</t>
        </is>
      </c>
      <c r="H1029" t="inlineStr">
        <is>
          <t>SCA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25047-2023</t>
        </is>
      </c>
      <c r="B1030" t="inlineStr">
        <is>
          <t>avverkningsanmälan</t>
        </is>
      </c>
      <c r="C1030" t="inlineStr">
        <is>
          <t>Föryngringsavverkning</t>
        </is>
      </c>
      <c r="D1030" s="1" t="n">
        <v>45085</v>
      </c>
      <c r="E1030" s="1" t="n">
        <v>46228</v>
      </c>
      <c r="F1030" t="inlineStr">
        <is>
          <t>VÄSTERNORRLANDS LÄN</t>
        </is>
      </c>
      <c r="G1030" t="inlineStr">
        <is>
          <t>ÅNGE</t>
        </is>
      </c>
      <c r="H1030" t="inlineStr">
        <is>
          <t>SCA</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24180-2026</t>
        </is>
      </c>
      <c r="B1031" t="inlineStr">
        <is>
          <t>avverkningsanmälan</t>
        </is>
      </c>
      <c r="C1031" t="inlineStr">
        <is>
          <t>Föryngringsavverkning</t>
        </is>
      </c>
      <c r="D1031" s="1" t="n">
        <v>46168</v>
      </c>
      <c r="E1031" s="1" t="n">
        <v>46228</v>
      </c>
      <c r="F1031" t="inlineStr">
        <is>
          <t>VÄSTERNORRLANDS LÄN</t>
        </is>
      </c>
      <c r="G1031" t="inlineStr">
        <is>
          <t>ÅNGE</t>
        </is>
      </c>
      <c r="H1031" t="inlineStr">
        <is>
          <t>SCA</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30714-2026</t>
        </is>
      </c>
      <c r="B1032" t="inlineStr">
        <is>
          <t>avverkningsanmälan</t>
        </is>
      </c>
      <c r="C1032" t="inlineStr">
        <is>
          <t>Föryngringsavverkning</t>
        </is>
      </c>
      <c r="D1032" s="1" t="n">
        <v>46211</v>
      </c>
      <c r="E1032" s="1" t="n">
        <v>46228</v>
      </c>
      <c r="F1032" t="inlineStr">
        <is>
          <t>VÄSTERNORRLANDS LÄN</t>
        </is>
      </c>
      <c r="G1032" t="inlineStr">
        <is>
          <t>ÅNGE</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11645-2026</t>
        </is>
      </c>
      <c r="B1033" t="inlineStr">
        <is>
          <t>avverkningsanmälan</t>
        </is>
      </c>
      <c r="C1033" t="inlineStr">
        <is>
          <t>Föryngringsavverkning</t>
        </is>
      </c>
      <c r="D1033" s="1" t="n">
        <v>46084</v>
      </c>
      <c r="E1033" s="1" t="n">
        <v>46228</v>
      </c>
      <c r="F1033" t="inlineStr">
        <is>
          <t>VÄSTERNORRLANDS LÄN</t>
        </is>
      </c>
      <c r="G1033" t="inlineStr">
        <is>
          <t>ÅNGE</t>
        </is>
      </c>
      <c r="H1033" t="inlineStr">
        <is>
          <t>SCA</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30398-2026</t>
        </is>
      </c>
      <c r="B1034" t="inlineStr">
        <is>
          <t>avverkningsanmälan</t>
        </is>
      </c>
      <c r="C1034" t="inlineStr">
        <is>
          <t>Föryngringsavverkning</t>
        </is>
      </c>
      <c r="D1034" s="1" t="n">
        <v>46209</v>
      </c>
      <c r="E1034" s="1" t="n">
        <v>46228</v>
      </c>
      <c r="F1034" t="inlineStr">
        <is>
          <t>VÄSTERNORRLANDS LÄN</t>
        </is>
      </c>
      <c r="G1034" t="inlineStr">
        <is>
          <t>ÅNGE</t>
        </is>
      </c>
      <c r="H1034" t="inlineStr">
        <is>
          <t>SCA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11461-2026</t>
        </is>
      </c>
      <c r="B1035" t="inlineStr">
        <is>
          <t>avverkningsanmälan</t>
        </is>
      </c>
      <c r="C1035" t="inlineStr">
        <is>
          <t>Föryngringsavverkning</t>
        </is>
      </c>
      <c r="D1035" s="1" t="n">
        <v>46083</v>
      </c>
      <c r="E1035" s="1" t="n">
        <v>46228</v>
      </c>
      <c r="F1035" t="inlineStr">
        <is>
          <t>VÄSTERNORRLANDS LÄN</t>
        </is>
      </c>
      <c r="G1035" t="inlineStr">
        <is>
          <t>ÅNGE</t>
        </is>
      </c>
      <c r="H1035" t="inlineStr">
        <is>
          <t>SCA</t>
        </is>
      </c>
      <c r="I1035" t="n">
        <v>6.7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11564-2026</t>
        </is>
      </c>
      <c r="B1036" t="inlineStr">
        <is>
          <t>avverkningsanmälan</t>
        </is>
      </c>
      <c r="C1036" t="inlineStr">
        <is>
          <t>Föryngringsavverkning</t>
        </is>
      </c>
      <c r="D1036" s="1" t="n">
        <v>46084</v>
      </c>
      <c r="E1036" s="1" t="n">
        <v>46228</v>
      </c>
      <c r="F1036" t="inlineStr">
        <is>
          <t>VÄSTERNORRLANDS LÄN</t>
        </is>
      </c>
      <c r="G1036" t="inlineStr">
        <is>
          <t>ÅNGE</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30480-2026</t>
        </is>
      </c>
      <c r="B1037" t="inlineStr">
        <is>
          <t>avverkningsanmälan</t>
        </is>
      </c>
      <c r="C1037" t="inlineStr">
        <is>
          <t>Föryngringsavverkning</t>
        </is>
      </c>
      <c r="D1037" s="1" t="n">
        <v>46210</v>
      </c>
      <c r="E1037" s="1" t="n">
        <v>46228</v>
      </c>
      <c r="F1037" t="inlineStr">
        <is>
          <t>VÄSTERNORRLANDS LÄN</t>
        </is>
      </c>
      <c r="G1037" t="inlineStr">
        <is>
          <t>ÅNGE</t>
        </is>
      </c>
      <c r="H1037" t="inlineStr">
        <is>
          <t>SCA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30481-2026</t>
        </is>
      </c>
      <c r="B1038" t="inlineStr">
        <is>
          <t>avverkningsanmälan</t>
        </is>
      </c>
      <c r="C1038" t="inlineStr">
        <is>
          <t>Föryngringsavverkning</t>
        </is>
      </c>
      <c r="D1038" s="1" t="n">
        <v>46210</v>
      </c>
      <c r="E1038" s="1" t="n">
        <v>46228</v>
      </c>
      <c r="F1038" t="inlineStr">
        <is>
          <t>VÄSTERNORRLANDS LÄN</t>
        </is>
      </c>
      <c r="G1038" t="inlineStr">
        <is>
          <t>ÅNGE</t>
        </is>
      </c>
      <c r="H1038" t="inlineStr">
        <is>
          <t>SCA</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12176-2026</t>
        </is>
      </c>
      <c r="B1039" t="inlineStr">
        <is>
          <t>avverkningsanmälan</t>
        </is>
      </c>
      <c r="C1039" t="inlineStr">
        <is>
          <t>Föryngringsavverkning</t>
        </is>
      </c>
      <c r="D1039" s="1" t="n">
        <v>46086</v>
      </c>
      <c r="E1039" s="1" t="n">
        <v>46228</v>
      </c>
      <c r="F1039" t="inlineStr">
        <is>
          <t>VÄSTERNORRLANDS LÄN</t>
        </is>
      </c>
      <c r="G1039" t="inlineStr">
        <is>
          <t>ÅNGE</t>
        </is>
      </c>
      <c r="H1039" t="inlineStr">
        <is>
          <t>SCA</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11924-2026</t>
        </is>
      </c>
      <c r="B1040" t="inlineStr">
        <is>
          <t>avverkningsanmälan</t>
        </is>
      </c>
      <c r="C1040" t="inlineStr">
        <is>
          <t>Föryngringsavverkning</t>
        </is>
      </c>
      <c r="D1040" s="1" t="n">
        <v>46085</v>
      </c>
      <c r="E1040" s="1" t="n">
        <v>46228</v>
      </c>
      <c r="F1040" t="inlineStr">
        <is>
          <t>VÄSTERNORRLANDS LÄN</t>
        </is>
      </c>
      <c r="G1040" t="inlineStr">
        <is>
          <t>ÅNGE</t>
        </is>
      </c>
      <c r="H1040" t="inlineStr">
        <is>
          <t>SCA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24108-2026</t>
        </is>
      </c>
      <c r="B1041" t="inlineStr">
        <is>
          <t>avverkningsanmälan</t>
        </is>
      </c>
      <c r="C1041" t="inlineStr">
        <is>
          <t>Föryngringsavverkning</t>
        </is>
      </c>
      <c r="D1041" s="1" t="n">
        <v>46168</v>
      </c>
      <c r="E1041" s="1" t="n">
        <v>46228</v>
      </c>
      <c r="F1041" t="inlineStr">
        <is>
          <t>VÄSTERNORRLANDS LÄN</t>
        </is>
      </c>
      <c r="G1041" t="inlineStr">
        <is>
          <t>ÅNGE</t>
        </is>
      </c>
      <c r="H1041" t="inlineStr">
        <is>
          <t>SCA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30399-2026</t>
        </is>
      </c>
      <c r="B1042" t="inlineStr">
        <is>
          <t>avverkningsanmälan</t>
        </is>
      </c>
      <c r="C1042" t="inlineStr">
        <is>
          <t>Föryngringsavverkning</t>
        </is>
      </c>
      <c r="D1042" s="1" t="n">
        <v>46209</v>
      </c>
      <c r="E1042" s="1" t="n">
        <v>46228</v>
      </c>
      <c r="F1042" t="inlineStr">
        <is>
          <t>VÄSTERNORRLANDS LÄN</t>
        </is>
      </c>
      <c r="G1042" t="inlineStr">
        <is>
          <t>ÅNGE</t>
        </is>
      </c>
      <c r="H1042" t="inlineStr">
        <is>
          <t>SCA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30974-2026</t>
        </is>
      </c>
      <c r="B1043" t="inlineStr">
        <is>
          <t>avverkningsanmälan</t>
        </is>
      </c>
      <c r="C1043" t="inlineStr">
        <is>
          <t>Föryngringsavverkning</t>
        </is>
      </c>
      <c r="D1043" s="1" t="n">
        <v>46213</v>
      </c>
      <c r="E1043" s="1" t="n">
        <v>46228</v>
      </c>
      <c r="F1043" t="inlineStr">
        <is>
          <t>VÄSTERNORRLANDS LÄN</t>
        </is>
      </c>
      <c r="G1043" t="inlineStr">
        <is>
          <t>ÅNGE</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42044-2024</t>
        </is>
      </c>
      <c r="B1044" t="inlineStr">
        <is>
          <t>avverkningsanmälan</t>
        </is>
      </c>
      <c r="C1044" t="inlineStr">
        <is>
          <t>Föryngringsavverkning</t>
        </is>
      </c>
      <c r="D1044" s="1" t="n">
        <v>45561</v>
      </c>
      <c r="E1044" s="1" t="n">
        <v>46228</v>
      </c>
      <c r="F1044" t="inlineStr">
        <is>
          <t>VÄSTERNORRLANDS LÄN</t>
        </is>
      </c>
      <c r="G1044" t="inlineStr">
        <is>
          <t>ÅNGE</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30983-2026</t>
        </is>
      </c>
      <c r="B1045" t="inlineStr">
        <is>
          <t>avverkningsanmälan</t>
        </is>
      </c>
      <c r="C1045" t="inlineStr">
        <is>
          <t>Föryngringsavverkning</t>
        </is>
      </c>
      <c r="D1045" s="1" t="n">
        <v>46213</v>
      </c>
      <c r="E1045" s="1" t="n">
        <v>46228</v>
      </c>
      <c r="F1045" t="inlineStr">
        <is>
          <t>VÄSTERNORRLANDS LÄN</t>
        </is>
      </c>
      <c r="G1045" t="inlineStr">
        <is>
          <t>ÅNGE</t>
        </is>
      </c>
      <c r="H1045" t="inlineStr">
        <is>
          <t>SCA</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11804-2026</t>
        </is>
      </c>
      <c r="B1046" t="inlineStr">
        <is>
          <t>avverkningsanmälan</t>
        </is>
      </c>
      <c r="C1046" t="inlineStr">
        <is>
          <t>Föryngringsavverkning</t>
        </is>
      </c>
      <c r="D1046" s="1" t="n">
        <v>46085</v>
      </c>
      <c r="E1046" s="1" t="n">
        <v>46228</v>
      </c>
      <c r="F1046" t="inlineStr">
        <is>
          <t>VÄSTERNORRLANDS LÄN</t>
        </is>
      </c>
      <c r="G1046" t="inlineStr">
        <is>
          <t>ÅNGE</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11803-2026</t>
        </is>
      </c>
      <c r="B1047" t="inlineStr">
        <is>
          <t>avverkningsanmälan</t>
        </is>
      </c>
      <c r="C1047" t="inlineStr">
        <is>
          <t>Föryngringsavverkning</t>
        </is>
      </c>
      <c r="D1047" s="1" t="n">
        <v>46085</v>
      </c>
      <c r="E1047" s="1" t="n">
        <v>46228</v>
      </c>
      <c r="F1047" t="inlineStr">
        <is>
          <t>VÄSTERNORRLANDS LÄN</t>
        </is>
      </c>
      <c r="G1047" t="inlineStr">
        <is>
          <t>ÅNGE</t>
        </is>
      </c>
      <c r="I1047" t="n">
        <v>5.8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30802-2026</t>
        </is>
      </c>
      <c r="B1048" t="inlineStr">
        <is>
          <t>avverkningsanmälan</t>
        </is>
      </c>
      <c r="C1048" t="inlineStr">
        <is>
          <t>Föryngringsavverkning</t>
        </is>
      </c>
      <c r="D1048" s="1" t="n">
        <v>46212</v>
      </c>
      <c r="E1048" s="1" t="n">
        <v>46228</v>
      </c>
      <c r="F1048" t="inlineStr">
        <is>
          <t>VÄSTERNORRLANDS LÄN</t>
        </is>
      </c>
      <c r="G1048" t="inlineStr">
        <is>
          <t>ÅNGE</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30806-2026</t>
        </is>
      </c>
      <c r="B1049" t="inlineStr">
        <is>
          <t>avverkningsanmälan</t>
        </is>
      </c>
      <c r="C1049" t="inlineStr">
        <is>
          <t>Föryngringsavverkning</t>
        </is>
      </c>
      <c r="D1049" s="1" t="n">
        <v>46212</v>
      </c>
      <c r="E1049" s="1" t="n">
        <v>46228</v>
      </c>
      <c r="F1049" t="inlineStr">
        <is>
          <t>VÄSTERNORRLANDS LÄN</t>
        </is>
      </c>
      <c r="G1049" t="inlineStr">
        <is>
          <t>ÅNGE</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11764-2024</t>
        </is>
      </c>
      <c r="B1050" t="inlineStr">
        <is>
          <t>avverkningsanmälan</t>
        </is>
      </c>
      <c r="C1050" t="inlineStr">
        <is>
          <t>Föryngringsavverkning</t>
        </is>
      </c>
      <c r="D1050" s="1" t="n">
        <v>45373</v>
      </c>
      <c r="E1050" s="1" t="n">
        <v>46228</v>
      </c>
      <c r="F1050" t="inlineStr">
        <is>
          <t>VÄSTERNORRLANDS LÄN</t>
        </is>
      </c>
      <c r="G1050" t="inlineStr">
        <is>
          <t>ÅNGE</t>
        </is>
      </c>
      <c r="H1050" t="inlineStr">
        <is>
          <t>SCA</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12439-2026</t>
        </is>
      </c>
      <c r="B1051" t="inlineStr">
        <is>
          <t>avverkningsanmälan</t>
        </is>
      </c>
      <c r="C1051" t="inlineStr">
        <is>
          <t>Föryngringsavverkning</t>
        </is>
      </c>
      <c r="D1051" s="1" t="n">
        <v>46090</v>
      </c>
      <c r="E1051" s="1" t="n">
        <v>46228</v>
      </c>
      <c r="F1051" t="inlineStr">
        <is>
          <t>VÄSTERNORRLANDS LÄN</t>
        </is>
      </c>
      <c r="G1051" t="inlineStr">
        <is>
          <t>ÅNGE</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30824-2026</t>
        </is>
      </c>
      <c r="B1052" t="inlineStr">
        <is>
          <t>avverkningsanmälan</t>
        </is>
      </c>
      <c r="C1052" t="inlineStr">
        <is>
          <t>Föryngringsavverkning</t>
        </is>
      </c>
      <c r="D1052" s="1" t="n">
        <v>46212</v>
      </c>
      <c r="E1052" s="1" t="n">
        <v>46228</v>
      </c>
      <c r="F1052" t="inlineStr">
        <is>
          <t>VÄSTERNORRLANDS LÄN</t>
        </is>
      </c>
      <c r="G1052" t="inlineStr">
        <is>
          <t>ÅNGE</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30003-2026</t>
        </is>
      </c>
      <c r="B1053" t="inlineStr">
        <is>
          <t>avverkningsanmälan</t>
        </is>
      </c>
      <c r="C1053" t="inlineStr">
        <is>
          <t>Föryngringsavverkning</t>
        </is>
      </c>
      <c r="D1053" s="1" t="n">
        <v>46202</v>
      </c>
      <c r="E1053" s="1" t="n">
        <v>46228</v>
      </c>
      <c r="F1053" t="inlineStr">
        <is>
          <t>VÄSTERNORRLANDS LÄN</t>
        </is>
      </c>
      <c r="G1053" t="inlineStr">
        <is>
          <t>ÅNGE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24566-2026</t>
        </is>
      </c>
      <c r="B1054" t="inlineStr">
        <is>
          <t>avverkningsanmälan</t>
        </is>
      </c>
      <c r="C1054" t="inlineStr">
        <is>
          <t>Föryngringsavverkning</t>
        </is>
      </c>
      <c r="D1054" s="1" t="n">
        <v>46170</v>
      </c>
      <c r="E1054" s="1" t="n">
        <v>46228</v>
      </c>
      <c r="F1054" t="inlineStr">
        <is>
          <t>VÄSTERNORRLANDS LÄN</t>
        </is>
      </c>
      <c r="G1054" t="inlineStr">
        <is>
          <t>ÅNGE</t>
        </is>
      </c>
      <c r="H1054" t="inlineStr">
        <is>
          <t>SCA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25035-2023</t>
        </is>
      </c>
      <c r="B1055" t="inlineStr">
        <is>
          <t>avverkningsanmälan</t>
        </is>
      </c>
      <c r="C1055" t="inlineStr">
        <is>
          <t>Avverkning för annat ändamål</t>
        </is>
      </c>
      <c r="D1055" s="1" t="n">
        <v>45085</v>
      </c>
      <c r="E1055" s="1" t="n">
        <v>46228</v>
      </c>
      <c r="F1055" t="inlineStr">
        <is>
          <t>VÄSTERNORRLANDS LÄN</t>
        </is>
      </c>
      <c r="G1055" t="inlineStr">
        <is>
          <t>ÅNGE</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12287-2026</t>
        </is>
      </c>
      <c r="B1056" t="inlineStr">
        <is>
          <t>avverkningsanmälan</t>
        </is>
      </c>
      <c r="C1056" t="inlineStr">
        <is>
          <t>Föryngringsavverkning</t>
        </is>
      </c>
      <c r="D1056" s="1" t="n">
        <v>46087</v>
      </c>
      <c r="E1056" s="1" t="n">
        <v>46228</v>
      </c>
      <c r="F1056" t="inlineStr">
        <is>
          <t>VÄSTERNORRLANDS LÄN</t>
        </is>
      </c>
      <c r="G1056" t="inlineStr">
        <is>
          <t>ÅNGE</t>
        </is>
      </c>
      <c r="H1056" t="inlineStr">
        <is>
          <t>SCA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10195-2024</t>
        </is>
      </c>
      <c r="B1057" t="inlineStr">
        <is>
          <t>avverkningsanmälan</t>
        </is>
      </c>
      <c r="C1057" t="inlineStr">
        <is>
          <t>Föryngringsavverkning</t>
        </is>
      </c>
      <c r="D1057" s="1" t="n">
        <v>45364</v>
      </c>
      <c r="E1057" s="1" t="n">
        <v>46228</v>
      </c>
      <c r="F1057" t="inlineStr">
        <is>
          <t>VÄSTERNORRLANDS LÄN</t>
        </is>
      </c>
      <c r="G1057" t="inlineStr">
        <is>
          <t>ÅNGE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12412-2026</t>
        </is>
      </c>
      <c r="B1058" t="inlineStr">
        <is>
          <t>avverkningsanmälan</t>
        </is>
      </c>
      <c r="C1058" t="inlineStr">
        <is>
          <t>Föryngringsavverkning</t>
        </is>
      </c>
      <c r="D1058" s="1" t="n">
        <v>46090</v>
      </c>
      <c r="E1058" s="1" t="n">
        <v>46228</v>
      </c>
      <c r="F1058" t="inlineStr">
        <is>
          <t>VÄSTERNORRLANDS LÄN</t>
        </is>
      </c>
      <c r="G1058" t="inlineStr">
        <is>
          <t>ÅNGE</t>
        </is>
      </c>
      <c r="I1058" t="n">
        <v>7.1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35276-2022</t>
        </is>
      </c>
      <c r="B1059" t="inlineStr">
        <is>
          <t>avverkningsanmälan</t>
        </is>
      </c>
      <c r="C1059" t="inlineStr">
        <is>
          <t>Föryngringsavverkning</t>
        </is>
      </c>
      <c r="D1059" s="1" t="n">
        <v>44798</v>
      </c>
      <c r="E1059" s="1" t="n">
        <v>46228</v>
      </c>
      <c r="F1059" t="inlineStr">
        <is>
          <t>VÄSTERNORRLANDS LÄN</t>
        </is>
      </c>
      <c r="G1059" t="inlineStr">
        <is>
          <t>ÅNGE</t>
        </is>
      </c>
      <c r="I1059" t="n">
        <v>15.2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12398-2026</t>
        </is>
      </c>
      <c r="B1060" t="inlineStr">
        <is>
          <t>avverkningsanmälan</t>
        </is>
      </c>
      <c r="C1060" t="inlineStr">
        <is>
          <t>Föryngringsavverkning</t>
        </is>
      </c>
      <c r="D1060" s="1" t="n">
        <v>46090</v>
      </c>
      <c r="E1060" s="1" t="n">
        <v>46228</v>
      </c>
      <c r="F1060" t="inlineStr">
        <is>
          <t>VÄSTERNORRLANDS LÄN</t>
        </is>
      </c>
      <c r="G1060" t="inlineStr">
        <is>
          <t>ÅNGE</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42488-2024</t>
        </is>
      </c>
      <c r="B1061" t="inlineStr">
        <is>
          <t>avverkningsanmälan</t>
        </is>
      </c>
      <c r="C1061" t="inlineStr">
        <is>
          <t>Föryngringsavverkning</t>
        </is>
      </c>
      <c r="D1061" s="1" t="n">
        <v>45565</v>
      </c>
      <c r="E1061" s="1" t="n">
        <v>46228</v>
      </c>
      <c r="F1061" t="inlineStr">
        <is>
          <t>VÄSTERNORRLANDS LÄN</t>
        </is>
      </c>
      <c r="G1061" t="inlineStr">
        <is>
          <t>ÅNGE</t>
        </is>
      </c>
      <c r="H1061" t="inlineStr">
        <is>
          <t>SCA</t>
        </is>
      </c>
      <c r="I1061" t="n">
        <v>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42529-2024</t>
        </is>
      </c>
      <c r="B1062" t="inlineStr">
        <is>
          <t>avverkningsanmälan</t>
        </is>
      </c>
      <c r="C1062" t="inlineStr">
        <is>
          <t>Avverkning för att bevara och utveckla /försöksver</t>
        </is>
      </c>
      <c r="D1062" s="1" t="n">
        <v>45565</v>
      </c>
      <c r="E1062" s="1" t="n">
        <v>46228</v>
      </c>
      <c r="F1062" t="inlineStr">
        <is>
          <t>VÄSTERNORRLANDS LÄN</t>
        </is>
      </c>
      <c r="G1062" t="inlineStr">
        <is>
          <t>ÅNGE</t>
        </is>
      </c>
      <c r="H1062" t="inlineStr">
        <is>
          <t>SCA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12437-2026</t>
        </is>
      </c>
      <c r="B1063" t="inlineStr">
        <is>
          <t>avverkningsanmälan</t>
        </is>
      </c>
      <c r="C1063" t="inlineStr">
        <is>
          <t>Föryngringsavverkning</t>
        </is>
      </c>
      <c r="D1063" s="1" t="n">
        <v>46090</v>
      </c>
      <c r="E1063" s="1" t="n">
        <v>46228</v>
      </c>
      <c r="F1063" t="inlineStr">
        <is>
          <t>VÄSTERNORRLANDS LÄN</t>
        </is>
      </c>
      <c r="G1063" t="inlineStr">
        <is>
          <t>ÅNGE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9211-2023</t>
        </is>
      </c>
      <c r="B1064" t="inlineStr">
        <is>
          <t>avverkningsanmälan</t>
        </is>
      </c>
      <c r="C1064" t="inlineStr">
        <is>
          <t>Föryngringsavverkning</t>
        </is>
      </c>
      <c r="D1064" s="1" t="n">
        <v>44980</v>
      </c>
      <c r="E1064" s="1" t="n">
        <v>46228</v>
      </c>
      <c r="F1064" t="inlineStr">
        <is>
          <t>VÄSTERNORRLANDS LÄN</t>
        </is>
      </c>
      <c r="G1064" t="inlineStr">
        <is>
          <t>ÅNGE</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12468-2026</t>
        </is>
      </c>
      <c r="B1065" t="inlineStr">
        <is>
          <t>avverkningsanmälan</t>
        </is>
      </c>
      <c r="C1065" t="inlineStr">
        <is>
          <t>Föryngringsavverkning</t>
        </is>
      </c>
      <c r="D1065" s="1" t="n">
        <v>46090</v>
      </c>
      <c r="E1065" s="1" t="n">
        <v>46228</v>
      </c>
      <c r="F1065" t="inlineStr">
        <is>
          <t>VÄSTERNORRLANDS LÄN</t>
        </is>
      </c>
      <c r="G1065" t="inlineStr">
        <is>
          <t>ÅNGE</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29193-2024</t>
        </is>
      </c>
      <c r="B1066" t="inlineStr">
        <is>
          <t>avverkningsanmälan</t>
        </is>
      </c>
      <c r="C1066" t="inlineStr">
        <is>
          <t>Föryngringsavverkning</t>
        </is>
      </c>
      <c r="D1066" s="1" t="n">
        <v>45482</v>
      </c>
      <c r="E1066" s="1" t="n">
        <v>46228</v>
      </c>
      <c r="F1066" t="inlineStr">
        <is>
          <t>VÄSTERNORRLANDS LÄN</t>
        </is>
      </c>
      <c r="G1066" t="inlineStr">
        <is>
          <t>ÅNGE</t>
        </is>
      </c>
      <c r="I1066" t="n">
        <v>5.6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30982-2026</t>
        </is>
      </c>
      <c r="B1067" t="inlineStr">
        <is>
          <t>avverkningsanmälan</t>
        </is>
      </c>
      <c r="C1067" t="inlineStr">
        <is>
          <t>Föryngringsavverkning</t>
        </is>
      </c>
      <c r="D1067" s="1" t="n">
        <v>46213</v>
      </c>
      <c r="E1067" s="1" t="n">
        <v>46228</v>
      </c>
      <c r="F1067" t="inlineStr">
        <is>
          <t>VÄSTERNORRLANDS LÄN</t>
        </is>
      </c>
      <c r="G1067" t="inlineStr">
        <is>
          <t>ÅNGE</t>
        </is>
      </c>
      <c r="H1067" t="inlineStr">
        <is>
          <t>SCA</t>
        </is>
      </c>
      <c r="I1067" t="n">
        <v>10.9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24553-2026</t>
        </is>
      </c>
      <c r="B1068" t="inlineStr">
        <is>
          <t>avverkningsanmälan</t>
        </is>
      </c>
      <c r="C1068" t="inlineStr">
        <is>
          <t>Föryngringsavverkning</t>
        </is>
      </c>
      <c r="D1068" s="1" t="n">
        <v>46170</v>
      </c>
      <c r="E1068" s="1" t="n">
        <v>46228</v>
      </c>
      <c r="F1068" t="inlineStr">
        <is>
          <t>VÄSTERNORRLANDS LÄN</t>
        </is>
      </c>
      <c r="G1068" t="inlineStr">
        <is>
          <t>ÅNGE</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12874-2026</t>
        </is>
      </c>
      <c r="B1069" t="inlineStr">
        <is>
          <t>avverkningsanmälan</t>
        </is>
      </c>
      <c r="C1069" t="inlineStr">
        <is>
          <t>Föryngringsavverkning</t>
        </is>
      </c>
      <c r="D1069" s="1" t="n">
        <v>46092</v>
      </c>
      <c r="E1069" s="1" t="n">
        <v>46228</v>
      </c>
      <c r="F1069" t="inlineStr">
        <is>
          <t>VÄSTERNORRLANDS LÄN</t>
        </is>
      </c>
      <c r="G1069" t="inlineStr">
        <is>
          <t>ÅNGE</t>
        </is>
      </c>
      <c r="H1069" t="inlineStr">
        <is>
          <t>SCA</t>
        </is>
      </c>
      <c r="I1069" t="n">
        <v>8.6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30804-2026</t>
        </is>
      </c>
      <c r="B1070" t="inlineStr">
        <is>
          <t>avverkningsanmälan</t>
        </is>
      </c>
      <c r="C1070" t="inlineStr">
        <is>
          <t>Föryngringsavverkning</t>
        </is>
      </c>
      <c r="D1070" s="1" t="n">
        <v>46212</v>
      </c>
      <c r="E1070" s="1" t="n">
        <v>46228</v>
      </c>
      <c r="F1070" t="inlineStr">
        <is>
          <t>VÄSTERNORRLANDS LÄN</t>
        </is>
      </c>
      <c r="G1070" t="inlineStr">
        <is>
          <t>ÅNGE</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24470-2026</t>
        </is>
      </c>
      <c r="B1071" t="inlineStr">
        <is>
          <t>avverkningsanmälan</t>
        </is>
      </c>
      <c r="C1071" t="inlineStr">
        <is>
          <t>Föryngringsavverkning</t>
        </is>
      </c>
      <c r="D1071" s="1" t="n">
        <v>46170</v>
      </c>
      <c r="E1071" s="1" t="n">
        <v>46228</v>
      </c>
      <c r="F1071" t="inlineStr">
        <is>
          <t>VÄSTERNORRLANDS LÄN</t>
        </is>
      </c>
      <c r="G1071" t="inlineStr">
        <is>
          <t>ÅNGE</t>
        </is>
      </c>
      <c r="H1071" t="inlineStr">
        <is>
          <t>SCA</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30973-2026</t>
        </is>
      </c>
      <c r="B1072" t="inlineStr">
        <is>
          <t>avverkningsanmälan</t>
        </is>
      </c>
      <c r="C1072" t="inlineStr">
        <is>
          <t>Föryngringsavverkning</t>
        </is>
      </c>
      <c r="D1072" s="1" t="n">
        <v>46213</v>
      </c>
      <c r="E1072" s="1" t="n">
        <v>46228</v>
      </c>
      <c r="F1072" t="inlineStr">
        <is>
          <t>VÄSTERNORRLANDS LÄN</t>
        </is>
      </c>
      <c r="G1072" t="inlineStr">
        <is>
          <t>ÅNGE</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3023-2023</t>
        </is>
      </c>
      <c r="B1073" t="inlineStr">
        <is>
          <t>avverkningsanmälan</t>
        </is>
      </c>
      <c r="C1073" t="inlineStr">
        <is>
          <t>Avverkning för att bevara och utveckla /försöksver</t>
        </is>
      </c>
      <c r="D1073" s="1" t="n">
        <v>44945</v>
      </c>
      <c r="E1073" s="1" t="n">
        <v>46228</v>
      </c>
      <c r="F1073" t="inlineStr">
        <is>
          <t>VÄSTERNORRLANDS LÄN</t>
        </is>
      </c>
      <c r="G1073" t="inlineStr">
        <is>
          <t>ÅNGE</t>
        </is>
      </c>
      <c r="H1073" t="inlineStr">
        <is>
          <t>SCA</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3025-2023</t>
        </is>
      </c>
      <c r="B1074" t="inlineStr">
        <is>
          <t>avverkningsanmälan</t>
        </is>
      </c>
      <c r="C1074" t="inlineStr">
        <is>
          <t>Avverkning för att bevara och utveckla /försöksver</t>
        </is>
      </c>
      <c r="D1074" s="1" t="n">
        <v>44945</v>
      </c>
      <c r="E1074" s="1" t="n">
        <v>46228</v>
      </c>
      <c r="F1074" t="inlineStr">
        <is>
          <t>VÄSTERNORRLANDS LÄN</t>
        </is>
      </c>
      <c r="G1074" t="inlineStr">
        <is>
          <t>ÅNGE</t>
        </is>
      </c>
      <c r="H1074" t="inlineStr">
        <is>
          <t>SCA</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12670-2026</t>
        </is>
      </c>
      <c r="B1075" t="inlineStr">
        <is>
          <t>avverkningsanmälan</t>
        </is>
      </c>
      <c r="C1075" t="inlineStr">
        <is>
          <t>Föryngringsavverkning</t>
        </is>
      </c>
      <c r="D1075" s="1" t="n">
        <v>46091</v>
      </c>
      <c r="E1075" s="1" t="n">
        <v>46228</v>
      </c>
      <c r="F1075" t="inlineStr">
        <is>
          <t>VÄSTERNORRLANDS LÄN</t>
        </is>
      </c>
      <c r="G1075" t="inlineStr">
        <is>
          <t>ÅNGE</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30817-2026</t>
        </is>
      </c>
      <c r="B1076" t="inlineStr">
        <is>
          <t>avverkningsanmälan</t>
        </is>
      </c>
      <c r="C1076" t="inlineStr">
        <is>
          <t>Föryngringsavverkning</t>
        </is>
      </c>
      <c r="D1076" s="1" t="n">
        <v>46212</v>
      </c>
      <c r="E1076" s="1" t="n">
        <v>46228</v>
      </c>
      <c r="F1076" t="inlineStr">
        <is>
          <t>VÄSTERNORRLANDS LÄN</t>
        </is>
      </c>
      <c r="G1076" t="inlineStr">
        <is>
          <t>ÅNGE</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7528-2023</t>
        </is>
      </c>
      <c r="B1077" t="inlineStr">
        <is>
          <t>avverkningsanmälan</t>
        </is>
      </c>
      <c r="C1077" t="inlineStr">
        <is>
          <t>Avverkning för att bevara och utveckla /försöksver</t>
        </is>
      </c>
      <c r="D1077" s="1" t="n">
        <v>44971</v>
      </c>
      <c r="E1077" s="1" t="n">
        <v>46228</v>
      </c>
      <c r="F1077" t="inlineStr">
        <is>
          <t>VÄSTERNORRLANDS LÄN</t>
        </is>
      </c>
      <c r="G1077" t="inlineStr">
        <is>
          <t>ÅNGE</t>
        </is>
      </c>
      <c r="H1077" t="inlineStr">
        <is>
          <t>SCA</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54059-2024</t>
        </is>
      </c>
      <c r="B1078" t="inlineStr">
        <is>
          <t>avverkningsanmälan</t>
        </is>
      </c>
      <c r="C1078" t="inlineStr">
        <is>
          <t>Föryngringsavverkning</t>
        </is>
      </c>
      <c r="D1078" s="1" t="n">
        <v>45616</v>
      </c>
      <c r="E1078" s="1" t="n">
        <v>46228</v>
      </c>
      <c r="F1078" t="inlineStr">
        <is>
          <t>VÄSTERNORRLANDS LÄN</t>
        </is>
      </c>
      <c r="G1078" t="inlineStr">
        <is>
          <t>ÅNGE</t>
        </is>
      </c>
      <c r="H1078" t="inlineStr">
        <is>
          <t>SCA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13144-2026</t>
        </is>
      </c>
      <c r="B1079" t="inlineStr">
        <is>
          <t>avverkningsanmälan</t>
        </is>
      </c>
      <c r="C1079" t="inlineStr">
        <is>
          <t>Föryngringsavverkning</t>
        </is>
      </c>
      <c r="D1079" s="1" t="n">
        <v>46093</v>
      </c>
      <c r="E1079" s="1" t="n">
        <v>46228</v>
      </c>
      <c r="F1079" t="inlineStr">
        <is>
          <t>VÄSTERNORRLANDS LÄN</t>
        </is>
      </c>
      <c r="G1079" t="inlineStr">
        <is>
          <t>ÅNGE</t>
        </is>
      </c>
      <c r="H1079" t="inlineStr">
        <is>
          <t>SCA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13352-2026</t>
        </is>
      </c>
      <c r="B1080" t="inlineStr">
        <is>
          <t>avverkningsanmälan</t>
        </is>
      </c>
      <c r="C1080" t="inlineStr">
        <is>
          <t>Föryngringsavverkning</t>
        </is>
      </c>
      <c r="D1080" s="1" t="n">
        <v>46094</v>
      </c>
      <c r="E1080" s="1" t="n">
        <v>46228</v>
      </c>
      <c r="F1080" t="inlineStr">
        <is>
          <t>VÄSTERNORRLANDS LÄN</t>
        </is>
      </c>
      <c r="G1080" t="inlineStr">
        <is>
          <t>ÅNGE</t>
        </is>
      </c>
      <c r="H1080" t="inlineStr">
        <is>
          <t>SCA</t>
        </is>
      </c>
      <c r="I1080" t="n">
        <v>7.1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13080-2026</t>
        </is>
      </c>
      <c r="B1081" t="inlineStr">
        <is>
          <t>avverkningsanmälan</t>
        </is>
      </c>
      <c r="C1081" t="inlineStr">
        <is>
          <t>Föryngringsavverkning</t>
        </is>
      </c>
      <c r="D1081" s="1" t="n">
        <v>46093</v>
      </c>
      <c r="E1081" s="1" t="n">
        <v>46228</v>
      </c>
      <c r="F1081" t="inlineStr">
        <is>
          <t>VÄSTERNORRLANDS LÄN</t>
        </is>
      </c>
      <c r="G1081" t="inlineStr">
        <is>
          <t>ÅNGE</t>
        </is>
      </c>
      <c r="H1081" t="inlineStr">
        <is>
          <t>SCA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13163-2026</t>
        </is>
      </c>
      <c r="B1082" t="inlineStr">
        <is>
          <t>avverkningsanmälan</t>
        </is>
      </c>
      <c r="C1082" t="inlineStr">
        <is>
          <t>Föryngringsavverkning</t>
        </is>
      </c>
      <c r="D1082" s="1" t="n">
        <v>46093</v>
      </c>
      <c r="E1082" s="1" t="n">
        <v>46228</v>
      </c>
      <c r="F1082" t="inlineStr">
        <is>
          <t>VÄSTERNORRLANDS LÄN</t>
        </is>
      </c>
      <c r="G1082" t="inlineStr">
        <is>
          <t>ÅNGE</t>
        </is>
      </c>
      <c r="H1082" t="inlineStr">
        <is>
          <t>SCA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24728-2026</t>
        </is>
      </c>
      <c r="B1083" t="inlineStr">
        <is>
          <t>avverkningsanmälan</t>
        </is>
      </c>
      <c r="C1083" t="inlineStr">
        <is>
          <t>Föryngringsavverkning</t>
        </is>
      </c>
      <c r="D1083" s="1" t="n">
        <v>46171</v>
      </c>
      <c r="E1083" s="1" t="n">
        <v>46228</v>
      </c>
      <c r="F1083" t="inlineStr">
        <is>
          <t>VÄSTERNORRLANDS LÄN</t>
        </is>
      </c>
      <c r="G1083" t="inlineStr">
        <is>
          <t>ÅNGE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50235-2021</t>
        </is>
      </c>
      <c r="B1084" t="inlineStr">
        <is>
          <t>avverkningsanmälan</t>
        </is>
      </c>
      <c r="C1084" t="inlineStr">
        <is>
          <t>Föryngringsavverkning</t>
        </is>
      </c>
      <c r="D1084" s="1" t="n">
        <v>44457</v>
      </c>
      <c r="E1084" s="1" t="n">
        <v>46228</v>
      </c>
      <c r="F1084" t="inlineStr">
        <is>
          <t>VÄSTERNORRLANDS LÄN</t>
        </is>
      </c>
      <c r="G1084" t="inlineStr">
        <is>
          <t>ÅNGE</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6975-2026</t>
        </is>
      </c>
      <c r="B1085" t="inlineStr">
        <is>
          <t>avverkningsanmälan</t>
        </is>
      </c>
      <c r="C1085" t="inlineStr">
        <is>
          <t>Föryngringsavverkning</t>
        </is>
      </c>
      <c r="D1085" s="1" t="n">
        <v>46057</v>
      </c>
      <c r="E1085" s="1" t="n">
        <v>46228</v>
      </c>
      <c r="F1085" t="inlineStr">
        <is>
          <t>VÄSTERNORRLANDS LÄN</t>
        </is>
      </c>
      <c r="G1085" t="inlineStr">
        <is>
          <t>ÅNGE</t>
        </is>
      </c>
      <c r="H1085" t="inlineStr">
        <is>
          <t>SCA</t>
        </is>
      </c>
      <c r="I1085" t="n">
        <v>20.7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44600-2024</t>
        </is>
      </c>
      <c r="B1086" t="inlineStr">
        <is>
          <t>avverkningsanmälan</t>
        </is>
      </c>
      <c r="C1086" t="inlineStr">
        <is>
          <t>Föryngringsavverkning</t>
        </is>
      </c>
      <c r="D1086" s="1" t="n">
        <v>45574</v>
      </c>
      <c r="E1086" s="1" t="n">
        <v>46228</v>
      </c>
      <c r="F1086" t="inlineStr">
        <is>
          <t>VÄSTERNORRLANDS LÄN</t>
        </is>
      </c>
      <c r="G1086" t="inlineStr">
        <is>
          <t>ÅNGE</t>
        </is>
      </c>
      <c r="H1086" t="inlineStr">
        <is>
          <t>SCA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31091-2026</t>
        </is>
      </c>
      <c r="B1087" t="inlineStr">
        <is>
          <t>avverkningsanmälan</t>
        </is>
      </c>
      <c r="C1087" t="inlineStr">
        <is>
          <t>Föryngringsavverkning</t>
        </is>
      </c>
      <c r="D1087" s="1" t="n">
        <v>46216</v>
      </c>
      <c r="E1087" s="1" t="n">
        <v>46228</v>
      </c>
      <c r="F1087" t="inlineStr">
        <is>
          <t>VÄSTERNORRLANDS LÄN</t>
        </is>
      </c>
      <c r="G1087" t="inlineStr">
        <is>
          <t>ÅNGE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14024-2026</t>
        </is>
      </c>
      <c r="B1088" t="inlineStr">
        <is>
          <t>avverkningsanmälan</t>
        </is>
      </c>
      <c r="C1088" t="inlineStr">
        <is>
          <t>Föryngringsavverkning</t>
        </is>
      </c>
      <c r="D1088" s="1" t="n">
        <v>46098</v>
      </c>
      <c r="E1088" s="1" t="n">
        <v>46228</v>
      </c>
      <c r="F1088" t="inlineStr">
        <is>
          <t>VÄSTERNORRLANDS LÄN</t>
        </is>
      </c>
      <c r="G1088" t="inlineStr">
        <is>
          <t>ÅNGE</t>
        </is>
      </c>
      <c r="H1088" t="inlineStr">
        <is>
          <t>SCA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39682-2024</t>
        </is>
      </c>
      <c r="B1089" t="inlineStr">
        <is>
          <t>avverkningsanmälan</t>
        </is>
      </c>
      <c r="C1089" t="inlineStr">
        <is>
          <t>Föryngringsavverkning</t>
        </is>
      </c>
      <c r="D1089" s="1" t="n">
        <v>45552</v>
      </c>
      <c r="E1089" s="1" t="n">
        <v>46228</v>
      </c>
      <c r="F1089" t="inlineStr">
        <is>
          <t>VÄSTERNORRLANDS LÄN</t>
        </is>
      </c>
      <c r="G1089" t="inlineStr">
        <is>
          <t>ÅNGE</t>
        </is>
      </c>
      <c r="I1089" t="n">
        <v>35.4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50179-2024</t>
        </is>
      </c>
      <c r="B1090" t="inlineStr">
        <is>
          <t>avverkningsanmälan</t>
        </is>
      </c>
      <c r="C1090" t="inlineStr">
        <is>
          <t>Föryngringsavverkning</t>
        </is>
      </c>
      <c r="D1090" s="1" t="n">
        <v>45600</v>
      </c>
      <c r="E1090" s="1" t="n">
        <v>46228</v>
      </c>
      <c r="F1090" t="inlineStr">
        <is>
          <t>VÄSTERNORRLANDS LÄN</t>
        </is>
      </c>
      <c r="G1090" t="inlineStr">
        <is>
          <t>ÅNGE</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13904-2026</t>
        </is>
      </c>
      <c r="B1091" t="inlineStr">
        <is>
          <t>avverkningsanmälan</t>
        </is>
      </c>
      <c r="C1091" t="inlineStr">
        <is>
          <t>Föryngringsavverkning</t>
        </is>
      </c>
      <c r="D1091" s="1" t="n">
        <v>46098</v>
      </c>
      <c r="E1091" s="1" t="n">
        <v>46228</v>
      </c>
      <c r="F1091" t="inlineStr">
        <is>
          <t>VÄSTERNORRLANDS LÄN</t>
        </is>
      </c>
      <c r="G1091" t="inlineStr">
        <is>
          <t>ÅNGE</t>
        </is>
      </c>
      <c r="H1091" t="inlineStr">
        <is>
          <t>SCA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13850-2026</t>
        </is>
      </c>
      <c r="B1092" t="inlineStr">
        <is>
          <t>avverkningsanmälan</t>
        </is>
      </c>
      <c r="C1092" t="inlineStr">
        <is>
          <t>Föryngringsavverkning</t>
        </is>
      </c>
      <c r="D1092" s="1" t="n">
        <v>46098</v>
      </c>
      <c r="E1092" s="1" t="n">
        <v>46228</v>
      </c>
      <c r="F1092" t="inlineStr">
        <is>
          <t>VÄSTERNORRLANDS LÄN</t>
        </is>
      </c>
      <c r="G1092" t="inlineStr">
        <is>
          <t>ÅNGE</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13687-2026</t>
        </is>
      </c>
      <c r="B1093" t="inlineStr">
        <is>
          <t>avverkningsanmälan</t>
        </is>
      </c>
      <c r="C1093" t="inlineStr">
        <is>
          <t>Föryngringsavverkning</t>
        </is>
      </c>
      <c r="D1093" s="1" t="n">
        <v>46097</v>
      </c>
      <c r="E1093" s="1" t="n">
        <v>46228</v>
      </c>
      <c r="F1093" t="inlineStr">
        <is>
          <t>VÄSTERNORRLANDS LÄN</t>
        </is>
      </c>
      <c r="G1093" t="inlineStr">
        <is>
          <t>ÅNGE</t>
        </is>
      </c>
      <c r="H1093" t="inlineStr">
        <is>
          <t>SCA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24827-2026</t>
        </is>
      </c>
      <c r="B1094" t="inlineStr">
        <is>
          <t>avverkningsanmälan</t>
        </is>
      </c>
      <c r="C1094" t="inlineStr">
        <is>
          <t>Föryngringsavverkning</t>
        </is>
      </c>
      <c r="D1094" s="1" t="n">
        <v>46174</v>
      </c>
      <c r="E1094" s="1" t="n">
        <v>46228</v>
      </c>
      <c r="F1094" t="inlineStr">
        <is>
          <t>VÄSTERNORRLANDS LÄN</t>
        </is>
      </c>
      <c r="G1094" t="inlineStr">
        <is>
          <t>ÅNGE</t>
        </is>
      </c>
      <c r="H1094" t="inlineStr">
        <is>
          <t>SCA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45890-2021</t>
        </is>
      </c>
      <c r="B1095" t="inlineStr">
        <is>
          <t>avverkningsanmälan</t>
        </is>
      </c>
      <c r="C1095" t="inlineStr">
        <is>
          <t>Föryngringsavverkning</t>
        </is>
      </c>
      <c r="D1095" s="1" t="n">
        <v>44441</v>
      </c>
      <c r="E1095" s="1" t="n">
        <v>46228</v>
      </c>
      <c r="F1095" t="inlineStr">
        <is>
          <t>VÄSTERNORRLANDS LÄN</t>
        </is>
      </c>
      <c r="G1095" t="inlineStr">
        <is>
          <t>ÅNGE</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31067-2026</t>
        </is>
      </c>
      <c r="B1096" t="inlineStr">
        <is>
          <t>avverkningsanmälan</t>
        </is>
      </c>
      <c r="C1096" t="inlineStr">
        <is>
          <t>Föryngringsavverkning</t>
        </is>
      </c>
      <c r="D1096" s="1" t="n">
        <v>46215</v>
      </c>
      <c r="E1096" s="1" t="n">
        <v>46228</v>
      </c>
      <c r="F1096" t="inlineStr">
        <is>
          <t>VÄSTERNORRLANDS LÄN</t>
        </is>
      </c>
      <c r="G1096" t="inlineStr">
        <is>
          <t>ÅNGE</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31068-2026</t>
        </is>
      </c>
      <c r="B1097" t="inlineStr">
        <is>
          <t>avverkningsanmälan</t>
        </is>
      </c>
      <c r="C1097" t="inlineStr">
        <is>
          <t>Föryngringsavverkning</t>
        </is>
      </c>
      <c r="D1097" s="1" t="n">
        <v>46215</v>
      </c>
      <c r="E1097" s="1" t="n">
        <v>46228</v>
      </c>
      <c r="F1097" t="inlineStr">
        <is>
          <t>VÄSTERNORRLANDS LÄN</t>
        </is>
      </c>
      <c r="G1097" t="inlineStr">
        <is>
          <t>ÅNGE</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14236-2026</t>
        </is>
      </c>
      <c r="B1098" t="inlineStr">
        <is>
          <t>avverkningsanmälan</t>
        </is>
      </c>
      <c r="C1098" t="inlineStr">
        <is>
          <t>Föryngringsavverkning</t>
        </is>
      </c>
      <c r="D1098" s="1" t="n">
        <v>46099</v>
      </c>
      <c r="E1098" s="1" t="n">
        <v>46228</v>
      </c>
      <c r="F1098" t="inlineStr">
        <is>
          <t>VÄSTERNORRLANDS LÄN</t>
        </is>
      </c>
      <c r="G1098" t="inlineStr">
        <is>
          <t>ÅNGE</t>
        </is>
      </c>
      <c r="H1098" t="inlineStr">
        <is>
          <t>Holmen skog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14137-2026</t>
        </is>
      </c>
      <c r="B1099" t="inlineStr">
        <is>
          <t>avverkningsanmälan</t>
        </is>
      </c>
      <c r="C1099" t="inlineStr">
        <is>
          <t>Föryngringsavverkning</t>
        </is>
      </c>
      <c r="D1099" s="1" t="n">
        <v>46099</v>
      </c>
      <c r="E1099" s="1" t="n">
        <v>46228</v>
      </c>
      <c r="F1099" t="inlineStr">
        <is>
          <t>VÄSTERNORRLANDS LÄN</t>
        </is>
      </c>
      <c r="G1099" t="inlineStr">
        <is>
          <t>ÅNGE</t>
        </is>
      </c>
      <c r="H1099" t="inlineStr">
        <is>
          <t>Holmen skog AB</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14291-2026</t>
        </is>
      </c>
      <c r="B1100" t="inlineStr">
        <is>
          <t>avverkningsanmälan</t>
        </is>
      </c>
      <c r="C1100" t="inlineStr">
        <is>
          <t>Föryngringsavverkning</t>
        </is>
      </c>
      <c r="D1100" s="1" t="n">
        <v>46099</v>
      </c>
      <c r="E1100" s="1" t="n">
        <v>46228</v>
      </c>
      <c r="F1100" t="inlineStr">
        <is>
          <t>VÄSTERNORRLANDS LÄN</t>
        </is>
      </c>
      <c r="G1100" t="inlineStr">
        <is>
          <t>ÅNGE</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48988-2021</t>
        </is>
      </c>
      <c r="B1101" t="inlineStr">
        <is>
          <t>avverkningsanmälan</t>
        </is>
      </c>
      <c r="C1101" t="inlineStr">
        <is>
          <t>Föryngringsavverkning</t>
        </is>
      </c>
      <c r="D1101" s="1" t="n">
        <v>44453</v>
      </c>
      <c r="E1101" s="1" t="n">
        <v>46228</v>
      </c>
      <c r="F1101" t="inlineStr">
        <is>
          <t>VÄSTERNORRLANDS LÄN</t>
        </is>
      </c>
      <c r="G1101" t="inlineStr">
        <is>
          <t>ÅNGE</t>
        </is>
      </c>
      <c r="H1101" t="inlineStr">
        <is>
          <t>Sveaskog</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60812-2024</t>
        </is>
      </c>
      <c r="B1102" t="inlineStr">
        <is>
          <t>avverkningsanmälan</t>
        </is>
      </c>
      <c r="C1102" t="inlineStr">
        <is>
          <t>Föryngringsavverkning</t>
        </is>
      </c>
      <c r="D1102" s="1" t="n">
        <v>45644</v>
      </c>
      <c r="E1102" s="1" t="n">
        <v>46228</v>
      </c>
      <c r="F1102" t="inlineStr">
        <is>
          <t>VÄSTERNORRLANDS LÄN</t>
        </is>
      </c>
      <c r="G1102" t="inlineStr">
        <is>
          <t>ÅNGE</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14425-2026</t>
        </is>
      </c>
      <c r="B1103" t="inlineStr">
        <is>
          <t>avverkningsanmälan</t>
        </is>
      </c>
      <c r="C1103" t="inlineStr">
        <is>
          <t>Föryngringsavverkning</t>
        </is>
      </c>
      <c r="D1103" s="1" t="n">
        <v>46100</v>
      </c>
      <c r="E1103" s="1" t="n">
        <v>46228</v>
      </c>
      <c r="F1103" t="inlineStr">
        <is>
          <t>VÄSTERNORRLANDS LÄN</t>
        </is>
      </c>
      <c r="G1103" t="inlineStr">
        <is>
          <t>ÅNGE</t>
        </is>
      </c>
      <c r="H1103" t="inlineStr">
        <is>
          <t>SCA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14101-2026</t>
        </is>
      </c>
      <c r="B1104" t="inlineStr">
        <is>
          <t>avverkningsanmälan</t>
        </is>
      </c>
      <c r="C1104" t="inlineStr">
        <is>
          <t>Föryngringsavverkning</t>
        </is>
      </c>
      <c r="D1104" s="1" t="n">
        <v>46099</v>
      </c>
      <c r="E1104" s="1" t="n">
        <v>46228</v>
      </c>
      <c r="F1104" t="inlineStr">
        <is>
          <t>VÄSTERNORRLANDS LÄN</t>
        </is>
      </c>
      <c r="G1104" t="inlineStr">
        <is>
          <t>ÅNGE</t>
        </is>
      </c>
      <c r="H1104" t="inlineStr">
        <is>
          <t>SCA</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54611-2023</t>
        </is>
      </c>
      <c r="B1105" t="inlineStr">
        <is>
          <t>avverkningsanmälan</t>
        </is>
      </c>
      <c r="C1105" t="inlineStr">
        <is>
          <t>Föryngringsavverkning</t>
        </is>
      </c>
      <c r="D1105" s="1" t="n">
        <v>45233</v>
      </c>
      <c r="E1105" s="1" t="n">
        <v>46228</v>
      </c>
      <c r="F1105" t="inlineStr">
        <is>
          <t>VÄSTERNORRLANDS LÄN</t>
        </is>
      </c>
      <c r="G1105" t="inlineStr">
        <is>
          <t>ÅNGE</t>
        </is>
      </c>
      <c r="H1105" t="inlineStr">
        <is>
          <t>SCA</t>
        </is>
      </c>
      <c r="I1105" t="n">
        <v>6.2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31208-2026</t>
        </is>
      </c>
      <c r="B1106" t="inlineStr">
        <is>
          <t>avverkningsanmälan</t>
        </is>
      </c>
      <c r="C1106" t="inlineStr">
        <is>
          <t>Föryngringsavverkning</t>
        </is>
      </c>
      <c r="D1106" s="1" t="n">
        <v>46217</v>
      </c>
      <c r="E1106" s="1" t="n">
        <v>46228</v>
      </c>
      <c r="F1106" t="inlineStr">
        <is>
          <t>VÄSTERNORRLANDS LÄN</t>
        </is>
      </c>
      <c r="G1106" t="inlineStr">
        <is>
          <t>ÅNGE</t>
        </is>
      </c>
      <c r="H1106" t="inlineStr">
        <is>
          <t>SCA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24758-2026</t>
        </is>
      </c>
      <c r="B1107" t="inlineStr">
        <is>
          <t>avverkningsanmälan</t>
        </is>
      </c>
      <c r="C1107" t="inlineStr">
        <is>
          <t>Föryngringsavverkning</t>
        </is>
      </c>
      <c r="D1107" s="1" t="n">
        <v>46171</v>
      </c>
      <c r="E1107" s="1" t="n">
        <v>46228</v>
      </c>
      <c r="F1107" t="inlineStr">
        <is>
          <t>VÄSTERNORRLANDS LÄN</t>
        </is>
      </c>
      <c r="G1107" t="inlineStr">
        <is>
          <t>ÅNGE</t>
        </is>
      </c>
      <c r="H1107" t="inlineStr">
        <is>
          <t>SCA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14372-2026</t>
        </is>
      </c>
      <c r="B1108" t="inlineStr">
        <is>
          <t>avverkningsanmälan</t>
        </is>
      </c>
      <c r="C1108" t="inlineStr">
        <is>
          <t>Föryngringsavverkning</t>
        </is>
      </c>
      <c r="D1108" s="1" t="n">
        <v>46100</v>
      </c>
      <c r="E1108" s="1" t="n">
        <v>46228</v>
      </c>
      <c r="F1108" t="inlineStr">
        <is>
          <t>VÄSTERNORRLANDS LÄN</t>
        </is>
      </c>
      <c r="G1108" t="inlineStr">
        <is>
          <t>ÅNGE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49187-2024</t>
        </is>
      </c>
      <c r="B1109" t="inlineStr">
        <is>
          <t>avverkningsanmälan</t>
        </is>
      </c>
      <c r="C1109" t="inlineStr">
        <is>
          <t>Föryngringsavverkning</t>
        </is>
      </c>
      <c r="D1109" s="1" t="n">
        <v>45595</v>
      </c>
      <c r="E1109" s="1" t="n">
        <v>46228</v>
      </c>
      <c r="F1109" t="inlineStr">
        <is>
          <t>VÄSTERNORRLANDS LÄN</t>
        </is>
      </c>
      <c r="G1109" t="inlineStr">
        <is>
          <t>ÅNGE</t>
        </is>
      </c>
      <c r="H1109" t="inlineStr">
        <is>
          <t>SCA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14220-2026</t>
        </is>
      </c>
      <c r="B1110" t="inlineStr">
        <is>
          <t>avverkningsanmälan</t>
        </is>
      </c>
      <c r="C1110" t="inlineStr">
        <is>
          <t>Föryngringsavverkning</t>
        </is>
      </c>
      <c r="D1110" s="1" t="n">
        <v>46099</v>
      </c>
      <c r="E1110" s="1" t="n">
        <v>46228</v>
      </c>
      <c r="F1110" t="inlineStr">
        <is>
          <t>VÄSTERNORRLANDS LÄN</t>
        </is>
      </c>
      <c r="G1110" t="inlineStr">
        <is>
          <t>ÅNGE</t>
        </is>
      </c>
      <c r="H1110" t="inlineStr">
        <is>
          <t>Holmen skog AB</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14506-2026</t>
        </is>
      </c>
      <c r="B1111" t="inlineStr">
        <is>
          <t>avverkningsanmälan</t>
        </is>
      </c>
      <c r="C1111" t="inlineStr">
        <is>
          <t>Föryngringsavverkning</t>
        </is>
      </c>
      <c r="D1111" s="1" t="n">
        <v>46100</v>
      </c>
      <c r="E1111" s="1" t="n">
        <v>46228</v>
      </c>
      <c r="F1111" t="inlineStr">
        <is>
          <t>VÄSTERNORRLANDS LÄN</t>
        </is>
      </c>
      <c r="G1111" t="inlineStr">
        <is>
          <t>ÅNGE</t>
        </is>
      </c>
      <c r="H1111" t="inlineStr">
        <is>
          <t>SCA</t>
        </is>
      </c>
      <c r="I1111" t="n">
        <v>8.800000000000001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51810-2023</t>
        </is>
      </c>
      <c r="B1112" t="inlineStr">
        <is>
          <t>avverkningsanmälan</t>
        </is>
      </c>
      <c r="C1112" t="inlineStr">
        <is>
          <t>Föryngringsavverkning</t>
        </is>
      </c>
      <c r="D1112" s="1" t="n">
        <v>45222</v>
      </c>
      <c r="E1112" s="1" t="n">
        <v>46228</v>
      </c>
      <c r="F1112" t="inlineStr">
        <is>
          <t>VÄSTERNORRLANDS LÄN</t>
        </is>
      </c>
      <c r="G1112" t="inlineStr">
        <is>
          <t>ÅNGE</t>
        </is>
      </c>
      <c r="H1112" t="inlineStr">
        <is>
          <t>SCA</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60278-2025</t>
        </is>
      </c>
      <c r="B1113" t="inlineStr">
        <is>
          <t>avverkningsanmälan</t>
        </is>
      </c>
      <c r="C1113" t="inlineStr">
        <is>
          <t>Föryngringsavverkning</t>
        </is>
      </c>
      <c r="D1113" s="1" t="n">
        <v>45994</v>
      </c>
      <c r="E1113" s="1" t="n">
        <v>46228</v>
      </c>
      <c r="F1113" t="inlineStr">
        <is>
          <t>VÄSTERNORRLANDS LÄN</t>
        </is>
      </c>
      <c r="G1113" t="inlineStr">
        <is>
          <t>ÅNGE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31207-2026</t>
        </is>
      </c>
      <c r="B1114" t="inlineStr">
        <is>
          <t>avverkningsanmälan</t>
        </is>
      </c>
      <c r="C1114" t="inlineStr">
        <is>
          <t>Föryngringsavverkning</t>
        </is>
      </c>
      <c r="D1114" s="1" t="n">
        <v>46217</v>
      </c>
      <c r="E1114" s="1" t="n">
        <v>46228</v>
      </c>
      <c r="F1114" t="inlineStr">
        <is>
          <t>VÄSTERNORRLANDS LÄN</t>
        </is>
      </c>
      <c r="G1114" t="inlineStr">
        <is>
          <t>ÅNGE</t>
        </is>
      </c>
      <c r="H1114" t="inlineStr">
        <is>
          <t>SCA</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5520-2022</t>
        </is>
      </c>
      <c r="B1115" t="inlineStr">
        <is>
          <t>avverkningsanmälan</t>
        </is>
      </c>
      <c r="C1115" t="inlineStr">
        <is>
          <t>Föryngringsavverkning</t>
        </is>
      </c>
      <c r="D1115" s="1" t="n">
        <v>44595</v>
      </c>
      <c r="E1115" s="1" t="n">
        <v>46228</v>
      </c>
      <c r="F1115" t="inlineStr">
        <is>
          <t>VÄSTERNORRLANDS LÄN</t>
        </is>
      </c>
      <c r="G1115" t="inlineStr">
        <is>
          <t>ÅNGE</t>
        </is>
      </c>
      <c r="I1115" t="n">
        <v>4.9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6684-2024</t>
        </is>
      </c>
      <c r="B1116" t="inlineStr">
        <is>
          <t>avverkningsanmälan</t>
        </is>
      </c>
      <c r="C1116" t="inlineStr">
        <is>
          <t>Föryngringsavverkning</t>
        </is>
      </c>
      <c r="D1116" s="1" t="n">
        <v>45341</v>
      </c>
      <c r="E1116" s="1" t="n">
        <v>46228</v>
      </c>
      <c r="F1116" t="inlineStr">
        <is>
          <t>VÄSTERNORRLANDS LÄN</t>
        </is>
      </c>
      <c r="G1116" t="inlineStr">
        <is>
          <t>ÅNGE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31195-2026</t>
        </is>
      </c>
      <c r="B1117" t="inlineStr">
        <is>
          <t>avverkningsanmälan</t>
        </is>
      </c>
      <c r="C1117" t="inlineStr">
        <is>
          <t>Föryngringsavverkning</t>
        </is>
      </c>
      <c r="D1117" s="1" t="n">
        <v>46217</v>
      </c>
      <c r="E1117" s="1" t="n">
        <v>46228</v>
      </c>
      <c r="F1117" t="inlineStr">
        <is>
          <t>VÄSTERNORRLANDS LÄN</t>
        </is>
      </c>
      <c r="G1117" t="inlineStr">
        <is>
          <t>ÅNGE</t>
        </is>
      </c>
      <c r="H1117" t="inlineStr">
        <is>
          <t>SCA</t>
        </is>
      </c>
      <c r="I1117" t="n">
        <v>4.7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29799-2026</t>
        </is>
      </c>
      <c r="B1118" t="inlineStr">
        <is>
          <t>avverkningsanmälan</t>
        </is>
      </c>
      <c r="C1118" t="inlineStr">
        <is>
          <t>Föryngringsavverkning</t>
        </is>
      </c>
      <c r="D1118" s="1" t="n">
        <v>46205</v>
      </c>
      <c r="E1118" s="1" t="n">
        <v>46228</v>
      </c>
      <c r="F1118" t="inlineStr">
        <is>
          <t>VÄSTERNORRLANDS LÄN</t>
        </is>
      </c>
      <c r="G1118" t="inlineStr">
        <is>
          <t>ÅNGE</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31177-2024</t>
        </is>
      </c>
      <c r="B1119" t="inlineStr">
        <is>
          <t>avverkningsanmälan</t>
        </is>
      </c>
      <c r="C1119" t="inlineStr">
        <is>
          <t>Föryngringsavverkning</t>
        </is>
      </c>
      <c r="D1119" s="1" t="n">
        <v>45503</v>
      </c>
      <c r="E1119" s="1" t="n">
        <v>46228</v>
      </c>
      <c r="F1119" t="inlineStr">
        <is>
          <t>VÄSTERNORRLANDS LÄN</t>
        </is>
      </c>
      <c r="G1119" t="inlineStr">
        <is>
          <t>ÅNGE</t>
        </is>
      </c>
      <c r="I1119" t="n">
        <v>10.2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24729-2026</t>
        </is>
      </c>
      <c r="B1120" t="inlineStr">
        <is>
          <t>avverkningsanmälan</t>
        </is>
      </c>
      <c r="C1120" t="inlineStr">
        <is>
          <t>Föryngringsavverkning</t>
        </is>
      </c>
      <c r="D1120" s="1" t="n">
        <v>46171</v>
      </c>
      <c r="E1120" s="1" t="n">
        <v>46228</v>
      </c>
      <c r="F1120" t="inlineStr">
        <is>
          <t>VÄSTERNORRLANDS LÄN</t>
        </is>
      </c>
      <c r="G1120" t="inlineStr">
        <is>
          <t>ÅNGE</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24644-2026</t>
        </is>
      </c>
      <c r="B1121" t="inlineStr">
        <is>
          <t>avverkningsanmälan</t>
        </is>
      </c>
      <c r="C1121" t="inlineStr">
        <is>
          <t>Föryngringsavverkning</t>
        </is>
      </c>
      <c r="D1121" s="1" t="n">
        <v>46171</v>
      </c>
      <c r="E1121" s="1" t="n">
        <v>46228</v>
      </c>
      <c r="F1121" t="inlineStr">
        <is>
          <t>VÄSTERNORRLANDS LÄN</t>
        </is>
      </c>
      <c r="G1121" t="inlineStr">
        <is>
          <t>ÅNGE</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15466-2026</t>
        </is>
      </c>
      <c r="B1122" t="inlineStr">
        <is>
          <t>avverkningsanmälan</t>
        </is>
      </c>
      <c r="C1122" t="inlineStr">
        <is>
          <t>Föryngringsavverkning</t>
        </is>
      </c>
      <c r="D1122" s="1" t="n">
        <v>46106</v>
      </c>
      <c r="E1122" s="1" t="n">
        <v>46228</v>
      </c>
      <c r="F1122" t="inlineStr">
        <is>
          <t>VÄSTERNORRLANDS LÄN</t>
        </is>
      </c>
      <c r="G1122" t="inlineStr">
        <is>
          <t>ÅNGE</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15518-2026</t>
        </is>
      </c>
      <c r="B1123" t="inlineStr">
        <is>
          <t>avverkningsanmälan</t>
        </is>
      </c>
      <c r="C1123" t="inlineStr">
        <is>
          <t>Föryngringsavverkning</t>
        </is>
      </c>
      <c r="D1123" s="1" t="n">
        <v>46106</v>
      </c>
      <c r="E1123" s="1" t="n">
        <v>46228</v>
      </c>
      <c r="F1123" t="inlineStr">
        <is>
          <t>VÄSTERNORRLANDS LÄN</t>
        </is>
      </c>
      <c r="G1123" t="inlineStr">
        <is>
          <t>ÅNGE</t>
        </is>
      </c>
      <c r="H1123" t="inlineStr">
        <is>
          <t>Holmen skog AB</t>
        </is>
      </c>
      <c r="I1123" t="n">
        <v>80.5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29063-2023</t>
        </is>
      </c>
      <c r="B1124" t="inlineStr">
        <is>
          <t>avverkningsanmälan</t>
        </is>
      </c>
      <c r="C1124" t="inlineStr">
        <is>
          <t>Föryngringsavverkning</t>
        </is>
      </c>
      <c r="D1124" s="1" t="n">
        <v>45104</v>
      </c>
      <c r="E1124" s="1" t="n">
        <v>46228</v>
      </c>
      <c r="F1124" t="inlineStr">
        <is>
          <t>VÄSTERNORRLANDS LÄN</t>
        </is>
      </c>
      <c r="G1124" t="inlineStr">
        <is>
          <t>ÅNGE</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59412-2024</t>
        </is>
      </c>
      <c r="B1125" t="inlineStr">
        <is>
          <t>avverkningsanmälan</t>
        </is>
      </c>
      <c r="C1125" t="inlineStr">
        <is>
          <t>Föryngringsavverkning</t>
        </is>
      </c>
      <c r="D1125" s="1" t="n">
        <v>45638</v>
      </c>
      <c r="E1125" s="1" t="n">
        <v>46228</v>
      </c>
      <c r="F1125" t="inlineStr">
        <is>
          <t>VÄSTERNORRLANDS LÄN</t>
        </is>
      </c>
      <c r="G1125" t="inlineStr">
        <is>
          <t>ÅNGE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25126-2026</t>
        </is>
      </c>
      <c r="B1126" t="inlineStr">
        <is>
          <t>avverkningsanmälan</t>
        </is>
      </c>
      <c r="C1126" t="inlineStr">
        <is>
          <t>Föryngringsavverkning</t>
        </is>
      </c>
      <c r="D1126" s="1" t="n">
        <v>46175</v>
      </c>
      <c r="E1126" s="1" t="n">
        <v>46228</v>
      </c>
      <c r="F1126" t="inlineStr">
        <is>
          <t>VÄSTERNORRLANDS LÄN</t>
        </is>
      </c>
      <c r="G1126" t="inlineStr">
        <is>
          <t>ÅNGE</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31280-2026</t>
        </is>
      </c>
      <c r="B1127" t="inlineStr">
        <is>
          <t>avverkningsanmälan</t>
        </is>
      </c>
      <c r="C1127" t="inlineStr">
        <is>
          <t>Föryngringsavverkning</t>
        </is>
      </c>
      <c r="D1127" s="1" t="n">
        <v>46218</v>
      </c>
      <c r="E1127" s="1" t="n">
        <v>46228</v>
      </c>
      <c r="F1127" t="inlineStr">
        <is>
          <t>VÄSTERNORRLANDS LÄN</t>
        </is>
      </c>
      <c r="G1127" t="inlineStr">
        <is>
          <t>ÅNGE</t>
        </is>
      </c>
      <c r="H1127" t="inlineStr">
        <is>
          <t>SCA</t>
        </is>
      </c>
      <c r="I1127" t="n">
        <v>6.4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9567-2024</t>
        </is>
      </c>
      <c r="B1128" t="inlineStr">
        <is>
          <t>avverkningsanmälan</t>
        </is>
      </c>
      <c r="C1128" t="inlineStr">
        <is>
          <t>Föryngringsavverkning</t>
        </is>
      </c>
      <c r="D1128" s="1" t="n">
        <v>45360</v>
      </c>
      <c r="E1128" s="1" t="n">
        <v>46228</v>
      </c>
      <c r="F1128" t="inlineStr">
        <is>
          <t>VÄSTERNORRLANDS LÄN</t>
        </is>
      </c>
      <c r="G1128" t="inlineStr">
        <is>
          <t>ÅNGE</t>
        </is>
      </c>
      <c r="H1128" t="inlineStr">
        <is>
          <t>SCA</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56908-2021</t>
        </is>
      </c>
      <c r="B1129" t="inlineStr">
        <is>
          <t>avverkningsanmälan</t>
        </is>
      </c>
      <c r="C1129" t="inlineStr">
        <is>
          <t>Föryngringsavverkning</t>
        </is>
      </c>
      <c r="D1129" s="1" t="n">
        <v>44481</v>
      </c>
      <c r="E1129" s="1" t="n">
        <v>46228</v>
      </c>
      <c r="F1129" t="inlineStr">
        <is>
          <t>VÄSTERNORRLANDS LÄN</t>
        </is>
      </c>
      <c r="G1129" t="inlineStr">
        <is>
          <t>ÅNGE</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25184-2026</t>
        </is>
      </c>
      <c r="B1130" t="inlineStr">
        <is>
          <t>avverkningsanmälan</t>
        </is>
      </c>
      <c r="C1130" t="inlineStr">
        <is>
          <t>Föryngringsavverkning</t>
        </is>
      </c>
      <c r="D1130" s="1" t="n">
        <v>46175</v>
      </c>
      <c r="E1130" s="1" t="n">
        <v>46228</v>
      </c>
      <c r="F1130" t="inlineStr">
        <is>
          <t>VÄSTERNORRLANDS LÄN</t>
        </is>
      </c>
      <c r="G1130" t="inlineStr">
        <is>
          <t>ÅNGE</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25185-2026</t>
        </is>
      </c>
      <c r="B1131" t="inlineStr">
        <is>
          <t>avverkningsanmälan</t>
        </is>
      </c>
      <c r="C1131" t="inlineStr">
        <is>
          <t>Föryngringsavverkning</t>
        </is>
      </c>
      <c r="D1131" s="1" t="n">
        <v>46175</v>
      </c>
      <c r="E1131" s="1" t="n">
        <v>46228</v>
      </c>
      <c r="F1131" t="inlineStr">
        <is>
          <t>VÄSTERNORRLANDS LÄN</t>
        </is>
      </c>
      <c r="G1131" t="inlineStr">
        <is>
          <t>ÅNGE</t>
        </is>
      </c>
      <c r="H1131" t="inlineStr">
        <is>
          <t>SCA</t>
        </is>
      </c>
      <c r="I1131" t="n">
        <v>4.2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15938-2026</t>
        </is>
      </c>
      <c r="B1132" t="inlineStr">
        <is>
          <t>avverkningsanmälan</t>
        </is>
      </c>
      <c r="C1132" t="inlineStr">
        <is>
          <t>Föryngringsavverkning</t>
        </is>
      </c>
      <c r="D1132" s="1" t="n">
        <v>46107</v>
      </c>
      <c r="E1132" s="1" t="n">
        <v>46228</v>
      </c>
      <c r="F1132" t="inlineStr">
        <is>
          <t>VÄSTERNORRLANDS LÄN</t>
        </is>
      </c>
      <c r="G1132" t="inlineStr">
        <is>
          <t>ÅNGE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25100-2026</t>
        </is>
      </c>
      <c r="B1133" t="inlineStr">
        <is>
          <t>avverkningsanmälan</t>
        </is>
      </c>
      <c r="C1133" t="inlineStr">
        <is>
          <t>Föryngringsavverkning</t>
        </is>
      </c>
      <c r="D1133" s="1" t="n">
        <v>46175</v>
      </c>
      <c r="E1133" s="1" t="n">
        <v>46228</v>
      </c>
      <c r="F1133" t="inlineStr">
        <is>
          <t>VÄSTERNORRLANDS LÄN</t>
        </is>
      </c>
      <c r="G1133" t="inlineStr">
        <is>
          <t>ÅNGE</t>
        </is>
      </c>
      <c r="H1133" t="inlineStr">
        <is>
          <t>SCA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17210-2022</t>
        </is>
      </c>
      <c r="B1134" t="inlineStr">
        <is>
          <t>avverkningsanmälan</t>
        </is>
      </c>
      <c r="C1134" t="inlineStr">
        <is>
          <t>Föryngringsavverkning</t>
        </is>
      </c>
      <c r="D1134" s="1" t="n">
        <v>44677</v>
      </c>
      <c r="E1134" s="1" t="n">
        <v>46228</v>
      </c>
      <c r="F1134" t="inlineStr">
        <is>
          <t>VÄSTERNORRLANDS LÄN</t>
        </is>
      </c>
      <c r="G1134" t="inlineStr">
        <is>
          <t>ÅNGE</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15967-2026</t>
        </is>
      </c>
      <c r="B1135" t="inlineStr">
        <is>
          <t>avverkningsanmälan</t>
        </is>
      </c>
      <c r="C1135" t="inlineStr">
        <is>
          <t>Föryngringsavverkning</t>
        </is>
      </c>
      <c r="D1135" s="1" t="n">
        <v>46108</v>
      </c>
      <c r="E1135" s="1" t="n">
        <v>46228</v>
      </c>
      <c r="F1135" t="inlineStr">
        <is>
          <t>VÄSTERNORRLANDS LÄN</t>
        </is>
      </c>
      <c r="G1135" t="inlineStr">
        <is>
          <t>ÅNGE</t>
        </is>
      </c>
      <c r="H1135" t="inlineStr">
        <is>
          <t>SCA</t>
        </is>
      </c>
      <c r="I1135" t="n">
        <v>21.4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24552-2023</t>
        </is>
      </c>
      <c r="B1136" t="inlineStr">
        <is>
          <t>avverkningsanmälan</t>
        </is>
      </c>
      <c r="C1136" t="inlineStr">
        <is>
          <t>Föryngringsavverkning</t>
        </is>
      </c>
      <c r="D1136" s="1" t="n">
        <v>45082</v>
      </c>
      <c r="E1136" s="1" t="n">
        <v>46228</v>
      </c>
      <c r="F1136" t="inlineStr">
        <is>
          <t>VÄSTERNORRLANDS LÄN</t>
        </is>
      </c>
      <c r="G1136" t="inlineStr">
        <is>
          <t>ÅNGE</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56574-2024</t>
        </is>
      </c>
      <c r="B1137" t="inlineStr">
        <is>
          <t>avverkningsanmälan</t>
        </is>
      </c>
      <c r="C1137" t="inlineStr">
        <is>
          <t>Föryngringsavverkning</t>
        </is>
      </c>
      <c r="D1137" s="1" t="n">
        <v>45625</v>
      </c>
      <c r="E1137" s="1" t="n">
        <v>46228</v>
      </c>
      <c r="F1137" t="inlineStr">
        <is>
          <t>VÄSTERNORRLANDS LÄN</t>
        </is>
      </c>
      <c r="G1137" t="inlineStr">
        <is>
          <t>ÅNGE</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31568-2024</t>
        </is>
      </c>
      <c r="B1138" t="inlineStr">
        <is>
          <t>avverkningsanmälan</t>
        </is>
      </c>
      <c r="C1138" t="inlineStr">
        <is>
          <t>Föryngringsavverkning</t>
        </is>
      </c>
      <c r="D1138" s="1" t="n">
        <v>45505</v>
      </c>
      <c r="E1138" s="1" t="n">
        <v>46228</v>
      </c>
      <c r="F1138" t="inlineStr">
        <is>
          <t>VÄSTERNORRLANDS LÄN</t>
        </is>
      </c>
      <c r="G1138" t="inlineStr">
        <is>
          <t>ÅNGE</t>
        </is>
      </c>
      <c r="H1138" t="inlineStr">
        <is>
          <t>SCA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27468-2024</t>
        </is>
      </c>
      <c r="B1139" t="inlineStr">
        <is>
          <t>avverkningsanmälan</t>
        </is>
      </c>
      <c r="C1139" t="inlineStr">
        <is>
          <t>Föryngringsavverkning</t>
        </is>
      </c>
      <c r="D1139" s="1" t="n">
        <v>45474</v>
      </c>
      <c r="E1139" s="1" t="n">
        <v>46228</v>
      </c>
      <c r="F1139" t="inlineStr">
        <is>
          <t>VÄSTERNORRLANDS LÄN</t>
        </is>
      </c>
      <c r="G1139" t="inlineStr">
        <is>
          <t>ÅNGE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58906-2025</t>
        </is>
      </c>
      <c r="B1140" t="inlineStr">
        <is>
          <t>avverkningsanmälan</t>
        </is>
      </c>
      <c r="C1140" t="inlineStr">
        <is>
          <t>Föryngringsavverkning</t>
        </is>
      </c>
      <c r="D1140" s="1" t="n">
        <v>45987</v>
      </c>
      <c r="E1140" s="1" t="n">
        <v>46228</v>
      </c>
      <c r="F1140" t="inlineStr">
        <is>
          <t>VÄSTERNORRLANDS LÄN</t>
        </is>
      </c>
      <c r="G1140" t="inlineStr">
        <is>
          <t>ÅNGE</t>
        </is>
      </c>
      <c r="H1140" t="inlineStr">
        <is>
          <t>SCA</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31308-2026</t>
        </is>
      </c>
      <c r="B1141" t="inlineStr">
        <is>
          <t>avverkningsanmälan</t>
        </is>
      </c>
      <c r="C1141" t="inlineStr">
        <is>
          <t>Föryngringsavverkning</t>
        </is>
      </c>
      <c r="D1141" s="1" t="n">
        <v>46219</v>
      </c>
      <c r="E1141" s="1" t="n">
        <v>46228</v>
      </c>
      <c r="F1141" t="inlineStr">
        <is>
          <t>VÄSTERNORRLANDS LÄN</t>
        </is>
      </c>
      <c r="G1141" t="inlineStr">
        <is>
          <t>ÅNGE</t>
        </is>
      </c>
      <c r="H1141" t="inlineStr">
        <is>
          <t>SCA</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12123-2024</t>
        </is>
      </c>
      <c r="B1142" t="inlineStr">
        <is>
          <t>avverkningsanmälan</t>
        </is>
      </c>
      <c r="C1142" t="inlineStr">
        <is>
          <t>Föryngringsavverkning</t>
        </is>
      </c>
      <c r="D1142" s="1" t="n">
        <v>45377</v>
      </c>
      <c r="E1142" s="1" t="n">
        <v>46228</v>
      </c>
      <c r="F1142" t="inlineStr">
        <is>
          <t>VÄSTERNORRLANDS LÄN</t>
        </is>
      </c>
      <c r="G1142" t="inlineStr">
        <is>
          <t>ÅNGE</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11299-2023</t>
        </is>
      </c>
      <c r="B1143" t="inlineStr">
        <is>
          <t>avverkningsanmälan</t>
        </is>
      </c>
      <c r="C1143" t="inlineStr">
        <is>
          <t>Föryngringsavverkning</t>
        </is>
      </c>
      <c r="D1143" s="1" t="n">
        <v>44993</v>
      </c>
      <c r="E1143" s="1" t="n">
        <v>46228</v>
      </c>
      <c r="F1143" t="inlineStr">
        <is>
          <t>VÄSTERNORRLANDS LÄN</t>
        </is>
      </c>
      <c r="G1143" t="inlineStr">
        <is>
          <t>ÅNGE</t>
        </is>
      </c>
      <c r="H1143" t="inlineStr">
        <is>
          <t>SCA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45932-2023</t>
        </is>
      </c>
      <c r="B1144" t="inlineStr">
        <is>
          <t>avverkningsanmälan</t>
        </is>
      </c>
      <c r="C1144" t="inlineStr">
        <is>
          <t>Avverkning för annat ändamål</t>
        </is>
      </c>
      <c r="D1144" s="1" t="n">
        <v>45195</v>
      </c>
      <c r="E1144" s="1" t="n">
        <v>46228</v>
      </c>
      <c r="F1144" t="inlineStr">
        <is>
          <t>VÄSTERNORRLANDS LÄN</t>
        </is>
      </c>
      <c r="G1144" t="inlineStr">
        <is>
          <t>ÅNGE</t>
        </is>
      </c>
      <c r="H1144" t="inlineStr">
        <is>
          <t>SCA</t>
        </is>
      </c>
      <c r="I1144" t="n">
        <v>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25150-2026</t>
        </is>
      </c>
      <c r="B1145" t="inlineStr">
        <is>
          <t>avverkningsanmälan</t>
        </is>
      </c>
      <c r="C1145" t="inlineStr">
        <is>
          <t>Föryngringsavverkning</t>
        </is>
      </c>
      <c r="D1145" s="1" t="n">
        <v>46175</v>
      </c>
      <c r="E1145" s="1" t="n">
        <v>46228</v>
      </c>
      <c r="F1145" t="inlineStr">
        <is>
          <t>VÄSTERNORRLANDS LÄN</t>
        </is>
      </c>
      <c r="G1145" t="inlineStr">
        <is>
          <t>ÅNGE</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16455-2026</t>
        </is>
      </c>
      <c r="B1146" t="inlineStr">
        <is>
          <t>avverkningsanmälan</t>
        </is>
      </c>
      <c r="C1146" t="inlineStr">
        <is>
          <t>Föryngringsavverkning</t>
        </is>
      </c>
      <c r="D1146" s="1" t="n">
        <v>46112</v>
      </c>
      <c r="E1146" s="1" t="n">
        <v>46228</v>
      </c>
      <c r="F1146" t="inlineStr">
        <is>
          <t>VÄSTERNORRLANDS LÄN</t>
        </is>
      </c>
      <c r="G1146" t="inlineStr">
        <is>
          <t>ÅNGE</t>
        </is>
      </c>
      <c r="H1146" t="inlineStr">
        <is>
          <t>SCA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25316-2026</t>
        </is>
      </c>
      <c r="B1147" t="inlineStr">
        <is>
          <t>avverkningsanmälan</t>
        </is>
      </c>
      <c r="C1147" t="inlineStr">
        <is>
          <t>Föryngringsavverkning</t>
        </is>
      </c>
      <c r="D1147" s="1" t="n">
        <v>46176</v>
      </c>
      <c r="E1147" s="1" t="n">
        <v>46228</v>
      </c>
      <c r="F1147" t="inlineStr">
        <is>
          <t>VÄSTERNORRLANDS LÄN</t>
        </is>
      </c>
      <c r="G1147" t="inlineStr">
        <is>
          <t>ÅNGE</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8648-2025</t>
        </is>
      </c>
      <c r="B1148" t="inlineStr">
        <is>
          <t>avverkningsanmälan</t>
        </is>
      </c>
      <c r="C1148" t="inlineStr">
        <is>
          <t>Föryngringsavverkning</t>
        </is>
      </c>
      <c r="D1148" s="1" t="n">
        <v>45712</v>
      </c>
      <c r="E1148" s="1" t="n">
        <v>46228</v>
      </c>
      <c r="F1148" t="inlineStr">
        <is>
          <t>VÄSTERNORRLANDS LÄN</t>
        </is>
      </c>
      <c r="G1148" t="inlineStr">
        <is>
          <t>ÅNGE</t>
        </is>
      </c>
      <c r="H1148" t="inlineStr">
        <is>
          <t>SCA</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24541-2023</t>
        </is>
      </c>
      <c r="B1149" t="inlineStr">
        <is>
          <t>avverkningsanmälan</t>
        </is>
      </c>
      <c r="C1149" t="inlineStr">
        <is>
          <t>Föryngringsavverkning</t>
        </is>
      </c>
      <c r="D1149" s="1" t="n">
        <v>45082</v>
      </c>
      <c r="E1149" s="1" t="n">
        <v>46228</v>
      </c>
      <c r="F1149" t="inlineStr">
        <is>
          <t>VÄSTERNORRLANDS LÄN</t>
        </is>
      </c>
      <c r="G1149" t="inlineStr">
        <is>
          <t>ÅNGE</t>
        </is>
      </c>
      <c r="H1149" t="inlineStr">
        <is>
          <t>SCA</t>
        </is>
      </c>
      <c r="I1149" t="n">
        <v>6.8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25198-2026</t>
        </is>
      </c>
      <c r="B1150" t="inlineStr">
        <is>
          <t>avverkningsanmälan</t>
        </is>
      </c>
      <c r="C1150" t="inlineStr">
        <is>
          <t>Föryngringsavverkning</t>
        </is>
      </c>
      <c r="D1150" s="1" t="n">
        <v>46175</v>
      </c>
      <c r="E1150" s="1" t="n">
        <v>46228</v>
      </c>
      <c r="F1150" t="inlineStr">
        <is>
          <t>VÄSTERNORRLANDS LÄN</t>
        </is>
      </c>
      <c r="G1150" t="inlineStr">
        <is>
          <t>ÅNGE</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16959-2026</t>
        </is>
      </c>
      <c r="B1151" t="inlineStr">
        <is>
          <t>avverkningsanmälan</t>
        </is>
      </c>
      <c r="C1151" t="inlineStr">
        <is>
          <t>Föryngringsavverkning</t>
        </is>
      </c>
      <c r="D1151" s="1" t="n">
        <v>46114</v>
      </c>
      <c r="E1151" s="1" t="n">
        <v>46228</v>
      </c>
      <c r="F1151" t="inlineStr">
        <is>
          <t>VÄSTERNORRLANDS LÄN</t>
        </is>
      </c>
      <c r="G1151" t="inlineStr">
        <is>
          <t>ÅNGE</t>
        </is>
      </c>
      <c r="H1151" t="inlineStr">
        <is>
          <t>SCA</t>
        </is>
      </c>
      <c r="I1151" t="n">
        <v>4.7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51131-2022</t>
        </is>
      </c>
      <c r="B1152" t="inlineStr">
        <is>
          <t>avverkningsanmälan</t>
        </is>
      </c>
      <c r="C1152" t="inlineStr">
        <is>
          <t>Föryngringsavverkning</t>
        </is>
      </c>
      <c r="D1152" s="1" t="n">
        <v>44868</v>
      </c>
      <c r="E1152" s="1" t="n">
        <v>46228</v>
      </c>
      <c r="F1152" t="inlineStr">
        <is>
          <t>VÄSTERNORRLANDS LÄN</t>
        </is>
      </c>
      <c r="G1152" t="inlineStr">
        <is>
          <t>ÅNGE</t>
        </is>
      </c>
      <c r="I1152" t="n">
        <v>11.1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25684-2026</t>
        </is>
      </c>
      <c r="B1153" t="inlineStr">
        <is>
          <t>avverkningsanmälan</t>
        </is>
      </c>
      <c r="C1153" t="inlineStr">
        <is>
          <t>Föryngringsavverkning</t>
        </is>
      </c>
      <c r="D1153" s="1" t="n">
        <v>46178</v>
      </c>
      <c r="E1153" s="1" t="n">
        <v>46228</v>
      </c>
      <c r="F1153" t="inlineStr">
        <is>
          <t>VÄSTERNORRLANDS LÄN</t>
        </is>
      </c>
      <c r="G1153" t="inlineStr">
        <is>
          <t>ÅNGE</t>
        </is>
      </c>
      <c r="H1153" t="inlineStr">
        <is>
          <t>SCA</t>
        </is>
      </c>
      <c r="I1153" t="n">
        <v>16.5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33631-2024</t>
        </is>
      </c>
      <c r="B1154" t="inlineStr">
        <is>
          <t>avverkningsanmälan</t>
        </is>
      </c>
      <c r="C1154" t="inlineStr">
        <is>
          <t>Föryngringsavverkning</t>
        </is>
      </c>
      <c r="D1154" s="1" t="n">
        <v>45520</v>
      </c>
      <c r="E1154" s="1" t="n">
        <v>46228</v>
      </c>
      <c r="F1154" t="inlineStr">
        <is>
          <t>VÄSTERNORRLANDS LÄN</t>
        </is>
      </c>
      <c r="G1154" t="inlineStr">
        <is>
          <t>ÅNGE</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17031-2026</t>
        </is>
      </c>
      <c r="B1155" t="inlineStr">
        <is>
          <t>avverkningsanmälan</t>
        </is>
      </c>
      <c r="C1155" t="inlineStr">
        <is>
          <t>Föryngringsavverkning</t>
        </is>
      </c>
      <c r="D1155" s="1" t="n">
        <v>46114</v>
      </c>
      <c r="E1155" s="1" t="n">
        <v>46228</v>
      </c>
      <c r="F1155" t="inlineStr">
        <is>
          <t>VÄSTERNORRLANDS LÄN</t>
        </is>
      </c>
      <c r="G1155" t="inlineStr">
        <is>
          <t>ÅNGE</t>
        </is>
      </c>
      <c r="H1155" t="inlineStr">
        <is>
          <t>SCA</t>
        </is>
      </c>
      <c r="I1155" t="n">
        <v>8.300000000000001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8145-2026</t>
        </is>
      </c>
      <c r="B1156" t="inlineStr">
        <is>
          <t>avverkningsanmälan</t>
        </is>
      </c>
      <c r="C1156" t="inlineStr">
        <is>
          <t>Föryngringsavverkning</t>
        </is>
      </c>
      <c r="D1156" s="1" t="n">
        <v>46064</v>
      </c>
      <c r="E1156" s="1" t="n">
        <v>46228</v>
      </c>
      <c r="F1156" t="inlineStr">
        <is>
          <t>VÄSTERNORRLANDS LÄN</t>
        </is>
      </c>
      <c r="G1156" t="inlineStr">
        <is>
          <t>ÅNGE</t>
        </is>
      </c>
      <c r="H1156" t="inlineStr">
        <is>
          <t>SCA</t>
        </is>
      </c>
      <c r="I1156" t="n">
        <v>11.6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16980-2026</t>
        </is>
      </c>
      <c r="B1157" t="inlineStr">
        <is>
          <t>avverkningsanmälan</t>
        </is>
      </c>
      <c r="C1157" t="inlineStr">
        <is>
          <t>Föryngringsavverkning</t>
        </is>
      </c>
      <c r="D1157" s="1" t="n">
        <v>46114</v>
      </c>
      <c r="E1157" s="1" t="n">
        <v>46228</v>
      </c>
      <c r="F1157" t="inlineStr">
        <is>
          <t>VÄSTERNORRLANDS LÄN</t>
        </is>
      </c>
      <c r="G1157" t="inlineStr">
        <is>
          <t>ÅNGE</t>
        </is>
      </c>
      <c r="H1157" t="inlineStr">
        <is>
          <t>SCA</t>
        </is>
      </c>
      <c r="I1157" t="n">
        <v>6.3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16793-2026</t>
        </is>
      </c>
      <c r="B1158" t="inlineStr">
        <is>
          <t>avverkningsanmälan</t>
        </is>
      </c>
      <c r="C1158" t="inlineStr">
        <is>
          <t>Föryngringsavverkning</t>
        </is>
      </c>
      <c r="D1158" s="1" t="n">
        <v>46113</v>
      </c>
      <c r="E1158" s="1" t="n">
        <v>46228</v>
      </c>
      <c r="F1158" t="inlineStr">
        <is>
          <t>VÄSTERNORRLANDS LÄN</t>
        </is>
      </c>
      <c r="G1158" t="inlineStr">
        <is>
          <t>ÅNGE</t>
        </is>
      </c>
      <c r="H1158" t="inlineStr">
        <is>
          <t>SCA</t>
        </is>
      </c>
      <c r="I1158" t="n">
        <v>15.9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63522-2021</t>
        </is>
      </c>
      <c r="B1159" t="inlineStr">
        <is>
          <t>avverkningsanmälan</t>
        </is>
      </c>
      <c r="C1159" t="inlineStr">
        <is>
          <t>Föryngringsavverkning</t>
        </is>
      </c>
      <c r="D1159" s="1" t="n">
        <v>44508</v>
      </c>
      <c r="E1159" s="1" t="n">
        <v>46228</v>
      </c>
      <c r="F1159" t="inlineStr">
        <is>
          <t>VÄSTERNORRLANDS LÄN</t>
        </is>
      </c>
      <c r="G1159" t="inlineStr">
        <is>
          <t>ÅNGE</t>
        </is>
      </c>
      <c r="H1159" t="inlineStr">
        <is>
          <t>Övriga Aktiebolag</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51411-2023</t>
        </is>
      </c>
      <c r="B1160" t="inlineStr">
        <is>
          <t>avverkningsanmälan</t>
        </is>
      </c>
      <c r="C1160" t="inlineStr">
        <is>
          <t>Föryngringsavverkning</t>
        </is>
      </c>
      <c r="D1160" s="1" t="n">
        <v>45219</v>
      </c>
      <c r="E1160" s="1" t="n">
        <v>46228</v>
      </c>
      <c r="F1160" t="inlineStr">
        <is>
          <t>VÄSTERNORRLANDS LÄN</t>
        </is>
      </c>
      <c r="G1160" t="inlineStr">
        <is>
          <t>ÅNGE</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31229-2023</t>
        </is>
      </c>
      <c r="B1161" t="inlineStr">
        <is>
          <t>avverkningsanmälan</t>
        </is>
      </c>
      <c r="C1161" t="inlineStr">
        <is>
          <t>Föryngringsavverkning</t>
        </is>
      </c>
      <c r="D1161" s="1" t="n">
        <v>45114</v>
      </c>
      <c r="E1161" s="1" t="n">
        <v>46228</v>
      </c>
      <c r="F1161" t="inlineStr">
        <is>
          <t>VÄSTERNORRLANDS LÄN</t>
        </is>
      </c>
      <c r="G1161" t="inlineStr">
        <is>
          <t>ÅNGE</t>
        </is>
      </c>
      <c r="H1161" t="inlineStr">
        <is>
          <t>Sveaskog</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17035-2026</t>
        </is>
      </c>
      <c r="B1162" t="inlineStr">
        <is>
          <t>avverkningsanmälan</t>
        </is>
      </c>
      <c r="C1162" t="inlineStr">
        <is>
          <t>Föryngringsavverkning</t>
        </is>
      </c>
      <c r="D1162" s="1" t="n">
        <v>46114</v>
      </c>
      <c r="E1162" s="1" t="n">
        <v>46228</v>
      </c>
      <c r="F1162" t="inlineStr">
        <is>
          <t>VÄSTERNORRLANDS LÄN</t>
        </is>
      </c>
      <c r="G1162" t="inlineStr">
        <is>
          <t>ÅNGE</t>
        </is>
      </c>
      <c r="H1162" t="inlineStr">
        <is>
          <t>SCA</t>
        </is>
      </c>
      <c r="I1162" t="n">
        <v>6.4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31457-2026</t>
        </is>
      </c>
      <c r="B1163" t="inlineStr">
        <is>
          <t>avverkningsanmälan</t>
        </is>
      </c>
      <c r="C1163" t="inlineStr">
        <is>
          <t>Föryngringsavverkning</t>
        </is>
      </c>
      <c r="D1163" s="1" t="n">
        <v>46221</v>
      </c>
      <c r="E1163" s="1" t="n">
        <v>46228</v>
      </c>
      <c r="F1163" t="inlineStr">
        <is>
          <t>VÄSTERNORRLANDS LÄN</t>
        </is>
      </c>
      <c r="G1163" t="inlineStr">
        <is>
          <t>ÅNGE</t>
        </is>
      </c>
      <c r="H1163" t="inlineStr">
        <is>
          <t>SCA</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17504-2026</t>
        </is>
      </c>
      <c r="B1164" t="inlineStr">
        <is>
          <t>avverkningsanmälan</t>
        </is>
      </c>
      <c r="C1164" t="inlineStr">
        <is>
          <t>Föryngringsavverkning</t>
        </is>
      </c>
      <c r="D1164" s="1" t="n">
        <v>46120</v>
      </c>
      <c r="E1164" s="1" t="n">
        <v>46228</v>
      </c>
      <c r="F1164" t="inlineStr">
        <is>
          <t>VÄSTERNORRLANDS LÄN</t>
        </is>
      </c>
      <c r="G1164" t="inlineStr">
        <is>
          <t>ÅNGE</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17468-2026</t>
        </is>
      </c>
      <c r="B1165" t="inlineStr">
        <is>
          <t>avverkningsanmälan</t>
        </is>
      </c>
      <c r="C1165" t="inlineStr">
        <is>
          <t>Föryngringsavverkning</t>
        </is>
      </c>
      <c r="D1165" s="1" t="n">
        <v>46120</v>
      </c>
      <c r="E1165" s="1" t="n">
        <v>46228</v>
      </c>
      <c r="F1165" t="inlineStr">
        <is>
          <t>VÄSTERNORRLANDS LÄN</t>
        </is>
      </c>
      <c r="G1165" t="inlineStr">
        <is>
          <t>ÅNGE</t>
        </is>
      </c>
      <c r="H1165" t="inlineStr">
        <is>
          <t>SCA</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17480-2026</t>
        </is>
      </c>
      <c r="B1166" t="inlineStr">
        <is>
          <t>avverkningsanmälan</t>
        </is>
      </c>
      <c r="C1166" t="inlineStr">
        <is>
          <t>Föryngringsavverkning</t>
        </is>
      </c>
      <c r="D1166" s="1" t="n">
        <v>46120</v>
      </c>
      <c r="E1166" s="1" t="n">
        <v>46228</v>
      </c>
      <c r="F1166" t="inlineStr">
        <is>
          <t>VÄSTERNORRLANDS LÄN</t>
        </is>
      </c>
      <c r="G1166" t="inlineStr">
        <is>
          <t>ÅNGE</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17519-2026</t>
        </is>
      </c>
      <c r="B1167" t="inlineStr">
        <is>
          <t>avverkningsanmälan</t>
        </is>
      </c>
      <c r="C1167" t="inlineStr">
        <is>
          <t>Föryngringsavverkning</t>
        </is>
      </c>
      <c r="D1167" s="1" t="n">
        <v>46120</v>
      </c>
      <c r="E1167" s="1" t="n">
        <v>46228</v>
      </c>
      <c r="F1167" t="inlineStr">
        <is>
          <t>VÄSTERNORRLANDS LÄN</t>
        </is>
      </c>
      <c r="G1167" t="inlineStr">
        <is>
          <t>ÅNGE</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25879-2026</t>
        </is>
      </c>
      <c r="B1168" t="inlineStr">
        <is>
          <t>avverkningsanmälan</t>
        </is>
      </c>
      <c r="C1168" t="inlineStr">
        <is>
          <t>Föryngringsavverkning</t>
        </is>
      </c>
      <c r="D1168" s="1" t="n">
        <v>46178</v>
      </c>
      <c r="E1168" s="1" t="n">
        <v>46228</v>
      </c>
      <c r="F1168" t="inlineStr">
        <is>
          <t>VÄSTERNORRLANDS LÄN</t>
        </is>
      </c>
      <c r="G1168" t="inlineStr">
        <is>
          <t>ÅNGE</t>
        </is>
      </c>
      <c r="H1168" t="inlineStr">
        <is>
          <t>SCA</t>
        </is>
      </c>
      <c r="I1168" t="n">
        <v>7.2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17521-2026</t>
        </is>
      </c>
      <c r="B1169" t="inlineStr">
        <is>
          <t>avverkningsanmälan</t>
        </is>
      </c>
      <c r="C1169" t="inlineStr">
        <is>
          <t>Föryngringsavverkning</t>
        </is>
      </c>
      <c r="D1169" s="1" t="n">
        <v>46120</v>
      </c>
      <c r="E1169" s="1" t="n">
        <v>46228</v>
      </c>
      <c r="F1169" t="inlineStr">
        <is>
          <t>VÄSTERNORRLANDS LÄN</t>
        </is>
      </c>
      <c r="G1169" t="inlineStr">
        <is>
          <t>ÅNGE</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17530-2026</t>
        </is>
      </c>
      <c r="B1170" t="inlineStr">
        <is>
          <t>avverkningsanmälan</t>
        </is>
      </c>
      <c r="C1170" t="inlineStr">
        <is>
          <t>Föryngringsavverkning</t>
        </is>
      </c>
      <c r="D1170" s="1" t="n">
        <v>46120</v>
      </c>
      <c r="E1170" s="1" t="n">
        <v>46228</v>
      </c>
      <c r="F1170" t="inlineStr">
        <is>
          <t>VÄSTERNORRLANDS LÄN</t>
        </is>
      </c>
      <c r="G1170" t="inlineStr">
        <is>
          <t>ÅNGE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17437-2026</t>
        </is>
      </c>
      <c r="B1171" t="inlineStr">
        <is>
          <t>avverkningsanmälan</t>
        </is>
      </c>
      <c r="C1171" t="inlineStr">
        <is>
          <t>Föryngringsavverkning</t>
        </is>
      </c>
      <c r="D1171" s="1" t="n">
        <v>46120</v>
      </c>
      <c r="E1171" s="1" t="n">
        <v>46228</v>
      </c>
      <c r="F1171" t="inlineStr">
        <is>
          <t>VÄSTERNORRLANDS LÄN</t>
        </is>
      </c>
      <c r="G1171" t="inlineStr">
        <is>
          <t>ÅNGE</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17505-2026</t>
        </is>
      </c>
      <c r="B1172" t="inlineStr">
        <is>
          <t>avverkningsanmälan</t>
        </is>
      </c>
      <c r="C1172" t="inlineStr">
        <is>
          <t>Föryngringsavverkning</t>
        </is>
      </c>
      <c r="D1172" s="1" t="n">
        <v>46120</v>
      </c>
      <c r="E1172" s="1" t="n">
        <v>46228</v>
      </c>
      <c r="F1172" t="inlineStr">
        <is>
          <t>VÄSTERNORRLANDS LÄN</t>
        </is>
      </c>
      <c r="G1172" t="inlineStr">
        <is>
          <t>ÅNGE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17370-2026</t>
        </is>
      </c>
      <c r="B1173" t="inlineStr">
        <is>
          <t>avverkningsanmälan</t>
        </is>
      </c>
      <c r="C1173" t="inlineStr">
        <is>
          <t>Föryngringsavverkning</t>
        </is>
      </c>
      <c r="D1173" s="1" t="n">
        <v>46119</v>
      </c>
      <c r="E1173" s="1" t="n">
        <v>46228</v>
      </c>
      <c r="F1173" t="inlineStr">
        <is>
          <t>VÄSTERNORRLANDS LÄN</t>
        </is>
      </c>
      <c r="G1173" t="inlineStr">
        <is>
          <t>ÅNGE</t>
        </is>
      </c>
      <c r="H1173" t="inlineStr">
        <is>
          <t>SCA</t>
        </is>
      </c>
      <c r="I1173" t="n">
        <v>5.4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7692-2024</t>
        </is>
      </c>
      <c r="B1174" t="inlineStr">
        <is>
          <t>avverkningsanmälan</t>
        </is>
      </c>
      <c r="C1174" t="inlineStr">
        <is>
          <t>Föryngringsavverkning</t>
        </is>
      </c>
      <c r="D1174" s="1" t="n">
        <v>45349</v>
      </c>
      <c r="E1174" s="1" t="n">
        <v>46228</v>
      </c>
      <c r="F1174" t="inlineStr">
        <is>
          <t>VÄSTERNORRLANDS LÄN</t>
        </is>
      </c>
      <c r="G1174" t="inlineStr">
        <is>
          <t>ÅNGE</t>
        </is>
      </c>
      <c r="H1174" t="inlineStr">
        <is>
          <t>SCA</t>
        </is>
      </c>
      <c r="I1174" t="n">
        <v>8.300000000000001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47950-2024</t>
        </is>
      </c>
      <c r="B1175" t="inlineStr">
        <is>
          <t>avverkningsanmälan</t>
        </is>
      </c>
      <c r="C1175" t="inlineStr">
        <is>
          <t>Föryngringsavverkning</t>
        </is>
      </c>
      <c r="D1175" s="1" t="n">
        <v>45589</v>
      </c>
      <c r="E1175" s="1" t="n">
        <v>46228</v>
      </c>
      <c r="F1175" t="inlineStr">
        <is>
          <t>VÄSTERNORRLANDS LÄN</t>
        </is>
      </c>
      <c r="G1175" t="inlineStr">
        <is>
          <t>ÅNGE</t>
        </is>
      </c>
      <c r="H1175" t="inlineStr">
        <is>
          <t>SCA</t>
        </is>
      </c>
      <c r="I1175" t="n">
        <v>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17509-2026</t>
        </is>
      </c>
      <c r="B1176" t="inlineStr">
        <is>
          <t>avverkningsanmälan</t>
        </is>
      </c>
      <c r="C1176" t="inlineStr">
        <is>
          <t>Föryngringsavverkning</t>
        </is>
      </c>
      <c r="D1176" s="1" t="n">
        <v>46120</v>
      </c>
      <c r="E1176" s="1" t="n">
        <v>46228</v>
      </c>
      <c r="F1176" t="inlineStr">
        <is>
          <t>VÄSTERNORRLANDS LÄN</t>
        </is>
      </c>
      <c r="G1176" t="inlineStr">
        <is>
          <t>ÅNGE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49377-2025</t>
        </is>
      </c>
      <c r="B1177" t="inlineStr">
        <is>
          <t>avverkningsanmälan</t>
        </is>
      </c>
      <c r="C1177" t="inlineStr">
        <is>
          <t>Föryngringsavverkning</t>
        </is>
      </c>
      <c r="D1177" s="1" t="n">
        <v>45938</v>
      </c>
      <c r="E1177" s="1" t="n">
        <v>46228</v>
      </c>
      <c r="F1177" t="inlineStr">
        <is>
          <t>VÄSTERNORRLANDS LÄN</t>
        </is>
      </c>
      <c r="G1177" t="inlineStr">
        <is>
          <t>ÅNGE</t>
        </is>
      </c>
      <c r="H1177" t="inlineStr">
        <is>
          <t>SCA</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39589-2022</t>
        </is>
      </c>
      <c r="B1178" t="inlineStr">
        <is>
          <t>avverkningsanmälan</t>
        </is>
      </c>
      <c r="C1178" t="inlineStr">
        <is>
          <t>Föryngringsavverkning</t>
        </is>
      </c>
      <c r="D1178" s="1" t="n">
        <v>44818</v>
      </c>
      <c r="E1178" s="1" t="n">
        <v>46228</v>
      </c>
      <c r="F1178" t="inlineStr">
        <is>
          <t>VÄSTERNORRLANDS LÄN</t>
        </is>
      </c>
      <c r="G1178" t="inlineStr">
        <is>
          <t>ÅNGE</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17570-2026</t>
        </is>
      </c>
      <c r="B1179" t="inlineStr">
        <is>
          <t>avverkningsanmälan</t>
        </is>
      </c>
      <c r="C1179" t="inlineStr">
        <is>
          <t>Föryngringsavverkning</t>
        </is>
      </c>
      <c r="D1179" s="1" t="n">
        <v>46121</v>
      </c>
      <c r="E1179" s="1" t="n">
        <v>46228</v>
      </c>
      <c r="F1179" t="inlineStr">
        <is>
          <t>VÄSTERNORRLANDS LÄN</t>
        </is>
      </c>
      <c r="G1179" t="inlineStr">
        <is>
          <t>ÅNGE</t>
        </is>
      </c>
      <c r="H1179" t="inlineStr">
        <is>
          <t>SCA</t>
        </is>
      </c>
      <c r="I1179" t="n">
        <v>8.5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42098-2024</t>
        </is>
      </c>
      <c r="B1180" t="inlineStr">
        <is>
          <t>avverkningsanmälan</t>
        </is>
      </c>
      <c r="C1180" t="inlineStr">
        <is>
          <t>Föryngringsavverkning</t>
        </is>
      </c>
      <c r="D1180" s="1" t="n">
        <v>45562</v>
      </c>
      <c r="E1180" s="1" t="n">
        <v>46228</v>
      </c>
      <c r="F1180" t="inlineStr">
        <is>
          <t>VÄSTERNORRLANDS LÄN</t>
        </is>
      </c>
      <c r="G1180" t="inlineStr">
        <is>
          <t>ÅNGE</t>
        </is>
      </c>
      <c r="H1180" t="inlineStr">
        <is>
          <t>SCA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25910-2026</t>
        </is>
      </c>
      <c r="B1181" t="inlineStr">
        <is>
          <t>avverkningsanmälan</t>
        </is>
      </c>
      <c r="C1181" t="inlineStr">
        <is>
          <t>Föryngringsavverkning</t>
        </is>
      </c>
      <c r="D1181" s="1" t="n">
        <v>46178</v>
      </c>
      <c r="E1181" s="1" t="n">
        <v>46228</v>
      </c>
      <c r="F1181" t="inlineStr">
        <is>
          <t>VÄSTERNORRLANDS LÄN</t>
        </is>
      </c>
      <c r="G1181" t="inlineStr">
        <is>
          <t>ÅNGE</t>
        </is>
      </c>
      <c r="H1181" t="inlineStr">
        <is>
          <t>SCA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17922-2026</t>
        </is>
      </c>
      <c r="B1182" t="inlineStr">
        <is>
          <t>avverkningsanmälan</t>
        </is>
      </c>
      <c r="C1182" t="inlineStr">
        <is>
          <t>Föryngringsavverkning</t>
        </is>
      </c>
      <c r="D1182" s="1" t="n">
        <v>46122</v>
      </c>
      <c r="E1182" s="1" t="n">
        <v>46228</v>
      </c>
      <c r="F1182" t="inlineStr">
        <is>
          <t>VÄSTERNORRLANDS LÄN</t>
        </is>
      </c>
      <c r="G1182" t="inlineStr">
        <is>
          <t>ÅNGE</t>
        </is>
      </c>
      <c r="H1182" t="inlineStr">
        <is>
          <t>Sveaskog</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17637-2026</t>
        </is>
      </c>
      <c r="B1183" t="inlineStr">
        <is>
          <t>avverkningsanmälan</t>
        </is>
      </c>
      <c r="C1183" t="inlineStr">
        <is>
          <t>Föryngringsavverkning</t>
        </is>
      </c>
      <c r="D1183" s="1" t="n">
        <v>46121</v>
      </c>
      <c r="E1183" s="1" t="n">
        <v>46228</v>
      </c>
      <c r="F1183" t="inlineStr">
        <is>
          <t>VÄSTERNORRLANDS LÄN</t>
        </is>
      </c>
      <c r="G1183" t="inlineStr">
        <is>
          <t>ÅNGE</t>
        </is>
      </c>
      <c r="H1183" t="inlineStr">
        <is>
          <t>SCA</t>
        </is>
      </c>
      <c r="I1183" t="n">
        <v>8.199999999999999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17638-2026</t>
        </is>
      </c>
      <c r="B1184" t="inlineStr">
        <is>
          <t>avverkningsanmälan</t>
        </is>
      </c>
      <c r="C1184" t="inlineStr">
        <is>
          <t>Föryngringsavverkning</t>
        </is>
      </c>
      <c r="D1184" s="1" t="n">
        <v>46121</v>
      </c>
      <c r="E1184" s="1" t="n">
        <v>46228</v>
      </c>
      <c r="F1184" t="inlineStr">
        <is>
          <t>VÄSTERNORRLANDS LÄN</t>
        </is>
      </c>
      <c r="G1184" t="inlineStr">
        <is>
          <t>ÅNGE</t>
        </is>
      </c>
      <c r="H1184" t="inlineStr">
        <is>
          <t>SCA</t>
        </is>
      </c>
      <c r="I1184" t="n">
        <v>24.2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25848-2026</t>
        </is>
      </c>
      <c r="B1185" t="inlineStr">
        <is>
          <t>avverkningsanmälan</t>
        </is>
      </c>
      <c r="C1185" t="inlineStr">
        <is>
          <t>Föryngringsavverkning</t>
        </is>
      </c>
      <c r="D1185" s="1" t="n">
        <v>46178</v>
      </c>
      <c r="E1185" s="1" t="n">
        <v>46228</v>
      </c>
      <c r="F1185" t="inlineStr">
        <is>
          <t>VÄSTERNORRLANDS LÄN</t>
        </is>
      </c>
      <c r="G1185" t="inlineStr">
        <is>
          <t>ÅNGE</t>
        </is>
      </c>
      <c r="H1185" t="inlineStr">
        <is>
          <t>SCA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25849-2026</t>
        </is>
      </c>
      <c r="B1186" t="inlineStr">
        <is>
          <t>avverkningsanmälan</t>
        </is>
      </c>
      <c r="C1186" t="inlineStr">
        <is>
          <t>Föryngringsavverkning</t>
        </is>
      </c>
      <c r="D1186" s="1" t="n">
        <v>46178</v>
      </c>
      <c r="E1186" s="1" t="n">
        <v>46228</v>
      </c>
      <c r="F1186" t="inlineStr">
        <is>
          <t>VÄSTERNORRLANDS LÄN</t>
        </is>
      </c>
      <c r="G1186" t="inlineStr">
        <is>
          <t>ÅNGE</t>
        </is>
      </c>
      <c r="H1186" t="inlineStr">
        <is>
          <t>SCA</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17917-2026</t>
        </is>
      </c>
      <c r="B1187" t="inlineStr">
        <is>
          <t>avverkningsanmälan</t>
        </is>
      </c>
      <c r="C1187" t="inlineStr">
        <is>
          <t>Föryngringsavverkning</t>
        </is>
      </c>
      <c r="D1187" s="1" t="n">
        <v>46122</v>
      </c>
      <c r="E1187" s="1" t="n">
        <v>46228</v>
      </c>
      <c r="F1187" t="inlineStr">
        <is>
          <t>VÄSTERNORRLANDS LÄN</t>
        </is>
      </c>
      <c r="G1187" t="inlineStr">
        <is>
          <t>ÅNGE</t>
        </is>
      </c>
      <c r="H1187" t="inlineStr">
        <is>
          <t>Sveaskog</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10071-2023</t>
        </is>
      </c>
      <c r="B1188" t="inlineStr">
        <is>
          <t>avverkningsanmälan</t>
        </is>
      </c>
      <c r="C1188" t="inlineStr">
        <is>
          <t>Föryngringsavverkning</t>
        </is>
      </c>
      <c r="D1188" s="1" t="n">
        <v>44985</v>
      </c>
      <c r="E1188" s="1" t="n">
        <v>46228</v>
      </c>
      <c r="F1188" t="inlineStr">
        <is>
          <t>VÄSTERNORRLANDS LÄN</t>
        </is>
      </c>
      <c r="G1188" t="inlineStr">
        <is>
          <t>ÅNGE</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15822-2025</t>
        </is>
      </c>
      <c r="B1189" t="inlineStr">
        <is>
          <t>avverkningsanmälan</t>
        </is>
      </c>
      <c r="C1189" t="inlineStr">
        <is>
          <t>Föryngringsavverkning</t>
        </is>
      </c>
      <c r="D1189" s="1" t="n">
        <v>45748</v>
      </c>
      <c r="E1189" s="1" t="n">
        <v>46228</v>
      </c>
      <c r="F1189" t="inlineStr">
        <is>
          <t>VÄSTERNORRLANDS LÄN</t>
        </is>
      </c>
      <c r="G1189" t="inlineStr">
        <is>
          <t>ÅNGE</t>
        </is>
      </c>
      <c r="H1189" t="inlineStr">
        <is>
          <t>SCA</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18390-2026</t>
        </is>
      </c>
      <c r="B1190" t="inlineStr">
        <is>
          <t>avverkningsanmälan</t>
        </is>
      </c>
      <c r="C1190" t="inlineStr">
        <is>
          <t>Föryngringsavverkning</t>
        </is>
      </c>
      <c r="D1190" s="1" t="n">
        <v>46126</v>
      </c>
      <c r="E1190" s="1" t="n">
        <v>46228</v>
      </c>
      <c r="F1190" t="inlineStr">
        <is>
          <t>VÄSTERNORRLANDS LÄN</t>
        </is>
      </c>
      <c r="G1190" t="inlineStr">
        <is>
          <t>ÅNGE</t>
        </is>
      </c>
      <c r="H1190" t="inlineStr">
        <is>
          <t>SCA</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25685-2026</t>
        </is>
      </c>
      <c r="B1191" t="inlineStr">
        <is>
          <t>avverkningsanmälan</t>
        </is>
      </c>
      <c r="C1191" t="inlineStr">
        <is>
          <t>Föryngringsavverkning</t>
        </is>
      </c>
      <c r="D1191" s="1" t="n">
        <v>46178</v>
      </c>
      <c r="E1191" s="1" t="n">
        <v>46228</v>
      </c>
      <c r="F1191" t="inlineStr">
        <is>
          <t>VÄSTERNORRLANDS LÄN</t>
        </is>
      </c>
      <c r="G1191" t="inlineStr">
        <is>
          <t>ÅNGE</t>
        </is>
      </c>
      <c r="H1191" t="inlineStr">
        <is>
          <t>SCA</t>
        </is>
      </c>
      <c r="I1191" t="n">
        <v>14.1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41083-2024</t>
        </is>
      </c>
      <c r="B1192" t="inlineStr">
        <is>
          <t>avverkningsanmälan</t>
        </is>
      </c>
      <c r="C1192" t="inlineStr">
        <is>
          <t>Avverkning för att bevara och utveckla /försöksver</t>
        </is>
      </c>
      <c r="D1192" s="1" t="n">
        <v>45559</v>
      </c>
      <c r="E1192" s="1" t="n">
        <v>46228</v>
      </c>
      <c r="F1192" t="inlineStr">
        <is>
          <t>VÄSTERNORRLANDS LÄN</t>
        </is>
      </c>
      <c r="G1192" t="inlineStr">
        <is>
          <t>ÅNGE</t>
        </is>
      </c>
      <c r="H1192" t="inlineStr">
        <is>
          <t>SCA</t>
        </is>
      </c>
      <c r="I1192" t="n">
        <v>8.4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25528-2026</t>
        </is>
      </c>
      <c r="B1193" t="inlineStr">
        <is>
          <t>avverkningsanmälan</t>
        </is>
      </c>
      <c r="C1193" t="inlineStr">
        <is>
          <t>Föryngringsavverkning</t>
        </is>
      </c>
      <c r="D1193" s="1" t="n">
        <v>46177</v>
      </c>
      <c r="E1193" s="1" t="n">
        <v>46228</v>
      </c>
      <c r="F1193" t="inlineStr">
        <is>
          <t>VÄSTERNORRLANDS LÄN</t>
        </is>
      </c>
      <c r="G1193" t="inlineStr">
        <is>
          <t>ÅNGE</t>
        </is>
      </c>
      <c r="H1193" t="inlineStr">
        <is>
          <t>SCA</t>
        </is>
      </c>
      <c r="I1193" t="n">
        <v>12.8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25530-2026</t>
        </is>
      </c>
      <c r="B1194" t="inlineStr">
        <is>
          <t>avverkningsanmälan</t>
        </is>
      </c>
      <c r="C1194" t="inlineStr">
        <is>
          <t>Föryngringsavverkning</t>
        </is>
      </c>
      <c r="D1194" s="1" t="n">
        <v>46177</v>
      </c>
      <c r="E1194" s="1" t="n">
        <v>46228</v>
      </c>
      <c r="F1194" t="inlineStr">
        <is>
          <t>VÄSTERNORRLANDS LÄN</t>
        </is>
      </c>
      <c r="G1194" t="inlineStr">
        <is>
          <t>ÅNGE</t>
        </is>
      </c>
      <c r="H1194" t="inlineStr">
        <is>
          <t>SCA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18144-2026</t>
        </is>
      </c>
      <c r="B1195" t="inlineStr">
        <is>
          <t>avverkningsanmälan</t>
        </is>
      </c>
      <c r="C1195" t="inlineStr">
        <is>
          <t>Föryngringsavverkning</t>
        </is>
      </c>
      <c r="D1195" s="1" t="n">
        <v>46125</v>
      </c>
      <c r="E1195" s="1" t="n">
        <v>46228</v>
      </c>
      <c r="F1195" t="inlineStr">
        <is>
          <t>VÄSTERNORRLANDS LÄN</t>
        </is>
      </c>
      <c r="G1195" t="inlineStr">
        <is>
          <t>ÅNGE</t>
        </is>
      </c>
      <c r="H1195" t="inlineStr">
        <is>
          <t>SCA</t>
        </is>
      </c>
      <c r="I1195" t="n">
        <v>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30762-2026</t>
        </is>
      </c>
      <c r="B1196" t="inlineStr">
        <is>
          <t>avverkningsanmälan</t>
        </is>
      </c>
      <c r="C1196" t="inlineStr">
        <is>
          <t>Föryngringsavverkning</t>
        </is>
      </c>
      <c r="D1196" s="1" t="n">
        <v>46212</v>
      </c>
      <c r="E1196" s="1" t="n">
        <v>46228</v>
      </c>
      <c r="F1196" t="inlineStr">
        <is>
          <t>VÄSTERNORRLANDS LÄN</t>
        </is>
      </c>
      <c r="G1196" t="inlineStr">
        <is>
          <t>ÅNGE</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18212-2026</t>
        </is>
      </c>
      <c r="B1197" t="inlineStr">
        <is>
          <t>avverkningsanmälan</t>
        </is>
      </c>
      <c r="C1197" t="inlineStr">
        <is>
          <t>Föryngringsavverkning</t>
        </is>
      </c>
      <c r="D1197" s="1" t="n">
        <v>46126</v>
      </c>
      <c r="E1197" s="1" t="n">
        <v>46228</v>
      </c>
      <c r="F1197" t="inlineStr">
        <is>
          <t>VÄSTERNORRLANDS LÄN</t>
        </is>
      </c>
      <c r="G1197" t="inlineStr">
        <is>
          <t>ÅNGE</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25850-2026</t>
        </is>
      </c>
      <c r="B1198" t="inlineStr">
        <is>
          <t>avverkningsanmälan</t>
        </is>
      </c>
      <c r="C1198" t="inlineStr">
        <is>
          <t>Föryngringsavverkning</t>
        </is>
      </c>
      <c r="D1198" s="1" t="n">
        <v>46178</v>
      </c>
      <c r="E1198" s="1" t="n">
        <v>46228</v>
      </c>
      <c r="F1198" t="inlineStr">
        <is>
          <t>VÄSTERNORRLANDS LÄN</t>
        </is>
      </c>
      <c r="G1198" t="inlineStr">
        <is>
          <t>ÅNGE</t>
        </is>
      </c>
      <c r="H1198" t="inlineStr">
        <is>
          <t>SCA</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25851-2026</t>
        </is>
      </c>
      <c r="B1199" t="inlineStr">
        <is>
          <t>avverkningsanmälan</t>
        </is>
      </c>
      <c r="C1199" t="inlineStr">
        <is>
          <t>Föryngringsavverkning</t>
        </is>
      </c>
      <c r="D1199" s="1" t="n">
        <v>46178</v>
      </c>
      <c r="E1199" s="1" t="n">
        <v>46228</v>
      </c>
      <c r="F1199" t="inlineStr">
        <is>
          <t>VÄSTERNORRLANDS LÄN</t>
        </is>
      </c>
      <c r="G1199" t="inlineStr">
        <is>
          <t>ÅNGE</t>
        </is>
      </c>
      <c r="H1199" t="inlineStr">
        <is>
          <t>SCA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25853-2026</t>
        </is>
      </c>
      <c r="B1200" t="inlineStr">
        <is>
          <t>avverkningsanmälan</t>
        </is>
      </c>
      <c r="C1200" t="inlineStr">
        <is>
          <t>Föryngringsavverkning</t>
        </is>
      </c>
      <c r="D1200" s="1" t="n">
        <v>46178</v>
      </c>
      <c r="E1200" s="1" t="n">
        <v>46228</v>
      </c>
      <c r="F1200" t="inlineStr">
        <is>
          <t>VÄSTERNORRLANDS LÄN</t>
        </is>
      </c>
      <c r="G1200" t="inlineStr">
        <is>
          <t>ÅNGE</t>
        </is>
      </c>
      <c r="H1200" t="inlineStr">
        <is>
          <t>SCA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18647-2026</t>
        </is>
      </c>
      <c r="B1201" t="inlineStr">
        <is>
          <t>avverkningsanmälan</t>
        </is>
      </c>
      <c r="C1201" t="inlineStr">
        <is>
          <t>Föryngringsavverkning</t>
        </is>
      </c>
      <c r="D1201" s="1" t="n">
        <v>46128</v>
      </c>
      <c r="E1201" s="1" t="n">
        <v>46228</v>
      </c>
      <c r="F1201" t="inlineStr">
        <is>
          <t>VÄSTERNORRLANDS LÄN</t>
        </is>
      </c>
      <c r="G1201" t="inlineStr">
        <is>
          <t>ÅNGE</t>
        </is>
      </c>
      <c r="H1201" t="inlineStr">
        <is>
          <t>SCA</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18648-2026</t>
        </is>
      </c>
      <c r="B1202" t="inlineStr">
        <is>
          <t>avverkningsanmälan</t>
        </is>
      </c>
      <c r="C1202" t="inlineStr">
        <is>
          <t>Föryngringsavverkning</t>
        </is>
      </c>
      <c r="D1202" s="1" t="n">
        <v>46128</v>
      </c>
      <c r="E1202" s="1" t="n">
        <v>46228</v>
      </c>
      <c r="F1202" t="inlineStr">
        <is>
          <t>VÄSTERNORRLANDS LÄN</t>
        </is>
      </c>
      <c r="G1202" t="inlineStr">
        <is>
          <t>ÅNGE</t>
        </is>
      </c>
      <c r="H1202" t="inlineStr">
        <is>
          <t>SCA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18975-2026</t>
        </is>
      </c>
      <c r="B1203" t="inlineStr">
        <is>
          <t>avverkningsanmälan</t>
        </is>
      </c>
      <c r="C1203" t="inlineStr">
        <is>
          <t>Föryngringsavverkning</t>
        </is>
      </c>
      <c r="D1203" s="1" t="n">
        <v>46129</v>
      </c>
      <c r="E1203" s="1" t="n">
        <v>46228</v>
      </c>
      <c r="F1203" t="inlineStr">
        <is>
          <t>VÄSTERNORRLANDS LÄN</t>
        </is>
      </c>
      <c r="G1203" t="inlineStr">
        <is>
          <t>ÅNGE</t>
        </is>
      </c>
      <c r="H1203" t="inlineStr">
        <is>
          <t>SCA</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41507-2024</t>
        </is>
      </c>
      <c r="B1204" t="inlineStr">
        <is>
          <t>avverkningsanmälan</t>
        </is>
      </c>
      <c r="C1204" t="inlineStr">
        <is>
          <t>Föryngringsavverkning</t>
        </is>
      </c>
      <c r="D1204" s="1" t="n">
        <v>45560</v>
      </c>
      <c r="E1204" s="1" t="n">
        <v>46228</v>
      </c>
      <c r="F1204" t="inlineStr">
        <is>
          <t>VÄSTERNORRLANDS LÄN</t>
        </is>
      </c>
      <c r="G1204" t="inlineStr">
        <is>
          <t>ÅNGE</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26019-2024</t>
        </is>
      </c>
      <c r="B1205" t="inlineStr">
        <is>
          <t>avverkningsanmälan</t>
        </is>
      </c>
      <c r="C1205" t="inlineStr">
        <is>
          <t>Föryngringsavverkning</t>
        </is>
      </c>
      <c r="D1205" s="1" t="n">
        <v>45467</v>
      </c>
      <c r="E1205" s="1" t="n">
        <v>46228</v>
      </c>
      <c r="F1205" t="inlineStr">
        <is>
          <t>VÄSTERNORRLANDS LÄN</t>
        </is>
      </c>
      <c r="G1205" t="inlineStr">
        <is>
          <t>ÅNGE</t>
        </is>
      </c>
      <c r="H1205" t="inlineStr">
        <is>
          <t>SCA</t>
        </is>
      </c>
      <c r="I1205" t="n">
        <v>7.5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8747-2022</t>
        </is>
      </c>
      <c r="B1206" t="inlineStr">
        <is>
          <t>avverkningsanmälan</t>
        </is>
      </c>
      <c r="C1206" t="inlineStr">
        <is>
          <t>Föryngringsavverkning</t>
        </is>
      </c>
      <c r="D1206" s="1" t="n">
        <v>44614</v>
      </c>
      <c r="E1206" s="1" t="n">
        <v>46228</v>
      </c>
      <c r="F1206" t="inlineStr">
        <is>
          <t>VÄSTERNORRLANDS LÄN</t>
        </is>
      </c>
      <c r="G1206" t="inlineStr">
        <is>
          <t>ÅNGE</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8755-2022</t>
        </is>
      </c>
      <c r="B1207" t="inlineStr">
        <is>
          <t>avverkningsanmälan</t>
        </is>
      </c>
      <c r="C1207" t="inlineStr">
        <is>
          <t>Föryngringsavverkning</t>
        </is>
      </c>
      <c r="D1207" s="1" t="n">
        <v>44614</v>
      </c>
      <c r="E1207" s="1" t="n">
        <v>46228</v>
      </c>
      <c r="F1207" t="inlineStr">
        <is>
          <t>VÄSTERNORRLANDS LÄN</t>
        </is>
      </c>
      <c r="G1207" t="inlineStr">
        <is>
          <t>ÅNGE</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18573-2026</t>
        </is>
      </c>
      <c r="B1208" t="inlineStr">
        <is>
          <t>avverkningsanmälan</t>
        </is>
      </c>
      <c r="C1208" t="inlineStr">
        <is>
          <t>Föryngringsavverkning</t>
        </is>
      </c>
      <c r="D1208" s="1" t="n">
        <v>46127</v>
      </c>
      <c r="E1208" s="1" t="n">
        <v>46228</v>
      </c>
      <c r="F1208" t="inlineStr">
        <is>
          <t>VÄSTERNORRLANDS LÄN</t>
        </is>
      </c>
      <c r="G1208" t="inlineStr">
        <is>
          <t>ÅNGE</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3327-2025</t>
        </is>
      </c>
      <c r="B1209" t="inlineStr">
        <is>
          <t>avverkningsanmälan</t>
        </is>
      </c>
      <c r="C1209" t="inlineStr">
        <is>
          <t>Föryngringsavverkning</t>
        </is>
      </c>
      <c r="D1209" s="1" t="n">
        <v>45679</v>
      </c>
      <c r="E1209" s="1" t="n">
        <v>46228</v>
      </c>
      <c r="F1209" t="inlineStr">
        <is>
          <t>VÄSTERNORRLANDS LÄN</t>
        </is>
      </c>
      <c r="G1209" t="inlineStr">
        <is>
          <t>ÅNGE</t>
        </is>
      </c>
      <c r="H1209" t="inlineStr">
        <is>
          <t>SCA</t>
        </is>
      </c>
      <c r="I1209" t="n">
        <v>12.9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26267-2026</t>
        </is>
      </c>
      <c r="B1210" t="inlineStr">
        <is>
          <t>avverkningsanmälan</t>
        </is>
      </c>
      <c r="C1210" t="inlineStr">
        <is>
          <t>Föryngringsavverkning</t>
        </is>
      </c>
      <c r="D1210" s="1" t="n">
        <v>46182</v>
      </c>
      <c r="E1210" s="1" t="n">
        <v>46228</v>
      </c>
      <c r="F1210" t="inlineStr">
        <is>
          <t>VÄSTERNORRLANDS LÄN</t>
        </is>
      </c>
      <c r="G1210" t="inlineStr">
        <is>
          <t>ÅNGE</t>
        </is>
      </c>
      <c r="H1210" t="inlineStr">
        <is>
          <t>SCA</t>
        </is>
      </c>
      <c r="I1210" t="n">
        <v>17.4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18551-2026</t>
        </is>
      </c>
      <c r="B1211" t="inlineStr">
        <is>
          <t>avverkningsanmälan</t>
        </is>
      </c>
      <c r="C1211" t="inlineStr">
        <is>
          <t>Föryngringsavverkning</t>
        </is>
      </c>
      <c r="D1211" s="1" t="n">
        <v>46127</v>
      </c>
      <c r="E1211" s="1" t="n">
        <v>46228</v>
      </c>
      <c r="F1211" t="inlineStr">
        <is>
          <t>VÄSTERNORRLANDS LÄN</t>
        </is>
      </c>
      <c r="G1211" t="inlineStr">
        <is>
          <t>ÅNGE</t>
        </is>
      </c>
      <c r="H1211" t="inlineStr">
        <is>
          <t>SCA</t>
        </is>
      </c>
      <c r="I1211" t="n">
        <v>11.1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18852-2026</t>
        </is>
      </c>
      <c r="B1212" t="inlineStr">
        <is>
          <t>avverkningsanmälan</t>
        </is>
      </c>
      <c r="C1212" t="inlineStr">
        <is>
          <t>Föryngringsavverkning</t>
        </is>
      </c>
      <c r="D1212" s="1" t="n">
        <v>46129</v>
      </c>
      <c r="E1212" s="1" t="n">
        <v>46228</v>
      </c>
      <c r="F1212" t="inlineStr">
        <is>
          <t>VÄSTERNORRLANDS LÄN</t>
        </is>
      </c>
      <c r="G1212" t="inlineStr">
        <is>
          <t>ÅNGE</t>
        </is>
      </c>
      <c r="H1212" t="inlineStr">
        <is>
          <t>SCA</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19021-2026</t>
        </is>
      </c>
      <c r="B1213" t="inlineStr">
        <is>
          <t>avverkningsanmälan</t>
        </is>
      </c>
      <c r="C1213" t="inlineStr">
        <is>
          <t>Föryngringsavverkning</t>
        </is>
      </c>
      <c r="D1213" s="1" t="n">
        <v>46131</v>
      </c>
      <c r="E1213" s="1" t="n">
        <v>46228</v>
      </c>
      <c r="F1213" t="inlineStr">
        <is>
          <t>VÄSTERNORRLANDS LÄN</t>
        </is>
      </c>
      <c r="G1213" t="inlineStr">
        <is>
          <t>ÅNGE</t>
        </is>
      </c>
      <c r="H1213" t="inlineStr">
        <is>
          <t>SCA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6690-2024</t>
        </is>
      </c>
      <c r="B1214" t="inlineStr">
        <is>
          <t>avverkningsanmälan</t>
        </is>
      </c>
      <c r="C1214" t="inlineStr">
        <is>
          <t>Föryngringsavverkning</t>
        </is>
      </c>
      <c r="D1214" s="1" t="n">
        <v>45341</v>
      </c>
      <c r="E1214" s="1" t="n">
        <v>46228</v>
      </c>
      <c r="F1214" t="inlineStr">
        <is>
          <t>VÄSTERNORRLANDS LÄN</t>
        </is>
      </c>
      <c r="G1214" t="inlineStr">
        <is>
          <t>ÅNGE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19214-2026</t>
        </is>
      </c>
      <c r="B1215" t="inlineStr">
        <is>
          <t>avverkningsanmälan</t>
        </is>
      </c>
      <c r="C1215" t="inlineStr">
        <is>
          <t>Föryngringsavverkning</t>
        </is>
      </c>
      <c r="D1215" s="1" t="n">
        <v>46132</v>
      </c>
      <c r="E1215" s="1" t="n">
        <v>46228</v>
      </c>
      <c r="F1215" t="inlineStr">
        <is>
          <t>VÄSTERNORRLANDS LÄN</t>
        </is>
      </c>
      <c r="G1215" t="inlineStr">
        <is>
          <t>ÅNGE</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64375-2023</t>
        </is>
      </c>
      <c r="B1216" t="inlineStr">
        <is>
          <t>avverkningsanmälan</t>
        </is>
      </c>
      <c r="C1216" t="inlineStr">
        <is>
          <t>Föryngringsavverkning</t>
        </is>
      </c>
      <c r="D1216" s="1" t="n">
        <v>45280</v>
      </c>
      <c r="E1216" s="1" t="n">
        <v>46228</v>
      </c>
      <c r="F1216" t="inlineStr">
        <is>
          <t>VÄSTERNORRLANDS LÄN</t>
        </is>
      </c>
      <c r="G1216" t="inlineStr">
        <is>
          <t>ÅNGE</t>
        </is>
      </c>
      <c r="I1216" t="n">
        <v>7.5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1235-2023</t>
        </is>
      </c>
      <c r="B1217" t="inlineStr">
        <is>
          <t>avverkningsanmälan</t>
        </is>
      </c>
      <c r="C1217" t="inlineStr">
        <is>
          <t>Föryngringsavverkning</t>
        </is>
      </c>
      <c r="D1217" s="1" t="n">
        <v>44935</v>
      </c>
      <c r="E1217" s="1" t="n">
        <v>46228</v>
      </c>
      <c r="F1217" t="inlineStr">
        <is>
          <t>VÄSTERNORRLANDS LÄN</t>
        </is>
      </c>
      <c r="G1217" t="inlineStr">
        <is>
          <t>ÅNGE</t>
        </is>
      </c>
      <c r="H1217" t="inlineStr">
        <is>
          <t>SCA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19212-2026</t>
        </is>
      </c>
      <c r="B1218" t="inlineStr">
        <is>
          <t>avverkningsanmälan</t>
        </is>
      </c>
      <c r="C1218" t="inlineStr">
        <is>
          <t>Föryngringsavverkning</t>
        </is>
      </c>
      <c r="D1218" s="1" t="n">
        <v>46132</v>
      </c>
      <c r="E1218" s="1" t="n">
        <v>46228</v>
      </c>
      <c r="F1218" t="inlineStr">
        <is>
          <t>VÄSTERNORRLANDS LÄN</t>
        </is>
      </c>
      <c r="G1218" t="inlineStr">
        <is>
          <t>ÅNGE</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19437-2026</t>
        </is>
      </c>
      <c r="B1219" t="inlineStr">
        <is>
          <t>avverkningsanmälan</t>
        </is>
      </c>
      <c r="C1219" t="inlineStr">
        <is>
          <t>Föryngringsavverkning</t>
        </is>
      </c>
      <c r="D1219" s="1" t="n">
        <v>46133</v>
      </c>
      <c r="E1219" s="1" t="n">
        <v>46228</v>
      </c>
      <c r="F1219" t="inlineStr">
        <is>
          <t>VÄSTERNORRLANDS LÄN</t>
        </is>
      </c>
      <c r="G1219" t="inlineStr">
        <is>
          <t>ÅNGE</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41302-2024</t>
        </is>
      </c>
      <c r="B1220" t="inlineStr">
        <is>
          <t>avverkningsanmälan</t>
        </is>
      </c>
      <c r="C1220" t="inlineStr">
        <is>
          <t>Föryngringsavverkning</t>
        </is>
      </c>
      <c r="D1220" s="1" t="n">
        <v>45559</v>
      </c>
      <c r="E1220" s="1" t="n">
        <v>46228</v>
      </c>
      <c r="F1220" t="inlineStr">
        <is>
          <t>VÄSTERNORRLANDS LÄN</t>
        </is>
      </c>
      <c r="G1220" t="inlineStr">
        <is>
          <t>ÅNGE</t>
        </is>
      </c>
      <c r="H1220" t="inlineStr">
        <is>
          <t>Holmen skog AB</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19204-2026</t>
        </is>
      </c>
      <c r="B1221" t="inlineStr">
        <is>
          <t>avverkningsanmälan</t>
        </is>
      </c>
      <c r="C1221" t="inlineStr">
        <is>
          <t>Föryngringsavverkning</t>
        </is>
      </c>
      <c r="D1221" s="1" t="n">
        <v>46132</v>
      </c>
      <c r="E1221" s="1" t="n">
        <v>46228</v>
      </c>
      <c r="F1221" t="inlineStr">
        <is>
          <t>VÄSTERNORRLANDS LÄN</t>
        </is>
      </c>
      <c r="G1221" t="inlineStr">
        <is>
          <t>ÅNGE</t>
        </is>
      </c>
      <c r="H1221" t="inlineStr">
        <is>
          <t>SCA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19209-2026</t>
        </is>
      </c>
      <c r="B1222" t="inlineStr">
        <is>
          <t>avverkningsanmälan</t>
        </is>
      </c>
      <c r="C1222" t="inlineStr">
        <is>
          <t>Föryngringsavverkning</t>
        </is>
      </c>
      <c r="D1222" s="1" t="n">
        <v>46132</v>
      </c>
      <c r="E1222" s="1" t="n">
        <v>46228</v>
      </c>
      <c r="F1222" t="inlineStr">
        <is>
          <t>VÄSTERNORRLANDS LÄN</t>
        </is>
      </c>
      <c r="G1222" t="inlineStr">
        <is>
          <t>ÅNGE</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43366-2024</t>
        </is>
      </c>
      <c r="B1223" t="inlineStr">
        <is>
          <t>avverkningsanmälan</t>
        </is>
      </c>
      <c r="C1223" t="inlineStr">
        <is>
          <t>Avverkning för annat ändamål</t>
        </is>
      </c>
      <c r="D1223" s="1" t="n">
        <v>45568</v>
      </c>
      <c r="E1223" s="1" t="n">
        <v>46228</v>
      </c>
      <c r="F1223" t="inlineStr">
        <is>
          <t>VÄSTERNORRLANDS LÄN</t>
        </is>
      </c>
      <c r="G1223" t="inlineStr">
        <is>
          <t>ÅNGE</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35577-2024</t>
        </is>
      </c>
      <c r="B1224" t="inlineStr">
        <is>
          <t>avverkningsanmälan</t>
        </is>
      </c>
      <c r="C1224" t="inlineStr">
        <is>
          <t>Föryngringsavverkning</t>
        </is>
      </c>
      <c r="D1224" s="1" t="n">
        <v>45531</v>
      </c>
      <c r="E1224" s="1" t="n">
        <v>46228</v>
      </c>
      <c r="F1224" t="inlineStr">
        <is>
          <t>VÄSTERNORRLANDS LÄN</t>
        </is>
      </c>
      <c r="G1224" t="inlineStr">
        <is>
          <t>ÅNGE</t>
        </is>
      </c>
      <c r="H1224" t="inlineStr">
        <is>
          <t>SCA</t>
        </is>
      </c>
      <c r="I1224" t="n">
        <v>0.1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28428-2023</t>
        </is>
      </c>
      <c r="B1225" t="inlineStr">
        <is>
          <t>avverkningsanmälan</t>
        </is>
      </c>
      <c r="C1225" t="inlineStr">
        <is>
          <t>Föryngringsavverkning</t>
        </is>
      </c>
      <c r="D1225" s="1" t="n">
        <v>45102</v>
      </c>
      <c r="E1225" s="1" t="n">
        <v>46228</v>
      </c>
      <c r="F1225" t="inlineStr">
        <is>
          <t>VÄSTERNORRLANDS LÄN</t>
        </is>
      </c>
      <c r="G1225" t="inlineStr">
        <is>
          <t>ÅNGE</t>
        </is>
      </c>
      <c r="H1225" t="inlineStr">
        <is>
          <t>Kyrkan</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20083-2026</t>
        </is>
      </c>
      <c r="B1226" t="inlineStr">
        <is>
          <t>avverkningsanmälan</t>
        </is>
      </c>
      <c r="C1226" t="inlineStr">
        <is>
          <t>Föryngringsavverkning</t>
        </is>
      </c>
      <c r="D1226" s="1" t="n">
        <v>46135</v>
      </c>
      <c r="E1226" s="1" t="n">
        <v>46228</v>
      </c>
      <c r="F1226" t="inlineStr">
        <is>
          <t>VÄSTERNORRLANDS LÄN</t>
        </is>
      </c>
      <c r="G1226" t="inlineStr">
        <is>
          <t>ÅNGE</t>
        </is>
      </c>
      <c r="I1226" t="n">
        <v>4.5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19689-2026</t>
        </is>
      </c>
      <c r="B1227" t="inlineStr">
        <is>
          <t>avverkningsanmälan</t>
        </is>
      </c>
      <c r="C1227" t="inlineStr">
        <is>
          <t>Föryngringsavverkning</t>
        </is>
      </c>
      <c r="D1227" s="1" t="n">
        <v>46134</v>
      </c>
      <c r="E1227" s="1" t="n">
        <v>46228</v>
      </c>
      <c r="F1227" t="inlineStr">
        <is>
          <t>VÄSTERNORRLANDS LÄN</t>
        </is>
      </c>
      <c r="G1227" t="inlineStr">
        <is>
          <t>ÅNGE</t>
        </is>
      </c>
      <c r="H1227" t="inlineStr">
        <is>
          <t>SCA</t>
        </is>
      </c>
      <c r="I1227" t="n">
        <v>28.5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19875-2026</t>
        </is>
      </c>
      <c r="B1228" t="inlineStr">
        <is>
          <t>avverkningsanmälan</t>
        </is>
      </c>
      <c r="C1228" t="inlineStr">
        <is>
          <t>Föryngringsavverkning</t>
        </is>
      </c>
      <c r="D1228" s="1" t="n">
        <v>46135</v>
      </c>
      <c r="E1228" s="1" t="n">
        <v>46228</v>
      </c>
      <c r="F1228" t="inlineStr">
        <is>
          <t>VÄSTERNORRLANDS LÄN</t>
        </is>
      </c>
      <c r="G1228" t="inlineStr">
        <is>
          <t>ÅNGE</t>
        </is>
      </c>
      <c r="H1228" t="inlineStr">
        <is>
          <t>SCA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31602-2026</t>
        </is>
      </c>
      <c r="B1229" t="inlineStr">
        <is>
          <t>avverkningsanmälan</t>
        </is>
      </c>
      <c r="C1229" t="inlineStr">
        <is>
          <t>Föryngringsavverkning</t>
        </is>
      </c>
      <c r="D1229" s="1" t="n">
        <v>46224</v>
      </c>
      <c r="E1229" s="1" t="n">
        <v>46228</v>
      </c>
      <c r="F1229" t="inlineStr">
        <is>
          <t>VÄSTERNORRLANDS LÄN</t>
        </is>
      </c>
      <c r="G1229" t="inlineStr">
        <is>
          <t>ÅNGE</t>
        </is>
      </c>
      <c r="H1229" t="inlineStr">
        <is>
          <t>SCA</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19817-2026</t>
        </is>
      </c>
      <c r="B1230" t="inlineStr">
        <is>
          <t>avverkningsanmälan</t>
        </is>
      </c>
      <c r="C1230" t="inlineStr">
        <is>
          <t>Föryngringsavverkning</t>
        </is>
      </c>
      <c r="D1230" s="1" t="n">
        <v>46135</v>
      </c>
      <c r="E1230" s="1" t="n">
        <v>46228</v>
      </c>
      <c r="F1230" t="inlineStr">
        <is>
          <t>VÄSTERNORRLANDS LÄN</t>
        </is>
      </c>
      <c r="G1230" t="inlineStr">
        <is>
          <t>ÅNGE</t>
        </is>
      </c>
      <c r="H1230" t="inlineStr">
        <is>
          <t>SCA</t>
        </is>
      </c>
      <c r="I1230" t="n">
        <v>11.2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19668-2026</t>
        </is>
      </c>
      <c r="B1231" t="inlineStr">
        <is>
          <t>avverkningsanmälan</t>
        </is>
      </c>
      <c r="C1231" t="inlineStr">
        <is>
          <t>Föryngringsavverkning</t>
        </is>
      </c>
      <c r="D1231" s="1" t="n">
        <v>46134</v>
      </c>
      <c r="E1231" s="1" t="n">
        <v>46228</v>
      </c>
      <c r="F1231" t="inlineStr">
        <is>
          <t>VÄSTERNORRLANDS LÄN</t>
        </is>
      </c>
      <c r="G1231" t="inlineStr">
        <is>
          <t>ÅNGE</t>
        </is>
      </c>
      <c r="H1231" t="inlineStr">
        <is>
          <t>SCA</t>
        </is>
      </c>
      <c r="I1231" t="n">
        <v>5.2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19691-2026</t>
        </is>
      </c>
      <c r="B1232" t="inlineStr">
        <is>
          <t>avverkningsanmälan</t>
        </is>
      </c>
      <c r="C1232" t="inlineStr">
        <is>
          <t>Föryngringsavverkning</t>
        </is>
      </c>
      <c r="D1232" s="1" t="n">
        <v>46134</v>
      </c>
      <c r="E1232" s="1" t="n">
        <v>46228</v>
      </c>
      <c r="F1232" t="inlineStr">
        <is>
          <t>VÄSTERNORRLANDS LÄN</t>
        </is>
      </c>
      <c r="G1232" t="inlineStr">
        <is>
          <t>ÅNGE</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59986-2021</t>
        </is>
      </c>
      <c r="B1233" t="inlineStr">
        <is>
          <t>avverkningsanmälan</t>
        </is>
      </c>
      <c r="C1233" t="inlineStr">
        <is>
          <t>Föryngringsavverkning</t>
        </is>
      </c>
      <c r="D1233" s="1" t="n">
        <v>44494</v>
      </c>
      <c r="E1233" s="1" t="n">
        <v>46228</v>
      </c>
      <c r="F1233" t="inlineStr">
        <is>
          <t>VÄSTERNORRLANDS LÄN</t>
        </is>
      </c>
      <c r="G1233" t="inlineStr">
        <is>
          <t>ÅNGE</t>
        </is>
      </c>
      <c r="H1233" t="inlineStr">
        <is>
          <t>SCA</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31758-2026</t>
        </is>
      </c>
      <c r="B1234" t="inlineStr">
        <is>
          <t>avverkningsanmälan</t>
        </is>
      </c>
      <c r="C1234" t="inlineStr">
        <is>
          <t>Föryngringsavverkning</t>
        </is>
      </c>
      <c r="D1234" s="1" t="n">
        <v>46227</v>
      </c>
      <c r="E1234" s="1" t="n">
        <v>46228</v>
      </c>
      <c r="F1234" t="inlineStr">
        <is>
          <t>VÄSTERNORRLANDS LÄN</t>
        </is>
      </c>
      <c r="G1234" t="inlineStr">
        <is>
          <t>ÅNGE</t>
        </is>
      </c>
      <c r="H1234" t="inlineStr">
        <is>
          <t>SCA</t>
        </is>
      </c>
      <c r="I1234" t="n">
        <v>7.8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31670-2026</t>
        </is>
      </c>
      <c r="B1235" t="inlineStr">
        <is>
          <t>avverkningsanmälan</t>
        </is>
      </c>
      <c r="C1235" t="inlineStr">
        <is>
          <t>Föryngringsavverkning</t>
        </is>
      </c>
      <c r="D1235" s="1" t="n">
        <v>46225</v>
      </c>
      <c r="E1235" s="1" t="n">
        <v>46228</v>
      </c>
      <c r="F1235" t="inlineStr">
        <is>
          <t>VÄSTERNORRLANDS LÄN</t>
        </is>
      </c>
      <c r="G1235" t="inlineStr">
        <is>
          <t>ÅNGE</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50186-2021</t>
        </is>
      </c>
      <c r="B1236" t="inlineStr">
        <is>
          <t>avverkningsanmälan</t>
        </is>
      </c>
      <c r="C1236" t="inlineStr">
        <is>
          <t>Föryngringsavverkning</t>
        </is>
      </c>
      <c r="D1236" s="1" t="n">
        <v>44456</v>
      </c>
      <c r="E1236" s="1" t="n">
        <v>46228</v>
      </c>
      <c r="F1236" t="inlineStr">
        <is>
          <t>VÄSTERNORRLANDS LÄN</t>
        </is>
      </c>
      <c r="G1236" t="inlineStr">
        <is>
          <t>ÅNGE</t>
        </is>
      </c>
      <c r="H1236" t="inlineStr">
        <is>
          <t>SCA</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26507-2026</t>
        </is>
      </c>
      <c r="B1237" t="inlineStr">
        <is>
          <t>avverkningsanmälan</t>
        </is>
      </c>
      <c r="C1237" t="inlineStr">
        <is>
          <t>Föryngringsavverkning</t>
        </is>
      </c>
      <c r="D1237" s="1" t="n">
        <v>46183</v>
      </c>
      <c r="E1237" s="1" t="n">
        <v>46228</v>
      </c>
      <c r="F1237" t="inlineStr">
        <is>
          <t>VÄSTERNORRLANDS LÄN</t>
        </is>
      </c>
      <c r="G1237" t="inlineStr">
        <is>
          <t>ÅNGE</t>
        </is>
      </c>
      <c r="H1237" t="inlineStr">
        <is>
          <t>SCA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26590-2026</t>
        </is>
      </c>
      <c r="B1238" t="inlineStr">
        <is>
          <t>avverkningsanmälan</t>
        </is>
      </c>
      <c r="C1238" t="inlineStr">
        <is>
          <t>Föryngringsavverkning</t>
        </is>
      </c>
      <c r="D1238" s="1" t="n">
        <v>46183</v>
      </c>
      <c r="E1238" s="1" t="n">
        <v>46228</v>
      </c>
      <c r="F1238" t="inlineStr">
        <is>
          <t>VÄSTERNORRLANDS LÄN</t>
        </is>
      </c>
      <c r="G1238" t="inlineStr">
        <is>
          <t>ÅNGE</t>
        </is>
      </c>
      <c r="H1238" t="inlineStr">
        <is>
          <t>SCA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26717-2026</t>
        </is>
      </c>
      <c r="B1239" t="inlineStr">
        <is>
          <t>avverkningsanmälan</t>
        </is>
      </c>
      <c r="C1239" t="inlineStr">
        <is>
          <t>Föryngringsavverkning</t>
        </is>
      </c>
      <c r="D1239" s="1" t="n">
        <v>46184</v>
      </c>
      <c r="E1239" s="1" t="n">
        <v>46228</v>
      </c>
      <c r="F1239" t="inlineStr">
        <is>
          <t>VÄSTERNORRLANDS LÄN</t>
        </is>
      </c>
      <c r="G1239" t="inlineStr">
        <is>
          <t>ÅNGE</t>
        </is>
      </c>
      <c r="H1239" t="inlineStr">
        <is>
          <t>SCA</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35392-2024</t>
        </is>
      </c>
      <c r="B1240" t="inlineStr">
        <is>
          <t>avverkningsanmälan</t>
        </is>
      </c>
      <c r="C1240" t="inlineStr">
        <is>
          <t>Föryngringsavverkning</t>
        </is>
      </c>
      <c r="D1240" s="1" t="n">
        <v>45531</v>
      </c>
      <c r="E1240" s="1" t="n">
        <v>46228</v>
      </c>
      <c r="F1240" t="inlineStr">
        <is>
          <t>VÄSTERNORRLANDS LÄN</t>
        </is>
      </c>
      <c r="G1240" t="inlineStr">
        <is>
          <t>ÅNGE</t>
        </is>
      </c>
      <c r="H1240" t="inlineStr">
        <is>
          <t>SCA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26873-2026</t>
        </is>
      </c>
      <c r="B1241" t="inlineStr">
        <is>
          <t>avverkningsanmälan</t>
        </is>
      </c>
      <c r="C1241" t="inlineStr">
        <is>
          <t>Föryngringsavverkning</t>
        </is>
      </c>
      <c r="D1241" s="1" t="n">
        <v>46185</v>
      </c>
      <c r="E1241" s="1" t="n">
        <v>46228</v>
      </c>
      <c r="F1241" t="inlineStr">
        <is>
          <t>VÄSTERNORRLANDS LÄN</t>
        </is>
      </c>
      <c r="G1241" t="inlineStr">
        <is>
          <t>ÅNGE</t>
        </is>
      </c>
      <c r="H1241" t="inlineStr">
        <is>
          <t>SCA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26720-2026</t>
        </is>
      </c>
      <c r="B1242" t="inlineStr">
        <is>
          <t>avverkningsanmälan</t>
        </is>
      </c>
      <c r="C1242" t="inlineStr">
        <is>
          <t>Föryngringsavverkning</t>
        </is>
      </c>
      <c r="D1242" s="1" t="n">
        <v>46184</v>
      </c>
      <c r="E1242" s="1" t="n">
        <v>46228</v>
      </c>
      <c r="F1242" t="inlineStr">
        <is>
          <t>VÄSTERNORRLANDS LÄN</t>
        </is>
      </c>
      <c r="G1242" t="inlineStr">
        <is>
          <t>ÅNGE</t>
        </is>
      </c>
      <c r="H1242" t="inlineStr">
        <is>
          <t>SCA</t>
        </is>
      </c>
      <c r="I1242" t="n">
        <v>7.3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58634-2023</t>
        </is>
      </c>
      <c r="B1243" t="inlineStr">
        <is>
          <t>avverkningsanmälan</t>
        </is>
      </c>
      <c r="C1243" t="inlineStr">
        <is>
          <t>Föryngringsavverkning</t>
        </is>
      </c>
      <c r="D1243" s="1" t="n">
        <v>45251</v>
      </c>
      <c r="E1243" s="1" t="n">
        <v>46228</v>
      </c>
      <c r="F1243" t="inlineStr">
        <is>
          <t>VÄSTERNORRLANDS LÄN</t>
        </is>
      </c>
      <c r="G1243" t="inlineStr">
        <is>
          <t>ÅNGE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31707-2026</t>
        </is>
      </c>
      <c r="B1244" t="inlineStr">
        <is>
          <t>avverkningsanmälan</t>
        </is>
      </c>
      <c r="C1244" t="inlineStr">
        <is>
          <t>Föryngringsavverkning</t>
        </is>
      </c>
      <c r="D1244" s="1" t="n">
        <v>46226</v>
      </c>
      <c r="E1244" s="1" t="n">
        <v>46228</v>
      </c>
      <c r="F1244" t="inlineStr">
        <is>
          <t>VÄSTERNORRLANDS LÄN</t>
        </is>
      </c>
      <c r="G1244" t="inlineStr">
        <is>
          <t>ÅNGE</t>
        </is>
      </c>
      <c r="H1244" t="inlineStr">
        <is>
          <t>SCA</t>
        </is>
      </c>
      <c r="I1244" t="n">
        <v>11.8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57592-2022</t>
        </is>
      </c>
      <c r="B1245" t="inlineStr">
        <is>
          <t>avverkningsanmälan</t>
        </is>
      </c>
      <c r="C1245" t="inlineStr">
        <is>
          <t>Avverkning för att bevara och utveckla /försöksver</t>
        </is>
      </c>
      <c r="D1245" s="1" t="n">
        <v>44896</v>
      </c>
      <c r="E1245" s="1" t="n">
        <v>46228</v>
      </c>
      <c r="F1245" t="inlineStr">
        <is>
          <t>VÄSTERNORRLANDS LÄN</t>
        </is>
      </c>
      <c r="G1245" t="inlineStr">
        <is>
          <t>ÅNGE</t>
        </is>
      </c>
      <c r="H1245" t="inlineStr">
        <is>
          <t>SCA</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22680-2024</t>
        </is>
      </c>
      <c r="B1246" t="inlineStr">
        <is>
          <t>avverkningsanmälan</t>
        </is>
      </c>
      <c r="C1246" t="inlineStr">
        <is>
          <t>Föryngringsavverkning</t>
        </is>
      </c>
      <c r="D1246" s="1" t="n">
        <v>45447</v>
      </c>
      <c r="E1246" s="1" t="n">
        <v>46228</v>
      </c>
      <c r="F1246" t="inlineStr">
        <is>
          <t>VÄSTERNORRLANDS LÄN</t>
        </is>
      </c>
      <c r="G1246" t="inlineStr">
        <is>
          <t>ÅNGE</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18430-2025</t>
        </is>
      </c>
      <c r="B1247" t="inlineStr">
        <is>
          <t>avverkningsanmälan</t>
        </is>
      </c>
      <c r="C1247" t="inlineStr">
        <is>
          <t>Föryngringsavverkning</t>
        </is>
      </c>
      <c r="D1247" s="1" t="n">
        <v>45762</v>
      </c>
      <c r="E1247" s="1" t="n">
        <v>46228</v>
      </c>
      <c r="F1247" t="inlineStr">
        <is>
          <t>VÄSTERNORRLANDS LÄN</t>
        </is>
      </c>
      <c r="G1247" t="inlineStr">
        <is>
          <t>ÅNGE</t>
        </is>
      </c>
      <c r="H1247" t="inlineStr">
        <is>
          <t>SCA</t>
        </is>
      </c>
      <c r="I1247" t="n">
        <v>4.5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3624-2024</t>
        </is>
      </c>
      <c r="B1248" t="inlineStr">
        <is>
          <t>avverkningsanmälan</t>
        </is>
      </c>
      <c r="C1248" t="inlineStr">
        <is>
          <t>Föryngringsavverkning</t>
        </is>
      </c>
      <c r="D1248" s="1" t="n">
        <v>45320</v>
      </c>
      <c r="E1248" s="1" t="n">
        <v>46228</v>
      </c>
      <c r="F1248" t="inlineStr">
        <is>
          <t>VÄSTERNORRLANDS LÄN</t>
        </is>
      </c>
      <c r="G1248" t="inlineStr">
        <is>
          <t>ÅNGE</t>
        </is>
      </c>
      <c r="H1248" t="inlineStr">
        <is>
          <t>SCA</t>
        </is>
      </c>
      <c r="I1248" t="n">
        <v>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10922-2024</t>
        </is>
      </c>
      <c r="B1249" t="inlineStr">
        <is>
          <t>avverkningsanmälan</t>
        </is>
      </c>
      <c r="C1249" t="inlineStr">
        <is>
          <t>Föryngringsavverkning</t>
        </is>
      </c>
      <c r="D1249" s="1" t="n">
        <v>45370</v>
      </c>
      <c r="E1249" s="1" t="n">
        <v>46228</v>
      </c>
      <c r="F1249" t="inlineStr">
        <is>
          <t>VÄSTERNORRLANDS LÄN</t>
        </is>
      </c>
      <c r="G1249" t="inlineStr">
        <is>
          <t>ÅNGE</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46255-2023</t>
        </is>
      </c>
      <c r="B1250" t="inlineStr">
        <is>
          <t>avverkningsanmälan</t>
        </is>
      </c>
      <c r="C1250" t="inlineStr">
        <is>
          <t>Avverkning för annat ändamål</t>
        </is>
      </c>
      <c r="D1250" s="1" t="n">
        <v>45196</v>
      </c>
      <c r="E1250" s="1" t="n">
        <v>46228</v>
      </c>
      <c r="F1250" t="inlineStr">
        <is>
          <t>VÄSTERNORRLANDS LÄN</t>
        </is>
      </c>
      <c r="G1250" t="inlineStr">
        <is>
          <t>ÅNGE</t>
        </is>
      </c>
      <c r="H1250" t="inlineStr">
        <is>
          <t>SCA</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55197-2022</t>
        </is>
      </c>
      <c r="B1251" t="inlineStr">
        <is>
          <t>avverkningsanmälan</t>
        </is>
      </c>
      <c r="C1251" t="inlineStr">
        <is>
          <t>Föryngringsavverkning</t>
        </is>
      </c>
      <c r="D1251" s="1" t="n">
        <v>44886</v>
      </c>
      <c r="E1251" s="1" t="n">
        <v>46228</v>
      </c>
      <c r="F1251" t="inlineStr">
        <is>
          <t>VÄSTERNORRLANDS LÄN</t>
        </is>
      </c>
      <c r="G1251" t="inlineStr">
        <is>
          <t>ÅNGE</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18617-2024</t>
        </is>
      </c>
      <c r="B1252" t="inlineStr">
        <is>
          <t>avverkningsanmälan</t>
        </is>
      </c>
      <c r="C1252" t="inlineStr">
        <is>
          <t>Föryngringsavverkning</t>
        </is>
      </c>
      <c r="D1252" s="1" t="n">
        <v>45425</v>
      </c>
      <c r="E1252" s="1" t="n">
        <v>46228</v>
      </c>
      <c r="F1252" t="inlineStr">
        <is>
          <t>VÄSTERNORRLANDS LÄN</t>
        </is>
      </c>
      <c r="G1252" t="inlineStr">
        <is>
          <t>ÅNGE</t>
        </is>
      </c>
      <c r="H1252" t="inlineStr">
        <is>
          <t>SCA</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37540-2024</t>
        </is>
      </c>
      <c r="B1253" t="inlineStr">
        <is>
          <t>avverkningsanmälan</t>
        </is>
      </c>
      <c r="C1253" t="inlineStr">
        <is>
          <t>Föryngringsavverkning</t>
        </is>
      </c>
      <c r="D1253" s="1" t="n">
        <v>45541</v>
      </c>
      <c r="E1253" s="1" t="n">
        <v>46228</v>
      </c>
      <c r="F1253" t="inlineStr">
        <is>
          <t>VÄSTERNORRLANDS LÄN</t>
        </is>
      </c>
      <c r="G1253" t="inlineStr">
        <is>
          <t>ÅNGE</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42958-2024</t>
        </is>
      </c>
      <c r="B1254" t="inlineStr">
        <is>
          <t>avverkningsanmälan</t>
        </is>
      </c>
      <c r="C1254" t="inlineStr">
        <is>
          <t>Föryngringsavverkning</t>
        </is>
      </c>
      <c r="D1254" s="1" t="n">
        <v>45567</v>
      </c>
      <c r="E1254" s="1" t="n">
        <v>46228</v>
      </c>
      <c r="F1254" t="inlineStr">
        <is>
          <t>VÄSTERNORRLANDS LÄN</t>
        </is>
      </c>
      <c r="G1254" t="inlineStr">
        <is>
          <t>ÅNGE</t>
        </is>
      </c>
      <c r="H1254" t="inlineStr">
        <is>
          <t>SCA</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42969-2024</t>
        </is>
      </c>
      <c r="B1255" t="inlineStr">
        <is>
          <t>avverkningsanmälan</t>
        </is>
      </c>
      <c r="C1255" t="inlineStr">
        <is>
          <t>Föryngringsavverkning</t>
        </is>
      </c>
      <c r="D1255" s="1" t="n">
        <v>45567</v>
      </c>
      <c r="E1255" s="1" t="n">
        <v>46228</v>
      </c>
      <c r="F1255" t="inlineStr">
        <is>
          <t>VÄSTERNORRLANDS LÄN</t>
        </is>
      </c>
      <c r="G1255" t="inlineStr">
        <is>
          <t>ÅNGE</t>
        </is>
      </c>
      <c r="H1255" t="inlineStr">
        <is>
          <t>SCA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49502-2022</t>
        </is>
      </c>
      <c r="B1256" t="inlineStr">
        <is>
          <t>avverkningsanmälan</t>
        </is>
      </c>
      <c r="C1256" t="inlineStr">
        <is>
          <t>Föryngringsavverkning</t>
        </is>
      </c>
      <c r="D1256" s="1" t="n">
        <v>44861</v>
      </c>
      <c r="E1256" s="1" t="n">
        <v>46228</v>
      </c>
      <c r="F1256" t="inlineStr">
        <is>
          <t>VÄSTERNORRLANDS LÄN</t>
        </is>
      </c>
      <c r="G1256" t="inlineStr">
        <is>
          <t>ÅNGE</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38795-2023</t>
        </is>
      </c>
      <c r="B1257" t="inlineStr">
        <is>
          <t>avverkningsanmälan</t>
        </is>
      </c>
      <c r="C1257" t="inlineStr">
        <is>
          <t>Föryngringsavverkning</t>
        </is>
      </c>
      <c r="D1257" s="1" t="n">
        <v>45162</v>
      </c>
      <c r="E1257" s="1" t="n">
        <v>46228</v>
      </c>
      <c r="F1257" t="inlineStr">
        <is>
          <t>VÄSTERNORRLANDS LÄN</t>
        </is>
      </c>
      <c r="G1257" t="inlineStr">
        <is>
          <t>ÅNGE</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34649-2024</t>
        </is>
      </c>
      <c r="B1258" t="inlineStr">
        <is>
          <t>avverkningsanmälan</t>
        </is>
      </c>
      <c r="C1258" t="inlineStr">
        <is>
          <t>Föryngringsavverkning</t>
        </is>
      </c>
      <c r="D1258" s="1" t="n">
        <v>45526</v>
      </c>
      <c r="E1258" s="1" t="n">
        <v>46228</v>
      </c>
      <c r="F1258" t="inlineStr">
        <is>
          <t>VÄSTERNORRLANDS LÄN</t>
        </is>
      </c>
      <c r="G1258" t="inlineStr">
        <is>
          <t>ÅNGE</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13091-2024</t>
        </is>
      </c>
      <c r="B1259" t="inlineStr">
        <is>
          <t>avverkningsanmälan</t>
        </is>
      </c>
      <c r="C1259" t="inlineStr">
        <is>
          <t>Föryngringsavverkning</t>
        </is>
      </c>
      <c r="D1259" s="1" t="n">
        <v>45385</v>
      </c>
      <c r="E1259" s="1" t="n">
        <v>46228</v>
      </c>
      <c r="F1259" t="inlineStr">
        <is>
          <t>VÄSTERNORRLANDS LÄN</t>
        </is>
      </c>
      <c r="G1259" t="inlineStr">
        <is>
          <t>ÅNGE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50419-2022</t>
        </is>
      </c>
      <c r="B1260" t="inlineStr">
        <is>
          <t>avverkningsanmälan</t>
        </is>
      </c>
      <c r="C1260" t="inlineStr">
        <is>
          <t>Föryngringsavverkning</t>
        </is>
      </c>
      <c r="D1260" s="1" t="n">
        <v>44861</v>
      </c>
      <c r="E1260" s="1" t="n">
        <v>46228</v>
      </c>
      <c r="F1260" t="inlineStr">
        <is>
          <t>VÄSTERNORRLANDS LÄN</t>
        </is>
      </c>
      <c r="G1260" t="inlineStr">
        <is>
          <t>ÅNGE</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11088-2024</t>
        </is>
      </c>
      <c r="B1261" t="inlineStr">
        <is>
          <t>avverkningsanmälan</t>
        </is>
      </c>
      <c r="C1261" t="inlineStr">
        <is>
          <t>Föryngringsavverkning</t>
        </is>
      </c>
      <c r="D1261" s="1" t="n">
        <v>45370</v>
      </c>
      <c r="E1261" s="1" t="n">
        <v>46228</v>
      </c>
      <c r="F1261" t="inlineStr">
        <is>
          <t>VÄSTERNORRLANDS LÄN</t>
        </is>
      </c>
      <c r="G1261" t="inlineStr">
        <is>
          <t>ÅNGE</t>
        </is>
      </c>
      <c r="H1261" t="inlineStr">
        <is>
          <t>SCA</t>
        </is>
      </c>
      <c r="I1261" t="n">
        <v>9.300000000000001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13773-2024</t>
        </is>
      </c>
      <c r="B1262" t="inlineStr">
        <is>
          <t>avverkningsanmälan</t>
        </is>
      </c>
      <c r="C1262" t="inlineStr">
        <is>
          <t>Föryngringsavverkning</t>
        </is>
      </c>
      <c r="D1262" s="1" t="n">
        <v>45390</v>
      </c>
      <c r="E1262" s="1" t="n">
        <v>46228</v>
      </c>
      <c r="F1262" t="inlineStr">
        <is>
          <t>VÄSTERNORRLANDS LÄN</t>
        </is>
      </c>
      <c r="G1262" t="inlineStr">
        <is>
          <t>ÅNGE</t>
        </is>
      </c>
      <c r="H1262" t="inlineStr">
        <is>
          <t>SCA</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30348-2024</t>
        </is>
      </c>
      <c r="B1263" t="inlineStr">
        <is>
          <t>avverkningsanmälan</t>
        </is>
      </c>
      <c r="C1263" t="inlineStr">
        <is>
          <t>Föryngringsavverkning</t>
        </is>
      </c>
      <c r="D1263" s="1" t="n">
        <v>45490</v>
      </c>
      <c r="E1263" s="1" t="n">
        <v>46228</v>
      </c>
      <c r="F1263" t="inlineStr">
        <is>
          <t>VÄSTERNORRLANDS LÄN</t>
        </is>
      </c>
      <c r="G1263" t="inlineStr">
        <is>
          <t>ÅNGE</t>
        </is>
      </c>
      <c r="H1263" t="inlineStr">
        <is>
          <t>SCA</t>
        </is>
      </c>
      <c r="I1263" t="n">
        <v>3.4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54210-2024</t>
        </is>
      </c>
      <c r="B1264" t="inlineStr">
        <is>
          <t>avverkningsanmälan</t>
        </is>
      </c>
      <c r="C1264" t="inlineStr">
        <is>
          <t>Föryngringsavverkning</t>
        </is>
      </c>
      <c r="D1264" s="1" t="n">
        <v>45616</v>
      </c>
      <c r="E1264" s="1" t="n">
        <v>46228</v>
      </c>
      <c r="F1264" t="inlineStr">
        <is>
          <t>VÄSTERNORRLANDS LÄN</t>
        </is>
      </c>
      <c r="G1264" t="inlineStr">
        <is>
          <t>ÅNGE</t>
        </is>
      </c>
      <c r="H1264" t="inlineStr">
        <is>
          <t>SCA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5602-2025</t>
        </is>
      </c>
      <c r="B1265" t="inlineStr">
        <is>
          <t>avverkningsanmälan</t>
        </is>
      </c>
      <c r="C1265" t="inlineStr">
        <is>
          <t>Föryngringsavverkning</t>
        </is>
      </c>
      <c r="D1265" s="1" t="n">
        <v>45693</v>
      </c>
      <c r="E1265" s="1" t="n">
        <v>46228</v>
      </c>
      <c r="F1265" t="inlineStr">
        <is>
          <t>VÄSTERNORRLANDS LÄN</t>
        </is>
      </c>
      <c r="G1265" t="inlineStr">
        <is>
          <t>ÅNGE</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60578-2024</t>
        </is>
      </c>
      <c r="B1266" t="inlineStr">
        <is>
          <t>avverkningsanmälan</t>
        </is>
      </c>
      <c r="C1266" t="inlineStr">
        <is>
          <t>Avverkning för att bevara och utveckla /försöksver</t>
        </is>
      </c>
      <c r="D1266" s="1" t="n">
        <v>45644</v>
      </c>
      <c r="E1266" s="1" t="n">
        <v>46228</v>
      </c>
      <c r="F1266" t="inlineStr">
        <is>
          <t>VÄSTERNORRLANDS LÄN</t>
        </is>
      </c>
      <c r="G1266" t="inlineStr">
        <is>
          <t>ÅNGE</t>
        </is>
      </c>
      <c r="H1266" t="inlineStr">
        <is>
          <t>SCA</t>
        </is>
      </c>
      <c r="I1266" t="n">
        <v>5.8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33302-2024</t>
        </is>
      </c>
      <c r="B1267" t="inlineStr">
        <is>
          <t>avverkningsanmälan</t>
        </is>
      </c>
      <c r="C1267" t="inlineStr">
        <is>
          <t>Föryngringsavverkning</t>
        </is>
      </c>
      <c r="D1267" s="1" t="n">
        <v>45518</v>
      </c>
      <c r="E1267" s="1" t="n">
        <v>46228</v>
      </c>
      <c r="F1267" t="inlineStr">
        <is>
          <t>VÄSTERNORRLANDS LÄN</t>
        </is>
      </c>
      <c r="G1267" t="inlineStr">
        <is>
          <t>ÅNGE</t>
        </is>
      </c>
      <c r="H1267" t="inlineStr">
        <is>
          <t>SCA</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16593-2023</t>
        </is>
      </c>
      <c r="B1268" t="inlineStr">
        <is>
          <t>avverkningsanmälan</t>
        </is>
      </c>
      <c r="C1268" t="inlineStr">
        <is>
          <t>Avverkning för annat ändamål</t>
        </is>
      </c>
      <c r="D1268" s="1" t="n">
        <v>45030</v>
      </c>
      <c r="E1268" s="1" t="n">
        <v>46228</v>
      </c>
      <c r="F1268" t="inlineStr">
        <is>
          <t>VÄSTERNORRLANDS LÄN</t>
        </is>
      </c>
      <c r="G1268" t="inlineStr">
        <is>
          <t>ÅNGE</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16600-2023</t>
        </is>
      </c>
      <c r="B1269" t="inlineStr">
        <is>
          <t>avverkningsanmälan</t>
        </is>
      </c>
      <c r="C1269" t="inlineStr">
        <is>
          <t>Avverkning för annat ändamål</t>
        </is>
      </c>
      <c r="D1269" s="1" t="n">
        <v>45030</v>
      </c>
      <c r="E1269" s="1" t="n">
        <v>46228</v>
      </c>
      <c r="F1269" t="inlineStr">
        <is>
          <t>VÄSTERNORRLANDS LÄN</t>
        </is>
      </c>
      <c r="G1269" t="inlineStr">
        <is>
          <t>ÅNGE</t>
        </is>
      </c>
      <c r="I1269" t="n">
        <v>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10917-2024</t>
        </is>
      </c>
      <c r="B1270" t="inlineStr">
        <is>
          <t>avverkningsanmälan</t>
        </is>
      </c>
      <c r="C1270" t="inlineStr">
        <is>
          <t>Föryngringsavverkning</t>
        </is>
      </c>
      <c r="D1270" s="1" t="n">
        <v>45370</v>
      </c>
      <c r="E1270" s="1" t="n">
        <v>46228</v>
      </c>
      <c r="F1270" t="inlineStr">
        <is>
          <t>VÄSTERNORRLANDS LÄN</t>
        </is>
      </c>
      <c r="G1270" t="inlineStr">
        <is>
          <t>ÅNGE</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3022-2023</t>
        </is>
      </c>
      <c r="B1271" t="inlineStr">
        <is>
          <t>avverkningsanmälan</t>
        </is>
      </c>
      <c r="C1271" t="inlineStr">
        <is>
          <t>Avverkning för att bevara och utveckla /försöksver</t>
        </is>
      </c>
      <c r="D1271" s="1" t="n">
        <v>44945</v>
      </c>
      <c r="E1271" s="1" t="n">
        <v>46228</v>
      </c>
      <c r="F1271" t="inlineStr">
        <is>
          <t>VÄSTERNORRLANDS LÄN</t>
        </is>
      </c>
      <c r="G1271" t="inlineStr">
        <is>
          <t>ÅNGE</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34491-2023</t>
        </is>
      </c>
      <c r="B1272" t="inlineStr">
        <is>
          <t>avverkningsanmälan</t>
        </is>
      </c>
      <c r="C1272" t="inlineStr">
        <is>
          <t>Föryngringsavverkning</t>
        </is>
      </c>
      <c r="D1272" s="1" t="n">
        <v>45139</v>
      </c>
      <c r="E1272" s="1" t="n">
        <v>46228</v>
      </c>
      <c r="F1272" t="inlineStr">
        <is>
          <t>VÄSTERNORRLANDS LÄN</t>
        </is>
      </c>
      <c r="G1272" t="inlineStr">
        <is>
          <t>ÅNGE</t>
        </is>
      </c>
      <c r="H1272" t="inlineStr">
        <is>
          <t>SCA</t>
        </is>
      </c>
      <c r="I1272" t="n">
        <v>4.8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3947-2025</t>
        </is>
      </c>
      <c r="B1273" t="inlineStr">
        <is>
          <t>avverkningsanmälan</t>
        </is>
      </c>
      <c r="C1273" t="inlineStr">
        <is>
          <t>Föryngringsavverkning</t>
        </is>
      </c>
      <c r="D1273" s="1" t="n">
        <v>45684</v>
      </c>
      <c r="E1273" s="1" t="n">
        <v>46228</v>
      </c>
      <c r="F1273" t="inlineStr">
        <is>
          <t>VÄSTERNORRLANDS LÄN</t>
        </is>
      </c>
      <c r="G1273" t="inlineStr">
        <is>
          <t>ÅNGE</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65633-2021</t>
        </is>
      </c>
      <c r="B1274" t="inlineStr">
        <is>
          <t>avverkningsanmälan</t>
        </is>
      </c>
      <c r="C1274" t="inlineStr">
        <is>
          <t>Föryngringsavverkning</t>
        </is>
      </c>
      <c r="D1274" s="1" t="n">
        <v>44516</v>
      </c>
      <c r="E1274" s="1" t="n">
        <v>46228</v>
      </c>
      <c r="F1274" t="inlineStr">
        <is>
          <t>VÄSTERNORRLANDS LÄN</t>
        </is>
      </c>
      <c r="G1274" t="inlineStr">
        <is>
          <t>ÅNGE</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24063-2023</t>
        </is>
      </c>
      <c r="B1275" t="inlineStr">
        <is>
          <t>avverkningsanmälan</t>
        </is>
      </c>
      <c r="C1275" t="inlineStr">
        <is>
          <t>Föryngringsavverkning</t>
        </is>
      </c>
      <c r="D1275" s="1" t="n">
        <v>45078</v>
      </c>
      <c r="E1275" s="1" t="n">
        <v>46228</v>
      </c>
      <c r="F1275" t="inlineStr">
        <is>
          <t>VÄSTERNORRLANDS LÄN</t>
        </is>
      </c>
      <c r="G1275" t="inlineStr">
        <is>
          <t>ÅNGE</t>
        </is>
      </c>
      <c r="H1275" t="inlineStr">
        <is>
          <t>SCA</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49711-2024</t>
        </is>
      </c>
      <c r="B1276" t="inlineStr">
        <is>
          <t>avverkningsanmälan</t>
        </is>
      </c>
      <c r="C1276" t="inlineStr">
        <is>
          <t>Föryngringsavverkning</t>
        </is>
      </c>
      <c r="D1276" s="1" t="n">
        <v>45596</v>
      </c>
      <c r="E1276" s="1" t="n">
        <v>46228</v>
      </c>
      <c r="F1276" t="inlineStr">
        <is>
          <t>VÄSTERNORRLANDS LÄN</t>
        </is>
      </c>
      <c r="G1276" t="inlineStr">
        <is>
          <t>ÅNGE</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3323-2023</t>
        </is>
      </c>
      <c r="B1277" t="inlineStr">
        <is>
          <t>avverkningsanmälan</t>
        </is>
      </c>
      <c r="C1277" t="inlineStr">
        <is>
          <t>Föryngringsavverkning</t>
        </is>
      </c>
      <c r="D1277" s="1" t="n">
        <v>44945</v>
      </c>
      <c r="E1277" s="1" t="n">
        <v>46228</v>
      </c>
      <c r="F1277" t="inlineStr">
        <is>
          <t>VÄSTERNORRLANDS LÄN</t>
        </is>
      </c>
      <c r="G1277" t="inlineStr">
        <is>
          <t>ÅNGE</t>
        </is>
      </c>
      <c r="I1277" t="n">
        <v>9.699999999999999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1711-2025</t>
        </is>
      </c>
      <c r="B1278" t="inlineStr">
        <is>
          <t>avverkningsanmälan</t>
        </is>
      </c>
      <c r="C1278" t="inlineStr">
        <is>
          <t>Föryngringsavverkning</t>
        </is>
      </c>
      <c r="D1278" s="1" t="n">
        <v>45671</v>
      </c>
      <c r="E1278" s="1" t="n">
        <v>46228</v>
      </c>
      <c r="F1278" t="inlineStr">
        <is>
          <t>VÄSTERNORRLANDS LÄN</t>
        </is>
      </c>
      <c r="G1278" t="inlineStr">
        <is>
          <t>ÅNGE</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1714-2025</t>
        </is>
      </c>
      <c r="B1279" t="inlineStr">
        <is>
          <t>avverkningsanmälan</t>
        </is>
      </c>
      <c r="C1279" t="inlineStr">
        <is>
          <t>Föryngringsavverkning</t>
        </is>
      </c>
      <c r="D1279" s="1" t="n">
        <v>45671</v>
      </c>
      <c r="E1279" s="1" t="n">
        <v>46228</v>
      </c>
      <c r="F1279" t="inlineStr">
        <is>
          <t>VÄSTERNORRLANDS LÄN</t>
        </is>
      </c>
      <c r="G1279" t="inlineStr">
        <is>
          <t>ÅNGE</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31866-2024</t>
        </is>
      </c>
      <c r="B1280" t="inlineStr">
        <is>
          <t>avverkningsanmälan</t>
        </is>
      </c>
      <c r="C1280" t="inlineStr">
        <is>
          <t>Föryngringsavverkning</t>
        </is>
      </c>
      <c r="D1280" s="1" t="n">
        <v>45509</v>
      </c>
      <c r="E1280" s="1" t="n">
        <v>46228</v>
      </c>
      <c r="F1280" t="inlineStr">
        <is>
          <t>VÄSTERNORRLANDS LÄN</t>
        </is>
      </c>
      <c r="G1280" t="inlineStr">
        <is>
          <t>ÅNGE</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31867-2024</t>
        </is>
      </c>
      <c r="B1281" t="inlineStr">
        <is>
          <t>avverkningsanmälan</t>
        </is>
      </c>
      <c r="C1281" t="inlineStr">
        <is>
          <t>Föryngringsavverkning</t>
        </is>
      </c>
      <c r="D1281" s="1" t="n">
        <v>45509</v>
      </c>
      <c r="E1281" s="1" t="n">
        <v>46228</v>
      </c>
      <c r="F1281" t="inlineStr">
        <is>
          <t>VÄSTERNORRLANDS LÄN</t>
        </is>
      </c>
      <c r="G1281" t="inlineStr">
        <is>
          <t>ÅNGE</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33428-2023</t>
        </is>
      </c>
      <c r="B1282" t="inlineStr">
        <is>
          <t>avverkningsanmälan</t>
        </is>
      </c>
      <c r="C1282" t="inlineStr">
        <is>
          <t>Föryngringsavverkning</t>
        </is>
      </c>
      <c r="D1282" s="1" t="n">
        <v>45128</v>
      </c>
      <c r="E1282" s="1" t="n">
        <v>46228</v>
      </c>
      <c r="F1282" t="inlineStr">
        <is>
          <t>VÄSTERNORRLANDS LÄN</t>
        </is>
      </c>
      <c r="G1282" t="inlineStr">
        <is>
          <t>ÅNGE</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6610-2025</t>
        </is>
      </c>
      <c r="B1283" t="inlineStr">
        <is>
          <t>avverkningsanmälan</t>
        </is>
      </c>
      <c r="C1283" t="inlineStr">
        <is>
          <t>Föryngringsavverkning</t>
        </is>
      </c>
      <c r="D1283" s="1" t="n">
        <v>45700</v>
      </c>
      <c r="E1283" s="1" t="n">
        <v>46228</v>
      </c>
      <c r="F1283" t="inlineStr">
        <is>
          <t>VÄSTERNORRLANDS LÄN</t>
        </is>
      </c>
      <c r="G1283" t="inlineStr">
        <is>
          <t>ÅNGE</t>
        </is>
      </c>
      <c r="H1283" t="inlineStr">
        <is>
          <t>SCA</t>
        </is>
      </c>
      <c r="I1283" t="n">
        <v>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58997-2023</t>
        </is>
      </c>
      <c r="B1284" t="inlineStr">
        <is>
          <t>avverkningsanmälan</t>
        </is>
      </c>
      <c r="C1284" t="inlineStr">
        <is>
          <t>Föryngringsavverkning</t>
        </is>
      </c>
      <c r="D1284" s="1" t="n">
        <v>45252</v>
      </c>
      <c r="E1284" s="1" t="n">
        <v>46228</v>
      </c>
      <c r="F1284" t="inlineStr">
        <is>
          <t>VÄSTERNORRLANDS LÄN</t>
        </is>
      </c>
      <c r="G1284" t="inlineStr">
        <is>
          <t>ÅNGE</t>
        </is>
      </c>
      <c r="H1284" t="inlineStr">
        <is>
          <t>Övriga Aktiebolag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44639-2023</t>
        </is>
      </c>
      <c r="B1285" t="inlineStr">
        <is>
          <t>avverkningsanmälan</t>
        </is>
      </c>
      <c r="C1285" t="inlineStr">
        <is>
          <t>Föryngringsavverkning</t>
        </is>
      </c>
      <c r="D1285" s="1" t="n">
        <v>45184</v>
      </c>
      <c r="E1285" s="1" t="n">
        <v>46228</v>
      </c>
      <c r="F1285" t="inlineStr">
        <is>
          <t>VÄSTERNORRLANDS LÄN</t>
        </is>
      </c>
      <c r="G1285" t="inlineStr">
        <is>
          <t>ÅNGE</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1735-2025</t>
        </is>
      </c>
      <c r="B1286" t="inlineStr">
        <is>
          <t>avverkningsanmälan</t>
        </is>
      </c>
      <c r="C1286" t="inlineStr">
        <is>
          <t>Föryngringsavverkning</t>
        </is>
      </c>
      <c r="D1286" s="1" t="n">
        <v>45671</v>
      </c>
      <c r="E1286" s="1" t="n">
        <v>46228</v>
      </c>
      <c r="F1286" t="inlineStr">
        <is>
          <t>VÄSTERNORRLANDS LÄN</t>
        </is>
      </c>
      <c r="G1286" t="inlineStr">
        <is>
          <t>ÅNGE</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50231-2024</t>
        </is>
      </c>
      <c r="B1287" t="inlineStr">
        <is>
          <t>avverkningsanmälan</t>
        </is>
      </c>
      <c r="C1287" t="inlineStr">
        <is>
          <t>Avverkning för att bevara och utveckla /försöksver</t>
        </is>
      </c>
      <c r="D1287" s="1" t="n">
        <v>45600</v>
      </c>
      <c r="E1287" s="1" t="n">
        <v>46228</v>
      </c>
      <c r="F1287" t="inlineStr">
        <is>
          <t>VÄSTERNORRLANDS LÄN</t>
        </is>
      </c>
      <c r="G1287" t="inlineStr">
        <is>
          <t>ÅNGE</t>
        </is>
      </c>
      <c r="H1287" t="inlineStr">
        <is>
          <t>SCA</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60205-2023</t>
        </is>
      </c>
      <c r="B1288" t="inlineStr">
        <is>
          <t>avverkningsanmälan</t>
        </is>
      </c>
      <c r="C1288" t="inlineStr">
        <is>
          <t>Avverkning för annat ändamål</t>
        </is>
      </c>
      <c r="D1288" s="1" t="n">
        <v>45257</v>
      </c>
      <c r="E1288" s="1" t="n">
        <v>46228</v>
      </c>
      <c r="F1288" t="inlineStr">
        <is>
          <t>VÄSTERNORRLANDS LÄN</t>
        </is>
      </c>
      <c r="G1288" t="inlineStr">
        <is>
          <t>ÅNGE</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39991-2023</t>
        </is>
      </c>
      <c r="B1289" t="inlineStr">
        <is>
          <t>avverkningsanmälan</t>
        </is>
      </c>
      <c r="C1289" t="inlineStr">
        <is>
          <t>Föryngringsavverkning</t>
        </is>
      </c>
      <c r="D1289" s="1" t="n">
        <v>45168</v>
      </c>
      <c r="E1289" s="1" t="n">
        <v>46228</v>
      </c>
      <c r="F1289" t="inlineStr">
        <is>
          <t>VÄSTERNORRLANDS LÄN</t>
        </is>
      </c>
      <c r="G1289" t="inlineStr">
        <is>
          <t>ÅNGE</t>
        </is>
      </c>
      <c r="I1289" t="n">
        <v>10.2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1775-2023</t>
        </is>
      </c>
      <c r="B1290" t="inlineStr">
        <is>
          <t>avverkningsanmälan</t>
        </is>
      </c>
      <c r="C1290" t="inlineStr">
        <is>
          <t>Avverkning för annat ändamål</t>
        </is>
      </c>
      <c r="D1290" s="1" t="n">
        <v>44938</v>
      </c>
      <c r="E1290" s="1" t="n">
        <v>46228</v>
      </c>
      <c r="F1290" t="inlineStr">
        <is>
          <t>VÄSTERNORRLANDS LÄN</t>
        </is>
      </c>
      <c r="G1290" t="inlineStr">
        <is>
          <t>ÅNGE</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31182-2024</t>
        </is>
      </c>
      <c r="B1291" t="inlineStr">
        <is>
          <t>avverkningsanmälan</t>
        </is>
      </c>
      <c r="C1291" t="inlineStr">
        <is>
          <t>Föryngringsavverkning</t>
        </is>
      </c>
      <c r="D1291" s="1" t="n">
        <v>45503</v>
      </c>
      <c r="E1291" s="1" t="n">
        <v>46228</v>
      </c>
      <c r="F1291" t="inlineStr">
        <is>
          <t>VÄSTERNORRLANDS LÄN</t>
        </is>
      </c>
      <c r="G1291" t="inlineStr">
        <is>
          <t>ÅNGE</t>
        </is>
      </c>
      <c r="I1291" t="n">
        <v>8.6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56956-2022</t>
        </is>
      </c>
      <c r="B1292" t="inlineStr">
        <is>
          <t>avverkningsanmälan</t>
        </is>
      </c>
      <c r="C1292" t="inlineStr">
        <is>
          <t>Föryngringsavverkning</t>
        </is>
      </c>
      <c r="D1292" s="1" t="n">
        <v>44894</v>
      </c>
      <c r="E1292" s="1" t="n">
        <v>46228</v>
      </c>
      <c r="F1292" t="inlineStr">
        <is>
          <t>VÄSTERNORRLANDS LÄN</t>
        </is>
      </c>
      <c r="G1292" t="inlineStr">
        <is>
          <t>ÅNGE</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27321-2024</t>
        </is>
      </c>
      <c r="B1293" t="inlineStr">
        <is>
          <t>avverkningsanmälan</t>
        </is>
      </c>
      <c r="C1293" t="inlineStr">
        <is>
          <t>Föryngringsavverkning</t>
        </is>
      </c>
      <c r="D1293" s="1" t="n">
        <v>45471</v>
      </c>
      <c r="E1293" s="1" t="n">
        <v>46228</v>
      </c>
      <c r="F1293" t="inlineStr">
        <is>
          <t>VÄSTERNORRLANDS LÄN</t>
        </is>
      </c>
      <c r="G1293" t="inlineStr">
        <is>
          <t>ÅNGE</t>
        </is>
      </c>
      <c r="H1293" t="inlineStr">
        <is>
          <t>SCA</t>
        </is>
      </c>
      <c r="I1293" t="n">
        <v>14.1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29667-2024</t>
        </is>
      </c>
      <c r="B1294" t="inlineStr">
        <is>
          <t>avverkningsanmälan</t>
        </is>
      </c>
      <c r="C1294" t="inlineStr">
        <is>
          <t>Föryngringsavverkning</t>
        </is>
      </c>
      <c r="D1294" s="1" t="n">
        <v>45484</v>
      </c>
      <c r="E1294" s="1" t="n">
        <v>46228</v>
      </c>
      <c r="F1294" t="inlineStr">
        <is>
          <t>VÄSTERNORRLANDS LÄN</t>
        </is>
      </c>
      <c r="G1294" t="inlineStr">
        <is>
          <t>ÅNGE</t>
        </is>
      </c>
      <c r="H1294" t="inlineStr">
        <is>
          <t>SCA</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8418-2023</t>
        </is>
      </c>
      <c r="B1295" t="inlineStr">
        <is>
          <t>avverkningsanmälan</t>
        </is>
      </c>
      <c r="C1295" t="inlineStr">
        <is>
          <t>Föryngringsavverkning</t>
        </is>
      </c>
      <c r="D1295" s="1" t="n">
        <v>44971</v>
      </c>
      <c r="E1295" s="1" t="n">
        <v>46228</v>
      </c>
      <c r="F1295" t="inlineStr">
        <is>
          <t>VÄSTERNORRLANDS LÄN</t>
        </is>
      </c>
      <c r="G1295" t="inlineStr">
        <is>
          <t>ÅNGE</t>
        </is>
      </c>
      <c r="I1295" t="n">
        <v>8.6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20024-2023</t>
        </is>
      </c>
      <c r="B1296" t="inlineStr">
        <is>
          <t>avverkningsanmälan</t>
        </is>
      </c>
      <c r="C1296" t="inlineStr">
        <is>
          <t>Föryngringsavverkning</t>
        </is>
      </c>
      <c r="D1296" s="1" t="n">
        <v>45051</v>
      </c>
      <c r="E1296" s="1" t="n">
        <v>46228</v>
      </c>
      <c r="F1296" t="inlineStr">
        <is>
          <t>VÄSTERNORRLANDS LÄN</t>
        </is>
      </c>
      <c r="G1296" t="inlineStr">
        <is>
          <t>ÅNGE</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45939-2023</t>
        </is>
      </c>
      <c r="B1297" t="inlineStr">
        <is>
          <t>avverkningsanmälan</t>
        </is>
      </c>
      <c r="C1297" t="inlineStr">
        <is>
          <t>Föryngringsavverkning</t>
        </is>
      </c>
      <c r="D1297" s="1" t="n">
        <v>45195</v>
      </c>
      <c r="E1297" s="1" t="n">
        <v>46228</v>
      </c>
      <c r="F1297" t="inlineStr">
        <is>
          <t>VÄSTERNORRLANDS LÄN</t>
        </is>
      </c>
      <c r="G1297" t="inlineStr">
        <is>
          <t>ÅNGE</t>
        </is>
      </c>
      <c r="H1297" t="inlineStr">
        <is>
          <t>SCA</t>
        </is>
      </c>
      <c r="I1297" t="n">
        <v>5.7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51311-2022</t>
        </is>
      </c>
      <c r="B1298" t="inlineStr">
        <is>
          <t>avverkningsanmälan</t>
        </is>
      </c>
      <c r="C1298" t="inlineStr">
        <is>
          <t>Föryngringsavverkning</t>
        </is>
      </c>
      <c r="D1298" s="1" t="n">
        <v>44868</v>
      </c>
      <c r="E1298" s="1" t="n">
        <v>46228</v>
      </c>
      <c r="F1298" t="inlineStr">
        <is>
          <t>VÄSTERNORRLANDS LÄN</t>
        </is>
      </c>
      <c r="G1298" t="inlineStr">
        <is>
          <t>ÅNGE</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63216-2023</t>
        </is>
      </c>
      <c r="B1299" t="inlineStr">
        <is>
          <t>avverkningsanmälan</t>
        </is>
      </c>
      <c r="C1299" t="inlineStr">
        <is>
          <t>Föryngringsavverkning</t>
        </is>
      </c>
      <c r="D1299" s="1" t="n">
        <v>45273</v>
      </c>
      <c r="E1299" s="1" t="n">
        <v>46228</v>
      </c>
      <c r="F1299" t="inlineStr">
        <is>
          <t>VÄSTERNORRLANDS LÄN</t>
        </is>
      </c>
      <c r="G1299" t="inlineStr">
        <is>
          <t>ÅNGE</t>
        </is>
      </c>
      <c r="H1299" t="inlineStr">
        <is>
          <t>Holmen skog AB</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43916-2023</t>
        </is>
      </c>
      <c r="B1300" t="inlineStr">
        <is>
          <t>avverkningsanmälan</t>
        </is>
      </c>
      <c r="C1300" t="inlineStr">
        <is>
          <t>Föryngringsavverkning</t>
        </is>
      </c>
      <c r="D1300" s="1" t="n">
        <v>45187</v>
      </c>
      <c r="E1300" s="1" t="n">
        <v>46228</v>
      </c>
      <c r="F1300" t="inlineStr">
        <is>
          <t>VÄSTERNORRLANDS LÄN</t>
        </is>
      </c>
      <c r="G1300" t="inlineStr">
        <is>
          <t>ÅNGE</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36492-2023</t>
        </is>
      </c>
      <c r="B1301" t="inlineStr">
        <is>
          <t>avverkningsanmälan</t>
        </is>
      </c>
      <c r="C1301" t="inlineStr">
        <is>
          <t>Föryngringsavverkning</t>
        </is>
      </c>
      <c r="D1301" s="1" t="n">
        <v>45152</v>
      </c>
      <c r="E1301" s="1" t="n">
        <v>46228</v>
      </c>
      <c r="F1301" t="inlineStr">
        <is>
          <t>VÄSTERNORRLANDS LÄN</t>
        </is>
      </c>
      <c r="G1301" t="inlineStr">
        <is>
          <t>ÅNGE</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46332-2023</t>
        </is>
      </c>
      <c r="B1302" t="inlineStr">
        <is>
          <t>avverkningsanmälan</t>
        </is>
      </c>
      <c r="C1302" t="inlineStr">
        <is>
          <t>Föryngringsavverkning</t>
        </is>
      </c>
      <c r="D1302" s="1" t="n">
        <v>45196</v>
      </c>
      <c r="E1302" s="1" t="n">
        <v>46228</v>
      </c>
      <c r="F1302" t="inlineStr">
        <is>
          <t>VÄSTERNORRLANDS LÄN</t>
        </is>
      </c>
      <c r="G1302" t="inlineStr">
        <is>
          <t>ÅNGE</t>
        </is>
      </c>
      <c r="H1302" t="inlineStr">
        <is>
          <t>SCA</t>
        </is>
      </c>
      <c r="I1302" t="n">
        <v>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26943-2024</t>
        </is>
      </c>
      <c r="B1303" t="inlineStr">
        <is>
          <t>avverkningsanmälan</t>
        </is>
      </c>
      <c r="C1303" t="inlineStr">
        <is>
          <t>Föryngringsavverkning</t>
        </is>
      </c>
      <c r="D1303" s="1" t="n">
        <v>45470</v>
      </c>
      <c r="E1303" s="1" t="n">
        <v>46228</v>
      </c>
      <c r="F1303" t="inlineStr">
        <is>
          <t>VÄSTERNORRLANDS LÄN</t>
        </is>
      </c>
      <c r="G1303" t="inlineStr">
        <is>
          <t>ÅNGE</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55882-2022</t>
        </is>
      </c>
      <c r="B1304" t="inlineStr">
        <is>
          <t>avverkningsanmälan</t>
        </is>
      </c>
      <c r="C1304" t="inlineStr">
        <is>
          <t>Föryngringsavverkning</t>
        </is>
      </c>
      <c r="D1304" s="1" t="n">
        <v>44888</v>
      </c>
      <c r="E1304" s="1" t="n">
        <v>46228</v>
      </c>
      <c r="F1304" t="inlineStr">
        <is>
          <t>VÄSTERNORRLANDS LÄN</t>
        </is>
      </c>
      <c r="G1304" t="inlineStr">
        <is>
          <t>ÅNGE</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63556-2021</t>
        </is>
      </c>
      <c r="B1305" t="inlineStr">
        <is>
          <t>avverkningsanmälan</t>
        </is>
      </c>
      <c r="C1305" t="inlineStr">
        <is>
          <t>Föryngringsavverkning</t>
        </is>
      </c>
      <c r="D1305" s="1" t="n">
        <v>44508</v>
      </c>
      <c r="E1305" s="1" t="n">
        <v>46228</v>
      </c>
      <c r="F1305" t="inlineStr">
        <is>
          <t>VÄSTERNORRLANDS LÄN</t>
        </is>
      </c>
      <c r="G1305" t="inlineStr">
        <is>
          <t>ÅNGE</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3253-2024</t>
        </is>
      </c>
      <c r="B1306" t="inlineStr">
        <is>
          <t>avverkningsanmälan</t>
        </is>
      </c>
      <c r="C1306" t="inlineStr">
        <is>
          <t>Föryngringsavverkning</t>
        </is>
      </c>
      <c r="D1306" s="1" t="n">
        <v>45316</v>
      </c>
      <c r="E1306" s="1" t="n">
        <v>46228</v>
      </c>
      <c r="F1306" t="inlineStr">
        <is>
          <t>VÄSTERNORRLANDS LÄN</t>
        </is>
      </c>
      <c r="G1306" t="inlineStr">
        <is>
          <t>ÅNGE</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58748-2023</t>
        </is>
      </c>
      <c r="B1307" t="inlineStr">
        <is>
          <t>avverkningsanmälan</t>
        </is>
      </c>
      <c r="C1307" t="inlineStr">
        <is>
          <t>Föryngringsavverkning</t>
        </is>
      </c>
      <c r="D1307" s="1" t="n">
        <v>45251</v>
      </c>
      <c r="E1307" s="1" t="n">
        <v>46228</v>
      </c>
      <c r="F1307" t="inlineStr">
        <is>
          <t>VÄSTERNORRLANDS LÄN</t>
        </is>
      </c>
      <c r="G1307" t="inlineStr">
        <is>
          <t>ÅNGE</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51871-2024</t>
        </is>
      </c>
      <c r="B1308" t="inlineStr">
        <is>
          <t>avverkningsanmälan</t>
        </is>
      </c>
      <c r="C1308" t="inlineStr">
        <is>
          <t>Föryngringsavverkning</t>
        </is>
      </c>
      <c r="D1308" s="1" t="n">
        <v>45607</v>
      </c>
      <c r="E1308" s="1" t="n">
        <v>46228</v>
      </c>
      <c r="F1308" t="inlineStr">
        <is>
          <t>VÄSTERNORRLANDS LÄN</t>
        </is>
      </c>
      <c r="G1308" t="inlineStr">
        <is>
          <t>ÅNGE</t>
        </is>
      </c>
      <c r="H1308" t="inlineStr">
        <is>
          <t>SCA</t>
        </is>
      </c>
      <c r="I1308" t="n">
        <v>10.1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57636-2022</t>
        </is>
      </c>
      <c r="B1309" t="inlineStr">
        <is>
          <t>avverkningsanmälan</t>
        </is>
      </c>
      <c r="C1309" t="inlineStr">
        <is>
          <t>Föryngringsavverkning</t>
        </is>
      </c>
      <c r="D1309" s="1" t="n">
        <v>44897</v>
      </c>
      <c r="E1309" s="1" t="n">
        <v>46228</v>
      </c>
      <c r="F1309" t="inlineStr">
        <is>
          <t>VÄSTERNORRLANDS LÄN</t>
        </is>
      </c>
      <c r="G1309" t="inlineStr">
        <is>
          <t>ÅNGE</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34971-2023</t>
        </is>
      </c>
      <c r="B1310" t="inlineStr">
        <is>
          <t>avverkningsanmälan</t>
        </is>
      </c>
      <c r="C1310" t="inlineStr">
        <is>
          <t>Föryngringsavverkning</t>
        </is>
      </c>
      <c r="D1310" s="1" t="n">
        <v>45142</v>
      </c>
      <c r="E1310" s="1" t="n">
        <v>46228</v>
      </c>
      <c r="F1310" t="inlineStr">
        <is>
          <t>VÄSTERNORRLANDS LÄN</t>
        </is>
      </c>
      <c r="G1310" t="inlineStr">
        <is>
          <t>ÅNGE</t>
        </is>
      </c>
      <c r="H1310" t="inlineStr">
        <is>
          <t>Sveaskog</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55329-2023</t>
        </is>
      </c>
      <c r="B1311" t="inlineStr">
        <is>
          <t>avverkningsanmälan</t>
        </is>
      </c>
      <c r="C1311" t="inlineStr">
        <is>
          <t>Föryngringsavverkning</t>
        </is>
      </c>
      <c r="D1311" s="1" t="n">
        <v>45237</v>
      </c>
      <c r="E1311" s="1" t="n">
        <v>46228</v>
      </c>
      <c r="F1311" t="inlineStr">
        <is>
          <t>VÄSTERNORRLANDS LÄN</t>
        </is>
      </c>
      <c r="G1311" t="inlineStr">
        <is>
          <t>ÅNGE</t>
        </is>
      </c>
      <c r="H1311" t="inlineStr">
        <is>
          <t>SCA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42346-2023</t>
        </is>
      </c>
      <c r="B1312" t="inlineStr">
        <is>
          <t>avverkningsanmälan</t>
        </is>
      </c>
      <c r="C1312" t="inlineStr">
        <is>
          <t>Föryngringsavverkning</t>
        </is>
      </c>
      <c r="D1312" s="1" t="n">
        <v>45180</v>
      </c>
      <c r="E1312" s="1" t="n">
        <v>46228</v>
      </c>
      <c r="F1312" t="inlineStr">
        <is>
          <t>VÄSTERNORRLANDS LÄN</t>
        </is>
      </c>
      <c r="G1312" t="inlineStr">
        <is>
          <t>ÅNGE</t>
        </is>
      </c>
      <c r="I1312" t="n">
        <v>9.300000000000001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137-2025</t>
        </is>
      </c>
      <c r="B1313" t="inlineStr">
        <is>
          <t>avverkningsanmälan</t>
        </is>
      </c>
      <c r="C1313" t="inlineStr">
        <is>
          <t>Avverkning för annat ändamål</t>
        </is>
      </c>
      <c r="D1313" s="1" t="n">
        <v>45659</v>
      </c>
      <c r="E1313" s="1" t="n">
        <v>46228</v>
      </c>
      <c r="F1313" t="inlineStr">
        <is>
          <t>VÄSTERNORRLANDS LÄN</t>
        </is>
      </c>
      <c r="G1313" t="inlineStr">
        <is>
          <t>ÅNGE</t>
        </is>
      </c>
      <c r="I1313" t="n">
        <v>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22678-2024</t>
        </is>
      </c>
      <c r="B1314" t="inlineStr">
        <is>
          <t>avverkningsanmälan</t>
        </is>
      </c>
      <c r="C1314" t="inlineStr">
        <is>
          <t>Avverkning för att bevara och utveckla /försöksver</t>
        </is>
      </c>
      <c r="D1314" s="1" t="n">
        <v>45447</v>
      </c>
      <c r="E1314" s="1" t="n">
        <v>46228</v>
      </c>
      <c r="F1314" t="inlineStr">
        <is>
          <t>VÄSTERNORRLANDS LÄN</t>
        </is>
      </c>
      <c r="G1314" t="inlineStr">
        <is>
          <t>ÅNGE</t>
        </is>
      </c>
      <c r="H1314" t="inlineStr">
        <is>
          <t>SCA</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64121-2021</t>
        </is>
      </c>
      <c r="B1315" t="inlineStr">
        <is>
          <t>avverkningsanmälan</t>
        </is>
      </c>
      <c r="C1315" t="inlineStr">
        <is>
          <t>Föryngringsavverkning</t>
        </is>
      </c>
      <c r="D1315" s="1" t="n">
        <v>44510</v>
      </c>
      <c r="E1315" s="1" t="n">
        <v>46228</v>
      </c>
      <c r="F1315" t="inlineStr">
        <is>
          <t>VÄSTERNORRLANDS LÄN</t>
        </is>
      </c>
      <c r="G1315" t="inlineStr">
        <is>
          <t>ÅNGE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71965-2021</t>
        </is>
      </c>
      <c r="B1316" t="inlineStr">
        <is>
          <t>avverkningsanmälan</t>
        </is>
      </c>
      <c r="C1316" t="inlineStr">
        <is>
          <t>Föryngringsavverkning</t>
        </is>
      </c>
      <c r="D1316" s="1" t="n">
        <v>44544</v>
      </c>
      <c r="E1316" s="1" t="n">
        <v>46228</v>
      </c>
      <c r="F1316" t="inlineStr">
        <is>
          <t>VÄSTERNORRLANDS LÄN</t>
        </is>
      </c>
      <c r="G1316" t="inlineStr">
        <is>
          <t>ÅNGE</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62834-2021</t>
        </is>
      </c>
      <c r="B1317" t="inlineStr">
        <is>
          <t>avverkningsanmälan</t>
        </is>
      </c>
      <c r="C1317" t="inlineStr">
        <is>
          <t>Avverkning för att bevara och utveckla /försöksver</t>
        </is>
      </c>
      <c r="D1317" s="1" t="n">
        <v>44503</v>
      </c>
      <c r="E1317" s="1" t="n">
        <v>46228</v>
      </c>
      <c r="F1317" t="inlineStr">
        <is>
          <t>VÄSTERNORRLANDS LÄN</t>
        </is>
      </c>
      <c r="G1317" t="inlineStr">
        <is>
          <t>ÅNGE</t>
        </is>
      </c>
      <c r="H1317" t="inlineStr">
        <is>
          <t>Övriga statliga verk och myndigheter</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7535-2023</t>
        </is>
      </c>
      <c r="B1318" t="inlineStr">
        <is>
          <t>avverkningsanmälan</t>
        </is>
      </c>
      <c r="C1318" t="inlineStr">
        <is>
          <t>Avverkning för att bevara och utveckla /försöksver</t>
        </is>
      </c>
      <c r="D1318" s="1" t="n">
        <v>44971</v>
      </c>
      <c r="E1318" s="1" t="n">
        <v>46228</v>
      </c>
      <c r="F1318" t="inlineStr">
        <is>
          <t>VÄSTERNORRLANDS LÄN</t>
        </is>
      </c>
      <c r="G1318" t="inlineStr">
        <is>
          <t>ÅNGE</t>
        </is>
      </c>
      <c r="H1318" t="inlineStr">
        <is>
          <t>SCA</t>
        </is>
      </c>
      <c r="I1318" t="n">
        <v>14.6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48946-2024</t>
        </is>
      </c>
      <c r="B1319" t="inlineStr">
        <is>
          <t>avverkningsanmälan</t>
        </is>
      </c>
      <c r="C1319" t="inlineStr">
        <is>
          <t>Föryngringsavverkning</t>
        </is>
      </c>
      <c r="D1319" s="1" t="n">
        <v>45594</v>
      </c>
      <c r="E1319" s="1" t="n">
        <v>46228</v>
      </c>
      <c r="F1319" t="inlineStr">
        <is>
          <t>VÄSTERNORRLANDS LÄN</t>
        </is>
      </c>
      <c r="G1319" t="inlineStr">
        <is>
          <t>ÅNGE</t>
        </is>
      </c>
      <c r="H1319" t="inlineStr">
        <is>
          <t>SCA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33429-2023</t>
        </is>
      </c>
      <c r="B1320" t="inlineStr">
        <is>
          <t>avverkningsanmälan</t>
        </is>
      </c>
      <c r="C1320" t="inlineStr">
        <is>
          <t>Föryngringsavverkning</t>
        </is>
      </c>
      <c r="D1320" s="1" t="n">
        <v>45128</v>
      </c>
      <c r="E1320" s="1" t="n">
        <v>46228</v>
      </c>
      <c r="F1320" t="inlineStr">
        <is>
          <t>VÄSTERNORRLANDS LÄN</t>
        </is>
      </c>
      <c r="G1320" t="inlineStr">
        <is>
          <t>ÅNGE</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20255-2023</t>
        </is>
      </c>
      <c r="B1321" t="inlineStr">
        <is>
          <t>avverkningsanmälan</t>
        </is>
      </c>
      <c r="C1321" t="inlineStr">
        <is>
          <t>Föryngringsavverkning</t>
        </is>
      </c>
      <c r="D1321" s="1" t="n">
        <v>45055</v>
      </c>
      <c r="E1321" s="1" t="n">
        <v>46228</v>
      </c>
      <c r="F1321" t="inlineStr">
        <is>
          <t>VÄSTERNORRLANDS LÄN</t>
        </is>
      </c>
      <c r="G1321" t="inlineStr">
        <is>
          <t>ÅNGE</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16281-2023</t>
        </is>
      </c>
      <c r="B1322" t="inlineStr">
        <is>
          <t>avverkningsanmälan</t>
        </is>
      </c>
      <c r="C1322" t="inlineStr">
        <is>
          <t>Föryngringsavverkning</t>
        </is>
      </c>
      <c r="D1322" s="1" t="n">
        <v>45028</v>
      </c>
      <c r="E1322" s="1" t="n">
        <v>46228</v>
      </c>
      <c r="F1322" t="inlineStr">
        <is>
          <t>VÄSTERNORRLANDS LÄN</t>
        </is>
      </c>
      <c r="G1322" t="inlineStr">
        <is>
          <t>ÅNGE</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26015-2024</t>
        </is>
      </c>
      <c r="B1323" t="inlineStr">
        <is>
          <t>avverkningsanmälan</t>
        </is>
      </c>
      <c r="C1323" t="inlineStr">
        <is>
          <t>Föryngringsavverkning</t>
        </is>
      </c>
      <c r="D1323" s="1" t="n">
        <v>45467</v>
      </c>
      <c r="E1323" s="1" t="n">
        <v>46228</v>
      </c>
      <c r="F1323" t="inlineStr">
        <is>
          <t>VÄSTERNORRLANDS LÄN</t>
        </is>
      </c>
      <c r="G1323" t="inlineStr">
        <is>
          <t>ÅNGE</t>
        </is>
      </c>
      <c r="H1323" t="inlineStr">
        <is>
          <t>SCA</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48697-2024</t>
        </is>
      </c>
      <c r="B1324" t="inlineStr">
        <is>
          <t>avverkningsanmälan</t>
        </is>
      </c>
      <c r="C1324" t="inlineStr">
        <is>
          <t>Föryngringsavverkning</t>
        </is>
      </c>
      <c r="D1324" s="1" t="n">
        <v>45593</v>
      </c>
      <c r="E1324" s="1" t="n">
        <v>46228</v>
      </c>
      <c r="F1324" t="inlineStr">
        <is>
          <t>VÄSTERNORRLANDS LÄN</t>
        </is>
      </c>
      <c r="G1324" t="inlineStr">
        <is>
          <t>ÅNGE</t>
        </is>
      </c>
      <c r="H1324" t="inlineStr">
        <is>
          <t>SCA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1095-2023</t>
        </is>
      </c>
      <c r="B1325" t="inlineStr">
        <is>
          <t>avverkningsanmälan</t>
        </is>
      </c>
      <c r="C1325" t="inlineStr">
        <is>
          <t>Föryngringsavverkning</t>
        </is>
      </c>
      <c r="D1325" s="1" t="n">
        <v>44929</v>
      </c>
      <c r="E1325" s="1" t="n">
        <v>46228</v>
      </c>
      <c r="F1325" t="inlineStr">
        <is>
          <t>VÄSTERNORRLANDS LÄN</t>
        </is>
      </c>
      <c r="G1325" t="inlineStr">
        <is>
          <t>ÅNGE</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63709-2023</t>
        </is>
      </c>
      <c r="B1326" t="inlineStr">
        <is>
          <t>avverkningsanmälan</t>
        </is>
      </c>
      <c r="C1326" t="inlineStr">
        <is>
          <t>Föryngringsavverkning</t>
        </is>
      </c>
      <c r="D1326" s="1" t="n">
        <v>45275</v>
      </c>
      <c r="E1326" s="1" t="n">
        <v>46228</v>
      </c>
      <c r="F1326" t="inlineStr">
        <is>
          <t>VÄSTERNORRLANDS LÄN</t>
        </is>
      </c>
      <c r="G1326" t="inlineStr">
        <is>
          <t>ÅNGE</t>
        </is>
      </c>
      <c r="H1326" t="inlineStr">
        <is>
          <t>SCA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30353-2024</t>
        </is>
      </c>
      <c r="B1327" t="inlineStr">
        <is>
          <t>avverkningsanmälan</t>
        </is>
      </c>
      <c r="C1327" t="inlineStr">
        <is>
          <t>Föryngringsavverkning</t>
        </is>
      </c>
      <c r="D1327" s="1" t="n">
        <v>45490</v>
      </c>
      <c r="E1327" s="1" t="n">
        <v>46228</v>
      </c>
      <c r="F1327" t="inlineStr">
        <is>
          <t>VÄSTERNORRLANDS LÄN</t>
        </is>
      </c>
      <c r="G1327" t="inlineStr">
        <is>
          <t>ÅNGE</t>
        </is>
      </c>
      <c r="H1327" t="inlineStr">
        <is>
          <t>SCA</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58929-2024</t>
        </is>
      </c>
      <c r="B1328" t="inlineStr">
        <is>
          <t>avverkningsanmälan</t>
        </is>
      </c>
      <c r="C1328" t="inlineStr">
        <is>
          <t>Föryngringsavverkning</t>
        </is>
      </c>
      <c r="D1328" s="1" t="n">
        <v>45636</v>
      </c>
      <c r="E1328" s="1" t="n">
        <v>46228</v>
      </c>
      <c r="F1328" t="inlineStr">
        <is>
          <t>VÄSTERNORRLANDS LÄN</t>
        </is>
      </c>
      <c r="G1328" t="inlineStr">
        <is>
          <t>ÅNGE</t>
        </is>
      </c>
      <c r="H1328" t="inlineStr">
        <is>
          <t>SCA</t>
        </is>
      </c>
      <c r="I1328" t="n">
        <v>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42100-2023</t>
        </is>
      </c>
      <c r="B1329" t="inlineStr">
        <is>
          <t>avverkningsanmälan</t>
        </is>
      </c>
      <c r="C1329" t="inlineStr">
        <is>
          <t>Föryngringsavverkning</t>
        </is>
      </c>
      <c r="D1329" s="1" t="n">
        <v>45174</v>
      </c>
      <c r="E1329" s="1" t="n">
        <v>46228</v>
      </c>
      <c r="F1329" t="inlineStr">
        <is>
          <t>VÄSTERNORRLANDS LÄN</t>
        </is>
      </c>
      <c r="G1329" t="inlineStr">
        <is>
          <t>ÅNGE</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2365-2024</t>
        </is>
      </c>
      <c r="B1330" t="inlineStr">
        <is>
          <t>avverkningsanmälan</t>
        </is>
      </c>
      <c r="C1330" t="inlineStr">
        <is>
          <t>Föryngringsavverkning</t>
        </is>
      </c>
      <c r="D1330" s="1" t="n">
        <v>45310</v>
      </c>
      <c r="E1330" s="1" t="n">
        <v>46228</v>
      </c>
      <c r="F1330" t="inlineStr">
        <is>
          <t>VÄSTERNORRLANDS LÄN</t>
        </is>
      </c>
      <c r="G1330" t="inlineStr">
        <is>
          <t>ÅNGE</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2372-2024</t>
        </is>
      </c>
      <c r="B1331" t="inlineStr">
        <is>
          <t>avverkningsanmälan</t>
        </is>
      </c>
      <c r="C1331" t="inlineStr">
        <is>
          <t>Föryngringsavverkning</t>
        </is>
      </c>
      <c r="D1331" s="1" t="n">
        <v>45310</v>
      </c>
      <c r="E1331" s="1" t="n">
        <v>46228</v>
      </c>
      <c r="F1331" t="inlineStr">
        <is>
          <t>VÄSTERNORRLANDS LÄN</t>
        </is>
      </c>
      <c r="G1331" t="inlineStr">
        <is>
          <t>ÅNGE</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21068-2025</t>
        </is>
      </c>
      <c r="B1332" t="inlineStr">
        <is>
          <t>avverkningsanmälan</t>
        </is>
      </c>
      <c r="C1332" t="inlineStr">
        <is>
          <t>Föryngringsavverkning</t>
        </is>
      </c>
      <c r="D1332" s="1" t="n">
        <v>45777</v>
      </c>
      <c r="E1332" s="1" t="n">
        <v>46228</v>
      </c>
      <c r="F1332" t="inlineStr">
        <is>
          <t>VÄSTERNORRLANDS LÄN</t>
        </is>
      </c>
      <c r="G1332" t="inlineStr">
        <is>
          <t>ÅNGE</t>
        </is>
      </c>
      <c r="H1332" t="inlineStr">
        <is>
          <t>SCA</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20776-2025</t>
        </is>
      </c>
      <c r="B1333" t="inlineStr">
        <is>
          <t>avverkningsanmälan</t>
        </is>
      </c>
      <c r="C1333" t="inlineStr">
        <is>
          <t>Föryngringsavverkning</t>
        </is>
      </c>
      <c r="D1333" s="1" t="n">
        <v>45776</v>
      </c>
      <c r="E1333" s="1" t="n">
        <v>46228</v>
      </c>
      <c r="F1333" t="inlineStr">
        <is>
          <t>VÄSTERNORRLANDS LÄN</t>
        </is>
      </c>
      <c r="G1333" t="inlineStr">
        <is>
          <t>ÅNGE</t>
        </is>
      </c>
      <c r="H1333" t="inlineStr">
        <is>
          <t>SCA</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21174-2025</t>
        </is>
      </c>
      <c r="B1334" t="inlineStr">
        <is>
          <t>avverkningsanmälan</t>
        </is>
      </c>
      <c r="C1334" t="inlineStr">
        <is>
          <t>Föryngringsavverkning</t>
        </is>
      </c>
      <c r="D1334" s="1" t="n">
        <v>45779</v>
      </c>
      <c r="E1334" s="1" t="n">
        <v>46228</v>
      </c>
      <c r="F1334" t="inlineStr">
        <is>
          <t>VÄSTERNORRLANDS LÄN</t>
        </is>
      </c>
      <c r="G1334" t="inlineStr">
        <is>
          <t>ÅNGE</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21197-2025</t>
        </is>
      </c>
      <c r="B1335" t="inlineStr">
        <is>
          <t>avverkningsanmälan</t>
        </is>
      </c>
      <c r="C1335" t="inlineStr">
        <is>
          <t>Föryngringsavverkning</t>
        </is>
      </c>
      <c r="D1335" s="1" t="n">
        <v>45779</v>
      </c>
      <c r="E1335" s="1" t="n">
        <v>46228</v>
      </c>
      <c r="F1335" t="inlineStr">
        <is>
          <t>VÄSTERNORRLANDS LÄN</t>
        </is>
      </c>
      <c r="G1335" t="inlineStr">
        <is>
          <t>ÅNGE</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45030-2024</t>
        </is>
      </c>
      <c r="B1336" t="inlineStr">
        <is>
          <t>avverkningsanmälan</t>
        </is>
      </c>
      <c r="C1336" t="inlineStr">
        <is>
          <t>Föryngringsavverkning</t>
        </is>
      </c>
      <c r="D1336" s="1" t="n">
        <v>45575</v>
      </c>
      <c r="E1336" s="1" t="n">
        <v>46228</v>
      </c>
      <c r="F1336" t="inlineStr">
        <is>
          <t>VÄSTERNORRLANDS LÄN</t>
        </is>
      </c>
      <c r="G1336" t="inlineStr">
        <is>
          <t>ÅNGE</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21251-2025</t>
        </is>
      </c>
      <c r="B1337" t="inlineStr">
        <is>
          <t>avverkningsanmälan</t>
        </is>
      </c>
      <c r="C1337" t="inlineStr">
        <is>
          <t>Föryngringsavverkning</t>
        </is>
      </c>
      <c r="D1337" s="1" t="n">
        <v>45779</v>
      </c>
      <c r="E1337" s="1" t="n">
        <v>46228</v>
      </c>
      <c r="F1337" t="inlineStr">
        <is>
          <t>VÄSTERNORRLANDS LÄN</t>
        </is>
      </c>
      <c r="G1337" t="inlineStr">
        <is>
          <t>ÅNGE</t>
        </is>
      </c>
      <c r="H1337" t="inlineStr">
        <is>
          <t>SCA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21685-2025</t>
        </is>
      </c>
      <c r="B1338" t="inlineStr">
        <is>
          <t>avverkningsanmälan</t>
        </is>
      </c>
      <c r="C1338" t="inlineStr">
        <is>
          <t>Föryngringsavverkning</t>
        </is>
      </c>
      <c r="D1338" s="1" t="n">
        <v>45783</v>
      </c>
      <c r="E1338" s="1" t="n">
        <v>46228</v>
      </c>
      <c r="F1338" t="inlineStr">
        <is>
          <t>VÄSTERNORRLANDS LÄN</t>
        </is>
      </c>
      <c r="G1338" t="inlineStr">
        <is>
          <t>ÅNGE</t>
        </is>
      </c>
      <c r="H1338" t="inlineStr">
        <is>
          <t>SCA</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17669-2023</t>
        </is>
      </c>
      <c r="B1339" t="inlineStr">
        <is>
          <t>avverkningsanmälan</t>
        </is>
      </c>
      <c r="C1339" t="inlineStr">
        <is>
          <t>Föryngringsavverkning</t>
        </is>
      </c>
      <c r="D1339" s="1" t="n">
        <v>45036</v>
      </c>
      <c r="E1339" s="1" t="n">
        <v>46228</v>
      </c>
      <c r="F1339" t="inlineStr">
        <is>
          <t>VÄSTERNORRLANDS LÄN</t>
        </is>
      </c>
      <c r="G1339" t="inlineStr">
        <is>
          <t>ÅNGE</t>
        </is>
      </c>
      <c r="H1339" t="inlineStr">
        <is>
          <t>SCA</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25867-2024</t>
        </is>
      </c>
      <c r="B1340" t="inlineStr">
        <is>
          <t>avverkningsanmälan</t>
        </is>
      </c>
      <c r="C1340" t="inlineStr">
        <is>
          <t>Föryngringsavverkning</t>
        </is>
      </c>
      <c r="D1340" s="1" t="n">
        <v>45463</v>
      </c>
      <c r="E1340" s="1" t="n">
        <v>46228</v>
      </c>
      <c r="F1340" t="inlineStr">
        <is>
          <t>VÄSTERNORRLANDS LÄN</t>
        </is>
      </c>
      <c r="G1340" t="inlineStr">
        <is>
          <t>ÅNGE</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2539-2025</t>
        </is>
      </c>
      <c r="B1341" t="inlineStr">
        <is>
          <t>avverkningsanmälan</t>
        </is>
      </c>
      <c r="C1341" t="inlineStr">
        <is>
          <t>Föryngringsavverkning</t>
        </is>
      </c>
      <c r="D1341" s="1" t="n">
        <v>45674</v>
      </c>
      <c r="E1341" s="1" t="n">
        <v>46228</v>
      </c>
      <c r="F1341" t="inlineStr">
        <is>
          <t>VÄSTERNORRLANDS LÄN</t>
        </is>
      </c>
      <c r="G1341" t="inlineStr">
        <is>
          <t>ÅNGE</t>
        </is>
      </c>
      <c r="H1341" t="inlineStr">
        <is>
          <t>SCA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54295-2024</t>
        </is>
      </c>
      <c r="B1342" t="inlineStr">
        <is>
          <t>avverkningsanmälan</t>
        </is>
      </c>
      <c r="C1342" t="inlineStr">
        <is>
          <t>Föryngringsavverkning</t>
        </is>
      </c>
      <c r="D1342" s="1" t="n">
        <v>45617</v>
      </c>
      <c r="E1342" s="1" t="n">
        <v>46228</v>
      </c>
      <c r="F1342" t="inlineStr">
        <is>
          <t>VÄSTERNORRLANDS LÄN</t>
        </is>
      </c>
      <c r="G1342" t="inlineStr">
        <is>
          <t>ÅNGE</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21563-2025</t>
        </is>
      </c>
      <c r="B1343" t="inlineStr">
        <is>
          <t>avverkningsanmälan</t>
        </is>
      </c>
      <c r="C1343" t="inlineStr">
        <is>
          <t>Föryngringsavverkning</t>
        </is>
      </c>
      <c r="D1343" s="1" t="n">
        <v>45782</v>
      </c>
      <c r="E1343" s="1" t="n">
        <v>46228</v>
      </c>
      <c r="F1343" t="inlineStr">
        <is>
          <t>VÄSTERNORRLANDS LÄN</t>
        </is>
      </c>
      <c r="G1343" t="inlineStr">
        <is>
          <t>ÅNGE</t>
        </is>
      </c>
      <c r="H1343" t="inlineStr">
        <is>
          <t>SCA</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21712-2025</t>
        </is>
      </c>
      <c r="B1344" t="inlineStr">
        <is>
          <t>avverkningsanmälan</t>
        </is>
      </c>
      <c r="C1344" t="inlineStr">
        <is>
          <t>Föryngringsavverkning</t>
        </is>
      </c>
      <c r="D1344" s="1" t="n">
        <v>45783</v>
      </c>
      <c r="E1344" s="1" t="n">
        <v>46228</v>
      </c>
      <c r="F1344" t="inlineStr">
        <is>
          <t>VÄSTERNORRLANDS LÄN</t>
        </is>
      </c>
      <c r="G1344" t="inlineStr">
        <is>
          <t>ÅNGE</t>
        </is>
      </c>
      <c r="H1344" t="inlineStr">
        <is>
          <t>SCA</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32257-2024</t>
        </is>
      </c>
      <c r="B1345" t="inlineStr">
        <is>
          <t>avverkningsanmälan</t>
        </is>
      </c>
      <c r="C1345" t="inlineStr">
        <is>
          <t>Föryngringsavverkning</t>
        </is>
      </c>
      <c r="D1345" s="1" t="n">
        <v>45511</v>
      </c>
      <c r="E1345" s="1" t="n">
        <v>46228</v>
      </c>
      <c r="F1345" t="inlineStr">
        <is>
          <t>VÄSTERNORRLANDS LÄN</t>
        </is>
      </c>
      <c r="G1345" t="inlineStr">
        <is>
          <t>ÅNGE</t>
        </is>
      </c>
      <c r="H1345" t="inlineStr">
        <is>
          <t>SCA</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20880-2025</t>
        </is>
      </c>
      <c r="B1346" t="inlineStr">
        <is>
          <t>avverkningsanmälan</t>
        </is>
      </c>
      <c r="C1346" t="inlineStr">
        <is>
          <t>Föryngringsavverkning</t>
        </is>
      </c>
      <c r="D1346" s="1" t="n">
        <v>45777</v>
      </c>
      <c r="E1346" s="1" t="n">
        <v>46228</v>
      </c>
      <c r="F1346" t="inlineStr">
        <is>
          <t>VÄSTERNORRLANDS LÄN</t>
        </is>
      </c>
      <c r="G1346" t="inlineStr">
        <is>
          <t>ÅNGE</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22219-2025</t>
        </is>
      </c>
      <c r="B1347" t="inlineStr">
        <is>
          <t>avverkningsanmälan</t>
        </is>
      </c>
      <c r="C1347" t="inlineStr">
        <is>
          <t>Föryngringsavverkning</t>
        </is>
      </c>
      <c r="D1347" s="1" t="n">
        <v>45785</v>
      </c>
      <c r="E1347" s="1" t="n">
        <v>46228</v>
      </c>
      <c r="F1347" t="inlineStr">
        <is>
          <t>VÄSTERNORRLANDS LÄN</t>
        </is>
      </c>
      <c r="G1347" t="inlineStr">
        <is>
          <t>ÅNGE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21862-2025</t>
        </is>
      </c>
      <c r="B1348" t="inlineStr">
        <is>
          <t>avverkningsanmälan</t>
        </is>
      </c>
      <c r="C1348" t="inlineStr">
        <is>
          <t>Föryngringsavverkning</t>
        </is>
      </c>
      <c r="D1348" s="1" t="n">
        <v>45784</v>
      </c>
      <c r="E1348" s="1" t="n">
        <v>46228</v>
      </c>
      <c r="F1348" t="inlineStr">
        <is>
          <t>VÄSTERNORRLANDS LÄN</t>
        </is>
      </c>
      <c r="G1348" t="inlineStr">
        <is>
          <t>ÅNGE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22206-2025</t>
        </is>
      </c>
      <c r="B1349" t="inlineStr">
        <is>
          <t>avverkningsanmälan</t>
        </is>
      </c>
      <c r="C1349" t="inlineStr">
        <is>
          <t>Föryngringsavverkning</t>
        </is>
      </c>
      <c r="D1349" s="1" t="n">
        <v>45785</v>
      </c>
      <c r="E1349" s="1" t="n">
        <v>46228</v>
      </c>
      <c r="F1349" t="inlineStr">
        <is>
          <t>VÄSTERNORRLANDS LÄN</t>
        </is>
      </c>
      <c r="G1349" t="inlineStr">
        <is>
          <t>ÅNGE</t>
        </is>
      </c>
      <c r="H1349" t="inlineStr">
        <is>
          <t>SCA</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29395-2023</t>
        </is>
      </c>
      <c r="B1350" t="inlineStr">
        <is>
          <t>avverkningsanmälan</t>
        </is>
      </c>
      <c r="C1350" t="inlineStr">
        <is>
          <t>Föryngringsavverkning</t>
        </is>
      </c>
      <c r="D1350" s="1" t="n">
        <v>45106</v>
      </c>
      <c r="E1350" s="1" t="n">
        <v>46228</v>
      </c>
      <c r="F1350" t="inlineStr">
        <is>
          <t>VÄSTERNORRLANDS LÄN</t>
        </is>
      </c>
      <c r="G1350" t="inlineStr">
        <is>
          <t>ÅNGE</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38800-2024</t>
        </is>
      </c>
      <c r="B1351" t="inlineStr">
        <is>
          <t>avverkningsanmälan</t>
        </is>
      </c>
      <c r="C1351" t="inlineStr">
        <is>
          <t>Föryngringsavverkning</t>
        </is>
      </c>
      <c r="D1351" s="1" t="n">
        <v>45547</v>
      </c>
      <c r="E1351" s="1" t="n">
        <v>46228</v>
      </c>
      <c r="F1351" t="inlineStr">
        <is>
          <t>VÄSTERNORRLANDS LÄN</t>
        </is>
      </c>
      <c r="G1351" t="inlineStr">
        <is>
          <t>ÅNGE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21883-2025</t>
        </is>
      </c>
      <c r="B1352" t="inlineStr">
        <is>
          <t>avverkningsanmälan</t>
        </is>
      </c>
      <c r="C1352" t="inlineStr">
        <is>
          <t>Föryngringsavverkning</t>
        </is>
      </c>
      <c r="D1352" s="1" t="n">
        <v>45784</v>
      </c>
      <c r="E1352" s="1" t="n">
        <v>46228</v>
      </c>
      <c r="F1352" t="inlineStr">
        <is>
          <t>VÄSTERNORRLANDS LÄN</t>
        </is>
      </c>
      <c r="G1352" t="inlineStr">
        <is>
          <t>ÅNGE</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31492-2024</t>
        </is>
      </c>
      <c r="B1353" t="inlineStr">
        <is>
          <t>avverkningsanmälan</t>
        </is>
      </c>
      <c r="C1353" t="inlineStr">
        <is>
          <t>Föryngringsavverkning</t>
        </is>
      </c>
      <c r="D1353" s="1" t="n">
        <v>45505</v>
      </c>
      <c r="E1353" s="1" t="n">
        <v>46228</v>
      </c>
      <c r="F1353" t="inlineStr">
        <is>
          <t>VÄSTERNORRLANDS LÄN</t>
        </is>
      </c>
      <c r="G1353" t="inlineStr">
        <is>
          <t>ÅNGE</t>
        </is>
      </c>
      <c r="H1353" t="inlineStr">
        <is>
          <t>SCA</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22187-2024</t>
        </is>
      </c>
      <c r="B1354" t="inlineStr">
        <is>
          <t>avverkningsanmälan</t>
        </is>
      </c>
      <c r="C1354" t="inlineStr">
        <is>
          <t>Föryngringsavverkning</t>
        </is>
      </c>
      <c r="D1354" s="1" t="n">
        <v>45446</v>
      </c>
      <c r="E1354" s="1" t="n">
        <v>46228</v>
      </c>
      <c r="F1354" t="inlineStr">
        <is>
          <t>VÄSTERNORRLANDS LÄN</t>
        </is>
      </c>
      <c r="G1354" t="inlineStr">
        <is>
          <t>ÅNGE</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22489-2025</t>
        </is>
      </c>
      <c r="B1355" t="inlineStr">
        <is>
          <t>avverkningsanmälan</t>
        </is>
      </c>
      <c r="C1355" t="inlineStr">
        <is>
          <t>Föryngringsavverkning</t>
        </is>
      </c>
      <c r="D1355" s="1" t="n">
        <v>45786</v>
      </c>
      <c r="E1355" s="1" t="n">
        <v>46228</v>
      </c>
      <c r="F1355" t="inlineStr">
        <is>
          <t>VÄSTERNORRLANDS LÄN</t>
        </is>
      </c>
      <c r="G1355" t="inlineStr">
        <is>
          <t>ÅNGE</t>
        </is>
      </c>
      <c r="H1355" t="inlineStr">
        <is>
          <t>Sveaskog</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22791-2025</t>
        </is>
      </c>
      <c r="B1356" t="inlineStr">
        <is>
          <t>avverkningsanmälan</t>
        </is>
      </c>
      <c r="C1356" t="inlineStr">
        <is>
          <t>Föryngringsavverkning</t>
        </is>
      </c>
      <c r="D1356" s="1" t="n">
        <v>45789</v>
      </c>
      <c r="E1356" s="1" t="n">
        <v>46228</v>
      </c>
      <c r="F1356" t="inlineStr">
        <is>
          <t>VÄSTERNORRLANDS LÄN</t>
        </is>
      </c>
      <c r="G1356" t="inlineStr">
        <is>
          <t>ÅNGE</t>
        </is>
      </c>
      <c r="H1356" t="inlineStr">
        <is>
          <t>SCA</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23529-2025</t>
        </is>
      </c>
      <c r="B1357" t="inlineStr">
        <is>
          <t>avverkningsanmälan</t>
        </is>
      </c>
      <c r="C1357" t="inlineStr">
        <is>
          <t>Föryngringsavverkning</t>
        </is>
      </c>
      <c r="D1357" s="1" t="n">
        <v>45792</v>
      </c>
      <c r="E1357" s="1" t="n">
        <v>46228</v>
      </c>
      <c r="F1357" t="inlineStr">
        <is>
          <t>VÄSTERNORRLANDS LÄN</t>
        </is>
      </c>
      <c r="G1357" t="inlineStr">
        <is>
          <t>ÅNGE</t>
        </is>
      </c>
      <c r="H1357" t="inlineStr">
        <is>
          <t>SCA</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60004-2023</t>
        </is>
      </c>
      <c r="B1358" t="inlineStr">
        <is>
          <t>avverkningsanmälan</t>
        </is>
      </c>
      <c r="C1358" t="inlineStr">
        <is>
          <t>Föryngringsavverkning</t>
        </is>
      </c>
      <c r="D1358" s="1" t="n">
        <v>45257</v>
      </c>
      <c r="E1358" s="1" t="n">
        <v>46228</v>
      </c>
      <c r="F1358" t="inlineStr">
        <is>
          <t>VÄSTERNORRLANDS LÄN</t>
        </is>
      </c>
      <c r="G1358" t="inlineStr">
        <is>
          <t>ÅNGE</t>
        </is>
      </c>
      <c r="H1358" t="inlineStr">
        <is>
          <t>SCA</t>
        </is>
      </c>
      <c r="I1358" t="n">
        <v>9.199999999999999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4142-2024</t>
        </is>
      </c>
      <c r="B1359" t="inlineStr">
        <is>
          <t>avverkningsanmälan</t>
        </is>
      </c>
      <c r="C1359" t="inlineStr">
        <is>
          <t>Föryngringsavverkning</t>
        </is>
      </c>
      <c r="D1359" s="1" t="n">
        <v>45323</v>
      </c>
      <c r="E1359" s="1" t="n">
        <v>46228</v>
      </c>
      <c r="F1359" t="inlineStr">
        <is>
          <t>VÄSTERNORRLANDS LÄN</t>
        </is>
      </c>
      <c r="G1359" t="inlineStr">
        <is>
          <t>ÅNGE</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54079-2023</t>
        </is>
      </c>
      <c r="B1360" t="inlineStr">
        <is>
          <t>avverkningsanmälan</t>
        </is>
      </c>
      <c r="C1360" t="inlineStr">
        <is>
          <t>Föryngringsavverkning</t>
        </is>
      </c>
      <c r="D1360" s="1" t="n">
        <v>45231</v>
      </c>
      <c r="E1360" s="1" t="n">
        <v>46228</v>
      </c>
      <c r="F1360" t="inlineStr">
        <is>
          <t>VÄSTERNORRLANDS LÄN</t>
        </is>
      </c>
      <c r="G1360" t="inlineStr">
        <is>
          <t>ÅNGE</t>
        </is>
      </c>
      <c r="H1360" t="inlineStr">
        <is>
          <t>SCA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41575-2024</t>
        </is>
      </c>
      <c r="B1361" t="inlineStr">
        <is>
          <t>avverkningsanmälan</t>
        </is>
      </c>
      <c r="C1361" t="inlineStr">
        <is>
          <t>Föryngringsavverkning</t>
        </is>
      </c>
      <c r="D1361" s="1" t="n">
        <v>45560</v>
      </c>
      <c r="E1361" s="1" t="n">
        <v>46228</v>
      </c>
      <c r="F1361" t="inlineStr">
        <is>
          <t>VÄSTERNORRLANDS LÄN</t>
        </is>
      </c>
      <c r="G1361" t="inlineStr">
        <is>
          <t>ÅNGE</t>
        </is>
      </c>
      <c r="H1361" t="inlineStr">
        <is>
          <t>Holmen skog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19007-2025</t>
        </is>
      </c>
      <c r="B1362" t="inlineStr">
        <is>
          <t>avverkningsanmälan</t>
        </is>
      </c>
      <c r="C1362" t="inlineStr">
        <is>
          <t>Föryngringsavverkning</t>
        </is>
      </c>
      <c r="D1362" s="1" t="n">
        <v>45764</v>
      </c>
      <c r="E1362" s="1" t="n">
        <v>46228</v>
      </c>
      <c r="F1362" t="inlineStr">
        <is>
          <t>VÄSTERNORRLANDS LÄN</t>
        </is>
      </c>
      <c r="G1362" t="inlineStr">
        <is>
          <t>ÅNGE</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41741-2023</t>
        </is>
      </c>
      <c r="B1363" t="inlineStr">
        <is>
          <t>avverkningsanmälan</t>
        </is>
      </c>
      <c r="C1363" t="inlineStr">
        <is>
          <t>Föryngringsavverkning</t>
        </is>
      </c>
      <c r="D1363" s="1" t="n">
        <v>45176</v>
      </c>
      <c r="E1363" s="1" t="n">
        <v>46228</v>
      </c>
      <c r="F1363" t="inlineStr">
        <is>
          <t>VÄSTERNORRLANDS LÄN</t>
        </is>
      </c>
      <c r="G1363" t="inlineStr">
        <is>
          <t>ÅNGE</t>
        </is>
      </c>
      <c r="I1363" t="n">
        <v>7.8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29702-2024</t>
        </is>
      </c>
      <c r="B1364" t="inlineStr">
        <is>
          <t>avverkningsanmälan</t>
        </is>
      </c>
      <c r="C1364" t="inlineStr">
        <is>
          <t>Föryngringsavverkning</t>
        </is>
      </c>
      <c r="D1364" s="1" t="n">
        <v>45485</v>
      </c>
      <c r="E1364" s="1" t="n">
        <v>46228</v>
      </c>
      <c r="F1364" t="inlineStr">
        <is>
          <t>VÄSTERNORRLANDS LÄN</t>
        </is>
      </c>
      <c r="G1364" t="inlineStr">
        <is>
          <t>ÅNGE</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23069-2024</t>
        </is>
      </c>
      <c r="B1365" t="inlineStr">
        <is>
          <t>avverkningsanmälan</t>
        </is>
      </c>
      <c r="C1365" t="inlineStr">
        <is>
          <t>Föryngringsavverkning</t>
        </is>
      </c>
      <c r="D1365" s="1" t="n">
        <v>45450</v>
      </c>
      <c r="E1365" s="1" t="n">
        <v>46228</v>
      </c>
      <c r="F1365" t="inlineStr">
        <is>
          <t>VÄSTERNORRLANDS LÄN</t>
        </is>
      </c>
      <c r="G1365" t="inlineStr">
        <is>
          <t>ÅNGE</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10781-2024</t>
        </is>
      </c>
      <c r="B1366" t="inlineStr">
        <is>
          <t>avverkningsanmälan</t>
        </is>
      </c>
      <c r="C1366" t="inlineStr">
        <is>
          <t>Föryngringsavverkning</t>
        </is>
      </c>
      <c r="D1366" s="1" t="n">
        <v>45369</v>
      </c>
      <c r="E1366" s="1" t="n">
        <v>46228</v>
      </c>
      <c r="F1366" t="inlineStr">
        <is>
          <t>VÄSTERNORRLANDS LÄN</t>
        </is>
      </c>
      <c r="G1366" t="inlineStr">
        <is>
          <t>ÅNGE</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57516-2023</t>
        </is>
      </c>
      <c r="B1367" t="inlineStr">
        <is>
          <t>avverkningsanmälan</t>
        </is>
      </c>
      <c r="C1367" t="inlineStr">
        <is>
          <t>Föryngringsavverkning</t>
        </is>
      </c>
      <c r="D1367" s="1" t="n">
        <v>45246</v>
      </c>
      <c r="E1367" s="1" t="n">
        <v>46228</v>
      </c>
      <c r="F1367" t="inlineStr">
        <is>
          <t>VÄSTERNORRLANDS LÄN</t>
        </is>
      </c>
      <c r="G1367" t="inlineStr">
        <is>
          <t>ÅNGE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26641-2024</t>
        </is>
      </c>
      <c r="B1368" t="inlineStr">
        <is>
          <t>avverkningsanmälan</t>
        </is>
      </c>
      <c r="C1368" t="inlineStr">
        <is>
          <t>Föryngringsavverkning</t>
        </is>
      </c>
      <c r="D1368" s="1" t="n">
        <v>45469</v>
      </c>
      <c r="E1368" s="1" t="n">
        <v>46228</v>
      </c>
      <c r="F1368" t="inlineStr">
        <is>
          <t>VÄSTERNORRLANDS LÄN</t>
        </is>
      </c>
      <c r="G1368" t="inlineStr">
        <is>
          <t>ÅNGE</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37992-2024</t>
        </is>
      </c>
      <c r="B1369" t="inlineStr">
        <is>
          <t>avverkningsanmälan</t>
        </is>
      </c>
      <c r="C1369" t="inlineStr">
        <is>
          <t>Föryngringsavverkning</t>
        </is>
      </c>
      <c r="D1369" s="1" t="n">
        <v>45544</v>
      </c>
      <c r="E1369" s="1" t="n">
        <v>46228</v>
      </c>
      <c r="F1369" t="inlineStr">
        <is>
          <t>VÄSTERNORRLANDS LÄN</t>
        </is>
      </c>
      <c r="G1369" t="inlineStr">
        <is>
          <t>ÅNGE</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43145-2024</t>
        </is>
      </c>
      <c r="B1370" t="inlineStr">
        <is>
          <t>avverkningsanmälan</t>
        </is>
      </c>
      <c r="C1370" t="inlineStr">
        <is>
          <t>Föryngringsavverkning</t>
        </is>
      </c>
      <c r="D1370" s="1" t="n">
        <v>45567</v>
      </c>
      <c r="E1370" s="1" t="n">
        <v>46228</v>
      </c>
      <c r="F1370" t="inlineStr">
        <is>
          <t>VÄSTERNORRLANDS LÄN</t>
        </is>
      </c>
      <c r="G1370" t="inlineStr">
        <is>
          <t>ÅNGE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24232-2025</t>
        </is>
      </c>
      <c r="B1371" t="inlineStr">
        <is>
          <t>avverkningsanmälan</t>
        </is>
      </c>
      <c r="C1371" t="inlineStr">
        <is>
          <t>Föryngringsavverkning</t>
        </is>
      </c>
      <c r="D1371" s="1" t="n">
        <v>45797</v>
      </c>
      <c r="E1371" s="1" t="n">
        <v>46228</v>
      </c>
      <c r="F1371" t="inlineStr">
        <is>
          <t>VÄSTERNORRLANDS LÄN</t>
        </is>
      </c>
      <c r="G1371" t="inlineStr">
        <is>
          <t>ÅNGE</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56188-2024</t>
        </is>
      </c>
      <c r="B1372" t="inlineStr">
        <is>
          <t>avverkningsanmälan</t>
        </is>
      </c>
      <c r="C1372" t="inlineStr">
        <is>
          <t>Föryngringsavverkning</t>
        </is>
      </c>
      <c r="D1372" s="1" t="n">
        <v>45624</v>
      </c>
      <c r="E1372" s="1" t="n">
        <v>46228</v>
      </c>
      <c r="F1372" t="inlineStr">
        <is>
          <t>VÄSTERNORRLANDS LÄN</t>
        </is>
      </c>
      <c r="G1372" t="inlineStr">
        <is>
          <t>ÅNGE</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24458-2025</t>
        </is>
      </c>
      <c r="B1373" t="inlineStr">
        <is>
          <t>avverkningsanmälan</t>
        </is>
      </c>
      <c r="C1373" t="inlineStr">
        <is>
          <t>Föryngringsavverkning</t>
        </is>
      </c>
      <c r="D1373" s="1" t="n">
        <v>45798</v>
      </c>
      <c r="E1373" s="1" t="n">
        <v>46228</v>
      </c>
      <c r="F1373" t="inlineStr">
        <is>
          <t>VÄSTERNORRLANDS LÄN</t>
        </is>
      </c>
      <c r="G1373" t="inlineStr">
        <is>
          <t>ÅNGE</t>
        </is>
      </c>
      <c r="H1373" t="inlineStr">
        <is>
          <t>SCA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24627-2025</t>
        </is>
      </c>
      <c r="B1374" t="inlineStr">
        <is>
          <t>avverkningsanmälan</t>
        </is>
      </c>
      <c r="C1374" t="inlineStr">
        <is>
          <t>Föryngringsavverkning</t>
        </is>
      </c>
      <c r="D1374" s="1" t="n">
        <v>45798</v>
      </c>
      <c r="E1374" s="1" t="n">
        <v>46228</v>
      </c>
      <c r="F1374" t="inlineStr">
        <is>
          <t>VÄSTERNORRLANDS LÄN</t>
        </is>
      </c>
      <c r="G1374" t="inlineStr">
        <is>
          <t>ÅNGE</t>
        </is>
      </c>
      <c r="H1374" t="inlineStr">
        <is>
          <t>SCA</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27853-2024</t>
        </is>
      </c>
      <c r="B1375" t="inlineStr">
        <is>
          <t>avverkningsanmälan</t>
        </is>
      </c>
      <c r="C1375" t="inlineStr">
        <is>
          <t>Föryngringsavverkning</t>
        </is>
      </c>
      <c r="D1375" s="1" t="n">
        <v>45475</v>
      </c>
      <c r="E1375" s="1" t="n">
        <v>46228</v>
      </c>
      <c r="F1375" t="inlineStr">
        <is>
          <t>VÄSTERNORRLANDS LÄN</t>
        </is>
      </c>
      <c r="G1375" t="inlineStr">
        <is>
          <t>ÅNGE</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24847-2025</t>
        </is>
      </c>
      <c r="B1376" t="inlineStr">
        <is>
          <t>avverkningsanmälan</t>
        </is>
      </c>
      <c r="C1376" t="inlineStr">
        <is>
          <t>Föryngringsavverkning</t>
        </is>
      </c>
      <c r="D1376" s="1" t="n">
        <v>45799</v>
      </c>
      <c r="E1376" s="1" t="n">
        <v>46228</v>
      </c>
      <c r="F1376" t="inlineStr">
        <is>
          <t>VÄSTERNORRLANDS LÄN</t>
        </is>
      </c>
      <c r="G1376" t="inlineStr">
        <is>
          <t>ÅNGE</t>
        </is>
      </c>
      <c r="H1376" t="inlineStr">
        <is>
          <t>SCA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43622-2023</t>
        </is>
      </c>
      <c r="B1377" t="inlineStr">
        <is>
          <t>avverkningsanmälan</t>
        </is>
      </c>
      <c r="C1377" t="inlineStr">
        <is>
          <t>Föryngringsavverkning</t>
        </is>
      </c>
      <c r="D1377" s="1" t="n">
        <v>45184</v>
      </c>
      <c r="E1377" s="1" t="n">
        <v>46228</v>
      </c>
      <c r="F1377" t="inlineStr">
        <is>
          <t>VÄSTERNORRLANDS LÄN</t>
        </is>
      </c>
      <c r="G1377" t="inlineStr">
        <is>
          <t>ÅNGE</t>
        </is>
      </c>
      <c r="H1377" t="inlineStr">
        <is>
          <t>Holmen skog AB</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25067-2025</t>
        </is>
      </c>
      <c r="B1378" t="inlineStr">
        <is>
          <t>avverkningsanmälan</t>
        </is>
      </c>
      <c r="C1378" t="inlineStr">
        <is>
          <t>Föryngringsavverkning</t>
        </is>
      </c>
      <c r="D1378" s="1" t="n">
        <v>45799</v>
      </c>
      <c r="E1378" s="1" t="n">
        <v>46228</v>
      </c>
      <c r="F1378" t="inlineStr">
        <is>
          <t>VÄSTERNORRLANDS LÄN</t>
        </is>
      </c>
      <c r="G1378" t="inlineStr">
        <is>
          <t>ÅNGE</t>
        </is>
      </c>
      <c r="H1378" t="inlineStr">
        <is>
          <t>SCA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36877-2024</t>
        </is>
      </c>
      <c r="B1379" t="inlineStr">
        <is>
          <t>avverkningsanmälan</t>
        </is>
      </c>
      <c r="C1379" t="inlineStr">
        <is>
          <t>Föryngringsavverkning</t>
        </is>
      </c>
      <c r="D1379" s="1" t="n">
        <v>45538</v>
      </c>
      <c r="E1379" s="1" t="n">
        <v>46228</v>
      </c>
      <c r="F1379" t="inlineStr">
        <is>
          <t>VÄSTERNORRLANDS LÄN</t>
        </is>
      </c>
      <c r="G1379" t="inlineStr">
        <is>
          <t>ÅNGE</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25352-2025</t>
        </is>
      </c>
      <c r="B1380" t="inlineStr">
        <is>
          <t>avverkningsanmälan</t>
        </is>
      </c>
      <c r="C1380" t="inlineStr">
        <is>
          <t>Föryngringsavverkning</t>
        </is>
      </c>
      <c r="D1380" s="1" t="n">
        <v>45800</v>
      </c>
      <c r="E1380" s="1" t="n">
        <v>46228</v>
      </c>
      <c r="F1380" t="inlineStr">
        <is>
          <t>VÄSTERNORRLANDS LÄN</t>
        </is>
      </c>
      <c r="G1380" t="inlineStr">
        <is>
          <t>ÅNGE</t>
        </is>
      </c>
      <c r="H1380" t="inlineStr">
        <is>
          <t>SCA</t>
        </is>
      </c>
      <c r="I1380" t="n">
        <v>6.3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53651-2023</t>
        </is>
      </c>
      <c r="B1381" t="inlineStr">
        <is>
          <t>avverkningsanmälan</t>
        </is>
      </c>
      <c r="C1381" t="inlineStr">
        <is>
          <t>Föryngringsavverkning</t>
        </is>
      </c>
      <c r="D1381" s="1" t="n">
        <v>45230</v>
      </c>
      <c r="E1381" s="1" t="n">
        <v>46228</v>
      </c>
      <c r="F1381" t="inlineStr">
        <is>
          <t>VÄSTERNORRLANDS LÄN</t>
        </is>
      </c>
      <c r="G1381" t="inlineStr">
        <is>
          <t>ÅNGE</t>
        </is>
      </c>
      <c r="H1381" t="inlineStr">
        <is>
          <t>Holmen skog AB</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25340-2025</t>
        </is>
      </c>
      <c r="B1382" t="inlineStr">
        <is>
          <t>avverkningsanmälan</t>
        </is>
      </c>
      <c r="C1382" t="inlineStr">
        <is>
          <t>Föryngringsavverkning</t>
        </is>
      </c>
      <c r="D1382" s="1" t="n">
        <v>45800</v>
      </c>
      <c r="E1382" s="1" t="n">
        <v>46228</v>
      </c>
      <c r="F1382" t="inlineStr">
        <is>
          <t>VÄSTERNORRLANDS LÄN</t>
        </is>
      </c>
      <c r="G1382" t="inlineStr">
        <is>
          <t>ÅNGE</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25532-2025</t>
        </is>
      </c>
      <c r="B1383" t="inlineStr">
        <is>
          <t>avverkningsanmälan</t>
        </is>
      </c>
      <c r="C1383" t="inlineStr">
        <is>
          <t>Avverkning för annat ändamål</t>
        </is>
      </c>
      <c r="D1383" s="1" t="n">
        <v>45803</v>
      </c>
      <c r="E1383" s="1" t="n">
        <v>46228</v>
      </c>
      <c r="F1383" t="inlineStr">
        <is>
          <t>VÄSTERNORRLANDS LÄN</t>
        </is>
      </c>
      <c r="G1383" t="inlineStr">
        <is>
          <t>ÅNGE</t>
        </is>
      </c>
      <c r="H1383" t="inlineStr">
        <is>
          <t>SCA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31863-2024</t>
        </is>
      </c>
      <c r="B1384" t="inlineStr">
        <is>
          <t>avverkningsanmälan</t>
        </is>
      </c>
      <c r="C1384" t="inlineStr">
        <is>
          <t>Föryngringsavverkning</t>
        </is>
      </c>
      <c r="D1384" s="1" t="n">
        <v>45509</v>
      </c>
      <c r="E1384" s="1" t="n">
        <v>46228</v>
      </c>
      <c r="F1384" t="inlineStr">
        <is>
          <t>VÄSTERNORRLANDS LÄN</t>
        </is>
      </c>
      <c r="G1384" t="inlineStr">
        <is>
          <t>ÅNGE</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25273-2025</t>
        </is>
      </c>
      <c r="B1385" t="inlineStr">
        <is>
          <t>avverkningsanmälan</t>
        </is>
      </c>
      <c r="C1385" t="inlineStr">
        <is>
          <t>Föryngringsavverkning</t>
        </is>
      </c>
      <c r="D1385" s="1" t="n">
        <v>45800</v>
      </c>
      <c r="E1385" s="1" t="n">
        <v>46228</v>
      </c>
      <c r="F1385" t="inlineStr">
        <is>
          <t>VÄSTERNORRLANDS LÄN</t>
        </is>
      </c>
      <c r="G1385" t="inlineStr">
        <is>
          <t>ÅNGE</t>
        </is>
      </c>
      <c r="H1385" t="inlineStr">
        <is>
          <t>SCA</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15863-2022</t>
        </is>
      </c>
      <c r="B1386" t="inlineStr">
        <is>
          <t>avverkningsanmälan</t>
        </is>
      </c>
      <c r="C1386" t="inlineStr">
        <is>
          <t>Föryngringsavverkning</t>
        </is>
      </c>
      <c r="D1386" s="1" t="n">
        <v>44664</v>
      </c>
      <c r="E1386" s="1" t="n">
        <v>46228</v>
      </c>
      <c r="F1386" t="inlineStr">
        <is>
          <t>VÄSTERNORRLANDS LÄN</t>
        </is>
      </c>
      <c r="G1386" t="inlineStr">
        <is>
          <t>ÅNGE</t>
        </is>
      </c>
      <c r="I1386" t="n">
        <v>3.6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25810-2025</t>
        </is>
      </c>
      <c r="B1387" t="inlineStr">
        <is>
          <t>avverkningsanmälan</t>
        </is>
      </c>
      <c r="C1387" t="inlineStr">
        <is>
          <t>Föryngringsavverkning</t>
        </is>
      </c>
      <c r="D1387" s="1" t="n">
        <v>45804</v>
      </c>
      <c r="E1387" s="1" t="n">
        <v>46228</v>
      </c>
      <c r="F1387" t="inlineStr">
        <is>
          <t>VÄSTERNORRLANDS LÄN</t>
        </is>
      </c>
      <c r="G1387" t="inlineStr">
        <is>
          <t>ÅNGE</t>
        </is>
      </c>
      <c r="I1387" t="n">
        <v>6.2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26655-2025</t>
        </is>
      </c>
      <c r="B1388" t="inlineStr">
        <is>
          <t>avverkningsanmälan</t>
        </is>
      </c>
      <c r="C1388" t="inlineStr">
        <is>
          <t>Föryngringsavverkning</t>
        </is>
      </c>
      <c r="D1388" s="1" t="n">
        <v>45810</v>
      </c>
      <c r="E1388" s="1" t="n">
        <v>46228</v>
      </c>
      <c r="F1388" t="inlineStr">
        <is>
          <t>VÄSTERNORRLANDS LÄN</t>
        </is>
      </c>
      <c r="G1388" t="inlineStr">
        <is>
          <t>ÅNGE</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5931-2025</t>
        </is>
      </c>
      <c r="B1389" t="inlineStr">
        <is>
          <t>avverkningsanmälan</t>
        </is>
      </c>
      <c r="C1389" t="inlineStr">
        <is>
          <t>Föryngringsavverkning</t>
        </is>
      </c>
      <c r="D1389" s="1" t="n">
        <v>45695</v>
      </c>
      <c r="E1389" s="1" t="n">
        <v>46228</v>
      </c>
      <c r="F1389" t="inlineStr">
        <is>
          <t>VÄSTERNORRLANDS LÄN</t>
        </is>
      </c>
      <c r="G1389" t="inlineStr">
        <is>
          <t>ÅNGE</t>
        </is>
      </c>
      <c r="H1389" t="inlineStr">
        <is>
          <t>SCA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27023-2025</t>
        </is>
      </c>
      <c r="B1390" t="inlineStr">
        <is>
          <t>avverkningsanmälan</t>
        </is>
      </c>
      <c r="C1390" t="inlineStr">
        <is>
          <t>Avverkning för annat ändamål</t>
        </is>
      </c>
      <c r="D1390" s="1" t="n">
        <v>45811</v>
      </c>
      <c r="E1390" s="1" t="n">
        <v>46228</v>
      </c>
      <c r="F1390" t="inlineStr">
        <is>
          <t>VÄSTERNORRLANDS LÄN</t>
        </is>
      </c>
      <c r="G1390" t="inlineStr">
        <is>
          <t>ÅNGE</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36790-2023</t>
        </is>
      </c>
      <c r="B1391" t="inlineStr">
        <is>
          <t>avverkningsanmälan</t>
        </is>
      </c>
      <c r="C1391" t="inlineStr">
        <is>
          <t>Föryngringsavverkning</t>
        </is>
      </c>
      <c r="D1391" s="1" t="n">
        <v>45154</v>
      </c>
      <c r="E1391" s="1" t="n">
        <v>46228</v>
      </c>
      <c r="F1391" t="inlineStr">
        <is>
          <t>VÄSTERNORRLANDS LÄN</t>
        </is>
      </c>
      <c r="G1391" t="inlineStr">
        <is>
          <t>ÅNGE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42242-2023</t>
        </is>
      </c>
      <c r="B1392" t="inlineStr">
        <is>
          <t>avverkningsanmälan</t>
        </is>
      </c>
      <c r="C1392" t="inlineStr">
        <is>
          <t>Föryngringsavverkning</t>
        </is>
      </c>
      <c r="D1392" s="1" t="n">
        <v>45180</v>
      </c>
      <c r="E1392" s="1" t="n">
        <v>46228</v>
      </c>
      <c r="F1392" t="inlineStr">
        <is>
          <t>VÄSTERNORRLANDS LÄN</t>
        </is>
      </c>
      <c r="G1392" t="inlineStr">
        <is>
          <t>ÅNGE</t>
        </is>
      </c>
      <c r="I1392" t="n">
        <v>5.7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25973-2022</t>
        </is>
      </c>
      <c r="B1393" t="inlineStr">
        <is>
          <t>avverkningsanmälan</t>
        </is>
      </c>
      <c r="C1393" t="inlineStr">
        <is>
          <t>Föryngringsavverkning</t>
        </is>
      </c>
      <c r="D1393" s="1" t="n">
        <v>44734</v>
      </c>
      <c r="E1393" s="1" t="n">
        <v>46228</v>
      </c>
      <c r="F1393" t="inlineStr">
        <is>
          <t>VÄSTERNORRLANDS LÄN</t>
        </is>
      </c>
      <c r="G1393" t="inlineStr">
        <is>
          <t>ÅNGE</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33750-2024</t>
        </is>
      </c>
      <c r="B1394" t="inlineStr">
        <is>
          <t>avverkningsanmälan</t>
        </is>
      </c>
      <c r="C1394" t="inlineStr">
        <is>
          <t>Föryngringsavverkning</t>
        </is>
      </c>
      <c r="D1394" s="1" t="n">
        <v>45520</v>
      </c>
      <c r="E1394" s="1" t="n">
        <v>46228</v>
      </c>
      <c r="F1394" t="inlineStr">
        <is>
          <t>VÄSTERNORRLANDS LÄN</t>
        </is>
      </c>
      <c r="G1394" t="inlineStr">
        <is>
          <t>ÅNGE</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29153-2025</t>
        </is>
      </c>
      <c r="B1395" t="inlineStr">
        <is>
          <t>avverkningsanmälan</t>
        </is>
      </c>
      <c r="C1395" t="inlineStr">
        <is>
          <t>Föryngringsavverkning</t>
        </is>
      </c>
      <c r="D1395" s="1" t="n">
        <v>45821</v>
      </c>
      <c r="E1395" s="1" t="n">
        <v>46228</v>
      </c>
      <c r="F1395" t="inlineStr">
        <is>
          <t>VÄSTERNORRLANDS LÄN</t>
        </is>
      </c>
      <c r="G1395" t="inlineStr">
        <is>
          <t>ÅNGE</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28717-2025</t>
        </is>
      </c>
      <c r="B1396" t="inlineStr">
        <is>
          <t>avverkningsanmälan</t>
        </is>
      </c>
      <c r="C1396" t="inlineStr">
        <is>
          <t>Föryngringsavverkning</t>
        </is>
      </c>
      <c r="D1396" s="1" t="n">
        <v>45820</v>
      </c>
      <c r="E1396" s="1" t="n">
        <v>46228</v>
      </c>
      <c r="F1396" t="inlineStr">
        <is>
          <t>VÄSTERNORRLANDS LÄN</t>
        </is>
      </c>
      <c r="G1396" t="inlineStr">
        <is>
          <t>ÅNGE</t>
        </is>
      </c>
      <c r="H1396" t="inlineStr">
        <is>
          <t>SCA</t>
        </is>
      </c>
      <c r="I1396" t="n">
        <v>6.2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29786-2025</t>
        </is>
      </c>
      <c r="B1397" t="inlineStr">
        <is>
          <t>avverkningsanmälan</t>
        </is>
      </c>
      <c r="C1397" t="inlineStr">
        <is>
          <t>Föryngringsavverkning</t>
        </is>
      </c>
      <c r="D1397" s="1" t="n">
        <v>45825</v>
      </c>
      <c r="E1397" s="1" t="n">
        <v>46228</v>
      </c>
      <c r="F1397" t="inlineStr">
        <is>
          <t>VÄSTERNORRLANDS LÄN</t>
        </is>
      </c>
      <c r="G1397" t="inlineStr">
        <is>
          <t>ÅNGE</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29882-2025</t>
        </is>
      </c>
      <c r="B1398" t="inlineStr">
        <is>
          <t>avverkningsanmälan</t>
        </is>
      </c>
      <c r="C1398" t="inlineStr">
        <is>
          <t>Föryngringsavverkning</t>
        </is>
      </c>
      <c r="D1398" s="1" t="n">
        <v>45826</v>
      </c>
      <c r="E1398" s="1" t="n">
        <v>46228</v>
      </c>
      <c r="F1398" t="inlineStr">
        <is>
          <t>VÄSTERNORRLANDS LÄN</t>
        </is>
      </c>
      <c r="G1398" t="inlineStr">
        <is>
          <t>ÅNGE</t>
        </is>
      </c>
      <c r="H1398" t="inlineStr">
        <is>
          <t>SCA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30618-2025</t>
        </is>
      </c>
      <c r="B1399" t="inlineStr">
        <is>
          <t>avverkningsanmälan</t>
        </is>
      </c>
      <c r="C1399" t="inlineStr">
        <is>
          <t>Föryngringsavverkning</t>
        </is>
      </c>
      <c r="D1399" s="1" t="n">
        <v>45831</v>
      </c>
      <c r="E1399" s="1" t="n">
        <v>46228</v>
      </c>
      <c r="F1399" t="inlineStr">
        <is>
          <t>VÄSTERNORRLANDS LÄN</t>
        </is>
      </c>
      <c r="G1399" t="inlineStr">
        <is>
          <t>ÅNGE</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30598-2025</t>
        </is>
      </c>
      <c r="B1400" t="inlineStr">
        <is>
          <t>avverkningsanmälan</t>
        </is>
      </c>
      <c r="C1400" t="inlineStr">
        <is>
          <t>Föryngringsavverkning</t>
        </is>
      </c>
      <c r="D1400" s="1" t="n">
        <v>45831</v>
      </c>
      <c r="E1400" s="1" t="n">
        <v>46228</v>
      </c>
      <c r="F1400" t="inlineStr">
        <is>
          <t>VÄSTERNORRLANDS LÄN</t>
        </is>
      </c>
      <c r="G1400" t="inlineStr">
        <is>
          <t>ÅNGE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30892-2025</t>
        </is>
      </c>
      <c r="B1401" t="inlineStr">
        <is>
          <t>avverkningsanmälan</t>
        </is>
      </c>
      <c r="C1401" t="inlineStr">
        <is>
          <t>Föryngringsavverkning</t>
        </is>
      </c>
      <c r="D1401" s="1" t="n">
        <v>45832</v>
      </c>
      <c r="E1401" s="1" t="n">
        <v>46228</v>
      </c>
      <c r="F1401" t="inlineStr">
        <is>
          <t>VÄSTERNORRLANDS LÄN</t>
        </is>
      </c>
      <c r="G1401" t="inlineStr">
        <is>
          <t>ÅNGE</t>
        </is>
      </c>
      <c r="H1401" t="inlineStr">
        <is>
          <t>SCA</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31544-2025</t>
        </is>
      </c>
      <c r="B1402" t="inlineStr">
        <is>
          <t>avverkningsanmälan</t>
        </is>
      </c>
      <c r="C1402" t="inlineStr">
        <is>
          <t>Föryngringsavverkning</t>
        </is>
      </c>
      <c r="D1402" s="1" t="n">
        <v>45833</v>
      </c>
      <c r="E1402" s="1" t="n">
        <v>46228</v>
      </c>
      <c r="F1402" t="inlineStr">
        <is>
          <t>VÄSTERNORRLANDS LÄN</t>
        </is>
      </c>
      <c r="G1402" t="inlineStr">
        <is>
          <t>ÅNGE</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31042-2025</t>
        </is>
      </c>
      <c r="B1403" t="inlineStr">
        <is>
          <t>avverkningsanmälan</t>
        </is>
      </c>
      <c r="C1403" t="inlineStr">
        <is>
          <t>Föryngringsavverkning</t>
        </is>
      </c>
      <c r="D1403" s="1" t="n">
        <v>45832</v>
      </c>
      <c r="E1403" s="1" t="n">
        <v>46228</v>
      </c>
      <c r="F1403" t="inlineStr">
        <is>
          <t>VÄSTERNORRLANDS LÄN</t>
        </is>
      </c>
      <c r="G1403" t="inlineStr">
        <is>
          <t>ÅNGE</t>
        </is>
      </c>
      <c r="H1403" t="inlineStr">
        <is>
          <t>SCA</t>
        </is>
      </c>
      <c r="I1403" t="n">
        <v>11.8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30888-2025</t>
        </is>
      </c>
      <c r="B1404" t="inlineStr">
        <is>
          <t>avverkningsanmälan</t>
        </is>
      </c>
      <c r="C1404" t="inlineStr">
        <is>
          <t>Föryngringsavverkning</t>
        </is>
      </c>
      <c r="D1404" s="1" t="n">
        <v>45832</v>
      </c>
      <c r="E1404" s="1" t="n">
        <v>46228</v>
      </c>
      <c r="F1404" t="inlineStr">
        <is>
          <t>VÄSTERNORRLANDS LÄN</t>
        </is>
      </c>
      <c r="G1404" t="inlineStr">
        <is>
          <t>ÅNGE</t>
        </is>
      </c>
      <c r="H1404" t="inlineStr">
        <is>
          <t>SCA</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30875-2025</t>
        </is>
      </c>
      <c r="B1405" t="inlineStr">
        <is>
          <t>avverkningsanmälan</t>
        </is>
      </c>
      <c r="C1405" t="inlineStr">
        <is>
          <t>Föryngringsavverkning</t>
        </is>
      </c>
      <c r="D1405" s="1" t="n">
        <v>45832</v>
      </c>
      <c r="E1405" s="1" t="n">
        <v>46228</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31139-2025</t>
        </is>
      </c>
      <c r="B1406" t="inlineStr">
        <is>
          <t>avverkningsanmälan</t>
        </is>
      </c>
      <c r="C1406" t="inlineStr">
        <is>
          <t>Föryngringsavverkning</t>
        </is>
      </c>
      <c r="D1406" s="1" t="n">
        <v>45832</v>
      </c>
      <c r="E1406" s="1" t="n">
        <v>46228</v>
      </c>
      <c r="F1406" t="inlineStr">
        <is>
          <t>VÄSTERNORRLANDS LÄN</t>
        </is>
      </c>
      <c r="G1406" t="inlineStr">
        <is>
          <t>ÅNGE</t>
        </is>
      </c>
      <c r="H1406" t="inlineStr">
        <is>
          <t>SCA</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31642-2025</t>
        </is>
      </c>
      <c r="B1407" t="inlineStr">
        <is>
          <t>avverkningsanmälan</t>
        </is>
      </c>
      <c r="C1407" t="inlineStr">
        <is>
          <t>Föryngringsavverkning</t>
        </is>
      </c>
      <c r="D1407" s="1" t="n">
        <v>45834</v>
      </c>
      <c r="E1407" s="1" t="n">
        <v>46228</v>
      </c>
      <c r="F1407" t="inlineStr">
        <is>
          <t>VÄSTERNORRLANDS LÄN</t>
        </is>
      </c>
      <c r="G1407" t="inlineStr">
        <is>
          <t>ÅNGE</t>
        </is>
      </c>
      <c r="H1407" t="inlineStr">
        <is>
          <t>SCA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32025-2025</t>
        </is>
      </c>
      <c r="B1408" t="inlineStr">
        <is>
          <t>avverkningsanmälan</t>
        </is>
      </c>
      <c r="C1408" t="inlineStr">
        <is>
          <t>Föryngringsavverkning</t>
        </is>
      </c>
      <c r="D1408" s="1" t="n">
        <v>45835</v>
      </c>
      <c r="E1408" s="1" t="n">
        <v>46228</v>
      </c>
      <c r="F1408" t="inlineStr">
        <is>
          <t>VÄSTERNORRLANDS LÄN</t>
        </is>
      </c>
      <c r="G1408" t="inlineStr">
        <is>
          <t>ÅNGE</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32024-2025</t>
        </is>
      </c>
      <c r="B1409" t="inlineStr">
        <is>
          <t>avverkningsanmälan</t>
        </is>
      </c>
      <c r="C1409" t="inlineStr">
        <is>
          <t>Föryngringsavverkning</t>
        </is>
      </c>
      <c r="D1409" s="1" t="n">
        <v>45835</v>
      </c>
      <c r="E1409" s="1" t="n">
        <v>46228</v>
      </c>
      <c r="F1409" t="inlineStr">
        <is>
          <t>VÄSTERNORRLANDS LÄN</t>
        </is>
      </c>
      <c r="G1409" t="inlineStr">
        <is>
          <t>ÅNGE</t>
        </is>
      </c>
      <c r="H1409" t="inlineStr">
        <is>
          <t>SCA</t>
        </is>
      </c>
      <c r="I1409" t="n">
        <v>12.3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34591-2025</t>
        </is>
      </c>
      <c r="B1410" t="inlineStr">
        <is>
          <t>avverkningsanmälan</t>
        </is>
      </c>
      <c r="C1410" t="inlineStr">
        <is>
          <t>Föryngringsavverkning</t>
        </is>
      </c>
      <c r="D1410" s="1" t="n">
        <v>45847</v>
      </c>
      <c r="E1410" s="1" t="n">
        <v>46228</v>
      </c>
      <c r="F1410" t="inlineStr">
        <is>
          <t>VÄSTERNORRLANDS LÄN</t>
        </is>
      </c>
      <c r="G1410" t="inlineStr">
        <is>
          <t>ÅNGE</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35061-2025</t>
        </is>
      </c>
      <c r="B1411" t="inlineStr">
        <is>
          <t>avverkningsanmälan</t>
        </is>
      </c>
      <c r="C1411" t="inlineStr">
        <is>
          <t>Föryngringsavverkning</t>
        </is>
      </c>
      <c r="D1411" s="1" t="n">
        <v>45852</v>
      </c>
      <c r="E1411" s="1" t="n">
        <v>46228</v>
      </c>
      <c r="F1411" t="inlineStr">
        <is>
          <t>VÄSTERNORRLANDS LÄN</t>
        </is>
      </c>
      <c r="G1411" t="inlineStr">
        <is>
          <t>ÅNGE</t>
        </is>
      </c>
      <c r="H1411" t="inlineStr">
        <is>
          <t>SCA</t>
        </is>
      </c>
      <c r="I1411" t="n">
        <v>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35432-2025</t>
        </is>
      </c>
      <c r="B1412" t="inlineStr">
        <is>
          <t>avverkningsanmälan</t>
        </is>
      </c>
      <c r="C1412" t="inlineStr">
        <is>
          <t>Föryngringsavverkning</t>
        </is>
      </c>
      <c r="D1412" s="1" t="n">
        <v>45855</v>
      </c>
      <c r="E1412" s="1" t="n">
        <v>46228</v>
      </c>
      <c r="F1412" t="inlineStr">
        <is>
          <t>VÄSTERNORRLANDS LÄN</t>
        </is>
      </c>
      <c r="G1412" t="inlineStr">
        <is>
          <t>ÅNGE</t>
        </is>
      </c>
      <c r="H1412" t="inlineStr">
        <is>
          <t>SCA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35497-2025</t>
        </is>
      </c>
      <c r="B1413" t="inlineStr">
        <is>
          <t>avverkningsanmälan</t>
        </is>
      </c>
      <c r="C1413" t="inlineStr">
        <is>
          <t>Föryngringsavverkning</t>
        </is>
      </c>
      <c r="D1413" s="1" t="n">
        <v>45856</v>
      </c>
      <c r="E1413" s="1" t="n">
        <v>46228</v>
      </c>
      <c r="F1413" t="inlineStr">
        <is>
          <t>VÄSTERNORRLANDS LÄN</t>
        </is>
      </c>
      <c r="G1413" t="inlineStr">
        <is>
          <t>ÅNGE</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35577-2025</t>
        </is>
      </c>
      <c r="B1414" t="inlineStr">
        <is>
          <t>avverkningsanmälan</t>
        </is>
      </c>
      <c r="C1414" t="inlineStr">
        <is>
          <t>Föryngringsavverkning</t>
        </is>
      </c>
      <c r="D1414" s="1" t="n">
        <v>45856</v>
      </c>
      <c r="E1414" s="1" t="n">
        <v>46228</v>
      </c>
      <c r="F1414" t="inlineStr">
        <is>
          <t>VÄSTERNORRLANDS LÄN</t>
        </is>
      </c>
      <c r="G1414" t="inlineStr">
        <is>
          <t>ÅNGE</t>
        </is>
      </c>
      <c r="H1414" t="inlineStr">
        <is>
          <t>SCA</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35575-2025</t>
        </is>
      </c>
      <c r="B1415" t="inlineStr">
        <is>
          <t>avverkningsanmälan</t>
        </is>
      </c>
      <c r="C1415" t="inlineStr">
        <is>
          <t>Föryngringsavverkning</t>
        </is>
      </c>
      <c r="D1415" s="1" t="n">
        <v>45856</v>
      </c>
      <c r="E1415" s="1" t="n">
        <v>46228</v>
      </c>
      <c r="F1415" t="inlineStr">
        <is>
          <t>VÄSTERNORRLANDS LÄN</t>
        </is>
      </c>
      <c r="G1415" t="inlineStr">
        <is>
          <t>ÅNGE</t>
        </is>
      </c>
      <c r="H1415" t="inlineStr">
        <is>
          <t>SCA</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35503-2025</t>
        </is>
      </c>
      <c r="B1416" t="inlineStr">
        <is>
          <t>avverkningsanmälan</t>
        </is>
      </c>
      <c r="C1416" t="inlineStr">
        <is>
          <t>Föryngringsavverkning</t>
        </is>
      </c>
      <c r="D1416" s="1" t="n">
        <v>45856</v>
      </c>
      <c r="E1416" s="1" t="n">
        <v>46228</v>
      </c>
      <c r="F1416" t="inlineStr">
        <is>
          <t>VÄSTERNORRLANDS LÄN</t>
        </is>
      </c>
      <c r="G1416" t="inlineStr">
        <is>
          <t>ÅNGE</t>
        </is>
      </c>
      <c r="I1416" t="n">
        <v>5.2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30683-2024</t>
        </is>
      </c>
      <c r="B1417" t="inlineStr">
        <is>
          <t>avverkningsanmälan</t>
        </is>
      </c>
      <c r="C1417" t="inlineStr">
        <is>
          <t>Föryngringsavverkning</t>
        </is>
      </c>
      <c r="D1417" s="1" t="n">
        <v>45495</v>
      </c>
      <c r="E1417" s="1" t="n">
        <v>46228</v>
      </c>
      <c r="F1417" t="inlineStr">
        <is>
          <t>VÄSTERNORRLANDS LÄN</t>
        </is>
      </c>
      <c r="G1417" t="inlineStr">
        <is>
          <t>ÅNGE</t>
        </is>
      </c>
      <c r="H1417" t="inlineStr">
        <is>
          <t>SCA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35690-2025</t>
        </is>
      </c>
      <c r="B1418" t="inlineStr">
        <is>
          <t>avverkningsanmälan</t>
        </is>
      </c>
      <c r="C1418" t="inlineStr">
        <is>
          <t>Föryngringsavverkning</t>
        </is>
      </c>
      <c r="D1418" s="1" t="n">
        <v>45860</v>
      </c>
      <c r="E1418" s="1" t="n">
        <v>46228</v>
      </c>
      <c r="F1418" t="inlineStr">
        <is>
          <t>VÄSTERNORRLANDS LÄN</t>
        </is>
      </c>
      <c r="G1418" t="inlineStr">
        <is>
          <t>ÅNGE</t>
        </is>
      </c>
      <c r="H1418" t="inlineStr">
        <is>
          <t>SCA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36240-2025</t>
        </is>
      </c>
      <c r="B1419" t="inlineStr">
        <is>
          <t>avverkningsanmälan</t>
        </is>
      </c>
      <c r="C1419" t="inlineStr">
        <is>
          <t>Föryngringsavverkning</t>
        </is>
      </c>
      <c r="D1419" s="1" t="n">
        <v>45867</v>
      </c>
      <c r="E1419" s="1" t="n">
        <v>46228</v>
      </c>
      <c r="F1419" t="inlineStr">
        <is>
          <t>VÄSTERNORRLANDS LÄN</t>
        </is>
      </c>
      <c r="G1419" t="inlineStr">
        <is>
          <t>ÅNGE</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36236-2025</t>
        </is>
      </c>
      <c r="B1420" t="inlineStr">
        <is>
          <t>avverkningsanmälan</t>
        </is>
      </c>
      <c r="C1420" t="inlineStr">
        <is>
          <t>Föryngringsavverkning</t>
        </is>
      </c>
      <c r="D1420" s="1" t="n">
        <v>45867</v>
      </c>
      <c r="E1420" s="1" t="n">
        <v>46228</v>
      </c>
      <c r="F1420" t="inlineStr">
        <is>
          <t>VÄSTERNORRLANDS LÄN</t>
        </is>
      </c>
      <c r="G1420" t="inlineStr">
        <is>
          <t>ÅNGE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36248-2025</t>
        </is>
      </c>
      <c r="B1421" t="inlineStr">
        <is>
          <t>avverkningsanmälan</t>
        </is>
      </c>
      <c r="C1421" t="inlineStr">
        <is>
          <t>Föryngringsavverkning</t>
        </is>
      </c>
      <c r="D1421" s="1" t="n">
        <v>45867</v>
      </c>
      <c r="E1421" s="1" t="n">
        <v>46228</v>
      </c>
      <c r="F1421" t="inlineStr">
        <is>
          <t>VÄSTERNORRLANDS LÄN</t>
        </is>
      </c>
      <c r="G1421" t="inlineStr">
        <is>
          <t>ÅNGE</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36491-2025</t>
        </is>
      </c>
      <c r="B1422" t="inlineStr">
        <is>
          <t>avverkningsanmälan</t>
        </is>
      </c>
      <c r="C1422" t="inlineStr">
        <is>
          <t>Föryngringsavverkning</t>
        </is>
      </c>
      <c r="D1422" s="1" t="n">
        <v>45869</v>
      </c>
      <c r="E1422" s="1" t="n">
        <v>46228</v>
      </c>
      <c r="F1422" t="inlineStr">
        <is>
          <t>VÄSTERNORRLANDS LÄN</t>
        </is>
      </c>
      <c r="G1422" t="inlineStr">
        <is>
          <t>ÅNGE</t>
        </is>
      </c>
      <c r="H1422" t="inlineStr">
        <is>
          <t>SCA</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36457-2025</t>
        </is>
      </c>
      <c r="B1423" t="inlineStr">
        <is>
          <t>avverkningsanmälan</t>
        </is>
      </c>
      <c r="C1423" t="inlineStr">
        <is>
          <t>Föryngringsavverkning</t>
        </is>
      </c>
      <c r="D1423" s="1" t="n">
        <v>45869</v>
      </c>
      <c r="E1423" s="1" t="n">
        <v>46228</v>
      </c>
      <c r="F1423" t="inlineStr">
        <is>
          <t>VÄSTERNORRLANDS LÄN</t>
        </is>
      </c>
      <c r="G1423" t="inlineStr">
        <is>
          <t>ÅNGE</t>
        </is>
      </c>
      <c r="H1423" t="inlineStr">
        <is>
          <t>SCA</t>
        </is>
      </c>
      <c r="I1423" t="n">
        <v>6.3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S 1220-2024</t>
        </is>
      </c>
      <c r="B1424" t="inlineStr">
        <is>
          <t>samrådsanmälan</t>
        </is>
      </c>
      <c r="C1424" t="inlineStr">
        <is>
          <t>Annan skogsbruksåtgärd</t>
        </is>
      </c>
      <c r="D1424" s="1" t="n">
        <v>45398</v>
      </c>
      <c r="E1424" s="1" t="n">
        <v>46228</v>
      </c>
      <c r="F1424" t="inlineStr">
        <is>
          <t>VÄSTERNORRLANDS LÄN</t>
        </is>
      </c>
      <c r="G1424" t="inlineStr">
        <is>
          <t>ÅNGE</t>
        </is>
      </c>
      <c r="H1424" t="inlineStr">
        <is>
          <t>SCA</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S 1217-2024</t>
        </is>
      </c>
      <c r="B1425" t="inlineStr">
        <is>
          <t>samrådsanmälan</t>
        </is>
      </c>
      <c r="C1425" t="inlineStr">
        <is>
          <t>Annan skogsbruksåtgärd</t>
        </is>
      </c>
      <c r="D1425" s="1" t="n">
        <v>45398</v>
      </c>
      <c r="E1425" s="1" t="n">
        <v>46228</v>
      </c>
      <c r="F1425" t="inlineStr">
        <is>
          <t>VÄSTERNORRLANDS LÄN</t>
        </is>
      </c>
      <c r="G1425" t="inlineStr">
        <is>
          <t>ÅNGE</t>
        </is>
      </c>
      <c r="H1425" t="inlineStr">
        <is>
          <t>SCA</t>
        </is>
      </c>
      <c r="I1425" t="n">
        <v>12.4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S 1227-2024</t>
        </is>
      </c>
      <c r="B1426" t="inlineStr">
        <is>
          <t>samrådsanmälan</t>
        </is>
      </c>
      <c r="C1426" t="inlineStr">
        <is>
          <t>Annan skogsbruksåtgärd</t>
        </is>
      </c>
      <c r="D1426" s="1" t="n">
        <v>45398</v>
      </c>
      <c r="E1426" s="1" t="n">
        <v>46228</v>
      </c>
      <c r="F1426" t="inlineStr">
        <is>
          <t>VÄSTERNORRLANDS LÄN</t>
        </is>
      </c>
      <c r="G1426" t="inlineStr">
        <is>
          <t>ÅNGE</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309-2024</t>
        </is>
      </c>
      <c r="B1427" t="inlineStr">
        <is>
          <t>samrådsanmälan</t>
        </is>
      </c>
      <c r="C1427" t="inlineStr">
        <is>
          <t>Skogsgödsling</t>
        </is>
      </c>
      <c r="D1427" s="1" t="n">
        <v>45323</v>
      </c>
      <c r="E1427" s="1" t="n">
        <v>46228</v>
      </c>
      <c r="F1427" t="inlineStr">
        <is>
          <t>VÄSTERNORRLANDS LÄN</t>
        </is>
      </c>
      <c r="G1427" t="inlineStr">
        <is>
          <t>ÅNGE</t>
        </is>
      </c>
      <c r="H1427" t="inlineStr">
        <is>
          <t>SCA</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5127-2024</t>
        </is>
      </c>
      <c r="B1428" t="inlineStr">
        <is>
          <t>samrådsanmälan</t>
        </is>
      </c>
      <c r="C1428" t="inlineStr">
        <is>
          <t>Traktorväg</t>
        </is>
      </c>
      <c r="D1428" s="1" t="n">
        <v>45644</v>
      </c>
      <c r="E1428" s="1" t="n">
        <v>46228</v>
      </c>
      <c r="F1428" t="inlineStr">
        <is>
          <t>VÄSTERNORRLANDS LÄN</t>
        </is>
      </c>
      <c r="G1428" t="inlineStr">
        <is>
          <t>ÅNGE</t>
        </is>
      </c>
      <c r="I1428" t="n">
        <v>3.6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7191-2022</t>
        </is>
      </c>
      <c r="B1429" t="inlineStr">
        <is>
          <t>samrådsanmälan</t>
        </is>
      </c>
      <c r="C1429" t="inlineStr">
        <is>
          <t>Skogsgödsling</t>
        </is>
      </c>
      <c r="D1429" s="1" t="n">
        <v>44904</v>
      </c>
      <c r="E1429" s="1" t="n">
        <v>46228</v>
      </c>
      <c r="F1429" t="inlineStr">
        <is>
          <t>VÄSTERNORRLANDS LÄN</t>
        </is>
      </c>
      <c r="G1429" t="inlineStr">
        <is>
          <t>ÅNGE</t>
        </is>
      </c>
      <c r="H1429" t="inlineStr">
        <is>
          <t>Holmen skog AB</t>
        </is>
      </c>
      <c r="I1429" t="n">
        <v>227.4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4005-2023</t>
        </is>
      </c>
      <c r="B1430" t="inlineStr">
        <is>
          <t>samrådsanmälan</t>
        </is>
      </c>
      <c r="C1430" t="inlineStr">
        <is>
          <t>Skogsgödsling</t>
        </is>
      </c>
      <c r="D1430" s="1" t="n">
        <v>45237</v>
      </c>
      <c r="E1430" s="1" t="n">
        <v>46228</v>
      </c>
      <c r="F1430" t="inlineStr">
        <is>
          <t>VÄSTERNORRLANDS LÄN</t>
        </is>
      </c>
      <c r="G1430" t="inlineStr">
        <is>
          <t>ÅNGE</t>
        </is>
      </c>
      <c r="H1430" t="inlineStr">
        <is>
          <t>Holmen skog AB</t>
        </is>
      </c>
      <c r="I1430" t="n">
        <v>67.2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4007-2023</t>
        </is>
      </c>
      <c r="B1431" t="inlineStr">
        <is>
          <t>samrådsanmälan</t>
        </is>
      </c>
      <c r="C1431" t="inlineStr">
        <is>
          <t>Skogsgödsling</t>
        </is>
      </c>
      <c r="D1431" s="1" t="n">
        <v>45237</v>
      </c>
      <c r="E1431" s="1" t="n">
        <v>46228</v>
      </c>
      <c r="F1431" t="inlineStr">
        <is>
          <t>VÄSTERNORRLANDS LÄN</t>
        </is>
      </c>
      <c r="G1431" t="inlineStr">
        <is>
          <t>ÅNGE</t>
        </is>
      </c>
      <c r="H1431" t="inlineStr">
        <is>
          <t>Holmen skog AB</t>
        </is>
      </c>
      <c r="I1431" t="n">
        <v>16.8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4006-2023</t>
        </is>
      </c>
      <c r="B1432" t="inlineStr">
        <is>
          <t>samrådsanmälan</t>
        </is>
      </c>
      <c r="C1432" t="inlineStr">
        <is>
          <t>Skogsgödsling</t>
        </is>
      </c>
      <c r="D1432" s="1" t="n">
        <v>45237</v>
      </c>
      <c r="E1432" s="1" t="n">
        <v>46228</v>
      </c>
      <c r="F1432" t="inlineStr">
        <is>
          <t>VÄSTERNORRLANDS LÄN</t>
        </is>
      </c>
      <c r="G1432" t="inlineStr">
        <is>
          <t>ÅNGE</t>
        </is>
      </c>
      <c r="H1432" t="inlineStr">
        <is>
          <t>Holmen skog AB</t>
        </is>
      </c>
      <c r="I1432" t="n">
        <v>87.40000000000001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241-2025</t>
        </is>
      </c>
      <c r="B1433" t="inlineStr">
        <is>
          <t>samrådsanmälan</t>
        </is>
      </c>
      <c r="C1433" t="inlineStr">
        <is>
          <t>Annan skogsbruksåtgärd</t>
        </is>
      </c>
      <c r="D1433" s="1" t="n">
        <v>45681</v>
      </c>
      <c r="E1433" s="1" t="n">
        <v>46228</v>
      </c>
      <c r="F1433" t="inlineStr">
        <is>
          <t>VÄSTERNORRLANDS LÄN</t>
        </is>
      </c>
      <c r="G1433" t="inlineStr">
        <is>
          <t>ÅNGE</t>
        </is>
      </c>
      <c r="H1433" t="inlineStr">
        <is>
          <t>SCA</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297-2024</t>
        </is>
      </c>
      <c r="B1434" t="inlineStr">
        <is>
          <t>samrådsanmälan</t>
        </is>
      </c>
      <c r="C1434" t="inlineStr">
        <is>
          <t>Skogsgödsling</t>
        </is>
      </c>
      <c r="D1434" s="1" t="n">
        <v>45323</v>
      </c>
      <c r="E1434" s="1" t="n">
        <v>46228</v>
      </c>
      <c r="F1434" t="inlineStr">
        <is>
          <t>VÄSTERNORRLANDS LÄN</t>
        </is>
      </c>
      <c r="G1434" t="inlineStr">
        <is>
          <t>ÅNGE</t>
        </is>
      </c>
      <c r="H1434" t="inlineStr">
        <is>
          <t>SCA</t>
        </is>
      </c>
      <c r="I1434" t="n">
        <v>383.9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1067-2025</t>
        </is>
      </c>
      <c r="B1435" t="inlineStr">
        <is>
          <t>samrådsanmälan</t>
        </is>
      </c>
      <c r="C1435" t="inlineStr">
        <is>
          <t>Annan skogsbruksåtgärd</t>
        </is>
      </c>
      <c r="D1435" s="1" t="n">
        <v>45749</v>
      </c>
      <c r="E1435" s="1" t="n">
        <v>46228</v>
      </c>
      <c r="F1435" t="inlineStr">
        <is>
          <t>VÄSTERNORRLANDS LÄN</t>
        </is>
      </c>
      <c r="G1435" t="inlineStr">
        <is>
          <t>ÅNGE</t>
        </is>
      </c>
      <c r="H1435" t="inlineStr">
        <is>
          <t>SCA</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1365-2025</t>
        </is>
      </c>
      <c r="B1436" t="inlineStr">
        <is>
          <t>samrådsanmälan</t>
        </is>
      </c>
      <c r="C1436" t="inlineStr">
        <is>
          <t>Annan skogsbruksåtgärd</t>
        </is>
      </c>
      <c r="D1436" s="1" t="n">
        <v>45775</v>
      </c>
      <c r="E1436" s="1" t="n">
        <v>46228</v>
      </c>
      <c r="F1436" t="inlineStr">
        <is>
          <t>VÄSTERNORRLANDS LÄN</t>
        </is>
      </c>
      <c r="G1436" t="inlineStr">
        <is>
          <t>ÅNGE</t>
        </is>
      </c>
      <c r="H1436" t="inlineStr">
        <is>
          <t>SCA</t>
        </is>
      </c>
      <c r="I1436" t="n">
        <v>5.8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449-2025</t>
        </is>
      </c>
      <c r="B1437" t="inlineStr">
        <is>
          <t>samrådsanmälan</t>
        </is>
      </c>
      <c r="C1437" t="inlineStr">
        <is>
          <t>Annan skogsbruksåtgärd</t>
        </is>
      </c>
      <c r="D1437" s="1" t="n">
        <v>45701</v>
      </c>
      <c r="E1437" s="1" t="n">
        <v>46228</v>
      </c>
      <c r="F1437" t="inlineStr">
        <is>
          <t>VÄSTERNORRLANDS LÄN</t>
        </is>
      </c>
      <c r="G1437" t="inlineStr">
        <is>
          <t>ÅNGE</t>
        </is>
      </c>
      <c r="H1437" t="inlineStr">
        <is>
          <t>SCA</t>
        </is>
      </c>
      <c r="I1437" t="n">
        <v>6.1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489-2025</t>
        </is>
      </c>
      <c r="B1438" t="inlineStr">
        <is>
          <t>samrådsanmälan</t>
        </is>
      </c>
      <c r="C1438" t="inlineStr">
        <is>
          <t>Annan skogsbruksåtgärd</t>
        </is>
      </c>
      <c r="D1438" s="1" t="n">
        <v>45705</v>
      </c>
      <c r="E1438" s="1" t="n">
        <v>46228</v>
      </c>
      <c r="F1438" t="inlineStr">
        <is>
          <t>VÄSTERNORRLANDS LÄN</t>
        </is>
      </c>
      <c r="G1438" t="inlineStr">
        <is>
          <t>ÅNGE</t>
        </is>
      </c>
      <c r="H1438" t="inlineStr">
        <is>
          <t>SCA</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1995-2025</t>
        </is>
      </c>
      <c r="B1439" t="inlineStr">
        <is>
          <t>samrådsanmälan</t>
        </is>
      </c>
      <c r="C1439" t="inlineStr">
        <is>
          <t>Annan skogsbruksåtgärd</t>
        </is>
      </c>
      <c r="D1439" s="1" t="n">
        <v>45833</v>
      </c>
      <c r="E1439" s="1" t="n">
        <v>46228</v>
      </c>
      <c r="F1439" t="inlineStr">
        <is>
          <t>VÄSTERNORRLANDS LÄN</t>
        </is>
      </c>
      <c r="G1439" t="inlineStr">
        <is>
          <t>ÅNGE</t>
        </is>
      </c>
      <c r="H1439" t="inlineStr">
        <is>
          <t>SCA</t>
        </is>
      </c>
      <c r="I1439" t="n">
        <v>12.6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1994-2025</t>
        </is>
      </c>
      <c r="B1440" t="inlineStr">
        <is>
          <t>samrådsanmälan</t>
        </is>
      </c>
      <c r="C1440" t="inlineStr">
        <is>
          <t>Annan skogsbruksåtgärd</t>
        </is>
      </c>
      <c r="D1440" s="1" t="n">
        <v>45833</v>
      </c>
      <c r="E1440" s="1" t="n">
        <v>46228</v>
      </c>
      <c r="F1440" t="inlineStr">
        <is>
          <t>VÄSTERNORRLANDS LÄN</t>
        </is>
      </c>
      <c r="G1440" t="inlineStr">
        <is>
          <t>ÅNGE</t>
        </is>
      </c>
      <c r="H1440" t="inlineStr">
        <is>
          <t>SCA</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2851-2025</t>
        </is>
      </c>
      <c r="B1441" t="inlineStr">
        <is>
          <t>samrådsanmälan</t>
        </is>
      </c>
      <c r="C1441" t="inlineStr">
        <is>
          <t>Annan skogsbruksåtgärd</t>
        </is>
      </c>
      <c r="D1441" s="1" t="n">
        <v>45943</v>
      </c>
      <c r="E1441" s="1" t="n">
        <v>46228</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2852-2025</t>
        </is>
      </c>
      <c r="B1442" t="inlineStr">
        <is>
          <t>samrådsanmälan</t>
        </is>
      </c>
      <c r="C1442" t="inlineStr">
        <is>
          <t>Annan skogsbruksåtgärd</t>
        </is>
      </c>
      <c r="D1442" s="1" t="n">
        <v>45943</v>
      </c>
      <c r="E1442" s="1" t="n">
        <v>46228</v>
      </c>
      <c r="F1442" t="inlineStr">
        <is>
          <t>VÄSTERNORRLANDS LÄN</t>
        </is>
      </c>
      <c r="G1442" t="inlineStr">
        <is>
          <t>ÅNGE</t>
        </is>
      </c>
      <c r="H1442" t="inlineStr">
        <is>
          <t>SCA</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3193-2025</t>
        </is>
      </c>
      <c r="B1443" t="inlineStr">
        <is>
          <t>samrådsanmälan</t>
        </is>
      </c>
      <c r="C1443" t="inlineStr">
        <is>
          <t>Annan skogsbruksåtgärd</t>
        </is>
      </c>
      <c r="D1443" s="1" t="n">
        <v>45978</v>
      </c>
      <c r="E1443" s="1" t="n">
        <v>46228</v>
      </c>
      <c r="F1443" t="inlineStr">
        <is>
          <t>VÄSTERNORRLANDS LÄN</t>
        </is>
      </c>
      <c r="G1443" t="inlineStr">
        <is>
          <t>ÅNGE</t>
        </is>
      </c>
      <c r="H1443" t="inlineStr">
        <is>
          <t>SCA</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3315-2025</t>
        </is>
      </c>
      <c r="B1444" t="inlineStr">
        <is>
          <t>samrådsanmälan</t>
        </is>
      </c>
      <c r="C1444" t="inlineStr">
        <is>
          <t>Annan skogsbruksåtgärd</t>
        </is>
      </c>
      <c r="D1444" s="1" t="n">
        <v>45988</v>
      </c>
      <c r="E1444" s="1" t="n">
        <v>46228</v>
      </c>
      <c r="F1444" t="inlineStr">
        <is>
          <t>VÄSTERNORRLANDS LÄN</t>
        </is>
      </c>
      <c r="G1444" t="inlineStr">
        <is>
          <t>ÅNGE</t>
        </is>
      </c>
      <c r="H1444" t="inlineStr">
        <is>
          <t>Sveaskog</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3406-2025</t>
        </is>
      </c>
      <c r="B1445" t="inlineStr">
        <is>
          <t>samrådsanmälan</t>
        </is>
      </c>
      <c r="C1445" t="inlineStr">
        <is>
          <t>Annan skogsbruksåtgärd</t>
        </is>
      </c>
      <c r="D1445" s="1" t="n">
        <v>45995</v>
      </c>
      <c r="E1445" s="1" t="n">
        <v>46228</v>
      </c>
      <c r="F1445" t="inlineStr">
        <is>
          <t>VÄSTERNORRLANDS LÄN</t>
        </is>
      </c>
      <c r="G1445" t="inlineStr">
        <is>
          <t>ÅNGE</t>
        </is>
      </c>
      <c r="H1445" t="inlineStr">
        <is>
          <t>SCA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3495-2025</t>
        </is>
      </c>
      <c r="B1446" t="inlineStr">
        <is>
          <t>samrådsanmälan</t>
        </is>
      </c>
      <c r="C1446" t="inlineStr">
        <is>
          <t>Annan skogsbruksåtgärd</t>
        </is>
      </c>
      <c r="D1446" s="1" t="n">
        <v>46000</v>
      </c>
      <c r="E1446" s="1" t="n">
        <v>46228</v>
      </c>
      <c r="F1446" t="inlineStr">
        <is>
          <t>VÄSTERNORRLANDS LÄN</t>
        </is>
      </c>
      <c r="G1446" t="inlineStr">
        <is>
          <t>ÅNGE</t>
        </is>
      </c>
      <c r="H1446" t="inlineStr">
        <is>
          <t>SCA</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2857-2025</t>
        </is>
      </c>
      <c r="B1447" t="inlineStr">
        <is>
          <t>samrådsanmälan</t>
        </is>
      </c>
      <c r="C1447" t="inlineStr">
        <is>
          <t>Annan skogsbruksåtgärd</t>
        </is>
      </c>
      <c r="D1447" s="1" t="n">
        <v>45943</v>
      </c>
      <c r="E1447" s="1" t="n">
        <v>46228</v>
      </c>
      <c r="F1447" t="inlineStr">
        <is>
          <t>VÄSTERNORRLANDS LÄN</t>
        </is>
      </c>
      <c r="G1447" t="inlineStr">
        <is>
          <t>ÅNGE</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349-2026</t>
        </is>
      </c>
      <c r="B1448" t="inlineStr">
        <is>
          <t>samrådsanmälan</t>
        </is>
      </c>
      <c r="C1448" t="inlineStr">
        <is>
          <t>Skogsgödsling</t>
        </is>
      </c>
      <c r="D1448" s="1" t="n">
        <v>46063</v>
      </c>
      <c r="E1448" s="1" t="n">
        <v>46228</v>
      </c>
      <c r="F1448" t="inlineStr">
        <is>
          <t>VÄSTERNORRLANDS LÄN</t>
        </is>
      </c>
      <c r="G1448" t="inlineStr">
        <is>
          <t>ÅNGE</t>
        </is>
      </c>
      <c r="I1448" t="n">
        <v>18.4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351-2026</t>
        </is>
      </c>
      <c r="B1449" t="inlineStr">
        <is>
          <t>samrådsanmälan</t>
        </is>
      </c>
      <c r="C1449" t="inlineStr">
        <is>
          <t>Skogsgödsling</t>
        </is>
      </c>
      <c r="D1449" s="1" t="n">
        <v>46063</v>
      </c>
      <c r="E1449" s="1" t="n">
        <v>46228</v>
      </c>
      <c r="F1449" t="inlineStr">
        <is>
          <t>VÄSTERNORRLANDS LÄN</t>
        </is>
      </c>
      <c r="G1449" t="inlineStr">
        <is>
          <t>ÅNGE</t>
        </is>
      </c>
      <c r="I1449" t="n">
        <v>5.3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352-2026</t>
        </is>
      </c>
      <c r="B1450" t="inlineStr">
        <is>
          <t>samrådsanmälan</t>
        </is>
      </c>
      <c r="C1450" t="inlineStr">
        <is>
          <t>Skogsgödsling</t>
        </is>
      </c>
      <c r="D1450" s="1" t="n">
        <v>46063</v>
      </c>
      <c r="E1450" s="1" t="n">
        <v>46228</v>
      </c>
      <c r="F1450" t="inlineStr">
        <is>
          <t>VÄSTERNORRLANDS LÄN</t>
        </is>
      </c>
      <c r="G1450" t="inlineStr">
        <is>
          <t>ÅNGE</t>
        </is>
      </c>
      <c r="I1450" t="n">
        <v>12.1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350-2026</t>
        </is>
      </c>
      <c r="B1451" t="inlineStr">
        <is>
          <t>samrådsanmälan</t>
        </is>
      </c>
      <c r="C1451" t="inlineStr">
        <is>
          <t>Skogsgödsling</t>
        </is>
      </c>
      <c r="D1451" s="1" t="n">
        <v>46063</v>
      </c>
      <c r="E1451" s="1" t="n">
        <v>46228</v>
      </c>
      <c r="F1451" t="inlineStr">
        <is>
          <t>VÄSTERNORRLANDS LÄN</t>
        </is>
      </c>
      <c r="G1451" t="inlineStr">
        <is>
          <t>ÅNGE</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481-2026</t>
        </is>
      </c>
      <c r="B1452" t="inlineStr">
        <is>
          <t>samrådsanmälan</t>
        </is>
      </c>
      <c r="C1452" t="inlineStr">
        <is>
          <t>Annan skogsbruksåtgärd</t>
        </is>
      </c>
      <c r="D1452" s="1" t="n">
        <v>46072</v>
      </c>
      <c r="E1452" s="1" t="n">
        <v>46228</v>
      </c>
      <c r="F1452" t="inlineStr">
        <is>
          <t>VÄSTERNORRLANDS LÄN</t>
        </is>
      </c>
      <c r="G1452" t="inlineStr">
        <is>
          <t>ÅNGE</t>
        </is>
      </c>
      <c r="H1452" t="inlineStr">
        <is>
          <t>Sveaskog</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976-2026</t>
        </is>
      </c>
      <c r="B1453" t="inlineStr">
        <is>
          <t>samrådsanmälan</t>
        </is>
      </c>
      <c r="C1453" t="inlineStr">
        <is>
          <t>Annan skogsbruksåtgärd</t>
        </is>
      </c>
      <c r="D1453" s="1" t="n">
        <v>46114</v>
      </c>
      <c r="E1453" s="1" t="n">
        <v>46228</v>
      </c>
      <c r="F1453" t="inlineStr">
        <is>
          <t>VÄSTERNORRLANDS LÄN</t>
        </is>
      </c>
      <c r="G1453" t="inlineStr">
        <is>
          <t>ÅNGE</t>
        </is>
      </c>
      <c r="H1453" t="inlineStr">
        <is>
          <t>SCA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1072-2026</t>
        </is>
      </c>
      <c r="B1454" t="inlineStr">
        <is>
          <t>samrådsanmälan</t>
        </is>
      </c>
      <c r="C1454" t="inlineStr">
        <is>
          <t>Annan skogsbruksåtgärd</t>
        </is>
      </c>
      <c r="D1454" s="1" t="n">
        <v>46127</v>
      </c>
      <c r="E1454" s="1" t="n">
        <v>46228</v>
      </c>
      <c r="F1454" t="inlineStr">
        <is>
          <t>VÄSTERNORRLANDS LÄN</t>
        </is>
      </c>
      <c r="G1454" t="inlineStr">
        <is>
          <t>ÅNGE</t>
        </is>
      </c>
      <c r="H1454" t="inlineStr">
        <is>
          <t>SCA</t>
        </is>
      </c>
      <c r="I1454" t="n">
        <v>55.7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1075-2026</t>
        </is>
      </c>
      <c r="B1455" t="inlineStr">
        <is>
          <t>samrådsanmälan</t>
        </is>
      </c>
      <c r="C1455" t="inlineStr">
        <is>
          <t>Annan skogsbruksåtgärd</t>
        </is>
      </c>
      <c r="D1455" s="1" t="n">
        <v>46127</v>
      </c>
      <c r="E1455" s="1" t="n">
        <v>46228</v>
      </c>
      <c r="F1455" t="inlineStr">
        <is>
          <t>VÄSTERNORRLANDS LÄN</t>
        </is>
      </c>
      <c r="G1455" t="inlineStr">
        <is>
          <t>ÅNGE</t>
        </is>
      </c>
      <c r="H1455" t="inlineStr">
        <is>
          <t>SCA</t>
        </is>
      </c>
      <c r="I1455" t="n">
        <v>7.8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1681-2026</t>
        </is>
      </c>
      <c r="B1456" t="inlineStr">
        <is>
          <t>samrådsanmälan</t>
        </is>
      </c>
      <c r="C1456" t="inlineStr">
        <is>
          <t>Annan skogsbruksåtgärd</t>
        </is>
      </c>
      <c r="D1456" s="1" t="n">
        <v>46182</v>
      </c>
      <c r="E1456" s="1" t="n">
        <v>46228</v>
      </c>
      <c r="F1456" t="inlineStr">
        <is>
          <t>VÄSTERNORRLANDS LÄN</t>
        </is>
      </c>
      <c r="G1456" t="inlineStr">
        <is>
          <t>ÅNGE</t>
        </is>
      </c>
      <c r="H1456" t="inlineStr">
        <is>
          <t>SCA</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1744-2026</t>
        </is>
      </c>
      <c r="B1457" t="inlineStr">
        <is>
          <t>samrådsanmälan</t>
        </is>
      </c>
      <c r="C1457" t="inlineStr">
        <is>
          <t>Annan skogsbruksåtgärd</t>
        </is>
      </c>
      <c r="D1457" s="1" t="n">
        <v>46185</v>
      </c>
      <c r="E1457" s="1" t="n">
        <v>46228</v>
      </c>
      <c r="F1457" t="inlineStr">
        <is>
          <t>VÄSTERNORRLANDS LÄN</t>
        </is>
      </c>
      <c r="G1457" t="inlineStr">
        <is>
          <t>ÅNGE</t>
        </is>
      </c>
      <c r="H1457" t="inlineStr">
        <is>
          <t>SCA</t>
        </is>
      </c>
      <c r="I1457" t="n">
        <v>3</v>
      </c>
      <c r="J1457" t="n">
        <v>0</v>
      </c>
      <c r="K1457" t="n">
        <v>0</v>
      </c>
      <c r="L1457" t="n">
        <v>0</v>
      </c>
      <c r="M1457" t="n">
        <v>0</v>
      </c>
      <c r="N1457" t="n">
        <v>0</v>
      </c>
      <c r="O1457" t="n">
        <v>0</v>
      </c>
      <c r="P1457" t="n">
        <v>0</v>
      </c>
      <c r="Q1457" t="n">
        <v>0</v>
      </c>
      <c r="R1457" t="n">
        <v>0</v>
      </c>
      <c r="S1457" t="n">
        <v>0</v>
      </c>
      <c r="T1457" t="n">
        <v>0</v>
      </c>
      <c r="U1457" t="n">
        <v>0</v>
      </c>
      <c r="V1457" s="2" t="inlineStr"/>
    </row>
    <row r="1458">
      <c r="A1458" t="inlineStr">
        <is>
          <t>S 1742-2026</t>
        </is>
      </c>
      <c r="B1458" t="inlineStr">
        <is>
          <t>samrådsanmälan</t>
        </is>
      </c>
      <c r="C1458" t="inlineStr">
        <is>
          <t>Annan skogsbruksåtgärd</t>
        </is>
      </c>
      <c r="D1458" s="1" t="n">
        <v>46185</v>
      </c>
      <c r="E1458" s="1" t="n">
        <v>46228</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2026-07-25T01:50:13Z</dcterms:created>
  <dcterms:modified xmlns:dcterms="http://purl.org/dc/terms/" xmlns:xsi="http://www.w3.org/2001/XMLSchema-instance" xsi:type="dcterms:W3CDTF">2026-07-25T01:50:14Z</dcterms:modified>
</cp:coreProperties>
</file>