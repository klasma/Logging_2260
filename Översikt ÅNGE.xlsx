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46029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46029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46029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46029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46029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46029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46029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46029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46029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46029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46029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46029</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46029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46029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46029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46029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46029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46029</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46029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46029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46029</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46029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46029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46029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46029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46029</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46029</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46029</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46029</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14887-2022</t>
        </is>
      </c>
      <c r="B33" s="1" t="n">
        <v>44656</v>
      </c>
      <c r="C33" s="1" t="n">
        <v>46029</v>
      </c>
      <c r="D33" t="inlineStr">
        <is>
          <t>VÄSTERNORRLANDS LÄN</t>
        </is>
      </c>
      <c r="E33" t="inlineStr">
        <is>
          <t>ÅNGE</t>
        </is>
      </c>
      <c r="G33" t="n">
        <v>6.8</v>
      </c>
      <c r="H33" t="n">
        <v>1</v>
      </c>
      <c r="I33" t="n">
        <v>2</v>
      </c>
      <c r="J33" t="n">
        <v>7</v>
      </c>
      <c r="K33" t="n">
        <v>2</v>
      </c>
      <c r="L33" t="n">
        <v>0</v>
      </c>
      <c r="M33" t="n">
        <v>0</v>
      </c>
      <c r="N33" t="n">
        <v>0</v>
      </c>
      <c r="O33" t="n">
        <v>9</v>
      </c>
      <c r="P33" t="n">
        <v>2</v>
      </c>
      <c r="Q33" t="n">
        <v>11</v>
      </c>
      <c r="R33" s="2" t="inlineStr">
        <is>
          <t>Bitter taggsvamp
Knärot
Garnlav
Gultoppig fingersvamp
Lunglav
Rosenticka
Svartvit taggsvamp
Ullticka
Äggvaxskivling
Dropptaggsvamp
Skarp dropptaggsvamp</t>
        </is>
      </c>
      <c r="S33">
        <f>HYPERLINK("https://klasma.github.io/Logging_2260/artfynd/A 14887-2022 artfynd.xlsx", "A 14887-2022")</f>
        <v/>
      </c>
      <c r="T33">
        <f>HYPERLINK("https://klasma.github.io/Logging_2260/kartor/A 14887-2022 karta.png", "A 14887-2022")</f>
        <v/>
      </c>
      <c r="U33">
        <f>HYPERLINK("https://klasma.github.io/Logging_2260/knärot/A 14887-2022 karta knärot.png", "A 14887-2022")</f>
        <v/>
      </c>
      <c r="V33">
        <f>HYPERLINK("https://klasma.github.io/Logging_2260/klagomål/A 14887-2022 FSC-klagomål.docx", "A 14887-2022")</f>
        <v/>
      </c>
      <c r="W33">
        <f>HYPERLINK("https://klasma.github.io/Logging_2260/klagomålsmail/A 14887-2022 FSC-klagomål mail.docx", "A 14887-2022")</f>
        <v/>
      </c>
      <c r="X33">
        <f>HYPERLINK("https://klasma.github.io/Logging_2260/tillsyn/A 14887-2022 tillsynsbegäran.docx", "A 14887-2022")</f>
        <v/>
      </c>
      <c r="Y33">
        <f>HYPERLINK("https://klasma.github.io/Logging_2260/tillsynsmail/A 14887-2022 tillsynsbegäran mail.docx", "A 14887-2022")</f>
        <v/>
      </c>
    </row>
    <row r="34" ht="15" customHeight="1">
      <c r="A34" t="inlineStr">
        <is>
          <t>A 41874-2025</t>
        </is>
      </c>
      <c r="B34" s="1" t="n">
        <v>45903.3452662037</v>
      </c>
      <c r="C34" s="1" t="n">
        <v>46029</v>
      </c>
      <c r="D34" t="inlineStr">
        <is>
          <t>VÄSTERNORRLANDS LÄN</t>
        </is>
      </c>
      <c r="E34" t="inlineStr">
        <is>
          <t>ÅNGE</t>
        </is>
      </c>
      <c r="F34" t="inlineStr">
        <is>
          <t>SCA</t>
        </is>
      </c>
      <c r="G34" t="n">
        <v>5.7</v>
      </c>
      <c r="H34" t="n">
        <v>4</v>
      </c>
      <c r="I34" t="n">
        <v>5</v>
      </c>
      <c r="J34" t="n">
        <v>4</v>
      </c>
      <c r="K34" t="n">
        <v>0</v>
      </c>
      <c r="L34" t="n">
        <v>0</v>
      </c>
      <c r="M34" t="n">
        <v>0</v>
      </c>
      <c r="N34" t="n">
        <v>0</v>
      </c>
      <c r="O34" t="n">
        <v>4</v>
      </c>
      <c r="P34" t="n">
        <v>0</v>
      </c>
      <c r="Q34" t="n">
        <v>11</v>
      </c>
      <c r="R34" s="2" t="inlineStr">
        <is>
          <t>Garnlav
Granticka
Lunglav
Ullticka
Korallrot
Spindelblomster
Stuplav
Vedticka
Ögonpyrola
Fläcknycklar
Revlummer</t>
        </is>
      </c>
      <c r="S34">
        <f>HYPERLINK("https://klasma.github.io/Logging_2260/artfynd/A 41874-2025 artfynd.xlsx", "A 41874-2025")</f>
        <v/>
      </c>
      <c r="T34">
        <f>HYPERLINK("https://klasma.github.io/Logging_2260/kartor/A 41874-2025 karta.png", "A 41874-2025")</f>
        <v/>
      </c>
      <c r="V34">
        <f>HYPERLINK("https://klasma.github.io/Logging_2260/klagomål/A 41874-2025 FSC-klagomål.docx", "A 41874-2025")</f>
        <v/>
      </c>
      <c r="W34">
        <f>HYPERLINK("https://klasma.github.io/Logging_2260/klagomålsmail/A 41874-2025 FSC-klagomål mail.docx", "A 41874-2025")</f>
        <v/>
      </c>
      <c r="X34">
        <f>HYPERLINK("https://klasma.github.io/Logging_2260/tillsyn/A 41874-2025 tillsynsbegäran.docx", "A 41874-2025")</f>
        <v/>
      </c>
      <c r="Y34">
        <f>HYPERLINK("https://klasma.github.io/Logging_2260/tillsynsmail/A 41874-2025 tillsynsbegäran mail.docx", "A 41874-2025")</f>
        <v/>
      </c>
    </row>
    <row r="35" ht="15" customHeight="1">
      <c r="A35" t="inlineStr">
        <is>
          <t>A 33783-2025</t>
        </is>
      </c>
      <c r="B35" s="1" t="n">
        <v>45842.40699074074</v>
      </c>
      <c r="C35" s="1" t="n">
        <v>46029</v>
      </c>
      <c r="D35" t="inlineStr">
        <is>
          <t>VÄSTERNORRLANDS LÄN</t>
        </is>
      </c>
      <c r="E35" t="inlineStr">
        <is>
          <t>ÅNGE</t>
        </is>
      </c>
      <c r="F35" t="inlineStr">
        <is>
          <t>SCA</t>
        </is>
      </c>
      <c r="G35" t="n">
        <v>9.300000000000001</v>
      </c>
      <c r="H35" t="n">
        <v>6</v>
      </c>
      <c r="I35" t="n">
        <v>3</v>
      </c>
      <c r="J35" t="n">
        <v>4</v>
      </c>
      <c r="K35" t="n">
        <v>0</v>
      </c>
      <c r="L35" t="n">
        <v>0</v>
      </c>
      <c r="M35" t="n">
        <v>0</v>
      </c>
      <c r="N35" t="n">
        <v>0</v>
      </c>
      <c r="O35" t="n">
        <v>4</v>
      </c>
      <c r="P35" t="n">
        <v>0</v>
      </c>
      <c r="Q35" t="n">
        <v>11</v>
      </c>
      <c r="R35" s="2" t="inlineStr">
        <is>
          <t>Fjällvråk
Gultoppig fingersvamp
Järpe
Lunglav
Kransrams
Stuplav
Ögonpyrola
Orre
Tjäder
Fläcknycklar
Revlummer</t>
        </is>
      </c>
      <c r="S35">
        <f>HYPERLINK("https://klasma.github.io/Logging_2260/artfynd/A 33783-2025 artfynd.xlsx", "A 33783-2025")</f>
        <v/>
      </c>
      <c r="T35">
        <f>HYPERLINK("https://klasma.github.io/Logging_2260/kartor/A 33783-2025 karta.png", "A 33783-2025")</f>
        <v/>
      </c>
      <c r="V35">
        <f>HYPERLINK("https://klasma.github.io/Logging_2260/klagomål/A 33783-2025 FSC-klagomål.docx", "A 33783-2025")</f>
        <v/>
      </c>
      <c r="W35">
        <f>HYPERLINK("https://klasma.github.io/Logging_2260/klagomålsmail/A 33783-2025 FSC-klagomål mail.docx", "A 33783-2025")</f>
        <v/>
      </c>
      <c r="X35">
        <f>HYPERLINK("https://klasma.github.io/Logging_2260/tillsyn/A 33783-2025 tillsynsbegäran.docx", "A 33783-2025")</f>
        <v/>
      </c>
      <c r="Y35">
        <f>HYPERLINK("https://klasma.github.io/Logging_2260/tillsynsmail/A 33783-2025 tillsynsbegäran mail.docx", "A 33783-2025")</f>
        <v/>
      </c>
      <c r="Z35">
        <f>HYPERLINK("https://klasma.github.io/Logging_2260/fåglar/A 33783-2025 prioriterade fågelarter.docx", "A 33783-2025")</f>
        <v/>
      </c>
    </row>
    <row r="36" ht="15" customHeight="1">
      <c r="A36" t="inlineStr">
        <is>
          <t>A 48738-2024</t>
        </is>
      </c>
      <c r="B36" s="1" t="n">
        <v>45593</v>
      </c>
      <c r="C36" s="1" t="n">
        <v>46029</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46029</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46029</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30474-2025</t>
        </is>
      </c>
      <c r="B39" s="1" t="n">
        <v>45828.34430555555</v>
      </c>
      <c r="C39" s="1" t="n">
        <v>46029</v>
      </c>
      <c r="D39" t="inlineStr">
        <is>
          <t>VÄSTERNORRLANDS LÄN</t>
        </is>
      </c>
      <c r="E39" t="inlineStr">
        <is>
          <t>ÅNGE</t>
        </is>
      </c>
      <c r="F39" t="inlineStr">
        <is>
          <t>SCA</t>
        </is>
      </c>
      <c r="G39" t="n">
        <v>15.2</v>
      </c>
      <c r="H39" t="n">
        <v>1</v>
      </c>
      <c r="I39" t="n">
        <v>3</v>
      </c>
      <c r="J39" t="n">
        <v>5</v>
      </c>
      <c r="K39" t="n">
        <v>1</v>
      </c>
      <c r="L39" t="n">
        <v>0</v>
      </c>
      <c r="M39" t="n">
        <v>0</v>
      </c>
      <c r="N39" t="n">
        <v>0</v>
      </c>
      <c r="O39" t="n">
        <v>6</v>
      </c>
      <c r="P39" t="n">
        <v>1</v>
      </c>
      <c r="Q39" t="n">
        <v>10</v>
      </c>
      <c r="R39" s="2" t="inlineStr">
        <is>
          <t>Liten aspgelélav
Gammelgransskål
Garnlav
Lunglav
Skrovellav
Violettgrå tagellav
Bårdlav
Korallblylav
Stuplav
Revlummer</t>
        </is>
      </c>
      <c r="S39">
        <f>HYPERLINK("https://klasma.github.io/Logging_2260/artfynd/A 30474-2025 artfynd.xlsx", "A 30474-2025")</f>
        <v/>
      </c>
      <c r="T39">
        <f>HYPERLINK("https://klasma.github.io/Logging_2260/kartor/A 30474-2025 karta.png", "A 30474-2025")</f>
        <v/>
      </c>
      <c r="V39">
        <f>HYPERLINK("https://klasma.github.io/Logging_2260/klagomål/A 30474-2025 FSC-klagomål.docx", "A 30474-2025")</f>
        <v/>
      </c>
      <c r="W39">
        <f>HYPERLINK("https://klasma.github.io/Logging_2260/klagomålsmail/A 30474-2025 FSC-klagomål mail.docx", "A 30474-2025")</f>
        <v/>
      </c>
      <c r="X39">
        <f>HYPERLINK("https://klasma.github.io/Logging_2260/tillsyn/A 30474-2025 tillsynsbegäran.docx", "A 30474-2025")</f>
        <v/>
      </c>
      <c r="Y39">
        <f>HYPERLINK("https://klasma.github.io/Logging_2260/tillsynsmail/A 30474-2025 tillsynsbegäran mail.docx", "A 30474-2025")</f>
        <v/>
      </c>
    </row>
    <row r="40" ht="15" customHeight="1">
      <c r="A40" t="inlineStr">
        <is>
          <t>A 30840-2023</t>
        </is>
      </c>
      <c r="B40" s="1" t="n">
        <v>45112</v>
      </c>
      <c r="C40" s="1" t="n">
        <v>46029</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25323-2023</t>
        </is>
      </c>
      <c r="B41" s="1" t="n">
        <v>45086</v>
      </c>
      <c r="C41" s="1" t="n">
        <v>46029</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61524-2025</t>
        </is>
      </c>
      <c r="B42" s="1" t="n">
        <v>46001.68811342592</v>
      </c>
      <c r="C42" s="1" t="n">
        <v>46029</v>
      </c>
      <c r="D42" t="inlineStr">
        <is>
          <t>VÄSTERNORRLANDS LÄN</t>
        </is>
      </c>
      <c r="E42" t="inlineStr">
        <is>
          <t>ÅNGE</t>
        </is>
      </c>
      <c r="F42" t="inlineStr">
        <is>
          <t>SCA</t>
        </is>
      </c>
      <c r="G42" t="n">
        <v>3.4</v>
      </c>
      <c r="H42" t="n">
        <v>2</v>
      </c>
      <c r="I42" t="n">
        <v>2</v>
      </c>
      <c r="J42" t="n">
        <v>6</v>
      </c>
      <c r="K42" t="n">
        <v>2</v>
      </c>
      <c r="L42" t="n">
        <v>0</v>
      </c>
      <c r="M42" t="n">
        <v>0</v>
      </c>
      <c r="N42" t="n">
        <v>0</v>
      </c>
      <c r="O42" t="n">
        <v>8</v>
      </c>
      <c r="P42" t="n">
        <v>2</v>
      </c>
      <c r="Q42" t="n">
        <v>10</v>
      </c>
      <c r="R42" s="2" t="inlineStr">
        <is>
          <t>Knärot
Tajgataggsvamp
Koralltaggsvamp
Oljetagging
Orange taggsvamp
Rosenticka
Svart taggsvamp
Vaddporing
Grönkulla
Rökmusseron</t>
        </is>
      </c>
      <c r="S42">
        <f>HYPERLINK("https://klasma.github.io/Logging_2260/artfynd/A 61524-2025 artfynd.xlsx", "A 61524-2025")</f>
        <v/>
      </c>
      <c r="T42">
        <f>HYPERLINK("https://klasma.github.io/Logging_2260/kartor/A 61524-2025 karta.png", "A 61524-2025")</f>
        <v/>
      </c>
      <c r="U42">
        <f>HYPERLINK("https://klasma.github.io/Logging_2260/knärot/A 61524-2025 karta knärot.png", "A 61524-2025")</f>
        <v/>
      </c>
      <c r="V42">
        <f>HYPERLINK("https://klasma.github.io/Logging_2260/klagomål/A 61524-2025 FSC-klagomål.docx", "A 61524-2025")</f>
        <v/>
      </c>
      <c r="W42">
        <f>HYPERLINK("https://klasma.github.io/Logging_2260/klagomålsmail/A 61524-2025 FSC-klagomål mail.docx", "A 61524-2025")</f>
        <v/>
      </c>
      <c r="X42">
        <f>HYPERLINK("https://klasma.github.io/Logging_2260/tillsyn/A 61524-2025 tillsynsbegäran.docx", "A 61524-2025")</f>
        <v/>
      </c>
      <c r="Y42">
        <f>HYPERLINK("https://klasma.github.io/Logging_2260/tillsynsmail/A 61524-2025 tillsynsbegäran mail.docx", "A 61524-2025")</f>
        <v/>
      </c>
    </row>
    <row r="43" ht="15" customHeight="1">
      <c r="A43" t="inlineStr">
        <is>
          <t>A 39496-2024</t>
        </is>
      </c>
      <c r="B43" s="1" t="n">
        <v>45551</v>
      </c>
      <c r="C43" s="1" t="n">
        <v>46029</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46029</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34519-2022</t>
        </is>
      </c>
      <c r="B45" s="1" t="n">
        <v>44792</v>
      </c>
      <c r="C45" s="1" t="n">
        <v>46029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46029</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44607-2021</t>
        </is>
      </c>
      <c r="B47" s="1" t="n">
        <v>44435</v>
      </c>
      <c r="C47" s="1" t="n">
        <v>46029</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46029</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26473-2025</t>
        </is>
      </c>
      <c r="B49" s="1" t="n">
        <v>45807</v>
      </c>
      <c r="C49" s="1" t="n">
        <v>46029</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26314-2024</t>
        </is>
      </c>
      <c r="B50" s="1" t="n">
        <v>45468</v>
      </c>
      <c r="C50" s="1" t="n">
        <v>46029</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46029</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46029</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46029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31113-2025</t>
        </is>
      </c>
      <c r="B54" s="1" t="n">
        <v>45832.61501157407</v>
      </c>
      <c r="C54" s="1" t="n">
        <v>46029</v>
      </c>
      <c r="D54" t="inlineStr">
        <is>
          <t>VÄSTERNORRLANDS LÄN</t>
        </is>
      </c>
      <c r="E54" t="inlineStr">
        <is>
          <t>ÅNGE</t>
        </is>
      </c>
      <c r="F54" t="inlineStr">
        <is>
          <t>SCA</t>
        </is>
      </c>
      <c r="G54" t="n">
        <v>1.5</v>
      </c>
      <c r="H54" t="n">
        <v>3</v>
      </c>
      <c r="I54" t="n">
        <v>4</v>
      </c>
      <c r="J54" t="n">
        <v>3</v>
      </c>
      <c r="K54" t="n">
        <v>0</v>
      </c>
      <c r="L54" t="n">
        <v>0</v>
      </c>
      <c r="M54" t="n">
        <v>0</v>
      </c>
      <c r="N54" t="n">
        <v>0</v>
      </c>
      <c r="O54" t="n">
        <v>3</v>
      </c>
      <c r="P54" t="n">
        <v>0</v>
      </c>
      <c r="Q54" t="n">
        <v>8</v>
      </c>
      <c r="R54" s="2" t="inlineStr">
        <is>
          <t>Brunklöver
Månlåsbräken
Skogsklocka
Finbräken
Guckusko
Trådfräken
Tvåblad
Brudsporre</t>
        </is>
      </c>
      <c r="S54">
        <f>HYPERLINK("https://klasma.github.io/Logging_2260/artfynd/A 31113-2025 artfynd.xlsx", "A 31113-2025")</f>
        <v/>
      </c>
      <c r="T54">
        <f>HYPERLINK("https://klasma.github.io/Logging_2260/kartor/A 31113-2025 karta.png", "A 31113-2025")</f>
        <v/>
      </c>
      <c r="V54">
        <f>HYPERLINK("https://klasma.github.io/Logging_2260/klagomål/A 31113-2025 FSC-klagomål.docx", "A 31113-2025")</f>
        <v/>
      </c>
      <c r="W54">
        <f>HYPERLINK("https://klasma.github.io/Logging_2260/klagomålsmail/A 31113-2025 FSC-klagomål mail.docx", "A 31113-2025")</f>
        <v/>
      </c>
      <c r="X54">
        <f>HYPERLINK("https://klasma.github.io/Logging_2260/tillsyn/A 31113-2025 tillsynsbegäran.docx", "A 31113-2025")</f>
        <v/>
      </c>
      <c r="Y54">
        <f>HYPERLINK("https://klasma.github.io/Logging_2260/tillsynsmail/A 31113-2025 tillsynsbegäran mail.docx", "A 31113-2025")</f>
        <v/>
      </c>
    </row>
    <row r="55" ht="15" customHeight="1">
      <c r="A55" t="inlineStr">
        <is>
          <t>A 10086-2023</t>
        </is>
      </c>
      <c r="B55" s="1" t="n">
        <v>44985</v>
      </c>
      <c r="C55" s="1" t="n">
        <v>46029</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46029</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26957-2024</t>
        </is>
      </c>
      <c r="B57" s="1" t="n">
        <v>45470</v>
      </c>
      <c r="C57" s="1" t="n">
        <v>46029</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46029</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39065-2023</t>
        </is>
      </c>
      <c r="B59" s="1" t="n">
        <v>45163</v>
      </c>
      <c r="C59" s="1" t="n">
        <v>46029</v>
      </c>
      <c r="D59" t="inlineStr">
        <is>
          <t>VÄSTERNORRLANDS LÄN</t>
        </is>
      </c>
      <c r="E59" t="inlineStr">
        <is>
          <t>ÅNGE</t>
        </is>
      </c>
      <c r="F59" t="inlineStr">
        <is>
          <t>SCA</t>
        </is>
      </c>
      <c r="G59" t="n">
        <v>3.1</v>
      </c>
      <c r="H59" t="n">
        <v>2</v>
      </c>
      <c r="I59" t="n">
        <v>3</v>
      </c>
      <c r="J59" t="n">
        <v>3</v>
      </c>
      <c r="K59" t="n">
        <v>2</v>
      </c>
      <c r="L59" t="n">
        <v>0</v>
      </c>
      <c r="M59" t="n">
        <v>0</v>
      </c>
      <c r="N59" t="n">
        <v>0</v>
      </c>
      <c r="O59" t="n">
        <v>5</v>
      </c>
      <c r="P59" t="n">
        <v>2</v>
      </c>
      <c r="Q59" t="n">
        <v>8</v>
      </c>
      <c r="R59" s="2" t="inlineStr">
        <is>
          <t>Doftticka
Knärot
Koralltaggsvamp
Lunglav
Skrovellav
Bårdlav
Korallblylav
Stor aspticka</t>
        </is>
      </c>
      <c r="S59">
        <f>HYPERLINK("https://klasma.github.io/Logging_2260/artfynd/A 39065-2023 artfynd.xlsx", "A 39065-2023")</f>
        <v/>
      </c>
      <c r="T59">
        <f>HYPERLINK("https://klasma.github.io/Logging_2260/kartor/A 39065-2023 karta.png", "A 39065-2023")</f>
        <v/>
      </c>
      <c r="U59">
        <f>HYPERLINK("https://klasma.github.io/Logging_2260/knärot/A 39065-2023 karta knärot.png", "A 39065-2023")</f>
        <v/>
      </c>
      <c r="V59">
        <f>HYPERLINK("https://klasma.github.io/Logging_2260/klagomål/A 39065-2023 FSC-klagomål.docx", "A 39065-2023")</f>
        <v/>
      </c>
      <c r="W59">
        <f>HYPERLINK("https://klasma.github.io/Logging_2260/klagomålsmail/A 39065-2023 FSC-klagomål mail.docx", "A 39065-2023")</f>
        <v/>
      </c>
      <c r="X59">
        <f>HYPERLINK("https://klasma.github.io/Logging_2260/tillsyn/A 39065-2023 tillsynsbegäran.docx", "A 39065-2023")</f>
        <v/>
      </c>
      <c r="Y59">
        <f>HYPERLINK("https://klasma.github.io/Logging_2260/tillsynsmail/A 39065-2023 tillsynsbegäran mail.docx", "A 39065-2023")</f>
        <v/>
      </c>
    </row>
    <row r="60" ht="15" customHeight="1">
      <c r="A60" t="inlineStr">
        <is>
          <t>A 25898-2022</t>
        </is>
      </c>
      <c r="B60" s="1" t="n">
        <v>44733</v>
      </c>
      <c r="C60" s="1" t="n">
        <v>46029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46029</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46029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46029</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46029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60240-2025</t>
        </is>
      </c>
      <c r="B65" s="1" t="n">
        <v>45994.57857638889</v>
      </c>
      <c r="C65" s="1" t="n">
        <v>46029</v>
      </c>
      <c r="D65" t="inlineStr">
        <is>
          <t>VÄSTERNORRLANDS LÄN</t>
        </is>
      </c>
      <c r="E65" t="inlineStr">
        <is>
          <t>ÅNGE</t>
        </is>
      </c>
      <c r="F65" t="inlineStr">
        <is>
          <t>Sveaskog</t>
        </is>
      </c>
      <c r="G65" t="n">
        <v>5.5</v>
      </c>
      <c r="H65" t="n">
        <v>3</v>
      </c>
      <c r="I65" t="n">
        <v>1</v>
      </c>
      <c r="J65" t="n">
        <v>4</v>
      </c>
      <c r="K65" t="n">
        <v>1</v>
      </c>
      <c r="L65" t="n">
        <v>0</v>
      </c>
      <c r="M65" t="n">
        <v>0</v>
      </c>
      <c r="N65" t="n">
        <v>0</v>
      </c>
      <c r="O65" t="n">
        <v>5</v>
      </c>
      <c r="P65" t="n">
        <v>1</v>
      </c>
      <c r="Q65" t="n">
        <v>7</v>
      </c>
      <c r="R65" s="2" t="inlineStr">
        <is>
          <t>Knärot
Garnlav
Lunglav
Skrovellav
Tallticka
Plattlummer
Fläcknycklar</t>
        </is>
      </c>
      <c r="S65">
        <f>HYPERLINK("https://klasma.github.io/Logging_2260/artfynd/A 60240-2025 artfynd.xlsx", "A 60240-2025")</f>
        <v/>
      </c>
      <c r="T65">
        <f>HYPERLINK("https://klasma.github.io/Logging_2260/kartor/A 60240-2025 karta.png", "A 60240-2025")</f>
        <v/>
      </c>
      <c r="U65">
        <f>HYPERLINK("https://klasma.github.io/Logging_2260/knärot/A 60240-2025 karta knärot.png", "A 60240-2025")</f>
        <v/>
      </c>
      <c r="V65">
        <f>HYPERLINK("https://klasma.github.io/Logging_2260/klagomål/A 60240-2025 FSC-klagomål.docx", "A 60240-2025")</f>
        <v/>
      </c>
      <c r="W65">
        <f>HYPERLINK("https://klasma.github.io/Logging_2260/klagomålsmail/A 60240-2025 FSC-klagomål mail.docx", "A 60240-2025")</f>
        <v/>
      </c>
      <c r="X65">
        <f>HYPERLINK("https://klasma.github.io/Logging_2260/tillsyn/A 60240-2025 tillsynsbegäran.docx", "A 60240-2025")</f>
        <v/>
      </c>
      <c r="Y65">
        <f>HYPERLINK("https://klasma.github.io/Logging_2260/tillsynsmail/A 60240-2025 tillsynsbegäran mail.docx", "A 60240-2025")</f>
        <v/>
      </c>
    </row>
    <row r="66" ht="15" customHeight="1">
      <c r="A66" t="inlineStr">
        <is>
          <t>A 60116-2025</t>
        </is>
      </c>
      <c r="B66" s="1" t="n">
        <v>45994.318125</v>
      </c>
      <c r="C66" s="1" t="n">
        <v>46029</v>
      </c>
      <c r="D66" t="inlineStr">
        <is>
          <t>VÄSTERNORRLANDS LÄN</t>
        </is>
      </c>
      <c r="E66" t="inlineStr">
        <is>
          <t>ÅNGE</t>
        </is>
      </c>
      <c r="G66" t="n">
        <v>4.1</v>
      </c>
      <c r="H66" t="n">
        <v>1</v>
      </c>
      <c r="I66" t="n">
        <v>1</v>
      </c>
      <c r="J66" t="n">
        <v>5</v>
      </c>
      <c r="K66" t="n">
        <v>1</v>
      </c>
      <c r="L66" t="n">
        <v>0</v>
      </c>
      <c r="M66" t="n">
        <v>0</v>
      </c>
      <c r="N66" t="n">
        <v>0</v>
      </c>
      <c r="O66" t="n">
        <v>6</v>
      </c>
      <c r="P66" t="n">
        <v>1</v>
      </c>
      <c r="Q66" t="n">
        <v>7</v>
      </c>
      <c r="R66" s="2" t="inlineStr">
        <is>
          <t>Rynkskinn
Garnlav
Lunglav
Rosenticka
Tretåig hackspett
Ullticka
Luddlav</t>
        </is>
      </c>
      <c r="S66">
        <f>HYPERLINK("https://klasma.github.io/Logging_2260/artfynd/A 60116-2025 artfynd.xlsx", "A 60116-2025")</f>
        <v/>
      </c>
      <c r="T66">
        <f>HYPERLINK("https://klasma.github.io/Logging_2260/kartor/A 60116-2025 karta.png", "A 60116-2025")</f>
        <v/>
      </c>
      <c r="V66">
        <f>HYPERLINK("https://klasma.github.io/Logging_2260/klagomål/A 60116-2025 FSC-klagomål.docx", "A 60116-2025")</f>
        <v/>
      </c>
      <c r="W66">
        <f>HYPERLINK("https://klasma.github.io/Logging_2260/klagomålsmail/A 60116-2025 FSC-klagomål mail.docx", "A 60116-2025")</f>
        <v/>
      </c>
      <c r="X66">
        <f>HYPERLINK("https://klasma.github.io/Logging_2260/tillsyn/A 60116-2025 tillsynsbegäran.docx", "A 60116-2025")</f>
        <v/>
      </c>
      <c r="Y66">
        <f>HYPERLINK("https://klasma.github.io/Logging_2260/tillsynsmail/A 60116-2025 tillsynsbegäran mail.docx", "A 60116-2025")</f>
        <v/>
      </c>
      <c r="Z66">
        <f>HYPERLINK("https://klasma.github.io/Logging_2260/fåglar/A 60116-2025 prioriterade fågelarter.docx", "A 60116-2025")</f>
        <v/>
      </c>
    </row>
    <row r="67" ht="15" customHeight="1">
      <c r="A67" t="inlineStr">
        <is>
          <t>A 53456-2023</t>
        </is>
      </c>
      <c r="B67" s="1" t="n">
        <v>45229</v>
      </c>
      <c r="C67" s="1" t="n">
        <v>46029</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46029</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46029</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46029</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39570-2025</t>
        </is>
      </c>
      <c r="B71" s="1" t="n">
        <v>45890.49009259259</v>
      </c>
      <c r="C71" s="1" t="n">
        <v>46029</v>
      </c>
      <c r="D71" t="inlineStr">
        <is>
          <t>VÄSTERNORRLANDS LÄN</t>
        </is>
      </c>
      <c r="E71" t="inlineStr">
        <is>
          <t>ÅNGE</t>
        </is>
      </c>
      <c r="F71" t="inlineStr">
        <is>
          <t>SCA</t>
        </is>
      </c>
      <c r="G71" t="n">
        <v>2.4</v>
      </c>
      <c r="H71" t="n">
        <v>0</v>
      </c>
      <c r="I71" t="n">
        <v>2</v>
      </c>
      <c r="J71" t="n">
        <v>4</v>
      </c>
      <c r="K71" t="n">
        <v>0</v>
      </c>
      <c r="L71" t="n">
        <v>0</v>
      </c>
      <c r="M71" t="n">
        <v>0</v>
      </c>
      <c r="N71" t="n">
        <v>0</v>
      </c>
      <c r="O71" t="n">
        <v>4</v>
      </c>
      <c r="P71" t="n">
        <v>0</v>
      </c>
      <c r="Q71" t="n">
        <v>6</v>
      </c>
      <c r="R71" s="2" t="inlineStr">
        <is>
          <t>Garnlav
Lunglav
Skrovellav
Småflikig brosklav
Skinnlav
Stor aspticka</t>
        </is>
      </c>
      <c r="S71">
        <f>HYPERLINK("https://klasma.github.io/Logging_2260/artfynd/A 39570-2025 artfynd.xlsx", "A 39570-2025")</f>
        <v/>
      </c>
      <c r="T71">
        <f>HYPERLINK("https://klasma.github.io/Logging_2260/kartor/A 39570-2025 karta.png", "A 39570-2025")</f>
        <v/>
      </c>
      <c r="V71">
        <f>HYPERLINK("https://klasma.github.io/Logging_2260/klagomål/A 39570-2025 FSC-klagomål.docx", "A 39570-2025")</f>
        <v/>
      </c>
      <c r="W71">
        <f>HYPERLINK("https://klasma.github.io/Logging_2260/klagomålsmail/A 39570-2025 FSC-klagomål mail.docx", "A 39570-2025")</f>
        <v/>
      </c>
      <c r="X71">
        <f>HYPERLINK("https://klasma.github.io/Logging_2260/tillsyn/A 39570-2025 tillsynsbegäran.docx", "A 39570-2025")</f>
        <v/>
      </c>
      <c r="Y71">
        <f>HYPERLINK("https://klasma.github.io/Logging_2260/tillsynsmail/A 39570-2025 tillsynsbegäran mail.docx", "A 39570-2025")</f>
        <v/>
      </c>
    </row>
    <row r="72" ht="15" customHeight="1">
      <c r="A72" t="inlineStr">
        <is>
          <t>A 4130-2023</t>
        </is>
      </c>
      <c r="B72" s="1" t="n">
        <v>44952</v>
      </c>
      <c r="C72" s="1" t="n">
        <v>46029</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19010-2025</t>
        </is>
      </c>
      <c r="B73" s="1" t="n">
        <v>45764</v>
      </c>
      <c r="C73" s="1" t="n">
        <v>46029</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45402-2025</t>
        </is>
      </c>
      <c r="B74" s="1" t="n">
        <v>45922.4278587963</v>
      </c>
      <c r="C74" s="1" t="n">
        <v>46029</v>
      </c>
      <c r="D74" t="inlineStr">
        <is>
          <t>VÄSTERNORRLANDS LÄN</t>
        </is>
      </c>
      <c r="E74" t="inlineStr">
        <is>
          <t>ÅNGE</t>
        </is>
      </c>
      <c r="F74" t="inlineStr">
        <is>
          <t>SCA</t>
        </is>
      </c>
      <c r="G74" t="n">
        <v>2.9</v>
      </c>
      <c r="H74" t="n">
        <v>0</v>
      </c>
      <c r="I74" t="n">
        <v>2</v>
      </c>
      <c r="J74" t="n">
        <v>4</v>
      </c>
      <c r="K74" t="n">
        <v>0</v>
      </c>
      <c r="L74" t="n">
        <v>0</v>
      </c>
      <c r="M74" t="n">
        <v>0</v>
      </c>
      <c r="N74" t="n">
        <v>0</v>
      </c>
      <c r="O74" t="n">
        <v>4</v>
      </c>
      <c r="P74" t="n">
        <v>0</v>
      </c>
      <c r="Q74" t="n">
        <v>6</v>
      </c>
      <c r="R74" s="2" t="inlineStr">
        <is>
          <t>Garnlav
Kolflarnlav
Lunglav
Ullticka
Dropptaggsvamp
Vedticka</t>
        </is>
      </c>
      <c r="S74">
        <f>HYPERLINK("https://klasma.github.io/Logging_2260/artfynd/A 45402-2025 artfynd.xlsx", "A 45402-2025")</f>
        <v/>
      </c>
      <c r="T74">
        <f>HYPERLINK("https://klasma.github.io/Logging_2260/kartor/A 45402-2025 karta.png", "A 45402-2025")</f>
        <v/>
      </c>
      <c r="V74">
        <f>HYPERLINK("https://klasma.github.io/Logging_2260/klagomål/A 45402-2025 FSC-klagomål.docx", "A 45402-2025")</f>
        <v/>
      </c>
      <c r="W74">
        <f>HYPERLINK("https://klasma.github.io/Logging_2260/klagomålsmail/A 45402-2025 FSC-klagomål mail.docx", "A 45402-2025")</f>
        <v/>
      </c>
      <c r="X74">
        <f>HYPERLINK("https://klasma.github.io/Logging_2260/tillsyn/A 45402-2025 tillsynsbegäran.docx", "A 45402-2025")</f>
        <v/>
      </c>
      <c r="Y74">
        <f>HYPERLINK("https://klasma.github.io/Logging_2260/tillsynsmail/A 45402-2025 tillsynsbegäran mail.docx", "A 45402-2025")</f>
        <v/>
      </c>
    </row>
    <row r="75" ht="15" customHeight="1">
      <c r="A75" t="inlineStr">
        <is>
          <t>A 48191-2025</t>
        </is>
      </c>
      <c r="B75" s="1" t="n">
        <v>45933.46956018519</v>
      </c>
      <c r="C75" s="1" t="n">
        <v>46029</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46029</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26363-2023</t>
        </is>
      </c>
      <c r="B77" s="1" t="n">
        <v>45091</v>
      </c>
      <c r="C77" s="1" t="n">
        <v>46029</v>
      </c>
      <c r="D77" t="inlineStr">
        <is>
          <t>VÄSTERNORRLANDS LÄN</t>
        </is>
      </c>
      <c r="E77" t="inlineStr">
        <is>
          <t>ÅNGE</t>
        </is>
      </c>
      <c r="F77" t="inlineStr">
        <is>
          <t>SCA</t>
        </is>
      </c>
      <c r="G77" t="n">
        <v>3.3</v>
      </c>
      <c r="H77" t="n">
        <v>1</v>
      </c>
      <c r="I77" t="n">
        <v>0</v>
      </c>
      <c r="J77" t="n">
        <v>5</v>
      </c>
      <c r="K77" t="n">
        <v>1</v>
      </c>
      <c r="L77" t="n">
        <v>0</v>
      </c>
      <c r="M77" t="n">
        <v>0</v>
      </c>
      <c r="N77" t="n">
        <v>0</v>
      </c>
      <c r="O77" t="n">
        <v>6</v>
      </c>
      <c r="P77" t="n">
        <v>1</v>
      </c>
      <c r="Q77" t="n">
        <v>6</v>
      </c>
      <c r="R77" s="2" t="inlineStr">
        <is>
          <t>Knärot
Garnlav
Kolflarnlav
Lunglav
Mörk kolflarnlav
Violettgrå tagellav</t>
        </is>
      </c>
      <c r="S77">
        <f>HYPERLINK("https://klasma.github.io/Logging_2260/artfynd/A 26363-2023 artfynd.xlsx", "A 26363-2023")</f>
        <v/>
      </c>
      <c r="T77">
        <f>HYPERLINK("https://klasma.github.io/Logging_2260/kartor/A 26363-2023 karta.png", "A 26363-2023")</f>
        <v/>
      </c>
      <c r="U77">
        <f>HYPERLINK("https://klasma.github.io/Logging_2260/knärot/A 26363-2023 karta knärot.png", "A 26363-2023")</f>
        <v/>
      </c>
      <c r="V77">
        <f>HYPERLINK("https://klasma.github.io/Logging_2260/klagomål/A 26363-2023 FSC-klagomål.docx", "A 26363-2023")</f>
        <v/>
      </c>
      <c r="W77">
        <f>HYPERLINK("https://klasma.github.io/Logging_2260/klagomålsmail/A 26363-2023 FSC-klagomål mail.docx", "A 26363-2023")</f>
        <v/>
      </c>
      <c r="X77">
        <f>HYPERLINK("https://klasma.github.io/Logging_2260/tillsyn/A 26363-2023 tillsynsbegäran.docx", "A 26363-2023")</f>
        <v/>
      </c>
      <c r="Y77">
        <f>HYPERLINK("https://klasma.github.io/Logging_2260/tillsynsmail/A 26363-2023 tillsynsbegäran mail.docx", "A 26363-2023")</f>
        <v/>
      </c>
    </row>
    <row r="78" ht="15" customHeight="1">
      <c r="A78" t="inlineStr">
        <is>
          <t>A 55176-2024</t>
        </is>
      </c>
      <c r="B78" s="1" t="n">
        <v>45621</v>
      </c>
      <c r="C78" s="1" t="n">
        <v>46029</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3348-2021</t>
        </is>
      </c>
      <c r="B79" s="1" t="n">
        <v>44217</v>
      </c>
      <c r="C79" s="1" t="n">
        <v>46029</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27955-2021</t>
        </is>
      </c>
      <c r="B80" s="1" t="n">
        <v>44354</v>
      </c>
      <c r="C80" s="1" t="n">
        <v>46029</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46029</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32911-2024</t>
        </is>
      </c>
      <c r="B82" s="1" t="n">
        <v>45516</v>
      </c>
      <c r="C82" s="1" t="n">
        <v>46029</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23601-2025</t>
        </is>
      </c>
      <c r="B83" s="1" t="n">
        <v>45792</v>
      </c>
      <c r="C83" s="1" t="n">
        <v>46029</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38322-2025</t>
        </is>
      </c>
      <c r="B84" s="1" t="n">
        <v>45883.49003472222</v>
      </c>
      <c r="C84" s="1" t="n">
        <v>46029</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27914-2024</t>
        </is>
      </c>
      <c r="B85" s="1" t="n">
        <v>45475</v>
      </c>
      <c r="C85" s="1" t="n">
        <v>46029</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46029</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43520-2025</t>
        </is>
      </c>
      <c r="B87" s="1" t="n">
        <v>45911.57364583333</v>
      </c>
      <c r="C87" s="1" t="n">
        <v>46029</v>
      </c>
      <c r="D87" t="inlineStr">
        <is>
          <t>VÄSTERNORRLANDS LÄN</t>
        </is>
      </c>
      <c r="E87" t="inlineStr">
        <is>
          <t>ÅNGE</t>
        </is>
      </c>
      <c r="F87" t="inlineStr">
        <is>
          <t>SCA</t>
        </is>
      </c>
      <c r="G87" t="n">
        <v>2.5</v>
      </c>
      <c r="H87" t="n">
        <v>0</v>
      </c>
      <c r="I87" t="n">
        <v>2</v>
      </c>
      <c r="J87" t="n">
        <v>3</v>
      </c>
      <c r="K87" t="n">
        <v>0</v>
      </c>
      <c r="L87" t="n">
        <v>0</v>
      </c>
      <c r="M87" t="n">
        <v>0</v>
      </c>
      <c r="N87" t="n">
        <v>0</v>
      </c>
      <c r="O87" t="n">
        <v>3</v>
      </c>
      <c r="P87" t="n">
        <v>0</v>
      </c>
      <c r="Q87" t="n">
        <v>5</v>
      </c>
      <c r="R87" s="2" t="inlineStr">
        <is>
          <t>Garnlav
Lunglav
Vedtrappmossa
Bårdlav
Stuplav</t>
        </is>
      </c>
      <c r="S87">
        <f>HYPERLINK("https://klasma.github.io/Logging_2260/artfynd/A 43520-2025 artfynd.xlsx", "A 43520-2025")</f>
        <v/>
      </c>
      <c r="T87">
        <f>HYPERLINK("https://klasma.github.io/Logging_2260/kartor/A 43520-2025 karta.png", "A 43520-2025")</f>
        <v/>
      </c>
      <c r="V87">
        <f>HYPERLINK("https://klasma.github.io/Logging_2260/klagomål/A 43520-2025 FSC-klagomål.docx", "A 43520-2025")</f>
        <v/>
      </c>
      <c r="W87">
        <f>HYPERLINK("https://klasma.github.io/Logging_2260/klagomålsmail/A 43520-2025 FSC-klagomål mail.docx", "A 43520-2025")</f>
        <v/>
      </c>
      <c r="X87">
        <f>HYPERLINK("https://klasma.github.io/Logging_2260/tillsyn/A 43520-2025 tillsynsbegäran.docx", "A 43520-2025")</f>
        <v/>
      </c>
      <c r="Y87">
        <f>HYPERLINK("https://klasma.github.io/Logging_2260/tillsynsmail/A 43520-2025 tillsynsbegäran mail.docx", "A 43520-2025")</f>
        <v/>
      </c>
    </row>
    <row r="88" ht="15" customHeight="1">
      <c r="A88" t="inlineStr">
        <is>
          <t>A 51065-2024</t>
        </is>
      </c>
      <c r="B88" s="1" t="n">
        <v>45603</v>
      </c>
      <c r="C88" s="1" t="n">
        <v>46029</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46375-2025</t>
        </is>
      </c>
      <c r="B89" s="1" t="n">
        <v>45925.51097222222</v>
      </c>
      <c r="C89" s="1" t="n">
        <v>46029</v>
      </c>
      <c r="D89" t="inlineStr">
        <is>
          <t>VÄSTERNORRLANDS LÄN</t>
        </is>
      </c>
      <c r="E89" t="inlineStr">
        <is>
          <t>ÅNGE</t>
        </is>
      </c>
      <c r="F89" t="inlineStr">
        <is>
          <t>SCA</t>
        </is>
      </c>
      <c r="G89" t="n">
        <v>4.7</v>
      </c>
      <c r="H89" t="n">
        <v>1</v>
      </c>
      <c r="I89" t="n">
        <v>1</v>
      </c>
      <c r="J89" t="n">
        <v>3</v>
      </c>
      <c r="K89" t="n">
        <v>0</v>
      </c>
      <c r="L89" t="n">
        <v>0</v>
      </c>
      <c r="M89" t="n">
        <v>0</v>
      </c>
      <c r="N89" t="n">
        <v>0</v>
      </c>
      <c r="O89" t="n">
        <v>3</v>
      </c>
      <c r="P89" t="n">
        <v>0</v>
      </c>
      <c r="Q89" t="n">
        <v>5</v>
      </c>
      <c r="R89" s="2" t="inlineStr">
        <is>
          <t>Garnlav
Lunglav
Ullticka
Dropptaggsvamp
Tjäder</t>
        </is>
      </c>
      <c r="S89">
        <f>HYPERLINK("https://klasma.github.io/Logging_2260/artfynd/A 46375-2025 artfynd.xlsx", "A 46375-2025")</f>
        <v/>
      </c>
      <c r="T89">
        <f>HYPERLINK("https://klasma.github.io/Logging_2260/kartor/A 46375-2025 karta.png", "A 46375-2025")</f>
        <v/>
      </c>
      <c r="V89">
        <f>HYPERLINK("https://klasma.github.io/Logging_2260/klagomål/A 46375-2025 FSC-klagomål.docx", "A 46375-2025")</f>
        <v/>
      </c>
      <c r="W89">
        <f>HYPERLINK("https://klasma.github.io/Logging_2260/klagomålsmail/A 46375-2025 FSC-klagomål mail.docx", "A 46375-2025")</f>
        <v/>
      </c>
      <c r="X89">
        <f>HYPERLINK("https://klasma.github.io/Logging_2260/tillsyn/A 46375-2025 tillsynsbegäran.docx", "A 46375-2025")</f>
        <v/>
      </c>
      <c r="Y89">
        <f>HYPERLINK("https://klasma.github.io/Logging_2260/tillsynsmail/A 46375-2025 tillsynsbegäran mail.docx", "A 46375-2025")</f>
        <v/>
      </c>
      <c r="Z89">
        <f>HYPERLINK("https://klasma.github.io/Logging_2260/fåglar/A 46375-2025 prioriterade fågelarter.docx", "A 46375-2025")</f>
        <v/>
      </c>
    </row>
    <row r="90" ht="15" customHeight="1">
      <c r="A90" t="inlineStr">
        <is>
          <t>A 38327-2025</t>
        </is>
      </c>
      <c r="B90" s="1" t="n">
        <v>45883.49084490741</v>
      </c>
      <c r="C90" s="1" t="n">
        <v>46029</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47102-2025</t>
        </is>
      </c>
      <c r="B91" s="1" t="n">
        <v>45929</v>
      </c>
      <c r="C91" s="1" t="n">
        <v>46029</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13696-2023</t>
        </is>
      </c>
      <c r="B92" s="1" t="n">
        <v>45006</v>
      </c>
      <c r="C92" s="1" t="n">
        <v>46029</v>
      </c>
      <c r="D92" t="inlineStr">
        <is>
          <t>VÄSTERNORRLANDS LÄN</t>
        </is>
      </c>
      <c r="E92" t="inlineStr">
        <is>
          <t>ÅNGE</t>
        </is>
      </c>
      <c r="F92" t="inlineStr">
        <is>
          <t>SCA</t>
        </is>
      </c>
      <c r="G92" t="n">
        <v>47.6</v>
      </c>
      <c r="H92" t="n">
        <v>1</v>
      </c>
      <c r="I92" t="n">
        <v>0</v>
      </c>
      <c r="J92" t="n">
        <v>4</v>
      </c>
      <c r="K92" t="n">
        <v>1</v>
      </c>
      <c r="L92" t="n">
        <v>0</v>
      </c>
      <c r="M92" t="n">
        <v>0</v>
      </c>
      <c r="N92" t="n">
        <v>0</v>
      </c>
      <c r="O92" t="n">
        <v>5</v>
      </c>
      <c r="P92" t="n">
        <v>1</v>
      </c>
      <c r="Q92" t="n">
        <v>5</v>
      </c>
      <c r="R92" s="2" t="inlineStr">
        <is>
          <t>Knärot
Dvärgbägarlav
Knottrig blåslav
Mörk kolflarnlav
Nordtagging</t>
        </is>
      </c>
      <c r="S92">
        <f>HYPERLINK("https://klasma.github.io/Logging_2260/artfynd/A 13696-2023 artfynd.xlsx", "A 13696-2023")</f>
        <v/>
      </c>
      <c r="T92">
        <f>HYPERLINK("https://klasma.github.io/Logging_2260/kartor/A 13696-2023 karta.png", "A 13696-2023")</f>
        <v/>
      </c>
      <c r="U92">
        <f>HYPERLINK("https://klasma.github.io/Logging_2260/knärot/A 13696-2023 karta knärot.png", "A 13696-2023")</f>
        <v/>
      </c>
      <c r="V92">
        <f>HYPERLINK("https://klasma.github.io/Logging_2260/klagomål/A 13696-2023 FSC-klagomål.docx", "A 13696-2023")</f>
        <v/>
      </c>
      <c r="W92">
        <f>HYPERLINK("https://klasma.github.io/Logging_2260/klagomålsmail/A 13696-2023 FSC-klagomål mail.docx", "A 13696-2023")</f>
        <v/>
      </c>
      <c r="X92">
        <f>HYPERLINK("https://klasma.github.io/Logging_2260/tillsyn/A 13696-2023 tillsynsbegäran.docx", "A 13696-2023")</f>
        <v/>
      </c>
      <c r="Y92">
        <f>HYPERLINK("https://klasma.github.io/Logging_2260/tillsynsmail/A 13696-2023 tillsynsbegäran mail.docx", "A 13696-2023")</f>
        <v/>
      </c>
    </row>
    <row r="93" ht="15" customHeight="1">
      <c r="A93" t="inlineStr">
        <is>
          <t>A 59971-2025</t>
        </is>
      </c>
      <c r="B93" s="1" t="n">
        <v>45993.49002314815</v>
      </c>
      <c r="C93" s="1" t="n">
        <v>46029</v>
      </c>
      <c r="D93" t="inlineStr">
        <is>
          <t>VÄSTERNORRLANDS LÄN</t>
        </is>
      </c>
      <c r="E93" t="inlineStr">
        <is>
          <t>ÅNGE</t>
        </is>
      </c>
      <c r="F93" t="inlineStr">
        <is>
          <t>SCA</t>
        </is>
      </c>
      <c r="G93" t="n">
        <v>2.4</v>
      </c>
      <c r="H93" t="n">
        <v>3</v>
      </c>
      <c r="I93" t="n">
        <v>1</v>
      </c>
      <c r="J93" t="n">
        <v>3</v>
      </c>
      <c r="K93" t="n">
        <v>0</v>
      </c>
      <c r="L93" t="n">
        <v>0</v>
      </c>
      <c r="M93" t="n">
        <v>0</v>
      </c>
      <c r="N93" t="n">
        <v>0</v>
      </c>
      <c r="O93" t="n">
        <v>3</v>
      </c>
      <c r="P93" t="n">
        <v>0</v>
      </c>
      <c r="Q93" t="n">
        <v>5</v>
      </c>
      <c r="R93" s="2" t="inlineStr">
        <is>
          <t>Motaggsvamp
Talltita
Tretåig hackspett
Dropptaggsvamp
Lavskrika</t>
        </is>
      </c>
      <c r="S93">
        <f>HYPERLINK("https://klasma.github.io/Logging_2260/artfynd/A 59971-2025 artfynd.xlsx", "A 59971-2025")</f>
        <v/>
      </c>
      <c r="T93">
        <f>HYPERLINK("https://klasma.github.io/Logging_2260/kartor/A 59971-2025 karta.png", "A 59971-2025")</f>
        <v/>
      </c>
      <c r="V93">
        <f>HYPERLINK("https://klasma.github.io/Logging_2260/klagomål/A 59971-2025 FSC-klagomål.docx", "A 59971-2025")</f>
        <v/>
      </c>
      <c r="W93">
        <f>HYPERLINK("https://klasma.github.io/Logging_2260/klagomålsmail/A 59971-2025 FSC-klagomål mail.docx", "A 59971-2025")</f>
        <v/>
      </c>
      <c r="X93">
        <f>HYPERLINK("https://klasma.github.io/Logging_2260/tillsyn/A 59971-2025 tillsynsbegäran.docx", "A 59971-2025")</f>
        <v/>
      </c>
      <c r="Y93">
        <f>HYPERLINK("https://klasma.github.io/Logging_2260/tillsynsmail/A 59971-2025 tillsynsbegäran mail.docx", "A 59971-2025")</f>
        <v/>
      </c>
      <c r="Z93">
        <f>HYPERLINK("https://klasma.github.io/Logging_2260/fåglar/A 59971-2025 prioriterade fågelarter.docx", "A 59971-2025")</f>
        <v/>
      </c>
    </row>
    <row r="94" ht="15" customHeight="1">
      <c r="A94" t="inlineStr">
        <is>
          <t>A 52269-2024</t>
        </is>
      </c>
      <c r="B94" s="1" t="n">
        <v>45608.65660879629</v>
      </c>
      <c r="C94" s="1" t="n">
        <v>46029</v>
      </c>
      <c r="D94" t="inlineStr">
        <is>
          <t>VÄSTERNORRLANDS LÄN</t>
        </is>
      </c>
      <c r="E94" t="inlineStr">
        <is>
          <t>ÅNGE</t>
        </is>
      </c>
      <c r="F94" t="inlineStr">
        <is>
          <t>SCA</t>
        </is>
      </c>
      <c r="G94" t="n">
        <v>5.1</v>
      </c>
      <c r="H94" t="n">
        <v>0</v>
      </c>
      <c r="I94" t="n">
        <v>2</v>
      </c>
      <c r="J94" t="n">
        <v>3</v>
      </c>
      <c r="K94" t="n">
        <v>0</v>
      </c>
      <c r="L94" t="n">
        <v>0</v>
      </c>
      <c r="M94" t="n">
        <v>0</v>
      </c>
      <c r="N94" t="n">
        <v>0</v>
      </c>
      <c r="O94" t="n">
        <v>3</v>
      </c>
      <c r="P94" t="n">
        <v>0</v>
      </c>
      <c r="Q94" t="n">
        <v>5</v>
      </c>
      <c r="R94" s="2" t="inlineStr">
        <is>
          <t>Lunglav
Rosenticka
Ullticka
Bårdlav
Stor aspticka</t>
        </is>
      </c>
      <c r="S94">
        <f>HYPERLINK("https://klasma.github.io/Logging_2260/artfynd/A 52269-2024 artfynd.xlsx", "A 52269-2024")</f>
        <v/>
      </c>
      <c r="T94">
        <f>HYPERLINK("https://klasma.github.io/Logging_2260/kartor/A 52269-2024 karta.png", "A 52269-2024")</f>
        <v/>
      </c>
      <c r="V94">
        <f>HYPERLINK("https://klasma.github.io/Logging_2260/klagomål/A 52269-2024 FSC-klagomål.docx", "A 52269-2024")</f>
        <v/>
      </c>
      <c r="W94">
        <f>HYPERLINK("https://klasma.github.io/Logging_2260/klagomålsmail/A 52269-2024 FSC-klagomål mail.docx", "A 52269-2024")</f>
        <v/>
      </c>
      <c r="X94">
        <f>HYPERLINK("https://klasma.github.io/Logging_2260/tillsyn/A 52269-2024 tillsynsbegäran.docx", "A 52269-2024")</f>
        <v/>
      </c>
      <c r="Y94">
        <f>HYPERLINK("https://klasma.github.io/Logging_2260/tillsynsmail/A 52269-2024 tillsynsbegäran mail.docx", "A 52269-2024")</f>
        <v/>
      </c>
    </row>
    <row r="95" ht="15" customHeight="1">
      <c r="A95" t="inlineStr">
        <is>
          <t>A 52601-2025</t>
        </is>
      </c>
      <c r="B95" s="1" t="n">
        <v>45954</v>
      </c>
      <c r="C95" s="1" t="n">
        <v>46029</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55004-2023</t>
        </is>
      </c>
      <c r="B96" s="1" t="n">
        <v>45236</v>
      </c>
      <c r="C96" s="1" t="n">
        <v>46029</v>
      </c>
      <c r="D96" t="inlineStr">
        <is>
          <t>VÄSTERNORRLANDS LÄN</t>
        </is>
      </c>
      <c r="E96" t="inlineStr">
        <is>
          <t>ÅNGE</t>
        </is>
      </c>
      <c r="F96" t="inlineStr">
        <is>
          <t>SCA</t>
        </is>
      </c>
      <c r="G96" t="n">
        <v>3.7</v>
      </c>
      <c r="H96" t="n">
        <v>2</v>
      </c>
      <c r="I96" t="n">
        <v>3</v>
      </c>
      <c r="J96" t="n">
        <v>1</v>
      </c>
      <c r="K96" t="n">
        <v>0</v>
      </c>
      <c r="L96" t="n">
        <v>0</v>
      </c>
      <c r="M96" t="n">
        <v>0</v>
      </c>
      <c r="N96" t="n">
        <v>0</v>
      </c>
      <c r="O96" t="n">
        <v>1</v>
      </c>
      <c r="P96" t="n">
        <v>0</v>
      </c>
      <c r="Q96" t="n">
        <v>5</v>
      </c>
      <c r="R96" s="2" t="inlineStr">
        <is>
          <t>Storgröe
Kransrams
Spädstarr
Tvåblad
Fläcknycklar</t>
        </is>
      </c>
      <c r="S96">
        <f>HYPERLINK("https://klasma.github.io/Logging_2260/artfynd/A 55004-2023 artfynd.xlsx", "A 55004-2023")</f>
        <v/>
      </c>
      <c r="T96">
        <f>HYPERLINK("https://klasma.github.io/Logging_2260/kartor/A 55004-2023 karta.png", "A 55004-2023")</f>
        <v/>
      </c>
      <c r="V96">
        <f>HYPERLINK("https://klasma.github.io/Logging_2260/klagomål/A 55004-2023 FSC-klagomål.docx", "A 55004-2023")</f>
        <v/>
      </c>
      <c r="W96">
        <f>HYPERLINK("https://klasma.github.io/Logging_2260/klagomålsmail/A 55004-2023 FSC-klagomål mail.docx", "A 55004-2023")</f>
        <v/>
      </c>
      <c r="X96">
        <f>HYPERLINK("https://klasma.github.io/Logging_2260/tillsyn/A 55004-2023 tillsynsbegäran.docx", "A 55004-2023")</f>
        <v/>
      </c>
      <c r="Y96">
        <f>HYPERLINK("https://klasma.github.io/Logging_2260/tillsynsmail/A 55004-2023 tillsynsbegäran mail.docx", "A 55004-2023")</f>
        <v/>
      </c>
    </row>
    <row r="97" ht="15" customHeight="1">
      <c r="A97" t="inlineStr">
        <is>
          <t>A 46548-2023</t>
        </is>
      </c>
      <c r="B97" s="1" t="n">
        <v>45197</v>
      </c>
      <c r="C97" s="1" t="n">
        <v>46029</v>
      </c>
      <c r="D97" t="inlineStr">
        <is>
          <t>VÄSTERNORRLANDS LÄN</t>
        </is>
      </c>
      <c r="E97" t="inlineStr">
        <is>
          <t>ÅNGE</t>
        </is>
      </c>
      <c r="F97" t="inlineStr">
        <is>
          <t>SCA</t>
        </is>
      </c>
      <c r="G97" t="n">
        <v>4.1</v>
      </c>
      <c r="H97" t="n">
        <v>3</v>
      </c>
      <c r="I97" t="n">
        <v>2</v>
      </c>
      <c r="J97" t="n">
        <v>0</v>
      </c>
      <c r="K97" t="n">
        <v>1</v>
      </c>
      <c r="L97" t="n">
        <v>0</v>
      </c>
      <c r="M97" t="n">
        <v>0</v>
      </c>
      <c r="N97" t="n">
        <v>0</v>
      </c>
      <c r="O97" t="n">
        <v>1</v>
      </c>
      <c r="P97" t="n">
        <v>1</v>
      </c>
      <c r="Q97" t="n">
        <v>4</v>
      </c>
      <c r="R97" s="2" t="inlineStr">
        <is>
          <t>Knärot
Spindelblomster
Svavelriska
Fläcknycklar</t>
        </is>
      </c>
      <c r="S97">
        <f>HYPERLINK("https://klasma.github.io/Logging_2260/artfynd/A 46548-2023 artfynd.xlsx", "A 46548-2023")</f>
        <v/>
      </c>
      <c r="T97">
        <f>HYPERLINK("https://klasma.github.io/Logging_2260/kartor/A 46548-2023 karta.png", "A 46548-2023")</f>
        <v/>
      </c>
      <c r="U97">
        <f>HYPERLINK("https://klasma.github.io/Logging_2260/knärot/A 46548-2023 karta knärot.png", "A 46548-2023")</f>
        <v/>
      </c>
      <c r="V97">
        <f>HYPERLINK("https://klasma.github.io/Logging_2260/klagomål/A 46548-2023 FSC-klagomål.docx", "A 46548-2023")</f>
        <v/>
      </c>
      <c r="W97">
        <f>HYPERLINK("https://klasma.github.io/Logging_2260/klagomålsmail/A 46548-2023 FSC-klagomål mail.docx", "A 46548-2023")</f>
        <v/>
      </c>
      <c r="X97">
        <f>HYPERLINK("https://klasma.github.io/Logging_2260/tillsyn/A 46548-2023 tillsynsbegäran.docx", "A 46548-2023")</f>
        <v/>
      </c>
      <c r="Y97">
        <f>HYPERLINK("https://klasma.github.io/Logging_2260/tillsynsmail/A 46548-2023 tillsynsbegäran mail.docx", "A 46548-2023")</f>
        <v/>
      </c>
    </row>
    <row r="98" ht="15" customHeight="1">
      <c r="A98" t="inlineStr">
        <is>
          <t>A 38326-2024</t>
        </is>
      </c>
      <c r="B98" s="1" t="n">
        <v>45545.67741898148</v>
      </c>
      <c r="C98" s="1" t="n">
        <v>46029</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39176-2024</t>
        </is>
      </c>
      <c r="B99" s="1" t="n">
        <v>45548</v>
      </c>
      <c r="C99" s="1" t="n">
        <v>46029</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38713-2025</t>
        </is>
      </c>
      <c r="B100" s="1" t="n">
        <v>45886.34479166667</v>
      </c>
      <c r="C100" s="1" t="n">
        <v>46029</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11029-2025</t>
        </is>
      </c>
      <c r="B101" s="1" t="n">
        <v>45723</v>
      </c>
      <c r="C101" s="1" t="n">
        <v>46029</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26953-2024</t>
        </is>
      </c>
      <c r="B102" s="1" t="n">
        <v>45470</v>
      </c>
      <c r="C102" s="1" t="n">
        <v>46029</v>
      </c>
      <c r="D102" t="inlineStr">
        <is>
          <t>VÄSTERNORRLANDS LÄN</t>
        </is>
      </c>
      <c r="E102" t="inlineStr">
        <is>
          <t>ÅNGE</t>
        </is>
      </c>
      <c r="F102" t="inlineStr">
        <is>
          <t>SCA</t>
        </is>
      </c>
      <c r="G102" t="n">
        <v>3.1</v>
      </c>
      <c r="H102" t="n">
        <v>0</v>
      </c>
      <c r="I102" t="n">
        <v>0</v>
      </c>
      <c r="J102" t="n">
        <v>4</v>
      </c>
      <c r="K102" t="n">
        <v>0</v>
      </c>
      <c r="L102" t="n">
        <v>0</v>
      </c>
      <c r="M102" t="n">
        <v>0</v>
      </c>
      <c r="N102" t="n">
        <v>0</v>
      </c>
      <c r="O102" t="n">
        <v>4</v>
      </c>
      <c r="P102" t="n">
        <v>0</v>
      </c>
      <c r="Q102" t="n">
        <v>4</v>
      </c>
      <c r="R102" s="2" t="inlineStr">
        <is>
          <t>Blågrå svartspik
Garnlav
Kolflarnlav
Mörk kolflarnlav</t>
        </is>
      </c>
      <c r="S102">
        <f>HYPERLINK("https://klasma.github.io/Logging_2260/artfynd/A 26953-2024 artfynd.xlsx", "A 26953-2024")</f>
        <v/>
      </c>
      <c r="T102">
        <f>HYPERLINK("https://klasma.github.io/Logging_2260/kartor/A 26953-2024 karta.png", "A 26953-2024")</f>
        <v/>
      </c>
      <c r="V102">
        <f>HYPERLINK("https://klasma.github.io/Logging_2260/klagomål/A 26953-2024 FSC-klagomål.docx", "A 26953-2024")</f>
        <v/>
      </c>
      <c r="W102">
        <f>HYPERLINK("https://klasma.github.io/Logging_2260/klagomålsmail/A 26953-2024 FSC-klagomål mail.docx", "A 26953-2024")</f>
        <v/>
      </c>
      <c r="X102">
        <f>HYPERLINK("https://klasma.github.io/Logging_2260/tillsyn/A 26953-2024 tillsynsbegäran.docx", "A 26953-2024")</f>
        <v/>
      </c>
      <c r="Y102">
        <f>HYPERLINK("https://klasma.github.io/Logging_2260/tillsynsmail/A 26953-2024 tillsynsbegäran mail.docx", "A 26953-2024")</f>
        <v/>
      </c>
    </row>
    <row r="103" ht="15" customHeight="1">
      <c r="A103" t="inlineStr">
        <is>
          <t>A 44558-2024</t>
        </is>
      </c>
      <c r="B103" s="1" t="n">
        <v>45574.47001157407</v>
      </c>
      <c r="C103" s="1" t="n">
        <v>46029</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61487-2025</t>
        </is>
      </c>
      <c r="B104" s="1" t="n">
        <v>46001.63628472222</v>
      </c>
      <c r="C104" s="1" t="n">
        <v>46029</v>
      </c>
      <c r="D104" t="inlineStr">
        <is>
          <t>VÄSTERNORRLANDS LÄN</t>
        </is>
      </c>
      <c r="E104" t="inlineStr">
        <is>
          <t>ÅNGE</t>
        </is>
      </c>
      <c r="F104" t="inlineStr">
        <is>
          <t>SCA</t>
        </is>
      </c>
      <c r="G104" t="n">
        <v>5.4</v>
      </c>
      <c r="H104" t="n">
        <v>1</v>
      </c>
      <c r="I104" t="n">
        <v>0</v>
      </c>
      <c r="J104" t="n">
        <v>3</v>
      </c>
      <c r="K104" t="n">
        <v>1</v>
      </c>
      <c r="L104" t="n">
        <v>0</v>
      </c>
      <c r="M104" t="n">
        <v>0</v>
      </c>
      <c r="N104" t="n">
        <v>0</v>
      </c>
      <c r="O104" t="n">
        <v>4</v>
      </c>
      <c r="P104" t="n">
        <v>1</v>
      </c>
      <c r="Q104" t="n">
        <v>4</v>
      </c>
      <c r="R104" s="2" t="inlineStr">
        <is>
          <t>Rynkskinn
Garnlav
Tretåig hackspett
Vedtrappmossa</t>
        </is>
      </c>
      <c r="S104">
        <f>HYPERLINK("https://klasma.github.io/Logging_2260/artfynd/A 61487-2025 artfynd.xlsx", "A 61487-2025")</f>
        <v/>
      </c>
      <c r="T104">
        <f>HYPERLINK("https://klasma.github.io/Logging_2260/kartor/A 61487-2025 karta.png", "A 61487-2025")</f>
        <v/>
      </c>
      <c r="V104">
        <f>HYPERLINK("https://klasma.github.io/Logging_2260/klagomål/A 61487-2025 FSC-klagomål.docx", "A 61487-2025")</f>
        <v/>
      </c>
      <c r="W104">
        <f>HYPERLINK("https://klasma.github.io/Logging_2260/klagomålsmail/A 61487-2025 FSC-klagomål mail.docx", "A 61487-2025")</f>
        <v/>
      </c>
      <c r="X104">
        <f>HYPERLINK("https://klasma.github.io/Logging_2260/tillsyn/A 61487-2025 tillsynsbegäran.docx", "A 61487-2025")</f>
        <v/>
      </c>
      <c r="Y104">
        <f>HYPERLINK("https://klasma.github.io/Logging_2260/tillsynsmail/A 61487-2025 tillsynsbegäran mail.docx", "A 61487-2025")</f>
        <v/>
      </c>
      <c r="Z104">
        <f>HYPERLINK("https://klasma.github.io/Logging_2260/fåglar/A 61487-2025 prioriterade fågelarter.docx", "A 61487-2025")</f>
        <v/>
      </c>
    </row>
    <row r="105" ht="15" customHeight="1">
      <c r="A105" t="inlineStr">
        <is>
          <t>A 54095-2025</t>
        </is>
      </c>
      <c r="B105" s="1" t="n">
        <v>45964.40685185185</v>
      </c>
      <c r="C105" s="1" t="n">
        <v>46029</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61007-2025</t>
        </is>
      </c>
      <c r="B106" s="1" t="n">
        <v>45998</v>
      </c>
      <c r="C106" s="1" t="n">
        <v>46029</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24796-2024</t>
        </is>
      </c>
      <c r="B107" s="1" t="n">
        <v>45460</v>
      </c>
      <c r="C107" s="1" t="n">
        <v>46029</v>
      </c>
      <c r="D107" t="inlineStr">
        <is>
          <t>VÄSTERNORRLANDS LÄN</t>
        </is>
      </c>
      <c r="E107" t="inlineStr">
        <is>
          <t>ÅNGE</t>
        </is>
      </c>
      <c r="F107" t="inlineStr">
        <is>
          <t>SCA</t>
        </is>
      </c>
      <c r="G107" t="n">
        <v>6.7</v>
      </c>
      <c r="H107" t="n">
        <v>2</v>
      </c>
      <c r="I107" t="n">
        <v>2</v>
      </c>
      <c r="J107" t="n">
        <v>1</v>
      </c>
      <c r="K107" t="n">
        <v>0</v>
      </c>
      <c r="L107" t="n">
        <v>0</v>
      </c>
      <c r="M107" t="n">
        <v>0</v>
      </c>
      <c r="N107" t="n">
        <v>0</v>
      </c>
      <c r="O107" t="n">
        <v>1</v>
      </c>
      <c r="P107" t="n">
        <v>0</v>
      </c>
      <c r="Q107" t="n">
        <v>4</v>
      </c>
      <c r="R107" s="2" t="inlineStr">
        <is>
          <t>Doftskinn
Korallrot
Skinnlav
Kungsfågel</t>
        </is>
      </c>
      <c r="S107">
        <f>HYPERLINK("https://klasma.github.io/Logging_2260/artfynd/A 24796-2024 artfynd.xlsx", "A 24796-2024")</f>
        <v/>
      </c>
      <c r="T107">
        <f>HYPERLINK("https://klasma.github.io/Logging_2260/kartor/A 24796-2024 karta.png", "A 24796-2024")</f>
        <v/>
      </c>
      <c r="V107">
        <f>HYPERLINK("https://klasma.github.io/Logging_2260/klagomål/A 24796-2024 FSC-klagomål.docx", "A 24796-2024")</f>
        <v/>
      </c>
      <c r="W107">
        <f>HYPERLINK("https://klasma.github.io/Logging_2260/klagomålsmail/A 24796-2024 FSC-klagomål mail.docx", "A 24796-2024")</f>
        <v/>
      </c>
      <c r="X107">
        <f>HYPERLINK("https://klasma.github.io/Logging_2260/tillsyn/A 24796-2024 tillsynsbegäran.docx", "A 24796-2024")</f>
        <v/>
      </c>
      <c r="Y107">
        <f>HYPERLINK("https://klasma.github.io/Logging_2260/tillsynsmail/A 24796-2024 tillsynsbegäran mail.docx", "A 24796-2024")</f>
        <v/>
      </c>
      <c r="Z107">
        <f>HYPERLINK("https://klasma.github.io/Logging_2260/fåglar/A 24796-2024 prioriterade fågelarter.docx", "A 24796-2024")</f>
        <v/>
      </c>
    </row>
    <row r="108" ht="15" customHeight="1">
      <c r="A108" t="inlineStr">
        <is>
          <t>A 55179-2024</t>
        </is>
      </c>
      <c r="B108" s="1" t="n">
        <v>45621.53204861111</v>
      </c>
      <c r="C108" s="1" t="n">
        <v>46029</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46029</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46029</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46029</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46029</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23759-2025</t>
        </is>
      </c>
      <c r="B113" s="1" t="n">
        <v>45793.46409722222</v>
      </c>
      <c r="C113" s="1" t="n">
        <v>46029</v>
      </c>
      <c r="D113" t="inlineStr">
        <is>
          <t>VÄSTERNORRLANDS LÄN</t>
        </is>
      </c>
      <c r="E113" t="inlineStr">
        <is>
          <t>ÅNGE</t>
        </is>
      </c>
      <c r="F113" t="inlineStr">
        <is>
          <t>Sveaskog</t>
        </is>
      </c>
      <c r="G113" t="n">
        <v>5.2</v>
      </c>
      <c r="H113" t="n">
        <v>0</v>
      </c>
      <c r="I113" t="n">
        <v>1</v>
      </c>
      <c r="J113" t="n">
        <v>2</v>
      </c>
      <c r="K113" t="n">
        <v>0</v>
      </c>
      <c r="L113" t="n">
        <v>0</v>
      </c>
      <c r="M113" t="n">
        <v>0</v>
      </c>
      <c r="N113" t="n">
        <v>0</v>
      </c>
      <c r="O113" t="n">
        <v>2</v>
      </c>
      <c r="P113" t="n">
        <v>0</v>
      </c>
      <c r="Q113" t="n">
        <v>3</v>
      </c>
      <c r="R113" s="2" t="inlineStr">
        <is>
          <t>Lunglav
Skrovellav
Korallblylav</t>
        </is>
      </c>
      <c r="S113">
        <f>HYPERLINK("https://klasma.github.io/Logging_2260/artfynd/A 23759-2025 artfynd.xlsx", "A 23759-2025")</f>
        <v/>
      </c>
      <c r="T113">
        <f>HYPERLINK("https://klasma.github.io/Logging_2260/kartor/A 23759-2025 karta.png", "A 23759-2025")</f>
        <v/>
      </c>
      <c r="V113">
        <f>HYPERLINK("https://klasma.github.io/Logging_2260/klagomål/A 23759-2025 FSC-klagomål.docx", "A 23759-2025")</f>
        <v/>
      </c>
      <c r="W113">
        <f>HYPERLINK("https://klasma.github.io/Logging_2260/klagomålsmail/A 23759-2025 FSC-klagomål mail.docx", "A 23759-2025")</f>
        <v/>
      </c>
      <c r="X113">
        <f>HYPERLINK("https://klasma.github.io/Logging_2260/tillsyn/A 23759-2025 tillsynsbegäran.docx", "A 23759-2025")</f>
        <v/>
      </c>
      <c r="Y113">
        <f>HYPERLINK("https://klasma.github.io/Logging_2260/tillsynsmail/A 23759-2025 tillsynsbegäran mail.docx", "A 23759-2025")</f>
        <v/>
      </c>
    </row>
    <row r="114" ht="15" customHeight="1">
      <c r="A114" t="inlineStr">
        <is>
          <t>A 29665-2024</t>
        </is>
      </c>
      <c r="B114" s="1" t="n">
        <v>45484</v>
      </c>
      <c r="C114" s="1" t="n">
        <v>46029</v>
      </c>
      <c r="D114" t="inlineStr">
        <is>
          <t>VÄSTERNORRLANDS LÄN</t>
        </is>
      </c>
      <c r="E114" t="inlineStr">
        <is>
          <t>ÅNGE</t>
        </is>
      </c>
      <c r="F114" t="inlineStr">
        <is>
          <t>SCA</t>
        </is>
      </c>
      <c r="G114" t="n">
        <v>3.3</v>
      </c>
      <c r="H114" t="n">
        <v>1</v>
      </c>
      <c r="I114" t="n">
        <v>0</v>
      </c>
      <c r="J114" t="n">
        <v>3</v>
      </c>
      <c r="K114" t="n">
        <v>0</v>
      </c>
      <c r="L114" t="n">
        <v>0</v>
      </c>
      <c r="M114" t="n">
        <v>0</v>
      </c>
      <c r="N114" t="n">
        <v>0</v>
      </c>
      <c r="O114" t="n">
        <v>3</v>
      </c>
      <c r="P114" t="n">
        <v>0</v>
      </c>
      <c r="Q114" t="n">
        <v>3</v>
      </c>
      <c r="R114" s="2" t="inlineStr">
        <is>
          <t>Garnlav
Granticka
Utter</t>
        </is>
      </c>
      <c r="S114">
        <f>HYPERLINK("https://klasma.github.io/Logging_2260/artfynd/A 29665-2024 artfynd.xlsx", "A 29665-2024")</f>
        <v/>
      </c>
      <c r="T114">
        <f>HYPERLINK("https://klasma.github.io/Logging_2260/kartor/A 29665-2024 karta.png", "A 29665-2024")</f>
        <v/>
      </c>
      <c r="V114">
        <f>HYPERLINK("https://klasma.github.io/Logging_2260/klagomål/A 29665-2024 FSC-klagomål.docx", "A 29665-2024")</f>
        <v/>
      </c>
      <c r="W114">
        <f>HYPERLINK("https://klasma.github.io/Logging_2260/klagomålsmail/A 29665-2024 FSC-klagomål mail.docx", "A 29665-2024")</f>
        <v/>
      </c>
      <c r="X114">
        <f>HYPERLINK("https://klasma.github.io/Logging_2260/tillsyn/A 29665-2024 tillsynsbegäran.docx", "A 29665-2024")</f>
        <v/>
      </c>
      <c r="Y114">
        <f>HYPERLINK("https://klasma.github.io/Logging_2260/tillsynsmail/A 29665-2024 tillsynsbegäran mail.docx", "A 29665-2024")</f>
        <v/>
      </c>
    </row>
    <row r="115" ht="15" customHeight="1">
      <c r="A115" t="inlineStr">
        <is>
          <t>A 29691-2024</t>
        </is>
      </c>
      <c r="B115" s="1" t="n">
        <v>45484.9446875</v>
      </c>
      <c r="C115" s="1" t="n">
        <v>46029</v>
      </c>
      <c r="D115" t="inlineStr">
        <is>
          <t>VÄSTERNORRLANDS LÄN</t>
        </is>
      </c>
      <c r="E115" t="inlineStr">
        <is>
          <t>ÅNGE</t>
        </is>
      </c>
      <c r="F115" t="inlineStr">
        <is>
          <t>SCA</t>
        </is>
      </c>
      <c r="G115" t="n">
        <v>6.8</v>
      </c>
      <c r="H115" t="n">
        <v>0</v>
      </c>
      <c r="I115" t="n">
        <v>1</v>
      </c>
      <c r="J115" t="n">
        <v>2</v>
      </c>
      <c r="K115" t="n">
        <v>0</v>
      </c>
      <c r="L115" t="n">
        <v>0</v>
      </c>
      <c r="M115" t="n">
        <v>0</v>
      </c>
      <c r="N115" t="n">
        <v>0</v>
      </c>
      <c r="O115" t="n">
        <v>2</v>
      </c>
      <c r="P115" t="n">
        <v>0</v>
      </c>
      <c r="Q115" t="n">
        <v>3</v>
      </c>
      <c r="R115" s="2" t="inlineStr">
        <is>
          <t>Lunglav
Rosenticka
Vedticka</t>
        </is>
      </c>
      <c r="S115">
        <f>HYPERLINK("https://klasma.github.io/Logging_2260/artfynd/A 29691-2024 artfynd.xlsx", "A 29691-2024")</f>
        <v/>
      </c>
      <c r="T115">
        <f>HYPERLINK("https://klasma.github.io/Logging_2260/kartor/A 29691-2024 karta.png", "A 29691-2024")</f>
        <v/>
      </c>
      <c r="V115">
        <f>HYPERLINK("https://klasma.github.io/Logging_2260/klagomål/A 29691-2024 FSC-klagomål.docx", "A 29691-2024")</f>
        <v/>
      </c>
      <c r="W115">
        <f>HYPERLINK("https://klasma.github.io/Logging_2260/klagomålsmail/A 29691-2024 FSC-klagomål mail.docx", "A 29691-2024")</f>
        <v/>
      </c>
      <c r="X115">
        <f>HYPERLINK("https://klasma.github.io/Logging_2260/tillsyn/A 29691-2024 tillsynsbegäran.docx", "A 29691-2024")</f>
        <v/>
      </c>
      <c r="Y115">
        <f>HYPERLINK("https://klasma.github.io/Logging_2260/tillsynsmail/A 29691-2024 tillsynsbegäran mail.docx", "A 29691-2024")</f>
        <v/>
      </c>
    </row>
    <row r="116" ht="15" customHeight="1">
      <c r="A116" t="inlineStr">
        <is>
          <t>A 22996-2023</t>
        </is>
      </c>
      <c r="B116" s="1" t="n">
        <v>45072</v>
      </c>
      <c r="C116" s="1" t="n">
        <v>46029</v>
      </c>
      <c r="D116" t="inlineStr">
        <is>
          <t>VÄSTERNORRLANDS LÄN</t>
        </is>
      </c>
      <c r="E116" t="inlineStr">
        <is>
          <t>ÅNGE</t>
        </is>
      </c>
      <c r="F116" t="inlineStr">
        <is>
          <t>SCA</t>
        </is>
      </c>
      <c r="G116" t="n">
        <v>2.2</v>
      </c>
      <c r="H116" t="n">
        <v>1</v>
      </c>
      <c r="I116" t="n">
        <v>0</v>
      </c>
      <c r="J116" t="n">
        <v>2</v>
      </c>
      <c r="K116" t="n">
        <v>1</v>
      </c>
      <c r="L116" t="n">
        <v>0</v>
      </c>
      <c r="M116" t="n">
        <v>0</v>
      </c>
      <c r="N116" t="n">
        <v>0</v>
      </c>
      <c r="O116" t="n">
        <v>3</v>
      </c>
      <c r="P116" t="n">
        <v>1</v>
      </c>
      <c r="Q116" t="n">
        <v>3</v>
      </c>
      <c r="R116" s="2" t="inlineStr">
        <is>
          <t>Knärot
Garnlav
Vedtrappmossa</t>
        </is>
      </c>
      <c r="S116">
        <f>HYPERLINK("https://klasma.github.io/Logging_2260/artfynd/A 22996-2023 artfynd.xlsx", "A 22996-2023")</f>
        <v/>
      </c>
      <c r="T116">
        <f>HYPERLINK("https://klasma.github.io/Logging_2260/kartor/A 22996-2023 karta.png", "A 22996-2023")</f>
        <v/>
      </c>
      <c r="U116">
        <f>HYPERLINK("https://klasma.github.io/Logging_2260/knärot/A 22996-2023 karta knärot.png", "A 22996-2023")</f>
        <v/>
      </c>
      <c r="V116">
        <f>HYPERLINK("https://klasma.github.io/Logging_2260/klagomål/A 22996-2023 FSC-klagomål.docx", "A 22996-2023")</f>
        <v/>
      </c>
      <c r="W116">
        <f>HYPERLINK("https://klasma.github.io/Logging_2260/klagomålsmail/A 22996-2023 FSC-klagomål mail.docx", "A 22996-2023")</f>
        <v/>
      </c>
      <c r="X116">
        <f>HYPERLINK("https://klasma.github.io/Logging_2260/tillsyn/A 22996-2023 tillsynsbegäran.docx", "A 22996-2023")</f>
        <v/>
      </c>
      <c r="Y116">
        <f>HYPERLINK("https://klasma.github.io/Logging_2260/tillsynsmail/A 22996-2023 tillsynsbegäran mail.docx", "A 22996-2023")</f>
        <v/>
      </c>
    </row>
    <row r="117" ht="15" customHeight="1">
      <c r="A117" t="inlineStr">
        <is>
          <t>A 28274-2023</t>
        </is>
      </c>
      <c r="B117" s="1" t="n">
        <v>45099</v>
      </c>
      <c r="C117" s="1" t="n">
        <v>46029</v>
      </c>
      <c r="D117" t="inlineStr">
        <is>
          <t>VÄSTERNORRLANDS LÄN</t>
        </is>
      </c>
      <c r="E117" t="inlineStr">
        <is>
          <t>ÅNGE</t>
        </is>
      </c>
      <c r="G117" t="n">
        <v>19.2</v>
      </c>
      <c r="H117" t="n">
        <v>1</v>
      </c>
      <c r="I117" t="n">
        <v>1</v>
      </c>
      <c r="J117" t="n">
        <v>1</v>
      </c>
      <c r="K117" t="n">
        <v>1</v>
      </c>
      <c r="L117" t="n">
        <v>0</v>
      </c>
      <c r="M117" t="n">
        <v>0</v>
      </c>
      <c r="N117" t="n">
        <v>0</v>
      </c>
      <c r="O117" t="n">
        <v>2</v>
      </c>
      <c r="P117" t="n">
        <v>1</v>
      </c>
      <c r="Q117" t="n">
        <v>3</v>
      </c>
      <c r="R117" s="2" t="inlineStr">
        <is>
          <t>Knärot
Lunglav
Grönpyrola</t>
        </is>
      </c>
      <c r="S117">
        <f>HYPERLINK("https://klasma.github.io/Logging_2260/artfynd/A 28274-2023 artfynd.xlsx", "A 28274-2023")</f>
        <v/>
      </c>
      <c r="T117">
        <f>HYPERLINK("https://klasma.github.io/Logging_2260/kartor/A 28274-2023 karta.png", "A 28274-2023")</f>
        <v/>
      </c>
      <c r="U117">
        <f>HYPERLINK("https://klasma.github.io/Logging_2260/knärot/A 28274-2023 karta knärot.png", "A 28274-2023")</f>
        <v/>
      </c>
      <c r="V117">
        <f>HYPERLINK("https://klasma.github.io/Logging_2260/klagomål/A 28274-2023 FSC-klagomål.docx", "A 28274-2023")</f>
        <v/>
      </c>
      <c r="W117">
        <f>HYPERLINK("https://klasma.github.io/Logging_2260/klagomålsmail/A 28274-2023 FSC-klagomål mail.docx", "A 28274-2023")</f>
        <v/>
      </c>
      <c r="X117">
        <f>HYPERLINK("https://klasma.github.io/Logging_2260/tillsyn/A 28274-2023 tillsynsbegäran.docx", "A 28274-2023")</f>
        <v/>
      </c>
      <c r="Y117">
        <f>HYPERLINK("https://klasma.github.io/Logging_2260/tillsynsmail/A 28274-2023 tillsynsbegäran mail.docx", "A 28274-2023")</f>
        <v/>
      </c>
    </row>
    <row r="118" ht="15" customHeight="1">
      <c r="A118" t="inlineStr">
        <is>
          <t>A 39029-2025</t>
        </is>
      </c>
      <c r="B118" s="1" t="n">
        <v>45888.40684027778</v>
      </c>
      <c r="C118" s="1" t="n">
        <v>46029</v>
      </c>
      <c r="D118" t="inlineStr">
        <is>
          <t>VÄSTERNORRLANDS LÄN</t>
        </is>
      </c>
      <c r="E118" t="inlineStr">
        <is>
          <t>ÅNGE</t>
        </is>
      </c>
      <c r="F118" t="inlineStr">
        <is>
          <t>SCA</t>
        </is>
      </c>
      <c r="G118" t="n">
        <v>2.4</v>
      </c>
      <c r="H118" t="n">
        <v>2</v>
      </c>
      <c r="I118" t="n">
        <v>0</v>
      </c>
      <c r="J118" t="n">
        <v>1</v>
      </c>
      <c r="K118" t="n">
        <v>0</v>
      </c>
      <c r="L118" t="n">
        <v>0</v>
      </c>
      <c r="M118" t="n">
        <v>0</v>
      </c>
      <c r="N118" t="n">
        <v>0</v>
      </c>
      <c r="O118" t="n">
        <v>1</v>
      </c>
      <c r="P118" t="n">
        <v>0</v>
      </c>
      <c r="Q118" t="n">
        <v>3</v>
      </c>
      <c r="R118" s="2" t="inlineStr">
        <is>
          <t>Kolflarnlav
Fläcknycklar
Revlummer</t>
        </is>
      </c>
      <c r="S118">
        <f>HYPERLINK("https://klasma.github.io/Logging_2260/artfynd/A 39029-2025 artfynd.xlsx", "A 39029-2025")</f>
        <v/>
      </c>
      <c r="T118">
        <f>HYPERLINK("https://klasma.github.io/Logging_2260/kartor/A 39029-2025 karta.png", "A 39029-2025")</f>
        <v/>
      </c>
      <c r="V118">
        <f>HYPERLINK("https://klasma.github.io/Logging_2260/klagomål/A 39029-2025 FSC-klagomål.docx", "A 39029-2025")</f>
        <v/>
      </c>
      <c r="W118">
        <f>HYPERLINK("https://klasma.github.io/Logging_2260/klagomålsmail/A 39029-2025 FSC-klagomål mail.docx", "A 39029-2025")</f>
        <v/>
      </c>
      <c r="X118">
        <f>HYPERLINK("https://klasma.github.io/Logging_2260/tillsyn/A 39029-2025 tillsynsbegäran.docx", "A 39029-2025")</f>
        <v/>
      </c>
      <c r="Y118">
        <f>HYPERLINK("https://klasma.github.io/Logging_2260/tillsynsmail/A 39029-2025 tillsynsbegäran mail.docx", "A 39029-2025")</f>
        <v/>
      </c>
    </row>
    <row r="119" ht="15" customHeight="1">
      <c r="A119" t="inlineStr">
        <is>
          <t>A 26679-2025</t>
        </is>
      </c>
      <c r="B119" s="1" t="n">
        <v>45810</v>
      </c>
      <c r="C119" s="1" t="n">
        <v>46029</v>
      </c>
      <c r="D119" t="inlineStr">
        <is>
          <t>VÄSTERNORRLANDS LÄN</t>
        </is>
      </c>
      <c r="E119" t="inlineStr">
        <is>
          <t>ÅNGE</t>
        </is>
      </c>
      <c r="F119" t="inlineStr">
        <is>
          <t>SCA</t>
        </is>
      </c>
      <c r="G119" t="n">
        <v>5.9</v>
      </c>
      <c r="H119" t="n">
        <v>0</v>
      </c>
      <c r="I119" t="n">
        <v>1</v>
      </c>
      <c r="J119" t="n">
        <v>2</v>
      </c>
      <c r="K119" t="n">
        <v>0</v>
      </c>
      <c r="L119" t="n">
        <v>0</v>
      </c>
      <c r="M119" t="n">
        <v>0</v>
      </c>
      <c r="N119" t="n">
        <v>0</v>
      </c>
      <c r="O119" t="n">
        <v>2</v>
      </c>
      <c r="P119" t="n">
        <v>0</v>
      </c>
      <c r="Q119" t="n">
        <v>3</v>
      </c>
      <c r="R119" s="2" t="inlineStr">
        <is>
          <t>Garnlav
Lunglav
Rödgul trumpetsvamp</t>
        </is>
      </c>
      <c r="S119">
        <f>HYPERLINK("https://klasma.github.io/Logging_2260/artfynd/A 26679-2025 artfynd.xlsx", "A 26679-2025")</f>
        <v/>
      </c>
      <c r="T119">
        <f>HYPERLINK("https://klasma.github.io/Logging_2260/kartor/A 26679-2025 karta.png", "A 26679-2025")</f>
        <v/>
      </c>
      <c r="V119">
        <f>HYPERLINK("https://klasma.github.io/Logging_2260/klagomål/A 26679-2025 FSC-klagomål.docx", "A 26679-2025")</f>
        <v/>
      </c>
      <c r="W119">
        <f>HYPERLINK("https://klasma.github.io/Logging_2260/klagomålsmail/A 26679-2025 FSC-klagomål mail.docx", "A 26679-2025")</f>
        <v/>
      </c>
      <c r="X119">
        <f>HYPERLINK("https://klasma.github.io/Logging_2260/tillsyn/A 26679-2025 tillsynsbegäran.docx", "A 26679-2025")</f>
        <v/>
      </c>
      <c r="Y119">
        <f>HYPERLINK("https://klasma.github.io/Logging_2260/tillsynsmail/A 26679-2025 tillsynsbegäran mail.docx", "A 26679-2025")</f>
        <v/>
      </c>
    </row>
    <row r="120" ht="15" customHeight="1">
      <c r="A120" t="inlineStr">
        <is>
          <t>A 16307-2025</t>
        </is>
      </c>
      <c r="B120" s="1" t="n">
        <v>45751.34686342593</v>
      </c>
      <c r="C120" s="1" t="n">
        <v>46029</v>
      </c>
      <c r="D120" t="inlineStr">
        <is>
          <t>VÄSTERNORRLANDS LÄN</t>
        </is>
      </c>
      <c r="E120" t="inlineStr">
        <is>
          <t>ÅNGE</t>
        </is>
      </c>
      <c r="F120" t="inlineStr">
        <is>
          <t>SCA</t>
        </is>
      </c>
      <c r="G120" t="n">
        <v>12.3</v>
      </c>
      <c r="H120" t="n">
        <v>1</v>
      </c>
      <c r="I120" t="n">
        <v>2</v>
      </c>
      <c r="J120" t="n">
        <v>0</v>
      </c>
      <c r="K120" t="n">
        <v>0</v>
      </c>
      <c r="L120" t="n">
        <v>0</v>
      </c>
      <c r="M120" t="n">
        <v>0</v>
      </c>
      <c r="N120" t="n">
        <v>0</v>
      </c>
      <c r="O120" t="n">
        <v>0</v>
      </c>
      <c r="P120" t="n">
        <v>0</v>
      </c>
      <c r="Q120" t="n">
        <v>3</v>
      </c>
      <c r="R120" s="2" t="inlineStr">
        <is>
          <t>Stor aspticka
Vårärt
Blåsippa</t>
        </is>
      </c>
      <c r="S120">
        <f>HYPERLINK("https://klasma.github.io/Logging_2260/artfynd/A 16307-2025 artfynd.xlsx", "A 16307-2025")</f>
        <v/>
      </c>
      <c r="T120">
        <f>HYPERLINK("https://klasma.github.io/Logging_2260/kartor/A 16307-2025 karta.png", "A 16307-2025")</f>
        <v/>
      </c>
      <c r="V120">
        <f>HYPERLINK("https://klasma.github.io/Logging_2260/klagomål/A 16307-2025 FSC-klagomål.docx", "A 16307-2025")</f>
        <v/>
      </c>
      <c r="W120">
        <f>HYPERLINK("https://klasma.github.io/Logging_2260/klagomålsmail/A 16307-2025 FSC-klagomål mail.docx", "A 16307-2025")</f>
        <v/>
      </c>
      <c r="X120">
        <f>HYPERLINK("https://klasma.github.io/Logging_2260/tillsyn/A 16307-2025 tillsynsbegäran.docx", "A 16307-2025")</f>
        <v/>
      </c>
      <c r="Y120">
        <f>HYPERLINK("https://klasma.github.io/Logging_2260/tillsynsmail/A 16307-2025 tillsynsbegäran mail.docx", "A 16307-2025")</f>
        <v/>
      </c>
    </row>
    <row r="121" ht="15" customHeight="1">
      <c r="A121" t="inlineStr">
        <is>
          <t>A 39179-2024</t>
        </is>
      </c>
      <c r="B121" s="1" t="n">
        <v>45548.65703703704</v>
      </c>
      <c r="C121" s="1" t="n">
        <v>46029</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39708-2024</t>
        </is>
      </c>
      <c r="B122" s="1" t="n">
        <v>45552.59408564815</v>
      </c>
      <c r="C122" s="1" t="n">
        <v>46029</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31212-2025</t>
        </is>
      </c>
      <c r="B123" s="1" t="n">
        <v>45832.71978009259</v>
      </c>
      <c r="C123" s="1" t="n">
        <v>46029</v>
      </c>
      <c r="D123" t="inlineStr">
        <is>
          <t>VÄSTERNORRLANDS LÄN</t>
        </is>
      </c>
      <c r="E123" t="inlineStr">
        <is>
          <t>ÅNGE</t>
        </is>
      </c>
      <c r="F123" t="inlineStr">
        <is>
          <t>SCA</t>
        </is>
      </c>
      <c r="G123" t="n">
        <v>1.6</v>
      </c>
      <c r="H123" t="n">
        <v>0</v>
      </c>
      <c r="I123" t="n">
        <v>2</v>
      </c>
      <c r="J123" t="n">
        <v>1</v>
      </c>
      <c r="K123" t="n">
        <v>0</v>
      </c>
      <c r="L123" t="n">
        <v>0</v>
      </c>
      <c r="M123" t="n">
        <v>0</v>
      </c>
      <c r="N123" t="n">
        <v>0</v>
      </c>
      <c r="O123" t="n">
        <v>1</v>
      </c>
      <c r="P123" t="n">
        <v>0</v>
      </c>
      <c r="Q123" t="n">
        <v>3</v>
      </c>
      <c r="R123" s="2" t="inlineStr">
        <is>
          <t>Ullticka
Barkticka
Korallblylav</t>
        </is>
      </c>
      <c r="S123">
        <f>HYPERLINK("https://klasma.github.io/Logging_2260/artfynd/A 31212-2025 artfynd.xlsx", "A 31212-2025")</f>
        <v/>
      </c>
      <c r="T123">
        <f>HYPERLINK("https://klasma.github.io/Logging_2260/kartor/A 31212-2025 karta.png", "A 31212-2025")</f>
        <v/>
      </c>
      <c r="V123">
        <f>HYPERLINK("https://klasma.github.io/Logging_2260/klagomål/A 31212-2025 FSC-klagomål.docx", "A 31212-2025")</f>
        <v/>
      </c>
      <c r="W123">
        <f>HYPERLINK("https://klasma.github.io/Logging_2260/klagomålsmail/A 31212-2025 FSC-klagomål mail.docx", "A 31212-2025")</f>
        <v/>
      </c>
      <c r="X123">
        <f>HYPERLINK("https://klasma.github.io/Logging_2260/tillsyn/A 31212-2025 tillsynsbegäran.docx", "A 31212-2025")</f>
        <v/>
      </c>
      <c r="Y123">
        <f>HYPERLINK("https://klasma.github.io/Logging_2260/tillsynsmail/A 31212-2025 tillsynsbegäran mail.docx", "A 31212-2025")</f>
        <v/>
      </c>
    </row>
    <row r="124" ht="15" customHeight="1">
      <c r="A124" t="inlineStr">
        <is>
          <t>A 47617-2024</t>
        </is>
      </c>
      <c r="B124" s="1" t="n">
        <v>45588.32125</v>
      </c>
      <c r="C124" s="1" t="n">
        <v>46029</v>
      </c>
      <c r="D124" t="inlineStr">
        <is>
          <t>VÄSTERNORRLANDS LÄN</t>
        </is>
      </c>
      <c r="E124" t="inlineStr">
        <is>
          <t>ÅNGE</t>
        </is>
      </c>
      <c r="F124" t="inlineStr">
        <is>
          <t>Holmen skog AB</t>
        </is>
      </c>
      <c r="G124" t="n">
        <v>8.300000000000001</v>
      </c>
      <c r="H124" t="n">
        <v>0</v>
      </c>
      <c r="I124" t="n">
        <v>0</v>
      </c>
      <c r="J124" t="n">
        <v>3</v>
      </c>
      <c r="K124" t="n">
        <v>0</v>
      </c>
      <c r="L124" t="n">
        <v>0</v>
      </c>
      <c r="M124" t="n">
        <v>0</v>
      </c>
      <c r="N124" t="n">
        <v>0</v>
      </c>
      <c r="O124" t="n">
        <v>3</v>
      </c>
      <c r="P124" t="n">
        <v>0</v>
      </c>
      <c r="Q124" t="n">
        <v>3</v>
      </c>
      <c r="R124" s="2" t="inlineStr">
        <is>
          <t>Granticka
Gränsticka
Lunglav</t>
        </is>
      </c>
      <c r="S124">
        <f>HYPERLINK("https://klasma.github.io/Logging_2260/artfynd/A 47617-2024 artfynd.xlsx", "A 47617-2024")</f>
        <v/>
      </c>
      <c r="T124">
        <f>HYPERLINK("https://klasma.github.io/Logging_2260/kartor/A 47617-2024 karta.png", "A 47617-2024")</f>
        <v/>
      </c>
      <c r="V124">
        <f>HYPERLINK("https://klasma.github.io/Logging_2260/klagomål/A 47617-2024 FSC-klagomål.docx", "A 47617-2024")</f>
        <v/>
      </c>
      <c r="W124">
        <f>HYPERLINK("https://klasma.github.io/Logging_2260/klagomålsmail/A 47617-2024 FSC-klagomål mail.docx", "A 47617-2024")</f>
        <v/>
      </c>
      <c r="X124">
        <f>HYPERLINK("https://klasma.github.io/Logging_2260/tillsyn/A 47617-2024 tillsynsbegäran.docx", "A 47617-2024")</f>
        <v/>
      </c>
      <c r="Y124">
        <f>HYPERLINK("https://klasma.github.io/Logging_2260/tillsynsmail/A 47617-2024 tillsynsbegäran mail.docx", "A 47617-2024")</f>
        <v/>
      </c>
    </row>
    <row r="125" ht="15" customHeight="1">
      <c r="A125" t="inlineStr">
        <is>
          <t>A 33806-2025</t>
        </is>
      </c>
      <c r="B125" s="1" t="n">
        <v>45842.44865740741</v>
      </c>
      <c r="C125" s="1" t="n">
        <v>46029</v>
      </c>
      <c r="D125" t="inlineStr">
        <is>
          <t>VÄSTERNORRLANDS LÄN</t>
        </is>
      </c>
      <c r="E125" t="inlineStr">
        <is>
          <t>ÅNGE</t>
        </is>
      </c>
      <c r="F125" t="inlineStr">
        <is>
          <t>SCA</t>
        </is>
      </c>
      <c r="G125" t="n">
        <v>24.6</v>
      </c>
      <c r="H125" t="n">
        <v>3</v>
      </c>
      <c r="I125" t="n">
        <v>1</v>
      </c>
      <c r="J125" t="n">
        <v>0</v>
      </c>
      <c r="K125" t="n">
        <v>1</v>
      </c>
      <c r="L125" t="n">
        <v>0</v>
      </c>
      <c r="M125" t="n">
        <v>0</v>
      </c>
      <c r="N125" t="n">
        <v>0</v>
      </c>
      <c r="O125" t="n">
        <v>1</v>
      </c>
      <c r="P125" t="n">
        <v>1</v>
      </c>
      <c r="Q125" t="n">
        <v>3</v>
      </c>
      <c r="R125" s="2" t="inlineStr">
        <is>
          <t>Knärot
Grönkulla
Nattviol</t>
        </is>
      </c>
      <c r="S125">
        <f>HYPERLINK("https://klasma.github.io/Logging_2260/artfynd/A 33806-2025 artfynd.xlsx", "A 33806-2025")</f>
        <v/>
      </c>
      <c r="T125">
        <f>HYPERLINK("https://klasma.github.io/Logging_2260/kartor/A 33806-2025 karta.png", "A 33806-2025")</f>
        <v/>
      </c>
      <c r="U125">
        <f>HYPERLINK("https://klasma.github.io/Logging_2260/knärot/A 33806-2025 karta knärot.png", "A 33806-2025")</f>
        <v/>
      </c>
      <c r="V125">
        <f>HYPERLINK("https://klasma.github.io/Logging_2260/klagomål/A 33806-2025 FSC-klagomål.docx", "A 33806-2025")</f>
        <v/>
      </c>
      <c r="W125">
        <f>HYPERLINK("https://klasma.github.io/Logging_2260/klagomålsmail/A 33806-2025 FSC-klagomål mail.docx", "A 33806-2025")</f>
        <v/>
      </c>
      <c r="X125">
        <f>HYPERLINK("https://klasma.github.io/Logging_2260/tillsyn/A 33806-2025 tillsynsbegäran.docx", "A 33806-2025")</f>
        <v/>
      </c>
      <c r="Y125">
        <f>HYPERLINK("https://klasma.github.io/Logging_2260/tillsynsmail/A 33806-2025 tillsynsbegäran mail.docx", "A 33806-2025")</f>
        <v/>
      </c>
    </row>
    <row r="126" ht="15" customHeight="1">
      <c r="A126" t="inlineStr">
        <is>
          <t>A 41868-2025</t>
        </is>
      </c>
      <c r="B126" s="1" t="n">
        <v>45903.34429398148</v>
      </c>
      <c r="C126" s="1" t="n">
        <v>46029</v>
      </c>
      <c r="D126" t="inlineStr">
        <is>
          <t>VÄSTERNORRLANDS LÄN</t>
        </is>
      </c>
      <c r="E126" t="inlineStr">
        <is>
          <t>ÅNGE</t>
        </is>
      </c>
      <c r="F126" t="inlineStr">
        <is>
          <t>SCA</t>
        </is>
      </c>
      <c r="G126" t="n">
        <v>5.4</v>
      </c>
      <c r="H126" t="n">
        <v>2</v>
      </c>
      <c r="I126" t="n">
        <v>1</v>
      </c>
      <c r="J126" t="n">
        <v>1</v>
      </c>
      <c r="K126" t="n">
        <v>0</v>
      </c>
      <c r="L126" t="n">
        <v>0</v>
      </c>
      <c r="M126" t="n">
        <v>0</v>
      </c>
      <c r="N126" t="n">
        <v>0</v>
      </c>
      <c r="O126" t="n">
        <v>1</v>
      </c>
      <c r="P126" t="n">
        <v>0</v>
      </c>
      <c r="Q126" t="n">
        <v>3</v>
      </c>
      <c r="R126" s="2" t="inlineStr">
        <is>
          <t>Garnlav
Spindelblomster
Revlummer</t>
        </is>
      </c>
      <c r="S126">
        <f>HYPERLINK("https://klasma.github.io/Logging_2260/artfynd/A 41868-2025 artfynd.xlsx", "A 41868-2025")</f>
        <v/>
      </c>
      <c r="T126">
        <f>HYPERLINK("https://klasma.github.io/Logging_2260/kartor/A 41868-2025 karta.png", "A 41868-2025")</f>
        <v/>
      </c>
      <c r="V126">
        <f>HYPERLINK("https://klasma.github.io/Logging_2260/klagomål/A 41868-2025 FSC-klagomål.docx", "A 41868-2025")</f>
        <v/>
      </c>
      <c r="W126">
        <f>HYPERLINK("https://klasma.github.io/Logging_2260/klagomålsmail/A 41868-2025 FSC-klagomål mail.docx", "A 41868-2025")</f>
        <v/>
      </c>
      <c r="X126">
        <f>HYPERLINK("https://klasma.github.io/Logging_2260/tillsyn/A 41868-2025 tillsynsbegäran.docx", "A 41868-2025")</f>
        <v/>
      </c>
      <c r="Y126">
        <f>HYPERLINK("https://klasma.github.io/Logging_2260/tillsynsmail/A 41868-2025 tillsynsbegäran mail.docx", "A 41868-2025")</f>
        <v/>
      </c>
    </row>
    <row r="127" ht="15" customHeight="1">
      <c r="A127" t="inlineStr">
        <is>
          <t>A 43319-2025</t>
        </is>
      </c>
      <c r="B127" s="1" t="n">
        <v>45910.65681712963</v>
      </c>
      <c r="C127" s="1" t="n">
        <v>46029</v>
      </c>
      <c r="D127" t="inlineStr">
        <is>
          <t>VÄSTERNORRLANDS LÄN</t>
        </is>
      </c>
      <c r="E127" t="inlineStr">
        <is>
          <t>ÅNGE</t>
        </is>
      </c>
      <c r="F127" t="inlineStr">
        <is>
          <t>SCA</t>
        </is>
      </c>
      <c r="G127" t="n">
        <v>6.6</v>
      </c>
      <c r="H127" t="n">
        <v>0</v>
      </c>
      <c r="I127" t="n">
        <v>1</v>
      </c>
      <c r="J127" t="n">
        <v>2</v>
      </c>
      <c r="K127" t="n">
        <v>0</v>
      </c>
      <c r="L127" t="n">
        <v>0</v>
      </c>
      <c r="M127" t="n">
        <v>0</v>
      </c>
      <c r="N127" t="n">
        <v>0</v>
      </c>
      <c r="O127" t="n">
        <v>2</v>
      </c>
      <c r="P127" t="n">
        <v>0</v>
      </c>
      <c r="Q127" t="n">
        <v>3</v>
      </c>
      <c r="R127" s="2" t="inlineStr">
        <is>
          <t>Ullticka
Violettgrå tagellav
Korallblylav</t>
        </is>
      </c>
      <c r="S127">
        <f>HYPERLINK("https://klasma.github.io/Logging_2260/artfynd/A 43319-2025 artfynd.xlsx", "A 43319-2025")</f>
        <v/>
      </c>
      <c r="T127">
        <f>HYPERLINK("https://klasma.github.io/Logging_2260/kartor/A 43319-2025 karta.png", "A 43319-2025")</f>
        <v/>
      </c>
      <c r="V127">
        <f>HYPERLINK("https://klasma.github.io/Logging_2260/klagomål/A 43319-2025 FSC-klagomål.docx", "A 43319-2025")</f>
        <v/>
      </c>
      <c r="W127">
        <f>HYPERLINK("https://klasma.github.io/Logging_2260/klagomålsmail/A 43319-2025 FSC-klagomål mail.docx", "A 43319-2025")</f>
        <v/>
      </c>
      <c r="X127">
        <f>HYPERLINK("https://klasma.github.io/Logging_2260/tillsyn/A 43319-2025 tillsynsbegäran.docx", "A 43319-2025")</f>
        <v/>
      </c>
      <c r="Y127">
        <f>HYPERLINK("https://klasma.github.io/Logging_2260/tillsynsmail/A 43319-2025 tillsynsbegäran mail.docx", "A 43319-2025")</f>
        <v/>
      </c>
    </row>
    <row r="128" ht="15" customHeight="1">
      <c r="A128" t="inlineStr">
        <is>
          <t>A 37184-2025</t>
        </is>
      </c>
      <c r="B128" s="1" t="n">
        <v>45875.63591435185</v>
      </c>
      <c r="C128" s="1" t="n">
        <v>46029</v>
      </c>
      <c r="D128" t="inlineStr">
        <is>
          <t>VÄSTERNORRLANDS LÄN</t>
        </is>
      </c>
      <c r="E128" t="inlineStr">
        <is>
          <t>ÅNGE</t>
        </is>
      </c>
      <c r="F128" t="inlineStr">
        <is>
          <t>SCA</t>
        </is>
      </c>
      <c r="G128" t="n">
        <v>2.5</v>
      </c>
      <c r="H128" t="n">
        <v>0</v>
      </c>
      <c r="I128" t="n">
        <v>0</v>
      </c>
      <c r="J128" t="n">
        <v>3</v>
      </c>
      <c r="K128" t="n">
        <v>0</v>
      </c>
      <c r="L128" t="n">
        <v>0</v>
      </c>
      <c r="M128" t="n">
        <v>0</v>
      </c>
      <c r="N128" t="n">
        <v>0</v>
      </c>
      <c r="O128" t="n">
        <v>3</v>
      </c>
      <c r="P128" t="n">
        <v>0</v>
      </c>
      <c r="Q128" t="n">
        <v>3</v>
      </c>
      <c r="R128" s="2" t="inlineStr">
        <is>
          <t>Granticka
Lunglav
Rosenticka</t>
        </is>
      </c>
      <c r="S128">
        <f>HYPERLINK("https://klasma.github.io/Logging_2260/artfynd/A 37184-2025 artfynd.xlsx", "A 37184-2025")</f>
        <v/>
      </c>
      <c r="T128">
        <f>HYPERLINK("https://klasma.github.io/Logging_2260/kartor/A 37184-2025 karta.png", "A 37184-2025")</f>
        <v/>
      </c>
      <c r="V128">
        <f>HYPERLINK("https://klasma.github.io/Logging_2260/klagomål/A 37184-2025 FSC-klagomål.docx", "A 37184-2025")</f>
        <v/>
      </c>
      <c r="W128">
        <f>HYPERLINK("https://klasma.github.io/Logging_2260/klagomålsmail/A 37184-2025 FSC-klagomål mail.docx", "A 37184-2025")</f>
        <v/>
      </c>
      <c r="X128">
        <f>HYPERLINK("https://klasma.github.io/Logging_2260/tillsyn/A 37184-2025 tillsynsbegäran.docx", "A 37184-2025")</f>
        <v/>
      </c>
      <c r="Y128">
        <f>HYPERLINK("https://klasma.github.io/Logging_2260/tillsynsmail/A 37184-2025 tillsynsbegäran mail.docx", "A 37184-2025")</f>
        <v/>
      </c>
    </row>
    <row r="129" ht="15" customHeight="1">
      <c r="A129" t="inlineStr">
        <is>
          <t>A 43880-2025</t>
        </is>
      </c>
      <c r="B129" s="1" t="n">
        <v>45912</v>
      </c>
      <c r="C129" s="1" t="n">
        <v>46029</v>
      </c>
      <c r="D129" t="inlineStr">
        <is>
          <t>VÄSTERNORRLANDS LÄN</t>
        </is>
      </c>
      <c r="E129" t="inlineStr">
        <is>
          <t>ÅNGE</t>
        </is>
      </c>
      <c r="F129" t="inlineStr">
        <is>
          <t>SCA</t>
        </is>
      </c>
      <c r="G129" t="n">
        <v>3.5</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HYPERLINK("https://klasma.github.io/Logging_2260/artfynd/A 43880-2025 artfynd.xlsx", "A 43880-2025")</f>
        <v/>
      </c>
      <c r="T129">
        <f>HYPERLINK("https://klasma.github.io/Logging_2260/kartor/A 43880-2025 karta.png", "A 43880-2025")</f>
        <v/>
      </c>
      <c r="V129">
        <f>HYPERLINK("https://klasma.github.io/Logging_2260/klagomål/A 43880-2025 FSC-klagomål.docx", "A 43880-2025")</f>
        <v/>
      </c>
      <c r="W129">
        <f>HYPERLINK("https://klasma.github.io/Logging_2260/klagomålsmail/A 43880-2025 FSC-klagomål mail.docx", "A 43880-2025")</f>
        <v/>
      </c>
      <c r="X129">
        <f>HYPERLINK("https://klasma.github.io/Logging_2260/tillsyn/A 43880-2025 tillsynsbegäran.docx", "A 43880-2025")</f>
        <v/>
      </c>
      <c r="Y129">
        <f>HYPERLINK("https://klasma.github.io/Logging_2260/tillsynsmail/A 43880-2025 tillsynsbegäran mail.docx", "A 43880-2025")</f>
        <v/>
      </c>
      <c r="Z129">
        <f>HYPERLINK("https://klasma.github.io/Logging_2260/fåglar/A 43880-2025 prioriterade fågelarter.docx", "A 43880-2025")</f>
        <v/>
      </c>
    </row>
    <row r="130" ht="15" customHeight="1">
      <c r="A130" t="inlineStr">
        <is>
          <t>A 38664-2025</t>
        </is>
      </c>
      <c r="B130" s="1" t="n">
        <v>45884.61503472222</v>
      </c>
      <c r="C130" s="1" t="n">
        <v>46029</v>
      </c>
      <c r="D130" t="inlineStr">
        <is>
          <t>VÄSTERNORRLANDS LÄN</t>
        </is>
      </c>
      <c r="E130" t="inlineStr">
        <is>
          <t>ÅNGE</t>
        </is>
      </c>
      <c r="F130" t="inlineStr">
        <is>
          <t>SCA</t>
        </is>
      </c>
      <c r="G130" t="n">
        <v>6.4</v>
      </c>
      <c r="H130" t="n">
        <v>1</v>
      </c>
      <c r="I130" t="n">
        <v>0</v>
      </c>
      <c r="J130" t="n">
        <v>2</v>
      </c>
      <c r="K130" t="n">
        <v>1</v>
      </c>
      <c r="L130" t="n">
        <v>0</v>
      </c>
      <c r="M130" t="n">
        <v>0</v>
      </c>
      <c r="N130" t="n">
        <v>0</v>
      </c>
      <c r="O130" t="n">
        <v>3</v>
      </c>
      <c r="P130" t="n">
        <v>1</v>
      </c>
      <c r="Q130" t="n">
        <v>3</v>
      </c>
      <c r="R130" s="2" t="inlineStr">
        <is>
          <t>Knärot
Kolflarnlav
Mörk kolflarnlav</t>
        </is>
      </c>
      <c r="S130">
        <f>HYPERLINK("https://klasma.github.io/Logging_2260/artfynd/A 38664-2025 artfynd.xlsx", "A 38664-2025")</f>
        <v/>
      </c>
      <c r="T130">
        <f>HYPERLINK("https://klasma.github.io/Logging_2260/kartor/A 38664-2025 karta.png", "A 38664-2025")</f>
        <v/>
      </c>
      <c r="U130">
        <f>HYPERLINK("https://klasma.github.io/Logging_2260/knärot/A 38664-2025 karta knärot.png", "A 38664-2025")</f>
        <v/>
      </c>
      <c r="V130">
        <f>HYPERLINK("https://klasma.github.io/Logging_2260/klagomål/A 38664-2025 FSC-klagomål.docx", "A 38664-2025")</f>
        <v/>
      </c>
      <c r="W130">
        <f>HYPERLINK("https://klasma.github.io/Logging_2260/klagomålsmail/A 38664-2025 FSC-klagomål mail.docx", "A 38664-2025")</f>
        <v/>
      </c>
      <c r="X130">
        <f>HYPERLINK("https://klasma.github.io/Logging_2260/tillsyn/A 38664-2025 tillsynsbegäran.docx", "A 38664-2025")</f>
        <v/>
      </c>
      <c r="Y130">
        <f>HYPERLINK("https://klasma.github.io/Logging_2260/tillsynsmail/A 38664-2025 tillsynsbegäran mail.docx", "A 38664-2025")</f>
        <v/>
      </c>
    </row>
    <row r="131" ht="15" customHeight="1">
      <c r="A131" t="inlineStr">
        <is>
          <t>A 46417-2025</t>
        </is>
      </c>
      <c r="B131" s="1" t="n">
        <v>45925.59454861111</v>
      </c>
      <c r="C131" s="1" t="n">
        <v>46029</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38238-2025</t>
        </is>
      </c>
      <c r="B132" s="1" t="n">
        <v>45883.36497685185</v>
      </c>
      <c r="C132" s="1" t="n">
        <v>46029</v>
      </c>
      <c r="D132" t="inlineStr">
        <is>
          <t>VÄSTERNORRLANDS LÄN</t>
        </is>
      </c>
      <c r="E132" t="inlineStr">
        <is>
          <t>ÅNGE</t>
        </is>
      </c>
      <c r="F132" t="inlineStr">
        <is>
          <t>SCA</t>
        </is>
      </c>
      <c r="G132" t="n">
        <v>5.6</v>
      </c>
      <c r="H132" t="n">
        <v>0</v>
      </c>
      <c r="I132" t="n">
        <v>1</v>
      </c>
      <c r="J132" t="n">
        <v>1</v>
      </c>
      <c r="K132" t="n">
        <v>1</v>
      </c>
      <c r="L132" t="n">
        <v>0</v>
      </c>
      <c r="M132" t="n">
        <v>0</v>
      </c>
      <c r="N132" t="n">
        <v>0</v>
      </c>
      <c r="O132" t="n">
        <v>2</v>
      </c>
      <c r="P132" t="n">
        <v>1</v>
      </c>
      <c r="Q132" t="n">
        <v>3</v>
      </c>
      <c r="R132" s="2" t="inlineStr">
        <is>
          <t>Tajgataggsvamp
Vitplätt
Grönpyrola</t>
        </is>
      </c>
      <c r="S132">
        <f>HYPERLINK("https://klasma.github.io/Logging_2260/artfynd/A 38238-2025 artfynd.xlsx", "A 38238-2025")</f>
        <v/>
      </c>
      <c r="T132">
        <f>HYPERLINK("https://klasma.github.io/Logging_2260/kartor/A 38238-2025 karta.png", "A 38238-2025")</f>
        <v/>
      </c>
      <c r="U132">
        <f>HYPERLINK("https://klasma.github.io/Logging_2260/knärot/A 38238-2025 karta knärot.png", "A 38238-2025")</f>
        <v/>
      </c>
      <c r="V132">
        <f>HYPERLINK("https://klasma.github.io/Logging_2260/klagomål/A 38238-2025 FSC-klagomål.docx", "A 38238-2025")</f>
        <v/>
      </c>
      <c r="W132">
        <f>HYPERLINK("https://klasma.github.io/Logging_2260/klagomålsmail/A 38238-2025 FSC-klagomål mail.docx", "A 38238-2025")</f>
        <v/>
      </c>
      <c r="X132">
        <f>HYPERLINK("https://klasma.github.io/Logging_2260/tillsyn/A 38238-2025 tillsynsbegäran.docx", "A 38238-2025")</f>
        <v/>
      </c>
      <c r="Y132">
        <f>HYPERLINK("https://klasma.github.io/Logging_2260/tillsynsmail/A 38238-2025 tillsynsbegäran mail.docx", "A 38238-2025")</f>
        <v/>
      </c>
    </row>
    <row r="133" ht="15" customHeight="1">
      <c r="A133" t="inlineStr">
        <is>
          <t>A 49530-2025</t>
        </is>
      </c>
      <c r="B133" s="1" t="n">
        <v>45939.40700231482</v>
      </c>
      <c r="C133" s="1" t="n">
        <v>46029</v>
      </c>
      <c r="D133" t="inlineStr">
        <is>
          <t>VÄSTERNORRLANDS LÄN</t>
        </is>
      </c>
      <c r="E133" t="inlineStr">
        <is>
          <t>ÅNGE</t>
        </is>
      </c>
      <c r="F133" t="inlineStr">
        <is>
          <t>SCA</t>
        </is>
      </c>
      <c r="G133" t="n">
        <v>5.1</v>
      </c>
      <c r="H133" t="n">
        <v>1</v>
      </c>
      <c r="I133" t="n">
        <v>1</v>
      </c>
      <c r="J133" t="n">
        <v>1</v>
      </c>
      <c r="K133" t="n">
        <v>0</v>
      </c>
      <c r="L133" t="n">
        <v>0</v>
      </c>
      <c r="M133" t="n">
        <v>0</v>
      </c>
      <c r="N133" t="n">
        <v>0</v>
      </c>
      <c r="O133" t="n">
        <v>1</v>
      </c>
      <c r="P133" t="n">
        <v>0</v>
      </c>
      <c r="Q133" t="n">
        <v>3</v>
      </c>
      <c r="R133" s="2" t="inlineStr">
        <is>
          <t>Lunglav
Strutbräken
Revlummer</t>
        </is>
      </c>
      <c r="S133">
        <f>HYPERLINK("https://klasma.github.io/Logging_2260/artfynd/A 49530-2025 artfynd.xlsx", "A 49530-2025")</f>
        <v/>
      </c>
      <c r="T133">
        <f>HYPERLINK("https://klasma.github.io/Logging_2260/kartor/A 49530-2025 karta.png", "A 49530-2025")</f>
        <v/>
      </c>
      <c r="V133">
        <f>HYPERLINK("https://klasma.github.io/Logging_2260/klagomål/A 49530-2025 FSC-klagomål.docx", "A 49530-2025")</f>
        <v/>
      </c>
      <c r="W133">
        <f>HYPERLINK("https://klasma.github.io/Logging_2260/klagomålsmail/A 49530-2025 FSC-klagomål mail.docx", "A 49530-2025")</f>
        <v/>
      </c>
      <c r="X133">
        <f>HYPERLINK("https://klasma.github.io/Logging_2260/tillsyn/A 49530-2025 tillsynsbegäran.docx", "A 49530-2025")</f>
        <v/>
      </c>
      <c r="Y133">
        <f>HYPERLINK("https://klasma.github.io/Logging_2260/tillsynsmail/A 49530-2025 tillsynsbegäran mail.docx", "A 49530-2025")</f>
        <v/>
      </c>
    </row>
    <row r="134" ht="15" customHeight="1">
      <c r="A134" t="inlineStr">
        <is>
          <t>A 50259-2025</t>
        </is>
      </c>
      <c r="B134" s="1" t="n">
        <v>45944.34498842592</v>
      </c>
      <c r="C134" s="1" t="n">
        <v>46029</v>
      </c>
      <c r="D134" t="inlineStr">
        <is>
          <t>VÄSTERNORRLANDS LÄN</t>
        </is>
      </c>
      <c r="E134" t="inlineStr">
        <is>
          <t>ÅNGE</t>
        </is>
      </c>
      <c r="F134" t="inlineStr">
        <is>
          <t>SCA</t>
        </is>
      </c>
      <c r="G134" t="n">
        <v>1.7</v>
      </c>
      <c r="H134" t="n">
        <v>1</v>
      </c>
      <c r="I134" t="n">
        <v>1</v>
      </c>
      <c r="J134" t="n">
        <v>1</v>
      </c>
      <c r="K134" t="n">
        <v>0</v>
      </c>
      <c r="L134" t="n">
        <v>0</v>
      </c>
      <c r="M134" t="n">
        <v>0</v>
      </c>
      <c r="N134" t="n">
        <v>0</v>
      </c>
      <c r="O134" t="n">
        <v>1</v>
      </c>
      <c r="P134" t="n">
        <v>0</v>
      </c>
      <c r="Q134" t="n">
        <v>3</v>
      </c>
      <c r="R134" s="2" t="inlineStr">
        <is>
          <t>Lunglav
Bollvitmossa
Fläcknycklar</t>
        </is>
      </c>
      <c r="S134">
        <f>HYPERLINK("https://klasma.github.io/Logging_2260/artfynd/A 50259-2025 artfynd.xlsx", "A 50259-2025")</f>
        <v/>
      </c>
      <c r="T134">
        <f>HYPERLINK("https://klasma.github.io/Logging_2260/kartor/A 50259-2025 karta.png", "A 50259-2025")</f>
        <v/>
      </c>
      <c r="V134">
        <f>HYPERLINK("https://klasma.github.io/Logging_2260/klagomål/A 50259-2025 FSC-klagomål.docx", "A 50259-2025")</f>
        <v/>
      </c>
      <c r="W134">
        <f>HYPERLINK("https://klasma.github.io/Logging_2260/klagomålsmail/A 50259-2025 FSC-klagomål mail.docx", "A 50259-2025")</f>
        <v/>
      </c>
      <c r="X134">
        <f>HYPERLINK("https://klasma.github.io/Logging_2260/tillsyn/A 50259-2025 tillsynsbegäran.docx", "A 50259-2025")</f>
        <v/>
      </c>
      <c r="Y134">
        <f>HYPERLINK("https://klasma.github.io/Logging_2260/tillsynsmail/A 50259-2025 tillsynsbegäran mail.docx", "A 50259-2025")</f>
        <v/>
      </c>
    </row>
    <row r="135" ht="15" customHeight="1">
      <c r="A135" t="inlineStr">
        <is>
          <t>A 53710-2025</t>
        </is>
      </c>
      <c r="B135" s="1" t="n">
        <v>45960.6153125</v>
      </c>
      <c r="C135" s="1" t="n">
        <v>46029</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24795-2024</t>
        </is>
      </c>
      <c r="B136" s="1" t="n">
        <v>45460.95252314815</v>
      </c>
      <c r="C136" s="1" t="n">
        <v>46029</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63330-2025</t>
        </is>
      </c>
      <c r="B137" s="1" t="n">
        <v>46010</v>
      </c>
      <c r="C137" s="1" t="n">
        <v>46029</v>
      </c>
      <c r="D137" t="inlineStr">
        <is>
          <t>VÄSTERNORRLANDS LÄN</t>
        </is>
      </c>
      <c r="E137" t="inlineStr">
        <is>
          <t>ÅNGE</t>
        </is>
      </c>
      <c r="G137" t="n">
        <v>2.1</v>
      </c>
      <c r="H137" t="n">
        <v>0</v>
      </c>
      <c r="I137" t="n">
        <v>0</v>
      </c>
      <c r="J137" t="n">
        <v>3</v>
      </c>
      <c r="K137" t="n">
        <v>0</v>
      </c>
      <c r="L137" t="n">
        <v>0</v>
      </c>
      <c r="M137" t="n">
        <v>0</v>
      </c>
      <c r="N137" t="n">
        <v>0</v>
      </c>
      <c r="O137" t="n">
        <v>3</v>
      </c>
      <c r="P137" t="n">
        <v>0</v>
      </c>
      <c r="Q137" t="n">
        <v>3</v>
      </c>
      <c r="R137" s="2" t="inlineStr">
        <is>
          <t>Garnlav
Granticka
Lunglav</t>
        </is>
      </c>
      <c r="S137">
        <f>HYPERLINK("https://klasma.github.io/Logging_2260/artfynd/A 63330-2025 artfynd.xlsx", "A 63330-2025")</f>
        <v/>
      </c>
      <c r="T137">
        <f>HYPERLINK("https://klasma.github.io/Logging_2260/kartor/A 63330-2025 karta.png", "A 63330-2025")</f>
        <v/>
      </c>
      <c r="V137">
        <f>HYPERLINK("https://klasma.github.io/Logging_2260/klagomål/A 63330-2025 FSC-klagomål.docx", "A 63330-2025")</f>
        <v/>
      </c>
      <c r="W137">
        <f>HYPERLINK("https://klasma.github.io/Logging_2260/klagomålsmail/A 63330-2025 FSC-klagomål mail.docx", "A 63330-2025")</f>
        <v/>
      </c>
      <c r="X137">
        <f>HYPERLINK("https://klasma.github.io/Logging_2260/tillsyn/A 63330-2025 tillsynsbegäran.docx", "A 63330-2025")</f>
        <v/>
      </c>
      <c r="Y137">
        <f>HYPERLINK("https://klasma.github.io/Logging_2260/tillsynsmail/A 63330-2025 tillsynsbegäran mail.docx", "A 63330-2025")</f>
        <v/>
      </c>
    </row>
    <row r="138" ht="15" customHeight="1">
      <c r="A138" t="inlineStr">
        <is>
          <t>A 7533-2023</t>
        </is>
      </c>
      <c r="B138" s="1" t="n">
        <v>44971</v>
      </c>
      <c r="C138" s="1" t="n">
        <v>46029</v>
      </c>
      <c r="D138" t="inlineStr">
        <is>
          <t>VÄSTERNORRLANDS LÄN</t>
        </is>
      </c>
      <c r="E138" t="inlineStr">
        <is>
          <t>ÅNGE</t>
        </is>
      </c>
      <c r="F138" t="inlineStr">
        <is>
          <t>SCA</t>
        </is>
      </c>
      <c r="G138" t="n">
        <v>15.7</v>
      </c>
      <c r="H138" t="n">
        <v>2</v>
      </c>
      <c r="I138" t="n">
        <v>0</v>
      </c>
      <c r="J138" t="n">
        <v>1</v>
      </c>
      <c r="K138" t="n">
        <v>1</v>
      </c>
      <c r="L138" t="n">
        <v>0</v>
      </c>
      <c r="M138" t="n">
        <v>0</v>
      </c>
      <c r="N138" t="n">
        <v>0</v>
      </c>
      <c r="O138" t="n">
        <v>2</v>
      </c>
      <c r="P138" t="n">
        <v>1</v>
      </c>
      <c r="Q138" t="n">
        <v>3</v>
      </c>
      <c r="R138" s="2" t="inlineStr">
        <is>
          <t>Doftticka
Lunglav
Blåsippa</t>
        </is>
      </c>
      <c r="S138">
        <f>HYPERLINK("https://klasma.github.io/Logging_2260/artfynd/A 7533-2023 artfynd.xlsx", "A 7533-2023")</f>
        <v/>
      </c>
      <c r="T138">
        <f>HYPERLINK("https://klasma.github.io/Logging_2260/kartor/A 7533-2023 karta.png", "A 7533-2023")</f>
        <v/>
      </c>
      <c r="V138">
        <f>HYPERLINK("https://klasma.github.io/Logging_2260/klagomål/A 7533-2023 FSC-klagomål.docx", "A 7533-2023")</f>
        <v/>
      </c>
      <c r="W138">
        <f>HYPERLINK("https://klasma.github.io/Logging_2260/klagomålsmail/A 7533-2023 FSC-klagomål mail.docx", "A 7533-2023")</f>
        <v/>
      </c>
      <c r="X138">
        <f>HYPERLINK("https://klasma.github.io/Logging_2260/tillsyn/A 7533-2023 tillsynsbegäran.docx", "A 7533-2023")</f>
        <v/>
      </c>
      <c r="Y138">
        <f>HYPERLINK("https://klasma.github.io/Logging_2260/tillsynsmail/A 7533-2023 tillsynsbegäran mail.docx", "A 7533-2023")</f>
        <v/>
      </c>
    </row>
    <row r="139" ht="15" customHeight="1">
      <c r="A139" t="inlineStr">
        <is>
          <t>A 39181-2024</t>
        </is>
      </c>
      <c r="B139" s="1" t="n">
        <v>45548</v>
      </c>
      <c r="C139" s="1" t="n">
        <v>46029</v>
      </c>
      <c r="D139" t="inlineStr">
        <is>
          <t>VÄSTERNORRLANDS LÄN</t>
        </is>
      </c>
      <c r="E139" t="inlineStr">
        <is>
          <t>ÅNGE</t>
        </is>
      </c>
      <c r="F139" t="inlineStr">
        <is>
          <t>SCA</t>
        </is>
      </c>
      <c r="G139" t="n">
        <v>21.1</v>
      </c>
      <c r="H139" t="n">
        <v>1</v>
      </c>
      <c r="I139" t="n">
        <v>1</v>
      </c>
      <c r="J139" t="n">
        <v>1</v>
      </c>
      <c r="K139" t="n">
        <v>1</v>
      </c>
      <c r="L139" t="n">
        <v>0</v>
      </c>
      <c r="M139" t="n">
        <v>0</v>
      </c>
      <c r="N139" t="n">
        <v>0</v>
      </c>
      <c r="O139" t="n">
        <v>2</v>
      </c>
      <c r="P139" t="n">
        <v>1</v>
      </c>
      <c r="Q139" t="n">
        <v>3</v>
      </c>
      <c r="R139" s="2" t="inlineStr">
        <is>
          <t>Knärot
Granticka
Kransrams</t>
        </is>
      </c>
      <c r="S139">
        <f>HYPERLINK("https://klasma.github.io/Logging_2260/artfynd/A 39181-2024 artfynd.xlsx", "A 39181-2024")</f>
        <v/>
      </c>
      <c r="T139">
        <f>HYPERLINK("https://klasma.github.io/Logging_2260/kartor/A 39181-2024 karta.png", "A 39181-2024")</f>
        <v/>
      </c>
      <c r="U139">
        <f>HYPERLINK("https://klasma.github.io/Logging_2260/knärot/A 39181-2024 karta knärot.png", "A 39181-2024")</f>
        <v/>
      </c>
      <c r="V139">
        <f>HYPERLINK("https://klasma.github.io/Logging_2260/klagomål/A 39181-2024 FSC-klagomål.docx", "A 39181-2024")</f>
        <v/>
      </c>
      <c r="W139">
        <f>HYPERLINK("https://klasma.github.io/Logging_2260/klagomålsmail/A 39181-2024 FSC-klagomål mail.docx", "A 39181-2024")</f>
        <v/>
      </c>
      <c r="X139">
        <f>HYPERLINK("https://klasma.github.io/Logging_2260/tillsyn/A 39181-2024 tillsynsbegäran.docx", "A 39181-2024")</f>
        <v/>
      </c>
      <c r="Y139">
        <f>HYPERLINK("https://klasma.github.io/Logging_2260/tillsynsmail/A 39181-2024 tillsynsbegäran mail.docx", "A 39181-2024")</f>
        <v/>
      </c>
    </row>
    <row r="140" ht="15" customHeight="1">
      <c r="A140" t="inlineStr">
        <is>
          <t>A 21267-2025</t>
        </is>
      </c>
      <c r="B140" s="1" t="n">
        <v>45779</v>
      </c>
      <c r="C140" s="1" t="n">
        <v>46029</v>
      </c>
      <c r="D140" t="inlineStr">
        <is>
          <t>VÄSTERNORRLANDS LÄN</t>
        </is>
      </c>
      <c r="E140" t="inlineStr">
        <is>
          <t>ÅNGE</t>
        </is>
      </c>
      <c r="F140" t="inlineStr">
        <is>
          <t>Sveaskog</t>
        </is>
      </c>
      <c r="G140" t="n">
        <v>3.7</v>
      </c>
      <c r="H140" t="n">
        <v>2</v>
      </c>
      <c r="I140" t="n">
        <v>2</v>
      </c>
      <c r="J140" t="n">
        <v>1</v>
      </c>
      <c r="K140" t="n">
        <v>0</v>
      </c>
      <c r="L140" t="n">
        <v>0</v>
      </c>
      <c r="M140" t="n">
        <v>0</v>
      </c>
      <c r="N140" t="n">
        <v>0</v>
      </c>
      <c r="O140" t="n">
        <v>1</v>
      </c>
      <c r="P140" t="n">
        <v>0</v>
      </c>
      <c r="Q140" t="n">
        <v>3</v>
      </c>
      <c r="R140" s="2" t="inlineStr">
        <is>
          <t>Lunglav
Korallrot
Spindelblomster</t>
        </is>
      </c>
      <c r="S140">
        <f>HYPERLINK("https://klasma.github.io/Logging_2260/artfynd/A 21267-2025 artfynd.xlsx", "A 21267-2025")</f>
        <v/>
      </c>
      <c r="T140">
        <f>HYPERLINK("https://klasma.github.io/Logging_2260/kartor/A 21267-2025 karta.png", "A 21267-2025")</f>
        <v/>
      </c>
      <c r="V140">
        <f>HYPERLINK("https://klasma.github.io/Logging_2260/klagomål/A 21267-2025 FSC-klagomål.docx", "A 21267-2025")</f>
        <v/>
      </c>
      <c r="W140">
        <f>HYPERLINK("https://klasma.github.io/Logging_2260/klagomålsmail/A 21267-2025 FSC-klagomål mail.docx", "A 21267-2025")</f>
        <v/>
      </c>
      <c r="X140">
        <f>HYPERLINK("https://klasma.github.io/Logging_2260/tillsyn/A 21267-2025 tillsynsbegäran.docx", "A 21267-2025")</f>
        <v/>
      </c>
      <c r="Y140">
        <f>HYPERLINK("https://klasma.github.io/Logging_2260/tillsynsmail/A 21267-2025 tillsynsbegäran mail.docx", "A 21267-2025")</f>
        <v/>
      </c>
    </row>
    <row r="141" ht="15" customHeight="1">
      <c r="A141" t="inlineStr">
        <is>
          <t>A 23754-2025</t>
        </is>
      </c>
      <c r="B141" s="1" t="n">
        <v>45793.45782407407</v>
      </c>
      <c r="C141" s="1" t="n">
        <v>46029</v>
      </c>
      <c r="D141" t="inlineStr">
        <is>
          <t>VÄSTERNORRLANDS LÄN</t>
        </is>
      </c>
      <c r="E141" t="inlineStr">
        <is>
          <t>ÅNGE</t>
        </is>
      </c>
      <c r="F141" t="inlineStr">
        <is>
          <t>Sveaskog</t>
        </is>
      </c>
      <c r="G141" t="n">
        <v>4.3</v>
      </c>
      <c r="H141" t="n">
        <v>3</v>
      </c>
      <c r="I141" t="n">
        <v>0</v>
      </c>
      <c r="J141" t="n">
        <v>1</v>
      </c>
      <c r="K141" t="n">
        <v>0</v>
      </c>
      <c r="L141" t="n">
        <v>0</v>
      </c>
      <c r="M141" t="n">
        <v>0</v>
      </c>
      <c r="N141" t="n">
        <v>0</v>
      </c>
      <c r="O141" t="n">
        <v>1</v>
      </c>
      <c r="P141" t="n">
        <v>0</v>
      </c>
      <c r="Q141" t="n">
        <v>3</v>
      </c>
      <c r="R141" s="2" t="inlineStr">
        <is>
          <t>Spillkråka
Tjäder
Blåsippa</t>
        </is>
      </c>
      <c r="S141">
        <f>HYPERLINK("https://klasma.github.io/Logging_2260/artfynd/A 23754-2025 artfynd.xlsx", "A 23754-2025")</f>
        <v/>
      </c>
      <c r="T141">
        <f>HYPERLINK("https://klasma.github.io/Logging_2260/kartor/A 23754-2025 karta.png", "A 23754-2025")</f>
        <v/>
      </c>
      <c r="U141">
        <f>HYPERLINK("https://klasma.github.io/Logging_2260/knärot/A 23754-2025 karta knärot.png", "A 23754-2025")</f>
        <v/>
      </c>
      <c r="V141">
        <f>HYPERLINK("https://klasma.github.io/Logging_2260/klagomål/A 23754-2025 FSC-klagomål.docx", "A 23754-2025")</f>
        <v/>
      </c>
      <c r="W141">
        <f>HYPERLINK("https://klasma.github.io/Logging_2260/klagomålsmail/A 23754-2025 FSC-klagomål mail.docx", "A 23754-2025")</f>
        <v/>
      </c>
      <c r="X141">
        <f>HYPERLINK("https://klasma.github.io/Logging_2260/tillsyn/A 23754-2025 tillsynsbegäran.docx", "A 23754-2025")</f>
        <v/>
      </c>
      <c r="Y141">
        <f>HYPERLINK("https://klasma.github.io/Logging_2260/tillsynsmail/A 23754-2025 tillsynsbegäran mail.docx", "A 23754-2025")</f>
        <v/>
      </c>
      <c r="Z141">
        <f>HYPERLINK("https://klasma.github.io/Logging_2260/fåglar/A 23754-2025 prioriterade fågelarter.docx", "A 23754-2025")</f>
        <v/>
      </c>
    </row>
    <row r="142" ht="15" customHeight="1">
      <c r="A142" t="inlineStr">
        <is>
          <t>A 36635-2021</t>
        </is>
      </c>
      <c r="B142" s="1" t="n">
        <v>44391</v>
      </c>
      <c r="C142" s="1" t="n">
        <v>46029</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46029</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46029</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46029</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46029</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46029</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46029</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24176-2025</t>
        </is>
      </c>
      <c r="B149" s="1" t="n">
        <v>45796.69832175926</v>
      </c>
      <c r="C149" s="1" t="n">
        <v>46029</v>
      </c>
      <c r="D149" t="inlineStr">
        <is>
          <t>VÄSTERNORRLANDS LÄN</t>
        </is>
      </c>
      <c r="E149" t="inlineStr">
        <is>
          <t>ÅNGE</t>
        </is>
      </c>
      <c r="F149" t="inlineStr">
        <is>
          <t>SCA</t>
        </is>
      </c>
      <c r="G149" t="n">
        <v>3.9</v>
      </c>
      <c r="H149" t="n">
        <v>0</v>
      </c>
      <c r="I149" t="n">
        <v>1</v>
      </c>
      <c r="J149" t="n">
        <v>1</v>
      </c>
      <c r="K149" t="n">
        <v>0</v>
      </c>
      <c r="L149" t="n">
        <v>0</v>
      </c>
      <c r="M149" t="n">
        <v>0</v>
      </c>
      <c r="N149" t="n">
        <v>0</v>
      </c>
      <c r="O149" t="n">
        <v>1</v>
      </c>
      <c r="P149" t="n">
        <v>0</v>
      </c>
      <c r="Q149" t="n">
        <v>2</v>
      </c>
      <c r="R149" s="2" t="inlineStr">
        <is>
          <t>Vitgrynig nållav
Vedticka</t>
        </is>
      </c>
      <c r="S149">
        <f>HYPERLINK("https://klasma.github.io/Logging_2260/artfynd/A 24176-2025 artfynd.xlsx", "A 24176-2025")</f>
        <v/>
      </c>
      <c r="T149">
        <f>HYPERLINK("https://klasma.github.io/Logging_2260/kartor/A 24176-2025 karta.png", "A 24176-2025")</f>
        <v/>
      </c>
      <c r="V149">
        <f>HYPERLINK("https://klasma.github.io/Logging_2260/klagomål/A 24176-2025 FSC-klagomål.docx", "A 24176-2025")</f>
        <v/>
      </c>
      <c r="W149">
        <f>HYPERLINK("https://klasma.github.io/Logging_2260/klagomålsmail/A 24176-2025 FSC-klagomål mail.docx", "A 24176-2025")</f>
        <v/>
      </c>
      <c r="X149">
        <f>HYPERLINK("https://klasma.github.io/Logging_2260/tillsyn/A 24176-2025 tillsynsbegäran.docx", "A 24176-2025")</f>
        <v/>
      </c>
      <c r="Y149">
        <f>HYPERLINK("https://klasma.github.io/Logging_2260/tillsynsmail/A 24176-2025 tillsynsbegäran mail.docx", "A 24176-2025")</f>
        <v/>
      </c>
    </row>
    <row r="150" ht="15" customHeight="1">
      <c r="A150" t="inlineStr">
        <is>
          <t>A 26906-2025</t>
        </is>
      </c>
      <c r="B150" s="1" t="n">
        <v>45811.34552083333</v>
      </c>
      <c r="C150" s="1" t="n">
        <v>46029</v>
      </c>
      <c r="D150" t="inlineStr">
        <is>
          <t>VÄSTERNORRLANDS LÄN</t>
        </is>
      </c>
      <c r="E150" t="inlineStr">
        <is>
          <t>ÅNGE</t>
        </is>
      </c>
      <c r="F150" t="inlineStr">
        <is>
          <t>SCA</t>
        </is>
      </c>
      <c r="G150" t="n">
        <v>7</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26906-2025 artfynd.xlsx", "A 26906-2025")</f>
        <v/>
      </c>
      <c r="T150">
        <f>HYPERLINK("https://klasma.github.io/Logging_2260/kartor/A 26906-2025 karta.png", "A 26906-2025")</f>
        <v/>
      </c>
      <c r="V150">
        <f>HYPERLINK("https://klasma.github.io/Logging_2260/klagomål/A 26906-2025 FSC-klagomål.docx", "A 26906-2025")</f>
        <v/>
      </c>
      <c r="W150">
        <f>HYPERLINK("https://klasma.github.io/Logging_2260/klagomålsmail/A 26906-2025 FSC-klagomål mail.docx", "A 26906-2025")</f>
        <v/>
      </c>
      <c r="X150">
        <f>HYPERLINK("https://klasma.github.io/Logging_2260/tillsyn/A 26906-2025 tillsynsbegäran.docx", "A 26906-2025")</f>
        <v/>
      </c>
      <c r="Y150">
        <f>HYPERLINK("https://klasma.github.io/Logging_2260/tillsynsmail/A 26906-2025 tillsynsbegäran mail.docx", "A 26906-2025")</f>
        <v/>
      </c>
    </row>
    <row r="151" ht="15" customHeight="1">
      <c r="A151" t="inlineStr">
        <is>
          <t>A 47719-2024</t>
        </is>
      </c>
      <c r="B151" s="1" t="n">
        <v>45588.48996527777</v>
      </c>
      <c r="C151" s="1" t="n">
        <v>46029</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57594-2022</t>
        </is>
      </c>
      <c r="B152" s="1" t="n">
        <v>44896.97854166666</v>
      </c>
      <c r="C152" s="1" t="n">
        <v>46029</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42864-2025</t>
        </is>
      </c>
      <c r="B153" s="1" t="n">
        <v>45908</v>
      </c>
      <c r="C153" s="1" t="n">
        <v>46029</v>
      </c>
      <c r="D153" t="inlineStr">
        <is>
          <t>VÄSTERNORRLANDS LÄN</t>
        </is>
      </c>
      <c r="E153" t="inlineStr">
        <is>
          <t>ÅNGE</t>
        </is>
      </c>
      <c r="G153" t="n">
        <v>2.9</v>
      </c>
      <c r="H153" t="n">
        <v>0</v>
      </c>
      <c r="I153" t="n">
        <v>0</v>
      </c>
      <c r="J153" t="n">
        <v>2</v>
      </c>
      <c r="K153" t="n">
        <v>0</v>
      </c>
      <c r="L153" t="n">
        <v>0</v>
      </c>
      <c r="M153" t="n">
        <v>0</v>
      </c>
      <c r="N153" t="n">
        <v>0</v>
      </c>
      <c r="O153" t="n">
        <v>2</v>
      </c>
      <c r="P153" t="n">
        <v>0</v>
      </c>
      <c r="Q153" t="n">
        <v>2</v>
      </c>
      <c r="R153" s="2" t="inlineStr">
        <is>
          <t>Mörk kolflarnlav
Vedflamlav</t>
        </is>
      </c>
      <c r="S153">
        <f>HYPERLINK("https://klasma.github.io/Logging_2260/artfynd/A 42864-2025 artfynd.xlsx", "A 42864-2025")</f>
        <v/>
      </c>
      <c r="T153">
        <f>HYPERLINK("https://klasma.github.io/Logging_2260/kartor/A 42864-2025 karta.png", "A 42864-2025")</f>
        <v/>
      </c>
      <c r="V153">
        <f>HYPERLINK("https://klasma.github.io/Logging_2260/klagomål/A 42864-2025 FSC-klagomål.docx", "A 42864-2025")</f>
        <v/>
      </c>
      <c r="W153">
        <f>HYPERLINK("https://klasma.github.io/Logging_2260/klagomålsmail/A 42864-2025 FSC-klagomål mail.docx", "A 42864-2025")</f>
        <v/>
      </c>
      <c r="X153">
        <f>HYPERLINK("https://klasma.github.io/Logging_2260/tillsyn/A 42864-2025 tillsynsbegäran.docx", "A 42864-2025")</f>
        <v/>
      </c>
      <c r="Y153">
        <f>HYPERLINK("https://klasma.github.io/Logging_2260/tillsynsmail/A 42864-2025 tillsynsbegäran mail.docx", "A 42864-2025")</f>
        <v/>
      </c>
    </row>
    <row r="154" ht="15" customHeight="1">
      <c r="A154" t="inlineStr">
        <is>
          <t>A 57597-2022</t>
        </is>
      </c>
      <c r="B154" s="1" t="n">
        <v>44896.97878472223</v>
      </c>
      <c r="C154" s="1" t="n">
        <v>46029</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36414-2025</t>
        </is>
      </c>
      <c r="B155" s="1" t="n">
        <v>45868.69246527777</v>
      </c>
      <c r="C155" s="1" t="n">
        <v>46029</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46029</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43721-2025</t>
        </is>
      </c>
      <c r="B157" s="1" t="n">
        <v>45912.42800925926</v>
      </c>
      <c r="C157" s="1" t="n">
        <v>46029</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37800-2025</t>
        </is>
      </c>
      <c r="B158" s="1" t="n">
        <v>45881.34420138889</v>
      </c>
      <c r="C158" s="1" t="n">
        <v>46029</v>
      </c>
      <c r="D158" t="inlineStr">
        <is>
          <t>VÄSTERNORRLANDS LÄN</t>
        </is>
      </c>
      <c r="E158" t="inlineStr">
        <is>
          <t>ÅNGE</t>
        </is>
      </c>
      <c r="F158" t="inlineStr">
        <is>
          <t>SCA</t>
        </is>
      </c>
      <c r="G158" t="n">
        <v>4</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37800-2025 artfynd.xlsx", "A 37800-2025")</f>
        <v/>
      </c>
      <c r="T158">
        <f>HYPERLINK("https://klasma.github.io/Logging_2260/kartor/A 37800-2025 karta.png", "A 37800-2025")</f>
        <v/>
      </c>
      <c r="V158">
        <f>HYPERLINK("https://klasma.github.io/Logging_2260/klagomål/A 37800-2025 FSC-klagomål.docx", "A 37800-2025")</f>
        <v/>
      </c>
      <c r="W158">
        <f>HYPERLINK("https://klasma.github.io/Logging_2260/klagomålsmail/A 37800-2025 FSC-klagomål mail.docx", "A 37800-2025")</f>
        <v/>
      </c>
      <c r="X158">
        <f>HYPERLINK("https://klasma.github.io/Logging_2260/tillsyn/A 37800-2025 tillsynsbegäran.docx", "A 37800-2025")</f>
        <v/>
      </c>
      <c r="Y158">
        <f>HYPERLINK("https://klasma.github.io/Logging_2260/tillsynsmail/A 37800-2025 tillsynsbegäran mail.docx", "A 37800-2025")</f>
        <v/>
      </c>
    </row>
    <row r="159" ht="15" customHeight="1">
      <c r="A159" t="inlineStr">
        <is>
          <t>A 38298-2025</t>
        </is>
      </c>
      <c r="B159" s="1" t="n">
        <v>45883.4568287037</v>
      </c>
      <c r="C159" s="1" t="n">
        <v>46029</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4873-2025</t>
        </is>
      </c>
      <c r="B160" s="1" t="n">
        <v>45688.67633101852</v>
      </c>
      <c r="C160" s="1" t="n">
        <v>46029</v>
      </c>
      <c r="D160" t="inlineStr">
        <is>
          <t>VÄSTERNORRLANDS LÄN</t>
        </is>
      </c>
      <c r="E160" t="inlineStr">
        <is>
          <t>ÅNGE</t>
        </is>
      </c>
      <c r="F160" t="inlineStr">
        <is>
          <t>SCA</t>
        </is>
      </c>
      <c r="G160" t="n">
        <v>3.3</v>
      </c>
      <c r="H160" t="n">
        <v>0</v>
      </c>
      <c r="I160" t="n">
        <v>0</v>
      </c>
      <c r="J160" t="n">
        <v>2</v>
      </c>
      <c r="K160" t="n">
        <v>0</v>
      </c>
      <c r="L160" t="n">
        <v>0</v>
      </c>
      <c r="M160" t="n">
        <v>0</v>
      </c>
      <c r="N160" t="n">
        <v>0</v>
      </c>
      <c r="O160" t="n">
        <v>2</v>
      </c>
      <c r="P160" t="n">
        <v>0</v>
      </c>
      <c r="Q160" t="n">
        <v>2</v>
      </c>
      <c r="R160" s="2" t="inlineStr">
        <is>
          <t>Garnlav
Vitgrynig nållav</t>
        </is>
      </c>
      <c r="S160">
        <f>HYPERLINK("https://klasma.github.io/Logging_2260/artfynd/A 4873-2025 artfynd.xlsx", "A 4873-2025")</f>
        <v/>
      </c>
      <c r="T160">
        <f>HYPERLINK("https://klasma.github.io/Logging_2260/kartor/A 4873-2025 karta.png", "A 4873-2025")</f>
        <v/>
      </c>
      <c r="V160">
        <f>HYPERLINK("https://klasma.github.io/Logging_2260/klagomål/A 4873-2025 FSC-klagomål.docx", "A 4873-2025")</f>
        <v/>
      </c>
      <c r="W160">
        <f>HYPERLINK("https://klasma.github.io/Logging_2260/klagomålsmail/A 4873-2025 FSC-klagomål mail.docx", "A 4873-2025")</f>
        <v/>
      </c>
      <c r="X160">
        <f>HYPERLINK("https://klasma.github.io/Logging_2260/tillsyn/A 4873-2025 tillsynsbegäran.docx", "A 4873-2025")</f>
        <v/>
      </c>
      <c r="Y160">
        <f>HYPERLINK("https://klasma.github.io/Logging_2260/tillsynsmail/A 4873-2025 tillsynsbegäran mail.docx", "A 4873-2025")</f>
        <v/>
      </c>
    </row>
    <row r="161" ht="15" customHeight="1">
      <c r="A161" t="inlineStr">
        <is>
          <t>A 29325-2023</t>
        </is>
      </c>
      <c r="B161" s="1" t="n">
        <v>45105</v>
      </c>
      <c r="C161" s="1" t="n">
        <v>46029</v>
      </c>
      <c r="D161" t="inlineStr">
        <is>
          <t>VÄSTERNORRLANDS LÄN</t>
        </is>
      </c>
      <c r="E161" t="inlineStr">
        <is>
          <t>ÅNGE</t>
        </is>
      </c>
      <c r="G161" t="n">
        <v>12.4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HYPERLINK("https://klasma.github.io/Logging_2260/artfynd/A 29325-2023 artfynd.xlsx", "A 29325-2023")</f>
        <v/>
      </c>
      <c r="T161">
        <f>HYPERLINK("https://klasma.github.io/Logging_2260/kartor/A 29325-2023 karta.png", "A 29325-2023")</f>
        <v/>
      </c>
      <c r="V161">
        <f>HYPERLINK("https://klasma.github.io/Logging_2260/klagomål/A 29325-2023 FSC-klagomål.docx", "A 29325-2023")</f>
        <v/>
      </c>
      <c r="W161">
        <f>HYPERLINK("https://klasma.github.io/Logging_2260/klagomålsmail/A 29325-2023 FSC-klagomål mail.docx", "A 29325-2023")</f>
        <v/>
      </c>
      <c r="X161">
        <f>HYPERLINK("https://klasma.github.io/Logging_2260/tillsyn/A 29325-2023 tillsynsbegäran.docx", "A 29325-2023")</f>
        <v/>
      </c>
      <c r="Y161">
        <f>HYPERLINK("https://klasma.github.io/Logging_2260/tillsynsmail/A 29325-2023 tillsynsbegäran mail.docx", "A 29325-2023")</f>
        <v/>
      </c>
    </row>
    <row r="162" ht="15" customHeight="1">
      <c r="A162" t="inlineStr">
        <is>
          <t>A 4093-2025</t>
        </is>
      </c>
      <c r="B162" s="1" t="n">
        <v>45684.67762731481</v>
      </c>
      <c r="C162" s="1" t="n">
        <v>46029</v>
      </c>
      <c r="D162" t="inlineStr">
        <is>
          <t>VÄSTERNORRLANDS LÄN</t>
        </is>
      </c>
      <c r="E162" t="inlineStr">
        <is>
          <t>ÅNGE</t>
        </is>
      </c>
      <c r="F162" t="inlineStr">
        <is>
          <t>SCA</t>
        </is>
      </c>
      <c r="G162" t="n">
        <v>2.6</v>
      </c>
      <c r="H162" t="n">
        <v>1</v>
      </c>
      <c r="I162" t="n">
        <v>2</v>
      </c>
      <c r="J162" t="n">
        <v>0</v>
      </c>
      <c r="K162" t="n">
        <v>0</v>
      </c>
      <c r="L162" t="n">
        <v>0</v>
      </c>
      <c r="M162" t="n">
        <v>0</v>
      </c>
      <c r="N162" t="n">
        <v>0</v>
      </c>
      <c r="O162" t="n">
        <v>0</v>
      </c>
      <c r="P162" t="n">
        <v>0</v>
      </c>
      <c r="Q162" t="n">
        <v>2</v>
      </c>
      <c r="R162" s="2" t="inlineStr">
        <is>
          <t>Kransrams
Spindelblomster</t>
        </is>
      </c>
      <c r="S162">
        <f>HYPERLINK("https://klasma.github.io/Logging_2260/artfynd/A 4093-2025 artfynd.xlsx", "A 4093-2025")</f>
        <v/>
      </c>
      <c r="T162">
        <f>HYPERLINK("https://klasma.github.io/Logging_2260/kartor/A 4093-2025 karta.png", "A 4093-2025")</f>
        <v/>
      </c>
      <c r="V162">
        <f>HYPERLINK("https://klasma.github.io/Logging_2260/klagomål/A 4093-2025 FSC-klagomål.docx", "A 4093-2025")</f>
        <v/>
      </c>
      <c r="W162">
        <f>HYPERLINK("https://klasma.github.io/Logging_2260/klagomålsmail/A 4093-2025 FSC-klagomål mail.docx", "A 4093-2025")</f>
        <v/>
      </c>
      <c r="X162">
        <f>HYPERLINK("https://klasma.github.io/Logging_2260/tillsyn/A 4093-2025 tillsynsbegäran.docx", "A 4093-2025")</f>
        <v/>
      </c>
      <c r="Y162">
        <f>HYPERLINK("https://klasma.github.io/Logging_2260/tillsynsmail/A 4093-2025 tillsynsbegäran mail.docx", "A 4093-2025")</f>
        <v/>
      </c>
    </row>
    <row r="163" ht="15" customHeight="1">
      <c r="A163" t="inlineStr">
        <is>
          <t>A 25034-2024</t>
        </is>
      </c>
      <c r="B163" s="1" t="n">
        <v>45461.96458333333</v>
      </c>
      <c r="C163" s="1" t="n">
        <v>46029</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46029</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46029</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54625-2025</t>
        </is>
      </c>
      <c r="B166" s="1" t="n">
        <v>45966.34552083333</v>
      </c>
      <c r="C166" s="1" t="n">
        <v>46029</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31493-2024</t>
        </is>
      </c>
      <c r="B167" s="1" t="n">
        <v>45505</v>
      </c>
      <c r="C167" s="1" t="n">
        <v>46029</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46029</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46029</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55178-2024</t>
        </is>
      </c>
      <c r="B170" s="1" t="n">
        <v>45621</v>
      </c>
      <c r="C170" s="1" t="n">
        <v>46029</v>
      </c>
      <c r="D170" t="inlineStr">
        <is>
          <t>VÄSTERNORRLANDS LÄN</t>
        </is>
      </c>
      <c r="E170" t="inlineStr">
        <is>
          <t>ÅNGE</t>
        </is>
      </c>
      <c r="F170" t="inlineStr">
        <is>
          <t>SCA</t>
        </is>
      </c>
      <c r="G170" t="n">
        <v>4.8</v>
      </c>
      <c r="H170" t="n">
        <v>1</v>
      </c>
      <c r="I170" t="n">
        <v>0</v>
      </c>
      <c r="J170" t="n">
        <v>1</v>
      </c>
      <c r="K170" t="n">
        <v>1</v>
      </c>
      <c r="L170" t="n">
        <v>0</v>
      </c>
      <c r="M170" t="n">
        <v>0</v>
      </c>
      <c r="N170" t="n">
        <v>0</v>
      </c>
      <c r="O170" t="n">
        <v>2</v>
      </c>
      <c r="P170" t="n">
        <v>1</v>
      </c>
      <c r="Q170" t="n">
        <v>2</v>
      </c>
      <c r="R170" s="2" t="inlineStr">
        <is>
          <t>Knärot
Stiftgelélav</t>
        </is>
      </c>
      <c r="S170">
        <f>HYPERLINK("https://klasma.github.io/Logging_2260/artfynd/A 55178-2024 artfynd.xlsx", "A 55178-2024")</f>
        <v/>
      </c>
      <c r="T170">
        <f>HYPERLINK("https://klasma.github.io/Logging_2260/kartor/A 55178-2024 karta.png", "A 55178-2024")</f>
        <v/>
      </c>
      <c r="U170">
        <f>HYPERLINK("https://klasma.github.io/Logging_2260/knärot/A 55178-2024 karta knärot.png", "A 55178-2024")</f>
        <v/>
      </c>
      <c r="V170">
        <f>HYPERLINK("https://klasma.github.io/Logging_2260/klagomål/A 55178-2024 FSC-klagomål.docx", "A 55178-2024")</f>
        <v/>
      </c>
      <c r="W170">
        <f>HYPERLINK("https://klasma.github.io/Logging_2260/klagomålsmail/A 55178-2024 FSC-klagomål mail.docx", "A 55178-2024")</f>
        <v/>
      </c>
      <c r="X170">
        <f>HYPERLINK("https://klasma.github.io/Logging_2260/tillsyn/A 55178-2024 tillsynsbegäran.docx", "A 55178-2024")</f>
        <v/>
      </c>
      <c r="Y170">
        <f>HYPERLINK("https://klasma.github.io/Logging_2260/tillsynsmail/A 55178-2024 tillsynsbegäran mail.docx", "A 55178-2024")</f>
        <v/>
      </c>
    </row>
    <row r="171" ht="15" customHeight="1">
      <c r="A171" t="inlineStr">
        <is>
          <t>A 55591-2021</t>
        </is>
      </c>
      <c r="B171" s="1" t="n">
        <v>44475</v>
      </c>
      <c r="C171" s="1" t="n">
        <v>46029</v>
      </c>
      <c r="D171" t="inlineStr">
        <is>
          <t>VÄSTERNORRLANDS LÄN</t>
        </is>
      </c>
      <c r="E171" t="inlineStr">
        <is>
          <t>ÅNGE</t>
        </is>
      </c>
      <c r="G171" t="n">
        <v>3.6</v>
      </c>
      <c r="H171" t="n">
        <v>0</v>
      </c>
      <c r="I171" t="n">
        <v>0</v>
      </c>
      <c r="J171" t="n">
        <v>2</v>
      </c>
      <c r="K171" t="n">
        <v>0</v>
      </c>
      <c r="L171" t="n">
        <v>0</v>
      </c>
      <c r="M171" t="n">
        <v>0</v>
      </c>
      <c r="N171" t="n">
        <v>0</v>
      </c>
      <c r="O171" t="n">
        <v>2</v>
      </c>
      <c r="P171" t="n">
        <v>0</v>
      </c>
      <c r="Q171" t="n">
        <v>2</v>
      </c>
      <c r="R171" s="2" t="inlineStr">
        <is>
          <t>Kolflarnlav
Skrovlig taggsvamp</t>
        </is>
      </c>
      <c r="S171">
        <f>HYPERLINK("https://klasma.github.io/Logging_2260/artfynd/A 55591-2021 artfynd.xlsx", "A 55591-2021")</f>
        <v/>
      </c>
      <c r="T171">
        <f>HYPERLINK("https://klasma.github.io/Logging_2260/kartor/A 55591-2021 karta.png", "A 55591-2021")</f>
        <v/>
      </c>
      <c r="V171">
        <f>HYPERLINK("https://klasma.github.io/Logging_2260/klagomål/A 55591-2021 FSC-klagomål.docx", "A 55591-2021")</f>
        <v/>
      </c>
      <c r="W171">
        <f>HYPERLINK("https://klasma.github.io/Logging_2260/klagomålsmail/A 55591-2021 FSC-klagomål mail.docx", "A 55591-2021")</f>
        <v/>
      </c>
      <c r="X171">
        <f>HYPERLINK("https://klasma.github.io/Logging_2260/tillsyn/A 55591-2021 tillsynsbegäran.docx", "A 55591-2021")</f>
        <v/>
      </c>
      <c r="Y171">
        <f>HYPERLINK("https://klasma.github.io/Logging_2260/tillsynsmail/A 55591-2021 tillsynsbegäran mail.docx", "A 55591-2021")</f>
        <v/>
      </c>
    </row>
    <row r="172" ht="15" customHeight="1">
      <c r="A172" t="inlineStr">
        <is>
          <t>A 26020-2024</t>
        </is>
      </c>
      <c r="B172" s="1" t="n">
        <v>45467.9603125</v>
      </c>
      <c r="C172" s="1" t="n">
        <v>46029</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18081-2025</t>
        </is>
      </c>
      <c r="B173" s="1" t="n">
        <v>45761.51086805556</v>
      </c>
      <c r="C173" s="1" t="n">
        <v>46029</v>
      </c>
      <c r="D173" t="inlineStr">
        <is>
          <t>VÄSTERNORRLANDS LÄN</t>
        </is>
      </c>
      <c r="E173" t="inlineStr">
        <is>
          <t>ÅNGE</t>
        </is>
      </c>
      <c r="F173" t="inlineStr">
        <is>
          <t>SCA</t>
        </is>
      </c>
      <c r="G173" t="n">
        <v>2.6</v>
      </c>
      <c r="H173" t="n">
        <v>1</v>
      </c>
      <c r="I173" t="n">
        <v>1</v>
      </c>
      <c r="J173" t="n">
        <v>0</v>
      </c>
      <c r="K173" t="n">
        <v>1</v>
      </c>
      <c r="L173" t="n">
        <v>0</v>
      </c>
      <c r="M173" t="n">
        <v>0</v>
      </c>
      <c r="N173" t="n">
        <v>0</v>
      </c>
      <c r="O173" t="n">
        <v>1</v>
      </c>
      <c r="P173" t="n">
        <v>1</v>
      </c>
      <c r="Q173" t="n">
        <v>2</v>
      </c>
      <c r="R173" s="2" t="inlineStr">
        <is>
          <t>Knärot
Dropptaggsvamp</t>
        </is>
      </c>
      <c r="S173">
        <f>HYPERLINK("https://klasma.github.io/Logging_2260/artfynd/A 18081-2025 artfynd.xlsx", "A 18081-2025")</f>
        <v/>
      </c>
      <c r="T173">
        <f>HYPERLINK("https://klasma.github.io/Logging_2260/kartor/A 18081-2025 karta.png", "A 18081-2025")</f>
        <v/>
      </c>
      <c r="U173">
        <f>HYPERLINK("https://klasma.github.io/Logging_2260/knärot/A 18081-2025 karta knärot.png", "A 18081-2025")</f>
        <v/>
      </c>
      <c r="V173">
        <f>HYPERLINK("https://klasma.github.io/Logging_2260/klagomål/A 18081-2025 FSC-klagomål.docx", "A 18081-2025")</f>
        <v/>
      </c>
      <c r="W173">
        <f>HYPERLINK("https://klasma.github.io/Logging_2260/klagomålsmail/A 18081-2025 FSC-klagomål mail.docx", "A 18081-2025")</f>
        <v/>
      </c>
      <c r="X173">
        <f>HYPERLINK("https://klasma.github.io/Logging_2260/tillsyn/A 18081-2025 tillsynsbegäran.docx", "A 18081-2025")</f>
        <v/>
      </c>
      <c r="Y173">
        <f>HYPERLINK("https://klasma.github.io/Logging_2260/tillsynsmail/A 18081-2025 tillsynsbegäran mail.docx", "A 18081-2025")</f>
        <v/>
      </c>
    </row>
    <row r="174" ht="15" customHeight="1">
      <c r="A174" t="inlineStr">
        <is>
          <t>A 48374-2024</t>
        </is>
      </c>
      <c r="B174" s="1" t="n">
        <v>45590.58028935185</v>
      </c>
      <c r="C174" s="1" t="n">
        <v>46029</v>
      </c>
      <c r="D174" t="inlineStr">
        <is>
          <t>VÄSTERNORRLANDS LÄN</t>
        </is>
      </c>
      <c r="E174" t="inlineStr">
        <is>
          <t>ÅNGE</t>
        </is>
      </c>
      <c r="G174" t="n">
        <v>6.6</v>
      </c>
      <c r="H174" t="n">
        <v>0</v>
      </c>
      <c r="I174" t="n">
        <v>1</v>
      </c>
      <c r="J174" t="n">
        <v>1</v>
      </c>
      <c r="K174" t="n">
        <v>0</v>
      </c>
      <c r="L174" t="n">
        <v>0</v>
      </c>
      <c r="M174" t="n">
        <v>0</v>
      </c>
      <c r="N174" t="n">
        <v>0</v>
      </c>
      <c r="O174" t="n">
        <v>1</v>
      </c>
      <c r="P174" t="n">
        <v>0</v>
      </c>
      <c r="Q174" t="n">
        <v>2</v>
      </c>
      <c r="R174" s="2" t="inlineStr">
        <is>
          <t>Kolflarnlav
Bollvitmossa</t>
        </is>
      </c>
      <c r="S174">
        <f>HYPERLINK("https://klasma.github.io/Logging_2260/artfynd/A 48374-2024 artfynd.xlsx", "A 48374-2024")</f>
        <v/>
      </c>
      <c r="T174">
        <f>HYPERLINK("https://klasma.github.io/Logging_2260/kartor/A 48374-2024 karta.png", "A 48374-2024")</f>
        <v/>
      </c>
      <c r="V174">
        <f>HYPERLINK("https://klasma.github.io/Logging_2260/klagomål/A 48374-2024 FSC-klagomål.docx", "A 48374-2024")</f>
        <v/>
      </c>
      <c r="W174">
        <f>HYPERLINK("https://klasma.github.io/Logging_2260/klagomålsmail/A 48374-2024 FSC-klagomål mail.docx", "A 48374-2024")</f>
        <v/>
      </c>
      <c r="X174">
        <f>HYPERLINK("https://klasma.github.io/Logging_2260/tillsyn/A 48374-2024 tillsynsbegäran.docx", "A 48374-2024")</f>
        <v/>
      </c>
      <c r="Y174">
        <f>HYPERLINK("https://klasma.github.io/Logging_2260/tillsynsmail/A 48374-2024 tillsynsbegäran mail.docx", "A 48374-2024")</f>
        <v/>
      </c>
    </row>
    <row r="175" ht="15" customHeight="1">
      <c r="A175" t="inlineStr">
        <is>
          <t>A 48695-2024</t>
        </is>
      </c>
      <c r="B175" s="1" t="n">
        <v>45593.5109837963</v>
      </c>
      <c r="C175" s="1" t="n">
        <v>46029</v>
      </c>
      <c r="D175" t="inlineStr">
        <is>
          <t>VÄSTERNORRLANDS LÄN</t>
        </is>
      </c>
      <c r="E175" t="inlineStr">
        <is>
          <t>ÅNGE</t>
        </is>
      </c>
      <c r="F175" t="inlineStr">
        <is>
          <t>SCA</t>
        </is>
      </c>
      <c r="G175" t="n">
        <v>1.2</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48695-2024 artfynd.xlsx", "A 48695-2024")</f>
        <v/>
      </c>
      <c r="T175">
        <f>HYPERLINK("https://klasma.github.io/Logging_2260/kartor/A 48695-2024 karta.png", "A 48695-2024")</f>
        <v/>
      </c>
      <c r="V175">
        <f>HYPERLINK("https://klasma.github.io/Logging_2260/klagomål/A 48695-2024 FSC-klagomål.docx", "A 48695-2024")</f>
        <v/>
      </c>
      <c r="W175">
        <f>HYPERLINK("https://klasma.github.io/Logging_2260/klagomålsmail/A 48695-2024 FSC-klagomål mail.docx", "A 48695-2024")</f>
        <v/>
      </c>
      <c r="X175">
        <f>HYPERLINK("https://klasma.github.io/Logging_2260/tillsyn/A 48695-2024 tillsynsbegäran.docx", "A 48695-2024")</f>
        <v/>
      </c>
      <c r="Y175">
        <f>HYPERLINK("https://klasma.github.io/Logging_2260/tillsynsmail/A 48695-2024 tillsynsbegäran mail.docx", "A 48695-2024")</f>
        <v/>
      </c>
    </row>
    <row r="176" ht="15" customHeight="1">
      <c r="A176" t="inlineStr">
        <is>
          <t>A 49871-2024</t>
        </is>
      </c>
      <c r="B176" s="1" t="n">
        <v>45597.4903125</v>
      </c>
      <c r="C176" s="1" t="n">
        <v>46029</v>
      </c>
      <c r="D176" t="inlineStr">
        <is>
          <t>VÄSTERNORRLANDS LÄN</t>
        </is>
      </c>
      <c r="E176" t="inlineStr">
        <is>
          <t>ÅNGE</t>
        </is>
      </c>
      <c r="F176" t="inlineStr">
        <is>
          <t>SCA</t>
        </is>
      </c>
      <c r="G176" t="n">
        <v>6.3</v>
      </c>
      <c r="H176" t="n">
        <v>1</v>
      </c>
      <c r="I176" t="n">
        <v>0</v>
      </c>
      <c r="J176" t="n">
        <v>1</v>
      </c>
      <c r="K176" t="n">
        <v>1</v>
      </c>
      <c r="L176" t="n">
        <v>0</v>
      </c>
      <c r="M176" t="n">
        <v>0</v>
      </c>
      <c r="N176" t="n">
        <v>0</v>
      </c>
      <c r="O176" t="n">
        <v>2</v>
      </c>
      <c r="P176" t="n">
        <v>1</v>
      </c>
      <c r="Q176" t="n">
        <v>2</v>
      </c>
      <c r="R176" s="2" t="inlineStr">
        <is>
          <t>Knärot
Garnlav</t>
        </is>
      </c>
      <c r="S176">
        <f>HYPERLINK("https://klasma.github.io/Logging_2260/artfynd/A 49871-2024 artfynd.xlsx", "A 49871-2024")</f>
        <v/>
      </c>
      <c r="T176">
        <f>HYPERLINK("https://klasma.github.io/Logging_2260/kartor/A 49871-2024 karta.png", "A 49871-2024")</f>
        <v/>
      </c>
      <c r="U176">
        <f>HYPERLINK("https://klasma.github.io/Logging_2260/knärot/A 49871-2024 karta knärot.png", "A 49871-2024")</f>
        <v/>
      </c>
      <c r="V176">
        <f>HYPERLINK("https://klasma.github.io/Logging_2260/klagomål/A 49871-2024 FSC-klagomål.docx", "A 49871-2024")</f>
        <v/>
      </c>
      <c r="W176">
        <f>HYPERLINK("https://klasma.github.io/Logging_2260/klagomålsmail/A 49871-2024 FSC-klagomål mail.docx", "A 49871-2024")</f>
        <v/>
      </c>
      <c r="X176">
        <f>HYPERLINK("https://klasma.github.io/Logging_2260/tillsyn/A 49871-2024 tillsynsbegäran.docx", "A 49871-2024")</f>
        <v/>
      </c>
      <c r="Y176">
        <f>HYPERLINK("https://klasma.github.io/Logging_2260/tillsynsmail/A 49871-2024 tillsynsbegäran mail.docx", "A 49871-2024")</f>
        <v/>
      </c>
    </row>
    <row r="177" ht="15" customHeight="1">
      <c r="A177" t="inlineStr">
        <is>
          <t>A 8324-2025</t>
        </is>
      </c>
      <c r="B177" s="1" t="n">
        <v>45708.63621527778</v>
      </c>
      <c r="C177" s="1" t="n">
        <v>46029</v>
      </c>
      <c r="D177" t="inlineStr">
        <is>
          <t>VÄSTERNORRLANDS LÄN</t>
        </is>
      </c>
      <c r="E177" t="inlineStr">
        <is>
          <t>ÅNGE</t>
        </is>
      </c>
      <c r="F177" t="inlineStr">
        <is>
          <t>SCA</t>
        </is>
      </c>
      <c r="G177" t="n">
        <v>7.8</v>
      </c>
      <c r="H177" t="n">
        <v>0</v>
      </c>
      <c r="I177" t="n">
        <v>1</v>
      </c>
      <c r="J177" t="n">
        <v>1</v>
      </c>
      <c r="K177" t="n">
        <v>0</v>
      </c>
      <c r="L177" t="n">
        <v>0</v>
      </c>
      <c r="M177" t="n">
        <v>0</v>
      </c>
      <c r="N177" t="n">
        <v>0</v>
      </c>
      <c r="O177" t="n">
        <v>1</v>
      </c>
      <c r="P177" t="n">
        <v>0</v>
      </c>
      <c r="Q177" t="n">
        <v>2</v>
      </c>
      <c r="R177" s="2" t="inlineStr">
        <is>
          <t>Vitgrynig nållav
Bollvitmossa</t>
        </is>
      </c>
      <c r="S177">
        <f>HYPERLINK("https://klasma.github.io/Logging_2260/artfynd/A 8324-2025 artfynd.xlsx", "A 8324-2025")</f>
        <v/>
      </c>
      <c r="T177">
        <f>HYPERLINK("https://klasma.github.io/Logging_2260/kartor/A 8324-2025 karta.png", "A 8324-2025")</f>
        <v/>
      </c>
      <c r="V177">
        <f>HYPERLINK("https://klasma.github.io/Logging_2260/klagomål/A 8324-2025 FSC-klagomål.docx", "A 8324-2025")</f>
        <v/>
      </c>
      <c r="W177">
        <f>HYPERLINK("https://klasma.github.io/Logging_2260/klagomålsmail/A 8324-2025 FSC-klagomål mail.docx", "A 8324-2025")</f>
        <v/>
      </c>
      <c r="X177">
        <f>HYPERLINK("https://klasma.github.io/Logging_2260/tillsyn/A 8324-2025 tillsynsbegäran.docx", "A 8324-2025")</f>
        <v/>
      </c>
      <c r="Y177">
        <f>HYPERLINK("https://klasma.github.io/Logging_2260/tillsynsmail/A 8324-2025 tillsynsbegäran mail.docx", "A 8324-2025")</f>
        <v/>
      </c>
    </row>
    <row r="178" ht="15" customHeight="1">
      <c r="A178" t="inlineStr">
        <is>
          <t>A 21453-2025</t>
        </is>
      </c>
      <c r="B178" s="1" t="n">
        <v>45782.55311342593</v>
      </c>
      <c r="C178" s="1" t="n">
        <v>46029</v>
      </c>
      <c r="D178" t="inlineStr">
        <is>
          <t>VÄSTERNORRLANDS LÄN</t>
        </is>
      </c>
      <c r="E178" t="inlineStr">
        <is>
          <t>ÅNGE</t>
        </is>
      </c>
      <c r="F178" t="inlineStr">
        <is>
          <t>SCA</t>
        </is>
      </c>
      <c r="G178" t="n">
        <v>1</v>
      </c>
      <c r="H178" t="n">
        <v>0</v>
      </c>
      <c r="I178" t="n">
        <v>2</v>
      </c>
      <c r="J178" t="n">
        <v>0</v>
      </c>
      <c r="K178" t="n">
        <v>0</v>
      </c>
      <c r="L178" t="n">
        <v>0</v>
      </c>
      <c r="M178" t="n">
        <v>0</v>
      </c>
      <c r="N178" t="n">
        <v>0</v>
      </c>
      <c r="O178" t="n">
        <v>0</v>
      </c>
      <c r="P178" t="n">
        <v>0</v>
      </c>
      <c r="Q178" t="n">
        <v>2</v>
      </c>
      <c r="R178" s="2" t="inlineStr">
        <is>
          <t>Svart trolldruva
Tibast</t>
        </is>
      </c>
      <c r="S178">
        <f>HYPERLINK("https://klasma.github.io/Logging_2260/artfynd/A 21453-2025 artfynd.xlsx", "A 21453-2025")</f>
        <v/>
      </c>
      <c r="T178">
        <f>HYPERLINK("https://klasma.github.io/Logging_2260/kartor/A 21453-2025 karta.png", "A 21453-2025")</f>
        <v/>
      </c>
      <c r="V178">
        <f>HYPERLINK("https://klasma.github.io/Logging_2260/klagomål/A 21453-2025 FSC-klagomål.docx", "A 21453-2025")</f>
        <v/>
      </c>
      <c r="W178">
        <f>HYPERLINK("https://klasma.github.io/Logging_2260/klagomålsmail/A 21453-2025 FSC-klagomål mail.docx", "A 21453-2025")</f>
        <v/>
      </c>
      <c r="X178">
        <f>HYPERLINK("https://klasma.github.io/Logging_2260/tillsyn/A 21453-2025 tillsynsbegäran.docx", "A 21453-2025")</f>
        <v/>
      </c>
      <c r="Y178">
        <f>HYPERLINK("https://klasma.github.io/Logging_2260/tillsynsmail/A 21453-2025 tillsynsbegäran mail.docx", "A 21453-2025")</f>
        <v/>
      </c>
    </row>
    <row r="179" ht="15" customHeight="1">
      <c r="A179" t="inlineStr">
        <is>
          <t>A 20367-2022</t>
        </is>
      </c>
      <c r="B179" s="1" t="n">
        <v>44699</v>
      </c>
      <c r="C179" s="1" t="n">
        <v>46029</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46029</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46029</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46029</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46029</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46029</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38606-2024</t>
        </is>
      </c>
      <c r="B185" s="1" t="n">
        <v>45546.67804398148</v>
      </c>
      <c r="C185" s="1" t="n">
        <v>46029</v>
      </c>
      <c r="D185" t="inlineStr">
        <is>
          <t>VÄSTERNORRLANDS LÄN</t>
        </is>
      </c>
      <c r="E185" t="inlineStr">
        <is>
          <t>ÅNGE</t>
        </is>
      </c>
      <c r="F185" t="inlineStr">
        <is>
          <t>SCA</t>
        </is>
      </c>
      <c r="G185" t="n">
        <v>2.4</v>
      </c>
      <c r="H185" t="n">
        <v>0</v>
      </c>
      <c r="I185" t="n">
        <v>0</v>
      </c>
      <c r="J185" t="n">
        <v>1</v>
      </c>
      <c r="K185" t="n">
        <v>0</v>
      </c>
      <c r="L185" t="n">
        <v>0</v>
      </c>
      <c r="M185" t="n">
        <v>0</v>
      </c>
      <c r="N185" t="n">
        <v>0</v>
      </c>
      <c r="O185" t="n">
        <v>1</v>
      </c>
      <c r="P185" t="n">
        <v>0</v>
      </c>
      <c r="Q185" t="n">
        <v>1</v>
      </c>
      <c r="R185" s="2" t="inlineStr">
        <is>
          <t>Ullticka</t>
        </is>
      </c>
      <c r="S185">
        <f>HYPERLINK("https://klasma.github.io/Logging_2260/artfynd/A 38606-2024 artfynd.xlsx", "A 38606-2024")</f>
        <v/>
      </c>
      <c r="T185">
        <f>HYPERLINK("https://klasma.github.io/Logging_2260/kartor/A 38606-2024 karta.png", "A 38606-2024")</f>
        <v/>
      </c>
      <c r="V185">
        <f>HYPERLINK("https://klasma.github.io/Logging_2260/klagomål/A 38606-2024 FSC-klagomål.docx", "A 38606-2024")</f>
        <v/>
      </c>
      <c r="W185">
        <f>HYPERLINK("https://klasma.github.io/Logging_2260/klagomålsmail/A 38606-2024 FSC-klagomål mail.docx", "A 38606-2024")</f>
        <v/>
      </c>
      <c r="X185">
        <f>HYPERLINK("https://klasma.github.io/Logging_2260/tillsyn/A 38606-2024 tillsynsbegäran.docx", "A 38606-2024")</f>
        <v/>
      </c>
      <c r="Y185">
        <f>HYPERLINK("https://klasma.github.io/Logging_2260/tillsynsmail/A 38606-2024 tillsynsbegäran mail.docx", "A 38606-2024")</f>
        <v/>
      </c>
    </row>
    <row r="186" ht="15" customHeight="1">
      <c r="A186" t="inlineStr">
        <is>
          <t>A 43171-2024</t>
        </is>
      </c>
      <c r="B186" s="1" t="n">
        <v>45567</v>
      </c>
      <c r="C186" s="1" t="n">
        <v>46029</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24798-2024</t>
        </is>
      </c>
      <c r="B187" s="1" t="n">
        <v>45460.95277777778</v>
      </c>
      <c r="C187" s="1" t="n">
        <v>46029</v>
      </c>
      <c r="D187" t="inlineStr">
        <is>
          <t>VÄSTERNORRLANDS LÄN</t>
        </is>
      </c>
      <c r="E187" t="inlineStr">
        <is>
          <t>ÅNGE</t>
        </is>
      </c>
      <c r="F187" t="inlineStr">
        <is>
          <t>SCA</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HYPERLINK("https://klasma.github.io/Logging_2260/artfynd/A 24798-2024 artfynd.xlsx", "A 24798-2024")</f>
        <v/>
      </c>
      <c r="T187">
        <f>HYPERLINK("https://klasma.github.io/Logging_2260/kartor/A 24798-2024 karta.png", "A 24798-2024")</f>
        <v/>
      </c>
      <c r="V187">
        <f>HYPERLINK("https://klasma.github.io/Logging_2260/klagomål/A 24798-2024 FSC-klagomål.docx", "A 24798-2024")</f>
        <v/>
      </c>
      <c r="W187">
        <f>HYPERLINK("https://klasma.github.io/Logging_2260/klagomålsmail/A 24798-2024 FSC-klagomål mail.docx", "A 24798-2024")</f>
        <v/>
      </c>
      <c r="X187">
        <f>HYPERLINK("https://klasma.github.io/Logging_2260/tillsyn/A 24798-2024 tillsynsbegäran.docx", "A 24798-2024")</f>
        <v/>
      </c>
      <c r="Y187">
        <f>HYPERLINK("https://klasma.github.io/Logging_2260/tillsynsmail/A 24798-2024 tillsynsbegäran mail.docx", "A 24798-2024")</f>
        <v/>
      </c>
    </row>
    <row r="188" ht="15" customHeight="1">
      <c r="A188" t="inlineStr">
        <is>
          <t>A 24799-2024</t>
        </is>
      </c>
      <c r="B188" s="1" t="n">
        <v>45460</v>
      </c>
      <c r="C188" s="1" t="n">
        <v>46029</v>
      </c>
      <c r="D188" t="inlineStr">
        <is>
          <t>VÄSTERNORRLANDS LÄN</t>
        </is>
      </c>
      <c r="E188" t="inlineStr">
        <is>
          <t>ÅNGE</t>
        </is>
      </c>
      <c r="F188" t="inlineStr">
        <is>
          <t>SCA</t>
        </is>
      </c>
      <c r="G188" t="n">
        <v>2.8</v>
      </c>
      <c r="H188" t="n">
        <v>1</v>
      </c>
      <c r="I188" t="n">
        <v>0</v>
      </c>
      <c r="J188" t="n">
        <v>0</v>
      </c>
      <c r="K188" t="n">
        <v>1</v>
      </c>
      <c r="L188" t="n">
        <v>0</v>
      </c>
      <c r="M188" t="n">
        <v>0</v>
      </c>
      <c r="N188" t="n">
        <v>0</v>
      </c>
      <c r="O188" t="n">
        <v>1</v>
      </c>
      <c r="P188" t="n">
        <v>1</v>
      </c>
      <c r="Q188" t="n">
        <v>1</v>
      </c>
      <c r="R188" s="2" t="inlineStr">
        <is>
          <t>Doftticka</t>
        </is>
      </c>
      <c r="S188">
        <f>HYPERLINK("https://klasma.github.io/Logging_2260/artfynd/A 24799-2024 artfynd.xlsx", "A 24799-2024")</f>
        <v/>
      </c>
      <c r="T188">
        <f>HYPERLINK("https://klasma.github.io/Logging_2260/kartor/A 24799-2024 karta.png", "A 24799-2024")</f>
        <v/>
      </c>
      <c r="V188">
        <f>HYPERLINK("https://klasma.github.io/Logging_2260/klagomål/A 24799-2024 FSC-klagomål.docx", "A 24799-2024")</f>
        <v/>
      </c>
      <c r="W188">
        <f>HYPERLINK("https://klasma.github.io/Logging_2260/klagomålsmail/A 24799-2024 FSC-klagomål mail.docx", "A 24799-2024")</f>
        <v/>
      </c>
      <c r="X188">
        <f>HYPERLINK("https://klasma.github.io/Logging_2260/tillsyn/A 24799-2024 tillsynsbegäran.docx", "A 24799-2024")</f>
        <v/>
      </c>
      <c r="Y188">
        <f>HYPERLINK("https://klasma.github.io/Logging_2260/tillsynsmail/A 24799-2024 tillsynsbegäran mail.docx", "A 24799-2024")</f>
        <v/>
      </c>
    </row>
    <row r="189" ht="15" customHeight="1">
      <c r="A189" t="inlineStr">
        <is>
          <t>A 13934-2024</t>
        </is>
      </c>
      <c r="B189" s="1" t="n">
        <v>45391</v>
      </c>
      <c r="C189" s="1" t="n">
        <v>46029</v>
      </c>
      <c r="D189" t="inlineStr">
        <is>
          <t>VÄSTERNORRLANDS LÄN</t>
        </is>
      </c>
      <c r="E189" t="inlineStr">
        <is>
          <t>ÅNGE</t>
        </is>
      </c>
      <c r="F189" t="inlineStr">
        <is>
          <t>SCA</t>
        </is>
      </c>
      <c r="G189" t="n">
        <v>5.8</v>
      </c>
      <c r="H189" t="n">
        <v>0</v>
      </c>
      <c r="I189" t="n">
        <v>0</v>
      </c>
      <c r="J189" t="n">
        <v>1</v>
      </c>
      <c r="K189" t="n">
        <v>0</v>
      </c>
      <c r="L189" t="n">
        <v>0</v>
      </c>
      <c r="M189" t="n">
        <v>0</v>
      </c>
      <c r="N189" t="n">
        <v>0</v>
      </c>
      <c r="O189" t="n">
        <v>1</v>
      </c>
      <c r="P189" t="n">
        <v>0</v>
      </c>
      <c r="Q189" t="n">
        <v>1</v>
      </c>
      <c r="R189" s="2" t="inlineStr">
        <is>
          <t>Ullticka</t>
        </is>
      </c>
      <c r="S189">
        <f>HYPERLINK("https://klasma.github.io/Logging_2260/artfynd/A 13934-2024 artfynd.xlsx", "A 13934-2024")</f>
        <v/>
      </c>
      <c r="T189">
        <f>HYPERLINK("https://klasma.github.io/Logging_2260/kartor/A 13934-2024 karta.png", "A 13934-2024")</f>
        <v/>
      </c>
      <c r="V189">
        <f>HYPERLINK("https://klasma.github.io/Logging_2260/klagomål/A 13934-2024 FSC-klagomål.docx", "A 13934-2024")</f>
        <v/>
      </c>
      <c r="W189">
        <f>HYPERLINK("https://klasma.github.io/Logging_2260/klagomålsmail/A 13934-2024 FSC-klagomål mail.docx", "A 13934-2024")</f>
        <v/>
      </c>
      <c r="X189">
        <f>HYPERLINK("https://klasma.github.io/Logging_2260/tillsyn/A 13934-2024 tillsynsbegäran.docx", "A 13934-2024")</f>
        <v/>
      </c>
      <c r="Y189">
        <f>HYPERLINK("https://klasma.github.io/Logging_2260/tillsynsmail/A 13934-2024 tillsynsbegäran mail.docx", "A 13934-2024")</f>
        <v/>
      </c>
    </row>
    <row r="190" ht="15" customHeight="1">
      <c r="A190" t="inlineStr">
        <is>
          <t>A 31544-2024</t>
        </is>
      </c>
      <c r="B190" s="1" t="n">
        <v>45505</v>
      </c>
      <c r="C190" s="1" t="n">
        <v>46029</v>
      </c>
      <c r="D190" t="inlineStr">
        <is>
          <t>VÄSTERNORRLANDS LÄN</t>
        </is>
      </c>
      <c r="E190" t="inlineStr">
        <is>
          <t>ÅNGE</t>
        </is>
      </c>
      <c r="F190" t="inlineStr">
        <is>
          <t>SCA</t>
        </is>
      </c>
      <c r="G190" t="n">
        <v>3.5</v>
      </c>
      <c r="H190" t="n">
        <v>0</v>
      </c>
      <c r="I190" t="n">
        <v>0</v>
      </c>
      <c r="J190" t="n">
        <v>1</v>
      </c>
      <c r="K190" t="n">
        <v>0</v>
      </c>
      <c r="L190" t="n">
        <v>0</v>
      </c>
      <c r="M190" t="n">
        <v>0</v>
      </c>
      <c r="N190" t="n">
        <v>0</v>
      </c>
      <c r="O190" t="n">
        <v>1</v>
      </c>
      <c r="P190" t="n">
        <v>0</v>
      </c>
      <c r="Q190" t="n">
        <v>1</v>
      </c>
      <c r="R190" s="2" t="inlineStr">
        <is>
          <t>Granticka</t>
        </is>
      </c>
      <c r="S190">
        <f>HYPERLINK("https://klasma.github.io/Logging_2260/artfynd/A 31544-2024 artfynd.xlsx", "A 31544-2024")</f>
        <v/>
      </c>
      <c r="T190">
        <f>HYPERLINK("https://klasma.github.io/Logging_2260/kartor/A 31544-2024 karta.png", "A 31544-2024")</f>
        <v/>
      </c>
      <c r="V190">
        <f>HYPERLINK("https://klasma.github.io/Logging_2260/klagomål/A 31544-2024 FSC-klagomål.docx", "A 31544-2024")</f>
        <v/>
      </c>
      <c r="W190">
        <f>HYPERLINK("https://klasma.github.io/Logging_2260/klagomålsmail/A 31544-2024 FSC-klagomål mail.docx", "A 31544-2024")</f>
        <v/>
      </c>
      <c r="X190">
        <f>HYPERLINK("https://klasma.github.io/Logging_2260/tillsyn/A 31544-2024 tillsynsbegäran.docx", "A 31544-2024")</f>
        <v/>
      </c>
      <c r="Y190">
        <f>HYPERLINK("https://klasma.github.io/Logging_2260/tillsynsmail/A 31544-2024 tillsynsbegäran mail.docx", "A 31544-2024")</f>
        <v/>
      </c>
    </row>
    <row r="191" ht="15" customHeight="1">
      <c r="A191" t="inlineStr">
        <is>
          <t>A 54386-2024</t>
        </is>
      </c>
      <c r="B191" s="1" t="n">
        <v>45617.44822916666</v>
      </c>
      <c r="C191" s="1" t="n">
        <v>46029</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Reliktbock</t>
        </is>
      </c>
      <c r="S191">
        <f>HYPERLINK("https://klasma.github.io/Logging_2260/artfynd/A 54386-2024 artfynd.xlsx", "A 54386-2024")</f>
        <v/>
      </c>
      <c r="T191">
        <f>HYPERLINK("https://klasma.github.io/Logging_2260/kartor/A 54386-2024 karta.png", "A 54386-2024")</f>
        <v/>
      </c>
      <c r="V191">
        <f>HYPERLINK("https://klasma.github.io/Logging_2260/klagomål/A 54386-2024 FSC-klagomål.docx", "A 54386-2024")</f>
        <v/>
      </c>
      <c r="W191">
        <f>HYPERLINK("https://klasma.github.io/Logging_2260/klagomålsmail/A 54386-2024 FSC-klagomål mail.docx", "A 54386-2024")</f>
        <v/>
      </c>
      <c r="X191">
        <f>HYPERLINK("https://klasma.github.io/Logging_2260/tillsyn/A 54386-2024 tillsynsbegäran.docx", "A 54386-2024")</f>
        <v/>
      </c>
      <c r="Y191">
        <f>HYPERLINK("https://klasma.github.io/Logging_2260/tillsynsmail/A 54386-2024 tillsynsbegäran mail.docx", "A 54386-2024")</f>
        <v/>
      </c>
    </row>
    <row r="192" ht="15" customHeight="1">
      <c r="A192" t="inlineStr">
        <is>
          <t>A 37914-2024</t>
        </is>
      </c>
      <c r="B192" s="1" t="n">
        <v>45544</v>
      </c>
      <c r="C192" s="1" t="n">
        <v>46029</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27025-2025</t>
        </is>
      </c>
      <c r="B193" s="1" t="n">
        <v>45811</v>
      </c>
      <c r="C193" s="1" t="n">
        <v>46029</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42524-2025</t>
        </is>
      </c>
      <c r="B194" s="1" t="n">
        <v>45905.55262731481</v>
      </c>
      <c r="C194" s="1" t="n">
        <v>46029</v>
      </c>
      <c r="D194" t="inlineStr">
        <is>
          <t>VÄSTERNORRLANDS LÄN</t>
        </is>
      </c>
      <c r="E194" t="inlineStr">
        <is>
          <t>ÅNGE</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HYPERLINK("https://klasma.github.io/Logging_2260/artfynd/A 42524-2025 artfynd.xlsx", "A 42524-2025")</f>
        <v/>
      </c>
      <c r="T194">
        <f>HYPERLINK("https://klasma.github.io/Logging_2260/kartor/A 42524-2025 karta.png", "A 42524-2025")</f>
        <v/>
      </c>
      <c r="V194">
        <f>HYPERLINK("https://klasma.github.io/Logging_2260/klagomål/A 42524-2025 FSC-klagomål.docx", "A 42524-2025")</f>
        <v/>
      </c>
      <c r="W194">
        <f>HYPERLINK("https://klasma.github.io/Logging_2260/klagomålsmail/A 42524-2025 FSC-klagomål mail.docx", "A 42524-2025")</f>
        <v/>
      </c>
      <c r="X194">
        <f>HYPERLINK("https://klasma.github.io/Logging_2260/tillsyn/A 42524-2025 tillsynsbegäran.docx", "A 42524-2025")</f>
        <v/>
      </c>
      <c r="Y194">
        <f>HYPERLINK("https://klasma.github.io/Logging_2260/tillsynsmail/A 42524-2025 tillsynsbegäran mail.docx", "A 42524-2025")</f>
        <v/>
      </c>
    </row>
    <row r="195" ht="15" customHeight="1">
      <c r="A195" t="inlineStr">
        <is>
          <t>A 35648-2025</t>
        </is>
      </c>
      <c r="B195" s="1" t="n">
        <v>45859.51670138889</v>
      </c>
      <c r="C195" s="1" t="n">
        <v>46029</v>
      </c>
      <c r="D195" t="inlineStr">
        <is>
          <t>VÄSTERNORRLANDS LÄN</t>
        </is>
      </c>
      <c r="E195" t="inlineStr">
        <is>
          <t>ÅNGE</t>
        </is>
      </c>
      <c r="F195" t="inlineStr">
        <is>
          <t>Sveaskog</t>
        </is>
      </c>
      <c r="G195" t="n">
        <v>9.1</v>
      </c>
      <c r="H195" t="n">
        <v>0</v>
      </c>
      <c r="I195" t="n">
        <v>0</v>
      </c>
      <c r="J195" t="n">
        <v>1</v>
      </c>
      <c r="K195" t="n">
        <v>0</v>
      </c>
      <c r="L195" t="n">
        <v>0</v>
      </c>
      <c r="M195" t="n">
        <v>0</v>
      </c>
      <c r="N195" t="n">
        <v>0</v>
      </c>
      <c r="O195" t="n">
        <v>1</v>
      </c>
      <c r="P195" t="n">
        <v>0</v>
      </c>
      <c r="Q195" t="n">
        <v>1</v>
      </c>
      <c r="R195" s="2" t="inlineStr">
        <is>
          <t>Lunglav</t>
        </is>
      </c>
      <c r="S195">
        <f>HYPERLINK("https://klasma.github.io/Logging_2260/artfynd/A 35648-2025 artfynd.xlsx", "A 35648-2025")</f>
        <v/>
      </c>
      <c r="T195">
        <f>HYPERLINK("https://klasma.github.io/Logging_2260/kartor/A 35648-2025 karta.png", "A 35648-2025")</f>
        <v/>
      </c>
      <c r="V195">
        <f>HYPERLINK("https://klasma.github.io/Logging_2260/klagomål/A 35648-2025 FSC-klagomål.docx", "A 35648-2025")</f>
        <v/>
      </c>
      <c r="W195">
        <f>HYPERLINK("https://klasma.github.io/Logging_2260/klagomålsmail/A 35648-2025 FSC-klagomål mail.docx", "A 35648-2025")</f>
        <v/>
      </c>
      <c r="X195">
        <f>HYPERLINK("https://klasma.github.io/Logging_2260/tillsyn/A 35648-2025 tillsynsbegäran.docx", "A 35648-2025")</f>
        <v/>
      </c>
      <c r="Y195">
        <f>HYPERLINK("https://klasma.github.io/Logging_2260/tillsynsmail/A 35648-2025 tillsynsbegäran mail.docx", "A 35648-2025")</f>
        <v/>
      </c>
    </row>
    <row r="196" ht="15" customHeight="1">
      <c r="A196" t="inlineStr">
        <is>
          <t>A 35839-2025</t>
        </is>
      </c>
      <c r="B196" s="1" t="n">
        <v>45861.53943287037</v>
      </c>
      <c r="C196" s="1" t="n">
        <v>46029</v>
      </c>
      <c r="D196" t="inlineStr">
        <is>
          <t>VÄSTERNORRLANDS LÄN</t>
        </is>
      </c>
      <c r="E196" t="inlineStr">
        <is>
          <t>ÅNGE</t>
        </is>
      </c>
      <c r="F196" t="inlineStr">
        <is>
          <t>Sveaskog</t>
        </is>
      </c>
      <c r="G196" t="n">
        <v>7.9</v>
      </c>
      <c r="H196" t="n">
        <v>0</v>
      </c>
      <c r="I196" t="n">
        <v>0</v>
      </c>
      <c r="J196" t="n">
        <v>1</v>
      </c>
      <c r="K196" t="n">
        <v>0</v>
      </c>
      <c r="L196" t="n">
        <v>0</v>
      </c>
      <c r="M196" t="n">
        <v>0</v>
      </c>
      <c r="N196" t="n">
        <v>0</v>
      </c>
      <c r="O196" t="n">
        <v>1</v>
      </c>
      <c r="P196" t="n">
        <v>0</v>
      </c>
      <c r="Q196" t="n">
        <v>1</v>
      </c>
      <c r="R196" s="2" t="inlineStr">
        <is>
          <t>Lunglav</t>
        </is>
      </c>
      <c r="S196">
        <f>HYPERLINK("https://klasma.github.io/Logging_2260/artfynd/A 35839-2025 artfynd.xlsx", "A 35839-2025")</f>
        <v/>
      </c>
      <c r="T196">
        <f>HYPERLINK("https://klasma.github.io/Logging_2260/kartor/A 35839-2025 karta.png", "A 35839-2025")</f>
        <v/>
      </c>
      <c r="V196">
        <f>HYPERLINK("https://klasma.github.io/Logging_2260/klagomål/A 35839-2025 FSC-klagomål.docx", "A 35839-2025")</f>
        <v/>
      </c>
      <c r="W196">
        <f>HYPERLINK("https://klasma.github.io/Logging_2260/klagomålsmail/A 35839-2025 FSC-klagomål mail.docx", "A 35839-2025")</f>
        <v/>
      </c>
      <c r="X196">
        <f>HYPERLINK("https://klasma.github.io/Logging_2260/tillsyn/A 35839-2025 tillsynsbegäran.docx", "A 35839-2025")</f>
        <v/>
      </c>
      <c r="Y196">
        <f>HYPERLINK("https://klasma.github.io/Logging_2260/tillsynsmail/A 35839-2025 tillsynsbegäran mail.docx", "A 35839-2025")</f>
        <v/>
      </c>
    </row>
    <row r="197" ht="15" customHeight="1">
      <c r="A197" t="inlineStr">
        <is>
          <t>A 57272-2024</t>
        </is>
      </c>
      <c r="B197" s="1" t="n">
        <v>45629.57380787037</v>
      </c>
      <c r="C197" s="1" t="n">
        <v>46029</v>
      </c>
      <c r="D197" t="inlineStr">
        <is>
          <t>VÄSTERNORRLANDS LÄN</t>
        </is>
      </c>
      <c r="E197" t="inlineStr">
        <is>
          <t>ÅNGE</t>
        </is>
      </c>
      <c r="F197" t="inlineStr">
        <is>
          <t>SCA</t>
        </is>
      </c>
      <c r="G197" t="n">
        <v>5.4</v>
      </c>
      <c r="H197" t="n">
        <v>0</v>
      </c>
      <c r="I197" t="n">
        <v>0</v>
      </c>
      <c r="J197" t="n">
        <v>1</v>
      </c>
      <c r="K197" t="n">
        <v>0</v>
      </c>
      <c r="L197" t="n">
        <v>0</v>
      </c>
      <c r="M197" t="n">
        <v>0</v>
      </c>
      <c r="N197" t="n">
        <v>0</v>
      </c>
      <c r="O197" t="n">
        <v>1</v>
      </c>
      <c r="P197" t="n">
        <v>0</v>
      </c>
      <c r="Q197" t="n">
        <v>1</v>
      </c>
      <c r="R197" s="2" t="inlineStr">
        <is>
          <t>Orange taggsvamp</t>
        </is>
      </c>
      <c r="S197">
        <f>HYPERLINK("https://klasma.github.io/Logging_2260/artfynd/A 57272-2024 artfynd.xlsx", "A 57272-2024")</f>
        <v/>
      </c>
      <c r="T197">
        <f>HYPERLINK("https://klasma.github.io/Logging_2260/kartor/A 57272-2024 karta.png", "A 57272-2024")</f>
        <v/>
      </c>
      <c r="V197">
        <f>HYPERLINK("https://klasma.github.io/Logging_2260/klagomål/A 57272-2024 FSC-klagomål.docx", "A 57272-2024")</f>
        <v/>
      </c>
      <c r="W197">
        <f>HYPERLINK("https://klasma.github.io/Logging_2260/klagomålsmail/A 57272-2024 FSC-klagomål mail.docx", "A 57272-2024")</f>
        <v/>
      </c>
      <c r="X197">
        <f>HYPERLINK("https://klasma.github.io/Logging_2260/tillsyn/A 57272-2024 tillsynsbegäran.docx", "A 57272-2024")</f>
        <v/>
      </c>
      <c r="Y197">
        <f>HYPERLINK("https://klasma.github.io/Logging_2260/tillsynsmail/A 57272-2024 tillsynsbegäran mail.docx", "A 57272-2024")</f>
        <v/>
      </c>
    </row>
    <row r="198" ht="15" customHeight="1">
      <c r="A198" t="inlineStr">
        <is>
          <t>A 43590-2025</t>
        </is>
      </c>
      <c r="B198" s="1" t="n">
        <v>45911.65665509259</v>
      </c>
      <c r="C198" s="1" t="n">
        <v>46029</v>
      </c>
      <c r="D198" t="inlineStr">
        <is>
          <t>VÄSTERNORRLANDS LÄN</t>
        </is>
      </c>
      <c r="E198" t="inlineStr">
        <is>
          <t>ÅNGE</t>
        </is>
      </c>
      <c r="F198" t="inlineStr">
        <is>
          <t>SCA</t>
        </is>
      </c>
      <c r="G198" t="n">
        <v>2.9</v>
      </c>
      <c r="H198" t="n">
        <v>0</v>
      </c>
      <c r="I198" t="n">
        <v>0</v>
      </c>
      <c r="J198" t="n">
        <v>1</v>
      </c>
      <c r="K198" t="n">
        <v>0</v>
      </c>
      <c r="L198" t="n">
        <v>0</v>
      </c>
      <c r="M198" t="n">
        <v>0</v>
      </c>
      <c r="N198" t="n">
        <v>0</v>
      </c>
      <c r="O198" t="n">
        <v>1</v>
      </c>
      <c r="P198" t="n">
        <v>0</v>
      </c>
      <c r="Q198" t="n">
        <v>1</v>
      </c>
      <c r="R198" s="2" t="inlineStr">
        <is>
          <t>Granticka</t>
        </is>
      </c>
      <c r="S198">
        <f>HYPERLINK("https://klasma.github.io/Logging_2260/artfynd/A 43590-2025 artfynd.xlsx", "A 43590-2025")</f>
        <v/>
      </c>
      <c r="T198">
        <f>HYPERLINK("https://klasma.github.io/Logging_2260/kartor/A 43590-2025 karta.png", "A 43590-2025")</f>
        <v/>
      </c>
      <c r="V198">
        <f>HYPERLINK("https://klasma.github.io/Logging_2260/klagomål/A 43590-2025 FSC-klagomål.docx", "A 43590-2025")</f>
        <v/>
      </c>
      <c r="W198">
        <f>HYPERLINK("https://klasma.github.io/Logging_2260/klagomålsmail/A 43590-2025 FSC-klagomål mail.docx", "A 43590-2025")</f>
        <v/>
      </c>
      <c r="X198">
        <f>HYPERLINK("https://klasma.github.io/Logging_2260/tillsyn/A 43590-2025 tillsynsbegäran.docx", "A 43590-2025")</f>
        <v/>
      </c>
      <c r="Y198">
        <f>HYPERLINK("https://klasma.github.io/Logging_2260/tillsynsmail/A 43590-2025 tillsynsbegäran mail.docx", "A 43590-2025")</f>
        <v/>
      </c>
    </row>
    <row r="199" ht="15" customHeight="1">
      <c r="A199" t="inlineStr">
        <is>
          <t>A 37432-2025</t>
        </is>
      </c>
      <c r="B199" s="1" t="n">
        <v>45877.51106481482</v>
      </c>
      <c r="C199" s="1" t="n">
        <v>46029</v>
      </c>
      <c r="D199" t="inlineStr">
        <is>
          <t>VÄSTERNORRLANDS LÄN</t>
        </is>
      </c>
      <c r="E199" t="inlineStr">
        <is>
          <t>ÅNGE</t>
        </is>
      </c>
      <c r="F199" t="inlineStr">
        <is>
          <t>SCA</t>
        </is>
      </c>
      <c r="G199" t="n">
        <v>1.2</v>
      </c>
      <c r="H199" t="n">
        <v>1</v>
      </c>
      <c r="I199" t="n">
        <v>1</v>
      </c>
      <c r="J199" t="n">
        <v>0</v>
      </c>
      <c r="K199" t="n">
        <v>0</v>
      </c>
      <c r="L199" t="n">
        <v>0</v>
      </c>
      <c r="M199" t="n">
        <v>0</v>
      </c>
      <c r="N199" t="n">
        <v>0</v>
      </c>
      <c r="O199" t="n">
        <v>0</v>
      </c>
      <c r="P199" t="n">
        <v>0</v>
      </c>
      <c r="Q199" t="n">
        <v>1</v>
      </c>
      <c r="R199" s="2" t="inlineStr">
        <is>
          <t>Spindelblomster</t>
        </is>
      </c>
      <c r="S199">
        <f>HYPERLINK("https://klasma.github.io/Logging_2260/artfynd/A 37432-2025 artfynd.xlsx", "A 37432-2025")</f>
        <v/>
      </c>
      <c r="T199">
        <f>HYPERLINK("https://klasma.github.io/Logging_2260/kartor/A 37432-2025 karta.png", "A 37432-2025")</f>
        <v/>
      </c>
      <c r="V199">
        <f>HYPERLINK("https://klasma.github.io/Logging_2260/klagomål/A 37432-2025 FSC-klagomål.docx", "A 37432-2025")</f>
        <v/>
      </c>
      <c r="W199">
        <f>HYPERLINK("https://klasma.github.io/Logging_2260/klagomålsmail/A 37432-2025 FSC-klagomål mail.docx", "A 37432-2025")</f>
        <v/>
      </c>
      <c r="X199">
        <f>HYPERLINK("https://klasma.github.io/Logging_2260/tillsyn/A 37432-2025 tillsynsbegäran.docx", "A 37432-2025")</f>
        <v/>
      </c>
      <c r="Y199">
        <f>HYPERLINK("https://klasma.github.io/Logging_2260/tillsynsmail/A 37432-2025 tillsynsbegäran mail.docx", "A 37432-2025")</f>
        <v/>
      </c>
    </row>
    <row r="200" ht="15" customHeight="1">
      <c r="A200" t="inlineStr">
        <is>
          <t>A 1449-2025</t>
        </is>
      </c>
      <c r="B200" s="1" t="n">
        <v>45670.27537037037</v>
      </c>
      <c r="C200" s="1" t="n">
        <v>46029</v>
      </c>
      <c r="D200" t="inlineStr">
        <is>
          <t>VÄSTERNORRLANDS LÄN</t>
        </is>
      </c>
      <c r="E200" t="inlineStr">
        <is>
          <t>ÅNGE</t>
        </is>
      </c>
      <c r="G200" t="n">
        <v>6.3</v>
      </c>
      <c r="H200" t="n">
        <v>0</v>
      </c>
      <c r="I200" t="n">
        <v>1</v>
      </c>
      <c r="J200" t="n">
        <v>0</v>
      </c>
      <c r="K200" t="n">
        <v>0</v>
      </c>
      <c r="L200" t="n">
        <v>0</v>
      </c>
      <c r="M200" t="n">
        <v>0</v>
      </c>
      <c r="N200" t="n">
        <v>0</v>
      </c>
      <c r="O200" t="n">
        <v>0</v>
      </c>
      <c r="P200" t="n">
        <v>0</v>
      </c>
      <c r="Q200" t="n">
        <v>1</v>
      </c>
      <c r="R200" s="2" t="inlineStr">
        <is>
          <t>Korallblylav</t>
        </is>
      </c>
      <c r="S200">
        <f>HYPERLINK("https://klasma.github.io/Logging_2260/artfynd/A 1449-2025 artfynd.xlsx", "A 1449-2025")</f>
        <v/>
      </c>
      <c r="T200">
        <f>HYPERLINK("https://klasma.github.io/Logging_2260/kartor/A 1449-2025 karta.png", "A 1449-2025")</f>
        <v/>
      </c>
      <c r="V200">
        <f>HYPERLINK("https://klasma.github.io/Logging_2260/klagomål/A 1449-2025 FSC-klagomål.docx", "A 1449-2025")</f>
        <v/>
      </c>
      <c r="W200">
        <f>HYPERLINK("https://klasma.github.io/Logging_2260/klagomålsmail/A 1449-2025 FSC-klagomål mail.docx", "A 1449-2025")</f>
        <v/>
      </c>
      <c r="X200">
        <f>HYPERLINK("https://klasma.github.io/Logging_2260/tillsyn/A 1449-2025 tillsynsbegäran.docx", "A 1449-2025")</f>
        <v/>
      </c>
      <c r="Y200">
        <f>HYPERLINK("https://klasma.github.io/Logging_2260/tillsynsmail/A 1449-2025 tillsynsbegäran mail.docx", "A 1449-2025")</f>
        <v/>
      </c>
    </row>
    <row r="201" ht="15" customHeight="1">
      <c r="A201" t="inlineStr">
        <is>
          <t>A 46094-2025</t>
        </is>
      </c>
      <c r="B201" s="1" t="n">
        <v>45924</v>
      </c>
      <c r="C201" s="1" t="n">
        <v>46029</v>
      </c>
      <c r="D201" t="inlineStr">
        <is>
          <t>VÄSTERNORRLANDS LÄN</t>
        </is>
      </c>
      <c r="E201" t="inlineStr">
        <is>
          <t>ÅNGE</t>
        </is>
      </c>
      <c r="F201" t="inlineStr">
        <is>
          <t>SCA</t>
        </is>
      </c>
      <c r="G201" t="n">
        <v>1.1</v>
      </c>
      <c r="H201" t="n">
        <v>1</v>
      </c>
      <c r="I201" t="n">
        <v>0</v>
      </c>
      <c r="J201" t="n">
        <v>1</v>
      </c>
      <c r="K201" t="n">
        <v>0</v>
      </c>
      <c r="L201" t="n">
        <v>0</v>
      </c>
      <c r="M201" t="n">
        <v>0</v>
      </c>
      <c r="N201" t="n">
        <v>0</v>
      </c>
      <c r="O201" t="n">
        <v>1</v>
      </c>
      <c r="P201" t="n">
        <v>0</v>
      </c>
      <c r="Q201" t="n">
        <v>1</v>
      </c>
      <c r="R201" s="2" t="inlineStr">
        <is>
          <t>Utter</t>
        </is>
      </c>
      <c r="S201">
        <f>HYPERLINK("https://klasma.github.io/Logging_2260/artfynd/A 46094-2025 artfynd.xlsx", "A 46094-2025")</f>
        <v/>
      </c>
      <c r="T201">
        <f>HYPERLINK("https://klasma.github.io/Logging_2260/kartor/A 46094-2025 karta.png", "A 46094-2025")</f>
        <v/>
      </c>
      <c r="V201">
        <f>HYPERLINK("https://klasma.github.io/Logging_2260/klagomål/A 46094-2025 FSC-klagomål.docx", "A 46094-2025")</f>
        <v/>
      </c>
      <c r="W201">
        <f>HYPERLINK("https://klasma.github.io/Logging_2260/klagomålsmail/A 46094-2025 FSC-klagomål mail.docx", "A 46094-2025")</f>
        <v/>
      </c>
      <c r="X201">
        <f>HYPERLINK("https://klasma.github.io/Logging_2260/tillsyn/A 46094-2025 tillsynsbegäran.docx", "A 46094-2025")</f>
        <v/>
      </c>
      <c r="Y201">
        <f>HYPERLINK("https://klasma.github.io/Logging_2260/tillsynsmail/A 46094-2025 tillsynsbegäran mail.docx", "A 46094-2025")</f>
        <v/>
      </c>
    </row>
    <row r="202" ht="15" customHeight="1">
      <c r="A202" t="inlineStr">
        <is>
          <t>A 47857-2025</t>
        </is>
      </c>
      <c r="B202" s="1" t="n">
        <v>45932.4068287037</v>
      </c>
      <c r="C202" s="1" t="n">
        <v>46029</v>
      </c>
      <c r="D202" t="inlineStr">
        <is>
          <t>VÄSTERNORRLANDS LÄN</t>
        </is>
      </c>
      <c r="E202" t="inlineStr">
        <is>
          <t>ÅNGE</t>
        </is>
      </c>
      <c r="G202" t="n">
        <v>2.5</v>
      </c>
      <c r="H202" t="n">
        <v>1</v>
      </c>
      <c r="I202" t="n">
        <v>0</v>
      </c>
      <c r="J202" t="n">
        <v>1</v>
      </c>
      <c r="K202" t="n">
        <v>0</v>
      </c>
      <c r="L202" t="n">
        <v>0</v>
      </c>
      <c r="M202" t="n">
        <v>0</v>
      </c>
      <c r="N202" t="n">
        <v>0</v>
      </c>
      <c r="O202" t="n">
        <v>1</v>
      </c>
      <c r="P202" t="n">
        <v>0</v>
      </c>
      <c r="Q202" t="n">
        <v>1</v>
      </c>
      <c r="R202" s="2" t="inlineStr">
        <is>
          <t>Kungsörn</t>
        </is>
      </c>
      <c r="S202">
        <f>HYPERLINK("https://klasma.github.io/Logging_2260/artfynd/A 47857-2025 artfynd.xlsx", "A 47857-2025")</f>
        <v/>
      </c>
      <c r="T202">
        <f>HYPERLINK("https://klasma.github.io/Logging_2260/kartor/A 47857-2025 karta.png", "A 47857-2025")</f>
        <v/>
      </c>
      <c r="V202">
        <f>HYPERLINK("https://klasma.github.io/Logging_2260/klagomål/A 47857-2025 FSC-klagomål.docx", "A 47857-2025")</f>
        <v/>
      </c>
      <c r="W202">
        <f>HYPERLINK("https://klasma.github.io/Logging_2260/klagomålsmail/A 47857-2025 FSC-klagomål mail.docx", "A 47857-2025")</f>
        <v/>
      </c>
      <c r="X202">
        <f>HYPERLINK("https://klasma.github.io/Logging_2260/tillsyn/A 47857-2025 tillsynsbegäran.docx", "A 47857-2025")</f>
        <v/>
      </c>
      <c r="Y202">
        <f>HYPERLINK("https://klasma.github.io/Logging_2260/tillsynsmail/A 47857-2025 tillsynsbegäran mail.docx", "A 47857-2025")</f>
        <v/>
      </c>
      <c r="Z202">
        <f>HYPERLINK("https://klasma.github.io/Logging_2260/fåglar/A 47857-2025 prioriterade fågelarter.docx", "A 47857-2025")</f>
        <v/>
      </c>
    </row>
    <row r="203" ht="15" customHeight="1">
      <c r="A203" t="inlineStr">
        <is>
          <t>A 29327-2023</t>
        </is>
      </c>
      <c r="B203" s="1" t="n">
        <v>45105.94349537037</v>
      </c>
      <c r="C203" s="1" t="n">
        <v>46029</v>
      </c>
      <c r="D203" t="inlineStr">
        <is>
          <t>VÄSTERNORRLANDS LÄN</t>
        </is>
      </c>
      <c r="E203" t="inlineStr">
        <is>
          <t>ÅNGE</t>
        </is>
      </c>
      <c r="G203" t="n">
        <v>7.8</v>
      </c>
      <c r="H203" t="n">
        <v>0</v>
      </c>
      <c r="I203" t="n">
        <v>0</v>
      </c>
      <c r="J203" t="n">
        <v>1</v>
      </c>
      <c r="K203" t="n">
        <v>0</v>
      </c>
      <c r="L203" t="n">
        <v>0</v>
      </c>
      <c r="M203" t="n">
        <v>0</v>
      </c>
      <c r="N203" t="n">
        <v>0</v>
      </c>
      <c r="O203" t="n">
        <v>1</v>
      </c>
      <c r="P203" t="n">
        <v>0</v>
      </c>
      <c r="Q203" t="n">
        <v>1</v>
      </c>
      <c r="R203" s="2" t="inlineStr">
        <is>
          <t>Mörk kolflarnlav</t>
        </is>
      </c>
      <c r="S203">
        <f>HYPERLINK("https://klasma.github.io/Logging_2260/artfynd/A 29327-2023 artfynd.xlsx", "A 29327-2023")</f>
        <v/>
      </c>
      <c r="T203">
        <f>HYPERLINK("https://klasma.github.io/Logging_2260/kartor/A 29327-2023 karta.png", "A 29327-2023")</f>
        <v/>
      </c>
      <c r="V203">
        <f>HYPERLINK("https://klasma.github.io/Logging_2260/klagomål/A 29327-2023 FSC-klagomål.docx", "A 29327-2023")</f>
        <v/>
      </c>
      <c r="W203">
        <f>HYPERLINK("https://klasma.github.io/Logging_2260/klagomålsmail/A 29327-2023 FSC-klagomål mail.docx", "A 29327-2023")</f>
        <v/>
      </c>
      <c r="X203">
        <f>HYPERLINK("https://klasma.github.io/Logging_2260/tillsyn/A 29327-2023 tillsynsbegäran.docx", "A 29327-2023")</f>
        <v/>
      </c>
      <c r="Y203">
        <f>HYPERLINK("https://klasma.github.io/Logging_2260/tillsynsmail/A 29327-2023 tillsynsbegäran mail.docx", "A 29327-2023")</f>
        <v/>
      </c>
    </row>
    <row r="204" ht="15" customHeight="1">
      <c r="A204" t="inlineStr">
        <is>
          <t>A 48237-2025</t>
        </is>
      </c>
      <c r="B204" s="1" t="n">
        <v>45933</v>
      </c>
      <c r="C204" s="1" t="n">
        <v>46029</v>
      </c>
      <c r="D204" t="inlineStr">
        <is>
          <t>VÄSTERNORRLANDS LÄN</t>
        </is>
      </c>
      <c r="E204" t="inlineStr">
        <is>
          <t>ÅNGE</t>
        </is>
      </c>
      <c r="F204" t="inlineStr">
        <is>
          <t>SCA</t>
        </is>
      </c>
      <c r="G204" t="n">
        <v>1.9</v>
      </c>
      <c r="H204" t="n">
        <v>1</v>
      </c>
      <c r="I204" t="n">
        <v>0</v>
      </c>
      <c r="J204" t="n">
        <v>0</v>
      </c>
      <c r="K204" t="n">
        <v>1</v>
      </c>
      <c r="L204" t="n">
        <v>0</v>
      </c>
      <c r="M204" t="n">
        <v>0</v>
      </c>
      <c r="N204" t="n">
        <v>0</v>
      </c>
      <c r="O204" t="n">
        <v>1</v>
      </c>
      <c r="P204" t="n">
        <v>1</v>
      </c>
      <c r="Q204" t="n">
        <v>1</v>
      </c>
      <c r="R204" s="2" t="inlineStr">
        <is>
          <t>Knärot</t>
        </is>
      </c>
      <c r="S204">
        <f>HYPERLINK("https://klasma.github.io/Logging_2260/artfynd/A 48237-2025 artfynd.xlsx", "A 48237-2025")</f>
        <v/>
      </c>
      <c r="T204">
        <f>HYPERLINK("https://klasma.github.io/Logging_2260/kartor/A 48237-2025 karta.png", "A 48237-2025")</f>
        <v/>
      </c>
      <c r="U204">
        <f>HYPERLINK("https://klasma.github.io/Logging_2260/knärot/A 48237-2025 karta knärot.png", "A 48237-2025")</f>
        <v/>
      </c>
      <c r="V204">
        <f>HYPERLINK("https://klasma.github.io/Logging_2260/klagomål/A 48237-2025 FSC-klagomål.docx", "A 48237-2025")</f>
        <v/>
      </c>
      <c r="W204">
        <f>HYPERLINK("https://klasma.github.io/Logging_2260/klagomålsmail/A 48237-2025 FSC-klagomål mail.docx", "A 48237-2025")</f>
        <v/>
      </c>
      <c r="X204">
        <f>HYPERLINK("https://klasma.github.io/Logging_2260/tillsyn/A 48237-2025 tillsynsbegäran.docx", "A 48237-2025")</f>
        <v/>
      </c>
      <c r="Y204">
        <f>HYPERLINK("https://klasma.github.io/Logging_2260/tillsynsmail/A 48237-2025 tillsynsbegäran mail.docx", "A 48237-2025")</f>
        <v/>
      </c>
    </row>
    <row r="205" ht="15" customHeight="1">
      <c r="A205" t="inlineStr">
        <is>
          <t>A 30774-2024</t>
        </is>
      </c>
      <c r="B205" s="1" t="n">
        <v>45496.949375</v>
      </c>
      <c r="C205" s="1" t="n">
        <v>46029</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46029</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46029</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46029</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71366-2021</t>
        </is>
      </c>
      <c r="B209" s="1" t="n">
        <v>44539</v>
      </c>
      <c r="C209" s="1" t="n">
        <v>46029</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61076-2025</t>
        </is>
      </c>
      <c r="B210" s="1" t="n">
        <v>46000.39689814814</v>
      </c>
      <c r="C210" s="1" t="n">
        <v>46029</v>
      </c>
      <c r="D210" t="inlineStr">
        <is>
          <t>VÄSTERNORRLANDS LÄN</t>
        </is>
      </c>
      <c r="E210" t="inlineStr">
        <is>
          <t>ÅNGE</t>
        </is>
      </c>
      <c r="F210" t="inlineStr">
        <is>
          <t>Holmen skog AB</t>
        </is>
      </c>
      <c r="G210" t="n">
        <v>2.7</v>
      </c>
      <c r="H210" t="n">
        <v>0</v>
      </c>
      <c r="I210" t="n">
        <v>1</v>
      </c>
      <c r="J210" t="n">
        <v>0</v>
      </c>
      <c r="K210" t="n">
        <v>0</v>
      </c>
      <c r="L210" t="n">
        <v>0</v>
      </c>
      <c r="M210" t="n">
        <v>0</v>
      </c>
      <c r="N210" t="n">
        <v>0</v>
      </c>
      <c r="O210" t="n">
        <v>0</v>
      </c>
      <c r="P210" t="n">
        <v>0</v>
      </c>
      <c r="Q210" t="n">
        <v>1</v>
      </c>
      <c r="R210" s="2" t="inlineStr">
        <is>
          <t>Stor aspticka</t>
        </is>
      </c>
      <c r="S210">
        <f>HYPERLINK("https://klasma.github.io/Logging_2260/artfynd/A 61076-2025 artfynd.xlsx", "A 61076-2025")</f>
        <v/>
      </c>
      <c r="T210">
        <f>HYPERLINK("https://klasma.github.io/Logging_2260/kartor/A 61076-2025 karta.png", "A 61076-2025")</f>
        <v/>
      </c>
      <c r="V210">
        <f>HYPERLINK("https://klasma.github.io/Logging_2260/klagomål/A 61076-2025 FSC-klagomål.docx", "A 61076-2025")</f>
        <v/>
      </c>
      <c r="W210">
        <f>HYPERLINK("https://klasma.github.io/Logging_2260/klagomålsmail/A 61076-2025 FSC-klagomål mail.docx", "A 61076-2025")</f>
        <v/>
      </c>
      <c r="X210">
        <f>HYPERLINK("https://klasma.github.io/Logging_2260/tillsyn/A 61076-2025 tillsynsbegäran.docx", "A 61076-2025")</f>
        <v/>
      </c>
      <c r="Y210">
        <f>HYPERLINK("https://klasma.github.io/Logging_2260/tillsynsmail/A 61076-2025 tillsynsbegäran mail.docx", "A 61076-2025")</f>
        <v/>
      </c>
    </row>
    <row r="211" ht="15" customHeight="1">
      <c r="A211" t="inlineStr">
        <is>
          <t>A 56091-2024</t>
        </is>
      </c>
      <c r="B211" s="1" t="n">
        <v>45624.40678240741</v>
      </c>
      <c r="C211" s="1" t="n">
        <v>46029</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53683-2025</t>
        </is>
      </c>
      <c r="B212" s="1" t="n">
        <v>45960</v>
      </c>
      <c r="C212" s="1" t="n">
        <v>46029</v>
      </c>
      <c r="D212" t="inlineStr">
        <is>
          <t>VÄSTERNORRLANDS LÄN</t>
        </is>
      </c>
      <c r="E212" t="inlineStr">
        <is>
          <t>ÅNGE</t>
        </is>
      </c>
      <c r="F212" t="inlineStr">
        <is>
          <t>SCA</t>
        </is>
      </c>
      <c r="G212" t="n">
        <v>3.6</v>
      </c>
      <c r="H212" t="n">
        <v>0</v>
      </c>
      <c r="I212" t="n">
        <v>1</v>
      </c>
      <c r="J212" t="n">
        <v>0</v>
      </c>
      <c r="K212" t="n">
        <v>0</v>
      </c>
      <c r="L212" t="n">
        <v>0</v>
      </c>
      <c r="M212" t="n">
        <v>0</v>
      </c>
      <c r="N212" t="n">
        <v>0</v>
      </c>
      <c r="O212" t="n">
        <v>0</v>
      </c>
      <c r="P212" t="n">
        <v>0</v>
      </c>
      <c r="Q212" t="n">
        <v>1</v>
      </c>
      <c r="R212" s="2" t="inlineStr">
        <is>
          <t>Ögonpyrola</t>
        </is>
      </c>
      <c r="S212">
        <f>HYPERLINK("https://klasma.github.io/Logging_2260/artfynd/A 53683-2025 artfynd.xlsx", "A 53683-2025")</f>
        <v/>
      </c>
      <c r="T212">
        <f>HYPERLINK("https://klasma.github.io/Logging_2260/kartor/A 53683-2025 karta.png", "A 53683-2025")</f>
        <v/>
      </c>
      <c r="U212">
        <f>HYPERLINK("https://klasma.github.io/Logging_2260/knärot/A 53683-2025 karta knärot.png", "A 53683-2025")</f>
        <v/>
      </c>
      <c r="V212">
        <f>HYPERLINK("https://klasma.github.io/Logging_2260/klagomål/A 53683-2025 FSC-klagomål.docx", "A 53683-2025")</f>
        <v/>
      </c>
      <c r="W212">
        <f>HYPERLINK("https://klasma.github.io/Logging_2260/klagomålsmail/A 53683-2025 FSC-klagomål mail.docx", "A 53683-2025")</f>
        <v/>
      </c>
      <c r="X212">
        <f>HYPERLINK("https://klasma.github.io/Logging_2260/tillsyn/A 53683-2025 tillsynsbegäran.docx", "A 53683-2025")</f>
        <v/>
      </c>
      <c r="Y212">
        <f>HYPERLINK("https://klasma.github.io/Logging_2260/tillsynsmail/A 53683-2025 tillsynsbegäran mail.docx", "A 53683-2025")</f>
        <v/>
      </c>
    </row>
    <row r="213" ht="15" customHeight="1">
      <c r="A213" t="inlineStr">
        <is>
          <t>A 31878-2024</t>
        </is>
      </c>
      <c r="B213" s="1" t="n">
        <v>45509</v>
      </c>
      <c r="C213" s="1" t="n">
        <v>46029</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31510-2024</t>
        </is>
      </c>
      <c r="B214" s="1" t="n">
        <v>45505</v>
      </c>
      <c r="C214" s="1" t="n">
        <v>46029</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329-2026</t>
        </is>
      </c>
      <c r="B215" s="1" t="n">
        <v>46027.59431712963</v>
      </c>
      <c r="C215" s="1" t="n">
        <v>46029</v>
      </c>
      <c r="D215" t="inlineStr">
        <is>
          <t>VÄSTERNORRLANDS LÄN</t>
        </is>
      </c>
      <c r="E215" t="inlineStr">
        <is>
          <t>ÅNGE</t>
        </is>
      </c>
      <c r="F215" t="inlineStr">
        <is>
          <t>SCA</t>
        </is>
      </c>
      <c r="G215" t="n">
        <v>3.3</v>
      </c>
      <c r="H215" t="n">
        <v>1</v>
      </c>
      <c r="I215" t="n">
        <v>0</v>
      </c>
      <c r="J215" t="n">
        <v>0</v>
      </c>
      <c r="K215" t="n">
        <v>0</v>
      </c>
      <c r="L215" t="n">
        <v>0</v>
      </c>
      <c r="M215" t="n">
        <v>0</v>
      </c>
      <c r="N215" t="n">
        <v>0</v>
      </c>
      <c r="O215" t="n">
        <v>0</v>
      </c>
      <c r="P215" t="n">
        <v>0</v>
      </c>
      <c r="Q215" t="n">
        <v>1</v>
      </c>
      <c r="R215" s="2" t="inlineStr">
        <is>
          <t>Revlummer</t>
        </is>
      </c>
      <c r="S215">
        <f>HYPERLINK("https://klasma.github.io/Logging_2260/artfynd/A 329-2026 artfynd.xlsx", "A 329-2026")</f>
        <v/>
      </c>
      <c r="T215">
        <f>HYPERLINK("https://klasma.github.io/Logging_2260/kartor/A 329-2026 karta.png", "A 329-2026")</f>
        <v/>
      </c>
      <c r="V215">
        <f>HYPERLINK("https://klasma.github.io/Logging_2260/klagomål/A 329-2026 FSC-klagomål.docx", "A 329-2026")</f>
        <v/>
      </c>
      <c r="W215">
        <f>HYPERLINK("https://klasma.github.io/Logging_2260/klagomålsmail/A 329-2026 FSC-klagomål mail.docx", "A 329-2026")</f>
        <v/>
      </c>
      <c r="X215">
        <f>HYPERLINK("https://klasma.github.io/Logging_2260/tillsyn/A 329-2026 tillsynsbegäran.docx", "A 329-2026")</f>
        <v/>
      </c>
      <c r="Y215">
        <f>HYPERLINK("https://klasma.github.io/Logging_2260/tillsynsmail/A 329-2026 tillsynsbegäran mail.docx", "A 329-2026")</f>
        <v/>
      </c>
    </row>
    <row r="216" ht="15" customHeight="1">
      <c r="A216" t="inlineStr">
        <is>
          <t>A 58534-2025</t>
        </is>
      </c>
      <c r="B216" s="1" t="n">
        <v>45985.80396990741</v>
      </c>
      <c r="C216" s="1" t="n">
        <v>46029</v>
      </c>
      <c r="D216" t="inlineStr">
        <is>
          <t>VÄSTERNORRLANDS LÄN</t>
        </is>
      </c>
      <c r="E216" t="inlineStr">
        <is>
          <t>ÅNGE</t>
        </is>
      </c>
      <c r="F216" t="inlineStr">
        <is>
          <t>Holmen skog AB</t>
        </is>
      </c>
      <c r="G216" t="n">
        <v>2.2</v>
      </c>
      <c r="H216" t="n">
        <v>0</v>
      </c>
      <c r="I216" t="n">
        <v>0</v>
      </c>
      <c r="J216" t="n">
        <v>1</v>
      </c>
      <c r="K216" t="n">
        <v>0</v>
      </c>
      <c r="L216" t="n">
        <v>0</v>
      </c>
      <c r="M216" t="n">
        <v>0</v>
      </c>
      <c r="N216" t="n">
        <v>0</v>
      </c>
      <c r="O216" t="n">
        <v>1</v>
      </c>
      <c r="P216" t="n">
        <v>0</v>
      </c>
      <c r="Q216" t="n">
        <v>1</v>
      </c>
      <c r="R216" s="2" t="inlineStr">
        <is>
          <t>Ullticka</t>
        </is>
      </c>
      <c r="S216">
        <f>HYPERLINK("https://klasma.github.io/Logging_2260/artfynd/A 58534-2025 artfynd.xlsx", "A 58534-2025")</f>
        <v/>
      </c>
      <c r="T216">
        <f>HYPERLINK("https://klasma.github.io/Logging_2260/kartor/A 58534-2025 karta.png", "A 58534-2025")</f>
        <v/>
      </c>
      <c r="V216">
        <f>HYPERLINK("https://klasma.github.io/Logging_2260/klagomål/A 58534-2025 FSC-klagomål.docx", "A 58534-2025")</f>
        <v/>
      </c>
      <c r="W216">
        <f>HYPERLINK("https://klasma.github.io/Logging_2260/klagomålsmail/A 58534-2025 FSC-klagomål mail.docx", "A 58534-2025")</f>
        <v/>
      </c>
      <c r="X216">
        <f>HYPERLINK("https://klasma.github.io/Logging_2260/tillsyn/A 58534-2025 tillsynsbegäran.docx", "A 58534-2025")</f>
        <v/>
      </c>
      <c r="Y216">
        <f>HYPERLINK("https://klasma.github.io/Logging_2260/tillsynsmail/A 58534-2025 tillsynsbegäran mail.docx", "A 58534-2025")</f>
        <v/>
      </c>
    </row>
    <row r="217" ht="15" customHeight="1">
      <c r="A217" t="inlineStr">
        <is>
          <t>A 55015-2023</t>
        </is>
      </c>
      <c r="B217" s="1" t="n">
        <v>45237.32185185186</v>
      </c>
      <c r="C217" s="1" t="n">
        <v>46029</v>
      </c>
      <c r="D217" t="inlineStr">
        <is>
          <t>VÄSTERNORRLANDS LÄN</t>
        </is>
      </c>
      <c r="E217" t="inlineStr">
        <is>
          <t>ÅNGE</t>
        </is>
      </c>
      <c r="F217" t="inlineStr">
        <is>
          <t>Sveaskog</t>
        </is>
      </c>
      <c r="G217" t="n">
        <v>2.7</v>
      </c>
      <c r="H217" t="n">
        <v>0</v>
      </c>
      <c r="I217" t="n">
        <v>0</v>
      </c>
      <c r="J217" t="n">
        <v>1</v>
      </c>
      <c r="K217" t="n">
        <v>0</v>
      </c>
      <c r="L217" t="n">
        <v>0</v>
      </c>
      <c r="M217" t="n">
        <v>0</v>
      </c>
      <c r="N217" t="n">
        <v>0</v>
      </c>
      <c r="O217" t="n">
        <v>1</v>
      </c>
      <c r="P217" t="n">
        <v>0</v>
      </c>
      <c r="Q217" t="n">
        <v>1</v>
      </c>
      <c r="R217" s="2" t="inlineStr">
        <is>
          <t>Lunglav</t>
        </is>
      </c>
      <c r="S217">
        <f>HYPERLINK("https://klasma.github.io/Logging_2260/artfynd/A 55015-2023 artfynd.xlsx", "A 55015-2023")</f>
        <v/>
      </c>
      <c r="T217">
        <f>HYPERLINK("https://klasma.github.io/Logging_2260/kartor/A 55015-2023 karta.png", "A 55015-2023")</f>
        <v/>
      </c>
      <c r="V217">
        <f>HYPERLINK("https://klasma.github.io/Logging_2260/klagomål/A 55015-2023 FSC-klagomål.docx", "A 55015-2023")</f>
        <v/>
      </c>
      <c r="W217">
        <f>HYPERLINK("https://klasma.github.io/Logging_2260/klagomålsmail/A 55015-2023 FSC-klagomål mail.docx", "A 55015-2023")</f>
        <v/>
      </c>
      <c r="X217">
        <f>HYPERLINK("https://klasma.github.io/Logging_2260/tillsyn/A 55015-2023 tillsynsbegäran.docx", "A 55015-2023")</f>
        <v/>
      </c>
      <c r="Y217">
        <f>HYPERLINK("https://klasma.github.io/Logging_2260/tillsynsmail/A 55015-2023 tillsynsbegäran mail.docx", "A 55015-2023")</f>
        <v/>
      </c>
    </row>
    <row r="218" ht="15" customHeight="1">
      <c r="A218" t="inlineStr">
        <is>
          <t>A 34696-2024</t>
        </is>
      </c>
      <c r="B218" s="1" t="n">
        <v>45526</v>
      </c>
      <c r="C218" s="1" t="n">
        <v>46029</v>
      </c>
      <c r="D218" t="inlineStr">
        <is>
          <t>VÄSTERNORRLANDS LÄN</t>
        </is>
      </c>
      <c r="E218" t="inlineStr">
        <is>
          <t>ÅNGE</t>
        </is>
      </c>
      <c r="G218" t="n">
        <v>3.6</v>
      </c>
      <c r="H218" t="n">
        <v>1</v>
      </c>
      <c r="I218" t="n">
        <v>0</v>
      </c>
      <c r="J218" t="n">
        <v>0</v>
      </c>
      <c r="K218" t="n">
        <v>0</v>
      </c>
      <c r="L218" t="n">
        <v>0</v>
      </c>
      <c r="M218" t="n">
        <v>0</v>
      </c>
      <c r="N218" t="n">
        <v>0</v>
      </c>
      <c r="O218" t="n">
        <v>0</v>
      </c>
      <c r="P218" t="n">
        <v>0</v>
      </c>
      <c r="Q218" t="n">
        <v>1</v>
      </c>
      <c r="R218" s="2" t="inlineStr">
        <is>
          <t>Revlummer</t>
        </is>
      </c>
      <c r="S218">
        <f>HYPERLINK("https://klasma.github.io/Logging_2260/artfynd/A 34696-2024 artfynd.xlsx", "A 34696-2024")</f>
        <v/>
      </c>
      <c r="T218">
        <f>HYPERLINK("https://klasma.github.io/Logging_2260/kartor/A 34696-2024 karta.png", "A 34696-2024")</f>
        <v/>
      </c>
      <c r="V218">
        <f>HYPERLINK("https://klasma.github.io/Logging_2260/klagomål/A 34696-2024 FSC-klagomål.docx", "A 34696-2024")</f>
        <v/>
      </c>
      <c r="W218">
        <f>HYPERLINK("https://klasma.github.io/Logging_2260/klagomålsmail/A 34696-2024 FSC-klagomål mail.docx", "A 34696-2024")</f>
        <v/>
      </c>
      <c r="X218">
        <f>HYPERLINK("https://klasma.github.io/Logging_2260/tillsyn/A 34696-2024 tillsynsbegäran.docx", "A 34696-2024")</f>
        <v/>
      </c>
      <c r="Y218">
        <f>HYPERLINK("https://klasma.github.io/Logging_2260/tillsynsmail/A 34696-2024 tillsynsbegäran mail.docx", "A 34696-2024")</f>
        <v/>
      </c>
    </row>
    <row r="219" ht="15" customHeight="1">
      <c r="A219" t="inlineStr">
        <is>
          <t>A 41493-2021</t>
        </is>
      </c>
      <c r="B219" s="1" t="n">
        <v>44424</v>
      </c>
      <c r="C219" s="1" t="n">
        <v>46029</v>
      </c>
      <c r="D219" t="inlineStr">
        <is>
          <t>VÄSTERNORRLANDS LÄN</t>
        </is>
      </c>
      <c r="E219" t="inlineStr">
        <is>
          <t>ÅNGE</t>
        </is>
      </c>
      <c r="F219" t="inlineStr">
        <is>
          <t>SCA</t>
        </is>
      </c>
      <c r="G219" t="n">
        <v>8</v>
      </c>
      <c r="H219" t="n">
        <v>1</v>
      </c>
      <c r="I219" t="n">
        <v>0</v>
      </c>
      <c r="J219" t="n">
        <v>0</v>
      </c>
      <c r="K219" t="n">
        <v>1</v>
      </c>
      <c r="L219" t="n">
        <v>0</v>
      </c>
      <c r="M219" t="n">
        <v>0</v>
      </c>
      <c r="N219" t="n">
        <v>0</v>
      </c>
      <c r="O219" t="n">
        <v>1</v>
      </c>
      <c r="P219" t="n">
        <v>1</v>
      </c>
      <c r="Q219" t="n">
        <v>1</v>
      </c>
      <c r="R219" s="2" t="inlineStr">
        <is>
          <t>Knärot</t>
        </is>
      </c>
      <c r="S219">
        <f>HYPERLINK("https://klasma.github.io/Logging_2260/artfynd/A 41493-2021 artfynd.xlsx", "A 41493-2021")</f>
        <v/>
      </c>
      <c r="T219">
        <f>HYPERLINK("https://klasma.github.io/Logging_2260/kartor/A 41493-2021 karta.png", "A 41493-2021")</f>
        <v/>
      </c>
      <c r="U219">
        <f>HYPERLINK("https://klasma.github.io/Logging_2260/knärot/A 41493-2021 karta knärot.png", "A 41493-2021")</f>
        <v/>
      </c>
      <c r="V219">
        <f>HYPERLINK("https://klasma.github.io/Logging_2260/klagomål/A 41493-2021 FSC-klagomål.docx", "A 41493-2021")</f>
        <v/>
      </c>
      <c r="W219">
        <f>HYPERLINK("https://klasma.github.io/Logging_2260/klagomålsmail/A 41493-2021 FSC-klagomål mail.docx", "A 41493-2021")</f>
        <v/>
      </c>
      <c r="X219">
        <f>HYPERLINK("https://klasma.github.io/Logging_2260/tillsyn/A 41493-2021 tillsynsbegäran.docx", "A 41493-2021")</f>
        <v/>
      </c>
      <c r="Y219">
        <f>HYPERLINK("https://klasma.github.io/Logging_2260/tillsynsmail/A 41493-2021 tillsynsbegäran mail.docx", "A 41493-2021")</f>
        <v/>
      </c>
    </row>
    <row r="220" ht="15" customHeight="1">
      <c r="A220" t="inlineStr">
        <is>
          <t>A 25705-2024</t>
        </is>
      </c>
      <c r="B220" s="1" t="n">
        <v>45463.9428587963</v>
      </c>
      <c r="C220" s="1" t="n">
        <v>46029</v>
      </c>
      <c r="D220" t="inlineStr">
        <is>
          <t>VÄSTERNORRLANDS LÄN</t>
        </is>
      </c>
      <c r="E220" t="inlineStr">
        <is>
          <t>ÅNGE</t>
        </is>
      </c>
      <c r="F220" t="inlineStr">
        <is>
          <t>SCA</t>
        </is>
      </c>
      <c r="G220" t="n">
        <v>10.6</v>
      </c>
      <c r="H220" t="n">
        <v>1</v>
      </c>
      <c r="I220" t="n">
        <v>1</v>
      </c>
      <c r="J220" t="n">
        <v>0</v>
      </c>
      <c r="K220" t="n">
        <v>0</v>
      </c>
      <c r="L220" t="n">
        <v>0</v>
      </c>
      <c r="M220" t="n">
        <v>0</v>
      </c>
      <c r="N220" t="n">
        <v>0</v>
      </c>
      <c r="O220" t="n">
        <v>0</v>
      </c>
      <c r="P220" t="n">
        <v>0</v>
      </c>
      <c r="Q220" t="n">
        <v>1</v>
      </c>
      <c r="R220" s="2" t="inlineStr">
        <is>
          <t>Korallrot</t>
        </is>
      </c>
      <c r="S220">
        <f>HYPERLINK("https://klasma.github.io/Logging_2260/artfynd/A 25705-2024 artfynd.xlsx", "A 25705-2024")</f>
        <v/>
      </c>
      <c r="T220">
        <f>HYPERLINK("https://klasma.github.io/Logging_2260/kartor/A 25705-2024 karta.png", "A 25705-2024")</f>
        <v/>
      </c>
      <c r="V220">
        <f>HYPERLINK("https://klasma.github.io/Logging_2260/klagomål/A 25705-2024 FSC-klagomål.docx", "A 25705-2024")</f>
        <v/>
      </c>
      <c r="W220">
        <f>HYPERLINK("https://klasma.github.io/Logging_2260/klagomålsmail/A 25705-2024 FSC-klagomål mail.docx", "A 25705-2024")</f>
        <v/>
      </c>
      <c r="X220">
        <f>HYPERLINK("https://klasma.github.io/Logging_2260/tillsyn/A 25705-2024 tillsynsbegäran.docx", "A 25705-2024")</f>
        <v/>
      </c>
      <c r="Y220">
        <f>HYPERLINK("https://klasma.github.io/Logging_2260/tillsynsmail/A 25705-2024 tillsynsbegäran mail.docx", "A 25705-2024")</f>
        <v/>
      </c>
    </row>
    <row r="221" ht="15" customHeight="1">
      <c r="A221" t="inlineStr">
        <is>
          <t>A 52424-2023</t>
        </is>
      </c>
      <c r="B221" s="1" t="n">
        <v>45217</v>
      </c>
      <c r="C221" s="1" t="n">
        <v>46029</v>
      </c>
      <c r="D221" t="inlineStr">
        <is>
          <t>VÄSTERNORRLANDS LÄN</t>
        </is>
      </c>
      <c r="E221" t="inlineStr">
        <is>
          <t>ÅNGE</t>
        </is>
      </c>
      <c r="F221" t="inlineStr">
        <is>
          <t>SCA</t>
        </is>
      </c>
      <c r="G221" t="n">
        <v>3.8</v>
      </c>
      <c r="H221" t="n">
        <v>1</v>
      </c>
      <c r="I221" t="n">
        <v>0</v>
      </c>
      <c r="J221" t="n">
        <v>0</v>
      </c>
      <c r="K221" t="n">
        <v>0</v>
      </c>
      <c r="L221" t="n">
        <v>0</v>
      </c>
      <c r="M221" t="n">
        <v>0</v>
      </c>
      <c r="N221" t="n">
        <v>0</v>
      </c>
      <c r="O221" t="n">
        <v>0</v>
      </c>
      <c r="P221" t="n">
        <v>0</v>
      </c>
      <c r="Q221" t="n">
        <v>1</v>
      </c>
      <c r="R221" s="2" t="inlineStr">
        <is>
          <t>Revlummer</t>
        </is>
      </c>
      <c r="S221">
        <f>HYPERLINK("https://klasma.github.io/Logging_2260/artfynd/A 52424-2023 artfynd.xlsx", "A 52424-2023")</f>
        <v/>
      </c>
      <c r="T221">
        <f>HYPERLINK("https://klasma.github.io/Logging_2260/kartor/A 52424-2023 karta.png", "A 52424-2023")</f>
        <v/>
      </c>
      <c r="V221">
        <f>HYPERLINK("https://klasma.github.io/Logging_2260/klagomål/A 52424-2023 FSC-klagomål.docx", "A 52424-2023")</f>
        <v/>
      </c>
      <c r="W221">
        <f>HYPERLINK("https://klasma.github.io/Logging_2260/klagomålsmail/A 52424-2023 FSC-klagomål mail.docx", "A 52424-2023")</f>
        <v/>
      </c>
      <c r="X221">
        <f>HYPERLINK("https://klasma.github.io/Logging_2260/tillsyn/A 52424-2023 tillsynsbegäran.docx", "A 52424-2023")</f>
        <v/>
      </c>
      <c r="Y221">
        <f>HYPERLINK("https://klasma.github.io/Logging_2260/tillsynsmail/A 52424-2023 tillsynsbegäran mail.docx", "A 52424-2023")</f>
        <v/>
      </c>
    </row>
    <row r="222" ht="15" customHeight="1">
      <c r="A222" t="inlineStr">
        <is>
          <t>A 39638-2024</t>
        </is>
      </c>
      <c r="B222" s="1" t="n">
        <v>45552</v>
      </c>
      <c r="C222" s="1" t="n">
        <v>46029</v>
      </c>
      <c r="D222" t="inlineStr">
        <is>
          <t>VÄSTERNORRLANDS LÄN</t>
        </is>
      </c>
      <c r="E222" t="inlineStr">
        <is>
          <t>ÅNGE</t>
        </is>
      </c>
      <c r="G222" t="n">
        <v>3</v>
      </c>
      <c r="H222" t="n">
        <v>1</v>
      </c>
      <c r="I222" t="n">
        <v>0</v>
      </c>
      <c r="J222" t="n">
        <v>0</v>
      </c>
      <c r="K222" t="n">
        <v>0</v>
      </c>
      <c r="L222" t="n">
        <v>0</v>
      </c>
      <c r="M222" t="n">
        <v>0</v>
      </c>
      <c r="N222" t="n">
        <v>0</v>
      </c>
      <c r="O222" t="n">
        <v>0</v>
      </c>
      <c r="P222" t="n">
        <v>0</v>
      </c>
      <c r="Q222" t="n">
        <v>1</v>
      </c>
      <c r="R222" s="2" t="inlineStr">
        <is>
          <t>Tjäder</t>
        </is>
      </c>
      <c r="S222">
        <f>HYPERLINK("https://klasma.github.io/Logging_2260/artfynd/A 39638-2024 artfynd.xlsx", "A 39638-2024")</f>
        <v/>
      </c>
      <c r="T222">
        <f>HYPERLINK("https://klasma.github.io/Logging_2260/kartor/A 39638-2024 karta.png", "A 39638-2024")</f>
        <v/>
      </c>
      <c r="V222">
        <f>HYPERLINK("https://klasma.github.io/Logging_2260/klagomål/A 39638-2024 FSC-klagomål.docx", "A 39638-2024")</f>
        <v/>
      </c>
      <c r="W222">
        <f>HYPERLINK("https://klasma.github.io/Logging_2260/klagomålsmail/A 39638-2024 FSC-klagomål mail.docx", "A 39638-2024")</f>
        <v/>
      </c>
      <c r="X222">
        <f>HYPERLINK("https://klasma.github.io/Logging_2260/tillsyn/A 39638-2024 tillsynsbegäran.docx", "A 39638-2024")</f>
        <v/>
      </c>
      <c r="Y222">
        <f>HYPERLINK("https://klasma.github.io/Logging_2260/tillsynsmail/A 39638-2024 tillsynsbegäran mail.docx", "A 39638-2024")</f>
        <v/>
      </c>
      <c r="Z222">
        <f>HYPERLINK("https://klasma.github.io/Logging_2260/fåglar/A 39638-2024 prioriterade fågelarter.docx", "A 39638-2024")</f>
        <v/>
      </c>
    </row>
    <row r="223" ht="15" customHeight="1">
      <c r="A223" t="inlineStr">
        <is>
          <t>A 54751-2021</t>
        </is>
      </c>
      <c r="B223" s="1" t="n">
        <v>44473</v>
      </c>
      <c r="C223" s="1" t="n">
        <v>46029</v>
      </c>
      <c r="D223" t="inlineStr">
        <is>
          <t>VÄSTERNORRLANDS LÄN</t>
        </is>
      </c>
      <c r="E223" t="inlineStr">
        <is>
          <t>ÅNGE</t>
        </is>
      </c>
      <c r="G223" t="n">
        <v>6.5</v>
      </c>
      <c r="H223" t="n">
        <v>0</v>
      </c>
      <c r="I223" t="n">
        <v>0</v>
      </c>
      <c r="J223" t="n">
        <v>0</v>
      </c>
      <c r="K223" t="n">
        <v>1</v>
      </c>
      <c r="L223" t="n">
        <v>0</v>
      </c>
      <c r="M223" t="n">
        <v>0</v>
      </c>
      <c r="N223" t="n">
        <v>0</v>
      </c>
      <c r="O223" t="n">
        <v>1</v>
      </c>
      <c r="P223" t="n">
        <v>1</v>
      </c>
      <c r="Q223" t="n">
        <v>1</v>
      </c>
      <c r="R223" s="2" t="inlineStr">
        <is>
          <t>Gräddporing</t>
        </is>
      </c>
      <c r="S223">
        <f>HYPERLINK("https://klasma.github.io/Logging_2260/artfynd/A 54751-2021 artfynd.xlsx", "A 54751-2021")</f>
        <v/>
      </c>
      <c r="T223">
        <f>HYPERLINK("https://klasma.github.io/Logging_2260/kartor/A 54751-2021 karta.png", "A 54751-2021")</f>
        <v/>
      </c>
      <c r="V223">
        <f>HYPERLINK("https://klasma.github.io/Logging_2260/klagomål/A 54751-2021 FSC-klagomål.docx", "A 54751-2021")</f>
        <v/>
      </c>
      <c r="W223">
        <f>HYPERLINK("https://klasma.github.io/Logging_2260/klagomålsmail/A 54751-2021 FSC-klagomål mail.docx", "A 54751-2021")</f>
        <v/>
      </c>
      <c r="X223">
        <f>HYPERLINK("https://klasma.github.io/Logging_2260/tillsyn/A 54751-2021 tillsynsbegäran.docx", "A 54751-2021")</f>
        <v/>
      </c>
      <c r="Y223">
        <f>HYPERLINK("https://klasma.github.io/Logging_2260/tillsynsmail/A 54751-2021 tillsynsbegäran mail.docx", "A 54751-2021")</f>
        <v/>
      </c>
    </row>
    <row r="224" ht="15" customHeight="1">
      <c r="A224" t="inlineStr">
        <is>
          <t>A 40214-2024</t>
        </is>
      </c>
      <c r="B224" s="1" t="n">
        <v>45554.59460648148</v>
      </c>
      <c r="C224" s="1" t="n">
        <v>46029</v>
      </c>
      <c r="D224" t="inlineStr">
        <is>
          <t>VÄSTERNORRLANDS LÄN</t>
        </is>
      </c>
      <c r="E224" t="inlineStr">
        <is>
          <t>ÅNGE</t>
        </is>
      </c>
      <c r="F224" t="inlineStr">
        <is>
          <t>SCA</t>
        </is>
      </c>
      <c r="G224" t="n">
        <v>7.7</v>
      </c>
      <c r="H224" t="n">
        <v>0</v>
      </c>
      <c r="I224" t="n">
        <v>0</v>
      </c>
      <c r="J224" t="n">
        <v>1</v>
      </c>
      <c r="K224" t="n">
        <v>0</v>
      </c>
      <c r="L224" t="n">
        <v>0</v>
      </c>
      <c r="M224" t="n">
        <v>0</v>
      </c>
      <c r="N224" t="n">
        <v>0</v>
      </c>
      <c r="O224" t="n">
        <v>1</v>
      </c>
      <c r="P224" t="n">
        <v>0</v>
      </c>
      <c r="Q224" t="n">
        <v>1</v>
      </c>
      <c r="R224" s="2" t="inlineStr">
        <is>
          <t>Lunglav</t>
        </is>
      </c>
      <c r="S224">
        <f>HYPERLINK("https://klasma.github.io/Logging_2260/artfynd/A 40214-2024 artfynd.xlsx", "A 40214-2024")</f>
        <v/>
      </c>
      <c r="T224">
        <f>HYPERLINK("https://klasma.github.io/Logging_2260/kartor/A 40214-2024 karta.png", "A 40214-2024")</f>
        <v/>
      </c>
      <c r="V224">
        <f>HYPERLINK("https://klasma.github.io/Logging_2260/klagomål/A 40214-2024 FSC-klagomål.docx", "A 40214-2024")</f>
        <v/>
      </c>
      <c r="W224">
        <f>HYPERLINK("https://klasma.github.io/Logging_2260/klagomålsmail/A 40214-2024 FSC-klagomål mail.docx", "A 40214-2024")</f>
        <v/>
      </c>
      <c r="X224">
        <f>HYPERLINK("https://klasma.github.io/Logging_2260/tillsyn/A 40214-2024 tillsynsbegäran.docx", "A 40214-2024")</f>
        <v/>
      </c>
      <c r="Y224">
        <f>HYPERLINK("https://klasma.github.io/Logging_2260/tillsynsmail/A 40214-2024 tillsynsbegäran mail.docx", "A 40214-2024")</f>
        <v/>
      </c>
    </row>
    <row r="225" ht="15" customHeight="1">
      <c r="A225" t="inlineStr">
        <is>
          <t>A 39180-2024</t>
        </is>
      </c>
      <c r="B225" s="1" t="n">
        <v>45548.6571412037</v>
      </c>
      <c r="C225" s="1" t="n">
        <v>46029</v>
      </c>
      <c r="D225" t="inlineStr">
        <is>
          <t>VÄSTERNORRLANDS LÄN</t>
        </is>
      </c>
      <c r="E225" t="inlineStr">
        <is>
          <t>ÅNGE</t>
        </is>
      </c>
      <c r="F225" t="inlineStr">
        <is>
          <t>SCA</t>
        </is>
      </c>
      <c r="G225" t="n">
        <v>8.699999999999999</v>
      </c>
      <c r="H225" t="n">
        <v>0</v>
      </c>
      <c r="I225" t="n">
        <v>0</v>
      </c>
      <c r="J225" t="n">
        <v>1</v>
      </c>
      <c r="K225" t="n">
        <v>0</v>
      </c>
      <c r="L225" t="n">
        <v>0</v>
      </c>
      <c r="M225" t="n">
        <v>0</v>
      </c>
      <c r="N225" t="n">
        <v>0</v>
      </c>
      <c r="O225" t="n">
        <v>1</v>
      </c>
      <c r="P225" t="n">
        <v>0</v>
      </c>
      <c r="Q225" t="n">
        <v>1</v>
      </c>
      <c r="R225" s="2" t="inlineStr">
        <is>
          <t>Lunglav</t>
        </is>
      </c>
      <c r="S225">
        <f>HYPERLINK("https://klasma.github.io/Logging_2260/artfynd/A 39180-2024 artfynd.xlsx", "A 39180-2024")</f>
        <v/>
      </c>
      <c r="T225">
        <f>HYPERLINK("https://klasma.github.io/Logging_2260/kartor/A 39180-2024 karta.png", "A 39180-2024")</f>
        <v/>
      </c>
      <c r="V225">
        <f>HYPERLINK("https://klasma.github.io/Logging_2260/klagomål/A 39180-2024 FSC-klagomål.docx", "A 39180-2024")</f>
        <v/>
      </c>
      <c r="W225">
        <f>HYPERLINK("https://klasma.github.io/Logging_2260/klagomålsmail/A 39180-2024 FSC-klagomål mail.docx", "A 39180-2024")</f>
        <v/>
      </c>
      <c r="X225">
        <f>HYPERLINK("https://klasma.github.io/Logging_2260/tillsyn/A 39180-2024 tillsynsbegäran.docx", "A 39180-2024")</f>
        <v/>
      </c>
      <c r="Y225">
        <f>HYPERLINK("https://klasma.github.io/Logging_2260/tillsynsmail/A 39180-2024 tillsynsbegäran mail.docx", "A 39180-2024")</f>
        <v/>
      </c>
    </row>
    <row r="226" ht="15" customHeight="1">
      <c r="A226" t="inlineStr">
        <is>
          <t>A 39933-2022</t>
        </is>
      </c>
      <c r="B226" s="1" t="n">
        <v>44819</v>
      </c>
      <c r="C226" s="1" t="n">
        <v>46029</v>
      </c>
      <c r="D226" t="inlineStr">
        <is>
          <t>VÄSTERNORRLANDS LÄN</t>
        </is>
      </c>
      <c r="E226" t="inlineStr">
        <is>
          <t>ÅNGE</t>
        </is>
      </c>
      <c r="F226" t="inlineStr">
        <is>
          <t>SCA</t>
        </is>
      </c>
      <c r="G226" t="n">
        <v>13.8</v>
      </c>
      <c r="H226" t="n">
        <v>1</v>
      </c>
      <c r="I226" t="n">
        <v>0</v>
      </c>
      <c r="J226" t="n">
        <v>0</v>
      </c>
      <c r="K226" t="n">
        <v>1</v>
      </c>
      <c r="L226" t="n">
        <v>0</v>
      </c>
      <c r="M226" t="n">
        <v>0</v>
      </c>
      <c r="N226" t="n">
        <v>0</v>
      </c>
      <c r="O226" t="n">
        <v>1</v>
      </c>
      <c r="P226" t="n">
        <v>1</v>
      </c>
      <c r="Q226" t="n">
        <v>1</v>
      </c>
      <c r="R226" s="2" t="inlineStr">
        <is>
          <t>Knärot</t>
        </is>
      </c>
      <c r="S226">
        <f>HYPERLINK("https://klasma.github.io/Logging_2260/artfynd/A 39933-2022 artfynd.xlsx", "A 39933-2022")</f>
        <v/>
      </c>
      <c r="T226">
        <f>HYPERLINK("https://klasma.github.io/Logging_2260/kartor/A 39933-2022 karta.png", "A 39933-2022")</f>
        <v/>
      </c>
      <c r="U226">
        <f>HYPERLINK("https://klasma.github.io/Logging_2260/knärot/A 39933-2022 karta knärot.png", "A 39933-2022")</f>
        <v/>
      </c>
      <c r="V226">
        <f>HYPERLINK("https://klasma.github.io/Logging_2260/klagomål/A 39933-2022 FSC-klagomål.docx", "A 39933-2022")</f>
        <v/>
      </c>
      <c r="W226">
        <f>HYPERLINK("https://klasma.github.io/Logging_2260/klagomålsmail/A 39933-2022 FSC-klagomål mail.docx", "A 39933-2022")</f>
        <v/>
      </c>
      <c r="X226">
        <f>HYPERLINK("https://klasma.github.io/Logging_2260/tillsyn/A 39933-2022 tillsynsbegäran.docx", "A 39933-2022")</f>
        <v/>
      </c>
      <c r="Y226">
        <f>HYPERLINK("https://klasma.github.io/Logging_2260/tillsynsmail/A 39933-2022 tillsynsbegäran mail.docx", "A 39933-2022")</f>
        <v/>
      </c>
    </row>
    <row r="227" ht="15" customHeight="1">
      <c r="A227" t="inlineStr">
        <is>
          <t>A 32457-2024</t>
        </is>
      </c>
      <c r="B227" s="1" t="n">
        <v>45512</v>
      </c>
      <c r="C227" s="1" t="n">
        <v>46029</v>
      </c>
      <c r="D227" t="inlineStr">
        <is>
          <t>VÄSTERNORRLANDS LÄN</t>
        </is>
      </c>
      <c r="E227" t="inlineStr">
        <is>
          <t>ÅNGE</t>
        </is>
      </c>
      <c r="F227" t="inlineStr">
        <is>
          <t>SCA</t>
        </is>
      </c>
      <c r="G227" t="n">
        <v>1.3</v>
      </c>
      <c r="H227" t="n">
        <v>0</v>
      </c>
      <c r="I227" t="n">
        <v>0</v>
      </c>
      <c r="J227" t="n">
        <v>1</v>
      </c>
      <c r="K227" t="n">
        <v>0</v>
      </c>
      <c r="L227" t="n">
        <v>0</v>
      </c>
      <c r="M227" t="n">
        <v>0</v>
      </c>
      <c r="N227" t="n">
        <v>0</v>
      </c>
      <c r="O227" t="n">
        <v>1</v>
      </c>
      <c r="P227" t="n">
        <v>0</v>
      </c>
      <c r="Q227" t="n">
        <v>1</v>
      </c>
      <c r="R227" s="2" t="inlineStr">
        <is>
          <t>Ullticka</t>
        </is>
      </c>
      <c r="S227">
        <f>HYPERLINK("https://klasma.github.io/Logging_2260/artfynd/A 32457-2024 artfynd.xlsx", "A 32457-2024")</f>
        <v/>
      </c>
      <c r="T227">
        <f>HYPERLINK("https://klasma.github.io/Logging_2260/kartor/A 32457-2024 karta.png", "A 32457-2024")</f>
        <v/>
      </c>
      <c r="V227">
        <f>HYPERLINK("https://klasma.github.io/Logging_2260/klagomål/A 32457-2024 FSC-klagomål.docx", "A 32457-2024")</f>
        <v/>
      </c>
      <c r="W227">
        <f>HYPERLINK("https://klasma.github.io/Logging_2260/klagomålsmail/A 32457-2024 FSC-klagomål mail.docx", "A 32457-2024")</f>
        <v/>
      </c>
      <c r="X227">
        <f>HYPERLINK("https://klasma.github.io/Logging_2260/tillsyn/A 32457-2024 tillsynsbegäran.docx", "A 32457-2024")</f>
        <v/>
      </c>
      <c r="Y227">
        <f>HYPERLINK("https://klasma.github.io/Logging_2260/tillsynsmail/A 32457-2024 tillsynsbegäran mail.docx", "A 32457-2024")</f>
        <v/>
      </c>
    </row>
    <row r="228" ht="15" customHeight="1">
      <c r="A228" t="inlineStr">
        <is>
          <t>A 4351-2024</t>
        </is>
      </c>
      <c r="B228" s="1" t="n">
        <v>45324</v>
      </c>
      <c r="C228" s="1" t="n">
        <v>46029</v>
      </c>
      <c r="D228" t="inlineStr">
        <is>
          <t>VÄSTERNORRLANDS LÄN</t>
        </is>
      </c>
      <c r="E228" t="inlineStr">
        <is>
          <t>ÅNGE</t>
        </is>
      </c>
      <c r="F228" t="inlineStr">
        <is>
          <t>SCA</t>
        </is>
      </c>
      <c r="G228" t="n">
        <v>0.5</v>
      </c>
      <c r="H228" t="n">
        <v>0</v>
      </c>
      <c r="I228" t="n">
        <v>0</v>
      </c>
      <c r="J228" t="n">
        <v>1</v>
      </c>
      <c r="K228" t="n">
        <v>0</v>
      </c>
      <c r="L228" t="n">
        <v>0</v>
      </c>
      <c r="M228" t="n">
        <v>0</v>
      </c>
      <c r="N228" t="n">
        <v>0</v>
      </c>
      <c r="O228" t="n">
        <v>1</v>
      </c>
      <c r="P228" t="n">
        <v>0</v>
      </c>
      <c r="Q228" t="n">
        <v>1</v>
      </c>
      <c r="R228" s="2" t="inlineStr">
        <is>
          <t>Garnlav</t>
        </is>
      </c>
      <c r="S228">
        <f>HYPERLINK("https://klasma.github.io/Logging_2260/artfynd/A 4351-2024 artfynd.xlsx", "A 4351-2024")</f>
        <v/>
      </c>
      <c r="T228">
        <f>HYPERLINK("https://klasma.github.io/Logging_2260/kartor/A 4351-2024 karta.png", "A 4351-2024")</f>
        <v/>
      </c>
      <c r="V228">
        <f>HYPERLINK("https://klasma.github.io/Logging_2260/klagomål/A 4351-2024 FSC-klagomål.docx", "A 4351-2024")</f>
        <v/>
      </c>
      <c r="W228">
        <f>HYPERLINK("https://klasma.github.io/Logging_2260/klagomålsmail/A 4351-2024 FSC-klagomål mail.docx", "A 4351-2024")</f>
        <v/>
      </c>
      <c r="X228">
        <f>HYPERLINK("https://klasma.github.io/Logging_2260/tillsyn/A 4351-2024 tillsynsbegäran.docx", "A 4351-2024")</f>
        <v/>
      </c>
      <c r="Y228">
        <f>HYPERLINK("https://klasma.github.io/Logging_2260/tillsynsmail/A 4351-2024 tillsynsbegäran mail.docx", "A 4351-2024")</f>
        <v/>
      </c>
    </row>
    <row r="229" ht="15" customHeight="1">
      <c r="A229" t="inlineStr">
        <is>
          <t>A 27308-2024</t>
        </is>
      </c>
      <c r="B229" s="1" t="n">
        <v>45471</v>
      </c>
      <c r="C229" s="1" t="n">
        <v>46029</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23490-2025</t>
        </is>
      </c>
      <c r="B230" s="1" t="n">
        <v>45792.46907407408</v>
      </c>
      <c r="C230" s="1" t="n">
        <v>46029</v>
      </c>
      <c r="D230" t="inlineStr">
        <is>
          <t>VÄSTERNORRLANDS LÄN</t>
        </is>
      </c>
      <c r="E230" t="inlineStr">
        <is>
          <t>ÅNGE</t>
        </is>
      </c>
      <c r="F230" t="inlineStr">
        <is>
          <t>SCA</t>
        </is>
      </c>
      <c r="G230" t="n">
        <v>3.3</v>
      </c>
      <c r="H230" t="n">
        <v>0</v>
      </c>
      <c r="I230" t="n">
        <v>0</v>
      </c>
      <c r="J230" t="n">
        <v>1</v>
      </c>
      <c r="K230" t="n">
        <v>0</v>
      </c>
      <c r="L230" t="n">
        <v>0</v>
      </c>
      <c r="M230" t="n">
        <v>0</v>
      </c>
      <c r="N230" t="n">
        <v>0</v>
      </c>
      <c r="O230" t="n">
        <v>1</v>
      </c>
      <c r="P230" t="n">
        <v>0</v>
      </c>
      <c r="Q230" t="n">
        <v>1</v>
      </c>
      <c r="R230" s="2" t="inlineStr">
        <is>
          <t>Garnlav</t>
        </is>
      </c>
      <c r="S230">
        <f>HYPERLINK("https://klasma.github.io/Logging_2260/artfynd/A 23490-2025 artfynd.xlsx", "A 23490-2025")</f>
        <v/>
      </c>
      <c r="T230">
        <f>HYPERLINK("https://klasma.github.io/Logging_2260/kartor/A 23490-2025 karta.png", "A 23490-2025")</f>
        <v/>
      </c>
      <c r="V230">
        <f>HYPERLINK("https://klasma.github.io/Logging_2260/klagomål/A 23490-2025 FSC-klagomål.docx", "A 23490-2025")</f>
        <v/>
      </c>
      <c r="W230">
        <f>HYPERLINK("https://klasma.github.io/Logging_2260/klagomålsmail/A 23490-2025 FSC-klagomål mail.docx", "A 23490-2025")</f>
        <v/>
      </c>
      <c r="X230">
        <f>HYPERLINK("https://klasma.github.io/Logging_2260/tillsyn/A 23490-2025 tillsynsbegäran.docx", "A 23490-2025")</f>
        <v/>
      </c>
      <c r="Y230">
        <f>HYPERLINK("https://klasma.github.io/Logging_2260/tillsynsmail/A 23490-2025 tillsynsbegäran mail.docx", "A 23490-2025")</f>
        <v/>
      </c>
    </row>
    <row r="231" ht="15" customHeight="1">
      <c r="A231" t="inlineStr">
        <is>
          <t>A 8057-2021</t>
        </is>
      </c>
      <c r="B231" s="1" t="n">
        <v>44238</v>
      </c>
      <c r="C231" s="1" t="n">
        <v>46029</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46029</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46029</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21740-2022</t>
        </is>
      </c>
      <c r="B234" s="1" t="n">
        <v>44708.37472222222</v>
      </c>
      <c r="C234" s="1" t="n">
        <v>46029</v>
      </c>
      <c r="D234" t="inlineStr">
        <is>
          <t>VÄSTERNORRLANDS LÄN</t>
        </is>
      </c>
      <c r="E234" t="inlineStr">
        <is>
          <t>ÅNGE</t>
        </is>
      </c>
      <c r="G234" t="n">
        <v>2</v>
      </c>
      <c r="H234" t="n">
        <v>0</v>
      </c>
      <c r="I234" t="n">
        <v>0</v>
      </c>
      <c r="J234" t="n">
        <v>0</v>
      </c>
      <c r="K234" t="n">
        <v>0</v>
      </c>
      <c r="L234" t="n">
        <v>0</v>
      </c>
      <c r="M234" t="n">
        <v>0</v>
      </c>
      <c r="N234" t="n">
        <v>0</v>
      </c>
      <c r="O234" t="n">
        <v>0</v>
      </c>
      <c r="P234" t="n">
        <v>0</v>
      </c>
      <c r="Q234" t="n">
        <v>0</v>
      </c>
      <c r="R234" s="2" t="inlineStr"/>
    </row>
    <row r="235" ht="15" customHeight="1">
      <c r="A235" t="inlineStr">
        <is>
          <t>A 24353-2022</t>
        </is>
      </c>
      <c r="B235" s="1" t="n">
        <v>44726.37769675926</v>
      </c>
      <c r="C235" s="1" t="n">
        <v>46029</v>
      </c>
      <c r="D235" t="inlineStr">
        <is>
          <t>VÄSTERNORRLANDS LÄN</t>
        </is>
      </c>
      <c r="E235" t="inlineStr">
        <is>
          <t>ÅNGE</t>
        </is>
      </c>
      <c r="G235" t="n">
        <v>1</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46029</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38432-2021</t>
        </is>
      </c>
      <c r="B237" s="1" t="n">
        <v>44406</v>
      </c>
      <c r="C237" s="1" t="n">
        <v>46029</v>
      </c>
      <c r="D237" t="inlineStr">
        <is>
          <t>VÄSTERNORRLANDS LÄN</t>
        </is>
      </c>
      <c r="E237" t="inlineStr">
        <is>
          <t>ÅNGE</t>
        </is>
      </c>
      <c r="G237" t="n">
        <v>0.4</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46029</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46029</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48876-2021</t>
        </is>
      </c>
      <c r="B240" s="1" t="n">
        <v>44452</v>
      </c>
      <c r="C240" s="1" t="n">
        <v>46029</v>
      </c>
      <c r="D240" t="inlineStr">
        <is>
          <t>VÄSTERNORRLANDS LÄN</t>
        </is>
      </c>
      <c r="E240" t="inlineStr">
        <is>
          <t>ÅNGE</t>
        </is>
      </c>
      <c r="F240" t="inlineStr">
        <is>
          <t>SCA</t>
        </is>
      </c>
      <c r="G240" t="n">
        <v>3.9</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46029</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46029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46029</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46029</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46029</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46029</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46029</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46029</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46029</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46029</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46029</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46029</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46029</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46029</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46029</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46029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46029</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47282-2022</t>
        </is>
      </c>
      <c r="B258" s="1" t="n">
        <v>44852.95091435185</v>
      </c>
      <c r="C258" s="1" t="n">
        <v>46029</v>
      </c>
      <c r="D258" t="inlineStr">
        <is>
          <t>VÄSTERNORRLANDS LÄN</t>
        </is>
      </c>
      <c r="E258" t="inlineStr">
        <is>
          <t>ÅNGE</t>
        </is>
      </c>
      <c r="F258" t="inlineStr">
        <is>
          <t>SCA</t>
        </is>
      </c>
      <c r="G258" t="n">
        <v>0.4</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46029</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46029</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46029</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46029</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46029</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46029</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46029</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46029</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46029</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46029</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46029</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46029</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46029</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46029</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46029</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46029</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46029</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46029</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46029</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46029</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46029</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46029</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46029</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46029</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46029</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46029</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46029</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46029</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46029</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6115-2022</t>
        </is>
      </c>
      <c r="B288" s="1" t="n">
        <v>44599</v>
      </c>
      <c r="C288" s="1" t="n">
        <v>46029</v>
      </c>
      <c r="D288" t="inlineStr">
        <is>
          <t>VÄSTERNORRLANDS LÄN</t>
        </is>
      </c>
      <c r="E288" t="inlineStr">
        <is>
          <t>ÅNGE</t>
        </is>
      </c>
      <c r="G288" t="n">
        <v>1.1</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46029</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71357-2021</t>
        </is>
      </c>
      <c r="B290" s="1" t="n">
        <v>44539.92232638889</v>
      </c>
      <c r="C290" s="1" t="n">
        <v>46029</v>
      </c>
      <c r="D290" t="inlineStr">
        <is>
          <t>VÄSTERNORRLANDS LÄN</t>
        </is>
      </c>
      <c r="E290" t="inlineStr">
        <is>
          <t>ÅNGE</t>
        </is>
      </c>
      <c r="G290" t="n">
        <v>5.4</v>
      </c>
      <c r="H290" t="n">
        <v>0</v>
      </c>
      <c r="I290" t="n">
        <v>0</v>
      </c>
      <c r="J290" t="n">
        <v>0</v>
      </c>
      <c r="K290" t="n">
        <v>0</v>
      </c>
      <c r="L290" t="n">
        <v>0</v>
      </c>
      <c r="M290" t="n">
        <v>0</v>
      </c>
      <c r="N290" t="n">
        <v>0</v>
      </c>
      <c r="O290" t="n">
        <v>0</v>
      </c>
      <c r="P290" t="n">
        <v>0</v>
      </c>
      <c r="Q290" t="n">
        <v>0</v>
      </c>
      <c r="R290" s="2" t="inlineStr"/>
    </row>
    <row r="291" ht="15" customHeight="1">
      <c r="A291" t="inlineStr">
        <is>
          <t>A 10687-2022</t>
        </is>
      </c>
      <c r="B291" s="1" t="n">
        <v>44624.92684027777</v>
      </c>
      <c r="C291" s="1" t="n">
        <v>46029</v>
      </c>
      <c r="D291" t="inlineStr">
        <is>
          <t>VÄSTERNORRLANDS LÄN</t>
        </is>
      </c>
      <c r="E291" t="inlineStr">
        <is>
          <t>ÅNGE</t>
        </is>
      </c>
      <c r="G291" t="n">
        <v>0.7</v>
      </c>
      <c r="H291" t="n">
        <v>0</v>
      </c>
      <c r="I291" t="n">
        <v>0</v>
      </c>
      <c r="J291" t="n">
        <v>0</v>
      </c>
      <c r="K291" t="n">
        <v>0</v>
      </c>
      <c r="L291" t="n">
        <v>0</v>
      </c>
      <c r="M291" t="n">
        <v>0</v>
      </c>
      <c r="N291" t="n">
        <v>0</v>
      </c>
      <c r="O291" t="n">
        <v>0</v>
      </c>
      <c r="P291" t="n">
        <v>0</v>
      </c>
      <c r="Q291" t="n">
        <v>0</v>
      </c>
      <c r="R291" s="2" t="inlineStr"/>
    </row>
    <row r="292" ht="15" customHeight="1">
      <c r="A292" t="inlineStr">
        <is>
          <t>A 50333-2021</t>
        </is>
      </c>
      <c r="B292" s="1" t="n">
        <v>44454</v>
      </c>
      <c r="C292" s="1" t="n">
        <v>46029</v>
      </c>
      <c r="D292" t="inlineStr">
        <is>
          <t>VÄSTERNORRLANDS LÄN</t>
        </is>
      </c>
      <c r="E292" t="inlineStr">
        <is>
          <t>ÅNGE</t>
        </is>
      </c>
      <c r="G292" t="n">
        <v>1</v>
      </c>
      <c r="H292" t="n">
        <v>0</v>
      </c>
      <c r="I292" t="n">
        <v>0</v>
      </c>
      <c r="J292" t="n">
        <v>0</v>
      </c>
      <c r="K292" t="n">
        <v>0</v>
      </c>
      <c r="L292" t="n">
        <v>0</v>
      </c>
      <c r="M292" t="n">
        <v>0</v>
      </c>
      <c r="N292" t="n">
        <v>0</v>
      </c>
      <c r="O292" t="n">
        <v>0</v>
      </c>
      <c r="P292" t="n">
        <v>0</v>
      </c>
      <c r="Q292" t="n">
        <v>0</v>
      </c>
      <c r="R292" s="2" t="inlineStr"/>
    </row>
    <row r="293" ht="15" customHeight="1">
      <c r="A293" t="inlineStr">
        <is>
          <t>A 65790-2021</t>
        </is>
      </c>
      <c r="B293" s="1" t="n">
        <v>44516.94785879629</v>
      </c>
      <c r="C293" s="1" t="n">
        <v>46029</v>
      </c>
      <c r="D293" t="inlineStr">
        <is>
          <t>VÄSTERNORRLANDS LÄN</t>
        </is>
      </c>
      <c r="E293" t="inlineStr">
        <is>
          <t>ÅNGE</t>
        </is>
      </c>
      <c r="F293" t="inlineStr">
        <is>
          <t>SCA</t>
        </is>
      </c>
      <c r="G293" t="n">
        <v>0.9</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46029</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46029</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5565-2022</t>
        </is>
      </c>
      <c r="B296" s="1" t="n">
        <v>44595</v>
      </c>
      <c r="C296" s="1" t="n">
        <v>46029</v>
      </c>
      <c r="D296" t="inlineStr">
        <is>
          <t>VÄSTERNORRLANDS LÄN</t>
        </is>
      </c>
      <c r="E296" t="inlineStr">
        <is>
          <t>ÅNGE</t>
        </is>
      </c>
      <c r="G296" t="n">
        <v>0.3</v>
      </c>
      <c r="H296" t="n">
        <v>0</v>
      </c>
      <c r="I296" t="n">
        <v>0</v>
      </c>
      <c r="J296" t="n">
        <v>0</v>
      </c>
      <c r="K296" t="n">
        <v>0</v>
      </c>
      <c r="L296" t="n">
        <v>0</v>
      </c>
      <c r="M296" t="n">
        <v>0</v>
      </c>
      <c r="N296" t="n">
        <v>0</v>
      </c>
      <c r="O296" t="n">
        <v>0</v>
      </c>
      <c r="P296" t="n">
        <v>0</v>
      </c>
      <c r="Q296" t="n">
        <v>0</v>
      </c>
      <c r="R296" s="2" t="inlineStr"/>
    </row>
    <row r="297" ht="15" customHeight="1">
      <c r="A297" t="inlineStr">
        <is>
          <t>A 23016-2021</t>
        </is>
      </c>
      <c r="B297" s="1" t="n">
        <v>44328.92197916667</v>
      </c>
      <c r="C297" s="1" t="n">
        <v>46029</v>
      </c>
      <c r="D297" t="inlineStr">
        <is>
          <t>VÄSTERNORRLANDS LÄN</t>
        </is>
      </c>
      <c r="E297" t="inlineStr">
        <is>
          <t>ÅNGE</t>
        </is>
      </c>
      <c r="G297" t="n">
        <v>1.5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46029</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46029</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46029</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4939-2022</t>
        </is>
      </c>
      <c r="B301" s="1" t="n">
        <v>44593.50019675926</v>
      </c>
      <c r="C301" s="1" t="n">
        <v>46029</v>
      </c>
      <c r="D301" t="inlineStr">
        <is>
          <t>VÄSTERNORRLANDS LÄN</t>
        </is>
      </c>
      <c r="E301" t="inlineStr">
        <is>
          <t>ÅNGE</t>
        </is>
      </c>
      <c r="G301" t="n">
        <v>1.7</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46029</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46029</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46029</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46029</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46029</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57162-2021</t>
        </is>
      </c>
      <c r="B307" s="1" t="n">
        <v>44482</v>
      </c>
      <c r="C307" s="1" t="n">
        <v>46029</v>
      </c>
      <c r="D307" t="inlineStr">
        <is>
          <t>VÄSTERNORRLANDS LÄN</t>
        </is>
      </c>
      <c r="E307" t="inlineStr">
        <is>
          <t>ÅNGE</t>
        </is>
      </c>
      <c r="G307" t="n">
        <v>2.5</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46029</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46029</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46029</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46029</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46029</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46029</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62870-2021</t>
        </is>
      </c>
      <c r="B314" s="1" t="n">
        <v>44503</v>
      </c>
      <c r="C314" s="1" t="n">
        <v>46029</v>
      </c>
      <c r="D314" t="inlineStr">
        <is>
          <t>VÄSTERNORRLANDS LÄN</t>
        </is>
      </c>
      <c r="E314" t="inlineStr">
        <is>
          <t>ÅNGE</t>
        </is>
      </c>
      <c r="F314" t="inlineStr">
        <is>
          <t>Övriga statliga verk och myndigheter</t>
        </is>
      </c>
      <c r="G314" t="n">
        <v>3</v>
      </c>
      <c r="H314" t="n">
        <v>0</v>
      </c>
      <c r="I314" t="n">
        <v>0</v>
      </c>
      <c r="J314" t="n">
        <v>0</v>
      </c>
      <c r="K314" t="n">
        <v>0</v>
      </c>
      <c r="L314" t="n">
        <v>0</v>
      </c>
      <c r="M314" t="n">
        <v>0</v>
      </c>
      <c r="N314" t="n">
        <v>0</v>
      </c>
      <c r="O314" t="n">
        <v>0</v>
      </c>
      <c r="P314" t="n">
        <v>0</v>
      </c>
      <c r="Q314" t="n">
        <v>0</v>
      </c>
      <c r="R314" s="2" t="inlineStr"/>
    </row>
    <row r="315" ht="15" customHeight="1">
      <c r="A315" t="inlineStr">
        <is>
          <t>A 21189-2021</t>
        </is>
      </c>
      <c r="B315" s="1" t="n">
        <v>44320</v>
      </c>
      <c r="C315" s="1" t="n">
        <v>46029</v>
      </c>
      <c r="D315" t="inlineStr">
        <is>
          <t>VÄSTERNORRLANDS LÄN</t>
        </is>
      </c>
      <c r="E315" t="inlineStr">
        <is>
          <t>ÅNGE</t>
        </is>
      </c>
      <c r="G315" t="n">
        <v>2.4</v>
      </c>
      <c r="H315" t="n">
        <v>0</v>
      </c>
      <c r="I315" t="n">
        <v>0</v>
      </c>
      <c r="J315" t="n">
        <v>0</v>
      </c>
      <c r="K315" t="n">
        <v>0</v>
      </c>
      <c r="L315" t="n">
        <v>0</v>
      </c>
      <c r="M315" t="n">
        <v>0</v>
      </c>
      <c r="N315" t="n">
        <v>0</v>
      </c>
      <c r="O315" t="n">
        <v>0</v>
      </c>
      <c r="P315" t="n">
        <v>0</v>
      </c>
      <c r="Q315" t="n">
        <v>0</v>
      </c>
      <c r="R315" s="2" t="inlineStr"/>
    </row>
    <row r="316" ht="15" customHeight="1">
      <c r="A316" t="inlineStr">
        <is>
          <t>A 14084-2022</t>
        </is>
      </c>
      <c r="B316" s="1" t="n">
        <v>44651</v>
      </c>
      <c r="C316" s="1" t="n">
        <v>46029</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14091-2022</t>
        </is>
      </c>
      <c r="B317" s="1" t="n">
        <v>44651</v>
      </c>
      <c r="C317" s="1" t="n">
        <v>46029</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46029</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46029</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46029</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46029</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46029</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46029</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46029</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46029</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46029</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46029</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46029</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46029</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5113-2022</t>
        </is>
      </c>
      <c r="B330" s="1" t="n">
        <v>44593.93362268519</v>
      </c>
      <c r="C330" s="1" t="n">
        <v>46029</v>
      </c>
      <c r="D330" t="inlineStr">
        <is>
          <t>VÄSTERNORRLANDS LÄN</t>
        </is>
      </c>
      <c r="E330" t="inlineStr">
        <is>
          <t>ÅNGE</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31668-2021</t>
        </is>
      </c>
      <c r="B331" s="1" t="n">
        <v>44369</v>
      </c>
      <c r="C331" s="1" t="n">
        <v>46029</v>
      </c>
      <c r="D331" t="inlineStr">
        <is>
          <t>VÄSTERNORRLANDS LÄN</t>
        </is>
      </c>
      <c r="E331" t="inlineStr">
        <is>
          <t>ÅNGE</t>
        </is>
      </c>
      <c r="F331" t="inlineStr">
        <is>
          <t>Kyrkan</t>
        </is>
      </c>
      <c r="G331" t="n">
        <v>3.6</v>
      </c>
      <c r="H331" t="n">
        <v>0</v>
      </c>
      <c r="I331" t="n">
        <v>0</v>
      </c>
      <c r="J331" t="n">
        <v>0</v>
      </c>
      <c r="K331" t="n">
        <v>0</v>
      </c>
      <c r="L331" t="n">
        <v>0</v>
      </c>
      <c r="M331" t="n">
        <v>0</v>
      </c>
      <c r="N331" t="n">
        <v>0</v>
      </c>
      <c r="O331" t="n">
        <v>0</v>
      </c>
      <c r="P331" t="n">
        <v>0</v>
      </c>
      <c r="Q331" t="n">
        <v>0</v>
      </c>
      <c r="R331" s="2" t="inlineStr"/>
    </row>
    <row r="332" ht="15" customHeight="1">
      <c r="A332" t="inlineStr">
        <is>
          <t>A 20369-2022</t>
        </is>
      </c>
      <c r="B332" s="1" t="n">
        <v>44699.41140046297</v>
      </c>
      <c r="C332" s="1" t="n">
        <v>46029</v>
      </c>
      <c r="D332" t="inlineStr">
        <is>
          <t>VÄSTERNORRLANDS LÄN</t>
        </is>
      </c>
      <c r="E332" t="inlineStr">
        <is>
          <t>ÅNGE</t>
        </is>
      </c>
      <c r="G332" t="n">
        <v>5.5</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46029</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46029</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46029</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46029</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46029</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46029</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46029</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46029</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46029</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13149-2021</t>
        </is>
      </c>
      <c r="B342" s="1" t="n">
        <v>44272</v>
      </c>
      <c r="C342" s="1" t="n">
        <v>46029</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11098-2022</t>
        </is>
      </c>
      <c r="B343" s="1" t="n">
        <v>44628</v>
      </c>
      <c r="C343" s="1" t="n">
        <v>46029</v>
      </c>
      <c r="D343" t="inlineStr">
        <is>
          <t>VÄSTERNORRLANDS LÄN</t>
        </is>
      </c>
      <c r="E343" t="inlineStr">
        <is>
          <t>ÅNGE</t>
        </is>
      </c>
      <c r="G343" t="n">
        <v>8.9</v>
      </c>
      <c r="H343" t="n">
        <v>0</v>
      </c>
      <c r="I343" t="n">
        <v>0</v>
      </c>
      <c r="J343" t="n">
        <v>0</v>
      </c>
      <c r="K343" t="n">
        <v>0</v>
      </c>
      <c r="L343" t="n">
        <v>0</v>
      </c>
      <c r="M343" t="n">
        <v>0</v>
      </c>
      <c r="N343" t="n">
        <v>0</v>
      </c>
      <c r="O343" t="n">
        <v>0</v>
      </c>
      <c r="P343" t="n">
        <v>0</v>
      </c>
      <c r="Q343" t="n">
        <v>0</v>
      </c>
      <c r="R343" s="2" t="inlineStr"/>
    </row>
    <row r="344" ht="15" customHeight="1">
      <c r="A344" t="inlineStr">
        <is>
          <t>A 33274-2022</t>
        </is>
      </c>
      <c r="B344" s="1" t="n">
        <v>44788</v>
      </c>
      <c r="C344" s="1" t="n">
        <v>46029</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29509-2021</t>
        </is>
      </c>
      <c r="B345" s="1" t="n">
        <v>44361</v>
      </c>
      <c r="C345" s="1" t="n">
        <v>46029</v>
      </c>
      <c r="D345" t="inlineStr">
        <is>
          <t>VÄSTERNORRLANDS LÄN</t>
        </is>
      </c>
      <c r="E345" t="inlineStr">
        <is>
          <t>ÅNGE</t>
        </is>
      </c>
      <c r="G345" t="n">
        <v>3.6</v>
      </c>
      <c r="H345" t="n">
        <v>0</v>
      </c>
      <c r="I345" t="n">
        <v>0</v>
      </c>
      <c r="J345" t="n">
        <v>0</v>
      </c>
      <c r="K345" t="n">
        <v>0</v>
      </c>
      <c r="L345" t="n">
        <v>0</v>
      </c>
      <c r="M345" t="n">
        <v>0</v>
      </c>
      <c r="N345" t="n">
        <v>0</v>
      </c>
      <c r="O345" t="n">
        <v>0</v>
      </c>
      <c r="P345" t="n">
        <v>0</v>
      </c>
      <c r="Q345" t="n">
        <v>0</v>
      </c>
      <c r="R345" s="2" t="inlineStr"/>
    </row>
    <row r="346" ht="15" customHeight="1">
      <c r="A346" t="inlineStr">
        <is>
          <t>A 7633-2022</t>
        </is>
      </c>
      <c r="B346" s="1" t="n">
        <v>44607.71378472223</v>
      </c>
      <c r="C346" s="1" t="n">
        <v>46029</v>
      </c>
      <c r="D346" t="inlineStr">
        <is>
          <t>VÄSTERNORRLANDS LÄN</t>
        </is>
      </c>
      <c r="E346" t="inlineStr">
        <is>
          <t>ÅNGE</t>
        </is>
      </c>
      <c r="G346" t="n">
        <v>1.7</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46029</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46029</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46029</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46029</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14813-2022</t>
        </is>
      </c>
      <c r="B351" s="1" t="n">
        <v>44656</v>
      </c>
      <c r="C351" s="1" t="n">
        <v>46029</v>
      </c>
      <c r="D351" t="inlineStr">
        <is>
          <t>VÄSTERNORRLANDS LÄN</t>
        </is>
      </c>
      <c r="E351" t="inlineStr">
        <is>
          <t>ÅNGE</t>
        </is>
      </c>
      <c r="G351" t="n">
        <v>2.2</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46029</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46029</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46029</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10342-2021</t>
        </is>
      </c>
      <c r="B355" s="1" t="n">
        <v>44257</v>
      </c>
      <c r="C355" s="1" t="n">
        <v>46029</v>
      </c>
      <c r="D355" t="inlineStr">
        <is>
          <t>VÄSTERNORRLANDS LÄN</t>
        </is>
      </c>
      <c r="E355" t="inlineStr">
        <is>
          <t>ÅNGE</t>
        </is>
      </c>
      <c r="G355" t="n">
        <v>1.8</v>
      </c>
      <c r="H355" t="n">
        <v>0</v>
      </c>
      <c r="I355" t="n">
        <v>0</v>
      </c>
      <c r="J355" t="n">
        <v>0</v>
      </c>
      <c r="K355" t="n">
        <v>0</v>
      </c>
      <c r="L355" t="n">
        <v>0</v>
      </c>
      <c r="M355" t="n">
        <v>0</v>
      </c>
      <c r="N355" t="n">
        <v>0</v>
      </c>
      <c r="O355" t="n">
        <v>0</v>
      </c>
      <c r="P355" t="n">
        <v>0</v>
      </c>
      <c r="Q355" t="n">
        <v>0</v>
      </c>
      <c r="R355" s="2" t="inlineStr"/>
    </row>
    <row r="356" ht="15" customHeight="1">
      <c r="A356" t="inlineStr">
        <is>
          <t>A 20807-2021</t>
        </is>
      </c>
      <c r="B356" s="1" t="n">
        <v>44316.93965277778</v>
      </c>
      <c r="C356" s="1" t="n">
        <v>46029</v>
      </c>
      <c r="D356" t="inlineStr">
        <is>
          <t>VÄSTERNORRLANDS LÄN</t>
        </is>
      </c>
      <c r="E356" t="inlineStr">
        <is>
          <t>ÅNGE</t>
        </is>
      </c>
      <c r="F356" t="inlineStr">
        <is>
          <t>SCA</t>
        </is>
      </c>
      <c r="G356" t="n">
        <v>0.5</v>
      </c>
      <c r="H356" t="n">
        <v>0</v>
      </c>
      <c r="I356" t="n">
        <v>0</v>
      </c>
      <c r="J356" t="n">
        <v>0</v>
      </c>
      <c r="K356" t="n">
        <v>0</v>
      </c>
      <c r="L356" t="n">
        <v>0</v>
      </c>
      <c r="M356" t="n">
        <v>0</v>
      </c>
      <c r="N356" t="n">
        <v>0</v>
      </c>
      <c r="O356" t="n">
        <v>0</v>
      </c>
      <c r="P356" t="n">
        <v>0</v>
      </c>
      <c r="Q356" t="n">
        <v>0</v>
      </c>
      <c r="R356" s="2" t="inlineStr"/>
    </row>
    <row r="357" ht="15" customHeight="1">
      <c r="A357" t="inlineStr">
        <is>
          <t>A 17594-2021</t>
        </is>
      </c>
      <c r="B357" s="1" t="n">
        <v>44299</v>
      </c>
      <c r="C357" s="1" t="n">
        <v>46029</v>
      </c>
      <c r="D357" t="inlineStr">
        <is>
          <t>VÄSTERNORRLANDS LÄN</t>
        </is>
      </c>
      <c r="E357" t="inlineStr">
        <is>
          <t>ÅNGE</t>
        </is>
      </c>
      <c r="G357" t="n">
        <v>0.8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46029</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46029</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70899-2021</t>
        </is>
      </c>
      <c r="B360" s="1" t="n">
        <v>44537</v>
      </c>
      <c r="C360" s="1" t="n">
        <v>46029</v>
      </c>
      <c r="D360" t="inlineStr">
        <is>
          <t>VÄSTERNORRLANDS LÄN</t>
        </is>
      </c>
      <c r="E360" t="inlineStr">
        <is>
          <t>ÅNGE</t>
        </is>
      </c>
      <c r="G360" t="n">
        <v>1.1</v>
      </c>
      <c r="H360" t="n">
        <v>0</v>
      </c>
      <c r="I360" t="n">
        <v>0</v>
      </c>
      <c r="J360" t="n">
        <v>0</v>
      </c>
      <c r="K360" t="n">
        <v>0</v>
      </c>
      <c r="L360" t="n">
        <v>0</v>
      </c>
      <c r="M360" t="n">
        <v>0</v>
      </c>
      <c r="N360" t="n">
        <v>0</v>
      </c>
      <c r="O360" t="n">
        <v>0</v>
      </c>
      <c r="P360" t="n">
        <v>0</v>
      </c>
      <c r="Q360" t="n">
        <v>0</v>
      </c>
      <c r="R360" s="2" t="inlineStr"/>
    </row>
    <row r="361" ht="15" customHeight="1">
      <c r="A361" t="inlineStr">
        <is>
          <t>A 13641-2022</t>
        </is>
      </c>
      <c r="B361" s="1" t="n">
        <v>44648</v>
      </c>
      <c r="C361" s="1" t="n">
        <v>46029</v>
      </c>
      <c r="D361" t="inlineStr">
        <is>
          <t>VÄSTERNORRLANDS LÄN</t>
        </is>
      </c>
      <c r="E361" t="inlineStr">
        <is>
          <t>ÅNGE</t>
        </is>
      </c>
      <c r="G361" t="n">
        <v>4.9</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46029</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46029</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46029</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46029</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46029</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46029</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46029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46029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46029</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46029</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46029</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46029</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46029</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50640-2022</t>
        </is>
      </c>
      <c r="B375" s="1" t="n">
        <v>44866.94734953704</v>
      </c>
      <c r="C375" s="1" t="n">
        <v>46029</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38369-2021</t>
        </is>
      </c>
      <c r="B376" s="1" t="n">
        <v>44406</v>
      </c>
      <c r="C376" s="1" t="n">
        <v>46029</v>
      </c>
      <c r="D376" t="inlineStr">
        <is>
          <t>VÄSTERNORRLANDS LÄN</t>
        </is>
      </c>
      <c r="E376" t="inlineStr">
        <is>
          <t>ÅNGE</t>
        </is>
      </c>
      <c r="G376" t="n">
        <v>5.6</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46029</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46029</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35496-2022</t>
        </is>
      </c>
      <c r="B379" s="1" t="n">
        <v>44798</v>
      </c>
      <c r="C379" s="1" t="n">
        <v>46029</v>
      </c>
      <c r="D379" t="inlineStr">
        <is>
          <t>VÄSTERNORRLANDS LÄN</t>
        </is>
      </c>
      <c r="E379" t="inlineStr">
        <is>
          <t>ÅNGE</t>
        </is>
      </c>
      <c r="F379" t="inlineStr">
        <is>
          <t>SCA</t>
        </is>
      </c>
      <c r="G379" t="n">
        <v>15.6</v>
      </c>
      <c r="H379" t="n">
        <v>0</v>
      </c>
      <c r="I379" t="n">
        <v>0</v>
      </c>
      <c r="J379" t="n">
        <v>0</v>
      </c>
      <c r="K379" t="n">
        <v>0</v>
      </c>
      <c r="L379" t="n">
        <v>0</v>
      </c>
      <c r="M379" t="n">
        <v>0</v>
      </c>
      <c r="N379" t="n">
        <v>0</v>
      </c>
      <c r="O379" t="n">
        <v>0</v>
      </c>
      <c r="P379" t="n">
        <v>0</v>
      </c>
      <c r="Q379" t="n">
        <v>0</v>
      </c>
      <c r="R379" s="2" t="inlineStr"/>
    </row>
    <row r="380" ht="15" customHeight="1">
      <c r="A380" t="inlineStr">
        <is>
          <t>A 18422-2021</t>
        </is>
      </c>
      <c r="B380" s="1" t="n">
        <v>44305</v>
      </c>
      <c r="C380" s="1" t="n">
        <v>46029</v>
      </c>
      <c r="D380" t="inlineStr">
        <is>
          <t>VÄSTERNORRLANDS LÄN</t>
        </is>
      </c>
      <c r="E380" t="inlineStr">
        <is>
          <t>ÅNGE</t>
        </is>
      </c>
      <c r="G380" t="n">
        <v>1.5</v>
      </c>
      <c r="H380" t="n">
        <v>0</v>
      </c>
      <c r="I380" t="n">
        <v>0</v>
      </c>
      <c r="J380" t="n">
        <v>0</v>
      </c>
      <c r="K380" t="n">
        <v>0</v>
      </c>
      <c r="L380" t="n">
        <v>0</v>
      </c>
      <c r="M380" t="n">
        <v>0</v>
      </c>
      <c r="N380" t="n">
        <v>0</v>
      </c>
      <c r="O380" t="n">
        <v>0</v>
      </c>
      <c r="P380" t="n">
        <v>0</v>
      </c>
      <c r="Q380" t="n">
        <v>0</v>
      </c>
      <c r="R380" s="2" t="inlineStr"/>
    </row>
    <row r="381" ht="15" customHeight="1">
      <c r="A381" t="inlineStr">
        <is>
          <t>A 46824-2021</t>
        </is>
      </c>
      <c r="B381" s="1" t="n">
        <v>44446.34271990741</v>
      </c>
      <c r="C381" s="1" t="n">
        <v>46029</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46029</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35026-2022</t>
        </is>
      </c>
      <c r="B383" s="1" t="n">
        <v>44796</v>
      </c>
      <c r="C383" s="1" t="n">
        <v>46029</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46029</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32535-2022</t>
        </is>
      </c>
      <c r="B385" s="1" t="n">
        <v>44783.29856481482</v>
      </c>
      <c r="C385" s="1" t="n">
        <v>46029</v>
      </c>
      <c r="D385" t="inlineStr">
        <is>
          <t>VÄSTERNORRLANDS LÄN</t>
        </is>
      </c>
      <c r="E385" t="inlineStr">
        <is>
          <t>ÅNGE</t>
        </is>
      </c>
      <c r="G385" t="n">
        <v>10.3</v>
      </c>
      <c r="H385" t="n">
        <v>0</v>
      </c>
      <c r="I385" t="n">
        <v>0</v>
      </c>
      <c r="J385" t="n">
        <v>0</v>
      </c>
      <c r="K385" t="n">
        <v>0</v>
      </c>
      <c r="L385" t="n">
        <v>0</v>
      </c>
      <c r="M385" t="n">
        <v>0</v>
      </c>
      <c r="N385" t="n">
        <v>0</v>
      </c>
      <c r="O385" t="n">
        <v>0</v>
      </c>
      <c r="P385" t="n">
        <v>0</v>
      </c>
      <c r="Q385" t="n">
        <v>0</v>
      </c>
      <c r="R385" s="2" t="inlineStr"/>
    </row>
    <row r="386" ht="15" customHeight="1">
      <c r="A386" t="inlineStr">
        <is>
          <t>A 39594-2022</t>
        </is>
      </c>
      <c r="B386" s="1" t="n">
        <v>44818</v>
      </c>
      <c r="C386" s="1" t="n">
        <v>46029</v>
      </c>
      <c r="D386" t="inlineStr">
        <is>
          <t>VÄSTERNORRLANDS LÄN</t>
        </is>
      </c>
      <c r="E386" t="inlineStr">
        <is>
          <t>ÅNGE</t>
        </is>
      </c>
      <c r="G386" t="n">
        <v>1.4</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46029</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53549-2023</t>
        </is>
      </c>
      <c r="B388" s="1" t="n">
        <v>45230</v>
      </c>
      <c r="C388" s="1" t="n">
        <v>46029</v>
      </c>
      <c r="D388" t="inlineStr">
        <is>
          <t>VÄSTERNORRLANDS LÄN</t>
        </is>
      </c>
      <c r="E388" t="inlineStr">
        <is>
          <t>ÅNGE</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51810-2023</t>
        </is>
      </c>
      <c r="B389" s="1" t="n">
        <v>45222.96583333334</v>
      </c>
      <c r="C389" s="1" t="n">
        <v>46029</v>
      </c>
      <c r="D389" t="inlineStr">
        <is>
          <t>VÄSTERNORRLANDS LÄN</t>
        </is>
      </c>
      <c r="E389" t="inlineStr">
        <is>
          <t>ÅNGE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31325-2022</t>
        </is>
      </c>
      <c r="B390" s="1" t="n">
        <v>44774.41421296296</v>
      </c>
      <c r="C390" s="1" t="n">
        <v>46029</v>
      </c>
      <c r="D390" t="inlineStr">
        <is>
          <t>VÄSTERNORRLANDS LÄN</t>
        </is>
      </c>
      <c r="E390" t="inlineStr">
        <is>
          <t>ÅNGE</t>
        </is>
      </c>
      <c r="G390" t="n">
        <v>6.3</v>
      </c>
      <c r="H390" t="n">
        <v>0</v>
      </c>
      <c r="I390" t="n">
        <v>0</v>
      </c>
      <c r="J390" t="n">
        <v>0</v>
      </c>
      <c r="K390" t="n">
        <v>0</v>
      </c>
      <c r="L390" t="n">
        <v>0</v>
      </c>
      <c r="M390" t="n">
        <v>0</v>
      </c>
      <c r="N390" t="n">
        <v>0</v>
      </c>
      <c r="O390" t="n">
        <v>0</v>
      </c>
      <c r="P390" t="n">
        <v>0</v>
      </c>
      <c r="Q390" t="n">
        <v>0</v>
      </c>
      <c r="R390" s="2" t="inlineStr"/>
    </row>
    <row r="391" ht="15" customHeight="1">
      <c r="A391" t="inlineStr">
        <is>
          <t>A 16978-2024</t>
        </is>
      </c>
      <c r="B391" s="1" t="n">
        <v>45412.02416666667</v>
      </c>
      <c r="C391" s="1" t="n">
        <v>46029</v>
      </c>
      <c r="D391" t="inlineStr">
        <is>
          <t>VÄSTERNORRLANDS LÄN</t>
        </is>
      </c>
      <c r="E391" t="inlineStr">
        <is>
          <t>ÅNGE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46029</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31696-2022</t>
        </is>
      </c>
      <c r="B393" s="1" t="n">
        <v>44776</v>
      </c>
      <c r="C393" s="1" t="n">
        <v>46029</v>
      </c>
      <c r="D393" t="inlineStr">
        <is>
          <t>VÄSTERNORRLANDS LÄN</t>
        </is>
      </c>
      <c r="E393" t="inlineStr">
        <is>
          <t>ÅNGE</t>
        </is>
      </c>
      <c r="G393" t="n">
        <v>1.8</v>
      </c>
      <c r="H393" t="n">
        <v>0</v>
      </c>
      <c r="I393" t="n">
        <v>0</v>
      </c>
      <c r="J393" t="n">
        <v>0</v>
      </c>
      <c r="K393" t="n">
        <v>0</v>
      </c>
      <c r="L393" t="n">
        <v>0</v>
      </c>
      <c r="M393" t="n">
        <v>0</v>
      </c>
      <c r="N393" t="n">
        <v>0</v>
      </c>
      <c r="O393" t="n">
        <v>0</v>
      </c>
      <c r="P393" t="n">
        <v>0</v>
      </c>
      <c r="Q393" t="n">
        <v>0</v>
      </c>
      <c r="R393" s="2" t="inlineStr"/>
    </row>
    <row r="394" ht="15" customHeight="1">
      <c r="A394" t="inlineStr">
        <is>
          <t>A 58634-2023</t>
        </is>
      </c>
      <c r="B394" s="1" t="n">
        <v>45251</v>
      </c>
      <c r="C394" s="1" t="n">
        <v>46029</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15369-2024</t>
        </is>
      </c>
      <c r="B395" s="1" t="n">
        <v>45400.92290509259</v>
      </c>
      <c r="C395" s="1" t="n">
        <v>46029</v>
      </c>
      <c r="D395" t="inlineStr">
        <is>
          <t>VÄSTERNORRLANDS LÄN</t>
        </is>
      </c>
      <c r="E395" t="inlineStr">
        <is>
          <t>ÅNGE</t>
        </is>
      </c>
      <c r="G395" t="n">
        <v>0.4</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46029</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20108-2025</t>
        </is>
      </c>
      <c r="B397" s="1" t="n">
        <v>45772.47006944445</v>
      </c>
      <c r="C397" s="1" t="n">
        <v>46029</v>
      </c>
      <c r="D397" t="inlineStr">
        <is>
          <t>VÄSTERNORRLANDS LÄN</t>
        </is>
      </c>
      <c r="E397" t="inlineStr">
        <is>
          <t>ÅNGE</t>
        </is>
      </c>
      <c r="F397" t="inlineStr">
        <is>
          <t>Naturvårdsverket</t>
        </is>
      </c>
      <c r="G397" t="n">
        <v>2</v>
      </c>
      <c r="H397" t="n">
        <v>0</v>
      </c>
      <c r="I397" t="n">
        <v>0</v>
      </c>
      <c r="J397" t="n">
        <v>0</v>
      </c>
      <c r="K397" t="n">
        <v>0</v>
      </c>
      <c r="L397" t="n">
        <v>0</v>
      </c>
      <c r="M397" t="n">
        <v>0</v>
      </c>
      <c r="N397" t="n">
        <v>0</v>
      </c>
      <c r="O397" t="n">
        <v>0</v>
      </c>
      <c r="P397" t="n">
        <v>0</v>
      </c>
      <c r="Q397" t="n">
        <v>0</v>
      </c>
      <c r="R397" s="2" t="inlineStr"/>
    </row>
    <row r="398" ht="15" customHeight="1">
      <c r="A398" t="inlineStr">
        <is>
          <t>A 63709-2023</t>
        </is>
      </c>
      <c r="B398" s="1" t="n">
        <v>45275.95069444444</v>
      </c>
      <c r="C398" s="1" t="n">
        <v>46029</v>
      </c>
      <c r="D398" t="inlineStr">
        <is>
          <t>VÄSTERNORRLANDS LÄN</t>
        </is>
      </c>
      <c r="E398" t="inlineStr">
        <is>
          <t>ÅNGE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34091-2022</t>
        </is>
      </c>
      <c r="B399" s="1" t="n">
        <v>44791</v>
      </c>
      <c r="C399" s="1" t="n">
        <v>46029</v>
      </c>
      <c r="D399" t="inlineStr">
        <is>
          <t>VÄSTERNORRLANDS LÄN</t>
        </is>
      </c>
      <c r="E399" t="inlineStr">
        <is>
          <t>ÅNGE</t>
        </is>
      </c>
      <c r="G399" t="n">
        <v>10.1</v>
      </c>
      <c r="H399" t="n">
        <v>0</v>
      </c>
      <c r="I399" t="n">
        <v>0</v>
      </c>
      <c r="J399" t="n">
        <v>0</v>
      </c>
      <c r="K399" t="n">
        <v>0</v>
      </c>
      <c r="L399" t="n">
        <v>0</v>
      </c>
      <c r="M399" t="n">
        <v>0</v>
      </c>
      <c r="N399" t="n">
        <v>0</v>
      </c>
      <c r="O399" t="n">
        <v>0</v>
      </c>
      <c r="P399" t="n">
        <v>0</v>
      </c>
      <c r="Q399" t="n">
        <v>0</v>
      </c>
      <c r="R399" s="2" t="inlineStr"/>
    </row>
    <row r="400" ht="15" customHeight="1">
      <c r="A400" t="inlineStr">
        <is>
          <t>A 35577-2024</t>
        </is>
      </c>
      <c r="B400" s="1" t="n">
        <v>45531</v>
      </c>
      <c r="C400" s="1" t="n">
        <v>46029</v>
      </c>
      <c r="D400" t="inlineStr">
        <is>
          <t>VÄSTERNORRLANDS LÄN</t>
        </is>
      </c>
      <c r="E400" t="inlineStr">
        <is>
          <t>ÅNGE</t>
        </is>
      </c>
      <c r="F400" t="inlineStr">
        <is>
          <t>SCA</t>
        </is>
      </c>
      <c r="G400" t="n">
        <v>0.1</v>
      </c>
      <c r="H400" t="n">
        <v>0</v>
      </c>
      <c r="I400" t="n">
        <v>0</v>
      </c>
      <c r="J400" t="n">
        <v>0</v>
      </c>
      <c r="K400" t="n">
        <v>0</v>
      </c>
      <c r="L400" t="n">
        <v>0</v>
      </c>
      <c r="M400" t="n">
        <v>0</v>
      </c>
      <c r="N400" t="n">
        <v>0</v>
      </c>
      <c r="O400" t="n">
        <v>0</v>
      </c>
      <c r="P400" t="n">
        <v>0</v>
      </c>
      <c r="Q400" t="n">
        <v>0</v>
      </c>
      <c r="R400" s="2" t="inlineStr"/>
    </row>
    <row r="401" ht="15" customHeight="1">
      <c r="A401" t="inlineStr">
        <is>
          <t>A 35580-2024</t>
        </is>
      </c>
      <c r="B401" s="1" t="n">
        <v>45531</v>
      </c>
      <c r="C401" s="1" t="n">
        <v>46029</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6610-2025</t>
        </is>
      </c>
      <c r="B402" s="1" t="n">
        <v>45700</v>
      </c>
      <c r="C402" s="1" t="n">
        <v>46029</v>
      </c>
      <c r="D402" t="inlineStr">
        <is>
          <t>VÄSTERNORRLANDS LÄN</t>
        </is>
      </c>
      <c r="E402" t="inlineStr">
        <is>
          <t>ÅNGE</t>
        </is>
      </c>
      <c r="F402" t="inlineStr">
        <is>
          <t>SCA</t>
        </is>
      </c>
      <c r="G402" t="n">
        <v>6</v>
      </c>
      <c r="H402" t="n">
        <v>0</v>
      </c>
      <c r="I402" t="n">
        <v>0</v>
      </c>
      <c r="J402" t="n">
        <v>0</v>
      </c>
      <c r="K402" t="n">
        <v>0</v>
      </c>
      <c r="L402" t="n">
        <v>0</v>
      </c>
      <c r="M402" t="n">
        <v>0</v>
      </c>
      <c r="N402" t="n">
        <v>0</v>
      </c>
      <c r="O402" t="n">
        <v>0</v>
      </c>
      <c r="P402" t="n">
        <v>0</v>
      </c>
      <c r="Q402" t="n">
        <v>0</v>
      </c>
      <c r="R402" s="2" t="inlineStr"/>
    </row>
    <row r="403" ht="15" customHeight="1">
      <c r="A403" t="inlineStr">
        <is>
          <t>A 54342-2023</t>
        </is>
      </c>
      <c r="B403" s="1" t="n">
        <v>45232</v>
      </c>
      <c r="C403" s="1" t="n">
        <v>46029</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2365-2024</t>
        </is>
      </c>
      <c r="B404" s="1" t="n">
        <v>45310.59778935185</v>
      </c>
      <c r="C404" s="1" t="n">
        <v>46029</v>
      </c>
      <c r="D404" t="inlineStr">
        <is>
          <t>VÄSTERNORRLANDS LÄN</t>
        </is>
      </c>
      <c r="E404" t="inlineStr">
        <is>
          <t>ÅNGE</t>
        </is>
      </c>
      <c r="G404" t="n">
        <v>0.5</v>
      </c>
      <c r="H404" t="n">
        <v>0</v>
      </c>
      <c r="I404" t="n">
        <v>0</v>
      </c>
      <c r="J404" t="n">
        <v>0</v>
      </c>
      <c r="K404" t="n">
        <v>0</v>
      </c>
      <c r="L404" t="n">
        <v>0</v>
      </c>
      <c r="M404" t="n">
        <v>0</v>
      </c>
      <c r="N404" t="n">
        <v>0</v>
      </c>
      <c r="O404" t="n">
        <v>0</v>
      </c>
      <c r="P404" t="n">
        <v>0</v>
      </c>
      <c r="Q404" t="n">
        <v>0</v>
      </c>
      <c r="R404" s="2" t="inlineStr"/>
    </row>
    <row r="405" ht="15" customHeight="1">
      <c r="A405" t="inlineStr">
        <is>
          <t>A 2372-2024</t>
        </is>
      </c>
      <c r="B405" s="1" t="n">
        <v>45310.6115625</v>
      </c>
      <c r="C405" s="1" t="n">
        <v>46029</v>
      </c>
      <c r="D405" t="inlineStr">
        <is>
          <t>VÄSTERNORRLANDS LÄN</t>
        </is>
      </c>
      <c r="E405" t="inlineStr">
        <is>
          <t>ÅNGE</t>
        </is>
      </c>
      <c r="G405" t="n">
        <v>5.6</v>
      </c>
      <c r="H405" t="n">
        <v>0</v>
      </c>
      <c r="I405" t="n">
        <v>0</v>
      </c>
      <c r="J405" t="n">
        <v>0</v>
      </c>
      <c r="K405" t="n">
        <v>0</v>
      </c>
      <c r="L405" t="n">
        <v>0</v>
      </c>
      <c r="M405" t="n">
        <v>0</v>
      </c>
      <c r="N405" t="n">
        <v>0</v>
      </c>
      <c r="O405" t="n">
        <v>0</v>
      </c>
      <c r="P405" t="n">
        <v>0</v>
      </c>
      <c r="Q405" t="n">
        <v>0</v>
      </c>
      <c r="R405" s="2" t="inlineStr"/>
    </row>
    <row r="406" ht="15" customHeight="1">
      <c r="A406" t="inlineStr">
        <is>
          <t>A 17452-2025</t>
        </is>
      </c>
      <c r="B406" s="1" t="n">
        <v>45757.44842592593</v>
      </c>
      <c r="C406" s="1" t="n">
        <v>46029</v>
      </c>
      <c r="D406" t="inlineStr">
        <is>
          <t>VÄSTERNORRLANDS LÄN</t>
        </is>
      </c>
      <c r="E406" t="inlineStr">
        <is>
          <t>ÅNGE</t>
        </is>
      </c>
      <c r="F406" t="inlineStr">
        <is>
          <t>SCA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46029</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46029</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20761-2024</t>
        </is>
      </c>
      <c r="B409" s="1" t="n">
        <v>45436</v>
      </c>
      <c r="C409" s="1" t="n">
        <v>46029</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42857-2022</t>
        </is>
      </c>
      <c r="B410" s="1" t="n">
        <v>44832</v>
      </c>
      <c r="C410" s="1" t="n">
        <v>46029</v>
      </c>
      <c r="D410" t="inlineStr">
        <is>
          <t>VÄSTERNORRLANDS LÄN</t>
        </is>
      </c>
      <c r="E410" t="inlineStr">
        <is>
          <t>ÅNGE</t>
        </is>
      </c>
      <c r="G410" t="n">
        <v>3.4</v>
      </c>
      <c r="H410" t="n">
        <v>0</v>
      </c>
      <c r="I410" t="n">
        <v>0</v>
      </c>
      <c r="J410" t="n">
        <v>0</v>
      </c>
      <c r="K410" t="n">
        <v>0</v>
      </c>
      <c r="L410" t="n">
        <v>0</v>
      </c>
      <c r="M410" t="n">
        <v>0</v>
      </c>
      <c r="N410" t="n">
        <v>0</v>
      </c>
      <c r="O410" t="n">
        <v>0</v>
      </c>
      <c r="P410" t="n">
        <v>0</v>
      </c>
      <c r="Q410" t="n">
        <v>0</v>
      </c>
      <c r="R410" s="2" t="inlineStr"/>
    </row>
    <row r="411" ht="15" customHeight="1">
      <c r="A411" t="inlineStr">
        <is>
          <t>A 15287-2025</t>
        </is>
      </c>
      <c r="B411" s="1" t="n">
        <v>45745</v>
      </c>
      <c r="C411" s="1" t="n">
        <v>46029</v>
      </c>
      <c r="D411" t="inlineStr">
        <is>
          <t>VÄSTERNORRLANDS LÄN</t>
        </is>
      </c>
      <c r="E411" t="inlineStr">
        <is>
          <t>ÅNGE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15288-2025</t>
        </is>
      </c>
      <c r="B412" s="1" t="n">
        <v>45745.34423611111</v>
      </c>
      <c r="C412" s="1" t="n">
        <v>46029</v>
      </c>
      <c r="D412" t="inlineStr">
        <is>
          <t>VÄSTERNORRLANDS LÄN</t>
        </is>
      </c>
      <c r="E412" t="inlineStr">
        <is>
          <t>ÅNGE</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58997-2023</t>
        </is>
      </c>
      <c r="B413" s="1" t="n">
        <v>45252.6352662037</v>
      </c>
      <c r="C413" s="1" t="n">
        <v>46029</v>
      </c>
      <c r="D413" t="inlineStr">
        <is>
          <t>VÄSTERNORRLANDS LÄN</t>
        </is>
      </c>
      <c r="E413" t="inlineStr">
        <is>
          <t>ÅNGE</t>
        </is>
      </c>
      <c r="F413" t="inlineStr">
        <is>
          <t>Övriga Aktiebolag</t>
        </is>
      </c>
      <c r="G413" t="n">
        <v>2.1</v>
      </c>
      <c r="H413" t="n">
        <v>0</v>
      </c>
      <c r="I413" t="n">
        <v>0</v>
      </c>
      <c r="J413" t="n">
        <v>0</v>
      </c>
      <c r="K413" t="n">
        <v>0</v>
      </c>
      <c r="L413" t="n">
        <v>0</v>
      </c>
      <c r="M413" t="n">
        <v>0</v>
      </c>
      <c r="N413" t="n">
        <v>0</v>
      </c>
      <c r="O413" t="n">
        <v>0</v>
      </c>
      <c r="P413" t="n">
        <v>0</v>
      </c>
      <c r="Q413" t="n">
        <v>0</v>
      </c>
      <c r="R413" s="2" t="inlineStr"/>
    </row>
    <row r="414" ht="15" customHeight="1">
      <c r="A414" t="inlineStr">
        <is>
          <t>A 18869-2024</t>
        </is>
      </c>
      <c r="B414" s="1" t="n">
        <v>45426</v>
      </c>
      <c r="C414" s="1" t="n">
        <v>46029</v>
      </c>
      <c r="D414" t="inlineStr">
        <is>
          <t>VÄSTERNORRLANDS LÄN</t>
        </is>
      </c>
      <c r="E414" t="inlineStr">
        <is>
          <t>ÅNGE</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24797-2024</t>
        </is>
      </c>
      <c r="B415" s="1" t="n">
        <v>45460.95269675926</v>
      </c>
      <c r="C415" s="1" t="n">
        <v>46029</v>
      </c>
      <c r="D415" t="inlineStr">
        <is>
          <t>VÄSTERNORRLANDS LÄN</t>
        </is>
      </c>
      <c r="E415" t="inlineStr">
        <is>
          <t>ÅNGE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22680-2024</t>
        </is>
      </c>
      <c r="B416" s="1" t="n">
        <v>45447.94548611111</v>
      </c>
      <c r="C416" s="1" t="n">
        <v>46029</v>
      </c>
      <c r="D416" t="inlineStr">
        <is>
          <t>VÄSTERNORRLANDS LÄN</t>
        </is>
      </c>
      <c r="E416" t="inlineStr">
        <is>
          <t>ÅNGE</t>
        </is>
      </c>
      <c r="G416" t="n">
        <v>0.7</v>
      </c>
      <c r="H416" t="n">
        <v>0</v>
      </c>
      <c r="I416" t="n">
        <v>0</v>
      </c>
      <c r="J416" t="n">
        <v>0</v>
      </c>
      <c r="K416" t="n">
        <v>0</v>
      </c>
      <c r="L416" t="n">
        <v>0</v>
      </c>
      <c r="M416" t="n">
        <v>0</v>
      </c>
      <c r="N416" t="n">
        <v>0</v>
      </c>
      <c r="O416" t="n">
        <v>0</v>
      </c>
      <c r="P416" t="n">
        <v>0</v>
      </c>
      <c r="Q416" t="n">
        <v>0</v>
      </c>
      <c r="R416" s="2" t="inlineStr"/>
    </row>
    <row r="417" ht="15" customHeight="1">
      <c r="A417" t="inlineStr">
        <is>
          <t>A 47792-2022</t>
        </is>
      </c>
      <c r="B417" s="1" t="n">
        <v>44854.95238425926</v>
      </c>
      <c r="C417" s="1" t="n">
        <v>46029</v>
      </c>
      <c r="D417" t="inlineStr">
        <is>
          <t>VÄSTERNORRLANDS LÄN</t>
        </is>
      </c>
      <c r="E417" t="inlineStr">
        <is>
          <t>ÅNGE</t>
        </is>
      </c>
      <c r="F417" t="inlineStr">
        <is>
          <t>SCA</t>
        </is>
      </c>
      <c r="G417" t="n">
        <v>10.9</v>
      </c>
      <c r="H417" t="n">
        <v>0</v>
      </c>
      <c r="I417" t="n">
        <v>0</v>
      </c>
      <c r="J417" t="n">
        <v>0</v>
      </c>
      <c r="K417" t="n">
        <v>0</v>
      </c>
      <c r="L417" t="n">
        <v>0</v>
      </c>
      <c r="M417" t="n">
        <v>0</v>
      </c>
      <c r="N417" t="n">
        <v>0</v>
      </c>
      <c r="O417" t="n">
        <v>0</v>
      </c>
      <c r="P417" t="n">
        <v>0</v>
      </c>
      <c r="Q417" t="n">
        <v>0</v>
      </c>
      <c r="R417" s="2" t="inlineStr"/>
    </row>
    <row r="418" ht="15" customHeight="1">
      <c r="A418" t="inlineStr">
        <is>
          <t>A 23035-2024</t>
        </is>
      </c>
      <c r="B418" s="1" t="n">
        <v>45450.39016203704</v>
      </c>
      <c r="C418" s="1" t="n">
        <v>46029</v>
      </c>
      <c r="D418" t="inlineStr">
        <is>
          <t>VÄSTERNORRLANDS LÄN</t>
        </is>
      </c>
      <c r="E418" t="inlineStr">
        <is>
          <t>ÅNGE</t>
        </is>
      </c>
      <c r="G418" t="n">
        <v>12.1</v>
      </c>
      <c r="H418" t="n">
        <v>0</v>
      </c>
      <c r="I418" t="n">
        <v>0</v>
      </c>
      <c r="J418" t="n">
        <v>0</v>
      </c>
      <c r="K418" t="n">
        <v>0</v>
      </c>
      <c r="L418" t="n">
        <v>0</v>
      </c>
      <c r="M418" t="n">
        <v>0</v>
      </c>
      <c r="N418" t="n">
        <v>0</v>
      </c>
      <c r="O418" t="n">
        <v>0</v>
      </c>
      <c r="P418" t="n">
        <v>0</v>
      </c>
      <c r="Q418" t="n">
        <v>0</v>
      </c>
      <c r="R418" s="2" t="inlineStr"/>
    </row>
    <row r="419" ht="15" customHeight="1">
      <c r="A419" t="inlineStr">
        <is>
          <t>A 23063-2024</t>
        </is>
      </c>
      <c r="B419" s="1" t="n">
        <v>45450.44278935185</v>
      </c>
      <c r="C419" s="1" t="n">
        <v>46029</v>
      </c>
      <c r="D419" t="inlineStr">
        <is>
          <t>VÄSTERNORRLANDS LÄN</t>
        </is>
      </c>
      <c r="E419" t="inlineStr">
        <is>
          <t>ÅNGE</t>
        </is>
      </c>
      <c r="G419" t="n">
        <v>0.8</v>
      </c>
      <c r="H419" t="n">
        <v>0</v>
      </c>
      <c r="I419" t="n">
        <v>0</v>
      </c>
      <c r="J419" t="n">
        <v>0</v>
      </c>
      <c r="K419" t="n">
        <v>0</v>
      </c>
      <c r="L419" t="n">
        <v>0</v>
      </c>
      <c r="M419" t="n">
        <v>0</v>
      </c>
      <c r="N419" t="n">
        <v>0</v>
      </c>
      <c r="O419" t="n">
        <v>0</v>
      </c>
      <c r="P419" t="n">
        <v>0</v>
      </c>
      <c r="Q419" t="n">
        <v>0</v>
      </c>
      <c r="R419" s="2" t="inlineStr"/>
    </row>
    <row r="420" ht="15" customHeight="1">
      <c r="A420" t="inlineStr">
        <is>
          <t>A 12581-2024</t>
        </is>
      </c>
      <c r="B420" s="1" t="n">
        <v>45379</v>
      </c>
      <c r="C420" s="1" t="n">
        <v>46029</v>
      </c>
      <c r="D420" t="inlineStr">
        <is>
          <t>VÄSTERNORRLANDS LÄN</t>
        </is>
      </c>
      <c r="E420" t="inlineStr">
        <is>
          <t>ÅNGE</t>
        </is>
      </c>
      <c r="G420" t="n">
        <v>1.7</v>
      </c>
      <c r="H420" t="n">
        <v>0</v>
      </c>
      <c r="I420" t="n">
        <v>0</v>
      </c>
      <c r="J420" t="n">
        <v>0</v>
      </c>
      <c r="K420" t="n">
        <v>0</v>
      </c>
      <c r="L420" t="n">
        <v>0</v>
      </c>
      <c r="M420" t="n">
        <v>0</v>
      </c>
      <c r="N420" t="n">
        <v>0</v>
      </c>
      <c r="O420" t="n">
        <v>0</v>
      </c>
      <c r="P420" t="n">
        <v>0</v>
      </c>
      <c r="Q420" t="n">
        <v>0</v>
      </c>
      <c r="R420" s="2" t="inlineStr"/>
    </row>
    <row r="421" ht="15" customHeight="1">
      <c r="A421" t="inlineStr">
        <is>
          <t>A 24231-2024</t>
        </is>
      </c>
      <c r="B421" s="1" t="n">
        <v>45457.34393518518</v>
      </c>
      <c r="C421" s="1" t="n">
        <v>46029</v>
      </c>
      <c r="D421" t="inlineStr">
        <is>
          <t>VÄSTERNORRLANDS LÄN</t>
        </is>
      </c>
      <c r="E421" t="inlineStr">
        <is>
          <t>ÅNGE</t>
        </is>
      </c>
      <c r="F421" t="inlineStr">
        <is>
          <t>Sveaskog</t>
        </is>
      </c>
      <c r="G421" t="n">
        <v>7</v>
      </c>
      <c r="H421" t="n">
        <v>0</v>
      </c>
      <c r="I421" t="n">
        <v>0</v>
      </c>
      <c r="J421" t="n">
        <v>0</v>
      </c>
      <c r="K421" t="n">
        <v>0</v>
      </c>
      <c r="L421" t="n">
        <v>0</v>
      </c>
      <c r="M421" t="n">
        <v>0</v>
      </c>
      <c r="N421" t="n">
        <v>0</v>
      </c>
      <c r="O421" t="n">
        <v>0</v>
      </c>
      <c r="P421" t="n">
        <v>0</v>
      </c>
      <c r="Q421" t="n">
        <v>0</v>
      </c>
      <c r="R421" s="2" t="inlineStr"/>
    </row>
    <row r="422" ht="15" customHeight="1">
      <c r="A422" t="inlineStr">
        <is>
          <t>A 9567-2024</t>
        </is>
      </c>
      <c r="B422" s="1" t="n">
        <v>45360.03635416667</v>
      </c>
      <c r="C422" s="1" t="n">
        <v>46029</v>
      </c>
      <c r="D422" t="inlineStr">
        <is>
          <t>VÄSTERNORRLANDS LÄN</t>
        </is>
      </c>
      <c r="E422" t="inlineStr">
        <is>
          <t>ÅNGE</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34815-2024</t>
        </is>
      </c>
      <c r="B423" s="1" t="n">
        <v>45526.70732638889</v>
      </c>
      <c r="C423" s="1" t="n">
        <v>46029</v>
      </c>
      <c r="D423" t="inlineStr">
        <is>
          <t>VÄSTERNORRLANDS LÄN</t>
        </is>
      </c>
      <c r="E423" t="inlineStr">
        <is>
          <t>ÅNGE</t>
        </is>
      </c>
      <c r="G423" t="n">
        <v>1.3</v>
      </c>
      <c r="H423" t="n">
        <v>0</v>
      </c>
      <c r="I423" t="n">
        <v>0</v>
      </c>
      <c r="J423" t="n">
        <v>0</v>
      </c>
      <c r="K423" t="n">
        <v>0</v>
      </c>
      <c r="L423" t="n">
        <v>0</v>
      </c>
      <c r="M423" t="n">
        <v>0</v>
      </c>
      <c r="N423" t="n">
        <v>0</v>
      </c>
      <c r="O423" t="n">
        <v>0</v>
      </c>
      <c r="P423" t="n">
        <v>0</v>
      </c>
      <c r="Q423" t="n">
        <v>0</v>
      </c>
      <c r="R423" s="2" t="inlineStr"/>
    </row>
    <row r="424" ht="15" customHeight="1">
      <c r="A424" t="inlineStr">
        <is>
          <t>A 13773-2024</t>
        </is>
      </c>
      <c r="B424" s="1" t="n">
        <v>45390.95297453704</v>
      </c>
      <c r="C424" s="1" t="n">
        <v>46029</v>
      </c>
      <c r="D424" t="inlineStr">
        <is>
          <t>VÄSTERNORRLANDS LÄN</t>
        </is>
      </c>
      <c r="E424" t="inlineStr">
        <is>
          <t>ÅNGE</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56399-2022</t>
        </is>
      </c>
      <c r="B425" s="1" t="n">
        <v>44890</v>
      </c>
      <c r="C425" s="1" t="n">
        <v>46029</v>
      </c>
      <c r="D425" t="inlineStr">
        <is>
          <t>VÄSTERNORRLANDS LÄN</t>
        </is>
      </c>
      <c r="E425" t="inlineStr">
        <is>
          <t>ÅNGE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21200-2024</t>
        </is>
      </c>
      <c r="B426" s="1" t="n">
        <v>45440</v>
      </c>
      <c r="C426" s="1" t="n">
        <v>46029</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51311-2022</t>
        </is>
      </c>
      <c r="B427" s="1" t="n">
        <v>44868</v>
      </c>
      <c r="C427" s="1" t="n">
        <v>46029</v>
      </c>
      <c r="D427" t="inlineStr">
        <is>
          <t>VÄSTERNORRLANDS LÄN</t>
        </is>
      </c>
      <c r="E427" t="inlineStr">
        <is>
          <t>ÅNGE</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1420-2023</t>
        </is>
      </c>
      <c r="B428" s="1" t="n">
        <v>44936.92762731481</v>
      </c>
      <c r="C428" s="1" t="n">
        <v>46029</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33428-2023</t>
        </is>
      </c>
      <c r="B429" s="1" t="n">
        <v>45128.94976851852</v>
      </c>
      <c r="C429" s="1" t="n">
        <v>46029</v>
      </c>
      <c r="D429" t="inlineStr">
        <is>
          <t>VÄSTERNORRLANDS LÄN</t>
        </is>
      </c>
      <c r="E429" t="inlineStr">
        <is>
          <t>ÅNGE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60205-2023</t>
        </is>
      </c>
      <c r="B430" s="1" t="n">
        <v>45257</v>
      </c>
      <c r="C430" s="1" t="n">
        <v>46029</v>
      </c>
      <c r="D430" t="inlineStr">
        <is>
          <t>VÄSTERNORRLANDS LÄN</t>
        </is>
      </c>
      <c r="E430" t="inlineStr">
        <is>
          <t>ÅNGE</t>
        </is>
      </c>
      <c r="G430" t="n">
        <v>2.1</v>
      </c>
      <c r="H430" t="n">
        <v>0</v>
      </c>
      <c r="I430" t="n">
        <v>0</v>
      </c>
      <c r="J430" t="n">
        <v>0</v>
      </c>
      <c r="K430" t="n">
        <v>0</v>
      </c>
      <c r="L430" t="n">
        <v>0</v>
      </c>
      <c r="M430" t="n">
        <v>0</v>
      </c>
      <c r="N430" t="n">
        <v>0</v>
      </c>
      <c r="O430" t="n">
        <v>0</v>
      </c>
      <c r="P430" t="n">
        <v>0</v>
      </c>
      <c r="Q430" t="n">
        <v>0</v>
      </c>
      <c r="R430" s="2" t="inlineStr"/>
    </row>
    <row r="431" ht="15" customHeight="1">
      <c r="A431" t="inlineStr">
        <is>
          <t>A 51383-2022</t>
        </is>
      </c>
      <c r="B431" s="1" t="n">
        <v>44866</v>
      </c>
      <c r="C431" s="1" t="n">
        <v>46029</v>
      </c>
      <c r="D431" t="inlineStr">
        <is>
          <t>VÄSTERNORRLANDS LÄN</t>
        </is>
      </c>
      <c r="E431" t="inlineStr">
        <is>
          <t>ÅNGE</t>
        </is>
      </c>
      <c r="G431" t="n">
        <v>1.5</v>
      </c>
      <c r="H431" t="n">
        <v>0</v>
      </c>
      <c r="I431" t="n">
        <v>0</v>
      </c>
      <c r="J431" t="n">
        <v>0</v>
      </c>
      <c r="K431" t="n">
        <v>0</v>
      </c>
      <c r="L431" t="n">
        <v>0</v>
      </c>
      <c r="M431" t="n">
        <v>0</v>
      </c>
      <c r="N431" t="n">
        <v>0</v>
      </c>
      <c r="O431" t="n">
        <v>0</v>
      </c>
      <c r="P431" t="n">
        <v>0</v>
      </c>
      <c r="Q431" t="n">
        <v>0</v>
      </c>
      <c r="R431" s="2" t="inlineStr"/>
    </row>
    <row r="432" ht="15" customHeight="1">
      <c r="A432" t="inlineStr">
        <is>
          <t>A 51393-2022</t>
        </is>
      </c>
      <c r="B432" s="1" t="n">
        <v>44869.43277777778</v>
      </c>
      <c r="C432" s="1" t="n">
        <v>46029</v>
      </c>
      <c r="D432" t="inlineStr">
        <is>
          <t>VÄSTERNORRLANDS LÄN</t>
        </is>
      </c>
      <c r="E432" t="inlineStr">
        <is>
          <t>ÅNGE</t>
        </is>
      </c>
      <c r="F432" t="inlineStr">
        <is>
          <t>Holmen skog AB</t>
        </is>
      </c>
      <c r="G432" t="n">
        <v>1.1</v>
      </c>
      <c r="H432" t="n">
        <v>0</v>
      </c>
      <c r="I432" t="n">
        <v>0</v>
      </c>
      <c r="J432" t="n">
        <v>0</v>
      </c>
      <c r="K432" t="n">
        <v>0</v>
      </c>
      <c r="L432" t="n">
        <v>0</v>
      </c>
      <c r="M432" t="n">
        <v>0</v>
      </c>
      <c r="N432" t="n">
        <v>0</v>
      </c>
      <c r="O432" t="n">
        <v>0</v>
      </c>
      <c r="P432" t="n">
        <v>0</v>
      </c>
      <c r="Q432" t="n">
        <v>0</v>
      </c>
      <c r="R432" s="2" t="inlineStr"/>
    </row>
    <row r="433" ht="15" customHeight="1">
      <c r="A433" t="inlineStr">
        <is>
          <t>A 11088-2024</t>
        </is>
      </c>
      <c r="B433" s="1" t="n">
        <v>45370</v>
      </c>
      <c r="C433" s="1" t="n">
        <v>46029</v>
      </c>
      <c r="D433" t="inlineStr">
        <is>
          <t>VÄSTERNORRLANDS LÄN</t>
        </is>
      </c>
      <c r="E433" t="inlineStr">
        <is>
          <t>ÅNGE</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33631-2024</t>
        </is>
      </c>
      <c r="B434" s="1" t="n">
        <v>45520</v>
      </c>
      <c r="C434" s="1" t="n">
        <v>46029</v>
      </c>
      <c r="D434" t="inlineStr">
        <is>
          <t>VÄSTERNORRLANDS LÄN</t>
        </is>
      </c>
      <c r="E434" t="inlineStr">
        <is>
          <t>ÅNGE</t>
        </is>
      </c>
      <c r="G434" t="n">
        <v>1.7</v>
      </c>
      <c r="H434" t="n">
        <v>0</v>
      </c>
      <c r="I434" t="n">
        <v>0</v>
      </c>
      <c r="J434" t="n">
        <v>0</v>
      </c>
      <c r="K434" t="n">
        <v>0</v>
      </c>
      <c r="L434" t="n">
        <v>0</v>
      </c>
      <c r="M434" t="n">
        <v>0</v>
      </c>
      <c r="N434" t="n">
        <v>0</v>
      </c>
      <c r="O434" t="n">
        <v>0</v>
      </c>
      <c r="P434" t="n">
        <v>0</v>
      </c>
      <c r="Q434" t="n">
        <v>0</v>
      </c>
      <c r="R434" s="2" t="inlineStr"/>
    </row>
    <row r="435" ht="15" customHeight="1">
      <c r="A435" t="inlineStr">
        <is>
          <t>A 28506-2024</t>
        </is>
      </c>
      <c r="B435" s="1" t="n">
        <v>45477.9475</v>
      </c>
      <c r="C435" s="1" t="n">
        <v>46029</v>
      </c>
      <c r="D435" t="inlineStr">
        <is>
          <t>VÄSTERNORRLANDS LÄN</t>
        </is>
      </c>
      <c r="E435" t="inlineStr">
        <is>
          <t>ÅNGE</t>
        </is>
      </c>
      <c r="F435" t="inlineStr">
        <is>
          <t>SCA</t>
        </is>
      </c>
      <c r="G435" t="n">
        <v>4</v>
      </c>
      <c r="H435" t="n">
        <v>0</v>
      </c>
      <c r="I435" t="n">
        <v>0</v>
      </c>
      <c r="J435" t="n">
        <v>0</v>
      </c>
      <c r="K435" t="n">
        <v>0</v>
      </c>
      <c r="L435" t="n">
        <v>0</v>
      </c>
      <c r="M435" t="n">
        <v>0</v>
      </c>
      <c r="N435" t="n">
        <v>0</v>
      </c>
      <c r="O435" t="n">
        <v>0</v>
      </c>
      <c r="P435" t="n">
        <v>0</v>
      </c>
      <c r="Q435" t="n">
        <v>0</v>
      </c>
      <c r="R435" s="2" t="inlineStr"/>
    </row>
    <row r="436" ht="15" customHeight="1">
      <c r="A436" t="inlineStr">
        <is>
          <t>A 26012-2024</t>
        </is>
      </c>
      <c r="B436" s="1" t="n">
        <v>45467</v>
      </c>
      <c r="C436" s="1" t="n">
        <v>46029</v>
      </c>
      <c r="D436" t="inlineStr">
        <is>
          <t>VÄSTERNORRLANDS LÄN</t>
        </is>
      </c>
      <c r="E436" t="inlineStr">
        <is>
          <t>ÅNGE</t>
        </is>
      </c>
      <c r="F436" t="inlineStr">
        <is>
          <t>SCA</t>
        </is>
      </c>
      <c r="G436" t="n">
        <v>7.5</v>
      </c>
      <c r="H436" t="n">
        <v>0</v>
      </c>
      <c r="I436" t="n">
        <v>0</v>
      </c>
      <c r="J436" t="n">
        <v>0</v>
      </c>
      <c r="K436" t="n">
        <v>0</v>
      </c>
      <c r="L436" t="n">
        <v>0</v>
      </c>
      <c r="M436" t="n">
        <v>0</v>
      </c>
      <c r="N436" t="n">
        <v>0</v>
      </c>
      <c r="O436" t="n">
        <v>0</v>
      </c>
      <c r="P436" t="n">
        <v>0</v>
      </c>
      <c r="Q436" t="n">
        <v>0</v>
      </c>
      <c r="R436" s="2" t="inlineStr"/>
    </row>
    <row r="437" ht="15" customHeight="1">
      <c r="A437" t="inlineStr">
        <is>
          <t>A 44876-2024</t>
        </is>
      </c>
      <c r="B437" s="1" t="n">
        <v>45575.34474537037</v>
      </c>
      <c r="C437" s="1" t="n">
        <v>46029</v>
      </c>
      <c r="D437" t="inlineStr">
        <is>
          <t>VÄSTERNORRLANDS LÄN</t>
        </is>
      </c>
      <c r="E437" t="inlineStr">
        <is>
          <t>ÅNGE</t>
        </is>
      </c>
      <c r="F437" t="inlineStr">
        <is>
          <t>SCA</t>
        </is>
      </c>
      <c r="G437" t="n">
        <v>12.4</v>
      </c>
      <c r="H437" t="n">
        <v>0</v>
      </c>
      <c r="I437" t="n">
        <v>0</v>
      </c>
      <c r="J437" t="n">
        <v>0</v>
      </c>
      <c r="K437" t="n">
        <v>0</v>
      </c>
      <c r="L437" t="n">
        <v>0</v>
      </c>
      <c r="M437" t="n">
        <v>0</v>
      </c>
      <c r="N437" t="n">
        <v>0</v>
      </c>
      <c r="O437" t="n">
        <v>0</v>
      </c>
      <c r="P437" t="n">
        <v>0</v>
      </c>
      <c r="Q437" t="n">
        <v>0</v>
      </c>
      <c r="R437" s="2" t="inlineStr"/>
    </row>
    <row r="438" ht="15" customHeight="1">
      <c r="A438" t="inlineStr">
        <is>
          <t>A 30348-2024</t>
        </is>
      </c>
      <c r="B438" s="1" t="n">
        <v>45490.95524305556</v>
      </c>
      <c r="C438" s="1" t="n">
        <v>46029</v>
      </c>
      <c r="D438" t="inlineStr">
        <is>
          <t>VÄSTERNORRLANDS LÄN</t>
        </is>
      </c>
      <c r="E438" t="inlineStr">
        <is>
          <t>ÅNGE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31457-2024</t>
        </is>
      </c>
      <c r="B439" s="1" t="n">
        <v>45505</v>
      </c>
      <c r="C439" s="1" t="n">
        <v>46029</v>
      </c>
      <c r="D439" t="inlineStr">
        <is>
          <t>VÄSTERNORRLANDS LÄN</t>
        </is>
      </c>
      <c r="E439" t="inlineStr">
        <is>
          <t>ÅNGE</t>
        </is>
      </c>
      <c r="F439" t="inlineStr">
        <is>
          <t>SCA</t>
        </is>
      </c>
      <c r="G439" t="n">
        <v>5.2</v>
      </c>
      <c r="H439" t="n">
        <v>0</v>
      </c>
      <c r="I439" t="n">
        <v>0</v>
      </c>
      <c r="J439" t="n">
        <v>0</v>
      </c>
      <c r="K439" t="n">
        <v>0</v>
      </c>
      <c r="L439" t="n">
        <v>0</v>
      </c>
      <c r="M439" t="n">
        <v>0</v>
      </c>
      <c r="N439" t="n">
        <v>0</v>
      </c>
      <c r="O439" t="n">
        <v>0</v>
      </c>
      <c r="P439" t="n">
        <v>0</v>
      </c>
      <c r="Q439" t="n">
        <v>0</v>
      </c>
      <c r="R439" s="2" t="inlineStr"/>
    </row>
    <row r="440" ht="15" customHeight="1">
      <c r="A440" t="inlineStr">
        <is>
          <t>A 35392-2024</t>
        </is>
      </c>
      <c r="B440" s="1" t="n">
        <v>45531.4025462963</v>
      </c>
      <c r="C440" s="1" t="n">
        <v>46029</v>
      </c>
      <c r="D440" t="inlineStr">
        <is>
          <t>VÄSTERNORRLANDS LÄN</t>
        </is>
      </c>
      <c r="E440" t="inlineStr">
        <is>
          <t>ÅNGE</t>
        </is>
      </c>
      <c r="F440" t="inlineStr">
        <is>
          <t>SCA</t>
        </is>
      </c>
      <c r="G440" t="n">
        <v>2.6</v>
      </c>
      <c r="H440" t="n">
        <v>0</v>
      </c>
      <c r="I440" t="n">
        <v>0</v>
      </c>
      <c r="J440" t="n">
        <v>0</v>
      </c>
      <c r="K440" t="n">
        <v>0</v>
      </c>
      <c r="L440" t="n">
        <v>0</v>
      </c>
      <c r="M440" t="n">
        <v>0</v>
      </c>
      <c r="N440" t="n">
        <v>0</v>
      </c>
      <c r="O440" t="n">
        <v>0</v>
      </c>
      <c r="P440" t="n">
        <v>0</v>
      </c>
      <c r="Q440" t="n">
        <v>0</v>
      </c>
      <c r="R440" s="2" t="inlineStr"/>
    </row>
    <row r="441" ht="15" customHeight="1">
      <c r="A441" t="inlineStr">
        <is>
          <t>A 43066-2022</t>
        </is>
      </c>
      <c r="B441" s="1" t="n">
        <v>44833</v>
      </c>
      <c r="C441" s="1" t="n">
        <v>46029</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57595-2022</t>
        </is>
      </c>
      <c r="B442" s="1" t="n">
        <v>44896.97862268519</v>
      </c>
      <c r="C442" s="1" t="n">
        <v>46029</v>
      </c>
      <c r="D442" t="inlineStr">
        <is>
          <t>VÄSTERNORRLANDS LÄN</t>
        </is>
      </c>
      <c r="E442" t="inlineStr">
        <is>
          <t>ÅNGE</t>
        </is>
      </c>
      <c r="F442" t="inlineStr">
        <is>
          <t>SCA</t>
        </is>
      </c>
      <c r="G442" t="n">
        <v>4.7</v>
      </c>
      <c r="H442" t="n">
        <v>0</v>
      </c>
      <c r="I442" t="n">
        <v>0</v>
      </c>
      <c r="J442" t="n">
        <v>0</v>
      </c>
      <c r="K442" t="n">
        <v>0</v>
      </c>
      <c r="L442" t="n">
        <v>0</v>
      </c>
      <c r="M442" t="n">
        <v>0</v>
      </c>
      <c r="N442" t="n">
        <v>0</v>
      </c>
      <c r="O442" t="n">
        <v>0</v>
      </c>
      <c r="P442" t="n">
        <v>0</v>
      </c>
      <c r="Q442" t="n">
        <v>0</v>
      </c>
      <c r="R442" s="2" t="inlineStr"/>
    </row>
    <row r="443" ht="15" customHeight="1">
      <c r="A443" t="inlineStr">
        <is>
          <t>A 24232-2024</t>
        </is>
      </c>
      <c r="B443" s="1" t="n">
        <v>45457.34686342593</v>
      </c>
      <c r="C443" s="1" t="n">
        <v>46029</v>
      </c>
      <c r="D443" t="inlineStr">
        <is>
          <t>VÄSTERNORRLANDS LÄN</t>
        </is>
      </c>
      <c r="E443" t="inlineStr">
        <is>
          <t>ÅNGE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27321-2024</t>
        </is>
      </c>
      <c r="B444" s="1" t="n">
        <v>45471</v>
      </c>
      <c r="C444" s="1" t="n">
        <v>46029</v>
      </c>
      <c r="D444" t="inlineStr">
        <is>
          <t>VÄSTERNORRLANDS LÄN</t>
        </is>
      </c>
      <c r="E444" t="inlineStr">
        <is>
          <t>ÅNGE</t>
        </is>
      </c>
      <c r="F444" t="inlineStr">
        <is>
          <t>SCA</t>
        </is>
      </c>
      <c r="G444" t="n">
        <v>14.1</v>
      </c>
      <c r="H444" t="n">
        <v>0</v>
      </c>
      <c r="I444" t="n">
        <v>0</v>
      </c>
      <c r="J444" t="n">
        <v>0</v>
      </c>
      <c r="K444" t="n">
        <v>0</v>
      </c>
      <c r="L444" t="n">
        <v>0</v>
      </c>
      <c r="M444" t="n">
        <v>0</v>
      </c>
      <c r="N444" t="n">
        <v>0</v>
      </c>
      <c r="O444" t="n">
        <v>0</v>
      </c>
      <c r="P444" t="n">
        <v>0</v>
      </c>
      <c r="Q444" t="n">
        <v>0</v>
      </c>
      <c r="R444" s="2" t="inlineStr"/>
    </row>
    <row r="445" ht="15" customHeight="1">
      <c r="A445" t="inlineStr">
        <is>
          <t>A 37382-2021</t>
        </is>
      </c>
      <c r="B445" s="1" t="n">
        <v>44397</v>
      </c>
      <c r="C445" s="1" t="n">
        <v>46029</v>
      </c>
      <c r="D445" t="inlineStr">
        <is>
          <t>VÄSTERNORRLANDS LÄN</t>
        </is>
      </c>
      <c r="E445" t="inlineStr">
        <is>
          <t>ÅNGE</t>
        </is>
      </c>
      <c r="G445" t="n">
        <v>2.4</v>
      </c>
      <c r="H445" t="n">
        <v>0</v>
      </c>
      <c r="I445" t="n">
        <v>0</v>
      </c>
      <c r="J445" t="n">
        <v>0</v>
      </c>
      <c r="K445" t="n">
        <v>0</v>
      </c>
      <c r="L445" t="n">
        <v>0</v>
      </c>
      <c r="M445" t="n">
        <v>0</v>
      </c>
      <c r="N445" t="n">
        <v>0</v>
      </c>
      <c r="O445" t="n">
        <v>0</v>
      </c>
      <c r="P445" t="n">
        <v>0</v>
      </c>
      <c r="Q445" t="n">
        <v>0</v>
      </c>
      <c r="R445" s="2" t="inlineStr"/>
    </row>
    <row r="446" ht="15" customHeight="1">
      <c r="A446" t="inlineStr">
        <is>
          <t>A 27668-2024</t>
        </is>
      </c>
      <c r="B446" s="1" t="n">
        <v>45474.95435185185</v>
      </c>
      <c r="C446" s="1" t="n">
        <v>46029</v>
      </c>
      <c r="D446" t="inlineStr">
        <is>
          <t>VÄSTERNORRLANDS LÄN</t>
        </is>
      </c>
      <c r="E446" t="inlineStr">
        <is>
          <t>ÅNGE</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33783-2024</t>
        </is>
      </c>
      <c r="B447" s="1" t="n">
        <v>45520</v>
      </c>
      <c r="C447" s="1" t="n">
        <v>46029</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45128-2022</t>
        </is>
      </c>
      <c r="B448" s="1" t="n">
        <v>44844.3146412037</v>
      </c>
      <c r="C448" s="1" t="n">
        <v>46029</v>
      </c>
      <c r="D448" t="inlineStr">
        <is>
          <t>VÄSTERNORRLANDS LÄN</t>
        </is>
      </c>
      <c r="E448" t="inlineStr">
        <is>
          <t>ÅNGE</t>
        </is>
      </c>
      <c r="G448" t="n">
        <v>4.1</v>
      </c>
      <c r="H448" t="n">
        <v>0</v>
      </c>
      <c r="I448" t="n">
        <v>0</v>
      </c>
      <c r="J448" t="n">
        <v>0</v>
      </c>
      <c r="K448" t="n">
        <v>0</v>
      </c>
      <c r="L448" t="n">
        <v>0</v>
      </c>
      <c r="M448" t="n">
        <v>0</v>
      </c>
      <c r="N448" t="n">
        <v>0</v>
      </c>
      <c r="O448" t="n">
        <v>0</v>
      </c>
      <c r="P448" t="n">
        <v>0</v>
      </c>
      <c r="Q448" t="n">
        <v>0</v>
      </c>
      <c r="R448" s="2" t="inlineStr"/>
    </row>
    <row r="449" ht="15" customHeight="1">
      <c r="A449" t="inlineStr">
        <is>
          <t>A 26951-2024</t>
        </is>
      </c>
      <c r="B449" s="1" t="n">
        <v>45470.96991898148</v>
      </c>
      <c r="C449" s="1" t="n">
        <v>46029</v>
      </c>
      <c r="D449" t="inlineStr">
        <is>
          <t>VÄSTERNORRLANDS LÄN</t>
        </is>
      </c>
      <c r="E449" t="inlineStr">
        <is>
          <t>ÅNGE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1116-2023</t>
        </is>
      </c>
      <c r="B450" s="1" t="n">
        <v>44929</v>
      </c>
      <c r="C450" s="1" t="n">
        <v>46029</v>
      </c>
      <c r="D450" t="inlineStr">
        <is>
          <t>VÄSTERNORRLANDS LÄN</t>
        </is>
      </c>
      <c r="E450" t="inlineStr">
        <is>
          <t>ÅNGE</t>
        </is>
      </c>
      <c r="G450" t="n">
        <v>17.2</v>
      </c>
      <c r="H450" t="n">
        <v>0</v>
      </c>
      <c r="I450" t="n">
        <v>0</v>
      </c>
      <c r="J450" t="n">
        <v>0</v>
      </c>
      <c r="K450" t="n">
        <v>0</v>
      </c>
      <c r="L450" t="n">
        <v>0</v>
      </c>
      <c r="M450" t="n">
        <v>0</v>
      </c>
      <c r="N450" t="n">
        <v>0</v>
      </c>
      <c r="O450" t="n">
        <v>0</v>
      </c>
      <c r="P450" t="n">
        <v>0</v>
      </c>
      <c r="Q450" t="n">
        <v>0</v>
      </c>
      <c r="R450" s="2" t="inlineStr"/>
    </row>
    <row r="451" ht="15" customHeight="1">
      <c r="A451" t="inlineStr">
        <is>
          <t>A 26952-2024</t>
        </is>
      </c>
      <c r="B451" s="1" t="n">
        <v>45470</v>
      </c>
      <c r="C451" s="1" t="n">
        <v>46029</v>
      </c>
      <c r="D451" t="inlineStr">
        <is>
          <t>VÄSTERNORRLANDS LÄN</t>
        </is>
      </c>
      <c r="E451" t="inlineStr">
        <is>
          <t>ÅNGE</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41575-2024</t>
        </is>
      </c>
      <c r="B452" s="1" t="n">
        <v>45560.55106481481</v>
      </c>
      <c r="C452" s="1" t="n">
        <v>46029</v>
      </c>
      <c r="D452" t="inlineStr">
        <is>
          <t>VÄSTERNORRLANDS LÄN</t>
        </is>
      </c>
      <c r="E452" t="inlineStr">
        <is>
          <t>ÅNGE</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24008-2025</t>
        </is>
      </c>
      <c r="B453" s="1" t="n">
        <v>45796.43841435185</v>
      </c>
      <c r="C453" s="1" t="n">
        <v>46029</v>
      </c>
      <c r="D453" t="inlineStr">
        <is>
          <t>VÄSTERNORRLANDS LÄN</t>
        </is>
      </c>
      <c r="E453" t="inlineStr">
        <is>
          <t>ÅNGE</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19007-2025</t>
        </is>
      </c>
      <c r="B454" s="1" t="n">
        <v>45764.58515046296</v>
      </c>
      <c r="C454" s="1" t="n">
        <v>46029</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60004-2023</t>
        </is>
      </c>
      <c r="B455" s="1" t="n">
        <v>45257</v>
      </c>
      <c r="C455" s="1" t="n">
        <v>46029</v>
      </c>
      <c r="D455" t="inlineStr">
        <is>
          <t>VÄSTERNORRLANDS LÄN</t>
        </is>
      </c>
      <c r="E455" t="inlineStr">
        <is>
          <t>ÅNGE</t>
        </is>
      </c>
      <c r="F455" t="inlineStr">
        <is>
          <t>SCA</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43622-2023</t>
        </is>
      </c>
      <c r="B456" s="1" t="n">
        <v>45184.70777777778</v>
      </c>
      <c r="C456" s="1" t="n">
        <v>46029</v>
      </c>
      <c r="D456" t="inlineStr">
        <is>
          <t>VÄSTERNORRLANDS LÄN</t>
        </is>
      </c>
      <c r="E456" t="inlineStr">
        <is>
          <t>ÅNGE</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63216-2023</t>
        </is>
      </c>
      <c r="B457" s="1" t="n">
        <v>45273.62721064815</v>
      </c>
      <c r="C457" s="1" t="n">
        <v>46029</v>
      </c>
      <c r="D457" t="inlineStr">
        <is>
          <t>VÄSTERNORRLANDS LÄN</t>
        </is>
      </c>
      <c r="E457" t="inlineStr">
        <is>
          <t>ÅNGE</t>
        </is>
      </c>
      <c r="F457" t="inlineStr">
        <is>
          <t>Holmen skog AB</t>
        </is>
      </c>
      <c r="G457" t="n">
        <v>2.9</v>
      </c>
      <c r="H457" t="n">
        <v>0</v>
      </c>
      <c r="I457" t="n">
        <v>0</v>
      </c>
      <c r="J457" t="n">
        <v>0</v>
      </c>
      <c r="K457" t="n">
        <v>0</v>
      </c>
      <c r="L457" t="n">
        <v>0</v>
      </c>
      <c r="M457" t="n">
        <v>0</v>
      </c>
      <c r="N457" t="n">
        <v>0</v>
      </c>
      <c r="O457" t="n">
        <v>0</v>
      </c>
      <c r="P457" t="n">
        <v>0</v>
      </c>
      <c r="Q457" t="n">
        <v>0</v>
      </c>
      <c r="R457" s="2" t="inlineStr"/>
    </row>
    <row r="458" ht="15" customHeight="1">
      <c r="A458" t="inlineStr">
        <is>
          <t>A 55197-2022</t>
        </is>
      </c>
      <c r="B458" s="1" t="n">
        <v>44886.93714120371</v>
      </c>
      <c r="C458" s="1" t="n">
        <v>46029</v>
      </c>
      <c r="D458" t="inlineStr">
        <is>
          <t>VÄSTERNORRLANDS LÄN</t>
        </is>
      </c>
      <c r="E458" t="inlineStr">
        <is>
          <t>ÅNGE</t>
        </is>
      </c>
      <c r="G458" t="n">
        <v>1.4</v>
      </c>
      <c r="H458" t="n">
        <v>0</v>
      </c>
      <c r="I458" t="n">
        <v>0</v>
      </c>
      <c r="J458" t="n">
        <v>0</v>
      </c>
      <c r="K458" t="n">
        <v>0</v>
      </c>
      <c r="L458" t="n">
        <v>0</v>
      </c>
      <c r="M458" t="n">
        <v>0</v>
      </c>
      <c r="N458" t="n">
        <v>0</v>
      </c>
      <c r="O458" t="n">
        <v>0</v>
      </c>
      <c r="P458" t="n">
        <v>0</v>
      </c>
      <c r="Q458" t="n">
        <v>0</v>
      </c>
      <c r="R458" s="2" t="inlineStr"/>
    </row>
    <row r="459" ht="15" customHeight="1">
      <c r="A459" t="inlineStr">
        <is>
          <t>A 50186-2021</t>
        </is>
      </c>
      <c r="B459" s="1" t="n">
        <v>44456</v>
      </c>
      <c r="C459" s="1" t="n">
        <v>46029</v>
      </c>
      <c r="D459" t="inlineStr">
        <is>
          <t>VÄSTERNORRLANDS LÄN</t>
        </is>
      </c>
      <c r="E459" t="inlineStr">
        <is>
          <t>ÅNGE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24458-2025</t>
        </is>
      </c>
      <c r="B460" s="1" t="n">
        <v>45798.34476851852</v>
      </c>
      <c r="C460" s="1" t="n">
        <v>46029</v>
      </c>
      <c r="D460" t="inlineStr">
        <is>
          <t>VÄSTERNORRLANDS LÄN</t>
        </is>
      </c>
      <c r="E460" t="inlineStr">
        <is>
          <t>ÅNGE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29390-2021</t>
        </is>
      </c>
      <c r="B461" s="1" t="n">
        <v>44361</v>
      </c>
      <c r="C461" s="1" t="n">
        <v>46029</v>
      </c>
      <c r="D461" t="inlineStr">
        <is>
          <t>VÄSTERNORRLANDS LÄN</t>
        </is>
      </c>
      <c r="E461" t="inlineStr">
        <is>
          <t>ÅNGE</t>
        </is>
      </c>
      <c r="F461" t="inlineStr">
        <is>
          <t>Holmen skog AB</t>
        </is>
      </c>
      <c r="G461" t="n">
        <v>1.7</v>
      </c>
      <c r="H461" t="n">
        <v>0</v>
      </c>
      <c r="I461" t="n">
        <v>0</v>
      </c>
      <c r="J461" t="n">
        <v>0</v>
      </c>
      <c r="K461" t="n">
        <v>0</v>
      </c>
      <c r="L461" t="n">
        <v>0</v>
      </c>
      <c r="M461" t="n">
        <v>0</v>
      </c>
      <c r="N461" t="n">
        <v>0</v>
      </c>
      <c r="O461" t="n">
        <v>0</v>
      </c>
      <c r="P461" t="n">
        <v>0</v>
      </c>
      <c r="Q461" t="n">
        <v>0</v>
      </c>
      <c r="R461" s="2" t="inlineStr"/>
    </row>
    <row r="462" ht="15" customHeight="1">
      <c r="A462" t="inlineStr">
        <is>
          <t>A 30054-2024</t>
        </is>
      </c>
      <c r="B462" s="1" t="n">
        <v>45488.94758101852</v>
      </c>
      <c r="C462" s="1" t="n">
        <v>46029</v>
      </c>
      <c r="D462" t="inlineStr">
        <is>
          <t>VÄSTERNORRLANDS LÄN</t>
        </is>
      </c>
      <c r="E462" t="inlineStr">
        <is>
          <t>ÅNGE</t>
        </is>
      </c>
      <c r="F462" t="inlineStr">
        <is>
          <t>SCA</t>
        </is>
      </c>
      <c r="G462" t="n">
        <v>11.7</v>
      </c>
      <c r="H462" t="n">
        <v>0</v>
      </c>
      <c r="I462" t="n">
        <v>0</v>
      </c>
      <c r="J462" t="n">
        <v>0</v>
      </c>
      <c r="K462" t="n">
        <v>0</v>
      </c>
      <c r="L462" t="n">
        <v>0</v>
      </c>
      <c r="M462" t="n">
        <v>0</v>
      </c>
      <c r="N462" t="n">
        <v>0</v>
      </c>
      <c r="O462" t="n">
        <v>0</v>
      </c>
      <c r="P462" t="n">
        <v>0</v>
      </c>
      <c r="Q462" t="n">
        <v>0</v>
      </c>
      <c r="R462" s="2" t="inlineStr"/>
    </row>
    <row r="463" ht="15" customHeight="1">
      <c r="A463" t="inlineStr">
        <is>
          <t>A 24357-2025</t>
        </is>
      </c>
      <c r="B463" s="1" t="n">
        <v>45797.59467592592</v>
      </c>
      <c r="C463" s="1" t="n">
        <v>46029</v>
      </c>
      <c r="D463" t="inlineStr">
        <is>
          <t>VÄSTERNORRLANDS LÄN</t>
        </is>
      </c>
      <c r="E463" t="inlineStr">
        <is>
          <t>ÅNGE</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31864-2024</t>
        </is>
      </c>
      <c r="B464" s="1" t="n">
        <v>45509.74791666667</v>
      </c>
      <c r="C464" s="1" t="n">
        <v>46029</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49532-2024</t>
        </is>
      </c>
      <c r="B465" s="1" t="n">
        <v>45596.41797453703</v>
      </c>
      <c r="C465" s="1" t="n">
        <v>46029</v>
      </c>
      <c r="D465" t="inlineStr">
        <is>
          <t>VÄSTERNORRLANDS LÄN</t>
        </is>
      </c>
      <c r="E465" t="inlineStr">
        <is>
          <t>ÅNGE</t>
        </is>
      </c>
      <c r="G465" t="n">
        <v>3.3</v>
      </c>
      <c r="H465" t="n">
        <v>0</v>
      </c>
      <c r="I465" t="n">
        <v>0</v>
      </c>
      <c r="J465" t="n">
        <v>0</v>
      </c>
      <c r="K465" t="n">
        <v>0</v>
      </c>
      <c r="L465" t="n">
        <v>0</v>
      </c>
      <c r="M465" t="n">
        <v>0</v>
      </c>
      <c r="N465" t="n">
        <v>0</v>
      </c>
      <c r="O465" t="n">
        <v>0</v>
      </c>
      <c r="P465" t="n">
        <v>0</v>
      </c>
      <c r="Q465" t="n">
        <v>0</v>
      </c>
      <c r="R465" s="2" t="inlineStr"/>
    </row>
    <row r="466" ht="15" customHeight="1">
      <c r="A466" t="inlineStr">
        <is>
          <t>A 24207-2025</t>
        </is>
      </c>
      <c r="B466" s="1" t="n">
        <v>45797.34439814815</v>
      </c>
      <c r="C466" s="1" t="n">
        <v>46029</v>
      </c>
      <c r="D466" t="inlineStr">
        <is>
          <t>VÄSTERNORRLANDS LÄN</t>
        </is>
      </c>
      <c r="E466" t="inlineStr">
        <is>
          <t>ÅNGE</t>
        </is>
      </c>
      <c r="F466" t="inlineStr">
        <is>
          <t>SCA</t>
        </is>
      </c>
      <c r="G466" t="n">
        <v>10.3</v>
      </c>
      <c r="H466" t="n">
        <v>0</v>
      </c>
      <c r="I466" t="n">
        <v>0</v>
      </c>
      <c r="J466" t="n">
        <v>0</v>
      </c>
      <c r="K466" t="n">
        <v>0</v>
      </c>
      <c r="L466" t="n">
        <v>0</v>
      </c>
      <c r="M466" t="n">
        <v>0</v>
      </c>
      <c r="N466" t="n">
        <v>0</v>
      </c>
      <c r="O466" t="n">
        <v>0</v>
      </c>
      <c r="P466" t="n">
        <v>0</v>
      </c>
      <c r="Q466" t="n">
        <v>0</v>
      </c>
      <c r="R466" s="2" t="inlineStr"/>
    </row>
    <row r="467" ht="15" customHeight="1">
      <c r="A467" t="inlineStr">
        <is>
          <t>A 40790-2023</t>
        </is>
      </c>
      <c r="B467" s="1" t="n">
        <v>45170.95814814815</v>
      </c>
      <c r="C467" s="1" t="n">
        <v>46029</v>
      </c>
      <c r="D467" t="inlineStr">
        <is>
          <t>VÄSTERNORRLANDS LÄN</t>
        </is>
      </c>
      <c r="E467" t="inlineStr">
        <is>
          <t>ÅNGE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11310-2023</t>
        </is>
      </c>
      <c r="B468" s="1" t="n">
        <v>44993.01190972222</v>
      </c>
      <c r="C468" s="1" t="n">
        <v>46029</v>
      </c>
      <c r="D468" t="inlineStr">
        <is>
          <t>VÄSTERNORRLANDS LÄN</t>
        </is>
      </c>
      <c r="E468" t="inlineStr">
        <is>
          <t>ÅNGE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1090-2023</t>
        </is>
      </c>
      <c r="B469" s="1" t="n">
        <v>44929</v>
      </c>
      <c r="C469" s="1" t="n">
        <v>46029</v>
      </c>
      <c r="D469" t="inlineStr">
        <is>
          <t>VÄSTERNORRLANDS LÄN</t>
        </is>
      </c>
      <c r="E469" t="inlineStr">
        <is>
          <t>ÅNGE</t>
        </is>
      </c>
      <c r="G469" t="n">
        <v>0.7</v>
      </c>
      <c r="H469" t="n">
        <v>0</v>
      </c>
      <c r="I469" t="n">
        <v>0</v>
      </c>
      <c r="J469" t="n">
        <v>0</v>
      </c>
      <c r="K469" t="n">
        <v>0</v>
      </c>
      <c r="L469" t="n">
        <v>0</v>
      </c>
      <c r="M469" t="n">
        <v>0</v>
      </c>
      <c r="N469" t="n">
        <v>0</v>
      </c>
      <c r="O469" t="n">
        <v>0</v>
      </c>
      <c r="P469" t="n">
        <v>0</v>
      </c>
      <c r="Q469" t="n">
        <v>0</v>
      </c>
      <c r="R469" s="2" t="inlineStr"/>
    </row>
    <row r="470" ht="15" customHeight="1">
      <c r="A470" t="inlineStr">
        <is>
          <t>A 3352-2021</t>
        </is>
      </c>
      <c r="B470" s="1" t="n">
        <v>44217</v>
      </c>
      <c r="C470" s="1" t="n">
        <v>46029</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24292-2025</t>
        </is>
      </c>
      <c r="B471" s="1" t="n">
        <v>45797.46657407407</v>
      </c>
      <c r="C471" s="1" t="n">
        <v>46029</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4142-2024</t>
        </is>
      </c>
      <c r="B472" s="1" t="n">
        <v>45323</v>
      </c>
      <c r="C472" s="1" t="n">
        <v>46029</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27853-2024</t>
        </is>
      </c>
      <c r="B473" s="1" t="n">
        <v>45475</v>
      </c>
      <c r="C473" s="1" t="n">
        <v>46029</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10781-2024</t>
        </is>
      </c>
      <c r="B474" s="1" t="n">
        <v>45369.59635416666</v>
      </c>
      <c r="C474" s="1" t="n">
        <v>46029</v>
      </c>
      <c r="D474" t="inlineStr">
        <is>
          <t>VÄSTERNORRLANDS LÄN</t>
        </is>
      </c>
      <c r="E474" t="inlineStr">
        <is>
          <t>ÅNGE</t>
        </is>
      </c>
      <c r="G474" t="n">
        <v>1.9</v>
      </c>
      <c r="H474" t="n">
        <v>0</v>
      </c>
      <c r="I474" t="n">
        <v>0</v>
      </c>
      <c r="J474" t="n">
        <v>0</v>
      </c>
      <c r="K474" t="n">
        <v>0</v>
      </c>
      <c r="L474" t="n">
        <v>0</v>
      </c>
      <c r="M474" t="n">
        <v>0</v>
      </c>
      <c r="N474" t="n">
        <v>0</v>
      </c>
      <c r="O474" t="n">
        <v>0</v>
      </c>
      <c r="P474" t="n">
        <v>0</v>
      </c>
      <c r="Q474" t="n">
        <v>0</v>
      </c>
      <c r="R474" s="2" t="inlineStr"/>
    </row>
    <row r="475" ht="15" customHeight="1">
      <c r="A475" t="inlineStr">
        <is>
          <t>A 24627-2025</t>
        </is>
      </c>
      <c r="B475" s="1" t="n">
        <v>45798.59471064815</v>
      </c>
      <c r="C475" s="1" t="n">
        <v>46029</v>
      </c>
      <c r="D475" t="inlineStr">
        <is>
          <t>VÄSTERNORRLANDS LÄN</t>
        </is>
      </c>
      <c r="E475" t="inlineStr">
        <is>
          <t>ÅNGE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24209-2025</t>
        </is>
      </c>
      <c r="B476" s="1" t="n">
        <v>45797.3446875</v>
      </c>
      <c r="C476" s="1" t="n">
        <v>46029</v>
      </c>
      <c r="D476" t="inlineStr">
        <is>
          <t>VÄSTERNORRLANDS LÄN</t>
        </is>
      </c>
      <c r="E476" t="inlineStr">
        <is>
          <t>ÅNGE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24232-2025</t>
        </is>
      </c>
      <c r="B477" s="1" t="n">
        <v>45797.37846064815</v>
      </c>
      <c r="C477" s="1" t="n">
        <v>46029</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25340-2025</t>
        </is>
      </c>
      <c r="B478" s="1" t="n">
        <v>45800.60074074074</v>
      </c>
      <c r="C478" s="1" t="n">
        <v>46029</v>
      </c>
      <c r="D478" t="inlineStr">
        <is>
          <t>VÄSTERNORRLANDS LÄN</t>
        </is>
      </c>
      <c r="E478" t="inlineStr">
        <is>
          <t>ÅNGE</t>
        </is>
      </c>
      <c r="G478" t="n">
        <v>2.7</v>
      </c>
      <c r="H478" t="n">
        <v>0</v>
      </c>
      <c r="I478" t="n">
        <v>0</v>
      </c>
      <c r="J478" t="n">
        <v>0</v>
      </c>
      <c r="K478" t="n">
        <v>0</v>
      </c>
      <c r="L478" t="n">
        <v>0</v>
      </c>
      <c r="M478" t="n">
        <v>0</v>
      </c>
      <c r="N478" t="n">
        <v>0</v>
      </c>
      <c r="O478" t="n">
        <v>0</v>
      </c>
      <c r="P478" t="n">
        <v>0</v>
      </c>
      <c r="Q478" t="n">
        <v>0</v>
      </c>
      <c r="R478" s="2" t="inlineStr"/>
    </row>
    <row r="479" ht="15" customHeight="1">
      <c r="A479" t="inlineStr">
        <is>
          <t>A 25273-2025</t>
        </is>
      </c>
      <c r="B479" s="1" t="n">
        <v>45800.55253472222</v>
      </c>
      <c r="C479" s="1" t="n">
        <v>46029</v>
      </c>
      <c r="D479" t="inlineStr">
        <is>
          <t>VÄSTERNORRLANDS LÄN</t>
        </is>
      </c>
      <c r="E479" t="inlineStr">
        <is>
          <t>ÅNGE</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35426-2024</t>
        </is>
      </c>
      <c r="B480" s="1" t="n">
        <v>45531</v>
      </c>
      <c r="C480" s="1" t="n">
        <v>46029</v>
      </c>
      <c r="D480" t="inlineStr">
        <is>
          <t>VÄSTERNORRLANDS LÄN</t>
        </is>
      </c>
      <c r="E480" t="inlineStr">
        <is>
          <t>ÅNGE</t>
        </is>
      </c>
      <c r="F480" t="inlineStr">
        <is>
          <t>SCA</t>
        </is>
      </c>
      <c r="G480" t="n">
        <v>10.9</v>
      </c>
      <c r="H480" t="n">
        <v>0</v>
      </c>
      <c r="I480" t="n">
        <v>0</v>
      </c>
      <c r="J480" t="n">
        <v>0</v>
      </c>
      <c r="K480" t="n">
        <v>0</v>
      </c>
      <c r="L480" t="n">
        <v>0</v>
      </c>
      <c r="M480" t="n">
        <v>0</v>
      </c>
      <c r="N480" t="n">
        <v>0</v>
      </c>
      <c r="O480" t="n">
        <v>0</v>
      </c>
      <c r="P480" t="n">
        <v>0</v>
      </c>
      <c r="Q480" t="n">
        <v>0</v>
      </c>
      <c r="R480" s="2" t="inlineStr"/>
    </row>
    <row r="481" ht="15" customHeight="1">
      <c r="A481" t="inlineStr">
        <is>
          <t>A 25352-2025</t>
        </is>
      </c>
      <c r="B481" s="1" t="n">
        <v>45800.61552083334</v>
      </c>
      <c r="C481" s="1" t="n">
        <v>46029</v>
      </c>
      <c r="D481" t="inlineStr">
        <is>
          <t>VÄSTERNORRLANDS LÄN</t>
        </is>
      </c>
      <c r="E481" t="inlineStr">
        <is>
          <t>ÅNGE</t>
        </is>
      </c>
      <c r="F481" t="inlineStr">
        <is>
          <t>SCA</t>
        </is>
      </c>
      <c r="G481" t="n">
        <v>6.3</v>
      </c>
      <c r="H481" t="n">
        <v>0</v>
      </c>
      <c r="I481" t="n">
        <v>0</v>
      </c>
      <c r="J481" t="n">
        <v>0</v>
      </c>
      <c r="K481" t="n">
        <v>0</v>
      </c>
      <c r="L481" t="n">
        <v>0</v>
      </c>
      <c r="M481" t="n">
        <v>0</v>
      </c>
      <c r="N481" t="n">
        <v>0</v>
      </c>
      <c r="O481" t="n">
        <v>0</v>
      </c>
      <c r="P481" t="n">
        <v>0</v>
      </c>
      <c r="Q481" t="n">
        <v>0</v>
      </c>
      <c r="R481" s="2" t="inlineStr"/>
    </row>
    <row r="482" ht="15" customHeight="1">
      <c r="A482" t="inlineStr">
        <is>
          <t>A 31545-2024</t>
        </is>
      </c>
      <c r="B482" s="1" t="n">
        <v>45505</v>
      </c>
      <c r="C482" s="1" t="n">
        <v>46029</v>
      </c>
      <c r="D482" t="inlineStr">
        <is>
          <t>VÄSTERNORRLANDS LÄN</t>
        </is>
      </c>
      <c r="E482" t="inlineStr">
        <is>
          <t>ÅNGE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25017-2025</t>
        </is>
      </c>
      <c r="B483" s="1" t="n">
        <v>45799.63791666667</v>
      </c>
      <c r="C483" s="1" t="n">
        <v>46029</v>
      </c>
      <c r="D483" t="inlineStr">
        <is>
          <t>VÄSTERNORRLANDS LÄN</t>
        </is>
      </c>
      <c r="E483" t="inlineStr">
        <is>
          <t>ÅNGE</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25241-2025</t>
        </is>
      </c>
      <c r="B484" s="1" t="n">
        <v>45800.49053240741</v>
      </c>
      <c r="C484" s="1" t="n">
        <v>46029</v>
      </c>
      <c r="D484" t="inlineStr">
        <is>
          <t>VÄSTERNORRLANDS LÄN</t>
        </is>
      </c>
      <c r="E484" t="inlineStr">
        <is>
          <t>ÅNGE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27915-2024</t>
        </is>
      </c>
      <c r="B485" s="1" t="n">
        <v>45475</v>
      </c>
      <c r="C485" s="1" t="n">
        <v>46029</v>
      </c>
      <c r="D485" t="inlineStr">
        <is>
          <t>VÄSTERNORRLANDS LÄN</t>
        </is>
      </c>
      <c r="E485" t="inlineStr">
        <is>
          <t>ÅNGE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25274-2025</t>
        </is>
      </c>
      <c r="B486" s="1" t="n">
        <v>45800.55276620371</v>
      </c>
      <c r="C486" s="1" t="n">
        <v>46029</v>
      </c>
      <c r="D486" t="inlineStr">
        <is>
          <t>VÄSTERNORRLANDS LÄN</t>
        </is>
      </c>
      <c r="E486" t="inlineStr">
        <is>
          <t>ÅNGE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1964-2022</t>
        </is>
      </c>
      <c r="B487" s="1" t="n">
        <v>44575.5050462963</v>
      </c>
      <c r="C487" s="1" t="n">
        <v>46029</v>
      </c>
      <c r="D487" t="inlineStr">
        <is>
          <t>VÄSTERNORRLANDS LÄN</t>
        </is>
      </c>
      <c r="E487" t="inlineStr">
        <is>
          <t>ÅNGE</t>
        </is>
      </c>
      <c r="G487" t="n">
        <v>1.1</v>
      </c>
      <c r="H487" t="n">
        <v>0</v>
      </c>
      <c r="I487" t="n">
        <v>0</v>
      </c>
      <c r="J487" t="n">
        <v>0</v>
      </c>
      <c r="K487" t="n">
        <v>0</v>
      </c>
      <c r="L487" t="n">
        <v>0</v>
      </c>
      <c r="M487" t="n">
        <v>0</v>
      </c>
      <c r="N487" t="n">
        <v>0</v>
      </c>
      <c r="O487" t="n">
        <v>0</v>
      </c>
      <c r="P487" t="n">
        <v>0</v>
      </c>
      <c r="Q487" t="n">
        <v>0</v>
      </c>
      <c r="R487" s="2" t="inlineStr"/>
    </row>
    <row r="488" ht="15" customHeight="1">
      <c r="A488" t="inlineStr">
        <is>
          <t>A 63522-2021</t>
        </is>
      </c>
      <c r="B488" s="1" t="n">
        <v>44508</v>
      </c>
      <c r="C488" s="1" t="n">
        <v>46029</v>
      </c>
      <c r="D488" t="inlineStr">
        <is>
          <t>VÄSTERNORRLANDS LÄN</t>
        </is>
      </c>
      <c r="E488" t="inlineStr">
        <is>
          <t>ÅNGE</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57287-2022</t>
        </is>
      </c>
      <c r="B489" s="1" t="n">
        <v>44895.95</v>
      </c>
      <c r="C489" s="1" t="n">
        <v>46029</v>
      </c>
      <c r="D489" t="inlineStr">
        <is>
          <t>VÄSTERNORRLANDS LÄN</t>
        </is>
      </c>
      <c r="E489" t="inlineStr">
        <is>
          <t>ÅNGE</t>
        </is>
      </c>
      <c r="F489" t="inlineStr">
        <is>
          <t>SCA</t>
        </is>
      </c>
      <c r="G489" t="n">
        <v>4.8</v>
      </c>
      <c r="H489" t="n">
        <v>0</v>
      </c>
      <c r="I489" t="n">
        <v>0</v>
      </c>
      <c r="J489" t="n">
        <v>0</v>
      </c>
      <c r="K489" t="n">
        <v>0</v>
      </c>
      <c r="L489" t="n">
        <v>0</v>
      </c>
      <c r="M489" t="n">
        <v>0</v>
      </c>
      <c r="N489" t="n">
        <v>0</v>
      </c>
      <c r="O489" t="n">
        <v>0</v>
      </c>
      <c r="P489" t="n">
        <v>0</v>
      </c>
      <c r="Q489" t="n">
        <v>0</v>
      </c>
      <c r="R489" s="2" t="inlineStr"/>
    </row>
    <row r="490" ht="15" customHeight="1">
      <c r="A490" t="inlineStr">
        <is>
          <t>A 57291-2022</t>
        </is>
      </c>
      <c r="B490" s="1" t="n">
        <v>44895</v>
      </c>
      <c r="C490" s="1" t="n">
        <v>46029</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6680-2024</t>
        </is>
      </c>
      <c r="B491" s="1" t="n">
        <v>45341</v>
      </c>
      <c r="C491" s="1" t="n">
        <v>46029</v>
      </c>
      <c r="D491" t="inlineStr">
        <is>
          <t>VÄSTERNORRLANDS LÄN</t>
        </is>
      </c>
      <c r="E491" t="inlineStr">
        <is>
          <t>ÅNGE</t>
        </is>
      </c>
      <c r="G491" t="n">
        <v>0.9</v>
      </c>
      <c r="H491" t="n">
        <v>0</v>
      </c>
      <c r="I491" t="n">
        <v>0</v>
      </c>
      <c r="J491" t="n">
        <v>0</v>
      </c>
      <c r="K491" t="n">
        <v>0</v>
      </c>
      <c r="L491" t="n">
        <v>0</v>
      </c>
      <c r="M491" t="n">
        <v>0</v>
      </c>
      <c r="N491" t="n">
        <v>0</v>
      </c>
      <c r="O491" t="n">
        <v>0</v>
      </c>
      <c r="P491" t="n">
        <v>0</v>
      </c>
      <c r="Q491" t="n">
        <v>0</v>
      </c>
      <c r="R491" s="2" t="inlineStr"/>
    </row>
    <row r="492" ht="15" customHeight="1">
      <c r="A492" t="inlineStr">
        <is>
          <t>A 6685-2024</t>
        </is>
      </c>
      <c r="B492" s="1" t="n">
        <v>45341</v>
      </c>
      <c r="C492" s="1" t="n">
        <v>46029</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6689-2024</t>
        </is>
      </c>
      <c r="B493" s="1" t="n">
        <v>45341.9259375</v>
      </c>
      <c r="C493" s="1" t="n">
        <v>46029</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35488-2024</t>
        </is>
      </c>
      <c r="B494" s="1" t="n">
        <v>45531</v>
      </c>
      <c r="C494" s="1" t="n">
        <v>46029</v>
      </c>
      <c r="D494" t="inlineStr">
        <is>
          <t>VÄSTERNORRLANDS LÄN</t>
        </is>
      </c>
      <c r="E494" t="inlineStr">
        <is>
          <t>ÅNGE</t>
        </is>
      </c>
      <c r="G494" t="n">
        <v>2.4</v>
      </c>
      <c r="H494" t="n">
        <v>0</v>
      </c>
      <c r="I494" t="n">
        <v>0</v>
      </c>
      <c r="J494" t="n">
        <v>0</v>
      </c>
      <c r="K494" t="n">
        <v>0</v>
      </c>
      <c r="L494" t="n">
        <v>0</v>
      </c>
      <c r="M494" t="n">
        <v>0</v>
      </c>
      <c r="N494" t="n">
        <v>0</v>
      </c>
      <c r="O494" t="n">
        <v>0</v>
      </c>
      <c r="P494" t="n">
        <v>0</v>
      </c>
      <c r="Q494" t="n">
        <v>0</v>
      </c>
      <c r="R494" s="2" t="inlineStr"/>
    </row>
    <row r="495" ht="15" customHeight="1">
      <c r="A495" t="inlineStr">
        <is>
          <t>A 38703-2025</t>
        </is>
      </c>
      <c r="B495" s="1" t="n">
        <v>45885.34440972222</v>
      </c>
      <c r="C495" s="1" t="n">
        <v>46029</v>
      </c>
      <c r="D495" t="inlineStr">
        <is>
          <t>VÄSTERNORRLANDS LÄN</t>
        </is>
      </c>
      <c r="E495" t="inlineStr">
        <is>
          <t>ÅNGE</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35593-2024</t>
        </is>
      </c>
      <c r="B496" s="1" t="n">
        <v>45531</v>
      </c>
      <c r="C496" s="1" t="n">
        <v>46029</v>
      </c>
      <c r="D496" t="inlineStr">
        <is>
          <t>VÄSTERNORRLANDS LÄN</t>
        </is>
      </c>
      <c r="E496" t="inlineStr">
        <is>
          <t>ÅNGE</t>
        </is>
      </c>
      <c r="G496" t="n">
        <v>17.6</v>
      </c>
      <c r="H496" t="n">
        <v>0</v>
      </c>
      <c r="I496" t="n">
        <v>0</v>
      </c>
      <c r="J496" t="n">
        <v>0</v>
      </c>
      <c r="K496" t="n">
        <v>0</v>
      </c>
      <c r="L496" t="n">
        <v>0</v>
      </c>
      <c r="M496" t="n">
        <v>0</v>
      </c>
      <c r="N496" t="n">
        <v>0</v>
      </c>
      <c r="O496" t="n">
        <v>0</v>
      </c>
      <c r="P496" t="n">
        <v>0</v>
      </c>
      <c r="Q496" t="n">
        <v>0</v>
      </c>
      <c r="R496" s="2" t="inlineStr"/>
    </row>
    <row r="497" ht="15" customHeight="1">
      <c r="A497" t="inlineStr">
        <is>
          <t>A 27468-2024</t>
        </is>
      </c>
      <c r="B497" s="1" t="n">
        <v>45474</v>
      </c>
      <c r="C497" s="1" t="n">
        <v>46029</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25332-2025</t>
        </is>
      </c>
      <c r="B498" s="1" t="n">
        <v>45800.59418981482</v>
      </c>
      <c r="C498" s="1" t="n">
        <v>46029</v>
      </c>
      <c r="D498" t="inlineStr">
        <is>
          <t>VÄSTERNORRLANDS LÄN</t>
        </is>
      </c>
      <c r="E498" t="inlineStr">
        <is>
          <t>ÅNGE</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24852-2025</t>
        </is>
      </c>
      <c r="B499" s="1" t="n">
        <v>45799.46975694445</v>
      </c>
      <c r="C499" s="1" t="n">
        <v>46029</v>
      </c>
      <c r="D499" t="inlineStr">
        <is>
          <t>VÄSTERNORRLANDS LÄN</t>
        </is>
      </c>
      <c r="E499" t="inlineStr">
        <is>
          <t>ÅNGE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30055-2024</t>
        </is>
      </c>
      <c r="B500" s="1" t="n">
        <v>45488.94767361111</v>
      </c>
      <c r="C500" s="1" t="n">
        <v>46029</v>
      </c>
      <c r="D500" t="inlineStr">
        <is>
          <t>VÄSTERNORRLANDS LÄN</t>
        </is>
      </c>
      <c r="E500" t="inlineStr">
        <is>
          <t>ÅNGE</t>
        </is>
      </c>
      <c r="F500" t="inlineStr">
        <is>
          <t>SCA</t>
        </is>
      </c>
      <c r="G500" t="n">
        <v>4.8</v>
      </c>
      <c r="H500" t="n">
        <v>0</v>
      </c>
      <c r="I500" t="n">
        <v>0</v>
      </c>
      <c r="J500" t="n">
        <v>0</v>
      </c>
      <c r="K500" t="n">
        <v>0</v>
      </c>
      <c r="L500" t="n">
        <v>0</v>
      </c>
      <c r="M500" t="n">
        <v>0</v>
      </c>
      <c r="N500" t="n">
        <v>0</v>
      </c>
      <c r="O500" t="n">
        <v>0</v>
      </c>
      <c r="P500" t="n">
        <v>0</v>
      </c>
      <c r="Q500" t="n">
        <v>0</v>
      </c>
      <c r="R500" s="2" t="inlineStr"/>
    </row>
    <row r="501" ht="15" customHeight="1">
      <c r="A501" t="inlineStr">
        <is>
          <t>A 32051-2025</t>
        </is>
      </c>
      <c r="B501" s="1" t="n">
        <v>45835.44185185185</v>
      </c>
      <c r="C501" s="1" t="n">
        <v>46029</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24847-2025</t>
        </is>
      </c>
      <c r="B502" s="1" t="n">
        <v>45799.46907407408</v>
      </c>
      <c r="C502" s="1" t="n">
        <v>46029</v>
      </c>
      <c r="D502" t="inlineStr">
        <is>
          <t>VÄSTERNORRLANDS LÄN</t>
        </is>
      </c>
      <c r="E502" t="inlineStr">
        <is>
          <t>ÅNGE</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20716-2025</t>
        </is>
      </c>
      <c r="B503" s="1" t="n">
        <v>45776.49026620371</v>
      </c>
      <c r="C503" s="1" t="n">
        <v>46029</v>
      </c>
      <c r="D503" t="inlineStr">
        <is>
          <t>VÄSTERNORRLANDS LÄN</t>
        </is>
      </c>
      <c r="E503" t="inlineStr">
        <is>
          <t>ÅNGE</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25067-2025</t>
        </is>
      </c>
      <c r="B504" s="1" t="n">
        <v>45799.71908564815</v>
      </c>
      <c r="C504" s="1" t="n">
        <v>46029</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25532-2025</t>
        </is>
      </c>
      <c r="B505" s="1" t="n">
        <v>45803.4065162037</v>
      </c>
      <c r="C505" s="1" t="n">
        <v>46029</v>
      </c>
      <c r="D505" t="inlineStr">
        <is>
          <t>VÄSTERNORRLANDS LÄN</t>
        </is>
      </c>
      <c r="E505" t="inlineStr">
        <is>
          <t>ÅNGE</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25810-2025</t>
        </is>
      </c>
      <c r="B506" s="1" t="n">
        <v>45804.42083333333</v>
      </c>
      <c r="C506" s="1" t="n">
        <v>46029</v>
      </c>
      <c r="D506" t="inlineStr">
        <is>
          <t>VÄSTERNORRLANDS LÄN</t>
        </is>
      </c>
      <c r="E506" t="inlineStr">
        <is>
          <t>ÅNGE</t>
        </is>
      </c>
      <c r="G506" t="n">
        <v>6.2</v>
      </c>
      <c r="H506" t="n">
        <v>0</v>
      </c>
      <c r="I506" t="n">
        <v>0</v>
      </c>
      <c r="J506" t="n">
        <v>0</v>
      </c>
      <c r="K506" t="n">
        <v>0</v>
      </c>
      <c r="L506" t="n">
        <v>0</v>
      </c>
      <c r="M506" t="n">
        <v>0</v>
      </c>
      <c r="N506" t="n">
        <v>0</v>
      </c>
      <c r="O506" t="n">
        <v>0</v>
      </c>
      <c r="P506" t="n">
        <v>0</v>
      </c>
      <c r="Q506" t="n">
        <v>0</v>
      </c>
      <c r="R506" s="2" t="inlineStr"/>
    </row>
    <row r="507" ht="15" customHeight="1">
      <c r="A507" t="inlineStr">
        <is>
          <t>A 26011-2024</t>
        </is>
      </c>
      <c r="B507" s="1" t="n">
        <v>45467.95828703704</v>
      </c>
      <c r="C507" s="1" t="n">
        <v>46029</v>
      </c>
      <c r="D507" t="inlineStr">
        <is>
          <t>VÄSTERNORRLANDS LÄN</t>
        </is>
      </c>
      <c r="E507" t="inlineStr">
        <is>
          <t>ÅNGE</t>
        </is>
      </c>
      <c r="F507" t="inlineStr">
        <is>
          <t>SCA</t>
        </is>
      </c>
      <c r="G507" t="n">
        <v>4.5</v>
      </c>
      <c r="H507" t="n">
        <v>0</v>
      </c>
      <c r="I507" t="n">
        <v>0</v>
      </c>
      <c r="J507" t="n">
        <v>0</v>
      </c>
      <c r="K507" t="n">
        <v>0</v>
      </c>
      <c r="L507" t="n">
        <v>0</v>
      </c>
      <c r="M507" t="n">
        <v>0</v>
      </c>
      <c r="N507" t="n">
        <v>0</v>
      </c>
      <c r="O507" t="n">
        <v>0</v>
      </c>
      <c r="P507" t="n">
        <v>0</v>
      </c>
      <c r="Q507" t="n">
        <v>0</v>
      </c>
      <c r="R507" s="2" t="inlineStr"/>
    </row>
    <row r="508" ht="15" customHeight="1">
      <c r="A508" t="inlineStr">
        <is>
          <t>A 26014-2024</t>
        </is>
      </c>
      <c r="B508" s="1" t="n">
        <v>45467.95862268518</v>
      </c>
      <c r="C508" s="1" t="n">
        <v>46029</v>
      </c>
      <c r="D508" t="inlineStr">
        <is>
          <t>VÄSTERNORRLANDS LÄN</t>
        </is>
      </c>
      <c r="E508" t="inlineStr">
        <is>
          <t>ÅNGE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26019-2024</t>
        </is>
      </c>
      <c r="B509" s="1" t="n">
        <v>45467.96015046296</v>
      </c>
      <c r="C509" s="1" t="n">
        <v>46029</v>
      </c>
      <c r="D509" t="inlineStr">
        <is>
          <t>VÄSTERNORRLANDS LÄN</t>
        </is>
      </c>
      <c r="E509" t="inlineStr">
        <is>
          <t>ÅNGE</t>
        </is>
      </c>
      <c r="F509" t="inlineStr">
        <is>
          <t>SCA</t>
        </is>
      </c>
      <c r="G509" t="n">
        <v>7.5</v>
      </c>
      <c r="H509" t="n">
        <v>0</v>
      </c>
      <c r="I509" t="n">
        <v>0</v>
      </c>
      <c r="J509" t="n">
        <v>0</v>
      </c>
      <c r="K509" t="n">
        <v>0</v>
      </c>
      <c r="L509" t="n">
        <v>0</v>
      </c>
      <c r="M509" t="n">
        <v>0</v>
      </c>
      <c r="N509" t="n">
        <v>0</v>
      </c>
      <c r="O509" t="n">
        <v>0</v>
      </c>
      <c r="P509" t="n">
        <v>0</v>
      </c>
      <c r="Q509" t="n">
        <v>0</v>
      </c>
      <c r="R509" s="2" t="inlineStr"/>
    </row>
    <row r="510" ht="15" customHeight="1">
      <c r="A510" t="inlineStr">
        <is>
          <t>A 31863-2024</t>
        </is>
      </c>
      <c r="B510" s="1" t="n">
        <v>45509.74121527778</v>
      </c>
      <c r="C510" s="1" t="n">
        <v>46029</v>
      </c>
      <c r="D510" t="inlineStr">
        <is>
          <t>VÄSTERNORRLANDS LÄN</t>
        </is>
      </c>
      <c r="E510" t="inlineStr">
        <is>
          <t>ÅNGE</t>
        </is>
      </c>
      <c r="G510" t="n">
        <v>4.5</v>
      </c>
      <c r="H510" t="n">
        <v>0</v>
      </c>
      <c r="I510" t="n">
        <v>0</v>
      </c>
      <c r="J510" t="n">
        <v>0</v>
      </c>
      <c r="K510" t="n">
        <v>0</v>
      </c>
      <c r="L510" t="n">
        <v>0</v>
      </c>
      <c r="M510" t="n">
        <v>0</v>
      </c>
      <c r="N510" t="n">
        <v>0</v>
      </c>
      <c r="O510" t="n">
        <v>0</v>
      </c>
      <c r="P510" t="n">
        <v>0</v>
      </c>
      <c r="Q510" t="n">
        <v>0</v>
      </c>
      <c r="R510" s="2" t="inlineStr"/>
    </row>
    <row r="511" ht="15" customHeight="1">
      <c r="A511" t="inlineStr">
        <is>
          <t>A 53651-2023</t>
        </is>
      </c>
      <c r="B511" s="1" t="n">
        <v>45230.60815972222</v>
      </c>
      <c r="C511" s="1" t="n">
        <v>46029</v>
      </c>
      <c r="D511" t="inlineStr">
        <is>
          <t>VÄSTERNORRLANDS LÄN</t>
        </is>
      </c>
      <c r="E511" t="inlineStr">
        <is>
          <t>ÅNGE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14889-2022</t>
        </is>
      </c>
      <c r="B512" s="1" t="n">
        <v>44656</v>
      </c>
      <c r="C512" s="1" t="n">
        <v>46029</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36877-2024</t>
        </is>
      </c>
      <c r="B513" s="1" t="n">
        <v>45538.59418981482</v>
      </c>
      <c r="C513" s="1" t="n">
        <v>46029</v>
      </c>
      <c r="D513" t="inlineStr">
        <is>
          <t>VÄSTERNORRLANDS LÄN</t>
        </is>
      </c>
      <c r="E513" t="inlineStr">
        <is>
          <t>ÅNGE</t>
        </is>
      </c>
      <c r="G513" t="n">
        <v>3.3</v>
      </c>
      <c r="H513" t="n">
        <v>0</v>
      </c>
      <c r="I513" t="n">
        <v>0</v>
      </c>
      <c r="J513" t="n">
        <v>0</v>
      </c>
      <c r="K513" t="n">
        <v>0</v>
      </c>
      <c r="L513" t="n">
        <v>0</v>
      </c>
      <c r="M513" t="n">
        <v>0</v>
      </c>
      <c r="N513" t="n">
        <v>0</v>
      </c>
      <c r="O513" t="n">
        <v>0</v>
      </c>
      <c r="P513" t="n">
        <v>0</v>
      </c>
      <c r="Q513" t="n">
        <v>0</v>
      </c>
      <c r="R513" s="2" t="inlineStr"/>
    </row>
    <row r="514" ht="15" customHeight="1">
      <c r="A514" t="inlineStr">
        <is>
          <t>A 25499-2025</t>
        </is>
      </c>
      <c r="B514" s="1" t="n">
        <v>45803.344375</v>
      </c>
      <c r="C514" s="1" t="n">
        <v>46029</v>
      </c>
      <c r="D514" t="inlineStr">
        <is>
          <t>VÄSTERNORRLANDS LÄN</t>
        </is>
      </c>
      <c r="E514" t="inlineStr">
        <is>
          <t>ÅNGE</t>
        </is>
      </c>
      <c r="F514" t="inlineStr">
        <is>
          <t>SCA</t>
        </is>
      </c>
      <c r="G514" t="n">
        <v>4.9</v>
      </c>
      <c r="H514" t="n">
        <v>0</v>
      </c>
      <c r="I514" t="n">
        <v>0</v>
      </c>
      <c r="J514" t="n">
        <v>0</v>
      </c>
      <c r="K514" t="n">
        <v>0</v>
      </c>
      <c r="L514" t="n">
        <v>0</v>
      </c>
      <c r="M514" t="n">
        <v>0</v>
      </c>
      <c r="N514" t="n">
        <v>0</v>
      </c>
      <c r="O514" t="n">
        <v>0</v>
      </c>
      <c r="P514" t="n">
        <v>0</v>
      </c>
      <c r="Q514" t="n">
        <v>0</v>
      </c>
      <c r="R514" s="2" t="inlineStr"/>
    </row>
    <row r="515" ht="15" customHeight="1">
      <c r="A515" t="inlineStr">
        <is>
          <t>A 25772-2025</t>
        </is>
      </c>
      <c r="B515" s="1" t="n">
        <v>45804.34520833333</v>
      </c>
      <c r="C515" s="1" t="n">
        <v>46029</v>
      </c>
      <c r="D515" t="inlineStr">
        <is>
          <t>VÄSTERNORRLANDS LÄN</t>
        </is>
      </c>
      <c r="E515" t="inlineStr">
        <is>
          <t>ÅNGE</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38711-2025</t>
        </is>
      </c>
      <c r="B516" s="1" t="n">
        <v>45886.34450231482</v>
      </c>
      <c r="C516" s="1" t="n">
        <v>46029</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38715-2025</t>
        </is>
      </c>
      <c r="B517" s="1" t="n">
        <v>45886.34501157407</v>
      </c>
      <c r="C517" s="1" t="n">
        <v>46029</v>
      </c>
      <c r="D517" t="inlineStr">
        <is>
          <t>VÄSTERNORRLANDS LÄN</t>
        </is>
      </c>
      <c r="E517" t="inlineStr">
        <is>
          <t>ÅNGE</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60817-2024</t>
        </is>
      </c>
      <c r="B518" s="1" t="n">
        <v>45644</v>
      </c>
      <c r="C518" s="1" t="n">
        <v>46029</v>
      </c>
      <c r="D518" t="inlineStr">
        <is>
          <t>VÄSTERNORRLANDS LÄN</t>
        </is>
      </c>
      <c r="E518" t="inlineStr">
        <is>
          <t>ÅNGE</t>
        </is>
      </c>
      <c r="G518" t="n">
        <v>3.2</v>
      </c>
      <c r="H518" t="n">
        <v>0</v>
      </c>
      <c r="I518" t="n">
        <v>0</v>
      </c>
      <c r="J518" t="n">
        <v>0</v>
      </c>
      <c r="K518" t="n">
        <v>0</v>
      </c>
      <c r="L518" t="n">
        <v>0</v>
      </c>
      <c r="M518" t="n">
        <v>0</v>
      </c>
      <c r="N518" t="n">
        <v>0</v>
      </c>
      <c r="O518" t="n">
        <v>0</v>
      </c>
      <c r="P518" t="n">
        <v>0</v>
      </c>
      <c r="Q518" t="n">
        <v>0</v>
      </c>
      <c r="R518" s="2" t="inlineStr"/>
    </row>
    <row r="519" ht="15" customHeight="1">
      <c r="A519" t="inlineStr">
        <is>
          <t>A 15863-2022</t>
        </is>
      </c>
      <c r="B519" s="1" t="n">
        <v>44664</v>
      </c>
      <c r="C519" s="1" t="n">
        <v>46029</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23225-2024</t>
        </is>
      </c>
      <c r="B520" s="1" t="n">
        <v>45452.9490162037</v>
      </c>
      <c r="C520" s="1" t="n">
        <v>46029</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33305-2024</t>
        </is>
      </c>
      <c r="B521" s="1" t="n">
        <v>45518</v>
      </c>
      <c r="C521" s="1" t="n">
        <v>46029</v>
      </c>
      <c r="D521" t="inlineStr">
        <is>
          <t>VÄSTERNORRLANDS LÄN</t>
        </is>
      </c>
      <c r="E521" t="inlineStr">
        <is>
          <t>ÅNGE</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33306-2024</t>
        </is>
      </c>
      <c r="B522" s="1" t="n">
        <v>45518</v>
      </c>
      <c r="C522" s="1" t="n">
        <v>46029</v>
      </c>
      <c r="D522" t="inlineStr">
        <is>
          <t>VÄSTERNORRLANDS LÄN</t>
        </is>
      </c>
      <c r="E522" t="inlineStr">
        <is>
          <t>ÅNGE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26193-2025</t>
        </is>
      </c>
      <c r="B523" s="1" t="n">
        <v>45805.48922453704</v>
      </c>
      <c r="C523" s="1" t="n">
        <v>46029</v>
      </c>
      <c r="D523" t="inlineStr">
        <is>
          <t>VÄSTERNORRLANDS LÄN</t>
        </is>
      </c>
      <c r="E523" t="inlineStr">
        <is>
          <t>ÅNGE</t>
        </is>
      </c>
      <c r="G523" t="n">
        <v>2.3</v>
      </c>
      <c r="H523" t="n">
        <v>0</v>
      </c>
      <c r="I523" t="n">
        <v>0</v>
      </c>
      <c r="J523" t="n">
        <v>0</v>
      </c>
      <c r="K523" t="n">
        <v>0</v>
      </c>
      <c r="L523" t="n">
        <v>0</v>
      </c>
      <c r="M523" t="n">
        <v>0</v>
      </c>
      <c r="N523" t="n">
        <v>0</v>
      </c>
      <c r="O523" t="n">
        <v>0</v>
      </c>
      <c r="P523" t="n">
        <v>0</v>
      </c>
      <c r="Q523" t="n">
        <v>0</v>
      </c>
      <c r="R523" s="2" t="inlineStr"/>
    </row>
    <row r="524" ht="15" customHeight="1">
      <c r="A524" t="inlineStr">
        <is>
          <t>A 26388-2025</t>
        </is>
      </c>
      <c r="B524" s="1" t="n">
        <v>45806.51069444444</v>
      </c>
      <c r="C524" s="1" t="n">
        <v>46029</v>
      </c>
      <c r="D524" t="inlineStr">
        <is>
          <t>VÄSTERNORRLANDS LÄN</t>
        </is>
      </c>
      <c r="E524" t="inlineStr">
        <is>
          <t>ÅNGE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7535-2023</t>
        </is>
      </c>
      <c r="B525" s="1" t="n">
        <v>44971</v>
      </c>
      <c r="C525" s="1" t="n">
        <v>46029</v>
      </c>
      <c r="D525" t="inlineStr">
        <is>
          <t>VÄSTERNORRLANDS LÄN</t>
        </is>
      </c>
      <c r="E525" t="inlineStr">
        <is>
          <t>ÅNGE</t>
        </is>
      </c>
      <c r="F525" t="inlineStr">
        <is>
          <t>SCA</t>
        </is>
      </c>
      <c r="G525" t="n">
        <v>14.6</v>
      </c>
      <c r="H525" t="n">
        <v>0</v>
      </c>
      <c r="I525" t="n">
        <v>0</v>
      </c>
      <c r="J525" t="n">
        <v>0</v>
      </c>
      <c r="K525" t="n">
        <v>0</v>
      </c>
      <c r="L525" t="n">
        <v>0</v>
      </c>
      <c r="M525" t="n">
        <v>0</v>
      </c>
      <c r="N525" t="n">
        <v>0</v>
      </c>
      <c r="O525" t="n">
        <v>0</v>
      </c>
      <c r="P525" t="n">
        <v>0</v>
      </c>
      <c r="Q525" t="n">
        <v>0</v>
      </c>
      <c r="R525" s="2" t="inlineStr"/>
    </row>
    <row r="526" ht="15" customHeight="1">
      <c r="A526" t="inlineStr">
        <is>
          <t>A 26365-2025</t>
        </is>
      </c>
      <c r="B526" s="1" t="n">
        <v>45806.34412037037</v>
      </c>
      <c r="C526" s="1" t="n">
        <v>46029</v>
      </c>
      <c r="D526" t="inlineStr">
        <is>
          <t>VÄSTERNORRLANDS LÄN</t>
        </is>
      </c>
      <c r="E526" t="inlineStr">
        <is>
          <t>ÅNGE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37038-2024</t>
        </is>
      </c>
      <c r="B527" s="1" t="n">
        <v>45539.40881944444</v>
      </c>
      <c r="C527" s="1" t="n">
        <v>46029</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26389-2025</t>
        </is>
      </c>
      <c r="B528" s="1" t="n">
        <v>45806.51078703703</v>
      </c>
      <c r="C528" s="1" t="n">
        <v>46029</v>
      </c>
      <c r="D528" t="inlineStr">
        <is>
          <t>VÄSTERNORRLANDS LÄN</t>
        </is>
      </c>
      <c r="E528" t="inlineStr">
        <is>
          <t>ÅNGE</t>
        </is>
      </c>
      <c r="F528" t="inlineStr">
        <is>
          <t>SCA</t>
        </is>
      </c>
      <c r="G528" t="n">
        <v>11.9</v>
      </c>
      <c r="H528" t="n">
        <v>0</v>
      </c>
      <c r="I528" t="n">
        <v>0</v>
      </c>
      <c r="J528" t="n">
        <v>0</v>
      </c>
      <c r="K528" t="n">
        <v>0</v>
      </c>
      <c r="L528" t="n">
        <v>0</v>
      </c>
      <c r="M528" t="n">
        <v>0</v>
      </c>
      <c r="N528" t="n">
        <v>0</v>
      </c>
      <c r="O528" t="n">
        <v>0</v>
      </c>
      <c r="P528" t="n">
        <v>0</v>
      </c>
      <c r="Q528" t="n">
        <v>0</v>
      </c>
      <c r="R528" s="2" t="inlineStr"/>
    </row>
    <row r="529" ht="15" customHeight="1">
      <c r="A529" t="inlineStr">
        <is>
          <t>A 21262-2025</t>
        </is>
      </c>
      <c r="B529" s="1" t="n">
        <v>45779</v>
      </c>
      <c r="C529" s="1" t="n">
        <v>46029</v>
      </c>
      <c r="D529" t="inlineStr">
        <is>
          <t>VÄSTERNORRLANDS LÄN</t>
        </is>
      </c>
      <c r="E529" t="inlineStr">
        <is>
          <t>ÅNGE</t>
        </is>
      </c>
      <c r="F529" t="inlineStr">
        <is>
          <t>Sveaskog</t>
        </is>
      </c>
      <c r="G529" t="n">
        <v>9</v>
      </c>
      <c r="H529" t="n">
        <v>0</v>
      </c>
      <c r="I529" t="n">
        <v>0</v>
      </c>
      <c r="J529" t="n">
        <v>0</v>
      </c>
      <c r="K529" t="n">
        <v>0</v>
      </c>
      <c r="L529" t="n">
        <v>0</v>
      </c>
      <c r="M529" t="n">
        <v>0</v>
      </c>
      <c r="N529" t="n">
        <v>0</v>
      </c>
      <c r="O529" t="n">
        <v>0</v>
      </c>
      <c r="P529" t="n">
        <v>0</v>
      </c>
      <c r="Q529" t="n">
        <v>0</v>
      </c>
      <c r="R529" s="2" t="inlineStr"/>
    </row>
    <row r="530" ht="15" customHeight="1">
      <c r="A530" t="inlineStr">
        <is>
          <t>A 26366-2025</t>
        </is>
      </c>
      <c r="B530" s="1" t="n">
        <v>45806.34424768519</v>
      </c>
      <c r="C530" s="1" t="n">
        <v>46029</v>
      </c>
      <c r="D530" t="inlineStr">
        <is>
          <t>VÄSTERNORRLANDS LÄN</t>
        </is>
      </c>
      <c r="E530" t="inlineStr">
        <is>
          <t>ÅNGE</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26655-2025</t>
        </is>
      </c>
      <c r="B531" s="1" t="n">
        <v>45810.39047453704</v>
      </c>
      <c r="C531" s="1" t="n">
        <v>46029</v>
      </c>
      <c r="D531" t="inlineStr">
        <is>
          <t>VÄSTERNORRLANDS LÄN</t>
        </is>
      </c>
      <c r="E531" t="inlineStr">
        <is>
          <t>ÅNGE</t>
        </is>
      </c>
      <c r="G531" t="n">
        <v>0.6</v>
      </c>
      <c r="H531" t="n">
        <v>0</v>
      </c>
      <c r="I531" t="n">
        <v>0</v>
      </c>
      <c r="J531" t="n">
        <v>0</v>
      </c>
      <c r="K531" t="n">
        <v>0</v>
      </c>
      <c r="L531" t="n">
        <v>0</v>
      </c>
      <c r="M531" t="n">
        <v>0</v>
      </c>
      <c r="N531" t="n">
        <v>0</v>
      </c>
      <c r="O531" t="n">
        <v>0</v>
      </c>
      <c r="P531" t="n">
        <v>0</v>
      </c>
      <c r="Q531" t="n">
        <v>0</v>
      </c>
      <c r="R531" s="2" t="inlineStr"/>
    </row>
    <row r="532" ht="15" customHeight="1">
      <c r="A532" t="inlineStr">
        <is>
          <t>A 25973-2022</t>
        </is>
      </c>
      <c r="B532" s="1" t="n">
        <v>44734</v>
      </c>
      <c r="C532" s="1" t="n">
        <v>46029</v>
      </c>
      <c r="D532" t="inlineStr">
        <is>
          <t>VÄSTERNORRLANDS LÄN</t>
        </is>
      </c>
      <c r="E532" t="inlineStr">
        <is>
          <t>ÅNGE</t>
        </is>
      </c>
      <c r="G532" t="n">
        <v>4.1</v>
      </c>
      <c r="H532" t="n">
        <v>0</v>
      </c>
      <c r="I532" t="n">
        <v>0</v>
      </c>
      <c r="J532" t="n">
        <v>0</v>
      </c>
      <c r="K532" t="n">
        <v>0</v>
      </c>
      <c r="L532" t="n">
        <v>0</v>
      </c>
      <c r="M532" t="n">
        <v>0</v>
      </c>
      <c r="N532" t="n">
        <v>0</v>
      </c>
      <c r="O532" t="n">
        <v>0</v>
      </c>
      <c r="P532" t="n">
        <v>0</v>
      </c>
      <c r="Q532" t="n">
        <v>0</v>
      </c>
      <c r="R532" s="2" t="inlineStr"/>
    </row>
    <row r="533" ht="15" customHeight="1">
      <c r="A533" t="inlineStr">
        <is>
          <t>A 59626-2022</t>
        </is>
      </c>
      <c r="B533" s="1" t="n">
        <v>44907.92354166666</v>
      </c>
      <c r="C533" s="1" t="n">
        <v>46029</v>
      </c>
      <c r="D533" t="inlineStr">
        <is>
          <t>VÄSTERNORRLANDS LÄN</t>
        </is>
      </c>
      <c r="E533" t="inlineStr">
        <is>
          <t>ÅNGE</t>
        </is>
      </c>
      <c r="G533" t="n">
        <v>1.4</v>
      </c>
      <c r="H533" t="n">
        <v>0</v>
      </c>
      <c r="I533" t="n">
        <v>0</v>
      </c>
      <c r="J533" t="n">
        <v>0</v>
      </c>
      <c r="K533" t="n">
        <v>0</v>
      </c>
      <c r="L533" t="n">
        <v>0</v>
      </c>
      <c r="M533" t="n">
        <v>0</v>
      </c>
      <c r="N533" t="n">
        <v>0</v>
      </c>
      <c r="O533" t="n">
        <v>0</v>
      </c>
      <c r="P533" t="n">
        <v>0</v>
      </c>
      <c r="Q533" t="n">
        <v>0</v>
      </c>
      <c r="R533" s="2" t="inlineStr"/>
    </row>
    <row r="534" ht="15" customHeight="1">
      <c r="A534" t="inlineStr">
        <is>
          <t>A 26608-2025</t>
        </is>
      </c>
      <c r="B534" s="1" t="n">
        <v>45809.98600694445</v>
      </c>
      <c r="C534" s="1" t="n">
        <v>46029</v>
      </c>
      <c r="D534" t="inlineStr">
        <is>
          <t>VÄSTERNORRLANDS LÄN</t>
        </is>
      </c>
      <c r="E534" t="inlineStr">
        <is>
          <t>ÅNGE</t>
        </is>
      </c>
      <c r="G534" t="n">
        <v>4.5</v>
      </c>
      <c r="H534" t="n">
        <v>0</v>
      </c>
      <c r="I534" t="n">
        <v>0</v>
      </c>
      <c r="J534" t="n">
        <v>0</v>
      </c>
      <c r="K534" t="n">
        <v>0</v>
      </c>
      <c r="L534" t="n">
        <v>0</v>
      </c>
      <c r="M534" t="n">
        <v>0</v>
      </c>
      <c r="N534" t="n">
        <v>0</v>
      </c>
      <c r="O534" t="n">
        <v>0</v>
      </c>
      <c r="P534" t="n">
        <v>0</v>
      </c>
      <c r="Q534" t="n">
        <v>0</v>
      </c>
      <c r="R534" s="2" t="inlineStr"/>
    </row>
    <row r="535" ht="15" customHeight="1">
      <c r="A535" t="inlineStr">
        <is>
          <t>A 3249-2024</t>
        </is>
      </c>
      <c r="B535" s="1" t="n">
        <v>45316</v>
      </c>
      <c r="C535" s="1" t="n">
        <v>46029</v>
      </c>
      <c r="D535" t="inlineStr">
        <is>
          <t>VÄSTERNORRLANDS LÄN</t>
        </is>
      </c>
      <c r="E535" t="inlineStr">
        <is>
          <t>ÅNGE</t>
        </is>
      </c>
      <c r="G535" t="n">
        <v>0.3</v>
      </c>
      <c r="H535" t="n">
        <v>0</v>
      </c>
      <c r="I535" t="n">
        <v>0</v>
      </c>
      <c r="J535" t="n">
        <v>0</v>
      </c>
      <c r="K535" t="n">
        <v>0</v>
      </c>
      <c r="L535" t="n">
        <v>0</v>
      </c>
      <c r="M535" t="n">
        <v>0</v>
      </c>
      <c r="N535" t="n">
        <v>0</v>
      </c>
      <c r="O535" t="n">
        <v>0</v>
      </c>
      <c r="P535" t="n">
        <v>0</v>
      </c>
      <c r="Q535" t="n">
        <v>0</v>
      </c>
      <c r="R535" s="2" t="inlineStr"/>
    </row>
    <row r="536" ht="15" customHeight="1">
      <c r="A536" t="inlineStr">
        <is>
          <t>A 42242-2023</t>
        </is>
      </c>
      <c r="B536" s="1" t="n">
        <v>45180.35025462963</v>
      </c>
      <c r="C536" s="1" t="n">
        <v>46029</v>
      </c>
      <c r="D536" t="inlineStr">
        <is>
          <t>VÄSTERNORRLANDS LÄN</t>
        </is>
      </c>
      <c r="E536" t="inlineStr">
        <is>
          <t>ÅNGE</t>
        </is>
      </c>
      <c r="G536" t="n">
        <v>5.7</v>
      </c>
      <c r="H536" t="n">
        <v>0</v>
      </c>
      <c r="I536" t="n">
        <v>0</v>
      </c>
      <c r="J536" t="n">
        <v>0</v>
      </c>
      <c r="K536" t="n">
        <v>0</v>
      </c>
      <c r="L536" t="n">
        <v>0</v>
      </c>
      <c r="M536" t="n">
        <v>0</v>
      </c>
      <c r="N536" t="n">
        <v>0</v>
      </c>
      <c r="O536" t="n">
        <v>0</v>
      </c>
      <c r="P536" t="n">
        <v>0</v>
      </c>
      <c r="Q536" t="n">
        <v>0</v>
      </c>
      <c r="R536" s="2" t="inlineStr"/>
    </row>
    <row r="537" ht="15" customHeight="1">
      <c r="A537" t="inlineStr">
        <is>
          <t>A 9759-2024</t>
        </is>
      </c>
      <c r="B537" s="1" t="n">
        <v>45362</v>
      </c>
      <c r="C537" s="1" t="n">
        <v>46029</v>
      </c>
      <c r="D537" t="inlineStr">
        <is>
          <t>VÄSTERNORRLANDS LÄN</t>
        </is>
      </c>
      <c r="E537" t="inlineStr">
        <is>
          <t>ÅNGE</t>
        </is>
      </c>
      <c r="G537" t="n">
        <v>2.5</v>
      </c>
      <c r="H537" t="n">
        <v>0</v>
      </c>
      <c r="I537" t="n">
        <v>0</v>
      </c>
      <c r="J537" t="n">
        <v>0</v>
      </c>
      <c r="K537" t="n">
        <v>0</v>
      </c>
      <c r="L537" t="n">
        <v>0</v>
      </c>
      <c r="M537" t="n">
        <v>0</v>
      </c>
      <c r="N537" t="n">
        <v>0</v>
      </c>
      <c r="O537" t="n">
        <v>0</v>
      </c>
      <c r="P537" t="n">
        <v>0</v>
      </c>
      <c r="Q537" t="n">
        <v>0</v>
      </c>
      <c r="R537" s="2" t="inlineStr"/>
    </row>
    <row r="538" ht="15" customHeight="1">
      <c r="A538" t="inlineStr">
        <is>
          <t>A 39444-2025</t>
        </is>
      </c>
      <c r="B538" s="1" t="n">
        <v>45889.69826388889</v>
      </c>
      <c r="C538" s="1" t="n">
        <v>46029</v>
      </c>
      <c r="D538" t="inlineStr">
        <is>
          <t>VÄSTERNORRLANDS LÄN</t>
        </is>
      </c>
      <c r="E538" t="inlineStr">
        <is>
          <t>ÅNGE</t>
        </is>
      </c>
      <c r="F538" t="inlineStr">
        <is>
          <t>SCA</t>
        </is>
      </c>
      <c r="G538" t="n">
        <v>7.9</v>
      </c>
      <c r="H538" t="n">
        <v>0</v>
      </c>
      <c r="I538" t="n">
        <v>0</v>
      </c>
      <c r="J538" t="n">
        <v>0</v>
      </c>
      <c r="K538" t="n">
        <v>0</v>
      </c>
      <c r="L538" t="n">
        <v>0</v>
      </c>
      <c r="M538" t="n">
        <v>0</v>
      </c>
      <c r="N538" t="n">
        <v>0</v>
      </c>
      <c r="O538" t="n">
        <v>0</v>
      </c>
      <c r="P538" t="n">
        <v>0</v>
      </c>
      <c r="Q538" t="n">
        <v>0</v>
      </c>
      <c r="R538" s="2" t="inlineStr"/>
    </row>
    <row r="539" ht="15" customHeight="1">
      <c r="A539" t="inlineStr">
        <is>
          <t>A 36790-2023</t>
        </is>
      </c>
      <c r="B539" s="1" t="n">
        <v>45154.36418981481</v>
      </c>
      <c r="C539" s="1" t="n">
        <v>46029</v>
      </c>
      <c r="D539" t="inlineStr">
        <is>
          <t>VÄSTERNORRLANDS LÄN</t>
        </is>
      </c>
      <c r="E539" t="inlineStr">
        <is>
          <t>ÅNGE</t>
        </is>
      </c>
      <c r="G539" t="n">
        <v>1.4</v>
      </c>
      <c r="H539" t="n">
        <v>0</v>
      </c>
      <c r="I539" t="n">
        <v>0</v>
      </c>
      <c r="J539" t="n">
        <v>0</v>
      </c>
      <c r="K539" t="n">
        <v>0</v>
      </c>
      <c r="L539" t="n">
        <v>0</v>
      </c>
      <c r="M539" t="n">
        <v>0</v>
      </c>
      <c r="N539" t="n">
        <v>0</v>
      </c>
      <c r="O539" t="n">
        <v>0</v>
      </c>
      <c r="P539" t="n">
        <v>0</v>
      </c>
      <c r="Q539" t="n">
        <v>0</v>
      </c>
      <c r="R539" s="2" t="inlineStr"/>
    </row>
    <row r="540" ht="15" customHeight="1">
      <c r="A540" t="inlineStr">
        <is>
          <t>A 26734-2025</t>
        </is>
      </c>
      <c r="B540" s="1" t="n">
        <v>45810.51087962963</v>
      </c>
      <c r="C540" s="1" t="n">
        <v>46029</v>
      </c>
      <c r="D540" t="inlineStr">
        <is>
          <t>VÄSTERNORRLANDS LÄN</t>
        </is>
      </c>
      <c r="E540" t="inlineStr">
        <is>
          <t>ÅNGE</t>
        </is>
      </c>
      <c r="G540" t="n">
        <v>1.5</v>
      </c>
      <c r="H540" t="n">
        <v>0</v>
      </c>
      <c r="I540" t="n">
        <v>0</v>
      </c>
      <c r="J540" t="n">
        <v>0</v>
      </c>
      <c r="K540" t="n">
        <v>0</v>
      </c>
      <c r="L540" t="n">
        <v>0</v>
      </c>
      <c r="M540" t="n">
        <v>0</v>
      </c>
      <c r="N540" t="n">
        <v>0</v>
      </c>
      <c r="O540" t="n">
        <v>0</v>
      </c>
      <c r="P540" t="n">
        <v>0</v>
      </c>
      <c r="Q540" t="n">
        <v>0</v>
      </c>
      <c r="R540" s="2" t="inlineStr"/>
    </row>
    <row r="541" ht="15" customHeight="1">
      <c r="A541" t="inlineStr">
        <is>
          <t>A 42953-2024</t>
        </is>
      </c>
      <c r="B541" s="1" t="n">
        <v>45567</v>
      </c>
      <c r="C541" s="1" t="n">
        <v>46029</v>
      </c>
      <c r="D541" t="inlineStr">
        <is>
          <t>VÄSTERNORRLANDS LÄN</t>
        </is>
      </c>
      <c r="E541" t="inlineStr">
        <is>
          <t>ÅNGE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42968-2024</t>
        </is>
      </c>
      <c r="B542" s="1" t="n">
        <v>45567</v>
      </c>
      <c r="C542" s="1" t="n">
        <v>46029</v>
      </c>
      <c r="D542" t="inlineStr">
        <is>
          <t>VÄSTERNORRLANDS LÄN</t>
        </is>
      </c>
      <c r="E542" t="inlineStr">
        <is>
          <t>ÅNGE</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27023-2025</t>
        </is>
      </c>
      <c r="B543" s="1" t="n">
        <v>45811.57342592593</v>
      </c>
      <c r="C543" s="1" t="n">
        <v>46029</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27164-2025</t>
        </is>
      </c>
      <c r="B544" s="1" t="n">
        <v>45812.34430555555</v>
      </c>
      <c r="C544" s="1" t="n">
        <v>46029</v>
      </c>
      <c r="D544" t="inlineStr">
        <is>
          <t>VÄSTERNORRLANDS LÄN</t>
        </is>
      </c>
      <c r="E544" t="inlineStr">
        <is>
          <t>ÅNGE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26901-2025</t>
        </is>
      </c>
      <c r="B545" s="1" t="n">
        <v>45811.34457175926</v>
      </c>
      <c r="C545" s="1" t="n">
        <v>46029</v>
      </c>
      <c r="D545" t="inlineStr">
        <is>
          <t>VÄSTERNORRLANDS LÄN</t>
        </is>
      </c>
      <c r="E545" t="inlineStr">
        <is>
          <t>ÅNGE</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33750-2024</t>
        </is>
      </c>
      <c r="B546" s="1" t="n">
        <v>45520.56475694444</v>
      </c>
      <c r="C546" s="1" t="n">
        <v>46029</v>
      </c>
      <c r="D546" t="inlineStr">
        <is>
          <t>VÄSTERNORRLANDS LÄN</t>
        </is>
      </c>
      <c r="E546" t="inlineStr">
        <is>
          <t>ÅNGE</t>
        </is>
      </c>
      <c r="G546" t="n">
        <v>1.3</v>
      </c>
      <c r="H546" t="n">
        <v>0</v>
      </c>
      <c r="I546" t="n">
        <v>0</v>
      </c>
      <c r="J546" t="n">
        <v>0</v>
      </c>
      <c r="K546" t="n">
        <v>0</v>
      </c>
      <c r="L546" t="n">
        <v>0</v>
      </c>
      <c r="M546" t="n">
        <v>0</v>
      </c>
      <c r="N546" t="n">
        <v>0</v>
      </c>
      <c r="O546" t="n">
        <v>0</v>
      </c>
      <c r="P546" t="n">
        <v>0</v>
      </c>
      <c r="Q546" t="n">
        <v>0</v>
      </c>
      <c r="R546" s="2" t="inlineStr"/>
    </row>
    <row r="547" ht="15" customHeight="1">
      <c r="A547" t="inlineStr">
        <is>
          <t>A 27165-2025</t>
        </is>
      </c>
      <c r="B547" s="1" t="n">
        <v>45812.34440972222</v>
      </c>
      <c r="C547" s="1" t="n">
        <v>46029</v>
      </c>
      <c r="D547" t="inlineStr">
        <is>
          <t>VÄSTERNORRLANDS LÄN</t>
        </is>
      </c>
      <c r="E547" t="inlineStr">
        <is>
          <t>ÅNGE</t>
        </is>
      </c>
      <c r="F547" t="inlineStr">
        <is>
          <t>SCA</t>
        </is>
      </c>
      <c r="G547" t="n">
        <v>3.5</v>
      </c>
      <c r="H547" t="n">
        <v>0</v>
      </c>
      <c r="I547" t="n">
        <v>0</v>
      </c>
      <c r="J547" t="n">
        <v>0</v>
      </c>
      <c r="K547" t="n">
        <v>0</v>
      </c>
      <c r="L547" t="n">
        <v>0</v>
      </c>
      <c r="M547" t="n">
        <v>0</v>
      </c>
      <c r="N547" t="n">
        <v>0</v>
      </c>
      <c r="O547" t="n">
        <v>0</v>
      </c>
      <c r="P547" t="n">
        <v>0</v>
      </c>
      <c r="Q547" t="n">
        <v>0</v>
      </c>
      <c r="R547" s="2" t="inlineStr"/>
    </row>
    <row r="548" ht="15" customHeight="1">
      <c r="A548" t="inlineStr">
        <is>
          <t>A 39434-2025</t>
        </is>
      </c>
      <c r="B548" s="1" t="n">
        <v>45889.67811342593</v>
      </c>
      <c r="C548" s="1" t="n">
        <v>46029</v>
      </c>
      <c r="D548" t="inlineStr">
        <is>
          <t>VÄSTERNORRLANDS LÄN</t>
        </is>
      </c>
      <c r="E548" t="inlineStr">
        <is>
          <t>ÅNGE</t>
        </is>
      </c>
      <c r="F548" t="inlineStr">
        <is>
          <t>SCA</t>
        </is>
      </c>
      <c r="G548" t="n">
        <v>4</v>
      </c>
      <c r="H548" t="n">
        <v>0</v>
      </c>
      <c r="I548" t="n">
        <v>0</v>
      </c>
      <c r="J548" t="n">
        <v>0</v>
      </c>
      <c r="K548" t="n">
        <v>0</v>
      </c>
      <c r="L548" t="n">
        <v>0</v>
      </c>
      <c r="M548" t="n">
        <v>0</v>
      </c>
      <c r="N548" t="n">
        <v>0</v>
      </c>
      <c r="O548" t="n">
        <v>0</v>
      </c>
      <c r="P548" t="n">
        <v>0</v>
      </c>
      <c r="Q548" t="n">
        <v>0</v>
      </c>
      <c r="R548" s="2" t="inlineStr"/>
    </row>
    <row r="549" ht="15" customHeight="1">
      <c r="A549" t="inlineStr">
        <is>
          <t>A 5931-2025</t>
        </is>
      </c>
      <c r="B549" s="1" t="n">
        <v>45695.44827546296</v>
      </c>
      <c r="C549" s="1" t="n">
        <v>46029</v>
      </c>
      <c r="D549" t="inlineStr">
        <is>
          <t>VÄSTERNORRLANDS LÄN</t>
        </is>
      </c>
      <c r="E549" t="inlineStr">
        <is>
          <t>ÅNGE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42100-2023</t>
        </is>
      </c>
      <c r="B550" s="1" t="n">
        <v>45174</v>
      </c>
      <c r="C550" s="1" t="n">
        <v>46029</v>
      </c>
      <c r="D550" t="inlineStr">
        <is>
          <t>VÄSTERNORRLANDS LÄN</t>
        </is>
      </c>
      <c r="E550" t="inlineStr">
        <is>
          <t>ÅNGE</t>
        </is>
      </c>
      <c r="G550" t="n">
        <v>0.6</v>
      </c>
      <c r="H550" t="n">
        <v>0</v>
      </c>
      <c r="I550" t="n">
        <v>0</v>
      </c>
      <c r="J550" t="n">
        <v>0</v>
      </c>
      <c r="K550" t="n">
        <v>0</v>
      </c>
      <c r="L550" t="n">
        <v>0</v>
      </c>
      <c r="M550" t="n">
        <v>0</v>
      </c>
      <c r="N550" t="n">
        <v>0</v>
      </c>
      <c r="O550" t="n">
        <v>0</v>
      </c>
      <c r="P550" t="n">
        <v>0</v>
      </c>
      <c r="Q550" t="n">
        <v>0</v>
      </c>
      <c r="R550" s="2" t="inlineStr"/>
    </row>
    <row r="551" ht="15" customHeight="1">
      <c r="A551" t="inlineStr">
        <is>
          <t>A 27545-2025</t>
        </is>
      </c>
      <c r="B551" s="1" t="n">
        <v>45813.46942129629</v>
      </c>
      <c r="C551" s="1" t="n">
        <v>46029</v>
      </c>
      <c r="D551" t="inlineStr">
        <is>
          <t>VÄSTERNORRLANDS LÄN</t>
        </is>
      </c>
      <c r="E551" t="inlineStr">
        <is>
          <t>ÅNGE</t>
        </is>
      </c>
      <c r="F551" t="inlineStr">
        <is>
          <t>SCA</t>
        </is>
      </c>
      <c r="G551" t="n">
        <v>14.3</v>
      </c>
      <c r="H551" t="n">
        <v>0</v>
      </c>
      <c r="I551" t="n">
        <v>0</v>
      </c>
      <c r="J551" t="n">
        <v>0</v>
      </c>
      <c r="K551" t="n">
        <v>0</v>
      </c>
      <c r="L551" t="n">
        <v>0</v>
      </c>
      <c r="M551" t="n">
        <v>0</v>
      </c>
      <c r="N551" t="n">
        <v>0</v>
      </c>
      <c r="O551" t="n">
        <v>0</v>
      </c>
      <c r="P551" t="n">
        <v>0</v>
      </c>
      <c r="Q551" t="n">
        <v>0</v>
      </c>
      <c r="R551" s="2" t="inlineStr"/>
    </row>
    <row r="552" ht="15" customHeight="1">
      <c r="A552" t="inlineStr">
        <is>
          <t>A 51411-2023</t>
        </is>
      </c>
      <c r="B552" s="1" t="n">
        <v>45219</v>
      </c>
      <c r="C552" s="1" t="n">
        <v>46029</v>
      </c>
      <c r="D552" t="inlineStr">
        <is>
          <t>VÄSTERNORRLANDS LÄN</t>
        </is>
      </c>
      <c r="E552" t="inlineStr">
        <is>
          <t>ÅNGE</t>
        </is>
      </c>
      <c r="G552" t="n">
        <v>2.5</v>
      </c>
      <c r="H552" t="n">
        <v>0</v>
      </c>
      <c r="I552" t="n">
        <v>0</v>
      </c>
      <c r="J552" t="n">
        <v>0</v>
      </c>
      <c r="K552" t="n">
        <v>0</v>
      </c>
      <c r="L552" t="n">
        <v>0</v>
      </c>
      <c r="M552" t="n">
        <v>0</v>
      </c>
      <c r="N552" t="n">
        <v>0</v>
      </c>
      <c r="O552" t="n">
        <v>0</v>
      </c>
      <c r="P552" t="n">
        <v>0</v>
      </c>
      <c r="Q552" t="n">
        <v>0</v>
      </c>
      <c r="R552" s="2" t="inlineStr"/>
    </row>
    <row r="553" ht="15" customHeight="1">
      <c r="A553" t="inlineStr">
        <is>
          <t>A 1869-2022</t>
        </is>
      </c>
      <c r="B553" s="1" t="n">
        <v>44574</v>
      </c>
      <c r="C553" s="1" t="n">
        <v>46029</v>
      </c>
      <c r="D553" t="inlineStr">
        <is>
          <t>VÄSTERNORRLANDS LÄN</t>
        </is>
      </c>
      <c r="E553" t="inlineStr">
        <is>
          <t>ÅNGE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35578-2025</t>
        </is>
      </c>
      <c r="B554" s="1" t="n">
        <v>45856.67797453704</v>
      </c>
      <c r="C554" s="1" t="n">
        <v>46029</v>
      </c>
      <c r="D554" t="inlineStr">
        <is>
          <t>VÄSTERNORRLANDS LÄN</t>
        </is>
      </c>
      <c r="E554" t="inlineStr">
        <is>
          <t>ÅNGE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27572-2025</t>
        </is>
      </c>
      <c r="B555" s="1" t="n">
        <v>45813.49049768518</v>
      </c>
      <c r="C555" s="1" t="n">
        <v>46029</v>
      </c>
      <c r="D555" t="inlineStr">
        <is>
          <t>VÄSTERNORRLANDS LÄN</t>
        </is>
      </c>
      <c r="E555" t="inlineStr">
        <is>
          <t>ÅNGE</t>
        </is>
      </c>
      <c r="F555" t="inlineStr">
        <is>
          <t>SCA</t>
        </is>
      </c>
      <c r="G555" t="n">
        <v>14.3</v>
      </c>
      <c r="H555" t="n">
        <v>0</v>
      </c>
      <c r="I555" t="n">
        <v>0</v>
      </c>
      <c r="J555" t="n">
        <v>0</v>
      </c>
      <c r="K555" t="n">
        <v>0</v>
      </c>
      <c r="L555" t="n">
        <v>0</v>
      </c>
      <c r="M555" t="n">
        <v>0</v>
      </c>
      <c r="N555" t="n">
        <v>0</v>
      </c>
      <c r="O555" t="n">
        <v>0</v>
      </c>
      <c r="P555" t="n">
        <v>0</v>
      </c>
      <c r="Q555" t="n">
        <v>0</v>
      </c>
      <c r="R555" s="2" t="inlineStr"/>
    </row>
    <row r="556" ht="15" customHeight="1">
      <c r="A556" t="inlineStr">
        <is>
          <t>A 27606-2025</t>
        </is>
      </c>
      <c r="B556" s="1" t="n">
        <v>45813.53200231482</v>
      </c>
      <c r="C556" s="1" t="n">
        <v>46029</v>
      </c>
      <c r="D556" t="inlineStr">
        <is>
          <t>VÄSTERNORRLANDS LÄN</t>
        </is>
      </c>
      <c r="E556" t="inlineStr">
        <is>
          <t>ÅNGE</t>
        </is>
      </c>
      <c r="F556" t="inlineStr">
        <is>
          <t>SCA</t>
        </is>
      </c>
      <c r="G556" t="n">
        <v>6.3</v>
      </c>
      <c r="H556" t="n">
        <v>0</v>
      </c>
      <c r="I556" t="n">
        <v>0</v>
      </c>
      <c r="J556" t="n">
        <v>0</v>
      </c>
      <c r="K556" t="n">
        <v>0</v>
      </c>
      <c r="L556" t="n">
        <v>0</v>
      </c>
      <c r="M556" t="n">
        <v>0</v>
      </c>
      <c r="N556" t="n">
        <v>0</v>
      </c>
      <c r="O556" t="n">
        <v>0</v>
      </c>
      <c r="P556" t="n">
        <v>0</v>
      </c>
      <c r="Q556" t="n">
        <v>0</v>
      </c>
      <c r="R556" s="2" t="inlineStr"/>
    </row>
    <row r="557" ht="15" customHeight="1">
      <c r="A557" t="inlineStr">
        <is>
          <t>A 39768-2025</t>
        </is>
      </c>
      <c r="B557" s="1" t="n">
        <v>45891.44842592593</v>
      </c>
      <c r="C557" s="1" t="n">
        <v>46029</v>
      </c>
      <c r="D557" t="inlineStr">
        <is>
          <t>VÄSTERNORRLANDS LÄN</t>
        </is>
      </c>
      <c r="E557" t="inlineStr">
        <is>
          <t>ÅNGE</t>
        </is>
      </c>
      <c r="G557" t="n">
        <v>10.4</v>
      </c>
      <c r="H557" t="n">
        <v>0</v>
      </c>
      <c r="I557" t="n">
        <v>0</v>
      </c>
      <c r="J557" t="n">
        <v>0</v>
      </c>
      <c r="K557" t="n">
        <v>0</v>
      </c>
      <c r="L557" t="n">
        <v>0</v>
      </c>
      <c r="M557" t="n">
        <v>0</v>
      </c>
      <c r="N557" t="n">
        <v>0</v>
      </c>
      <c r="O557" t="n">
        <v>0</v>
      </c>
      <c r="P557" t="n">
        <v>0</v>
      </c>
      <c r="Q557" t="n">
        <v>0</v>
      </c>
      <c r="R557" s="2" t="inlineStr"/>
    </row>
    <row r="558" ht="15" customHeight="1">
      <c r="A558" t="inlineStr">
        <is>
          <t>A 33720-2025</t>
        </is>
      </c>
      <c r="B558" s="1" t="n">
        <v>45841.90605324074</v>
      </c>
      <c r="C558" s="1" t="n">
        <v>46029</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27639-2025</t>
        </is>
      </c>
      <c r="B559" s="1" t="n">
        <v>45813</v>
      </c>
      <c r="C559" s="1" t="n">
        <v>46029</v>
      </c>
      <c r="D559" t="inlineStr">
        <is>
          <t>VÄSTERNORRLANDS LÄN</t>
        </is>
      </c>
      <c r="E559" t="inlineStr">
        <is>
          <t>ÅNGE</t>
        </is>
      </c>
      <c r="G559" t="n">
        <v>22.9</v>
      </c>
      <c r="H559" t="n">
        <v>0</v>
      </c>
      <c r="I559" t="n">
        <v>0</v>
      </c>
      <c r="J559" t="n">
        <v>0</v>
      </c>
      <c r="K559" t="n">
        <v>0</v>
      </c>
      <c r="L559" t="n">
        <v>0</v>
      </c>
      <c r="M559" t="n">
        <v>0</v>
      </c>
      <c r="N559" t="n">
        <v>0</v>
      </c>
      <c r="O559" t="n">
        <v>0</v>
      </c>
      <c r="P559" t="n">
        <v>0</v>
      </c>
      <c r="Q559" t="n">
        <v>0</v>
      </c>
      <c r="R559" s="2" t="inlineStr"/>
    </row>
    <row r="560" ht="15" customHeight="1">
      <c r="A560" t="inlineStr">
        <is>
          <t>A 4095-2023</t>
        </is>
      </c>
      <c r="B560" s="1" t="n">
        <v>44952</v>
      </c>
      <c r="C560" s="1" t="n">
        <v>46029</v>
      </c>
      <c r="D560" t="inlineStr">
        <is>
          <t>VÄSTERNORRLANDS LÄN</t>
        </is>
      </c>
      <c r="E560" t="inlineStr">
        <is>
          <t>ÅNGE</t>
        </is>
      </c>
      <c r="G560" t="n">
        <v>13.4</v>
      </c>
      <c r="H560" t="n">
        <v>0</v>
      </c>
      <c r="I560" t="n">
        <v>0</v>
      </c>
      <c r="J560" t="n">
        <v>0</v>
      </c>
      <c r="K560" t="n">
        <v>0</v>
      </c>
      <c r="L560" t="n">
        <v>0</v>
      </c>
      <c r="M560" t="n">
        <v>0</v>
      </c>
      <c r="N560" t="n">
        <v>0</v>
      </c>
      <c r="O560" t="n">
        <v>0</v>
      </c>
      <c r="P560" t="n">
        <v>0</v>
      </c>
      <c r="Q560" t="n">
        <v>0</v>
      </c>
      <c r="R560" s="2" t="inlineStr"/>
    </row>
    <row r="561" ht="15" customHeight="1">
      <c r="A561" t="inlineStr">
        <is>
          <t>A 39729-2025</t>
        </is>
      </c>
      <c r="B561" s="1" t="n">
        <v>45891</v>
      </c>
      <c r="C561" s="1" t="n">
        <v>46029</v>
      </c>
      <c r="D561" t="inlineStr">
        <is>
          <t>VÄSTERNORRLANDS LÄN</t>
        </is>
      </c>
      <c r="E561" t="inlineStr">
        <is>
          <t>ÅNGE</t>
        </is>
      </c>
      <c r="G561" t="n">
        <v>2.3</v>
      </c>
      <c r="H561" t="n">
        <v>0</v>
      </c>
      <c r="I561" t="n">
        <v>0</v>
      </c>
      <c r="J561" t="n">
        <v>0</v>
      </c>
      <c r="K561" t="n">
        <v>0</v>
      </c>
      <c r="L561" t="n">
        <v>0</v>
      </c>
      <c r="M561" t="n">
        <v>0</v>
      </c>
      <c r="N561" t="n">
        <v>0</v>
      </c>
      <c r="O561" t="n">
        <v>0</v>
      </c>
      <c r="P561" t="n">
        <v>0</v>
      </c>
      <c r="Q561" t="n">
        <v>0</v>
      </c>
      <c r="R561" s="2" t="inlineStr"/>
    </row>
    <row r="562" ht="15" customHeight="1">
      <c r="A562" t="inlineStr">
        <is>
          <t>A 5367-2022</t>
        </is>
      </c>
      <c r="B562" s="1" t="n">
        <v>44594.92111111111</v>
      </c>
      <c r="C562" s="1" t="n">
        <v>46029</v>
      </c>
      <c r="D562" t="inlineStr">
        <is>
          <t>VÄSTERNORRLANDS LÄN</t>
        </is>
      </c>
      <c r="E562" t="inlineStr">
        <is>
          <t>ÅNGE</t>
        </is>
      </c>
      <c r="G562" t="n">
        <v>1.4</v>
      </c>
      <c r="H562" t="n">
        <v>0</v>
      </c>
      <c r="I562" t="n">
        <v>0</v>
      </c>
      <c r="J562" t="n">
        <v>0</v>
      </c>
      <c r="K562" t="n">
        <v>0</v>
      </c>
      <c r="L562" t="n">
        <v>0</v>
      </c>
      <c r="M562" t="n">
        <v>0</v>
      </c>
      <c r="N562" t="n">
        <v>0</v>
      </c>
      <c r="O562" t="n">
        <v>0</v>
      </c>
      <c r="P562" t="n">
        <v>0</v>
      </c>
      <c r="Q562" t="n">
        <v>0</v>
      </c>
      <c r="R562" s="2" t="inlineStr"/>
    </row>
    <row r="563" ht="15" customHeight="1">
      <c r="A563" t="inlineStr">
        <is>
          <t>A 72239-2021</t>
        </is>
      </c>
      <c r="B563" s="1" t="n">
        <v>44544.9203587963</v>
      </c>
      <c r="C563" s="1" t="n">
        <v>46029</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28070-2025</t>
        </is>
      </c>
      <c r="B564" s="1" t="n">
        <v>45817.67739583334</v>
      </c>
      <c r="C564" s="1" t="n">
        <v>46029</v>
      </c>
      <c r="D564" t="inlineStr">
        <is>
          <t>VÄSTERNORRLANDS LÄN</t>
        </is>
      </c>
      <c r="E564" t="inlineStr">
        <is>
          <t>ÅNGE</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55882-2022</t>
        </is>
      </c>
      <c r="B565" s="1" t="n">
        <v>44888</v>
      </c>
      <c r="C565" s="1" t="n">
        <v>46029</v>
      </c>
      <c r="D565" t="inlineStr">
        <is>
          <t>VÄSTERNORRLANDS LÄN</t>
        </is>
      </c>
      <c r="E565" t="inlineStr">
        <is>
          <t>ÅNGE</t>
        </is>
      </c>
      <c r="G565" t="n">
        <v>2.7</v>
      </c>
      <c r="H565" t="n">
        <v>0</v>
      </c>
      <c r="I565" t="n">
        <v>0</v>
      </c>
      <c r="J565" t="n">
        <v>0</v>
      </c>
      <c r="K565" t="n">
        <v>0</v>
      </c>
      <c r="L565" t="n">
        <v>0</v>
      </c>
      <c r="M565" t="n">
        <v>0</v>
      </c>
      <c r="N565" t="n">
        <v>0</v>
      </c>
      <c r="O565" t="n">
        <v>0</v>
      </c>
      <c r="P565" t="n">
        <v>0</v>
      </c>
      <c r="Q565" t="n">
        <v>0</v>
      </c>
      <c r="R565" s="2" t="inlineStr"/>
    </row>
    <row r="566" ht="15" customHeight="1">
      <c r="A566" t="inlineStr">
        <is>
          <t>A 16450-2025</t>
        </is>
      </c>
      <c r="B566" s="1" t="n">
        <v>45751.51081018519</v>
      </c>
      <c r="C566" s="1" t="n">
        <v>46029</v>
      </c>
      <c r="D566" t="inlineStr">
        <is>
          <t>VÄSTERNORRLANDS LÄN</t>
        </is>
      </c>
      <c r="E566" t="inlineStr">
        <is>
          <t>ÅNGE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46249-2024</t>
        </is>
      </c>
      <c r="B567" s="1" t="n">
        <v>45581.59409722222</v>
      </c>
      <c r="C567" s="1" t="n">
        <v>46029</v>
      </c>
      <c r="D567" t="inlineStr">
        <is>
          <t>VÄSTERNORRLANDS LÄN</t>
        </is>
      </c>
      <c r="E567" t="inlineStr">
        <is>
          <t>ÅNGE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28085-2025</t>
        </is>
      </c>
      <c r="B568" s="1" t="n">
        <v>45817.71924768519</v>
      </c>
      <c r="C568" s="1" t="n">
        <v>46029</v>
      </c>
      <c r="D568" t="inlineStr">
        <is>
          <t>VÄSTERNORRLANDS LÄN</t>
        </is>
      </c>
      <c r="E568" t="inlineStr">
        <is>
          <t>ÅNGE</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28143-2025</t>
        </is>
      </c>
      <c r="B569" s="1" t="n">
        <v>45818.34546296296</v>
      </c>
      <c r="C569" s="1" t="n">
        <v>46029</v>
      </c>
      <c r="D569" t="inlineStr">
        <is>
          <t>VÄSTERNORRLANDS LÄN</t>
        </is>
      </c>
      <c r="E569" t="inlineStr">
        <is>
          <t>ÅNGE</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28404-2025</t>
        </is>
      </c>
      <c r="B570" s="1" t="n">
        <v>45819.34532407407</v>
      </c>
      <c r="C570" s="1" t="n">
        <v>46029</v>
      </c>
      <c r="D570" t="inlineStr">
        <is>
          <t>VÄSTERNORRLANDS LÄN</t>
        </is>
      </c>
      <c r="E570" t="inlineStr">
        <is>
          <t>ÅNGE</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28896-2025</t>
        </is>
      </c>
      <c r="B571" s="1" t="n">
        <v>45820.63584490741</v>
      </c>
      <c r="C571" s="1" t="n">
        <v>46029</v>
      </c>
      <c r="D571" t="inlineStr">
        <is>
          <t>VÄSTERNORRLANDS LÄN</t>
        </is>
      </c>
      <c r="E571" t="inlineStr">
        <is>
          <t>ÅNGE</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38272-2024</t>
        </is>
      </c>
      <c r="B572" s="1" t="n">
        <v>45545.60392361111</v>
      </c>
      <c r="C572" s="1" t="n">
        <v>46029</v>
      </c>
      <c r="D572" t="inlineStr">
        <is>
          <t>VÄSTERNORRLANDS LÄN</t>
        </is>
      </c>
      <c r="E572" t="inlineStr">
        <is>
          <t>ÅNGE</t>
        </is>
      </c>
      <c r="G572" t="n">
        <v>1.7</v>
      </c>
      <c r="H572" t="n">
        <v>0</v>
      </c>
      <c r="I572" t="n">
        <v>0</v>
      </c>
      <c r="J572" t="n">
        <v>0</v>
      </c>
      <c r="K572" t="n">
        <v>0</v>
      </c>
      <c r="L572" t="n">
        <v>0</v>
      </c>
      <c r="M572" t="n">
        <v>0</v>
      </c>
      <c r="N572" t="n">
        <v>0</v>
      </c>
      <c r="O572" t="n">
        <v>0</v>
      </c>
      <c r="P572" t="n">
        <v>0</v>
      </c>
      <c r="Q572" t="n">
        <v>0</v>
      </c>
      <c r="R572" s="2" t="inlineStr"/>
    </row>
    <row r="573" ht="15" customHeight="1">
      <c r="A573" t="inlineStr">
        <is>
          <t>A 40665-2025</t>
        </is>
      </c>
      <c r="B573" s="1" t="n">
        <v>45896.65663194445</v>
      </c>
      <c r="C573" s="1" t="n">
        <v>46029</v>
      </c>
      <c r="D573" t="inlineStr">
        <is>
          <t>VÄSTERNORRLANDS LÄN</t>
        </is>
      </c>
      <c r="E573" t="inlineStr">
        <is>
          <t>ÅNGE</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16593-2023</t>
        </is>
      </c>
      <c r="B574" s="1" t="n">
        <v>45030</v>
      </c>
      <c r="C574" s="1" t="n">
        <v>46029</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16600-2023</t>
        </is>
      </c>
      <c r="B575" s="1" t="n">
        <v>45030</v>
      </c>
      <c r="C575" s="1" t="n">
        <v>46029</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28819-2025</t>
        </is>
      </c>
      <c r="B576" s="1" t="n">
        <v>45820.53758101852</v>
      </c>
      <c r="C576" s="1" t="n">
        <v>46029</v>
      </c>
      <c r="D576" t="inlineStr">
        <is>
          <t>VÄSTERNORRLANDS LÄN</t>
        </is>
      </c>
      <c r="E576" t="inlineStr">
        <is>
          <t>ÅNGE</t>
        </is>
      </c>
      <c r="G576" t="n">
        <v>2.9</v>
      </c>
      <c r="H576" t="n">
        <v>0</v>
      </c>
      <c r="I576" t="n">
        <v>0</v>
      </c>
      <c r="J576" t="n">
        <v>0</v>
      </c>
      <c r="K576" t="n">
        <v>0</v>
      </c>
      <c r="L576" t="n">
        <v>0</v>
      </c>
      <c r="M576" t="n">
        <v>0</v>
      </c>
      <c r="N576" t="n">
        <v>0</v>
      </c>
      <c r="O576" t="n">
        <v>0</v>
      </c>
      <c r="P576" t="n">
        <v>0</v>
      </c>
      <c r="Q576" t="n">
        <v>0</v>
      </c>
      <c r="R576" s="2" t="inlineStr"/>
    </row>
    <row r="577" ht="15" customHeight="1">
      <c r="A577" t="inlineStr">
        <is>
          <t>A 28845-2025</t>
        </is>
      </c>
      <c r="B577" s="1" t="n">
        <v>45820.57324074074</v>
      </c>
      <c r="C577" s="1" t="n">
        <v>46029</v>
      </c>
      <c r="D577" t="inlineStr">
        <is>
          <t>VÄSTERNORRLANDS LÄN</t>
        </is>
      </c>
      <c r="E577" t="inlineStr">
        <is>
          <t>ÅNGE</t>
        </is>
      </c>
      <c r="F577" t="inlineStr">
        <is>
          <t>SCA</t>
        </is>
      </c>
      <c r="G577" t="n">
        <v>3.4</v>
      </c>
      <c r="H577" t="n">
        <v>0</v>
      </c>
      <c r="I577" t="n">
        <v>0</v>
      </c>
      <c r="J577" t="n">
        <v>0</v>
      </c>
      <c r="K577" t="n">
        <v>0</v>
      </c>
      <c r="L577" t="n">
        <v>0</v>
      </c>
      <c r="M577" t="n">
        <v>0</v>
      </c>
      <c r="N577" t="n">
        <v>0</v>
      </c>
      <c r="O577" t="n">
        <v>0</v>
      </c>
      <c r="P577" t="n">
        <v>0</v>
      </c>
      <c r="Q577" t="n">
        <v>0</v>
      </c>
      <c r="R577" s="2" t="inlineStr"/>
    </row>
    <row r="578" ht="15" customHeight="1">
      <c r="A578" t="inlineStr">
        <is>
          <t>A 42488-2024</t>
        </is>
      </c>
      <c r="B578" s="1" t="n">
        <v>45565.49420138889</v>
      </c>
      <c r="C578" s="1" t="n">
        <v>46029</v>
      </c>
      <c r="D578" t="inlineStr">
        <is>
          <t>VÄSTERNORRLANDS LÄN</t>
        </is>
      </c>
      <c r="E578" t="inlineStr">
        <is>
          <t>ÅNGE</t>
        </is>
      </c>
      <c r="F578" t="inlineStr">
        <is>
          <t>SCA</t>
        </is>
      </c>
      <c r="G578" t="n">
        <v>6</v>
      </c>
      <c r="H578" t="n">
        <v>0</v>
      </c>
      <c r="I578" t="n">
        <v>0</v>
      </c>
      <c r="J578" t="n">
        <v>0</v>
      </c>
      <c r="K578" t="n">
        <v>0</v>
      </c>
      <c r="L578" t="n">
        <v>0</v>
      </c>
      <c r="M578" t="n">
        <v>0</v>
      </c>
      <c r="N578" t="n">
        <v>0</v>
      </c>
      <c r="O578" t="n">
        <v>0</v>
      </c>
      <c r="P578" t="n">
        <v>0</v>
      </c>
      <c r="Q578" t="n">
        <v>0</v>
      </c>
      <c r="R578" s="2" t="inlineStr"/>
    </row>
    <row r="579" ht="15" customHeight="1">
      <c r="A579" t="inlineStr">
        <is>
          <t>A 35399-2024</t>
        </is>
      </c>
      <c r="B579" s="1" t="n">
        <v>45531.40438657408</v>
      </c>
      <c r="C579" s="1" t="n">
        <v>46029</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28814-2025</t>
        </is>
      </c>
      <c r="B580" s="1" t="n">
        <v>45820.52846064815</v>
      </c>
      <c r="C580" s="1" t="n">
        <v>46029</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28717-2025</t>
        </is>
      </c>
      <c r="B581" s="1" t="n">
        <v>45820</v>
      </c>
      <c r="C581" s="1" t="n">
        <v>46029</v>
      </c>
      <c r="D581" t="inlineStr">
        <is>
          <t>VÄSTERNORRLANDS LÄN</t>
        </is>
      </c>
      <c r="E581" t="inlineStr">
        <is>
          <t>ÅNGE</t>
        </is>
      </c>
      <c r="F581" t="inlineStr">
        <is>
          <t>SCA</t>
        </is>
      </c>
      <c r="G581" t="n">
        <v>6.2</v>
      </c>
      <c r="H581" t="n">
        <v>0</v>
      </c>
      <c r="I581" t="n">
        <v>0</v>
      </c>
      <c r="J581" t="n">
        <v>0</v>
      </c>
      <c r="K581" t="n">
        <v>0</v>
      </c>
      <c r="L581" t="n">
        <v>0</v>
      </c>
      <c r="M581" t="n">
        <v>0</v>
      </c>
      <c r="N581" t="n">
        <v>0</v>
      </c>
      <c r="O581" t="n">
        <v>0</v>
      </c>
      <c r="P581" t="n">
        <v>0</v>
      </c>
      <c r="Q581" t="n">
        <v>0</v>
      </c>
      <c r="R581" s="2" t="inlineStr"/>
    </row>
    <row r="582" ht="15" customHeight="1">
      <c r="A582" t="inlineStr">
        <is>
          <t>A 29350-2025</t>
        </is>
      </c>
      <c r="B582" s="1" t="n">
        <v>45824.53206018519</v>
      </c>
      <c r="C582" s="1" t="n">
        <v>46029</v>
      </c>
      <c r="D582" t="inlineStr">
        <is>
          <t>VÄSTERNORRLANDS LÄN</t>
        </is>
      </c>
      <c r="E582" t="inlineStr">
        <is>
          <t>ÅNGE</t>
        </is>
      </c>
      <c r="G582" t="n">
        <v>8.6</v>
      </c>
      <c r="H582" t="n">
        <v>0</v>
      </c>
      <c r="I582" t="n">
        <v>0</v>
      </c>
      <c r="J582" t="n">
        <v>0</v>
      </c>
      <c r="K582" t="n">
        <v>0</v>
      </c>
      <c r="L582" t="n">
        <v>0</v>
      </c>
      <c r="M582" t="n">
        <v>0</v>
      </c>
      <c r="N582" t="n">
        <v>0</v>
      </c>
      <c r="O582" t="n">
        <v>0</v>
      </c>
      <c r="P582" t="n">
        <v>0</v>
      </c>
      <c r="Q582" t="n">
        <v>0</v>
      </c>
      <c r="R582" s="2" t="inlineStr"/>
    </row>
    <row r="583" ht="15" customHeight="1">
      <c r="A583" t="inlineStr">
        <is>
          <t>A 39682-2024</t>
        </is>
      </c>
      <c r="B583" s="1" t="n">
        <v>45552</v>
      </c>
      <c r="C583" s="1" t="n">
        <v>46029</v>
      </c>
      <c r="D583" t="inlineStr">
        <is>
          <t>VÄSTERNORRLANDS LÄN</t>
        </is>
      </c>
      <c r="E583" t="inlineStr">
        <is>
          <t>ÅNGE</t>
        </is>
      </c>
      <c r="G583" t="n">
        <v>35.4</v>
      </c>
      <c r="H583" t="n">
        <v>0</v>
      </c>
      <c r="I583" t="n">
        <v>0</v>
      </c>
      <c r="J583" t="n">
        <v>0</v>
      </c>
      <c r="K583" t="n">
        <v>0</v>
      </c>
      <c r="L583" t="n">
        <v>0</v>
      </c>
      <c r="M583" t="n">
        <v>0</v>
      </c>
      <c r="N583" t="n">
        <v>0</v>
      </c>
      <c r="O583" t="n">
        <v>0</v>
      </c>
      <c r="P583" t="n">
        <v>0</v>
      </c>
      <c r="Q583" t="n">
        <v>0</v>
      </c>
      <c r="R583" s="2" t="inlineStr"/>
    </row>
    <row r="584" ht="15" customHeight="1">
      <c r="A584" t="inlineStr">
        <is>
          <t>A 17668-2023</t>
        </is>
      </c>
      <c r="B584" s="1" t="n">
        <v>45036</v>
      </c>
      <c r="C584" s="1" t="n">
        <v>46029</v>
      </c>
      <c r="D584" t="inlineStr">
        <is>
          <t>VÄSTERNORRLANDS LÄN</t>
        </is>
      </c>
      <c r="E584" t="inlineStr">
        <is>
          <t>ÅNGE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29153-2025</t>
        </is>
      </c>
      <c r="B585" s="1" t="n">
        <v>45821.63574074074</v>
      </c>
      <c r="C585" s="1" t="n">
        <v>46029</v>
      </c>
      <c r="D585" t="inlineStr">
        <is>
          <t>VÄSTERNORRLANDS LÄN</t>
        </is>
      </c>
      <c r="E585" t="inlineStr">
        <is>
          <t>ÅNGE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8406-2023</t>
        </is>
      </c>
      <c r="B586" s="1" t="n">
        <v>44971</v>
      </c>
      <c r="C586" s="1" t="n">
        <v>46029</v>
      </c>
      <c r="D586" t="inlineStr">
        <is>
          <t>VÄSTERNORRLANDS LÄN</t>
        </is>
      </c>
      <c r="E586" t="inlineStr">
        <is>
          <t>ÅNGE</t>
        </is>
      </c>
      <c r="G586" t="n">
        <v>1.2</v>
      </c>
      <c r="H586" t="n">
        <v>0</v>
      </c>
      <c r="I586" t="n">
        <v>0</v>
      </c>
      <c r="J586" t="n">
        <v>0</v>
      </c>
      <c r="K586" t="n">
        <v>0</v>
      </c>
      <c r="L586" t="n">
        <v>0</v>
      </c>
      <c r="M586" t="n">
        <v>0</v>
      </c>
      <c r="N586" t="n">
        <v>0</v>
      </c>
      <c r="O586" t="n">
        <v>0</v>
      </c>
      <c r="P586" t="n">
        <v>0</v>
      </c>
      <c r="Q586" t="n">
        <v>0</v>
      </c>
      <c r="R586" s="2" t="inlineStr"/>
    </row>
    <row r="587" ht="15" customHeight="1">
      <c r="A587" t="inlineStr">
        <is>
          <t>A 29862-2025</t>
        </is>
      </c>
      <c r="B587" s="1" t="n">
        <v>45826.3465625</v>
      </c>
      <c r="C587" s="1" t="n">
        <v>46029</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29882-2025</t>
        </is>
      </c>
      <c r="B588" s="1" t="n">
        <v>45826.36548611111</v>
      </c>
      <c r="C588" s="1" t="n">
        <v>46029</v>
      </c>
      <c r="D588" t="inlineStr">
        <is>
          <t>VÄSTERNORRLANDS LÄN</t>
        </is>
      </c>
      <c r="E588" t="inlineStr">
        <is>
          <t>ÅNGE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4651-2022</t>
        </is>
      </c>
      <c r="B589" s="1" t="n">
        <v>44592</v>
      </c>
      <c r="C589" s="1" t="n">
        <v>46029</v>
      </c>
      <c r="D589" t="inlineStr">
        <is>
          <t>VÄSTERNORRLANDS LÄN</t>
        </is>
      </c>
      <c r="E589" t="inlineStr">
        <is>
          <t>ÅNGE</t>
        </is>
      </c>
      <c r="G589" t="n">
        <v>1.7</v>
      </c>
      <c r="H589" t="n">
        <v>0</v>
      </c>
      <c r="I589" t="n">
        <v>0</v>
      </c>
      <c r="J589" t="n">
        <v>0</v>
      </c>
      <c r="K589" t="n">
        <v>0</v>
      </c>
      <c r="L589" t="n">
        <v>0</v>
      </c>
      <c r="M589" t="n">
        <v>0</v>
      </c>
      <c r="N589" t="n">
        <v>0</v>
      </c>
      <c r="O589" t="n">
        <v>0</v>
      </c>
      <c r="P589" t="n">
        <v>0</v>
      </c>
      <c r="Q589" t="n">
        <v>0</v>
      </c>
      <c r="R589" s="2" t="inlineStr"/>
    </row>
    <row r="590" ht="15" customHeight="1">
      <c r="A590" t="inlineStr">
        <is>
          <t>A 45933-2023</t>
        </is>
      </c>
      <c r="B590" s="1" t="n">
        <v>45195</v>
      </c>
      <c r="C590" s="1" t="n">
        <v>46029</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57601-2022</t>
        </is>
      </c>
      <c r="B591" s="1" t="n">
        <v>44896</v>
      </c>
      <c r="C591" s="1" t="n">
        <v>46029</v>
      </c>
      <c r="D591" t="inlineStr">
        <is>
          <t>VÄSTERNORRLANDS LÄN</t>
        </is>
      </c>
      <c r="E591" t="inlineStr">
        <is>
          <t>ÅNGE</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29916-2025</t>
        </is>
      </c>
      <c r="B592" s="1" t="n">
        <v>45826.41822916667</v>
      </c>
      <c r="C592" s="1" t="n">
        <v>46029</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34649-2024</t>
        </is>
      </c>
      <c r="B593" s="1" t="n">
        <v>45526.48325231481</v>
      </c>
      <c r="C593" s="1" t="n">
        <v>46029</v>
      </c>
      <c r="D593" t="inlineStr">
        <is>
          <t>VÄSTERNORRLANDS LÄN</t>
        </is>
      </c>
      <c r="E593" t="inlineStr">
        <is>
          <t>ÅNGE</t>
        </is>
      </c>
      <c r="G593" t="n">
        <v>1.2</v>
      </c>
      <c r="H593" t="n">
        <v>0</v>
      </c>
      <c r="I593" t="n">
        <v>0</v>
      </c>
      <c r="J593" t="n">
        <v>0</v>
      </c>
      <c r="K593" t="n">
        <v>0</v>
      </c>
      <c r="L593" t="n">
        <v>0</v>
      </c>
      <c r="M593" t="n">
        <v>0</v>
      </c>
      <c r="N593" t="n">
        <v>0</v>
      </c>
      <c r="O593" t="n">
        <v>0</v>
      </c>
      <c r="P593" t="n">
        <v>0</v>
      </c>
      <c r="Q593" t="n">
        <v>0</v>
      </c>
      <c r="R593" s="2" t="inlineStr"/>
    </row>
    <row r="594" ht="15" customHeight="1">
      <c r="A594" t="inlineStr">
        <is>
          <t>A 29560-2025</t>
        </is>
      </c>
      <c r="B594" s="1" t="n">
        <v>45825.36497685185</v>
      </c>
      <c r="C594" s="1" t="n">
        <v>46029</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29786-2025</t>
        </is>
      </c>
      <c r="B595" s="1" t="n">
        <v>45825.65663194445</v>
      </c>
      <c r="C595" s="1" t="n">
        <v>46029</v>
      </c>
      <c r="D595" t="inlineStr">
        <is>
          <t>VÄSTERNORRLANDS LÄN</t>
        </is>
      </c>
      <c r="E595" t="inlineStr">
        <is>
          <t>ÅNGE</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41179-2025</t>
        </is>
      </c>
      <c r="B596" s="1" t="n">
        <v>45898.55277777778</v>
      </c>
      <c r="C596" s="1" t="n">
        <v>46029</v>
      </c>
      <c r="D596" t="inlineStr">
        <is>
          <t>VÄSTERNORRLANDS LÄN</t>
        </is>
      </c>
      <c r="E596" t="inlineStr">
        <is>
          <t>ÅNGE</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30475-2025</t>
        </is>
      </c>
      <c r="B597" s="1" t="n">
        <v>45828.34444444445</v>
      </c>
      <c r="C597" s="1" t="n">
        <v>46029</v>
      </c>
      <c r="D597" t="inlineStr">
        <is>
          <t>VÄSTERNORRLANDS LÄN</t>
        </is>
      </c>
      <c r="E597" t="inlineStr">
        <is>
          <t>ÅNGE</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41173-2025</t>
        </is>
      </c>
      <c r="B598" s="1" t="n">
        <v>45898</v>
      </c>
      <c r="C598" s="1" t="n">
        <v>46029</v>
      </c>
      <c r="D598" t="inlineStr">
        <is>
          <t>VÄSTERNORRLANDS LÄN</t>
        </is>
      </c>
      <c r="E598" t="inlineStr">
        <is>
          <t>ÅNGE</t>
        </is>
      </c>
      <c r="G598" t="n">
        <v>3.6</v>
      </c>
      <c r="H598" t="n">
        <v>0</v>
      </c>
      <c r="I598" t="n">
        <v>0</v>
      </c>
      <c r="J598" t="n">
        <v>0</v>
      </c>
      <c r="K598" t="n">
        <v>0</v>
      </c>
      <c r="L598" t="n">
        <v>0</v>
      </c>
      <c r="M598" t="n">
        <v>0</v>
      </c>
      <c r="N598" t="n">
        <v>0</v>
      </c>
      <c r="O598" t="n">
        <v>0</v>
      </c>
      <c r="P598" t="n">
        <v>0</v>
      </c>
      <c r="Q598" t="n">
        <v>0</v>
      </c>
      <c r="R598" s="2" t="inlineStr"/>
    </row>
    <row r="599" ht="15" customHeight="1">
      <c r="A599" t="inlineStr">
        <is>
          <t>A 40898-2025</t>
        </is>
      </c>
      <c r="B599" s="1" t="n">
        <v>45897.61503472222</v>
      </c>
      <c r="C599" s="1" t="n">
        <v>46029</v>
      </c>
      <c r="D599" t="inlineStr">
        <is>
          <t>VÄSTERNORRLANDS LÄN</t>
        </is>
      </c>
      <c r="E599" t="inlineStr">
        <is>
          <t>ÅNGE</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40899-2025</t>
        </is>
      </c>
      <c r="B600" s="1" t="n">
        <v>45897.61528935185</v>
      </c>
      <c r="C600" s="1" t="n">
        <v>46029</v>
      </c>
      <c r="D600" t="inlineStr">
        <is>
          <t>VÄSTERNORRLANDS LÄN</t>
        </is>
      </c>
      <c r="E600" t="inlineStr">
        <is>
          <t>ÅNGE</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34679-2024</t>
        </is>
      </c>
      <c r="B601" s="1" t="n">
        <v>45526</v>
      </c>
      <c r="C601" s="1" t="n">
        <v>46029</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58445-2022</t>
        </is>
      </c>
      <c r="B602" s="1" t="n">
        <v>44901.95453703704</v>
      </c>
      <c r="C602" s="1" t="n">
        <v>46029</v>
      </c>
      <c r="D602" t="inlineStr">
        <is>
          <t>VÄSTERNORRLANDS LÄN</t>
        </is>
      </c>
      <c r="E602" t="inlineStr">
        <is>
          <t>ÅNGE</t>
        </is>
      </c>
      <c r="F602" t="inlineStr">
        <is>
          <t>SCA</t>
        </is>
      </c>
      <c r="G602" t="n">
        <v>3.6</v>
      </c>
      <c r="H602" t="n">
        <v>0</v>
      </c>
      <c r="I602" t="n">
        <v>0</v>
      </c>
      <c r="J602" t="n">
        <v>0</v>
      </c>
      <c r="K602" t="n">
        <v>0</v>
      </c>
      <c r="L602" t="n">
        <v>0</v>
      </c>
      <c r="M602" t="n">
        <v>0</v>
      </c>
      <c r="N602" t="n">
        <v>0</v>
      </c>
      <c r="O602" t="n">
        <v>0</v>
      </c>
      <c r="P602" t="n">
        <v>0</v>
      </c>
      <c r="Q602" t="n">
        <v>0</v>
      </c>
      <c r="R602" s="2" t="inlineStr"/>
    </row>
    <row r="603" ht="15" customHeight="1">
      <c r="A603" t="inlineStr">
        <is>
          <t>A 23058-2024</t>
        </is>
      </c>
      <c r="B603" s="1" t="n">
        <v>45450.44020833333</v>
      </c>
      <c r="C603" s="1" t="n">
        <v>46029</v>
      </c>
      <c r="D603" t="inlineStr">
        <is>
          <t>VÄSTERNORRLANDS LÄN</t>
        </is>
      </c>
      <c r="E603" t="inlineStr">
        <is>
          <t>ÅNGE</t>
        </is>
      </c>
      <c r="G603" t="n">
        <v>3.9</v>
      </c>
      <c r="H603" t="n">
        <v>0</v>
      </c>
      <c r="I603" t="n">
        <v>0</v>
      </c>
      <c r="J603" t="n">
        <v>0</v>
      </c>
      <c r="K603" t="n">
        <v>0</v>
      </c>
      <c r="L603" t="n">
        <v>0</v>
      </c>
      <c r="M603" t="n">
        <v>0</v>
      </c>
      <c r="N603" t="n">
        <v>0</v>
      </c>
      <c r="O603" t="n">
        <v>0</v>
      </c>
      <c r="P603" t="n">
        <v>0</v>
      </c>
      <c r="Q603" t="n">
        <v>0</v>
      </c>
      <c r="R603" s="2" t="inlineStr"/>
    </row>
    <row r="604" ht="15" customHeight="1">
      <c r="A604" t="inlineStr">
        <is>
          <t>A 64946-2023</t>
        </is>
      </c>
      <c r="B604" s="1" t="n">
        <v>45282.94678240741</v>
      </c>
      <c r="C604" s="1" t="n">
        <v>46029</v>
      </c>
      <c r="D604" t="inlineStr">
        <is>
          <t>VÄSTERNORRLANDS LÄN</t>
        </is>
      </c>
      <c r="E604" t="inlineStr">
        <is>
          <t>ÅNGE</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30875-2025</t>
        </is>
      </c>
      <c r="B605" s="1" t="n">
        <v>45832.34447916667</v>
      </c>
      <c r="C605" s="1" t="n">
        <v>46029</v>
      </c>
      <c r="D605" t="inlineStr">
        <is>
          <t>VÄSTERNORRLANDS LÄN</t>
        </is>
      </c>
      <c r="E605" t="inlineStr">
        <is>
          <t>ÅNGE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31211-2025</t>
        </is>
      </c>
      <c r="B606" s="1" t="n">
        <v>45832.71938657408</v>
      </c>
      <c r="C606" s="1" t="n">
        <v>46029</v>
      </c>
      <c r="D606" t="inlineStr">
        <is>
          <t>VÄSTERNORRLANDS LÄN</t>
        </is>
      </c>
      <c r="E606" t="inlineStr">
        <is>
          <t>ÅNGE</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40872-2025</t>
        </is>
      </c>
      <c r="B607" s="1" t="n">
        <v>45897.574375</v>
      </c>
      <c r="C607" s="1" t="n">
        <v>46029</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30618-2025</t>
        </is>
      </c>
      <c r="B608" s="1" t="n">
        <v>45831.46909722222</v>
      </c>
      <c r="C608" s="1" t="n">
        <v>46029</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31188-2025</t>
        </is>
      </c>
      <c r="B609" s="1" t="n">
        <v>45832.67842592593</v>
      </c>
      <c r="C609" s="1" t="n">
        <v>46029</v>
      </c>
      <c r="D609" t="inlineStr">
        <is>
          <t>VÄSTERNORRLANDS LÄN</t>
        </is>
      </c>
      <c r="E609" t="inlineStr">
        <is>
          <t>ÅNGE</t>
        </is>
      </c>
      <c r="F609" t="inlineStr">
        <is>
          <t>SCA</t>
        </is>
      </c>
      <c r="G609" t="n">
        <v>14.9</v>
      </c>
      <c r="H609" t="n">
        <v>0</v>
      </c>
      <c r="I609" t="n">
        <v>0</v>
      </c>
      <c r="J609" t="n">
        <v>0</v>
      </c>
      <c r="K609" t="n">
        <v>0</v>
      </c>
      <c r="L609" t="n">
        <v>0</v>
      </c>
      <c r="M609" t="n">
        <v>0</v>
      </c>
      <c r="N609" t="n">
        <v>0</v>
      </c>
      <c r="O609" t="n">
        <v>0</v>
      </c>
      <c r="P609" t="n">
        <v>0</v>
      </c>
      <c r="Q609" t="n">
        <v>0</v>
      </c>
      <c r="R609" s="2" t="inlineStr"/>
    </row>
    <row r="610" ht="15" customHeight="1">
      <c r="A610" t="inlineStr">
        <is>
          <t>A 40818-2025</t>
        </is>
      </c>
      <c r="B610" s="1" t="n">
        <v>45897.48881944444</v>
      </c>
      <c r="C610" s="1" t="n">
        <v>46029</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40830-2025</t>
        </is>
      </c>
      <c r="B611" s="1" t="n">
        <v>45897.51079861111</v>
      </c>
      <c r="C611" s="1" t="n">
        <v>46029</v>
      </c>
      <c r="D611" t="inlineStr">
        <is>
          <t>VÄSTERNORRLANDS LÄN</t>
        </is>
      </c>
      <c r="E611" t="inlineStr">
        <is>
          <t>ÅNGE</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31042-2025</t>
        </is>
      </c>
      <c r="B612" s="1" t="n">
        <v>45832.55267361111</v>
      </c>
      <c r="C612" s="1" t="n">
        <v>46029</v>
      </c>
      <c r="D612" t="inlineStr">
        <is>
          <t>VÄSTERNORRLANDS LÄN</t>
        </is>
      </c>
      <c r="E612" t="inlineStr">
        <is>
          <t>ÅNGE</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31135-2025</t>
        </is>
      </c>
      <c r="B613" s="1" t="n">
        <v>45832.63581018519</v>
      </c>
      <c r="C613" s="1" t="n">
        <v>46029</v>
      </c>
      <c r="D613" t="inlineStr">
        <is>
          <t>VÄSTERNORRLANDS LÄN</t>
        </is>
      </c>
      <c r="E613" t="inlineStr">
        <is>
          <t>ÅNGE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30892-2025</t>
        </is>
      </c>
      <c r="B614" s="1" t="n">
        <v>45832.34663194444</v>
      </c>
      <c r="C614" s="1" t="n">
        <v>46029</v>
      </c>
      <c r="D614" t="inlineStr">
        <is>
          <t>VÄSTERNORRLANDS LÄN</t>
        </is>
      </c>
      <c r="E614" t="inlineStr">
        <is>
          <t>ÅNGE</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30598-2025</t>
        </is>
      </c>
      <c r="B615" s="1" t="n">
        <v>45831.44834490741</v>
      </c>
      <c r="C615" s="1" t="n">
        <v>46029</v>
      </c>
      <c r="D615" t="inlineStr">
        <is>
          <t>VÄSTERNORRLANDS LÄN</t>
        </is>
      </c>
      <c r="E615" t="inlineStr">
        <is>
          <t>ÅNGE</t>
        </is>
      </c>
      <c r="G615" t="n">
        <v>0.6</v>
      </c>
      <c r="H615" t="n">
        <v>0</v>
      </c>
      <c r="I615" t="n">
        <v>0</v>
      </c>
      <c r="J615" t="n">
        <v>0</v>
      </c>
      <c r="K615" t="n">
        <v>0</v>
      </c>
      <c r="L615" t="n">
        <v>0</v>
      </c>
      <c r="M615" t="n">
        <v>0</v>
      </c>
      <c r="N615" t="n">
        <v>0</v>
      </c>
      <c r="O615" t="n">
        <v>0</v>
      </c>
      <c r="P615" t="n">
        <v>0</v>
      </c>
      <c r="Q615" t="n">
        <v>0</v>
      </c>
      <c r="R615" s="2" t="inlineStr"/>
    </row>
    <row r="616" ht="15" customHeight="1">
      <c r="A616" t="inlineStr">
        <is>
          <t>A 31041-2025</t>
        </is>
      </c>
      <c r="B616" s="1" t="n">
        <v>45832.55247685185</v>
      </c>
      <c r="C616" s="1" t="n">
        <v>46029</v>
      </c>
      <c r="D616" t="inlineStr">
        <is>
          <t>VÄSTERNORRLANDS LÄN</t>
        </is>
      </c>
      <c r="E616" t="inlineStr">
        <is>
          <t>ÅNGE</t>
        </is>
      </c>
      <c r="F616" t="inlineStr">
        <is>
          <t>SCA</t>
        </is>
      </c>
      <c r="G616" t="n">
        <v>15.1</v>
      </c>
      <c r="H616" t="n">
        <v>0</v>
      </c>
      <c r="I616" t="n">
        <v>0</v>
      </c>
      <c r="J616" t="n">
        <v>0</v>
      </c>
      <c r="K616" t="n">
        <v>0</v>
      </c>
      <c r="L616" t="n">
        <v>0</v>
      </c>
      <c r="M616" t="n">
        <v>0</v>
      </c>
      <c r="N616" t="n">
        <v>0</v>
      </c>
      <c r="O616" t="n">
        <v>0</v>
      </c>
      <c r="P616" t="n">
        <v>0</v>
      </c>
      <c r="Q616" t="n">
        <v>0</v>
      </c>
      <c r="R616" s="2" t="inlineStr"/>
    </row>
    <row r="617" ht="15" customHeight="1">
      <c r="A617" t="inlineStr">
        <is>
          <t>A 31139-2025</t>
        </is>
      </c>
      <c r="B617" s="1" t="n">
        <v>45832.63633101852</v>
      </c>
      <c r="C617" s="1" t="n">
        <v>46029</v>
      </c>
      <c r="D617" t="inlineStr">
        <is>
          <t>VÄSTERNORRLANDS LÄN</t>
        </is>
      </c>
      <c r="E617" t="inlineStr">
        <is>
          <t>ÅNGE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46681-2023</t>
        </is>
      </c>
      <c r="B618" s="1" t="n">
        <v>45198</v>
      </c>
      <c r="C618" s="1" t="n">
        <v>46029</v>
      </c>
      <c r="D618" t="inlineStr">
        <is>
          <t>VÄSTERNORRLANDS LÄN</t>
        </is>
      </c>
      <c r="E618" t="inlineStr">
        <is>
          <t>ÅNGE</t>
        </is>
      </c>
      <c r="G618" t="n">
        <v>0.8</v>
      </c>
      <c r="H618" t="n">
        <v>0</v>
      </c>
      <c r="I618" t="n">
        <v>0</v>
      </c>
      <c r="J618" t="n">
        <v>0</v>
      </c>
      <c r="K618" t="n">
        <v>0</v>
      </c>
      <c r="L618" t="n">
        <v>0</v>
      </c>
      <c r="M618" t="n">
        <v>0</v>
      </c>
      <c r="N618" t="n">
        <v>0</v>
      </c>
      <c r="O618" t="n">
        <v>0</v>
      </c>
      <c r="P618" t="n">
        <v>0</v>
      </c>
      <c r="Q618" t="n">
        <v>0</v>
      </c>
      <c r="R618" s="2" t="inlineStr"/>
    </row>
    <row r="619" ht="15" customHeight="1">
      <c r="A619" t="inlineStr">
        <is>
          <t>A 41586-2024</t>
        </is>
      </c>
      <c r="B619" s="1" t="n">
        <v>45560.56089120371</v>
      </c>
      <c r="C619" s="1" t="n">
        <v>46029</v>
      </c>
      <c r="D619" t="inlineStr">
        <is>
          <t>VÄSTERNORRLANDS LÄN</t>
        </is>
      </c>
      <c r="E619" t="inlineStr">
        <is>
          <t>ÅNGE</t>
        </is>
      </c>
      <c r="F619" t="inlineStr">
        <is>
          <t>Holmen skog AB</t>
        </is>
      </c>
      <c r="G619" t="n">
        <v>1.4</v>
      </c>
      <c r="H619" t="n">
        <v>0</v>
      </c>
      <c r="I619" t="n">
        <v>0</v>
      </c>
      <c r="J619" t="n">
        <v>0</v>
      </c>
      <c r="K619" t="n">
        <v>0</v>
      </c>
      <c r="L619" t="n">
        <v>0</v>
      </c>
      <c r="M619" t="n">
        <v>0</v>
      </c>
      <c r="N619" t="n">
        <v>0</v>
      </c>
      <c r="O619" t="n">
        <v>0</v>
      </c>
      <c r="P619" t="n">
        <v>0</v>
      </c>
      <c r="Q619" t="n">
        <v>0</v>
      </c>
      <c r="R619" s="2" t="inlineStr"/>
    </row>
    <row r="620" ht="15" customHeight="1">
      <c r="A620" t="inlineStr">
        <is>
          <t>A 30877-2025</t>
        </is>
      </c>
      <c r="B620" s="1" t="n">
        <v>45832.34478009259</v>
      </c>
      <c r="C620" s="1" t="n">
        <v>46029</v>
      </c>
      <c r="D620" t="inlineStr">
        <is>
          <t>VÄSTERNORRLANDS LÄN</t>
        </is>
      </c>
      <c r="E620" t="inlineStr">
        <is>
          <t>ÅNGE</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30888-2025</t>
        </is>
      </c>
      <c r="B621" s="1" t="n">
        <v>45832.34606481482</v>
      </c>
      <c r="C621" s="1" t="n">
        <v>46029</v>
      </c>
      <c r="D621" t="inlineStr">
        <is>
          <t>VÄSTERNORRLANDS LÄN</t>
        </is>
      </c>
      <c r="E621" t="inlineStr">
        <is>
          <t>ÅNGE</t>
        </is>
      </c>
      <c r="F621" t="inlineStr">
        <is>
          <t>SCA</t>
        </is>
      </c>
      <c r="G621" t="n">
        <v>3.3</v>
      </c>
      <c r="H621" t="n">
        <v>0</v>
      </c>
      <c r="I621" t="n">
        <v>0</v>
      </c>
      <c r="J621" t="n">
        <v>0</v>
      </c>
      <c r="K621" t="n">
        <v>0</v>
      </c>
      <c r="L621" t="n">
        <v>0</v>
      </c>
      <c r="M621" t="n">
        <v>0</v>
      </c>
      <c r="N621" t="n">
        <v>0</v>
      </c>
      <c r="O621" t="n">
        <v>0</v>
      </c>
      <c r="P621" t="n">
        <v>0</v>
      </c>
      <c r="Q621" t="n">
        <v>0</v>
      </c>
      <c r="R621" s="2" t="inlineStr"/>
    </row>
    <row r="622" ht="15" customHeight="1">
      <c r="A622" t="inlineStr">
        <is>
          <t>A 48946-2024</t>
        </is>
      </c>
      <c r="B622" s="1" t="n">
        <v>45594.42736111111</v>
      </c>
      <c r="C622" s="1" t="n">
        <v>46029</v>
      </c>
      <c r="D622" t="inlineStr">
        <is>
          <t>VÄSTERNORRLANDS LÄN</t>
        </is>
      </c>
      <c r="E622" t="inlineStr">
        <is>
          <t>ÅNGE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22988-2024</t>
        </is>
      </c>
      <c r="B623" s="1" t="n">
        <v>45449.94530092592</v>
      </c>
      <c r="C623" s="1" t="n">
        <v>46029</v>
      </c>
      <c r="D623" t="inlineStr">
        <is>
          <t>VÄSTERNORRLANDS LÄN</t>
        </is>
      </c>
      <c r="E623" t="inlineStr">
        <is>
          <t>ÅNGE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3023-2023</t>
        </is>
      </c>
      <c r="B624" s="1" t="n">
        <v>44945</v>
      </c>
      <c r="C624" s="1" t="n">
        <v>46029</v>
      </c>
      <c r="D624" t="inlineStr">
        <is>
          <t>VÄSTERNORRLANDS LÄN</t>
        </is>
      </c>
      <c r="E624" t="inlineStr">
        <is>
          <t>ÅNGE</t>
        </is>
      </c>
      <c r="F624" t="inlineStr">
        <is>
          <t>SCA</t>
        </is>
      </c>
      <c r="G624" t="n">
        <v>2.3</v>
      </c>
      <c r="H624" t="n">
        <v>0</v>
      </c>
      <c r="I624" t="n">
        <v>0</v>
      </c>
      <c r="J624" t="n">
        <v>0</v>
      </c>
      <c r="K624" t="n">
        <v>0</v>
      </c>
      <c r="L624" t="n">
        <v>0</v>
      </c>
      <c r="M624" t="n">
        <v>0</v>
      </c>
      <c r="N624" t="n">
        <v>0</v>
      </c>
      <c r="O624" t="n">
        <v>0</v>
      </c>
      <c r="P624" t="n">
        <v>0</v>
      </c>
      <c r="Q624" t="n">
        <v>0</v>
      </c>
      <c r="R624" s="2" t="inlineStr"/>
    </row>
    <row r="625" ht="15" customHeight="1">
      <c r="A625" t="inlineStr">
        <is>
          <t>A 3025-2023</t>
        </is>
      </c>
      <c r="B625" s="1" t="n">
        <v>44945</v>
      </c>
      <c r="C625" s="1" t="n">
        <v>46029</v>
      </c>
      <c r="D625" t="inlineStr">
        <is>
          <t>VÄSTERNORRLANDS LÄN</t>
        </is>
      </c>
      <c r="E625" t="inlineStr">
        <is>
          <t>ÅNGE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31275-2025</t>
        </is>
      </c>
      <c r="B626" s="1" t="n">
        <v>45833.34459490741</v>
      </c>
      <c r="C626" s="1" t="n">
        <v>46029</v>
      </c>
      <c r="D626" t="inlineStr">
        <is>
          <t>VÄSTERNORRLANDS LÄN</t>
        </is>
      </c>
      <c r="E626" t="inlineStr">
        <is>
          <t>ÅNGE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31452-2025</t>
        </is>
      </c>
      <c r="B627" s="1" t="n">
        <v>45833.53179398148</v>
      </c>
      <c r="C627" s="1" t="n">
        <v>46029</v>
      </c>
      <c r="D627" t="inlineStr">
        <is>
          <t>VÄSTERNORRLANDS LÄN</t>
        </is>
      </c>
      <c r="E627" t="inlineStr">
        <is>
          <t>ÅNGE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31544-2025</t>
        </is>
      </c>
      <c r="B628" s="1" t="n">
        <v>45833.63597222222</v>
      </c>
      <c r="C628" s="1" t="n">
        <v>46029</v>
      </c>
      <c r="D628" t="inlineStr">
        <is>
          <t>VÄSTERNORRLANDS LÄN</t>
        </is>
      </c>
      <c r="E628" t="inlineStr">
        <is>
          <t>ÅNGE</t>
        </is>
      </c>
      <c r="G628" t="n">
        <v>2.1</v>
      </c>
      <c r="H628" t="n">
        <v>0</v>
      </c>
      <c r="I628" t="n">
        <v>0</v>
      </c>
      <c r="J628" t="n">
        <v>0</v>
      </c>
      <c r="K628" t="n">
        <v>0</v>
      </c>
      <c r="L628" t="n">
        <v>0</v>
      </c>
      <c r="M628" t="n">
        <v>0</v>
      </c>
      <c r="N628" t="n">
        <v>0</v>
      </c>
      <c r="O628" t="n">
        <v>0</v>
      </c>
      <c r="P628" t="n">
        <v>0</v>
      </c>
      <c r="Q628" t="n">
        <v>0</v>
      </c>
      <c r="R628" s="2" t="inlineStr"/>
    </row>
    <row r="629" ht="15" customHeight="1">
      <c r="A629" t="inlineStr">
        <is>
          <t>A 31646-2025</t>
        </is>
      </c>
      <c r="B629" s="1" t="n">
        <v>45834.34563657407</v>
      </c>
      <c r="C629" s="1" t="n">
        <v>46029</v>
      </c>
      <c r="D629" t="inlineStr">
        <is>
          <t>VÄSTERNORRLANDS LÄN</t>
        </is>
      </c>
      <c r="E629" t="inlineStr">
        <is>
          <t>ÅNGE</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38002-2024</t>
        </is>
      </c>
      <c r="B630" s="1" t="n">
        <v>45544.61484953704</v>
      </c>
      <c r="C630" s="1" t="n">
        <v>46029</v>
      </c>
      <c r="D630" t="inlineStr">
        <is>
          <t>VÄSTERNORRLANDS LÄN</t>
        </is>
      </c>
      <c r="E630" t="inlineStr">
        <is>
          <t>ÅNGE</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31568-2024</t>
        </is>
      </c>
      <c r="B631" s="1" t="n">
        <v>45505.96721064814</v>
      </c>
      <c r="C631" s="1" t="n">
        <v>46029</v>
      </c>
      <c r="D631" t="inlineStr">
        <is>
          <t>VÄSTERNORRLANDS LÄN</t>
        </is>
      </c>
      <c r="E631" t="inlineStr">
        <is>
          <t>ÅNGE</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31484-2025</t>
        </is>
      </c>
      <c r="B632" s="1" t="n">
        <v>45833.57418981481</v>
      </c>
      <c r="C632" s="1" t="n">
        <v>46029</v>
      </c>
      <c r="D632" t="inlineStr">
        <is>
          <t>VÄSTERNORRLANDS LÄN</t>
        </is>
      </c>
      <c r="E632" t="inlineStr">
        <is>
          <t>ÅNGE</t>
        </is>
      </c>
      <c r="F632" t="inlineStr">
        <is>
          <t>SCA</t>
        </is>
      </c>
      <c r="G632" t="n">
        <v>7</v>
      </c>
      <c r="H632" t="n">
        <v>0</v>
      </c>
      <c r="I632" t="n">
        <v>0</v>
      </c>
      <c r="J632" t="n">
        <v>0</v>
      </c>
      <c r="K632" t="n">
        <v>0</v>
      </c>
      <c r="L632" t="n">
        <v>0</v>
      </c>
      <c r="M632" t="n">
        <v>0</v>
      </c>
      <c r="N632" t="n">
        <v>0</v>
      </c>
      <c r="O632" t="n">
        <v>0</v>
      </c>
      <c r="P632" t="n">
        <v>0</v>
      </c>
      <c r="Q632" t="n">
        <v>0</v>
      </c>
      <c r="R632" s="2" t="inlineStr"/>
    </row>
    <row r="633" ht="15" customHeight="1">
      <c r="A633" t="inlineStr">
        <is>
          <t>A 44565-2024</t>
        </is>
      </c>
      <c r="B633" s="1" t="n">
        <v>45574.47518518518</v>
      </c>
      <c r="C633" s="1" t="n">
        <v>46029</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31642-2025</t>
        </is>
      </c>
      <c r="B634" s="1" t="n">
        <v>45834.34474537037</v>
      </c>
      <c r="C634" s="1" t="n">
        <v>46029</v>
      </c>
      <c r="D634" t="inlineStr">
        <is>
          <t>VÄSTERNORRLANDS LÄN</t>
        </is>
      </c>
      <c r="E634" t="inlineStr">
        <is>
          <t>ÅNGE</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19997-2023</t>
        </is>
      </c>
      <c r="B635" s="1" t="n">
        <v>45054</v>
      </c>
      <c r="C635" s="1" t="n">
        <v>46029</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3352-2021</t>
        </is>
      </c>
      <c r="B636" s="1" t="n">
        <v>44217</v>
      </c>
      <c r="C636" s="1" t="n">
        <v>46029</v>
      </c>
      <c r="D636" t="inlineStr">
        <is>
          <t>VÄSTERNORRLANDS LÄN</t>
        </is>
      </c>
      <c r="E636" t="inlineStr">
        <is>
          <t>ÅNGE</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31666-2025</t>
        </is>
      </c>
      <c r="B637" s="1" t="n">
        <v>45834.36519675926</v>
      </c>
      <c r="C637" s="1" t="n">
        <v>46029</v>
      </c>
      <c r="D637" t="inlineStr">
        <is>
          <t>VÄSTERNORRLANDS LÄN</t>
        </is>
      </c>
      <c r="E637" t="inlineStr">
        <is>
          <t>ÅNGE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34959-2023</t>
        </is>
      </c>
      <c r="B638" s="1" t="n">
        <v>45142</v>
      </c>
      <c r="C638" s="1" t="n">
        <v>46029</v>
      </c>
      <c r="D638" t="inlineStr">
        <is>
          <t>VÄSTERNORRLANDS LÄN</t>
        </is>
      </c>
      <c r="E638" t="inlineStr">
        <is>
          <t>ÅNGE</t>
        </is>
      </c>
      <c r="F638" t="inlineStr">
        <is>
          <t>Sveaskog</t>
        </is>
      </c>
      <c r="G638" t="n">
        <v>6.6</v>
      </c>
      <c r="H638" t="n">
        <v>0</v>
      </c>
      <c r="I638" t="n">
        <v>0</v>
      </c>
      <c r="J638" t="n">
        <v>0</v>
      </c>
      <c r="K638" t="n">
        <v>0</v>
      </c>
      <c r="L638" t="n">
        <v>0</v>
      </c>
      <c r="M638" t="n">
        <v>0</v>
      </c>
      <c r="N638" t="n">
        <v>0</v>
      </c>
      <c r="O638" t="n">
        <v>0</v>
      </c>
      <c r="P638" t="n">
        <v>0</v>
      </c>
      <c r="Q638" t="n">
        <v>0</v>
      </c>
      <c r="R638" s="2" t="inlineStr"/>
    </row>
    <row r="639" ht="15" customHeight="1">
      <c r="A639" t="inlineStr">
        <is>
          <t>A 54346-2023</t>
        </is>
      </c>
      <c r="B639" s="1" t="n">
        <v>45232.96087962963</v>
      </c>
      <c r="C639" s="1" t="n">
        <v>46029</v>
      </c>
      <c r="D639" t="inlineStr">
        <is>
          <t>VÄSTERNORRLANDS LÄN</t>
        </is>
      </c>
      <c r="E639" t="inlineStr">
        <is>
          <t>ÅNGE</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55328-2023</t>
        </is>
      </c>
      <c r="B640" s="1" t="n">
        <v>45237</v>
      </c>
      <c r="C640" s="1" t="n">
        <v>46029</v>
      </c>
      <c r="D640" t="inlineStr">
        <is>
          <t>VÄSTERNORRLANDS LÄN</t>
        </is>
      </c>
      <c r="E640" t="inlineStr">
        <is>
          <t>ÅNGE</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32025-2025</t>
        </is>
      </c>
      <c r="B641" s="1" t="n">
        <v>45835.40721064815</v>
      </c>
      <c r="C641" s="1" t="n">
        <v>46029</v>
      </c>
      <c r="D641" t="inlineStr">
        <is>
          <t>VÄSTERNORRLANDS LÄN</t>
        </is>
      </c>
      <c r="E641" t="inlineStr">
        <is>
          <t>ÅNGE</t>
        </is>
      </c>
      <c r="G641" t="n">
        <v>1.6</v>
      </c>
      <c r="H641" t="n">
        <v>0</v>
      </c>
      <c r="I641" t="n">
        <v>0</v>
      </c>
      <c r="J641" t="n">
        <v>0</v>
      </c>
      <c r="K641" t="n">
        <v>0</v>
      </c>
      <c r="L641" t="n">
        <v>0</v>
      </c>
      <c r="M641" t="n">
        <v>0</v>
      </c>
      <c r="N641" t="n">
        <v>0</v>
      </c>
      <c r="O641" t="n">
        <v>0</v>
      </c>
      <c r="P641" t="n">
        <v>0</v>
      </c>
      <c r="Q641" t="n">
        <v>0</v>
      </c>
      <c r="R641" s="2" t="inlineStr"/>
    </row>
    <row r="642" ht="15" customHeight="1">
      <c r="A642" t="inlineStr">
        <is>
          <t>A 26092-2025</t>
        </is>
      </c>
      <c r="B642" s="1" t="n">
        <v>45805</v>
      </c>
      <c r="C642" s="1" t="n">
        <v>46029</v>
      </c>
      <c r="D642" t="inlineStr">
        <is>
          <t>VÄSTERNORRLANDS LÄN</t>
        </is>
      </c>
      <c r="E642" t="inlineStr">
        <is>
          <t>ÅNGE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41355-2025</t>
        </is>
      </c>
      <c r="B643" s="1" t="n">
        <v>45900.34425925926</v>
      </c>
      <c r="C643" s="1" t="n">
        <v>46029</v>
      </c>
      <c r="D643" t="inlineStr">
        <is>
          <t>VÄSTERNORRLANDS LÄN</t>
        </is>
      </c>
      <c r="E643" t="inlineStr">
        <is>
          <t>ÅNGE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32024-2025</t>
        </is>
      </c>
      <c r="B644" s="1" t="n">
        <v>45835.40706018519</v>
      </c>
      <c r="C644" s="1" t="n">
        <v>46029</v>
      </c>
      <c r="D644" t="inlineStr">
        <is>
          <t>VÄSTERNORRLANDS LÄN</t>
        </is>
      </c>
      <c r="E644" t="inlineStr">
        <is>
          <t>ÅNGE</t>
        </is>
      </c>
      <c r="F644" t="inlineStr">
        <is>
          <t>SCA</t>
        </is>
      </c>
      <c r="G644" t="n">
        <v>12.3</v>
      </c>
      <c r="H644" t="n">
        <v>0</v>
      </c>
      <c r="I644" t="n">
        <v>0</v>
      </c>
      <c r="J644" t="n">
        <v>0</v>
      </c>
      <c r="K644" t="n">
        <v>0</v>
      </c>
      <c r="L644" t="n">
        <v>0</v>
      </c>
      <c r="M644" t="n">
        <v>0</v>
      </c>
      <c r="N644" t="n">
        <v>0</v>
      </c>
      <c r="O644" t="n">
        <v>0</v>
      </c>
      <c r="P644" t="n">
        <v>0</v>
      </c>
      <c r="Q644" t="n">
        <v>0</v>
      </c>
      <c r="R644" s="2" t="inlineStr"/>
    </row>
    <row r="645" ht="15" customHeight="1">
      <c r="A645" t="inlineStr">
        <is>
          <t>A 11531-2023</t>
        </is>
      </c>
      <c r="B645" s="1" t="n">
        <v>44993.77038194444</v>
      </c>
      <c r="C645" s="1" t="n">
        <v>46029</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11532-2023</t>
        </is>
      </c>
      <c r="B646" s="1" t="n">
        <v>44993.77212962963</v>
      </c>
      <c r="C646" s="1" t="n">
        <v>46029</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41355-2024</t>
        </is>
      </c>
      <c r="B647" s="1" t="n">
        <v>45559.69833333333</v>
      </c>
      <c r="C647" s="1" t="n">
        <v>46029</v>
      </c>
      <c r="D647" t="inlineStr">
        <is>
          <t>VÄSTERNORRLANDS LÄN</t>
        </is>
      </c>
      <c r="E647" t="inlineStr">
        <is>
          <t>ÅNGE</t>
        </is>
      </c>
      <c r="F647" t="inlineStr">
        <is>
          <t>SCA</t>
        </is>
      </c>
      <c r="G647" t="n">
        <v>6.1</v>
      </c>
      <c r="H647" t="n">
        <v>0</v>
      </c>
      <c r="I647" t="n">
        <v>0</v>
      </c>
      <c r="J647" t="n">
        <v>0</v>
      </c>
      <c r="K647" t="n">
        <v>0</v>
      </c>
      <c r="L647" t="n">
        <v>0</v>
      </c>
      <c r="M647" t="n">
        <v>0</v>
      </c>
      <c r="N647" t="n">
        <v>0</v>
      </c>
      <c r="O647" t="n">
        <v>0</v>
      </c>
      <c r="P647" t="n">
        <v>0</v>
      </c>
      <c r="Q647" t="n">
        <v>0</v>
      </c>
      <c r="R647" s="2" t="inlineStr"/>
    </row>
    <row r="648" ht="15" customHeight="1">
      <c r="A648" t="inlineStr">
        <is>
          <t>A 45631-2021</t>
        </is>
      </c>
      <c r="B648" s="1" t="n">
        <v>44440.98045138889</v>
      </c>
      <c r="C648" s="1" t="n">
        <v>46029</v>
      </c>
      <c r="D648" t="inlineStr">
        <is>
          <t>VÄSTERNORRLANDS LÄN</t>
        </is>
      </c>
      <c r="E648" t="inlineStr">
        <is>
          <t>ÅNGE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32847-2025</t>
        </is>
      </c>
      <c r="B649" s="1" t="n">
        <v>45839.57354166666</v>
      </c>
      <c r="C649" s="1" t="n">
        <v>46029</v>
      </c>
      <c r="D649" t="inlineStr">
        <is>
          <t>VÄSTERNORRLANDS LÄN</t>
        </is>
      </c>
      <c r="E649" t="inlineStr">
        <is>
          <t>ÅNGE</t>
        </is>
      </c>
      <c r="F649" t="inlineStr">
        <is>
          <t>SCA</t>
        </is>
      </c>
      <c r="G649" t="n">
        <v>9.4</v>
      </c>
      <c r="H649" t="n">
        <v>0</v>
      </c>
      <c r="I649" t="n">
        <v>0</v>
      </c>
      <c r="J649" t="n">
        <v>0</v>
      </c>
      <c r="K649" t="n">
        <v>0</v>
      </c>
      <c r="L649" t="n">
        <v>0</v>
      </c>
      <c r="M649" t="n">
        <v>0</v>
      </c>
      <c r="N649" t="n">
        <v>0</v>
      </c>
      <c r="O649" t="n">
        <v>0</v>
      </c>
      <c r="P649" t="n">
        <v>0</v>
      </c>
      <c r="Q649" t="n">
        <v>0</v>
      </c>
      <c r="R649" s="2" t="inlineStr"/>
    </row>
    <row r="650" ht="15" customHeight="1">
      <c r="A650" t="inlineStr">
        <is>
          <t>A 57592-2022</t>
        </is>
      </c>
      <c r="B650" s="1" t="n">
        <v>44896.97841435186</v>
      </c>
      <c r="C650" s="1" t="n">
        <v>46029</v>
      </c>
      <c r="D650" t="inlineStr">
        <is>
          <t>VÄSTERNORRLANDS LÄN</t>
        </is>
      </c>
      <c r="E650" t="inlineStr">
        <is>
          <t>ÅNGE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57602-2022</t>
        </is>
      </c>
      <c r="B651" s="1" t="n">
        <v>44896</v>
      </c>
      <c r="C651" s="1" t="n">
        <v>46029</v>
      </c>
      <c r="D651" t="inlineStr">
        <is>
          <t>VÄSTERNORRLANDS LÄN</t>
        </is>
      </c>
      <c r="E651" t="inlineStr">
        <is>
          <t>ÅNGE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20231-2022</t>
        </is>
      </c>
      <c r="B652" s="1" t="n">
        <v>44698</v>
      </c>
      <c r="C652" s="1" t="n">
        <v>46029</v>
      </c>
      <c r="D652" t="inlineStr">
        <is>
          <t>VÄSTERNORRLANDS LÄN</t>
        </is>
      </c>
      <c r="E652" t="inlineStr">
        <is>
          <t>ÅNGE</t>
        </is>
      </c>
      <c r="G652" t="n">
        <v>4.2</v>
      </c>
      <c r="H652" t="n">
        <v>0</v>
      </c>
      <c r="I652" t="n">
        <v>0</v>
      </c>
      <c r="J652" t="n">
        <v>0</v>
      </c>
      <c r="K652" t="n">
        <v>0</v>
      </c>
      <c r="L652" t="n">
        <v>0</v>
      </c>
      <c r="M652" t="n">
        <v>0</v>
      </c>
      <c r="N652" t="n">
        <v>0</v>
      </c>
      <c r="O652" t="n">
        <v>0</v>
      </c>
      <c r="P652" t="n">
        <v>0</v>
      </c>
      <c r="Q652" t="n">
        <v>0</v>
      </c>
      <c r="R652" s="2" t="inlineStr"/>
    </row>
    <row r="653" ht="15" customHeight="1">
      <c r="A653" t="inlineStr">
        <is>
          <t>A 39985-2023</t>
        </is>
      </c>
      <c r="B653" s="1" t="n">
        <v>45168</v>
      </c>
      <c r="C653" s="1" t="n">
        <v>46029</v>
      </c>
      <c r="D653" t="inlineStr">
        <is>
          <t>VÄSTERNORRLANDS LÄN</t>
        </is>
      </c>
      <c r="E653" t="inlineStr">
        <is>
          <t>ÅNGE</t>
        </is>
      </c>
      <c r="G653" t="n">
        <v>0.1</v>
      </c>
      <c r="H653" t="n">
        <v>0</v>
      </c>
      <c r="I653" t="n">
        <v>0</v>
      </c>
      <c r="J653" t="n">
        <v>0</v>
      </c>
      <c r="K653" t="n">
        <v>0</v>
      </c>
      <c r="L653" t="n">
        <v>0</v>
      </c>
      <c r="M653" t="n">
        <v>0</v>
      </c>
      <c r="N653" t="n">
        <v>0</v>
      </c>
      <c r="O653" t="n">
        <v>0</v>
      </c>
      <c r="P653" t="n">
        <v>0</v>
      </c>
      <c r="Q653" t="n">
        <v>0</v>
      </c>
      <c r="R653" s="2" t="inlineStr"/>
    </row>
    <row r="654" ht="15" customHeight="1">
      <c r="A654" t="inlineStr">
        <is>
          <t>A 58748-2023</t>
        </is>
      </c>
      <c r="B654" s="1" t="n">
        <v>45251.92936342592</v>
      </c>
      <c r="C654" s="1" t="n">
        <v>46029</v>
      </c>
      <c r="D654" t="inlineStr">
        <is>
          <t>VÄSTERNORRLANDS LÄN</t>
        </is>
      </c>
      <c r="E654" t="inlineStr">
        <is>
          <t>ÅNGE</t>
        </is>
      </c>
      <c r="G654" t="n">
        <v>2.7</v>
      </c>
      <c r="H654" t="n">
        <v>0</v>
      </c>
      <c r="I654" t="n">
        <v>0</v>
      </c>
      <c r="J654" t="n">
        <v>0</v>
      </c>
      <c r="K654" t="n">
        <v>0</v>
      </c>
      <c r="L654" t="n">
        <v>0</v>
      </c>
      <c r="M654" t="n">
        <v>0</v>
      </c>
      <c r="N654" t="n">
        <v>0</v>
      </c>
      <c r="O654" t="n">
        <v>0</v>
      </c>
      <c r="P654" t="n">
        <v>0</v>
      </c>
      <c r="Q654" t="n">
        <v>0</v>
      </c>
      <c r="R654" s="2" t="inlineStr"/>
    </row>
    <row r="655" ht="15" customHeight="1">
      <c r="A655" t="inlineStr">
        <is>
          <t>A 43552-2023</t>
        </is>
      </c>
      <c r="B655" s="1" t="n">
        <v>45181</v>
      </c>
      <c r="C655" s="1" t="n">
        <v>46029</v>
      </c>
      <c r="D655" t="inlineStr">
        <is>
          <t>VÄSTERNORRLANDS LÄN</t>
        </is>
      </c>
      <c r="E655" t="inlineStr">
        <is>
          <t>ÅNGE</t>
        </is>
      </c>
      <c r="F655" t="inlineStr">
        <is>
          <t>SCA</t>
        </is>
      </c>
      <c r="G655" t="n">
        <v>7.3</v>
      </c>
      <c r="H655" t="n">
        <v>0</v>
      </c>
      <c r="I655" t="n">
        <v>0</v>
      </c>
      <c r="J655" t="n">
        <v>0</v>
      </c>
      <c r="K655" t="n">
        <v>0</v>
      </c>
      <c r="L655" t="n">
        <v>0</v>
      </c>
      <c r="M655" t="n">
        <v>0</v>
      </c>
      <c r="N655" t="n">
        <v>0</v>
      </c>
      <c r="O655" t="n">
        <v>0</v>
      </c>
      <c r="P655" t="n">
        <v>0</v>
      </c>
      <c r="Q655" t="n">
        <v>0</v>
      </c>
      <c r="R655" s="2" t="inlineStr"/>
    </row>
    <row r="656" ht="15" customHeight="1">
      <c r="A656" t="inlineStr">
        <is>
          <t>A 33782-2025</t>
        </is>
      </c>
      <c r="B656" s="1" t="n">
        <v>45842.40678240741</v>
      </c>
      <c r="C656" s="1" t="n">
        <v>46029</v>
      </c>
      <c r="D656" t="inlineStr">
        <is>
          <t>VÄSTERNORRLANDS LÄN</t>
        </is>
      </c>
      <c r="E656" t="inlineStr">
        <is>
          <t>ÅNGE</t>
        </is>
      </c>
      <c r="F656" t="inlineStr">
        <is>
          <t>SCA</t>
        </is>
      </c>
      <c r="G656" t="n">
        <v>8.4</v>
      </c>
      <c r="H656" t="n">
        <v>0</v>
      </c>
      <c r="I656" t="n">
        <v>0</v>
      </c>
      <c r="J656" t="n">
        <v>0</v>
      </c>
      <c r="K656" t="n">
        <v>0</v>
      </c>
      <c r="L656" t="n">
        <v>0</v>
      </c>
      <c r="M656" t="n">
        <v>0</v>
      </c>
      <c r="N656" t="n">
        <v>0</v>
      </c>
      <c r="O656" t="n">
        <v>0</v>
      </c>
      <c r="P656" t="n">
        <v>0</v>
      </c>
      <c r="Q656" t="n">
        <v>0</v>
      </c>
      <c r="R656" s="2" t="inlineStr"/>
    </row>
    <row r="657" ht="15" customHeight="1">
      <c r="A657" t="inlineStr">
        <is>
          <t>A 46775-2024</t>
        </is>
      </c>
      <c r="B657" s="1" t="n">
        <v>45583.49711805556</v>
      </c>
      <c r="C657" s="1" t="n">
        <v>46029</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46780-2024</t>
        </is>
      </c>
      <c r="B658" s="1" t="n">
        <v>45583.51076388889</v>
      </c>
      <c r="C658" s="1" t="n">
        <v>46029</v>
      </c>
      <c r="D658" t="inlineStr">
        <is>
          <t>VÄSTERNORRLANDS LÄN</t>
        </is>
      </c>
      <c r="E658" t="inlineStr">
        <is>
          <t>ÅNGE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18880-2024</t>
        </is>
      </c>
      <c r="B659" s="1" t="n">
        <v>45426</v>
      </c>
      <c r="C659" s="1" t="n">
        <v>46029</v>
      </c>
      <c r="D659" t="inlineStr">
        <is>
          <t>VÄSTERNORRLANDS LÄN</t>
        </is>
      </c>
      <c r="E659" t="inlineStr">
        <is>
          <t>ÅNGE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55558-2024</t>
        </is>
      </c>
      <c r="B660" s="1" t="n">
        <v>45622.52586805556</v>
      </c>
      <c r="C660" s="1" t="n">
        <v>46029</v>
      </c>
      <c r="D660" t="inlineStr">
        <is>
          <t>VÄSTERNORRLANDS LÄN</t>
        </is>
      </c>
      <c r="E660" t="inlineStr">
        <is>
          <t>ÅNGE</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20229-2022</t>
        </is>
      </c>
      <c r="B661" s="1" t="n">
        <v>44698.61150462963</v>
      </c>
      <c r="C661" s="1" t="n">
        <v>46029</v>
      </c>
      <c r="D661" t="inlineStr">
        <is>
          <t>VÄSTERNORRLANDS LÄN</t>
        </is>
      </c>
      <c r="E661" t="inlineStr">
        <is>
          <t>ÅNGE</t>
        </is>
      </c>
      <c r="G661" t="n">
        <v>1.1</v>
      </c>
      <c r="H661" t="n">
        <v>0</v>
      </c>
      <c r="I661" t="n">
        <v>0</v>
      </c>
      <c r="J661" t="n">
        <v>0</v>
      </c>
      <c r="K661" t="n">
        <v>0</v>
      </c>
      <c r="L661" t="n">
        <v>0</v>
      </c>
      <c r="M661" t="n">
        <v>0</v>
      </c>
      <c r="N661" t="n">
        <v>0</v>
      </c>
      <c r="O661" t="n">
        <v>0</v>
      </c>
      <c r="P661" t="n">
        <v>0</v>
      </c>
      <c r="Q661" t="n">
        <v>0</v>
      </c>
      <c r="R661" s="2" t="inlineStr"/>
    </row>
    <row r="662" ht="15" customHeight="1">
      <c r="A662" t="inlineStr">
        <is>
          <t>A 33717-2025</t>
        </is>
      </c>
      <c r="B662" s="1" t="n">
        <v>45841.89357638889</v>
      </c>
      <c r="C662" s="1" t="n">
        <v>46029</v>
      </c>
      <c r="D662" t="inlineStr">
        <is>
          <t>VÄSTERNORRLANDS LÄN</t>
        </is>
      </c>
      <c r="E662" t="inlineStr">
        <is>
          <t>ÅNGE</t>
        </is>
      </c>
      <c r="G662" t="n">
        <v>14.3</v>
      </c>
      <c r="H662" t="n">
        <v>0</v>
      </c>
      <c r="I662" t="n">
        <v>0</v>
      </c>
      <c r="J662" t="n">
        <v>0</v>
      </c>
      <c r="K662" t="n">
        <v>0</v>
      </c>
      <c r="L662" t="n">
        <v>0</v>
      </c>
      <c r="M662" t="n">
        <v>0</v>
      </c>
      <c r="N662" t="n">
        <v>0</v>
      </c>
      <c r="O662" t="n">
        <v>0</v>
      </c>
      <c r="P662" t="n">
        <v>0</v>
      </c>
      <c r="Q662" t="n">
        <v>0</v>
      </c>
      <c r="R662" s="2" t="inlineStr"/>
    </row>
    <row r="663" ht="15" customHeight="1">
      <c r="A663" t="inlineStr">
        <is>
          <t>A 33738-2025</t>
        </is>
      </c>
      <c r="B663" s="1" t="n">
        <v>45842.33795138889</v>
      </c>
      <c r="C663" s="1" t="n">
        <v>46029</v>
      </c>
      <c r="D663" t="inlineStr">
        <is>
          <t>VÄSTERNORRLANDS LÄN</t>
        </is>
      </c>
      <c r="E663" t="inlineStr">
        <is>
          <t>ÅNGE</t>
        </is>
      </c>
      <c r="G663" t="n">
        <v>0.6</v>
      </c>
      <c r="H663" t="n">
        <v>0</v>
      </c>
      <c r="I663" t="n">
        <v>0</v>
      </c>
      <c r="J663" t="n">
        <v>0</v>
      </c>
      <c r="K663" t="n">
        <v>0</v>
      </c>
      <c r="L663" t="n">
        <v>0</v>
      </c>
      <c r="M663" t="n">
        <v>0</v>
      </c>
      <c r="N663" t="n">
        <v>0</v>
      </c>
      <c r="O663" t="n">
        <v>0</v>
      </c>
      <c r="P663" t="n">
        <v>0</v>
      </c>
      <c r="Q663" t="n">
        <v>0</v>
      </c>
      <c r="R663" s="2" t="inlineStr"/>
    </row>
    <row r="664" ht="15" customHeight="1">
      <c r="A664" t="inlineStr">
        <is>
          <t>A 41870-2025</t>
        </is>
      </c>
      <c r="B664" s="1" t="n">
        <v>45903.3446412037</v>
      </c>
      <c r="C664" s="1" t="n">
        <v>46029</v>
      </c>
      <c r="D664" t="inlineStr">
        <is>
          <t>VÄSTERNORRLANDS LÄN</t>
        </is>
      </c>
      <c r="E664" t="inlineStr">
        <is>
          <t>ÅNGE</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41872-2025</t>
        </is>
      </c>
      <c r="B665" s="1" t="n">
        <v>45903.34497685185</v>
      </c>
      <c r="C665" s="1" t="n">
        <v>46029</v>
      </c>
      <c r="D665" t="inlineStr">
        <is>
          <t>VÄSTERNORRLANDS LÄN</t>
        </is>
      </c>
      <c r="E665" t="inlineStr">
        <is>
          <t>ÅNGE</t>
        </is>
      </c>
      <c r="F665" t="inlineStr">
        <is>
          <t>SCA</t>
        </is>
      </c>
      <c r="G665" t="n">
        <v>3.1</v>
      </c>
      <c r="H665" t="n">
        <v>0</v>
      </c>
      <c r="I665" t="n">
        <v>0</v>
      </c>
      <c r="J665" t="n">
        <v>0</v>
      </c>
      <c r="K665" t="n">
        <v>0</v>
      </c>
      <c r="L665" t="n">
        <v>0</v>
      </c>
      <c r="M665" t="n">
        <v>0</v>
      </c>
      <c r="N665" t="n">
        <v>0</v>
      </c>
      <c r="O665" t="n">
        <v>0</v>
      </c>
      <c r="P665" t="n">
        <v>0</v>
      </c>
      <c r="Q665" t="n">
        <v>0</v>
      </c>
      <c r="R665" s="2" t="inlineStr"/>
    </row>
    <row r="666" ht="15" customHeight="1">
      <c r="A666" t="inlineStr">
        <is>
          <t>A 58639-2023</t>
        </is>
      </c>
      <c r="B666" s="1" t="n">
        <v>45251</v>
      </c>
      <c r="C666" s="1" t="n">
        <v>46029</v>
      </c>
      <c r="D666" t="inlineStr">
        <is>
          <t>VÄSTERNORRLANDS LÄN</t>
        </is>
      </c>
      <c r="E666" t="inlineStr">
        <is>
          <t>ÅNGE</t>
        </is>
      </c>
      <c r="G666" t="n">
        <v>0.6</v>
      </c>
      <c r="H666" t="n">
        <v>0</v>
      </c>
      <c r="I666" t="n">
        <v>0</v>
      </c>
      <c r="J666" t="n">
        <v>0</v>
      </c>
      <c r="K666" t="n">
        <v>0</v>
      </c>
      <c r="L666" t="n">
        <v>0</v>
      </c>
      <c r="M666" t="n">
        <v>0</v>
      </c>
      <c r="N666" t="n">
        <v>0</v>
      </c>
      <c r="O666" t="n">
        <v>0</v>
      </c>
      <c r="P666" t="n">
        <v>0</v>
      </c>
      <c r="Q666" t="n">
        <v>0</v>
      </c>
      <c r="R666" s="2" t="inlineStr"/>
    </row>
    <row r="667" ht="15" customHeight="1">
      <c r="A667" t="inlineStr">
        <is>
          <t>A 42889-2025</t>
        </is>
      </c>
      <c r="B667" s="1" t="n">
        <v>45908.65546296296</v>
      </c>
      <c r="C667" s="1" t="n">
        <v>46029</v>
      </c>
      <c r="D667" t="inlineStr">
        <is>
          <t>VÄSTERNORRLANDS LÄN</t>
        </is>
      </c>
      <c r="E667" t="inlineStr">
        <is>
          <t>ÅNGE</t>
        </is>
      </c>
      <c r="G667" t="n">
        <v>11.9</v>
      </c>
      <c r="H667" t="n">
        <v>0</v>
      </c>
      <c r="I667" t="n">
        <v>0</v>
      </c>
      <c r="J667" t="n">
        <v>0</v>
      </c>
      <c r="K667" t="n">
        <v>0</v>
      </c>
      <c r="L667" t="n">
        <v>0</v>
      </c>
      <c r="M667" t="n">
        <v>0</v>
      </c>
      <c r="N667" t="n">
        <v>0</v>
      </c>
      <c r="O667" t="n">
        <v>0</v>
      </c>
      <c r="P667" t="n">
        <v>0</v>
      </c>
      <c r="Q667" t="n">
        <v>0</v>
      </c>
      <c r="R667" s="2" t="inlineStr"/>
    </row>
    <row r="668" ht="15" customHeight="1">
      <c r="A668" t="inlineStr">
        <is>
          <t>A 35498-2022</t>
        </is>
      </c>
      <c r="B668" s="1" t="n">
        <v>44798.94810185185</v>
      </c>
      <c r="C668" s="1" t="n">
        <v>46029</v>
      </c>
      <c r="D668" t="inlineStr">
        <is>
          <t>VÄSTERNORRLANDS LÄN</t>
        </is>
      </c>
      <c r="E668" t="inlineStr">
        <is>
          <t>ÅNGE</t>
        </is>
      </c>
      <c r="F668" t="inlineStr">
        <is>
          <t>SCA</t>
        </is>
      </c>
      <c r="G668" t="n">
        <v>3</v>
      </c>
      <c r="H668" t="n">
        <v>0</v>
      </c>
      <c r="I668" t="n">
        <v>0</v>
      </c>
      <c r="J668" t="n">
        <v>0</v>
      </c>
      <c r="K668" t="n">
        <v>0</v>
      </c>
      <c r="L668" t="n">
        <v>0</v>
      </c>
      <c r="M668" t="n">
        <v>0</v>
      </c>
      <c r="N668" t="n">
        <v>0</v>
      </c>
      <c r="O668" t="n">
        <v>0</v>
      </c>
      <c r="P668" t="n">
        <v>0</v>
      </c>
      <c r="Q668" t="n">
        <v>0</v>
      </c>
      <c r="R668" s="2" t="inlineStr"/>
    </row>
    <row r="669" ht="15" customHeight="1">
      <c r="A669" t="inlineStr">
        <is>
          <t>A 34019-2025</t>
        </is>
      </c>
      <c r="B669" s="1" t="n">
        <v>45845.34416666667</v>
      </c>
      <c r="C669" s="1" t="n">
        <v>46029</v>
      </c>
      <c r="D669" t="inlineStr">
        <is>
          <t>VÄSTERNORRLANDS LÄN</t>
        </is>
      </c>
      <c r="E669" t="inlineStr">
        <is>
          <t>ÅNGE</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34031-2025</t>
        </is>
      </c>
      <c r="B670" s="1" t="n">
        <v>45845.36508101852</v>
      </c>
      <c r="C670" s="1" t="n">
        <v>46029</v>
      </c>
      <c r="D670" t="inlineStr">
        <is>
          <t>VÄSTERNORRLANDS LÄN</t>
        </is>
      </c>
      <c r="E670" t="inlineStr">
        <is>
          <t>ÅNGE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3347-2024</t>
        </is>
      </c>
      <c r="B671" s="1" t="n">
        <v>45317</v>
      </c>
      <c r="C671" s="1" t="n">
        <v>46029</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42786-2025</t>
        </is>
      </c>
      <c r="B672" s="1" t="n">
        <v>45908.51097222222</v>
      </c>
      <c r="C672" s="1" t="n">
        <v>46029</v>
      </c>
      <c r="D672" t="inlineStr">
        <is>
          <t>VÄSTERNORRLANDS LÄN</t>
        </is>
      </c>
      <c r="E672" t="inlineStr">
        <is>
          <t>ÅNGE</t>
        </is>
      </c>
      <c r="G672" t="n">
        <v>0.4</v>
      </c>
      <c r="H672" t="n">
        <v>0</v>
      </c>
      <c r="I672" t="n">
        <v>0</v>
      </c>
      <c r="J672" t="n">
        <v>0</v>
      </c>
      <c r="K672" t="n">
        <v>0</v>
      </c>
      <c r="L672" t="n">
        <v>0</v>
      </c>
      <c r="M672" t="n">
        <v>0</v>
      </c>
      <c r="N672" t="n">
        <v>0</v>
      </c>
      <c r="O672" t="n">
        <v>0</v>
      </c>
      <c r="P672" t="n">
        <v>0</v>
      </c>
      <c r="Q672" t="n">
        <v>0</v>
      </c>
      <c r="R672" s="2" t="inlineStr"/>
    </row>
    <row r="673" ht="15" customHeight="1">
      <c r="A673" t="inlineStr">
        <is>
          <t>A 5035-2025</t>
        </is>
      </c>
      <c r="B673" s="1" t="n">
        <v>45691</v>
      </c>
      <c r="C673" s="1" t="n">
        <v>46029</v>
      </c>
      <c r="D673" t="inlineStr">
        <is>
          <t>VÄSTERNORRLANDS LÄN</t>
        </is>
      </c>
      <c r="E673" t="inlineStr">
        <is>
          <t>ÅNGE</t>
        </is>
      </c>
      <c r="F673" t="inlineStr">
        <is>
          <t>SCA</t>
        </is>
      </c>
      <c r="G673" t="n">
        <v>3.2</v>
      </c>
      <c r="H673" t="n">
        <v>0</v>
      </c>
      <c r="I673" t="n">
        <v>0</v>
      </c>
      <c r="J673" t="n">
        <v>0</v>
      </c>
      <c r="K673" t="n">
        <v>0</v>
      </c>
      <c r="L673" t="n">
        <v>0</v>
      </c>
      <c r="M673" t="n">
        <v>0</v>
      </c>
      <c r="N673" t="n">
        <v>0</v>
      </c>
      <c r="O673" t="n">
        <v>0</v>
      </c>
      <c r="P673" t="n">
        <v>0</v>
      </c>
      <c r="Q673" t="n">
        <v>0</v>
      </c>
      <c r="R673" s="2" t="inlineStr"/>
    </row>
    <row r="674" ht="15" customHeight="1">
      <c r="A674" t="inlineStr">
        <is>
          <t>A 9382-2025</t>
        </is>
      </c>
      <c r="B674" s="1" t="n">
        <v>45715.34425925926</v>
      </c>
      <c r="C674" s="1" t="n">
        <v>46029</v>
      </c>
      <c r="D674" t="inlineStr">
        <is>
          <t>VÄSTERNORRLANDS LÄN</t>
        </is>
      </c>
      <c r="E674" t="inlineStr">
        <is>
          <t>ÅNGE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42863-2025</t>
        </is>
      </c>
      <c r="B675" s="1" t="n">
        <v>45908.61527777778</v>
      </c>
      <c r="C675" s="1" t="n">
        <v>46029</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42731-2025</t>
        </is>
      </c>
      <c r="B676" s="1" t="n">
        <v>45908.40686342592</v>
      </c>
      <c r="C676" s="1" t="n">
        <v>46029</v>
      </c>
      <c r="D676" t="inlineStr">
        <is>
          <t>VÄSTERNORRLANDS LÄN</t>
        </is>
      </c>
      <c r="E676" t="inlineStr">
        <is>
          <t>ÅNGE</t>
        </is>
      </c>
      <c r="G676" t="n">
        <v>14.1</v>
      </c>
      <c r="H676" t="n">
        <v>0</v>
      </c>
      <c r="I676" t="n">
        <v>0</v>
      </c>
      <c r="J676" t="n">
        <v>0</v>
      </c>
      <c r="K676" t="n">
        <v>0</v>
      </c>
      <c r="L676" t="n">
        <v>0</v>
      </c>
      <c r="M676" t="n">
        <v>0</v>
      </c>
      <c r="N676" t="n">
        <v>0</v>
      </c>
      <c r="O676" t="n">
        <v>0</v>
      </c>
      <c r="P676" t="n">
        <v>0</v>
      </c>
      <c r="Q676" t="n">
        <v>0</v>
      </c>
      <c r="R676" s="2" t="inlineStr"/>
    </row>
    <row r="677" ht="15" customHeight="1">
      <c r="A677" t="inlineStr">
        <is>
          <t>A 42785-2025</t>
        </is>
      </c>
      <c r="B677" s="1" t="n">
        <v>45908.51083333333</v>
      </c>
      <c r="C677" s="1" t="n">
        <v>46029</v>
      </c>
      <c r="D677" t="inlineStr">
        <is>
          <t>VÄSTERNORRLANDS LÄN</t>
        </is>
      </c>
      <c r="E677" t="inlineStr">
        <is>
          <t>ÅNGE</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1711-2025</t>
        </is>
      </c>
      <c r="B678" s="1" t="n">
        <v>45671.31184027778</v>
      </c>
      <c r="C678" s="1" t="n">
        <v>46029</v>
      </c>
      <c r="D678" t="inlineStr">
        <is>
          <t>VÄSTERNORRLANDS LÄN</t>
        </is>
      </c>
      <c r="E678" t="inlineStr">
        <is>
          <t>ÅNGE</t>
        </is>
      </c>
      <c r="G678" t="n">
        <v>2.8</v>
      </c>
      <c r="H678" t="n">
        <v>0</v>
      </c>
      <c r="I678" t="n">
        <v>0</v>
      </c>
      <c r="J678" t="n">
        <v>0</v>
      </c>
      <c r="K678" t="n">
        <v>0</v>
      </c>
      <c r="L678" t="n">
        <v>0</v>
      </c>
      <c r="M678" t="n">
        <v>0</v>
      </c>
      <c r="N678" t="n">
        <v>0</v>
      </c>
      <c r="O678" t="n">
        <v>0</v>
      </c>
      <c r="P678" t="n">
        <v>0</v>
      </c>
      <c r="Q678" t="n">
        <v>0</v>
      </c>
      <c r="R678" s="2" t="inlineStr"/>
    </row>
    <row r="679" ht="15" customHeight="1">
      <c r="A679" t="inlineStr">
        <is>
          <t>A 42043-2024</t>
        </is>
      </c>
      <c r="B679" s="1" t="n">
        <v>45561</v>
      </c>
      <c r="C679" s="1" t="n">
        <v>46029</v>
      </c>
      <c r="D679" t="inlineStr">
        <is>
          <t>VÄSTERNORRLANDS LÄN</t>
        </is>
      </c>
      <c r="E679" t="inlineStr">
        <is>
          <t>ÅNGE</t>
        </is>
      </c>
      <c r="G679" t="n">
        <v>3.1</v>
      </c>
      <c r="H679" t="n">
        <v>0</v>
      </c>
      <c r="I679" t="n">
        <v>0</v>
      </c>
      <c r="J679" t="n">
        <v>0</v>
      </c>
      <c r="K679" t="n">
        <v>0</v>
      </c>
      <c r="L679" t="n">
        <v>0</v>
      </c>
      <c r="M679" t="n">
        <v>0</v>
      </c>
      <c r="N679" t="n">
        <v>0</v>
      </c>
      <c r="O679" t="n">
        <v>0</v>
      </c>
      <c r="P679" t="n">
        <v>0</v>
      </c>
      <c r="Q679" t="n">
        <v>0</v>
      </c>
      <c r="R679" s="2" t="inlineStr"/>
    </row>
    <row r="680" ht="15" customHeight="1">
      <c r="A680" t="inlineStr">
        <is>
          <t>A 42046-2024</t>
        </is>
      </c>
      <c r="B680" s="1" t="n">
        <v>45561.83422453704</v>
      </c>
      <c r="C680" s="1" t="n">
        <v>46029</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34785-2025</t>
        </is>
      </c>
      <c r="B681" s="1" t="n">
        <v>45848.67771990741</v>
      </c>
      <c r="C681" s="1" t="n">
        <v>46029</v>
      </c>
      <c r="D681" t="inlineStr">
        <is>
          <t>VÄSTERNORRLANDS LÄN</t>
        </is>
      </c>
      <c r="E681" t="inlineStr">
        <is>
          <t>ÅNGE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55751-2024</t>
        </is>
      </c>
      <c r="B682" s="1" t="n">
        <v>45623.34409722222</v>
      </c>
      <c r="C682" s="1" t="n">
        <v>46029</v>
      </c>
      <c r="D682" t="inlineStr">
        <is>
          <t>VÄSTERNORRLANDS LÄN</t>
        </is>
      </c>
      <c r="E682" t="inlineStr">
        <is>
          <t>ÅNGE</t>
        </is>
      </c>
      <c r="F682" t="inlineStr">
        <is>
          <t>SCA</t>
        </is>
      </c>
      <c r="G682" t="n">
        <v>2.3</v>
      </c>
      <c r="H682" t="n">
        <v>0</v>
      </c>
      <c r="I682" t="n">
        <v>0</v>
      </c>
      <c r="J682" t="n">
        <v>0</v>
      </c>
      <c r="K682" t="n">
        <v>0</v>
      </c>
      <c r="L682" t="n">
        <v>0</v>
      </c>
      <c r="M682" t="n">
        <v>0</v>
      </c>
      <c r="N682" t="n">
        <v>0</v>
      </c>
      <c r="O682" t="n">
        <v>0</v>
      </c>
      <c r="P682" t="n">
        <v>0</v>
      </c>
      <c r="Q682" t="n">
        <v>0</v>
      </c>
      <c r="R682" s="2" t="inlineStr"/>
    </row>
    <row r="683" ht="15" customHeight="1">
      <c r="A683" t="inlineStr">
        <is>
          <t>A 34591-2025</t>
        </is>
      </c>
      <c r="B683" s="1" t="n">
        <v>45847.62920138889</v>
      </c>
      <c r="C683" s="1" t="n">
        <v>46029</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34593-2025</t>
        </is>
      </c>
      <c r="B684" s="1" t="n">
        <v>45847.6316087963</v>
      </c>
      <c r="C684" s="1" t="n">
        <v>46029</v>
      </c>
      <c r="D684" t="inlineStr">
        <is>
          <t>VÄSTERNORRLANDS LÄN</t>
        </is>
      </c>
      <c r="E684" t="inlineStr">
        <is>
          <t>ÅNGE</t>
        </is>
      </c>
      <c r="G684" t="n">
        <v>5.3</v>
      </c>
      <c r="H684" t="n">
        <v>0</v>
      </c>
      <c r="I684" t="n">
        <v>0</v>
      </c>
      <c r="J684" t="n">
        <v>0</v>
      </c>
      <c r="K684" t="n">
        <v>0</v>
      </c>
      <c r="L684" t="n">
        <v>0</v>
      </c>
      <c r="M684" t="n">
        <v>0</v>
      </c>
      <c r="N684" t="n">
        <v>0</v>
      </c>
      <c r="O684" t="n">
        <v>0</v>
      </c>
      <c r="P684" t="n">
        <v>0</v>
      </c>
      <c r="Q684" t="n">
        <v>0</v>
      </c>
      <c r="R684" s="2" t="inlineStr"/>
    </row>
    <row r="685" ht="15" customHeight="1">
      <c r="A685" t="inlineStr">
        <is>
          <t>A 21456-2025</t>
        </is>
      </c>
      <c r="B685" s="1" t="n">
        <v>45782.55342592593</v>
      </c>
      <c r="C685" s="1" t="n">
        <v>46029</v>
      </c>
      <c r="D685" t="inlineStr">
        <is>
          <t>VÄSTERNORRLANDS LÄN</t>
        </is>
      </c>
      <c r="E685" t="inlineStr">
        <is>
          <t>ÅNGE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3-2025</t>
        </is>
      </c>
      <c r="B686" s="1" t="n">
        <v>45658.49819444444</v>
      </c>
      <c r="C686" s="1" t="n">
        <v>46029</v>
      </c>
      <c r="D686" t="inlineStr">
        <is>
          <t>VÄSTERNORRLANDS LÄN</t>
        </is>
      </c>
      <c r="E686" t="inlineStr">
        <is>
          <t>ÅNGE</t>
        </is>
      </c>
      <c r="G686" t="n">
        <v>2</v>
      </c>
      <c r="H686" t="n">
        <v>0</v>
      </c>
      <c r="I686" t="n">
        <v>0</v>
      </c>
      <c r="J686" t="n">
        <v>0</v>
      </c>
      <c r="K686" t="n">
        <v>0</v>
      </c>
      <c r="L686" t="n">
        <v>0</v>
      </c>
      <c r="M686" t="n">
        <v>0</v>
      </c>
      <c r="N686" t="n">
        <v>0</v>
      </c>
      <c r="O686" t="n">
        <v>0</v>
      </c>
      <c r="P686" t="n">
        <v>0</v>
      </c>
      <c r="Q686" t="n">
        <v>0</v>
      </c>
      <c r="R686" s="2" t="inlineStr"/>
    </row>
    <row r="687" ht="15" customHeight="1">
      <c r="A687" t="inlineStr">
        <is>
          <t>A 9619-2021</t>
        </is>
      </c>
      <c r="B687" s="1" t="n">
        <v>44251</v>
      </c>
      <c r="C687" s="1" t="n">
        <v>46029</v>
      </c>
      <c r="D687" t="inlineStr">
        <is>
          <t>VÄSTERNORRLANDS LÄN</t>
        </is>
      </c>
      <c r="E687" t="inlineStr">
        <is>
          <t>ÅNGE</t>
        </is>
      </c>
      <c r="G687" t="n">
        <v>10.4</v>
      </c>
      <c r="H687" t="n">
        <v>0</v>
      </c>
      <c r="I687" t="n">
        <v>0</v>
      </c>
      <c r="J687" t="n">
        <v>0</v>
      </c>
      <c r="K687" t="n">
        <v>0</v>
      </c>
      <c r="L687" t="n">
        <v>0</v>
      </c>
      <c r="M687" t="n">
        <v>0</v>
      </c>
      <c r="N687" t="n">
        <v>0</v>
      </c>
      <c r="O687" t="n">
        <v>0</v>
      </c>
      <c r="P687" t="n">
        <v>0</v>
      </c>
      <c r="Q687" t="n">
        <v>0</v>
      </c>
      <c r="R687" s="2" t="inlineStr"/>
    </row>
    <row r="688" ht="15" customHeight="1">
      <c r="A688" t="inlineStr">
        <is>
          <t>A 42730-2025</t>
        </is>
      </c>
      <c r="B688" s="1" t="n">
        <v>45908.40666666667</v>
      </c>
      <c r="C688" s="1" t="n">
        <v>46029</v>
      </c>
      <c r="D688" t="inlineStr">
        <is>
          <t>VÄSTERNORRLANDS LÄN</t>
        </is>
      </c>
      <c r="E688" t="inlineStr">
        <is>
          <t>ÅNGE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42589-2025</t>
        </is>
      </c>
      <c r="B689" s="1" t="n">
        <v>45905.63585648148</v>
      </c>
      <c r="C689" s="1" t="n">
        <v>46029</v>
      </c>
      <c r="D689" t="inlineStr">
        <is>
          <t>VÄSTERNORRLANDS LÄN</t>
        </is>
      </c>
      <c r="E689" t="inlineStr">
        <is>
          <t>ÅNGE</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56232-2024</t>
        </is>
      </c>
      <c r="B690" s="1" t="n">
        <v>45624</v>
      </c>
      <c r="C690" s="1" t="n">
        <v>46029</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44635-2024</t>
        </is>
      </c>
      <c r="B691" s="1" t="n">
        <v>45574.51488425926</v>
      </c>
      <c r="C691" s="1" t="n">
        <v>46029</v>
      </c>
      <c r="D691" t="inlineStr">
        <is>
          <t>VÄSTERNORRLANDS LÄN</t>
        </is>
      </c>
      <c r="E691" t="inlineStr">
        <is>
          <t>ÅNGE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42764-2025</t>
        </is>
      </c>
      <c r="B692" s="1" t="n">
        <v>45908.46943287037</v>
      </c>
      <c r="C692" s="1" t="n">
        <v>46029</v>
      </c>
      <c r="D692" t="inlineStr">
        <is>
          <t>VÄSTERNORRLANDS LÄN</t>
        </is>
      </c>
      <c r="E692" t="inlineStr">
        <is>
          <t>ÅNGE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16191-2023</t>
        </is>
      </c>
      <c r="B693" s="1" t="n">
        <v>45027.94111111111</v>
      </c>
      <c r="C693" s="1" t="n">
        <v>46029</v>
      </c>
      <c r="D693" t="inlineStr">
        <is>
          <t>VÄSTERNORRLANDS LÄN</t>
        </is>
      </c>
      <c r="E693" t="inlineStr">
        <is>
          <t>ÅNGE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42880-2025</t>
        </is>
      </c>
      <c r="B694" s="1" t="n">
        <v>45908.63599537037</v>
      </c>
      <c r="C694" s="1" t="n">
        <v>46029</v>
      </c>
      <c r="D694" t="inlineStr">
        <is>
          <t>VÄSTERNORRLANDS LÄN</t>
        </is>
      </c>
      <c r="E694" t="inlineStr">
        <is>
          <t>ÅNGE</t>
        </is>
      </c>
      <c r="G694" t="n">
        <v>4.3</v>
      </c>
      <c r="H694" t="n">
        <v>0</v>
      </c>
      <c r="I694" t="n">
        <v>0</v>
      </c>
      <c r="J694" t="n">
        <v>0</v>
      </c>
      <c r="K694" t="n">
        <v>0</v>
      </c>
      <c r="L694" t="n">
        <v>0</v>
      </c>
      <c r="M694" t="n">
        <v>0</v>
      </c>
      <c r="N694" t="n">
        <v>0</v>
      </c>
      <c r="O694" t="n">
        <v>0</v>
      </c>
      <c r="P694" t="n">
        <v>0</v>
      </c>
      <c r="Q694" t="n">
        <v>0</v>
      </c>
      <c r="R694" s="2" t="inlineStr"/>
    </row>
    <row r="695" ht="15" customHeight="1">
      <c r="A695" t="inlineStr">
        <is>
          <t>A 17670-2023</t>
        </is>
      </c>
      <c r="B695" s="1" t="n">
        <v>45036</v>
      </c>
      <c r="C695" s="1" t="n">
        <v>46029</v>
      </c>
      <c r="D695" t="inlineStr">
        <is>
          <t>VÄSTERNORRLANDS LÄN</t>
        </is>
      </c>
      <c r="E695" t="inlineStr">
        <is>
          <t>ÅNGE</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35143-2025</t>
        </is>
      </c>
      <c r="B696" s="1" t="n">
        <v>45852.65660879629</v>
      </c>
      <c r="C696" s="1" t="n">
        <v>46029</v>
      </c>
      <c r="D696" t="inlineStr">
        <is>
          <t>VÄSTERNORRLANDS LÄN</t>
        </is>
      </c>
      <c r="E696" t="inlineStr">
        <is>
          <t>ÅNGE</t>
        </is>
      </c>
      <c r="F696" t="inlineStr">
        <is>
          <t>SCA</t>
        </is>
      </c>
      <c r="G696" t="n">
        <v>2</v>
      </c>
      <c r="H696" t="n">
        <v>0</v>
      </c>
      <c r="I696" t="n">
        <v>0</v>
      </c>
      <c r="J696" t="n">
        <v>0</v>
      </c>
      <c r="K696" t="n">
        <v>0</v>
      </c>
      <c r="L696" t="n">
        <v>0</v>
      </c>
      <c r="M696" t="n">
        <v>0</v>
      </c>
      <c r="N696" t="n">
        <v>0</v>
      </c>
      <c r="O696" t="n">
        <v>0</v>
      </c>
      <c r="P696" t="n">
        <v>0</v>
      </c>
      <c r="Q696" t="n">
        <v>0</v>
      </c>
      <c r="R696" s="2" t="inlineStr"/>
    </row>
    <row r="697" ht="15" customHeight="1">
      <c r="A697" t="inlineStr">
        <is>
          <t>A 35061-2025</t>
        </is>
      </c>
      <c r="B697" s="1" t="n">
        <v>45852</v>
      </c>
      <c r="C697" s="1" t="n">
        <v>46029</v>
      </c>
      <c r="D697" t="inlineStr">
        <is>
          <t>VÄSTERNORRLANDS LÄN</t>
        </is>
      </c>
      <c r="E697" t="inlineStr">
        <is>
          <t>ÅNGE</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59412-2024</t>
        </is>
      </c>
      <c r="B698" s="1" t="n">
        <v>45638</v>
      </c>
      <c r="C698" s="1" t="n">
        <v>46029</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44518-2024</t>
        </is>
      </c>
      <c r="B699" s="1" t="n">
        <v>45574.43376157407</v>
      </c>
      <c r="C699" s="1" t="n">
        <v>46029</v>
      </c>
      <c r="D699" t="inlineStr">
        <is>
          <t>VÄSTERNORRLANDS LÄN</t>
        </is>
      </c>
      <c r="E699" t="inlineStr">
        <is>
          <t>ÅNGE</t>
        </is>
      </c>
      <c r="G699" t="n">
        <v>2.6</v>
      </c>
      <c r="H699" t="n">
        <v>0</v>
      </c>
      <c r="I699" t="n">
        <v>0</v>
      </c>
      <c r="J699" t="n">
        <v>0</v>
      </c>
      <c r="K699" t="n">
        <v>0</v>
      </c>
      <c r="L699" t="n">
        <v>0</v>
      </c>
      <c r="M699" t="n">
        <v>0</v>
      </c>
      <c r="N699" t="n">
        <v>0</v>
      </c>
      <c r="O699" t="n">
        <v>0</v>
      </c>
      <c r="P699" t="n">
        <v>0</v>
      </c>
      <c r="Q699" t="n">
        <v>0</v>
      </c>
      <c r="R699" s="2" t="inlineStr"/>
    </row>
    <row r="700" ht="15" customHeight="1">
      <c r="A700" t="inlineStr">
        <is>
          <t>A 51124-2024</t>
        </is>
      </c>
      <c r="B700" s="1" t="n">
        <v>45603.50716435185</v>
      </c>
      <c r="C700" s="1" t="n">
        <v>46029</v>
      </c>
      <c r="D700" t="inlineStr">
        <is>
          <t>VÄSTERNORRLANDS LÄN</t>
        </is>
      </c>
      <c r="E700" t="inlineStr">
        <is>
          <t>ÅNGE</t>
        </is>
      </c>
      <c r="G700" t="n">
        <v>0.6</v>
      </c>
      <c r="H700" t="n">
        <v>0</v>
      </c>
      <c r="I700" t="n">
        <v>0</v>
      </c>
      <c r="J700" t="n">
        <v>0</v>
      </c>
      <c r="K700" t="n">
        <v>0</v>
      </c>
      <c r="L700" t="n">
        <v>0</v>
      </c>
      <c r="M700" t="n">
        <v>0</v>
      </c>
      <c r="N700" t="n">
        <v>0</v>
      </c>
      <c r="O700" t="n">
        <v>0</v>
      </c>
      <c r="P700" t="n">
        <v>0</v>
      </c>
      <c r="Q700" t="n">
        <v>0</v>
      </c>
      <c r="R700" s="2" t="inlineStr"/>
    </row>
    <row r="701" ht="15" customHeight="1">
      <c r="A701" t="inlineStr">
        <is>
          <t>A 43237-2025</t>
        </is>
      </c>
      <c r="B701" s="1" t="n">
        <v>45910.51670138889</v>
      </c>
      <c r="C701" s="1" t="n">
        <v>46029</v>
      </c>
      <c r="D701" t="inlineStr">
        <is>
          <t>VÄSTERNORRLANDS LÄN</t>
        </is>
      </c>
      <c r="E701" t="inlineStr">
        <is>
          <t>ÅNGE</t>
        </is>
      </c>
      <c r="G701" t="n">
        <v>0.7</v>
      </c>
      <c r="H701" t="n">
        <v>0</v>
      </c>
      <c r="I701" t="n">
        <v>0</v>
      </c>
      <c r="J701" t="n">
        <v>0</v>
      </c>
      <c r="K701" t="n">
        <v>0</v>
      </c>
      <c r="L701" t="n">
        <v>0</v>
      </c>
      <c r="M701" t="n">
        <v>0</v>
      </c>
      <c r="N701" t="n">
        <v>0</v>
      </c>
      <c r="O701" t="n">
        <v>0</v>
      </c>
      <c r="P701" t="n">
        <v>0</v>
      </c>
      <c r="Q701" t="n">
        <v>0</v>
      </c>
      <c r="R701" s="2" t="inlineStr"/>
    </row>
    <row r="702" ht="15" customHeight="1">
      <c r="A702" t="inlineStr">
        <is>
          <t>A 43250-2025</t>
        </is>
      </c>
      <c r="B702" s="1" t="n">
        <v>45910.5525462963</v>
      </c>
      <c r="C702" s="1" t="n">
        <v>46029</v>
      </c>
      <c r="D702" t="inlineStr">
        <is>
          <t>VÄSTERNORRLANDS LÄN</t>
        </is>
      </c>
      <c r="E702" t="inlineStr">
        <is>
          <t>ÅNGE</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50674-2024</t>
        </is>
      </c>
      <c r="B703" s="1" t="n">
        <v>45601.85402777778</v>
      </c>
      <c r="C703" s="1" t="n">
        <v>46029</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54720-2024</t>
        </is>
      </c>
      <c r="B704" s="1" t="n">
        <v>45618.43715277778</v>
      </c>
      <c r="C704" s="1" t="n">
        <v>46029</v>
      </c>
      <c r="D704" t="inlineStr">
        <is>
          <t>VÄSTERNORRLANDS LÄN</t>
        </is>
      </c>
      <c r="E704" t="inlineStr">
        <is>
          <t>ÅNGE</t>
        </is>
      </c>
      <c r="F704" t="inlineStr">
        <is>
          <t>SCA</t>
        </is>
      </c>
      <c r="G704" t="n">
        <v>1</v>
      </c>
      <c r="H704" t="n">
        <v>0</v>
      </c>
      <c r="I704" t="n">
        <v>0</v>
      </c>
      <c r="J704" t="n">
        <v>0</v>
      </c>
      <c r="K704" t="n">
        <v>0</v>
      </c>
      <c r="L704" t="n">
        <v>0</v>
      </c>
      <c r="M704" t="n">
        <v>0</v>
      </c>
      <c r="N704" t="n">
        <v>0</v>
      </c>
      <c r="O704" t="n">
        <v>0</v>
      </c>
      <c r="P704" t="n">
        <v>0</v>
      </c>
      <c r="Q704" t="n">
        <v>0</v>
      </c>
      <c r="R704" s="2" t="inlineStr"/>
    </row>
    <row r="705" ht="15" customHeight="1">
      <c r="A705" t="inlineStr">
        <is>
          <t>A 53858-2024</t>
        </is>
      </c>
      <c r="B705" s="1" t="n">
        <v>45615</v>
      </c>
      <c r="C705" s="1" t="n">
        <v>46029</v>
      </c>
      <c r="D705" t="inlineStr">
        <is>
          <t>VÄSTERNORRLANDS LÄN</t>
        </is>
      </c>
      <c r="E705" t="inlineStr">
        <is>
          <t>ÅNGE</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43221-2025</t>
        </is>
      </c>
      <c r="B706" s="1" t="n">
        <v>45910.47981481482</v>
      </c>
      <c r="C706" s="1" t="n">
        <v>46029</v>
      </c>
      <c r="D706" t="inlineStr">
        <is>
          <t>VÄSTERNORRLANDS LÄN</t>
        </is>
      </c>
      <c r="E706" t="inlineStr">
        <is>
          <t>ÅNGE</t>
        </is>
      </c>
      <c r="G706" t="n">
        <v>0.9</v>
      </c>
      <c r="H706" t="n">
        <v>0</v>
      </c>
      <c r="I706" t="n">
        <v>0</v>
      </c>
      <c r="J706" t="n">
        <v>0</v>
      </c>
      <c r="K706" t="n">
        <v>0</v>
      </c>
      <c r="L706" t="n">
        <v>0</v>
      </c>
      <c r="M706" t="n">
        <v>0</v>
      </c>
      <c r="N706" t="n">
        <v>0</v>
      </c>
      <c r="O706" t="n">
        <v>0</v>
      </c>
      <c r="P706" t="n">
        <v>0</v>
      </c>
      <c r="Q706" t="n">
        <v>0</v>
      </c>
      <c r="R706" s="2" t="inlineStr"/>
    </row>
    <row r="707" ht="15" customHeight="1">
      <c r="A707" t="inlineStr">
        <is>
          <t>A 53336-2024</t>
        </is>
      </c>
      <c r="B707" s="1" t="n">
        <v>45614.42753472222</v>
      </c>
      <c r="C707" s="1" t="n">
        <v>46029</v>
      </c>
      <c r="D707" t="inlineStr">
        <is>
          <t>VÄSTERNORRLANDS LÄN</t>
        </is>
      </c>
      <c r="E707" t="inlineStr">
        <is>
          <t>ÅNGE</t>
        </is>
      </c>
      <c r="G707" t="n">
        <v>1.5</v>
      </c>
      <c r="H707" t="n">
        <v>0</v>
      </c>
      <c r="I707" t="n">
        <v>0</v>
      </c>
      <c r="J707" t="n">
        <v>0</v>
      </c>
      <c r="K707" t="n">
        <v>0</v>
      </c>
      <c r="L707" t="n">
        <v>0</v>
      </c>
      <c r="M707" t="n">
        <v>0</v>
      </c>
      <c r="N707" t="n">
        <v>0</v>
      </c>
      <c r="O707" t="n">
        <v>0</v>
      </c>
      <c r="P707" t="n">
        <v>0</v>
      </c>
      <c r="Q707" t="n">
        <v>0</v>
      </c>
      <c r="R707" s="2" t="inlineStr"/>
    </row>
    <row r="708" ht="15" customHeight="1">
      <c r="A708" t="inlineStr">
        <is>
          <t>A 43265-2025</t>
        </is>
      </c>
      <c r="B708" s="1" t="n">
        <v>45910.57377314815</v>
      </c>
      <c r="C708" s="1" t="n">
        <v>46029</v>
      </c>
      <c r="D708" t="inlineStr">
        <is>
          <t>VÄSTERNORRLANDS LÄN</t>
        </is>
      </c>
      <c r="E708" t="inlineStr">
        <is>
          <t>ÅNGE</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35503-2025</t>
        </is>
      </c>
      <c r="B709" s="1" t="n">
        <v>45856</v>
      </c>
      <c r="C709" s="1" t="n">
        <v>46029</v>
      </c>
      <c r="D709" t="inlineStr">
        <is>
          <t>VÄSTERNORRLANDS LÄN</t>
        </is>
      </c>
      <c r="E709" t="inlineStr">
        <is>
          <t>ÅNGE</t>
        </is>
      </c>
      <c r="G709" t="n">
        <v>5.2</v>
      </c>
      <c r="H709" t="n">
        <v>0</v>
      </c>
      <c r="I709" t="n">
        <v>0</v>
      </c>
      <c r="J709" t="n">
        <v>0</v>
      </c>
      <c r="K709" t="n">
        <v>0</v>
      </c>
      <c r="L709" t="n">
        <v>0</v>
      </c>
      <c r="M709" t="n">
        <v>0</v>
      </c>
      <c r="N709" t="n">
        <v>0</v>
      </c>
      <c r="O709" t="n">
        <v>0</v>
      </c>
      <c r="P709" t="n">
        <v>0</v>
      </c>
      <c r="Q709" t="n">
        <v>0</v>
      </c>
      <c r="R709" s="2" t="inlineStr"/>
    </row>
    <row r="710" ht="15" customHeight="1">
      <c r="A710" t="inlineStr">
        <is>
          <t>A 35540-2025</t>
        </is>
      </c>
      <c r="B710" s="1" t="n">
        <v>45856.46912037037</v>
      </c>
      <c r="C710" s="1" t="n">
        <v>46029</v>
      </c>
      <c r="D710" t="inlineStr">
        <is>
          <t>VÄSTERNORRLANDS LÄN</t>
        </is>
      </c>
      <c r="E710" t="inlineStr">
        <is>
          <t>ÅNGE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57598-2022</t>
        </is>
      </c>
      <c r="B711" s="1" t="n">
        <v>44896</v>
      </c>
      <c r="C711" s="1" t="n">
        <v>46029</v>
      </c>
      <c r="D711" t="inlineStr">
        <is>
          <t>VÄSTERNORRLANDS LÄN</t>
        </is>
      </c>
      <c r="E711" t="inlineStr">
        <is>
          <t>ÅNGE</t>
        </is>
      </c>
      <c r="F711" t="inlineStr">
        <is>
          <t>SCA</t>
        </is>
      </c>
      <c r="G711" t="n">
        <v>3.1</v>
      </c>
      <c r="H711" t="n">
        <v>0</v>
      </c>
      <c r="I711" t="n">
        <v>0</v>
      </c>
      <c r="J711" t="n">
        <v>0</v>
      </c>
      <c r="K711" t="n">
        <v>0</v>
      </c>
      <c r="L711" t="n">
        <v>0</v>
      </c>
      <c r="M711" t="n">
        <v>0</v>
      </c>
      <c r="N711" t="n">
        <v>0</v>
      </c>
      <c r="O711" t="n">
        <v>0</v>
      </c>
      <c r="P711" t="n">
        <v>0</v>
      </c>
      <c r="Q711" t="n">
        <v>0</v>
      </c>
      <c r="R711" s="2" t="inlineStr"/>
    </row>
    <row r="712" ht="15" customHeight="1">
      <c r="A712" t="inlineStr">
        <is>
          <t>A 43252-2025</t>
        </is>
      </c>
      <c r="B712" s="1" t="n">
        <v>45910.55292824074</v>
      </c>
      <c r="C712" s="1" t="n">
        <v>46029</v>
      </c>
      <c r="D712" t="inlineStr">
        <is>
          <t>VÄSTERNORRLANDS LÄN</t>
        </is>
      </c>
      <c r="E712" t="inlineStr">
        <is>
          <t>ÅNGE</t>
        </is>
      </c>
      <c r="F712" t="inlineStr">
        <is>
          <t>SCA</t>
        </is>
      </c>
      <c r="G712" t="n">
        <v>5.2</v>
      </c>
      <c r="H712" t="n">
        <v>0</v>
      </c>
      <c r="I712" t="n">
        <v>0</v>
      </c>
      <c r="J712" t="n">
        <v>0</v>
      </c>
      <c r="K712" t="n">
        <v>0</v>
      </c>
      <c r="L712" t="n">
        <v>0</v>
      </c>
      <c r="M712" t="n">
        <v>0</v>
      </c>
      <c r="N712" t="n">
        <v>0</v>
      </c>
      <c r="O712" t="n">
        <v>0</v>
      </c>
      <c r="P712" t="n">
        <v>0</v>
      </c>
      <c r="Q712" t="n">
        <v>0</v>
      </c>
      <c r="R712" s="2" t="inlineStr"/>
    </row>
    <row r="713" ht="15" customHeight="1">
      <c r="A713" t="inlineStr">
        <is>
          <t>A 35548-2025</t>
        </is>
      </c>
      <c r="B713" s="1" t="n">
        <v>45856.48995370371</v>
      </c>
      <c r="C713" s="1" t="n">
        <v>46029</v>
      </c>
      <c r="D713" t="inlineStr">
        <is>
          <t>VÄSTERNORRLANDS LÄN</t>
        </is>
      </c>
      <c r="E713" t="inlineStr">
        <is>
          <t>ÅNGE</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35575-2025</t>
        </is>
      </c>
      <c r="B714" s="1" t="n">
        <v>45856.63591435185</v>
      </c>
      <c r="C714" s="1" t="n">
        <v>46029</v>
      </c>
      <c r="D714" t="inlineStr">
        <is>
          <t>VÄSTERNORRLANDS LÄN</t>
        </is>
      </c>
      <c r="E714" t="inlineStr">
        <is>
          <t>ÅNGE</t>
        </is>
      </c>
      <c r="F714" t="inlineStr">
        <is>
          <t>SCA</t>
        </is>
      </c>
      <c r="G714" t="n">
        <v>5</v>
      </c>
      <c r="H714" t="n">
        <v>0</v>
      </c>
      <c r="I714" t="n">
        <v>0</v>
      </c>
      <c r="J714" t="n">
        <v>0</v>
      </c>
      <c r="K714" t="n">
        <v>0</v>
      </c>
      <c r="L714" t="n">
        <v>0</v>
      </c>
      <c r="M714" t="n">
        <v>0</v>
      </c>
      <c r="N714" t="n">
        <v>0</v>
      </c>
      <c r="O714" t="n">
        <v>0</v>
      </c>
      <c r="P714" t="n">
        <v>0</v>
      </c>
      <c r="Q714" t="n">
        <v>0</v>
      </c>
      <c r="R714" s="2" t="inlineStr"/>
    </row>
    <row r="715" ht="15" customHeight="1">
      <c r="A715" t="inlineStr">
        <is>
          <t>A 35497-2025</t>
        </is>
      </c>
      <c r="B715" s="1" t="n">
        <v>45856.29752314815</v>
      </c>
      <c r="C715" s="1" t="n">
        <v>46029</v>
      </c>
      <c r="D715" t="inlineStr">
        <is>
          <t>VÄSTERNORRLANDS LÄN</t>
        </is>
      </c>
      <c r="E715" t="inlineStr">
        <is>
          <t>ÅNGE</t>
        </is>
      </c>
      <c r="G715" t="n">
        <v>0.7</v>
      </c>
      <c r="H715" t="n">
        <v>0</v>
      </c>
      <c r="I715" t="n">
        <v>0</v>
      </c>
      <c r="J715" t="n">
        <v>0</v>
      </c>
      <c r="K715" t="n">
        <v>0</v>
      </c>
      <c r="L715" t="n">
        <v>0</v>
      </c>
      <c r="M715" t="n">
        <v>0</v>
      </c>
      <c r="N715" t="n">
        <v>0</v>
      </c>
      <c r="O715" t="n">
        <v>0</v>
      </c>
      <c r="P715" t="n">
        <v>0</v>
      </c>
      <c r="Q715" t="n">
        <v>0</v>
      </c>
      <c r="R715" s="2" t="inlineStr"/>
    </row>
    <row r="716" ht="15" customHeight="1">
      <c r="A716" t="inlineStr">
        <is>
          <t>A 43091-2025</t>
        </is>
      </c>
      <c r="B716" s="1" t="n">
        <v>45909.62511574074</v>
      </c>
      <c r="C716" s="1" t="n">
        <v>46029</v>
      </c>
      <c r="D716" t="inlineStr">
        <is>
          <t>VÄSTERNORRLANDS LÄN</t>
        </is>
      </c>
      <c r="E716" t="inlineStr">
        <is>
          <t>ÅNGE</t>
        </is>
      </c>
      <c r="F716" t="inlineStr">
        <is>
          <t>Kyrkan</t>
        </is>
      </c>
      <c r="G716" t="n">
        <v>0.5</v>
      </c>
      <c r="H716" t="n">
        <v>0</v>
      </c>
      <c r="I716" t="n">
        <v>0</v>
      </c>
      <c r="J716" t="n">
        <v>0</v>
      </c>
      <c r="K716" t="n">
        <v>0</v>
      </c>
      <c r="L716" t="n">
        <v>0</v>
      </c>
      <c r="M716" t="n">
        <v>0</v>
      </c>
      <c r="N716" t="n">
        <v>0</v>
      </c>
      <c r="O716" t="n">
        <v>0</v>
      </c>
      <c r="P716" t="n">
        <v>0</v>
      </c>
      <c r="Q716" t="n">
        <v>0</v>
      </c>
      <c r="R716" s="2" t="inlineStr"/>
    </row>
    <row r="717" ht="15" customHeight="1">
      <c r="A717" t="inlineStr">
        <is>
          <t>A 35432-2025</t>
        </is>
      </c>
      <c r="B717" s="1" t="n">
        <v>45855.44831018519</v>
      </c>
      <c r="C717" s="1" t="n">
        <v>46029</v>
      </c>
      <c r="D717" t="inlineStr">
        <is>
          <t>VÄSTERNORRLANDS LÄN</t>
        </is>
      </c>
      <c r="E717" t="inlineStr">
        <is>
          <t>ÅNGE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35577-2025</t>
        </is>
      </c>
      <c r="B718" s="1" t="n">
        <v>45856.67762731481</v>
      </c>
      <c r="C718" s="1" t="n">
        <v>46029</v>
      </c>
      <c r="D718" t="inlineStr">
        <is>
          <t>VÄSTERNORRLANDS LÄN</t>
        </is>
      </c>
      <c r="E718" t="inlineStr">
        <is>
          <t>ÅNGE</t>
        </is>
      </c>
      <c r="F718" t="inlineStr">
        <is>
          <t>SCA</t>
        </is>
      </c>
      <c r="G718" t="n">
        <v>4.2</v>
      </c>
      <c r="H718" t="n">
        <v>0</v>
      </c>
      <c r="I718" t="n">
        <v>0</v>
      </c>
      <c r="J718" t="n">
        <v>0</v>
      </c>
      <c r="K718" t="n">
        <v>0</v>
      </c>
      <c r="L718" t="n">
        <v>0</v>
      </c>
      <c r="M718" t="n">
        <v>0</v>
      </c>
      <c r="N718" t="n">
        <v>0</v>
      </c>
      <c r="O718" t="n">
        <v>0</v>
      </c>
      <c r="P718" t="n">
        <v>0</v>
      </c>
      <c r="Q718" t="n">
        <v>0</v>
      </c>
      <c r="R718" s="2" t="inlineStr"/>
    </row>
    <row r="719" ht="15" customHeight="1">
      <c r="A719" t="inlineStr">
        <is>
          <t>A 43077-2025</t>
        </is>
      </c>
      <c r="B719" s="1" t="n">
        <v>45909.6046412037</v>
      </c>
      <c r="C719" s="1" t="n">
        <v>46029</v>
      </c>
      <c r="D719" t="inlineStr">
        <is>
          <t>VÄSTERNORRLANDS LÄN</t>
        </is>
      </c>
      <c r="E719" t="inlineStr">
        <is>
          <t>ÅNGE</t>
        </is>
      </c>
      <c r="F719" t="inlineStr">
        <is>
          <t>Kyrkan</t>
        </is>
      </c>
      <c r="G719" t="n">
        <v>7.6</v>
      </c>
      <c r="H719" t="n">
        <v>0</v>
      </c>
      <c r="I719" t="n">
        <v>0</v>
      </c>
      <c r="J719" t="n">
        <v>0</v>
      </c>
      <c r="K719" t="n">
        <v>0</v>
      </c>
      <c r="L719" t="n">
        <v>0</v>
      </c>
      <c r="M719" t="n">
        <v>0</v>
      </c>
      <c r="N719" t="n">
        <v>0</v>
      </c>
      <c r="O719" t="n">
        <v>0</v>
      </c>
      <c r="P719" t="n">
        <v>0</v>
      </c>
      <c r="Q719" t="n">
        <v>0</v>
      </c>
      <c r="R719" s="2" t="inlineStr"/>
    </row>
    <row r="720" ht="15" customHeight="1">
      <c r="A720" t="inlineStr">
        <is>
          <t>A 35690-2025</t>
        </is>
      </c>
      <c r="B720" s="1" t="n">
        <v>45860.34421296296</v>
      </c>
      <c r="C720" s="1" t="n">
        <v>46029</v>
      </c>
      <c r="D720" t="inlineStr">
        <is>
          <t>VÄSTERNORRLANDS LÄN</t>
        </is>
      </c>
      <c r="E720" t="inlineStr">
        <is>
          <t>ÅNGE</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35781-2025</t>
        </is>
      </c>
      <c r="B721" s="1" t="n">
        <v>45860.70613425926</v>
      </c>
      <c r="C721" s="1" t="n">
        <v>46029</v>
      </c>
      <c r="D721" t="inlineStr">
        <is>
          <t>VÄSTERNORRLANDS LÄN</t>
        </is>
      </c>
      <c r="E721" t="inlineStr">
        <is>
          <t>ÅNGE</t>
        </is>
      </c>
      <c r="G721" t="n">
        <v>2.2</v>
      </c>
      <c r="H721" t="n">
        <v>0</v>
      </c>
      <c r="I721" t="n">
        <v>0</v>
      </c>
      <c r="J721" t="n">
        <v>0</v>
      </c>
      <c r="K721" t="n">
        <v>0</v>
      </c>
      <c r="L721" t="n">
        <v>0</v>
      </c>
      <c r="M721" t="n">
        <v>0</v>
      </c>
      <c r="N721" t="n">
        <v>0</v>
      </c>
      <c r="O721" t="n">
        <v>0</v>
      </c>
      <c r="P721" t="n">
        <v>0</v>
      </c>
      <c r="Q721" t="n">
        <v>0</v>
      </c>
      <c r="R721" s="2" t="inlineStr"/>
    </row>
    <row r="722" ht="15" customHeight="1">
      <c r="A722" t="inlineStr">
        <is>
          <t>A 35766-2025</t>
        </is>
      </c>
      <c r="B722" s="1" t="n">
        <v>45860.63077546296</v>
      </c>
      <c r="C722" s="1" t="n">
        <v>46029</v>
      </c>
      <c r="D722" t="inlineStr">
        <is>
          <t>VÄSTERNORRLANDS LÄN</t>
        </is>
      </c>
      <c r="E722" t="inlineStr">
        <is>
          <t>ÅNGE</t>
        </is>
      </c>
      <c r="G722" t="n">
        <v>10.7</v>
      </c>
      <c r="H722" t="n">
        <v>0</v>
      </c>
      <c r="I722" t="n">
        <v>0</v>
      </c>
      <c r="J722" t="n">
        <v>0</v>
      </c>
      <c r="K722" t="n">
        <v>0</v>
      </c>
      <c r="L722" t="n">
        <v>0</v>
      </c>
      <c r="M722" t="n">
        <v>0</v>
      </c>
      <c r="N722" t="n">
        <v>0</v>
      </c>
      <c r="O722" t="n">
        <v>0</v>
      </c>
      <c r="P722" t="n">
        <v>0</v>
      </c>
      <c r="Q722" t="n">
        <v>0</v>
      </c>
      <c r="R722" s="2" t="inlineStr"/>
    </row>
    <row r="723" ht="15" customHeight="1">
      <c r="A723" t="inlineStr">
        <is>
          <t>A 1975-2025</t>
        </is>
      </c>
      <c r="B723" s="1" t="n">
        <v>45672.39332175926</v>
      </c>
      <c r="C723" s="1" t="n">
        <v>46029</v>
      </c>
      <c r="D723" t="inlineStr">
        <is>
          <t>VÄSTERNORRLANDS LÄN</t>
        </is>
      </c>
      <c r="E723" t="inlineStr">
        <is>
          <t>ÅNGE</t>
        </is>
      </c>
      <c r="G723" t="n">
        <v>6.2</v>
      </c>
      <c r="H723" t="n">
        <v>0</v>
      </c>
      <c r="I723" t="n">
        <v>0</v>
      </c>
      <c r="J723" t="n">
        <v>0</v>
      </c>
      <c r="K723" t="n">
        <v>0</v>
      </c>
      <c r="L723" t="n">
        <v>0</v>
      </c>
      <c r="M723" t="n">
        <v>0</v>
      </c>
      <c r="N723" t="n">
        <v>0</v>
      </c>
      <c r="O723" t="n">
        <v>0</v>
      </c>
      <c r="P723" t="n">
        <v>0</v>
      </c>
      <c r="Q723" t="n">
        <v>0</v>
      </c>
      <c r="R723" s="2" t="inlineStr"/>
    </row>
    <row r="724" ht="15" customHeight="1">
      <c r="A724" t="inlineStr">
        <is>
          <t>A 33429-2023</t>
        </is>
      </c>
      <c r="B724" s="1" t="n">
        <v>45128.94983796297</v>
      </c>
      <c r="C724" s="1" t="n">
        <v>46029</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35826-2025</t>
        </is>
      </c>
      <c r="B725" s="1" t="n">
        <v>45861.48997685185</v>
      </c>
      <c r="C725" s="1" t="n">
        <v>46029</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20576-2021</t>
        </is>
      </c>
      <c r="B726" s="1" t="n">
        <v>44316.3290162037</v>
      </c>
      <c r="C726" s="1" t="n">
        <v>46029</v>
      </c>
      <c r="D726" t="inlineStr">
        <is>
          <t>VÄSTERNORRLANDS LÄN</t>
        </is>
      </c>
      <c r="E726" t="inlineStr">
        <is>
          <t>ÅNGE</t>
        </is>
      </c>
      <c r="F726" t="inlineStr">
        <is>
          <t>Holmen skog AB</t>
        </is>
      </c>
      <c r="G726" t="n">
        <v>1.2</v>
      </c>
      <c r="H726" t="n">
        <v>0</v>
      </c>
      <c r="I726" t="n">
        <v>0</v>
      </c>
      <c r="J726" t="n">
        <v>0</v>
      </c>
      <c r="K726" t="n">
        <v>0</v>
      </c>
      <c r="L726" t="n">
        <v>0</v>
      </c>
      <c r="M726" t="n">
        <v>0</v>
      </c>
      <c r="N726" t="n">
        <v>0</v>
      </c>
      <c r="O726" t="n">
        <v>0</v>
      </c>
      <c r="P726" t="n">
        <v>0</v>
      </c>
      <c r="Q726" t="n">
        <v>0</v>
      </c>
      <c r="R726" s="2" t="inlineStr"/>
    </row>
    <row r="727" ht="15" customHeight="1">
      <c r="A727" t="inlineStr">
        <is>
          <t>A 35838-2025</t>
        </is>
      </c>
      <c r="B727" s="1" t="n">
        <v>45861.53829861111</v>
      </c>
      <c r="C727" s="1" t="n">
        <v>46029</v>
      </c>
      <c r="D727" t="inlineStr">
        <is>
          <t>VÄSTERNORRLANDS LÄN</t>
        </is>
      </c>
      <c r="E727" t="inlineStr">
        <is>
          <t>ÅNGE</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1235-2023</t>
        </is>
      </c>
      <c r="B728" s="1" t="n">
        <v>44935</v>
      </c>
      <c r="C728" s="1" t="n">
        <v>46029</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35827-2025</t>
        </is>
      </c>
      <c r="B729" s="1" t="n">
        <v>45861.49017361111</v>
      </c>
      <c r="C729" s="1" t="n">
        <v>46029</v>
      </c>
      <c r="D729" t="inlineStr">
        <is>
          <t>VÄSTERNORRLANDS LÄN</t>
        </is>
      </c>
      <c r="E729" t="inlineStr">
        <is>
          <t>ÅNGE</t>
        </is>
      </c>
      <c r="G729" t="n">
        <v>0.6</v>
      </c>
      <c r="H729" t="n">
        <v>0</v>
      </c>
      <c r="I729" t="n">
        <v>0</v>
      </c>
      <c r="J729" t="n">
        <v>0</v>
      </c>
      <c r="K729" t="n">
        <v>0</v>
      </c>
      <c r="L729" t="n">
        <v>0</v>
      </c>
      <c r="M729" t="n">
        <v>0</v>
      </c>
      <c r="N729" t="n">
        <v>0</v>
      </c>
      <c r="O729" t="n">
        <v>0</v>
      </c>
      <c r="P729" t="n">
        <v>0</v>
      </c>
      <c r="Q729" t="n">
        <v>0</v>
      </c>
      <c r="R729" s="2" t="inlineStr"/>
    </row>
    <row r="730" ht="15" customHeight="1">
      <c r="A730" t="inlineStr">
        <is>
          <t>A 43385-2025</t>
        </is>
      </c>
      <c r="B730" s="1" t="n">
        <v>45911.36508101852</v>
      </c>
      <c r="C730" s="1" t="n">
        <v>46029</v>
      </c>
      <c r="D730" t="inlineStr">
        <is>
          <t>VÄSTERNORRLANDS LÄN</t>
        </is>
      </c>
      <c r="E730" t="inlineStr">
        <is>
          <t>ÅNGE</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13501-2021</t>
        </is>
      </c>
      <c r="B731" s="1" t="n">
        <v>44273</v>
      </c>
      <c r="C731" s="1" t="n">
        <v>46029</v>
      </c>
      <c r="D731" t="inlineStr">
        <is>
          <t>VÄSTERNORRLANDS LÄN</t>
        </is>
      </c>
      <c r="E731" t="inlineStr">
        <is>
          <t>ÅNGE</t>
        </is>
      </c>
      <c r="G731" t="n">
        <v>0.4</v>
      </c>
      <c r="H731" t="n">
        <v>0</v>
      </c>
      <c r="I731" t="n">
        <v>0</v>
      </c>
      <c r="J731" t="n">
        <v>0</v>
      </c>
      <c r="K731" t="n">
        <v>0</v>
      </c>
      <c r="L731" t="n">
        <v>0</v>
      </c>
      <c r="M731" t="n">
        <v>0</v>
      </c>
      <c r="N731" t="n">
        <v>0</v>
      </c>
      <c r="O731" t="n">
        <v>0</v>
      </c>
      <c r="P731" t="n">
        <v>0</v>
      </c>
      <c r="Q731" t="n">
        <v>0</v>
      </c>
      <c r="R731" s="2" t="inlineStr"/>
    </row>
    <row r="732" ht="15" customHeight="1">
      <c r="A732" t="inlineStr">
        <is>
          <t>A 43707-2025</t>
        </is>
      </c>
      <c r="B732" s="1" t="n">
        <v>45912.40668981482</v>
      </c>
      <c r="C732" s="1" t="n">
        <v>46029</v>
      </c>
      <c r="D732" t="inlineStr">
        <is>
          <t>VÄSTERNORRLANDS LÄN</t>
        </is>
      </c>
      <c r="E732" t="inlineStr">
        <is>
          <t>ÅNGE</t>
        </is>
      </c>
      <c r="F732" t="inlineStr">
        <is>
          <t>SCA</t>
        </is>
      </c>
      <c r="G732" t="n">
        <v>12.5</v>
      </c>
      <c r="H732" t="n">
        <v>0</v>
      </c>
      <c r="I732" t="n">
        <v>0</v>
      </c>
      <c r="J732" t="n">
        <v>0</v>
      </c>
      <c r="K732" t="n">
        <v>0</v>
      </c>
      <c r="L732" t="n">
        <v>0</v>
      </c>
      <c r="M732" t="n">
        <v>0</v>
      </c>
      <c r="N732" t="n">
        <v>0</v>
      </c>
      <c r="O732" t="n">
        <v>0</v>
      </c>
      <c r="P732" t="n">
        <v>0</v>
      </c>
      <c r="Q732" t="n">
        <v>0</v>
      </c>
      <c r="R732" s="2" t="inlineStr"/>
      <c r="U732">
        <f>HYPERLINK("https://klasma.github.io/Logging_2260/knärot/A 43707-2025 karta knärot.png", "A 43707-2025")</f>
        <v/>
      </c>
      <c r="V732">
        <f>HYPERLINK("https://klasma.github.io/Logging_2260/klagomål/A 43707-2025 FSC-klagomål.docx", "A 43707-2025")</f>
        <v/>
      </c>
      <c r="W732">
        <f>HYPERLINK("https://klasma.github.io/Logging_2260/klagomålsmail/A 43707-2025 FSC-klagomål mail.docx", "A 43707-2025")</f>
        <v/>
      </c>
      <c r="X732">
        <f>HYPERLINK("https://klasma.github.io/Logging_2260/tillsyn/A 43707-2025 tillsynsbegäran.docx", "A 43707-2025")</f>
        <v/>
      </c>
      <c r="Y732">
        <f>HYPERLINK("https://klasma.github.io/Logging_2260/tillsynsmail/A 43707-2025 tillsynsbegäran mail.docx", "A 43707-2025")</f>
        <v/>
      </c>
    </row>
    <row r="733" ht="15" customHeight="1">
      <c r="A733" t="inlineStr">
        <is>
          <t>A 33302-2024</t>
        </is>
      </c>
      <c r="B733" s="1" t="n">
        <v>45518.96967592592</v>
      </c>
      <c r="C733" s="1" t="n">
        <v>46029</v>
      </c>
      <c r="D733" t="inlineStr">
        <is>
          <t>VÄSTERNORRLANDS LÄN</t>
        </is>
      </c>
      <c r="E733" t="inlineStr">
        <is>
          <t>ÅNGE</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30683-2024</t>
        </is>
      </c>
      <c r="B734" s="1" t="n">
        <v>45495</v>
      </c>
      <c r="C734" s="1" t="n">
        <v>46029</v>
      </c>
      <c r="D734" t="inlineStr">
        <is>
          <t>VÄSTERNORRLANDS LÄN</t>
        </is>
      </c>
      <c r="E734" t="inlineStr">
        <is>
          <t>ÅNGE</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7528-2023</t>
        </is>
      </c>
      <c r="B735" s="1" t="n">
        <v>44971.97662037037</v>
      </c>
      <c r="C735" s="1" t="n">
        <v>46029</v>
      </c>
      <c r="D735" t="inlineStr">
        <is>
          <t>VÄSTERNORRLANDS LÄN</t>
        </is>
      </c>
      <c r="E735" t="inlineStr">
        <is>
          <t>ÅNGE</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43415-2025</t>
        </is>
      </c>
      <c r="B736" s="1" t="n">
        <v>45911.40662037037</v>
      </c>
      <c r="C736" s="1" t="n">
        <v>46029</v>
      </c>
      <c r="D736" t="inlineStr">
        <is>
          <t>VÄSTERNORRLANDS LÄN</t>
        </is>
      </c>
      <c r="E736" t="inlineStr">
        <is>
          <t>ÅNGE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34851-2023</t>
        </is>
      </c>
      <c r="B737" s="1" t="n">
        <v>45141</v>
      </c>
      <c r="C737" s="1" t="n">
        <v>46029</v>
      </c>
      <c r="D737" t="inlineStr">
        <is>
          <t>VÄSTERNORRLANDS LÄN</t>
        </is>
      </c>
      <c r="E737" t="inlineStr">
        <is>
          <t>ÅNGE</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36205-2025</t>
        </is>
      </c>
      <c r="B738" s="1" t="n">
        <v>45867.44855324074</v>
      </c>
      <c r="C738" s="1" t="n">
        <v>46029</v>
      </c>
      <c r="D738" t="inlineStr">
        <is>
          <t>VÄSTERNORRLANDS LÄN</t>
        </is>
      </c>
      <c r="E738" t="inlineStr">
        <is>
          <t>ÅNGE</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36240-2025</t>
        </is>
      </c>
      <c r="B739" s="1" t="n">
        <v>45867.55298611111</v>
      </c>
      <c r="C739" s="1" t="n">
        <v>46029</v>
      </c>
      <c r="D739" t="inlineStr">
        <is>
          <t>VÄSTERNORRLANDS LÄN</t>
        </is>
      </c>
      <c r="E739" t="inlineStr">
        <is>
          <t>ÅNGE</t>
        </is>
      </c>
      <c r="G739" t="n">
        <v>0.5</v>
      </c>
      <c r="H739" t="n">
        <v>0</v>
      </c>
      <c r="I739" t="n">
        <v>0</v>
      </c>
      <c r="J739" t="n">
        <v>0</v>
      </c>
      <c r="K739" t="n">
        <v>0</v>
      </c>
      <c r="L739" t="n">
        <v>0</v>
      </c>
      <c r="M739" t="n">
        <v>0</v>
      </c>
      <c r="N739" t="n">
        <v>0</v>
      </c>
      <c r="O739" t="n">
        <v>0</v>
      </c>
      <c r="P739" t="n">
        <v>0</v>
      </c>
      <c r="Q739" t="n">
        <v>0</v>
      </c>
      <c r="R739" s="2" t="inlineStr"/>
    </row>
    <row r="740" ht="15" customHeight="1">
      <c r="A740" t="inlineStr">
        <is>
          <t>A 36210-2025</t>
        </is>
      </c>
      <c r="B740" s="1" t="n">
        <v>45867.46930555555</v>
      </c>
      <c r="C740" s="1" t="n">
        <v>46029</v>
      </c>
      <c r="D740" t="inlineStr">
        <is>
          <t>VÄSTERNORRLANDS LÄN</t>
        </is>
      </c>
      <c r="E740" t="inlineStr">
        <is>
          <t>ÅNGE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36236-2025</t>
        </is>
      </c>
      <c r="B741" s="1" t="n">
        <v>45867.55245370371</v>
      </c>
      <c r="C741" s="1" t="n">
        <v>46029</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36248-2025</t>
        </is>
      </c>
      <c r="B742" s="1" t="n">
        <v>45867.57326388889</v>
      </c>
      <c r="C742" s="1" t="n">
        <v>46029</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36237-2025</t>
        </is>
      </c>
      <c r="B743" s="1" t="n">
        <v>45867.55263888889</v>
      </c>
      <c r="C743" s="1" t="n">
        <v>46029</v>
      </c>
      <c r="D743" t="inlineStr">
        <is>
          <t>VÄSTERNORRLANDS LÄN</t>
        </is>
      </c>
      <c r="E743" t="inlineStr">
        <is>
          <t>ÅNGE</t>
        </is>
      </c>
      <c r="F743" t="inlineStr">
        <is>
          <t>SCA</t>
        </is>
      </c>
      <c r="G743" t="n">
        <v>4.8</v>
      </c>
      <c r="H743" t="n">
        <v>0</v>
      </c>
      <c r="I743" t="n">
        <v>0</v>
      </c>
      <c r="J743" t="n">
        <v>0</v>
      </c>
      <c r="K743" t="n">
        <v>0</v>
      </c>
      <c r="L743" t="n">
        <v>0</v>
      </c>
      <c r="M743" t="n">
        <v>0</v>
      </c>
      <c r="N743" t="n">
        <v>0</v>
      </c>
      <c r="O743" t="n">
        <v>0</v>
      </c>
      <c r="P743" t="n">
        <v>0</v>
      </c>
      <c r="Q743" t="n">
        <v>0</v>
      </c>
      <c r="R743" s="2" t="inlineStr"/>
    </row>
    <row r="744" ht="15" customHeight="1">
      <c r="A744" t="inlineStr">
        <is>
          <t>A 36193-2025</t>
        </is>
      </c>
      <c r="B744" s="1" t="n">
        <v>45867.42741898148</v>
      </c>
      <c r="C744" s="1" t="n">
        <v>46029</v>
      </c>
      <c r="D744" t="inlineStr">
        <is>
          <t>VÄSTERNORRLANDS LÄN</t>
        </is>
      </c>
      <c r="E744" t="inlineStr">
        <is>
          <t>ÅNGE</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36336-2025</t>
        </is>
      </c>
      <c r="B745" s="1" t="n">
        <v>45868.44751157407</v>
      </c>
      <c r="C745" s="1" t="n">
        <v>46029</v>
      </c>
      <c r="D745" t="inlineStr">
        <is>
          <t>VÄSTERNORRLANDS LÄN</t>
        </is>
      </c>
      <c r="E745" t="inlineStr">
        <is>
          <t>ÅNGE</t>
        </is>
      </c>
      <c r="G745" t="n">
        <v>7.3</v>
      </c>
      <c r="H745" t="n">
        <v>0</v>
      </c>
      <c r="I745" t="n">
        <v>0</v>
      </c>
      <c r="J745" t="n">
        <v>0</v>
      </c>
      <c r="K745" t="n">
        <v>0</v>
      </c>
      <c r="L745" t="n">
        <v>0</v>
      </c>
      <c r="M745" t="n">
        <v>0</v>
      </c>
      <c r="N745" t="n">
        <v>0</v>
      </c>
      <c r="O745" t="n">
        <v>0</v>
      </c>
      <c r="P745" t="n">
        <v>0</v>
      </c>
      <c r="Q745" t="n">
        <v>0</v>
      </c>
      <c r="R745" s="2" t="inlineStr"/>
    </row>
    <row r="746" ht="15" customHeight="1">
      <c r="A746" t="inlineStr">
        <is>
          <t>A 36457-2025</t>
        </is>
      </c>
      <c r="B746" s="1" t="n">
        <v>45869.44842592593</v>
      </c>
      <c r="C746" s="1" t="n">
        <v>46029</v>
      </c>
      <c r="D746" t="inlineStr">
        <is>
          <t>VÄSTERNORRLANDS LÄN</t>
        </is>
      </c>
      <c r="E746" t="inlineStr">
        <is>
          <t>ÅNGE</t>
        </is>
      </c>
      <c r="F746" t="inlineStr">
        <is>
          <t>SCA</t>
        </is>
      </c>
      <c r="G746" t="n">
        <v>6.3</v>
      </c>
      <c r="H746" t="n">
        <v>0</v>
      </c>
      <c r="I746" t="n">
        <v>0</v>
      </c>
      <c r="J746" t="n">
        <v>0</v>
      </c>
      <c r="K746" t="n">
        <v>0</v>
      </c>
      <c r="L746" t="n">
        <v>0</v>
      </c>
      <c r="M746" t="n">
        <v>0</v>
      </c>
      <c r="N746" t="n">
        <v>0</v>
      </c>
      <c r="O746" t="n">
        <v>0</v>
      </c>
      <c r="P746" t="n">
        <v>0</v>
      </c>
      <c r="Q746" t="n">
        <v>0</v>
      </c>
      <c r="R746" s="2" t="inlineStr"/>
    </row>
    <row r="747" ht="15" customHeight="1">
      <c r="A747" t="inlineStr">
        <is>
          <t>A 43389-2025</t>
        </is>
      </c>
      <c r="B747" s="1" t="n">
        <v>45911.36560185185</v>
      </c>
      <c r="C747" s="1" t="n">
        <v>46029</v>
      </c>
      <c r="D747" t="inlineStr">
        <is>
          <t>VÄSTERNORRLANDS LÄN</t>
        </is>
      </c>
      <c r="E747" t="inlineStr">
        <is>
          <t>ÅNGE</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43546-2025</t>
        </is>
      </c>
      <c r="B748" s="1" t="n">
        <v>45911.6153125</v>
      </c>
      <c r="C748" s="1" t="n">
        <v>46029</v>
      </c>
      <c r="D748" t="inlineStr">
        <is>
          <t>VÄSTERNORRLANDS LÄN</t>
        </is>
      </c>
      <c r="E748" t="inlineStr">
        <is>
          <t>ÅNGE</t>
        </is>
      </c>
      <c r="F748" t="inlineStr">
        <is>
          <t>SCA</t>
        </is>
      </c>
      <c r="G748" t="n">
        <v>9.6</v>
      </c>
      <c r="H748" t="n">
        <v>0</v>
      </c>
      <c r="I748" t="n">
        <v>0</v>
      </c>
      <c r="J748" t="n">
        <v>0</v>
      </c>
      <c r="K748" t="n">
        <v>0</v>
      </c>
      <c r="L748" t="n">
        <v>0</v>
      </c>
      <c r="M748" t="n">
        <v>0</v>
      </c>
      <c r="N748" t="n">
        <v>0</v>
      </c>
      <c r="O748" t="n">
        <v>0</v>
      </c>
      <c r="P748" t="n">
        <v>0</v>
      </c>
      <c r="Q748" t="n">
        <v>0</v>
      </c>
      <c r="R748" s="2" t="inlineStr"/>
    </row>
    <row r="749" ht="15" customHeight="1">
      <c r="A749" t="inlineStr">
        <is>
          <t>A 26018-2024</t>
        </is>
      </c>
      <c r="B749" s="1" t="n">
        <v>45467.95998842592</v>
      </c>
      <c r="C749" s="1" t="n">
        <v>46029</v>
      </c>
      <c r="D749" t="inlineStr">
        <is>
          <t>VÄSTERNORRLANDS LÄN</t>
        </is>
      </c>
      <c r="E749" t="inlineStr">
        <is>
          <t>ÅNGE</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26021-2024</t>
        </is>
      </c>
      <c r="B750" s="1" t="n">
        <v>45467</v>
      </c>
      <c r="C750" s="1" t="n">
        <v>46029</v>
      </c>
      <c r="D750" t="inlineStr">
        <is>
          <t>VÄSTERNORRLANDS LÄN</t>
        </is>
      </c>
      <c r="E750" t="inlineStr">
        <is>
          <t>ÅNGE</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36456-2025</t>
        </is>
      </c>
      <c r="B751" s="1" t="n">
        <v>45869.44827546296</v>
      </c>
      <c r="C751" s="1" t="n">
        <v>46029</v>
      </c>
      <c r="D751" t="inlineStr">
        <is>
          <t>VÄSTERNORRLANDS LÄN</t>
        </is>
      </c>
      <c r="E751" t="inlineStr">
        <is>
          <t>ÅNGE</t>
        </is>
      </c>
      <c r="F751" t="inlineStr">
        <is>
          <t>SCA</t>
        </is>
      </c>
      <c r="G751" t="n">
        <v>7.2</v>
      </c>
      <c r="H751" t="n">
        <v>0</v>
      </c>
      <c r="I751" t="n">
        <v>0</v>
      </c>
      <c r="J751" t="n">
        <v>0</v>
      </c>
      <c r="K751" t="n">
        <v>0</v>
      </c>
      <c r="L751" t="n">
        <v>0</v>
      </c>
      <c r="M751" t="n">
        <v>0</v>
      </c>
      <c r="N751" t="n">
        <v>0</v>
      </c>
      <c r="O751" t="n">
        <v>0</v>
      </c>
      <c r="P751" t="n">
        <v>0</v>
      </c>
      <c r="Q751" t="n">
        <v>0</v>
      </c>
      <c r="R751" s="2" t="inlineStr"/>
    </row>
    <row r="752" ht="15" customHeight="1">
      <c r="A752" t="inlineStr">
        <is>
          <t>A 36491-2025</t>
        </is>
      </c>
      <c r="B752" s="1" t="n">
        <v>45869.53173611111</v>
      </c>
      <c r="C752" s="1" t="n">
        <v>46029</v>
      </c>
      <c r="D752" t="inlineStr">
        <is>
          <t>VÄSTERNORRLANDS LÄN</t>
        </is>
      </c>
      <c r="E752" t="inlineStr">
        <is>
          <t>ÅNGE</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45932-2023</t>
        </is>
      </c>
      <c r="B753" s="1" t="n">
        <v>45195</v>
      </c>
      <c r="C753" s="1" t="n">
        <v>46029</v>
      </c>
      <c r="D753" t="inlineStr">
        <is>
          <t>VÄSTERNORRLANDS LÄN</t>
        </is>
      </c>
      <c r="E753" t="inlineStr">
        <is>
          <t>ÅNGE</t>
        </is>
      </c>
      <c r="F753" t="inlineStr">
        <is>
          <t>SCA</t>
        </is>
      </c>
      <c r="G753" t="n">
        <v>0.1</v>
      </c>
      <c r="H753" t="n">
        <v>0</v>
      </c>
      <c r="I753" t="n">
        <v>0</v>
      </c>
      <c r="J753" t="n">
        <v>0</v>
      </c>
      <c r="K753" t="n">
        <v>0</v>
      </c>
      <c r="L753" t="n">
        <v>0</v>
      </c>
      <c r="M753" t="n">
        <v>0</v>
      </c>
      <c r="N753" t="n">
        <v>0</v>
      </c>
      <c r="O753" t="n">
        <v>0</v>
      </c>
      <c r="P753" t="n">
        <v>0</v>
      </c>
      <c r="Q753" t="n">
        <v>0</v>
      </c>
      <c r="R753" s="2" t="inlineStr"/>
    </row>
    <row r="754" ht="15" customHeight="1">
      <c r="A754" t="inlineStr">
        <is>
          <t>A 43386-2025</t>
        </is>
      </c>
      <c r="B754" s="1" t="n">
        <v>45911.36520833334</v>
      </c>
      <c r="C754" s="1" t="n">
        <v>46029</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36873-2025</t>
        </is>
      </c>
      <c r="B755" s="1" t="n">
        <v>45874.42935185185</v>
      </c>
      <c r="C755" s="1" t="n">
        <v>46029</v>
      </c>
      <c r="D755" t="inlineStr">
        <is>
          <t>VÄSTERNORRLANDS LÄN</t>
        </is>
      </c>
      <c r="E755" t="inlineStr">
        <is>
          <t>ÅNGE</t>
        </is>
      </c>
      <c r="F755" t="inlineStr">
        <is>
          <t>SCA</t>
        </is>
      </c>
      <c r="G755" t="n">
        <v>16.9</v>
      </c>
      <c r="H755" t="n">
        <v>0</v>
      </c>
      <c r="I755" t="n">
        <v>0</v>
      </c>
      <c r="J755" t="n">
        <v>0</v>
      </c>
      <c r="K755" t="n">
        <v>0</v>
      </c>
      <c r="L755" t="n">
        <v>0</v>
      </c>
      <c r="M755" t="n">
        <v>0</v>
      </c>
      <c r="N755" t="n">
        <v>0</v>
      </c>
      <c r="O755" t="n">
        <v>0</v>
      </c>
      <c r="P755" t="n">
        <v>0</v>
      </c>
      <c r="Q755" t="n">
        <v>0</v>
      </c>
      <c r="R755" s="2" t="inlineStr"/>
    </row>
    <row r="756" ht="15" customHeight="1">
      <c r="A756" t="inlineStr">
        <is>
          <t>A 6-2025</t>
        </is>
      </c>
      <c r="B756" s="1" t="n">
        <v>45658.50759259259</v>
      </c>
      <c r="C756" s="1" t="n">
        <v>46029</v>
      </c>
      <c r="D756" t="inlineStr">
        <is>
          <t>VÄSTERNORRLANDS LÄN</t>
        </is>
      </c>
      <c r="E756" t="inlineStr">
        <is>
          <t>ÅNGE</t>
        </is>
      </c>
      <c r="G756" t="n">
        <v>4.3</v>
      </c>
      <c r="H756" t="n">
        <v>0</v>
      </c>
      <c r="I756" t="n">
        <v>0</v>
      </c>
      <c r="J756" t="n">
        <v>0</v>
      </c>
      <c r="K756" t="n">
        <v>0</v>
      </c>
      <c r="L756" t="n">
        <v>0</v>
      </c>
      <c r="M756" t="n">
        <v>0</v>
      </c>
      <c r="N756" t="n">
        <v>0</v>
      </c>
      <c r="O756" t="n">
        <v>0</v>
      </c>
      <c r="P756" t="n">
        <v>0</v>
      </c>
      <c r="Q756" t="n">
        <v>0</v>
      </c>
      <c r="R756" s="2" t="inlineStr"/>
    </row>
    <row r="757" ht="15" customHeight="1">
      <c r="A757" t="inlineStr">
        <is>
          <t>A 39764-2024</t>
        </is>
      </c>
      <c r="B757" s="1" t="n">
        <v>45552.7190162037</v>
      </c>
      <c r="C757" s="1" t="n">
        <v>46029</v>
      </c>
      <c r="D757" t="inlineStr">
        <is>
          <t>VÄSTERNORRLANDS LÄN</t>
        </is>
      </c>
      <c r="E757" t="inlineStr">
        <is>
          <t>ÅNGE</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53988-2024</t>
        </is>
      </c>
      <c r="B758" s="1" t="n">
        <v>45616.34408564815</v>
      </c>
      <c r="C758" s="1" t="n">
        <v>46029</v>
      </c>
      <c r="D758" t="inlineStr">
        <is>
          <t>VÄSTERNORRLANDS LÄN</t>
        </is>
      </c>
      <c r="E758" t="inlineStr">
        <is>
          <t>ÅNGE</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54002-2024</t>
        </is>
      </c>
      <c r="B759" s="1" t="n">
        <v>45616.36491898148</v>
      </c>
      <c r="C759" s="1" t="n">
        <v>46029</v>
      </c>
      <c r="D759" t="inlineStr">
        <is>
          <t>VÄSTERNORRLANDS LÄN</t>
        </is>
      </c>
      <c r="E759" t="inlineStr">
        <is>
          <t>ÅNGE</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51054-2024</t>
        </is>
      </c>
      <c r="B760" s="1" t="n">
        <v>45603</v>
      </c>
      <c r="C760" s="1" t="n">
        <v>46029</v>
      </c>
      <c r="D760" t="inlineStr">
        <is>
          <t>VÄSTERNORRLANDS LÄN</t>
        </is>
      </c>
      <c r="E760" t="inlineStr">
        <is>
          <t>ÅNGE</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48697-2024</t>
        </is>
      </c>
      <c r="B761" s="1" t="n">
        <v>45593.51136574074</v>
      </c>
      <c r="C761" s="1" t="n">
        <v>46029</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36740-2025</t>
        </is>
      </c>
      <c r="B762" s="1" t="n">
        <v>45873.53237268519</v>
      </c>
      <c r="C762" s="1" t="n">
        <v>46029</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36249-2025</t>
        </is>
      </c>
      <c r="B763" s="1" t="n">
        <v>45867</v>
      </c>
      <c r="C763" s="1" t="n">
        <v>46029</v>
      </c>
      <c r="D763" t="inlineStr">
        <is>
          <t>VÄSTERNORRLANDS LÄN</t>
        </is>
      </c>
      <c r="E763" t="inlineStr">
        <is>
          <t>ÅNGE</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11764-2024</t>
        </is>
      </c>
      <c r="B764" s="1" t="n">
        <v>45373.94837962963</v>
      </c>
      <c r="C764" s="1" t="n">
        <v>46029</v>
      </c>
      <c r="D764" t="inlineStr">
        <is>
          <t>VÄSTERNORRLANDS LÄN</t>
        </is>
      </c>
      <c r="E764" t="inlineStr">
        <is>
          <t>ÅNGE</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36723-2025</t>
        </is>
      </c>
      <c r="B765" s="1" t="n">
        <v>45873.47770833333</v>
      </c>
      <c r="C765" s="1" t="n">
        <v>46029</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36674-2025</t>
        </is>
      </c>
      <c r="B766" s="1" t="n">
        <v>45873.3930787037</v>
      </c>
      <c r="C766" s="1" t="n">
        <v>46029</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58613-2023</t>
        </is>
      </c>
      <c r="B767" s="1" t="n">
        <v>45251.50709490741</v>
      </c>
      <c r="C767" s="1" t="n">
        <v>46029</v>
      </c>
      <c r="D767" t="inlineStr">
        <is>
          <t>VÄSTERNORRLANDS LÄN</t>
        </is>
      </c>
      <c r="E767" t="inlineStr">
        <is>
          <t>ÅNGE</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37045-2025</t>
        </is>
      </c>
      <c r="B768" s="1" t="n">
        <v>45875.34451388889</v>
      </c>
      <c r="C768" s="1" t="n">
        <v>46029</v>
      </c>
      <c r="D768" t="inlineStr">
        <is>
          <t>VÄSTERNORRLANDS LÄN</t>
        </is>
      </c>
      <c r="E768" t="inlineStr">
        <is>
          <t>ÅNGE</t>
        </is>
      </c>
      <c r="F768" t="inlineStr">
        <is>
          <t>SCA</t>
        </is>
      </c>
      <c r="G768" t="n">
        <v>1.9</v>
      </c>
      <c r="H768" t="n">
        <v>0</v>
      </c>
      <c r="I768" t="n">
        <v>0</v>
      </c>
      <c r="J768" t="n">
        <v>0</v>
      </c>
      <c r="K768" t="n">
        <v>0</v>
      </c>
      <c r="L768" t="n">
        <v>0</v>
      </c>
      <c r="M768" t="n">
        <v>0</v>
      </c>
      <c r="N768" t="n">
        <v>0</v>
      </c>
      <c r="O768" t="n">
        <v>0</v>
      </c>
      <c r="P768" t="n">
        <v>0</v>
      </c>
      <c r="Q768" t="n">
        <v>0</v>
      </c>
      <c r="R768" s="2" t="inlineStr"/>
    </row>
    <row r="769" ht="15" customHeight="1">
      <c r="A769" t="inlineStr">
        <is>
          <t>A 37047-2025</t>
        </is>
      </c>
      <c r="B769" s="1" t="n">
        <v>45875.34489583333</v>
      </c>
      <c r="C769" s="1" t="n">
        <v>46029</v>
      </c>
      <c r="D769" t="inlineStr">
        <is>
          <t>VÄSTERNORRLANDS LÄN</t>
        </is>
      </c>
      <c r="E769" t="inlineStr">
        <is>
          <t>ÅNGE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54059-2024</t>
        </is>
      </c>
      <c r="B770" s="1" t="n">
        <v>45616.46943287037</v>
      </c>
      <c r="C770" s="1" t="n">
        <v>46029</v>
      </c>
      <c r="D770" t="inlineStr">
        <is>
          <t>VÄSTERNORRLANDS LÄN</t>
        </is>
      </c>
      <c r="E770" t="inlineStr">
        <is>
          <t>ÅNGE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37275-2025</t>
        </is>
      </c>
      <c r="B771" s="1" t="n">
        <v>45876.49003472222</v>
      </c>
      <c r="C771" s="1" t="n">
        <v>46029</v>
      </c>
      <c r="D771" t="inlineStr">
        <is>
          <t>VÄSTERNORRLANDS LÄN</t>
        </is>
      </c>
      <c r="E771" t="inlineStr">
        <is>
          <t>ÅNGE</t>
        </is>
      </c>
      <c r="G771" t="n">
        <v>3.5</v>
      </c>
      <c r="H771" t="n">
        <v>0</v>
      </c>
      <c r="I771" t="n">
        <v>0</v>
      </c>
      <c r="J771" t="n">
        <v>0</v>
      </c>
      <c r="K771" t="n">
        <v>0</v>
      </c>
      <c r="L771" t="n">
        <v>0</v>
      </c>
      <c r="M771" t="n">
        <v>0</v>
      </c>
      <c r="N771" t="n">
        <v>0</v>
      </c>
      <c r="O771" t="n">
        <v>0</v>
      </c>
      <c r="P771" t="n">
        <v>0</v>
      </c>
      <c r="Q771" t="n">
        <v>0</v>
      </c>
      <c r="R771" s="2" t="inlineStr"/>
    </row>
    <row r="772" ht="15" customHeight="1">
      <c r="A772" t="inlineStr">
        <is>
          <t>A 37303-2025</t>
        </is>
      </c>
      <c r="B772" s="1" t="n">
        <v>45876.59445601852</v>
      </c>
      <c r="C772" s="1" t="n">
        <v>46029</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51059-2024</t>
        </is>
      </c>
      <c r="B773" s="1" t="n">
        <v>45603</v>
      </c>
      <c r="C773" s="1" t="n">
        <v>46029</v>
      </c>
      <c r="D773" t="inlineStr">
        <is>
          <t>VÄSTERNORRLANDS LÄN</t>
        </is>
      </c>
      <c r="E773" t="inlineStr">
        <is>
          <t>ÅNGE</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37233-2025</t>
        </is>
      </c>
      <c r="B774" s="1" t="n">
        <v>45876.34474537037</v>
      </c>
      <c r="C774" s="1" t="n">
        <v>46029</v>
      </c>
      <c r="D774" t="inlineStr">
        <is>
          <t>VÄSTERNORRLANDS LÄN</t>
        </is>
      </c>
      <c r="E774" t="inlineStr">
        <is>
          <t>ÅNGE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37108-2025</t>
        </is>
      </c>
      <c r="B775" s="1" t="n">
        <v>45875</v>
      </c>
      <c r="C775" s="1" t="n">
        <v>46029</v>
      </c>
      <c r="D775" t="inlineStr">
        <is>
          <t>VÄSTERNORRLANDS LÄN</t>
        </is>
      </c>
      <c r="E775" t="inlineStr">
        <is>
          <t>ÅNGE</t>
        </is>
      </c>
      <c r="G775" t="n">
        <v>4</v>
      </c>
      <c r="H775" t="n">
        <v>0</v>
      </c>
      <c r="I775" t="n">
        <v>0</v>
      </c>
      <c r="J775" t="n">
        <v>0</v>
      </c>
      <c r="K775" t="n">
        <v>0</v>
      </c>
      <c r="L775" t="n">
        <v>0</v>
      </c>
      <c r="M775" t="n">
        <v>0</v>
      </c>
      <c r="N775" t="n">
        <v>0</v>
      </c>
      <c r="O775" t="n">
        <v>0</v>
      </c>
      <c r="P775" t="n">
        <v>0</v>
      </c>
      <c r="Q775" t="n">
        <v>0</v>
      </c>
      <c r="R775" s="2" t="inlineStr"/>
    </row>
    <row r="776" ht="15" customHeight="1">
      <c r="A776" t="inlineStr">
        <is>
          <t>A 37177-2025</t>
        </is>
      </c>
      <c r="B776" s="1" t="n">
        <v>45875.61539351852</v>
      </c>
      <c r="C776" s="1" t="n">
        <v>46029</v>
      </c>
      <c r="D776" t="inlineStr">
        <is>
          <t>VÄSTERNORRLANDS LÄN</t>
        </is>
      </c>
      <c r="E776" t="inlineStr">
        <is>
          <t>ÅNGE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44158-2024</t>
        </is>
      </c>
      <c r="B777" s="1" t="n">
        <v>45572</v>
      </c>
      <c r="C777" s="1" t="n">
        <v>46029</v>
      </c>
      <c r="D777" t="inlineStr">
        <is>
          <t>VÄSTERNORRLANDS LÄN</t>
        </is>
      </c>
      <c r="E777" t="inlineStr">
        <is>
          <t>ÅNGE</t>
        </is>
      </c>
      <c r="G777" t="n">
        <v>2.6</v>
      </c>
      <c r="H777" t="n">
        <v>0</v>
      </c>
      <c r="I777" t="n">
        <v>0</v>
      </c>
      <c r="J777" t="n">
        <v>0</v>
      </c>
      <c r="K777" t="n">
        <v>0</v>
      </c>
      <c r="L777" t="n">
        <v>0</v>
      </c>
      <c r="M777" t="n">
        <v>0</v>
      </c>
      <c r="N777" t="n">
        <v>0</v>
      </c>
      <c r="O777" t="n">
        <v>0</v>
      </c>
      <c r="P777" t="n">
        <v>0</v>
      </c>
      <c r="Q777" t="n">
        <v>0</v>
      </c>
      <c r="R777" s="2" t="inlineStr"/>
    </row>
    <row r="778" ht="15" customHeight="1">
      <c r="A778" t="inlineStr">
        <is>
          <t>A 2299-2025</t>
        </is>
      </c>
      <c r="B778" s="1" t="n">
        <v>45673.59516203704</v>
      </c>
      <c r="C778" s="1" t="n">
        <v>46029</v>
      </c>
      <c r="D778" t="inlineStr">
        <is>
          <t>VÄSTERNORRLANDS LÄN</t>
        </is>
      </c>
      <c r="E778" t="inlineStr">
        <is>
          <t>ÅNGE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37371-2025</t>
        </is>
      </c>
      <c r="B779" s="1" t="n">
        <v>45877.34472222222</v>
      </c>
      <c r="C779" s="1" t="n">
        <v>46029</v>
      </c>
      <c r="D779" t="inlineStr">
        <is>
          <t>VÄSTERNORRLANDS LÄN</t>
        </is>
      </c>
      <c r="E779" t="inlineStr">
        <is>
          <t>ÅNGE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53856-2024</t>
        </is>
      </c>
      <c r="B780" s="1" t="n">
        <v>45615</v>
      </c>
      <c r="C780" s="1" t="n">
        <v>46029</v>
      </c>
      <c r="D780" t="inlineStr">
        <is>
          <t>VÄSTERNORRLANDS LÄN</t>
        </is>
      </c>
      <c r="E780" t="inlineStr">
        <is>
          <t>ÅNGE</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44639-2023</t>
        </is>
      </c>
      <c r="B781" s="1" t="n">
        <v>45184</v>
      </c>
      <c r="C781" s="1" t="n">
        <v>46029</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37384-2025</t>
        </is>
      </c>
      <c r="B782" s="1" t="n">
        <v>45877.3859837963</v>
      </c>
      <c r="C782" s="1" t="n">
        <v>46029</v>
      </c>
      <c r="D782" t="inlineStr">
        <is>
          <t>VÄSTERNORRLANDS LÄN</t>
        </is>
      </c>
      <c r="E782" t="inlineStr">
        <is>
          <t>ÅNGE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37663-2025</t>
        </is>
      </c>
      <c r="B783" s="1" t="n">
        <v>45880.51079861111</v>
      </c>
      <c r="C783" s="1" t="n">
        <v>46029</v>
      </c>
      <c r="D783" t="inlineStr">
        <is>
          <t>VÄSTERNORRLANDS LÄN</t>
        </is>
      </c>
      <c r="E783" t="inlineStr">
        <is>
          <t>ÅNGE</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44165-2025</t>
        </is>
      </c>
      <c r="B784" s="1" t="n">
        <v>45915.59840277778</v>
      </c>
      <c r="C784" s="1" t="n">
        <v>46029</v>
      </c>
      <c r="D784" t="inlineStr">
        <is>
          <t>VÄSTERNORRLANDS LÄN</t>
        </is>
      </c>
      <c r="E784" t="inlineStr">
        <is>
          <t>ÅNGE</t>
        </is>
      </c>
      <c r="G784" t="n">
        <v>0.7</v>
      </c>
      <c r="H784" t="n">
        <v>0</v>
      </c>
      <c r="I784" t="n">
        <v>0</v>
      </c>
      <c r="J784" t="n">
        <v>0</v>
      </c>
      <c r="K784" t="n">
        <v>0</v>
      </c>
      <c r="L784" t="n">
        <v>0</v>
      </c>
      <c r="M784" t="n">
        <v>0</v>
      </c>
      <c r="N784" t="n">
        <v>0</v>
      </c>
      <c r="O784" t="n">
        <v>0</v>
      </c>
      <c r="P784" t="n">
        <v>0</v>
      </c>
      <c r="Q784" t="n">
        <v>0</v>
      </c>
      <c r="R784" s="2" t="inlineStr"/>
    </row>
    <row r="785" ht="15" customHeight="1">
      <c r="A785" t="inlineStr">
        <is>
          <t>A 17009-2023</t>
        </is>
      </c>
      <c r="B785" s="1" t="n">
        <v>45033.9455787037</v>
      </c>
      <c r="C785" s="1" t="n">
        <v>46029</v>
      </c>
      <c r="D785" t="inlineStr">
        <is>
          <t>VÄSTERNORRLANDS LÄN</t>
        </is>
      </c>
      <c r="E785" t="inlineStr">
        <is>
          <t>ÅNGE</t>
        </is>
      </c>
      <c r="F785" t="inlineStr">
        <is>
          <t>SCA</t>
        </is>
      </c>
      <c r="G785" t="n">
        <v>5.8</v>
      </c>
      <c r="H785" t="n">
        <v>0</v>
      </c>
      <c r="I785" t="n">
        <v>0</v>
      </c>
      <c r="J785" t="n">
        <v>0</v>
      </c>
      <c r="K785" t="n">
        <v>0</v>
      </c>
      <c r="L785" t="n">
        <v>0</v>
      </c>
      <c r="M785" t="n">
        <v>0</v>
      </c>
      <c r="N785" t="n">
        <v>0</v>
      </c>
      <c r="O785" t="n">
        <v>0</v>
      </c>
      <c r="P785" t="n">
        <v>0</v>
      </c>
      <c r="Q785" t="n">
        <v>0</v>
      </c>
      <c r="R785" s="2" t="inlineStr"/>
    </row>
    <row r="786" ht="15" customHeight="1">
      <c r="A786" t="inlineStr">
        <is>
          <t>A 37723-2025</t>
        </is>
      </c>
      <c r="B786" s="1" t="n">
        <v>45880.61528935185</v>
      </c>
      <c r="C786" s="1" t="n">
        <v>46029</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60578-2024</t>
        </is>
      </c>
      <c r="B787" s="1" t="n">
        <v>45644.34434027778</v>
      </c>
      <c r="C787" s="1" t="n">
        <v>46029</v>
      </c>
      <c r="D787" t="inlineStr">
        <is>
          <t>VÄSTERNORRLANDS LÄN</t>
        </is>
      </c>
      <c r="E787" t="inlineStr">
        <is>
          <t>ÅNGE</t>
        </is>
      </c>
      <c r="F787" t="inlineStr">
        <is>
          <t>SCA</t>
        </is>
      </c>
      <c r="G787" t="n">
        <v>5.8</v>
      </c>
      <c r="H787" t="n">
        <v>0</v>
      </c>
      <c r="I787" t="n">
        <v>0</v>
      </c>
      <c r="J787" t="n">
        <v>0</v>
      </c>
      <c r="K787" t="n">
        <v>0</v>
      </c>
      <c r="L787" t="n">
        <v>0</v>
      </c>
      <c r="M787" t="n">
        <v>0</v>
      </c>
      <c r="N787" t="n">
        <v>0</v>
      </c>
      <c r="O787" t="n">
        <v>0</v>
      </c>
      <c r="P787" t="n">
        <v>0</v>
      </c>
      <c r="Q787" t="n">
        <v>0</v>
      </c>
      <c r="R787" s="2" t="inlineStr"/>
    </row>
    <row r="788" ht="15" customHeight="1">
      <c r="A788" t="inlineStr">
        <is>
          <t>A 37383-2025</t>
        </is>
      </c>
      <c r="B788" s="1" t="n">
        <v>45877.38581018519</v>
      </c>
      <c r="C788" s="1" t="n">
        <v>46029</v>
      </c>
      <c r="D788" t="inlineStr">
        <is>
          <t>VÄSTERNORRLANDS LÄN</t>
        </is>
      </c>
      <c r="E788" t="inlineStr">
        <is>
          <t>ÅNGE</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37719-2025</t>
        </is>
      </c>
      <c r="B789" s="1" t="n">
        <v>45880.61505787037</v>
      </c>
      <c r="C789" s="1" t="n">
        <v>46029</v>
      </c>
      <c r="D789" t="inlineStr">
        <is>
          <t>VÄSTERNORRLANDS LÄN</t>
        </is>
      </c>
      <c r="E789" t="inlineStr">
        <is>
          <t>ÅNGE</t>
        </is>
      </c>
      <c r="G789" t="n">
        <v>1.7</v>
      </c>
      <c r="H789" t="n">
        <v>0</v>
      </c>
      <c r="I789" t="n">
        <v>0</v>
      </c>
      <c r="J789" t="n">
        <v>0</v>
      </c>
      <c r="K789" t="n">
        <v>0</v>
      </c>
      <c r="L789" t="n">
        <v>0</v>
      </c>
      <c r="M789" t="n">
        <v>0</v>
      </c>
      <c r="N789" t="n">
        <v>0</v>
      </c>
      <c r="O789" t="n">
        <v>0</v>
      </c>
      <c r="P789" t="n">
        <v>0</v>
      </c>
      <c r="Q789" t="n">
        <v>0</v>
      </c>
      <c r="R789" s="2" t="inlineStr"/>
    </row>
    <row r="790" ht="15" customHeight="1">
      <c r="A790" t="inlineStr">
        <is>
          <t>A 24977-2021</t>
        </is>
      </c>
      <c r="B790" s="1" t="n">
        <v>44341.51386574074</v>
      </c>
      <c r="C790" s="1" t="n">
        <v>46029</v>
      </c>
      <c r="D790" t="inlineStr">
        <is>
          <t>VÄSTERNORRLANDS LÄN</t>
        </is>
      </c>
      <c r="E790" t="inlineStr">
        <is>
          <t>ÅNGE</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25034-2023</t>
        </is>
      </c>
      <c r="B791" s="1" t="n">
        <v>45085</v>
      </c>
      <c r="C791" s="1" t="n">
        <v>46029</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20110-2023</t>
        </is>
      </c>
      <c r="B792" s="1" t="n">
        <v>45051</v>
      </c>
      <c r="C792" s="1" t="n">
        <v>46029</v>
      </c>
      <c r="D792" t="inlineStr">
        <is>
          <t>VÄSTERNORRLANDS LÄN</t>
        </is>
      </c>
      <c r="E792" t="inlineStr">
        <is>
          <t>ÅNGE</t>
        </is>
      </c>
      <c r="G792" t="n">
        <v>2.5</v>
      </c>
      <c r="H792" t="n">
        <v>0</v>
      </c>
      <c r="I792" t="n">
        <v>0</v>
      </c>
      <c r="J792" t="n">
        <v>0</v>
      </c>
      <c r="K792" t="n">
        <v>0</v>
      </c>
      <c r="L792" t="n">
        <v>0</v>
      </c>
      <c r="M792" t="n">
        <v>0</v>
      </c>
      <c r="N792" t="n">
        <v>0</v>
      </c>
      <c r="O792" t="n">
        <v>0</v>
      </c>
      <c r="P792" t="n">
        <v>0</v>
      </c>
      <c r="Q792" t="n">
        <v>0</v>
      </c>
      <c r="R792" s="2" t="inlineStr"/>
    </row>
    <row r="793" ht="15" customHeight="1">
      <c r="A793" t="inlineStr">
        <is>
          <t>A 34726-2024</t>
        </is>
      </c>
      <c r="B793" s="1" t="n">
        <v>45526.5733912037</v>
      </c>
      <c r="C793" s="1" t="n">
        <v>46029</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22597-2021</t>
        </is>
      </c>
      <c r="B794" s="1" t="n">
        <v>44326</v>
      </c>
      <c r="C794" s="1" t="n">
        <v>46029</v>
      </c>
      <c r="D794" t="inlineStr">
        <is>
          <t>VÄSTERNORRLANDS LÄN</t>
        </is>
      </c>
      <c r="E794" t="inlineStr">
        <is>
          <t>ÅNGE</t>
        </is>
      </c>
      <c r="G794" t="n">
        <v>0.9</v>
      </c>
      <c r="H794" t="n">
        <v>0</v>
      </c>
      <c r="I794" t="n">
        <v>0</v>
      </c>
      <c r="J794" t="n">
        <v>0</v>
      </c>
      <c r="K794" t="n">
        <v>0</v>
      </c>
      <c r="L794" t="n">
        <v>0</v>
      </c>
      <c r="M794" t="n">
        <v>0</v>
      </c>
      <c r="N794" t="n">
        <v>0</v>
      </c>
      <c r="O794" t="n">
        <v>0</v>
      </c>
      <c r="P794" t="n">
        <v>0</v>
      </c>
      <c r="Q794" t="n">
        <v>0</v>
      </c>
      <c r="R794" s="2" t="inlineStr"/>
    </row>
    <row r="795" ht="15" customHeight="1">
      <c r="A795" t="inlineStr">
        <is>
          <t>A 10282-2025</t>
        </is>
      </c>
      <c r="B795" s="1" t="n">
        <v>45720.40659722222</v>
      </c>
      <c r="C795" s="1" t="n">
        <v>46029</v>
      </c>
      <c r="D795" t="inlineStr">
        <is>
          <t>VÄSTERNORRLANDS LÄN</t>
        </is>
      </c>
      <c r="E795" t="inlineStr">
        <is>
          <t>ÅNGE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38078-2025</t>
        </is>
      </c>
      <c r="B796" s="1" t="n">
        <v>45882.46918981482</v>
      </c>
      <c r="C796" s="1" t="n">
        <v>46029</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44919-2025</t>
        </is>
      </c>
      <c r="B797" s="1" t="n">
        <v>45918.55246527777</v>
      </c>
      <c r="C797" s="1" t="n">
        <v>46029</v>
      </c>
      <c r="D797" t="inlineStr">
        <is>
          <t>VÄSTERNORRLANDS LÄN</t>
        </is>
      </c>
      <c r="E797" t="inlineStr">
        <is>
          <t>ÅNGE</t>
        </is>
      </c>
      <c r="F797" t="inlineStr">
        <is>
          <t>SCA</t>
        </is>
      </c>
      <c r="G797" t="n">
        <v>3.2</v>
      </c>
      <c r="H797" t="n">
        <v>0</v>
      </c>
      <c r="I797" t="n">
        <v>0</v>
      </c>
      <c r="J797" t="n">
        <v>0</v>
      </c>
      <c r="K797" t="n">
        <v>0</v>
      </c>
      <c r="L797" t="n">
        <v>0</v>
      </c>
      <c r="M797" t="n">
        <v>0</v>
      </c>
      <c r="N797" t="n">
        <v>0</v>
      </c>
      <c r="O797" t="n">
        <v>0</v>
      </c>
      <c r="P797" t="n">
        <v>0</v>
      </c>
      <c r="Q797" t="n">
        <v>0</v>
      </c>
      <c r="R797" s="2" t="inlineStr"/>
    </row>
    <row r="798" ht="15" customHeight="1">
      <c r="A798" t="inlineStr">
        <is>
          <t>A 44935-2025</t>
        </is>
      </c>
      <c r="B798" s="1" t="n">
        <v>45918.57392361111</v>
      </c>
      <c r="C798" s="1" t="n">
        <v>46029</v>
      </c>
      <c r="D798" t="inlineStr">
        <is>
          <t>VÄSTERNORRLANDS LÄN</t>
        </is>
      </c>
      <c r="E798" t="inlineStr">
        <is>
          <t>ÅNGE</t>
        </is>
      </c>
      <c r="F798" t="inlineStr">
        <is>
          <t>SCA</t>
        </is>
      </c>
      <c r="G798" t="n">
        <v>6.8</v>
      </c>
      <c r="H798" t="n">
        <v>0</v>
      </c>
      <c r="I798" t="n">
        <v>0</v>
      </c>
      <c r="J798" t="n">
        <v>0</v>
      </c>
      <c r="K798" t="n">
        <v>0</v>
      </c>
      <c r="L798" t="n">
        <v>0</v>
      </c>
      <c r="M798" t="n">
        <v>0</v>
      </c>
      <c r="N798" t="n">
        <v>0</v>
      </c>
      <c r="O798" t="n">
        <v>0</v>
      </c>
      <c r="P798" t="n">
        <v>0</v>
      </c>
      <c r="Q798" t="n">
        <v>0</v>
      </c>
      <c r="R798" s="2" t="inlineStr"/>
    </row>
    <row r="799" ht="15" customHeight="1">
      <c r="A799" t="inlineStr">
        <is>
          <t>A 37919-2025</t>
        </is>
      </c>
      <c r="B799" s="1" t="n">
        <v>45881.57478009259</v>
      </c>
      <c r="C799" s="1" t="n">
        <v>46029</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37802-2025</t>
        </is>
      </c>
      <c r="B800" s="1" t="n">
        <v>45881.34447916667</v>
      </c>
      <c r="C800" s="1" t="n">
        <v>46029</v>
      </c>
      <c r="D800" t="inlineStr">
        <is>
          <t>VÄSTERNORRLANDS LÄN</t>
        </is>
      </c>
      <c r="E800" t="inlineStr">
        <is>
          <t>ÅNGE</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137-2025</t>
        </is>
      </c>
      <c r="B801" s="1" t="n">
        <v>45659.57684027778</v>
      </c>
      <c r="C801" s="1" t="n">
        <v>46029</v>
      </c>
      <c r="D801" t="inlineStr">
        <is>
          <t>VÄSTERNORRLANDS LÄN</t>
        </is>
      </c>
      <c r="E801" t="inlineStr">
        <is>
          <t>ÅNGE</t>
        </is>
      </c>
      <c r="G801" t="n">
        <v>0.2</v>
      </c>
      <c r="H801" t="n">
        <v>0</v>
      </c>
      <c r="I801" t="n">
        <v>0</v>
      </c>
      <c r="J801" t="n">
        <v>0</v>
      </c>
      <c r="K801" t="n">
        <v>0</v>
      </c>
      <c r="L801" t="n">
        <v>0</v>
      </c>
      <c r="M801" t="n">
        <v>0</v>
      </c>
      <c r="N801" t="n">
        <v>0</v>
      </c>
      <c r="O801" t="n">
        <v>0</v>
      </c>
      <c r="P801" t="n">
        <v>0</v>
      </c>
      <c r="Q801" t="n">
        <v>0</v>
      </c>
      <c r="R801" s="2" t="inlineStr"/>
    </row>
    <row r="802" ht="15" customHeight="1">
      <c r="A802" t="inlineStr">
        <is>
          <t>A 10071-2023</t>
        </is>
      </c>
      <c r="B802" s="1" t="n">
        <v>44985.92418981482</v>
      </c>
      <c r="C802" s="1" t="n">
        <v>46029</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24552-2023</t>
        </is>
      </c>
      <c r="B803" s="1" t="n">
        <v>45082.94226851852</v>
      </c>
      <c r="C803" s="1" t="n">
        <v>46029</v>
      </c>
      <c r="D803" t="inlineStr">
        <is>
          <t>VÄSTERNORRLANDS LÄN</t>
        </is>
      </c>
      <c r="E803" t="inlineStr">
        <is>
          <t>ÅNGE</t>
        </is>
      </c>
      <c r="G803" t="n">
        <v>1.5</v>
      </c>
      <c r="H803" t="n">
        <v>0</v>
      </c>
      <c r="I803" t="n">
        <v>0</v>
      </c>
      <c r="J803" t="n">
        <v>0</v>
      </c>
      <c r="K803" t="n">
        <v>0</v>
      </c>
      <c r="L803" t="n">
        <v>0</v>
      </c>
      <c r="M803" t="n">
        <v>0</v>
      </c>
      <c r="N803" t="n">
        <v>0</v>
      </c>
      <c r="O803" t="n">
        <v>0</v>
      </c>
      <c r="P803" t="n">
        <v>0</v>
      </c>
      <c r="Q803" t="n">
        <v>0</v>
      </c>
      <c r="R803" s="2" t="inlineStr"/>
    </row>
    <row r="804" ht="15" customHeight="1">
      <c r="A804" t="inlineStr">
        <is>
          <t>A 45403-2025</t>
        </is>
      </c>
      <c r="B804" s="1" t="n">
        <v>45922.42803240741</v>
      </c>
      <c r="C804" s="1" t="n">
        <v>46029</v>
      </c>
      <c r="D804" t="inlineStr">
        <is>
          <t>VÄSTERNORRLANDS LÄN</t>
        </is>
      </c>
      <c r="E804" t="inlineStr">
        <is>
          <t>ÅNGE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45404-2025</t>
        </is>
      </c>
      <c r="B805" s="1" t="n">
        <v>45922.42820601852</v>
      </c>
      <c r="C805" s="1" t="n">
        <v>46029</v>
      </c>
      <c r="D805" t="inlineStr">
        <is>
          <t>VÄSTERNORRLANDS LÄN</t>
        </is>
      </c>
      <c r="E805" t="inlineStr">
        <is>
          <t>ÅNGE</t>
        </is>
      </c>
      <c r="F805" t="inlineStr">
        <is>
          <t>SCA</t>
        </is>
      </c>
      <c r="G805" t="n">
        <v>6.6</v>
      </c>
      <c r="H805" t="n">
        <v>0</v>
      </c>
      <c r="I805" t="n">
        <v>0</v>
      </c>
      <c r="J805" t="n">
        <v>0</v>
      </c>
      <c r="K805" t="n">
        <v>0</v>
      </c>
      <c r="L805" t="n">
        <v>0</v>
      </c>
      <c r="M805" t="n">
        <v>0</v>
      </c>
      <c r="N805" t="n">
        <v>0</v>
      </c>
      <c r="O805" t="n">
        <v>0</v>
      </c>
      <c r="P805" t="n">
        <v>0</v>
      </c>
      <c r="Q805" t="n">
        <v>0</v>
      </c>
      <c r="R805" s="2" t="inlineStr"/>
    </row>
    <row r="806" ht="15" customHeight="1">
      <c r="A806" t="inlineStr">
        <is>
          <t>A 45401-2025</t>
        </is>
      </c>
      <c r="B806" s="1" t="n">
        <v>45922.42767361111</v>
      </c>
      <c r="C806" s="1" t="n">
        <v>46029</v>
      </c>
      <c r="D806" t="inlineStr">
        <is>
          <t>VÄSTERNORRLANDS LÄN</t>
        </is>
      </c>
      <c r="E806" t="inlineStr">
        <is>
          <t>ÅNGE</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45875-2025</t>
        </is>
      </c>
      <c r="B807" s="1" t="n">
        <v>45923.65690972222</v>
      </c>
      <c r="C807" s="1" t="n">
        <v>46029</v>
      </c>
      <c r="D807" t="inlineStr">
        <is>
          <t>VÄSTERNORRLANDS LÄN</t>
        </is>
      </c>
      <c r="E807" t="inlineStr">
        <is>
          <t>ÅNGE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45660-2025</t>
        </is>
      </c>
      <c r="B808" s="1" t="n">
        <v>45923.34494212963</v>
      </c>
      <c r="C808" s="1" t="n">
        <v>46029</v>
      </c>
      <c r="D808" t="inlineStr">
        <is>
          <t>VÄSTERNORRLANDS LÄN</t>
        </is>
      </c>
      <c r="E808" t="inlineStr">
        <is>
          <t>ÅNGE</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38686-2025</t>
        </is>
      </c>
      <c r="B809" s="1" t="n">
        <v>45884.65658564815</v>
      </c>
      <c r="C809" s="1" t="n">
        <v>46029</v>
      </c>
      <c r="D809" t="inlineStr">
        <is>
          <t>VÄSTERNORRLANDS LÄN</t>
        </is>
      </c>
      <c r="E809" t="inlineStr">
        <is>
          <t>ÅNGE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46111-2025</t>
        </is>
      </c>
      <c r="B810" s="1" t="n">
        <v>45924.56684027778</v>
      </c>
      <c r="C810" s="1" t="n">
        <v>46029</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46109-2025</t>
        </is>
      </c>
      <c r="B811" s="1" t="n">
        <v>45924.5596412037</v>
      </c>
      <c r="C811" s="1" t="n">
        <v>46029</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16362-2023</t>
        </is>
      </c>
      <c r="B812" s="1" t="n">
        <v>45028.9250462963</v>
      </c>
      <c r="C812" s="1" t="n">
        <v>46029</v>
      </c>
      <c r="D812" t="inlineStr">
        <is>
          <t>VÄSTERNORRLANDS LÄN</t>
        </is>
      </c>
      <c r="E812" t="inlineStr">
        <is>
          <t>ÅNGE</t>
        </is>
      </c>
      <c r="G812" t="n">
        <v>4.8</v>
      </c>
      <c r="H812" t="n">
        <v>0</v>
      </c>
      <c r="I812" t="n">
        <v>0</v>
      </c>
      <c r="J812" t="n">
        <v>0</v>
      </c>
      <c r="K812" t="n">
        <v>0</v>
      </c>
      <c r="L812" t="n">
        <v>0</v>
      </c>
      <c r="M812" t="n">
        <v>0</v>
      </c>
      <c r="N812" t="n">
        <v>0</v>
      </c>
      <c r="O812" t="n">
        <v>0</v>
      </c>
      <c r="P812" t="n">
        <v>0</v>
      </c>
      <c r="Q812" t="n">
        <v>0</v>
      </c>
      <c r="R812" s="2" t="inlineStr"/>
    </row>
    <row r="813" ht="15" customHeight="1">
      <c r="A813" t="inlineStr">
        <is>
          <t>A 45659-2025</t>
        </is>
      </c>
      <c r="B813" s="1" t="n">
        <v>45923.34471064815</v>
      </c>
      <c r="C813" s="1" t="n">
        <v>46029</v>
      </c>
      <c r="D813" t="inlineStr">
        <is>
          <t>VÄSTERNORRLANDS LÄN</t>
        </is>
      </c>
      <c r="E813" t="inlineStr">
        <is>
          <t>ÅNGE</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38693-2025</t>
        </is>
      </c>
      <c r="B814" s="1" t="n">
        <v>45884.69829861111</v>
      </c>
      <c r="C814" s="1" t="n">
        <v>46029</v>
      </c>
      <c r="D814" t="inlineStr">
        <is>
          <t>VÄSTERNORRLANDS LÄN</t>
        </is>
      </c>
      <c r="E814" t="inlineStr">
        <is>
          <t>ÅNGE</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45970-2025</t>
        </is>
      </c>
      <c r="B815" s="1" t="n">
        <v>45924.36519675926</v>
      </c>
      <c r="C815" s="1" t="n">
        <v>46029</v>
      </c>
      <c r="D815" t="inlineStr">
        <is>
          <t>VÄSTERNORRLANDS LÄN</t>
        </is>
      </c>
      <c r="E815" t="inlineStr">
        <is>
          <t>ÅNGE</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28779-2023</t>
        </is>
      </c>
      <c r="B816" s="1" t="n">
        <v>45104.34314814815</v>
      </c>
      <c r="C816" s="1" t="n">
        <v>46029</v>
      </c>
      <c r="D816" t="inlineStr">
        <is>
          <t>VÄSTERNORRLANDS LÄN</t>
        </is>
      </c>
      <c r="E816" t="inlineStr">
        <is>
          <t>ÅNGE</t>
        </is>
      </c>
      <c r="G816" t="n">
        <v>1.3</v>
      </c>
      <c r="H816" t="n">
        <v>0</v>
      </c>
      <c r="I816" t="n">
        <v>0</v>
      </c>
      <c r="J816" t="n">
        <v>0</v>
      </c>
      <c r="K816" t="n">
        <v>0</v>
      </c>
      <c r="L816" t="n">
        <v>0</v>
      </c>
      <c r="M816" t="n">
        <v>0</v>
      </c>
      <c r="N816" t="n">
        <v>0</v>
      </c>
      <c r="O816" t="n">
        <v>0</v>
      </c>
      <c r="P816" t="n">
        <v>0</v>
      </c>
      <c r="Q816" t="n">
        <v>0</v>
      </c>
      <c r="R816" s="2" t="inlineStr"/>
    </row>
    <row r="817" ht="15" customHeight="1">
      <c r="A817" t="inlineStr">
        <is>
          <t>A 63607-2021</t>
        </is>
      </c>
      <c r="B817" s="1" t="n">
        <v>44508.94650462963</v>
      </c>
      <c r="C817" s="1" t="n">
        <v>46029</v>
      </c>
      <c r="D817" t="inlineStr">
        <is>
          <t>VÄSTERNORRLANDS LÄN</t>
        </is>
      </c>
      <c r="E817" t="inlineStr">
        <is>
          <t>ÅNGE</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30235-2024</t>
        </is>
      </c>
      <c r="B818" s="1" t="n">
        <v>45490.49040509259</v>
      </c>
      <c r="C818" s="1" t="n">
        <v>46029</v>
      </c>
      <c r="D818" t="inlineStr">
        <is>
          <t>VÄSTERNORRLANDS LÄN</t>
        </is>
      </c>
      <c r="E818" t="inlineStr">
        <is>
          <t>ÅNGE</t>
        </is>
      </c>
      <c r="G818" t="n">
        <v>3.7</v>
      </c>
      <c r="H818" t="n">
        <v>0</v>
      </c>
      <c r="I818" t="n">
        <v>0</v>
      </c>
      <c r="J818" t="n">
        <v>0</v>
      </c>
      <c r="K818" t="n">
        <v>0</v>
      </c>
      <c r="L818" t="n">
        <v>0</v>
      </c>
      <c r="M818" t="n">
        <v>0</v>
      </c>
      <c r="N818" t="n">
        <v>0</v>
      </c>
      <c r="O818" t="n">
        <v>0</v>
      </c>
      <c r="P818" t="n">
        <v>0</v>
      </c>
      <c r="Q818" t="n">
        <v>0</v>
      </c>
      <c r="R818" s="2" t="inlineStr"/>
    </row>
    <row r="819" ht="15" customHeight="1">
      <c r="A819" t="inlineStr">
        <is>
          <t>A 38386-2025</t>
        </is>
      </c>
      <c r="B819" s="1" t="n">
        <v>45883.57430555556</v>
      </c>
      <c r="C819" s="1" t="n">
        <v>46029</v>
      </c>
      <c r="D819" t="inlineStr">
        <is>
          <t>VÄSTERNORRLANDS LÄN</t>
        </is>
      </c>
      <c r="E819" t="inlineStr">
        <is>
          <t>ÅNGE</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38273-2025</t>
        </is>
      </c>
      <c r="B820" s="1" t="n">
        <v>45883.40740740741</v>
      </c>
      <c r="C820" s="1" t="n">
        <v>46029</v>
      </c>
      <c r="D820" t="inlineStr">
        <is>
          <t>VÄSTERNORRLANDS LÄN</t>
        </is>
      </c>
      <c r="E820" t="inlineStr">
        <is>
          <t>ÅNGE</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41370-2023</t>
        </is>
      </c>
      <c r="B821" s="1" t="n">
        <v>45174.85951388889</v>
      </c>
      <c r="C821" s="1" t="n">
        <v>46029</v>
      </c>
      <c r="D821" t="inlineStr">
        <is>
          <t>VÄSTERNORRLANDS LÄN</t>
        </is>
      </c>
      <c r="E821" t="inlineStr">
        <is>
          <t>ÅNGE</t>
        </is>
      </c>
      <c r="F821" t="inlineStr">
        <is>
          <t>Sveaskog</t>
        </is>
      </c>
      <c r="G821" t="n">
        <v>1.6</v>
      </c>
      <c r="H821" t="n">
        <v>0</v>
      </c>
      <c r="I821" t="n">
        <v>0</v>
      </c>
      <c r="J821" t="n">
        <v>0</v>
      </c>
      <c r="K821" t="n">
        <v>0</v>
      </c>
      <c r="L821" t="n">
        <v>0</v>
      </c>
      <c r="M821" t="n">
        <v>0</v>
      </c>
      <c r="N821" t="n">
        <v>0</v>
      </c>
      <c r="O821" t="n">
        <v>0</v>
      </c>
      <c r="P821" t="n">
        <v>0</v>
      </c>
      <c r="Q821" t="n">
        <v>0</v>
      </c>
      <c r="R821" s="2" t="inlineStr"/>
    </row>
    <row r="822" ht="15" customHeight="1">
      <c r="A822" t="inlineStr">
        <is>
          <t>A 46267-2025</t>
        </is>
      </c>
      <c r="B822" s="1" t="n">
        <v>45925.36578703704</v>
      </c>
      <c r="C822" s="1" t="n">
        <v>46029</v>
      </c>
      <c r="D822" t="inlineStr">
        <is>
          <t>VÄSTERNORRLANDS LÄN</t>
        </is>
      </c>
      <c r="E822" t="inlineStr">
        <is>
          <t>ÅNGE</t>
        </is>
      </c>
      <c r="G822" t="n">
        <v>1.9</v>
      </c>
      <c r="H822" t="n">
        <v>0</v>
      </c>
      <c r="I822" t="n">
        <v>0</v>
      </c>
      <c r="J822" t="n">
        <v>0</v>
      </c>
      <c r="K822" t="n">
        <v>0</v>
      </c>
      <c r="L822" t="n">
        <v>0</v>
      </c>
      <c r="M822" t="n">
        <v>0</v>
      </c>
      <c r="N822" t="n">
        <v>0</v>
      </c>
      <c r="O822" t="n">
        <v>0</v>
      </c>
      <c r="P822" t="n">
        <v>0</v>
      </c>
      <c r="Q822" t="n">
        <v>0</v>
      </c>
      <c r="R822" s="2" t="inlineStr"/>
    </row>
    <row r="823" ht="15" customHeight="1">
      <c r="A823" t="inlineStr">
        <is>
          <t>A 14927-2025</t>
        </is>
      </c>
      <c r="B823" s="1" t="n">
        <v>45743</v>
      </c>
      <c r="C823" s="1" t="n">
        <v>46029</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38284-2022</t>
        </is>
      </c>
      <c r="B824" s="1" t="n">
        <v>44812.55149305556</v>
      </c>
      <c r="C824" s="1" t="n">
        <v>46029</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30353-2024</t>
        </is>
      </c>
      <c r="B825" s="1" t="n">
        <v>45490.95567129629</v>
      </c>
      <c r="C825" s="1" t="n">
        <v>46029</v>
      </c>
      <c r="D825" t="inlineStr">
        <is>
          <t>VÄSTERNORRLANDS LÄN</t>
        </is>
      </c>
      <c r="E825" t="inlineStr">
        <is>
          <t>ÅNGE</t>
        </is>
      </c>
      <c r="F825" t="inlineStr">
        <is>
          <t>SCA</t>
        </is>
      </c>
      <c r="G825" t="n">
        <v>4.6</v>
      </c>
      <c r="H825" t="n">
        <v>0</v>
      </c>
      <c r="I825" t="n">
        <v>0</v>
      </c>
      <c r="J825" t="n">
        <v>0</v>
      </c>
      <c r="K825" t="n">
        <v>0</v>
      </c>
      <c r="L825" t="n">
        <v>0</v>
      </c>
      <c r="M825" t="n">
        <v>0</v>
      </c>
      <c r="N825" t="n">
        <v>0</v>
      </c>
      <c r="O825" t="n">
        <v>0</v>
      </c>
      <c r="P825" t="n">
        <v>0</v>
      </c>
      <c r="Q825" t="n">
        <v>0</v>
      </c>
      <c r="R825" s="2" t="inlineStr"/>
    </row>
    <row r="826" ht="15" customHeight="1">
      <c r="A826" t="inlineStr">
        <is>
          <t>A 46419-2025</t>
        </is>
      </c>
      <c r="B826" s="1" t="n">
        <v>45925.5949537037</v>
      </c>
      <c r="C826" s="1" t="n">
        <v>46029</v>
      </c>
      <c r="D826" t="inlineStr">
        <is>
          <t>VÄSTERNORRLANDS LÄN</t>
        </is>
      </c>
      <c r="E826" t="inlineStr">
        <is>
          <t>ÅNGE</t>
        </is>
      </c>
      <c r="F826" t="inlineStr">
        <is>
          <t>SCA</t>
        </is>
      </c>
      <c r="G826" t="n">
        <v>4.4</v>
      </c>
      <c r="H826" t="n">
        <v>0</v>
      </c>
      <c r="I826" t="n">
        <v>0</v>
      </c>
      <c r="J826" t="n">
        <v>0</v>
      </c>
      <c r="K826" t="n">
        <v>0</v>
      </c>
      <c r="L826" t="n">
        <v>0</v>
      </c>
      <c r="M826" t="n">
        <v>0</v>
      </c>
      <c r="N826" t="n">
        <v>0</v>
      </c>
      <c r="O826" t="n">
        <v>0</v>
      </c>
      <c r="P826" t="n">
        <v>0</v>
      </c>
      <c r="Q826" t="n">
        <v>0</v>
      </c>
      <c r="R826" s="2" t="inlineStr"/>
    </row>
    <row r="827" ht="15" customHeight="1">
      <c r="A827" t="inlineStr">
        <is>
          <t>A 46416-2025</t>
        </is>
      </c>
      <c r="B827" s="1" t="n">
        <v>45925.594375</v>
      </c>
      <c r="C827" s="1" t="n">
        <v>46029</v>
      </c>
      <c r="D827" t="inlineStr">
        <is>
          <t>VÄSTERNORRLANDS LÄN</t>
        </is>
      </c>
      <c r="E827" t="inlineStr">
        <is>
          <t>ÅNGE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38283-2025</t>
        </is>
      </c>
      <c r="B828" s="1" t="n">
        <v>45883.42740740741</v>
      </c>
      <c r="C828" s="1" t="n">
        <v>46029</v>
      </c>
      <c r="D828" t="inlineStr">
        <is>
          <t>VÄSTERNORRLANDS LÄN</t>
        </is>
      </c>
      <c r="E828" t="inlineStr">
        <is>
          <t>ÅNGE</t>
        </is>
      </c>
      <c r="F828" t="inlineStr">
        <is>
          <t>SCA</t>
        </is>
      </c>
      <c r="G828" t="n">
        <v>0.6</v>
      </c>
      <c r="H828" t="n">
        <v>0</v>
      </c>
      <c r="I828" t="n">
        <v>0</v>
      </c>
      <c r="J828" t="n">
        <v>0</v>
      </c>
      <c r="K828" t="n">
        <v>0</v>
      </c>
      <c r="L828" t="n">
        <v>0</v>
      </c>
      <c r="M828" t="n">
        <v>0</v>
      </c>
      <c r="N828" t="n">
        <v>0</v>
      </c>
      <c r="O828" t="n">
        <v>0</v>
      </c>
      <c r="P828" t="n">
        <v>0</v>
      </c>
      <c r="Q828" t="n">
        <v>0</v>
      </c>
      <c r="R828" s="2" t="inlineStr"/>
    </row>
    <row r="829" ht="15" customHeight="1">
      <c r="A829" t="inlineStr">
        <is>
          <t>A 16606-2023</t>
        </is>
      </c>
      <c r="B829" s="1" t="n">
        <v>45030.3990625</v>
      </c>
      <c r="C829" s="1" t="n">
        <v>46029</v>
      </c>
      <c r="D829" t="inlineStr">
        <is>
          <t>VÄSTERNORRLANDS LÄN</t>
        </is>
      </c>
      <c r="E829" t="inlineStr">
        <is>
          <t>ÅNGE</t>
        </is>
      </c>
      <c r="G829" t="n">
        <v>0.9</v>
      </c>
      <c r="H829" t="n">
        <v>0</v>
      </c>
      <c r="I829" t="n">
        <v>0</v>
      </c>
      <c r="J829" t="n">
        <v>0</v>
      </c>
      <c r="K829" t="n">
        <v>0</v>
      </c>
      <c r="L829" t="n">
        <v>0</v>
      </c>
      <c r="M829" t="n">
        <v>0</v>
      </c>
      <c r="N829" t="n">
        <v>0</v>
      </c>
      <c r="O829" t="n">
        <v>0</v>
      </c>
      <c r="P829" t="n">
        <v>0</v>
      </c>
      <c r="Q829" t="n">
        <v>0</v>
      </c>
      <c r="R829" s="2" t="inlineStr"/>
    </row>
    <row r="830" ht="15" customHeight="1">
      <c r="A830" t="inlineStr">
        <is>
          <t>A 25047-2023</t>
        </is>
      </c>
      <c r="B830" s="1" t="n">
        <v>45085.94569444445</v>
      </c>
      <c r="C830" s="1" t="n">
        <v>46029</v>
      </c>
      <c r="D830" t="inlineStr">
        <is>
          <t>VÄSTERNORRLANDS LÄN</t>
        </is>
      </c>
      <c r="E830" t="inlineStr">
        <is>
          <t>ÅNGE</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15791-2025</t>
        </is>
      </c>
      <c r="B831" s="1" t="n">
        <v>45748.631875</v>
      </c>
      <c r="C831" s="1" t="n">
        <v>46029</v>
      </c>
      <c r="D831" t="inlineStr">
        <is>
          <t>VÄSTERNORRLANDS LÄN</t>
        </is>
      </c>
      <c r="E831" t="inlineStr">
        <is>
          <t>ÅNGE</t>
        </is>
      </c>
      <c r="F831" t="inlineStr">
        <is>
          <t>SCA</t>
        </is>
      </c>
      <c r="G831" t="n">
        <v>4.1</v>
      </c>
      <c r="H831" t="n">
        <v>0</v>
      </c>
      <c r="I831" t="n">
        <v>0</v>
      </c>
      <c r="J831" t="n">
        <v>0</v>
      </c>
      <c r="K831" t="n">
        <v>0</v>
      </c>
      <c r="L831" t="n">
        <v>0</v>
      </c>
      <c r="M831" t="n">
        <v>0</v>
      </c>
      <c r="N831" t="n">
        <v>0</v>
      </c>
      <c r="O831" t="n">
        <v>0</v>
      </c>
      <c r="P831" t="n">
        <v>0</v>
      </c>
      <c r="Q831" t="n">
        <v>0</v>
      </c>
      <c r="R831" s="2" t="inlineStr"/>
    </row>
    <row r="832" ht="15" customHeight="1">
      <c r="A832" t="inlineStr">
        <is>
          <t>A 38332-2025</t>
        </is>
      </c>
      <c r="B832" s="1" t="n">
        <v>45883.49151620371</v>
      </c>
      <c r="C832" s="1" t="n">
        <v>46029</v>
      </c>
      <c r="D832" t="inlineStr">
        <is>
          <t>VÄSTERNORRLANDS LÄN</t>
        </is>
      </c>
      <c r="E832" t="inlineStr">
        <is>
          <t>ÅNGE</t>
        </is>
      </c>
      <c r="F832" t="inlineStr">
        <is>
          <t>SCA</t>
        </is>
      </c>
      <c r="G832" t="n">
        <v>5.9</v>
      </c>
      <c r="H832" t="n">
        <v>0</v>
      </c>
      <c r="I832" t="n">
        <v>0</v>
      </c>
      <c r="J832" t="n">
        <v>0</v>
      </c>
      <c r="K832" t="n">
        <v>0</v>
      </c>
      <c r="L832" t="n">
        <v>0</v>
      </c>
      <c r="M832" t="n">
        <v>0</v>
      </c>
      <c r="N832" t="n">
        <v>0</v>
      </c>
      <c r="O832" t="n">
        <v>0</v>
      </c>
      <c r="P832" t="n">
        <v>0</v>
      </c>
      <c r="Q832" t="n">
        <v>0</v>
      </c>
      <c r="R832" s="2" t="inlineStr"/>
    </row>
    <row r="833" ht="15" customHeight="1">
      <c r="A833" t="inlineStr">
        <is>
          <t>A 55007-2022</t>
        </is>
      </c>
      <c r="B833" s="1" t="n">
        <v>44881</v>
      </c>
      <c r="C833" s="1" t="n">
        <v>46029</v>
      </c>
      <c r="D833" t="inlineStr">
        <is>
          <t>VÄSTERNORRLANDS LÄN</t>
        </is>
      </c>
      <c r="E833" t="inlineStr">
        <is>
          <t>ÅNGE</t>
        </is>
      </c>
      <c r="G833" t="n">
        <v>2</v>
      </c>
      <c r="H833" t="n">
        <v>0</v>
      </c>
      <c r="I833" t="n">
        <v>0</v>
      </c>
      <c r="J833" t="n">
        <v>0</v>
      </c>
      <c r="K833" t="n">
        <v>0</v>
      </c>
      <c r="L833" t="n">
        <v>0</v>
      </c>
      <c r="M833" t="n">
        <v>0</v>
      </c>
      <c r="N833" t="n">
        <v>0</v>
      </c>
      <c r="O833" t="n">
        <v>0</v>
      </c>
      <c r="P833" t="n">
        <v>0</v>
      </c>
      <c r="Q833" t="n">
        <v>0</v>
      </c>
      <c r="R833" s="2" t="inlineStr"/>
    </row>
    <row r="834" ht="15" customHeight="1">
      <c r="A834" t="inlineStr">
        <is>
          <t>A 16281-2023</t>
        </is>
      </c>
      <c r="B834" s="1" t="n">
        <v>45028</v>
      </c>
      <c r="C834" s="1" t="n">
        <v>46029</v>
      </c>
      <c r="D834" t="inlineStr">
        <is>
          <t>VÄSTERNORRLANDS LÄN</t>
        </is>
      </c>
      <c r="E834" t="inlineStr">
        <is>
          <t>ÅNGE</t>
        </is>
      </c>
      <c r="G834" t="n">
        <v>1.6</v>
      </c>
      <c r="H834" t="n">
        <v>0</v>
      </c>
      <c r="I834" t="n">
        <v>0</v>
      </c>
      <c r="J834" t="n">
        <v>0</v>
      </c>
      <c r="K834" t="n">
        <v>0</v>
      </c>
      <c r="L834" t="n">
        <v>0</v>
      </c>
      <c r="M834" t="n">
        <v>0</v>
      </c>
      <c r="N834" t="n">
        <v>0</v>
      </c>
      <c r="O834" t="n">
        <v>0</v>
      </c>
      <c r="P834" t="n">
        <v>0</v>
      </c>
      <c r="Q834" t="n">
        <v>0</v>
      </c>
      <c r="R834" s="2" t="inlineStr"/>
    </row>
    <row r="835" ht="15" customHeight="1">
      <c r="A835" t="inlineStr">
        <is>
          <t>A 45459-2022</t>
        </is>
      </c>
      <c r="B835" s="1" t="n">
        <v>44845</v>
      </c>
      <c r="C835" s="1" t="n">
        <v>46029</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47440-2025</t>
        </is>
      </c>
      <c r="B836" s="1" t="n">
        <v>45930.63766203704</v>
      </c>
      <c r="C836" s="1" t="n">
        <v>46029</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2984-2025</t>
        </is>
      </c>
      <c r="B837" s="1" t="n">
        <v>45678.51094907407</v>
      </c>
      <c r="C837" s="1" t="n">
        <v>46029</v>
      </c>
      <c r="D837" t="inlineStr">
        <is>
          <t>VÄSTERNORRLANDS LÄN</t>
        </is>
      </c>
      <c r="E837" t="inlineStr">
        <is>
          <t>ÅNGE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47118-2025</t>
        </is>
      </c>
      <c r="B838" s="1" t="n">
        <v>45929.67770833334</v>
      </c>
      <c r="C838" s="1" t="n">
        <v>46029</v>
      </c>
      <c r="D838" t="inlineStr">
        <is>
          <t>VÄSTERNORRLANDS LÄN</t>
        </is>
      </c>
      <c r="E838" t="inlineStr">
        <is>
          <t>ÅNGE</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47196-2025</t>
        </is>
      </c>
      <c r="B839" s="1" t="n">
        <v>45930.34520833333</v>
      </c>
      <c r="C839" s="1" t="n">
        <v>46029</v>
      </c>
      <c r="D839" t="inlineStr">
        <is>
          <t>VÄSTERNORRLANDS LÄN</t>
        </is>
      </c>
      <c r="E839" t="inlineStr">
        <is>
          <t>ÅNGE</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10017-2025</t>
        </is>
      </c>
      <c r="B840" s="1" t="n">
        <v>45719.46957175926</v>
      </c>
      <c r="C840" s="1" t="n">
        <v>46029</v>
      </c>
      <c r="D840" t="inlineStr">
        <is>
          <t>VÄSTERNORRLANDS LÄN</t>
        </is>
      </c>
      <c r="E840" t="inlineStr">
        <is>
          <t>ÅNGE</t>
        </is>
      </c>
      <c r="F840" t="inlineStr">
        <is>
          <t>SCA</t>
        </is>
      </c>
      <c r="G840" t="n">
        <v>9.9</v>
      </c>
      <c r="H840" t="n">
        <v>0</v>
      </c>
      <c r="I840" t="n">
        <v>0</v>
      </c>
      <c r="J840" t="n">
        <v>0</v>
      </c>
      <c r="K840" t="n">
        <v>0</v>
      </c>
      <c r="L840" t="n">
        <v>0</v>
      </c>
      <c r="M840" t="n">
        <v>0</v>
      </c>
      <c r="N840" t="n">
        <v>0</v>
      </c>
      <c r="O840" t="n">
        <v>0</v>
      </c>
      <c r="P840" t="n">
        <v>0</v>
      </c>
      <c r="Q840" t="n">
        <v>0</v>
      </c>
      <c r="R840" s="2" t="inlineStr"/>
    </row>
    <row r="841" ht="15" customHeight="1">
      <c r="A841" t="inlineStr">
        <is>
          <t>A 46829-2025</t>
        </is>
      </c>
      <c r="B841" s="1" t="n">
        <v>45927.34513888889</v>
      </c>
      <c r="C841" s="1" t="n">
        <v>46029</v>
      </c>
      <c r="D841" t="inlineStr">
        <is>
          <t>VÄSTERNORRLANDS LÄN</t>
        </is>
      </c>
      <c r="E841" t="inlineStr">
        <is>
          <t>ÅNGE</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29270-2024</t>
        </is>
      </c>
      <c r="B842" s="1" t="n">
        <v>45482.94979166667</v>
      </c>
      <c r="C842" s="1" t="n">
        <v>46029</v>
      </c>
      <c r="D842" t="inlineStr">
        <is>
          <t>VÄSTERNORRLANDS LÄN</t>
        </is>
      </c>
      <c r="E842" t="inlineStr">
        <is>
          <t>ÅNGE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47488-2025</t>
        </is>
      </c>
      <c r="B843" s="1" t="n">
        <v>45930.69890046296</v>
      </c>
      <c r="C843" s="1" t="n">
        <v>46029</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29696-2024</t>
        </is>
      </c>
      <c r="B844" s="1" t="n">
        <v>45484.94524305555</v>
      </c>
      <c r="C844" s="1" t="n">
        <v>46029</v>
      </c>
      <c r="D844" t="inlineStr">
        <is>
          <t>VÄSTERNORRLANDS LÄN</t>
        </is>
      </c>
      <c r="E844" t="inlineStr">
        <is>
          <t>ÅNGE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46897-2025</t>
        </is>
      </c>
      <c r="B845" s="1" t="n">
        <v>45929.38597222222</v>
      </c>
      <c r="C845" s="1" t="n">
        <v>46029</v>
      </c>
      <c r="D845" t="inlineStr">
        <is>
          <t>VÄSTERNORRLANDS LÄN</t>
        </is>
      </c>
      <c r="E845" t="inlineStr">
        <is>
          <t>ÅNGE</t>
        </is>
      </c>
      <c r="G845" t="n">
        <v>10.6</v>
      </c>
      <c r="H845" t="n">
        <v>0</v>
      </c>
      <c r="I845" t="n">
        <v>0</v>
      </c>
      <c r="J845" t="n">
        <v>0</v>
      </c>
      <c r="K845" t="n">
        <v>0</v>
      </c>
      <c r="L845" t="n">
        <v>0</v>
      </c>
      <c r="M845" t="n">
        <v>0</v>
      </c>
      <c r="N845" t="n">
        <v>0</v>
      </c>
      <c r="O845" t="n">
        <v>0</v>
      </c>
      <c r="P845" t="n">
        <v>0</v>
      </c>
      <c r="Q845" t="n">
        <v>0</v>
      </c>
      <c r="R845" s="2" t="inlineStr"/>
    </row>
    <row r="846" ht="15" customHeight="1">
      <c r="A846" t="inlineStr">
        <is>
          <t>A 47377-2025</t>
        </is>
      </c>
      <c r="B846" s="1" t="n">
        <v>45930.59469907408</v>
      </c>
      <c r="C846" s="1" t="n">
        <v>46029</v>
      </c>
      <c r="D846" t="inlineStr">
        <is>
          <t>VÄSTERNORRLANDS LÄN</t>
        </is>
      </c>
      <c r="E846" t="inlineStr">
        <is>
          <t>ÅNGE</t>
        </is>
      </c>
      <c r="F846" t="inlineStr">
        <is>
          <t>SCA</t>
        </is>
      </c>
      <c r="G846" t="n">
        <v>3.4</v>
      </c>
      <c r="H846" t="n">
        <v>0</v>
      </c>
      <c r="I846" t="n">
        <v>0</v>
      </c>
      <c r="J846" t="n">
        <v>0</v>
      </c>
      <c r="K846" t="n">
        <v>0</v>
      </c>
      <c r="L846" t="n">
        <v>0</v>
      </c>
      <c r="M846" t="n">
        <v>0</v>
      </c>
      <c r="N846" t="n">
        <v>0</v>
      </c>
      <c r="O846" t="n">
        <v>0</v>
      </c>
      <c r="P846" t="n">
        <v>0</v>
      </c>
      <c r="Q846" t="n">
        <v>0</v>
      </c>
      <c r="R846" s="2" t="inlineStr"/>
    </row>
    <row r="847" ht="15" customHeight="1">
      <c r="A847" t="inlineStr">
        <is>
          <t>A 33062-2022</t>
        </is>
      </c>
      <c r="B847" s="1" t="n">
        <v>44785</v>
      </c>
      <c r="C847" s="1" t="n">
        <v>46029</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47305-2025</t>
        </is>
      </c>
      <c r="B848" s="1" t="n">
        <v>45930</v>
      </c>
      <c r="C848" s="1" t="n">
        <v>46029</v>
      </c>
      <c r="D848" t="inlineStr">
        <is>
          <t>VÄSTERNORRLANDS LÄN</t>
        </is>
      </c>
      <c r="E848" t="inlineStr">
        <is>
          <t>ÅNGE</t>
        </is>
      </c>
      <c r="G848" t="n">
        <v>10.9</v>
      </c>
      <c r="H848" t="n">
        <v>0</v>
      </c>
      <c r="I848" t="n">
        <v>0</v>
      </c>
      <c r="J848" t="n">
        <v>0</v>
      </c>
      <c r="K848" t="n">
        <v>0</v>
      </c>
      <c r="L848" t="n">
        <v>0</v>
      </c>
      <c r="M848" t="n">
        <v>0</v>
      </c>
      <c r="N848" t="n">
        <v>0</v>
      </c>
      <c r="O848" t="n">
        <v>0</v>
      </c>
      <c r="P848" t="n">
        <v>0</v>
      </c>
      <c r="Q848" t="n">
        <v>0</v>
      </c>
      <c r="R848" s="2" t="inlineStr"/>
    </row>
    <row r="849" ht="15" customHeight="1">
      <c r="A849" t="inlineStr">
        <is>
          <t>A 46933-2025</t>
        </is>
      </c>
      <c r="B849" s="1" t="n">
        <v>45929.44645833333</v>
      </c>
      <c r="C849" s="1" t="n">
        <v>46029</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47752-2025</t>
        </is>
      </c>
      <c r="B850" s="1" t="n">
        <v>45931.66358796296</v>
      </c>
      <c r="C850" s="1" t="n">
        <v>46029</v>
      </c>
      <c r="D850" t="inlineStr">
        <is>
          <t>VÄSTERNORRLANDS LÄN</t>
        </is>
      </c>
      <c r="E850" t="inlineStr">
        <is>
          <t>ÅNGE</t>
        </is>
      </c>
      <c r="G850" t="n">
        <v>3.9</v>
      </c>
      <c r="H850" t="n">
        <v>0</v>
      </c>
      <c r="I850" t="n">
        <v>0</v>
      </c>
      <c r="J850" t="n">
        <v>0</v>
      </c>
      <c r="K850" t="n">
        <v>0</v>
      </c>
      <c r="L850" t="n">
        <v>0</v>
      </c>
      <c r="M850" t="n">
        <v>0</v>
      </c>
      <c r="N850" t="n">
        <v>0</v>
      </c>
      <c r="O850" t="n">
        <v>0</v>
      </c>
      <c r="P850" t="n">
        <v>0</v>
      </c>
      <c r="Q850" t="n">
        <v>0</v>
      </c>
      <c r="R850" s="2" t="inlineStr"/>
    </row>
    <row r="851" ht="15" customHeight="1">
      <c r="A851" t="inlineStr">
        <is>
          <t>A 27002-2023</t>
        </is>
      </c>
      <c r="B851" s="1" t="n">
        <v>45093</v>
      </c>
      <c r="C851" s="1" t="n">
        <v>46029</v>
      </c>
      <c r="D851" t="inlineStr">
        <is>
          <t>VÄSTERNORRLANDS LÄN</t>
        </is>
      </c>
      <c r="E851" t="inlineStr">
        <is>
          <t>ÅNGE</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63170-2023</t>
        </is>
      </c>
      <c r="B852" s="1" t="n">
        <v>45273.57087962963</v>
      </c>
      <c r="C852" s="1" t="n">
        <v>46029</v>
      </c>
      <c r="D852" t="inlineStr">
        <is>
          <t>VÄSTERNORRLANDS LÄN</t>
        </is>
      </c>
      <c r="E852" t="inlineStr">
        <is>
          <t>ÅNGE</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30273-2023</t>
        </is>
      </c>
      <c r="B853" s="1" t="n">
        <v>45099</v>
      </c>
      <c r="C853" s="1" t="n">
        <v>46029</v>
      </c>
      <c r="D853" t="inlineStr">
        <is>
          <t>VÄSTERNORRLANDS LÄN</t>
        </is>
      </c>
      <c r="E853" t="inlineStr">
        <is>
          <t>ÅNGE</t>
        </is>
      </c>
      <c r="G853" t="n">
        <v>3.9</v>
      </c>
      <c r="H853" t="n">
        <v>0</v>
      </c>
      <c r="I853" t="n">
        <v>0</v>
      </c>
      <c r="J853" t="n">
        <v>0</v>
      </c>
      <c r="K853" t="n">
        <v>0</v>
      </c>
      <c r="L853" t="n">
        <v>0</v>
      </c>
      <c r="M853" t="n">
        <v>0</v>
      </c>
      <c r="N853" t="n">
        <v>0</v>
      </c>
      <c r="O853" t="n">
        <v>0</v>
      </c>
      <c r="P853" t="n">
        <v>0</v>
      </c>
      <c r="Q853" t="n">
        <v>0</v>
      </c>
      <c r="R853" s="2" t="inlineStr"/>
    </row>
    <row r="854" ht="15" customHeight="1">
      <c r="A854" t="inlineStr">
        <is>
          <t>A 60368-2024</t>
        </is>
      </c>
      <c r="B854" s="1" t="n">
        <v>45643</v>
      </c>
      <c r="C854" s="1" t="n">
        <v>46029</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48055-2025</t>
        </is>
      </c>
      <c r="B855" s="1" t="n">
        <v>45932.67922453704</v>
      </c>
      <c r="C855" s="1" t="n">
        <v>46029</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48069-2025</t>
        </is>
      </c>
      <c r="B856" s="1" t="n">
        <v>45932.69865740741</v>
      </c>
      <c r="C856" s="1" t="n">
        <v>46029</v>
      </c>
      <c r="D856" t="inlineStr">
        <is>
          <t>VÄSTERNORRLANDS LÄN</t>
        </is>
      </c>
      <c r="E856" t="inlineStr">
        <is>
          <t>ÅNGE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31729-2024</t>
        </is>
      </c>
      <c r="B857" s="1" t="n">
        <v>45509.35844907408</v>
      </c>
      <c r="C857" s="1" t="n">
        <v>46029</v>
      </c>
      <c r="D857" t="inlineStr">
        <is>
          <t>VÄSTERNORRLANDS LÄN</t>
        </is>
      </c>
      <c r="E857" t="inlineStr">
        <is>
          <t>ÅNGE</t>
        </is>
      </c>
      <c r="G857" t="n">
        <v>1.9</v>
      </c>
      <c r="H857" t="n">
        <v>0</v>
      </c>
      <c r="I857" t="n">
        <v>0</v>
      </c>
      <c r="J857" t="n">
        <v>0</v>
      </c>
      <c r="K857" t="n">
        <v>0</v>
      </c>
      <c r="L857" t="n">
        <v>0</v>
      </c>
      <c r="M857" t="n">
        <v>0</v>
      </c>
      <c r="N857" t="n">
        <v>0</v>
      </c>
      <c r="O857" t="n">
        <v>0</v>
      </c>
      <c r="P857" t="n">
        <v>0</v>
      </c>
      <c r="Q857" t="n">
        <v>0</v>
      </c>
      <c r="R857" s="2" t="inlineStr"/>
    </row>
    <row r="858" ht="15" customHeight="1">
      <c r="A858" t="inlineStr">
        <is>
          <t>A 34783-2021</t>
        </is>
      </c>
      <c r="B858" s="1" t="n">
        <v>44382</v>
      </c>
      <c r="C858" s="1" t="n">
        <v>46029</v>
      </c>
      <c r="D858" t="inlineStr">
        <is>
          <t>VÄSTERNORRLANDS LÄN</t>
        </is>
      </c>
      <c r="E858" t="inlineStr">
        <is>
          <t>ÅNGE</t>
        </is>
      </c>
      <c r="F858" t="inlineStr">
        <is>
          <t>SCA</t>
        </is>
      </c>
      <c r="G858" t="n">
        <v>8.5</v>
      </c>
      <c r="H858" t="n">
        <v>0</v>
      </c>
      <c r="I858" t="n">
        <v>0</v>
      </c>
      <c r="J858" t="n">
        <v>0</v>
      </c>
      <c r="K858" t="n">
        <v>0</v>
      </c>
      <c r="L858" t="n">
        <v>0</v>
      </c>
      <c r="M858" t="n">
        <v>0</v>
      </c>
      <c r="N858" t="n">
        <v>0</v>
      </c>
      <c r="O858" t="n">
        <v>0</v>
      </c>
      <c r="P858" t="n">
        <v>0</v>
      </c>
      <c r="Q858" t="n">
        <v>0</v>
      </c>
      <c r="R858" s="2" t="inlineStr"/>
    </row>
    <row r="859" ht="15" customHeight="1">
      <c r="A859" t="inlineStr">
        <is>
          <t>A 4187-2025</t>
        </is>
      </c>
      <c r="B859" s="1" t="n">
        <v>45685.44842592593</v>
      </c>
      <c r="C859" s="1" t="n">
        <v>46029</v>
      </c>
      <c r="D859" t="inlineStr">
        <is>
          <t>VÄSTERNORRLANDS LÄN</t>
        </is>
      </c>
      <c r="E859" t="inlineStr">
        <is>
          <t>ÅNGE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48234-2025</t>
        </is>
      </c>
      <c r="B860" s="1" t="n">
        <v>45933.53211805555</v>
      </c>
      <c r="C860" s="1" t="n">
        <v>46029</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48235-2025</t>
        </is>
      </c>
      <c r="B861" s="1" t="n">
        <v>45933.5321412037</v>
      </c>
      <c r="C861" s="1" t="n">
        <v>46029</v>
      </c>
      <c r="D861" t="inlineStr">
        <is>
          <t>VÄSTERNORRLANDS LÄN</t>
        </is>
      </c>
      <c r="E861" t="inlineStr">
        <is>
          <t>ÅNGE</t>
        </is>
      </c>
      <c r="G861" t="n">
        <v>3.1</v>
      </c>
      <c r="H861" t="n">
        <v>0</v>
      </c>
      <c r="I861" t="n">
        <v>0</v>
      </c>
      <c r="J861" t="n">
        <v>0</v>
      </c>
      <c r="K861" t="n">
        <v>0</v>
      </c>
      <c r="L861" t="n">
        <v>0</v>
      </c>
      <c r="M861" t="n">
        <v>0</v>
      </c>
      <c r="N861" t="n">
        <v>0</v>
      </c>
      <c r="O861" t="n">
        <v>0</v>
      </c>
      <c r="P861" t="n">
        <v>0</v>
      </c>
      <c r="Q861" t="n">
        <v>0</v>
      </c>
      <c r="R861" s="2" t="inlineStr"/>
    </row>
    <row r="862" ht="15" customHeight="1">
      <c r="A862" t="inlineStr">
        <is>
          <t>A 12807-2025</t>
        </is>
      </c>
      <c r="B862" s="1" t="n">
        <v>45733.61537037037</v>
      </c>
      <c r="C862" s="1" t="n">
        <v>46029</v>
      </c>
      <c r="D862" t="inlineStr">
        <is>
          <t>VÄSTERNORRLANDS LÄN</t>
        </is>
      </c>
      <c r="E862" t="inlineStr">
        <is>
          <t>ÅNGE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18668-2023</t>
        </is>
      </c>
      <c r="B863" s="1" t="n">
        <v>45043.57108796296</v>
      </c>
      <c r="C863" s="1" t="n">
        <v>46029</v>
      </c>
      <c r="D863" t="inlineStr">
        <is>
          <t>VÄSTERNORRLANDS LÄN</t>
        </is>
      </c>
      <c r="E863" t="inlineStr">
        <is>
          <t>ÅNGE</t>
        </is>
      </c>
      <c r="G863" t="n">
        <v>3.4</v>
      </c>
      <c r="H863" t="n">
        <v>0</v>
      </c>
      <c r="I863" t="n">
        <v>0</v>
      </c>
      <c r="J863" t="n">
        <v>0</v>
      </c>
      <c r="K863" t="n">
        <v>0</v>
      </c>
      <c r="L863" t="n">
        <v>0</v>
      </c>
      <c r="M863" t="n">
        <v>0</v>
      </c>
      <c r="N863" t="n">
        <v>0</v>
      </c>
      <c r="O863" t="n">
        <v>0</v>
      </c>
      <c r="P863" t="n">
        <v>0</v>
      </c>
      <c r="Q863" t="n">
        <v>0</v>
      </c>
      <c r="R863" s="2" t="inlineStr"/>
    </row>
    <row r="864" ht="15" customHeight="1">
      <c r="A864" t="inlineStr">
        <is>
          <t>A 62261-2022</t>
        </is>
      </c>
      <c r="B864" s="1" t="n">
        <v>44922.94378472222</v>
      </c>
      <c r="C864" s="1" t="n">
        <v>46029</v>
      </c>
      <c r="D864" t="inlineStr">
        <is>
          <t>VÄSTERNORRLANDS LÄN</t>
        </is>
      </c>
      <c r="E864" t="inlineStr">
        <is>
          <t>ÅNGE</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16524-2025</t>
        </is>
      </c>
      <c r="B865" s="1" t="n">
        <v>45751.64310185185</v>
      </c>
      <c r="C865" s="1" t="n">
        <v>46029</v>
      </c>
      <c r="D865" t="inlineStr">
        <is>
          <t>VÄSTERNORRLANDS LÄN</t>
        </is>
      </c>
      <c r="E865" t="inlineStr">
        <is>
          <t>ÅNGE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47779-2023</t>
        </is>
      </c>
      <c r="B866" s="1" t="n">
        <v>45203.92232638889</v>
      </c>
      <c r="C866" s="1" t="n">
        <v>46029</v>
      </c>
      <c r="D866" t="inlineStr">
        <is>
          <t>VÄSTERNORRLANDS LÄN</t>
        </is>
      </c>
      <c r="E866" t="inlineStr">
        <is>
          <t>ÅNGE</t>
        </is>
      </c>
      <c r="G866" t="n">
        <v>9.6</v>
      </c>
      <c r="H866" t="n">
        <v>0</v>
      </c>
      <c r="I866" t="n">
        <v>0</v>
      </c>
      <c r="J866" t="n">
        <v>0</v>
      </c>
      <c r="K866" t="n">
        <v>0</v>
      </c>
      <c r="L866" t="n">
        <v>0</v>
      </c>
      <c r="M866" t="n">
        <v>0</v>
      </c>
      <c r="N866" t="n">
        <v>0</v>
      </c>
      <c r="O866" t="n">
        <v>0</v>
      </c>
      <c r="P866" t="n">
        <v>0</v>
      </c>
      <c r="Q866" t="n">
        <v>0</v>
      </c>
      <c r="R866" s="2" t="inlineStr"/>
    </row>
    <row r="867" ht="15" customHeight="1">
      <c r="A867" t="inlineStr">
        <is>
          <t>A 49502-2022</t>
        </is>
      </c>
      <c r="B867" s="1" t="n">
        <v>44861.92613425926</v>
      </c>
      <c r="C867" s="1" t="n">
        <v>46029</v>
      </c>
      <c r="D867" t="inlineStr">
        <is>
          <t>VÄSTERNORRLANDS LÄN</t>
        </is>
      </c>
      <c r="E867" t="inlineStr">
        <is>
          <t>ÅNGE</t>
        </is>
      </c>
      <c r="G867" t="n">
        <v>0.8</v>
      </c>
      <c r="H867" t="n">
        <v>0</v>
      </c>
      <c r="I867" t="n">
        <v>0</v>
      </c>
      <c r="J867" t="n">
        <v>0</v>
      </c>
      <c r="K867" t="n">
        <v>0</v>
      </c>
      <c r="L867" t="n">
        <v>0</v>
      </c>
      <c r="M867" t="n">
        <v>0</v>
      </c>
      <c r="N867" t="n">
        <v>0</v>
      </c>
      <c r="O867" t="n">
        <v>0</v>
      </c>
      <c r="P867" t="n">
        <v>0</v>
      </c>
      <c r="Q867" t="n">
        <v>0</v>
      </c>
      <c r="R867" s="2" t="inlineStr"/>
    </row>
    <row r="868" ht="15" customHeight="1">
      <c r="A868" t="inlineStr">
        <is>
          <t>A 48679-2025</t>
        </is>
      </c>
      <c r="B868" s="1" t="n">
        <v>45936.59196759259</v>
      </c>
      <c r="C868" s="1" t="n">
        <v>46029</v>
      </c>
      <c r="D868" t="inlineStr">
        <is>
          <t>VÄSTERNORRLANDS LÄN</t>
        </is>
      </c>
      <c r="E868" t="inlineStr">
        <is>
          <t>ÅNGE</t>
        </is>
      </c>
      <c r="G868" t="n">
        <v>2.1</v>
      </c>
      <c r="H868" t="n">
        <v>0</v>
      </c>
      <c r="I868" t="n">
        <v>0</v>
      </c>
      <c r="J868" t="n">
        <v>0</v>
      </c>
      <c r="K868" t="n">
        <v>0</v>
      </c>
      <c r="L868" t="n">
        <v>0</v>
      </c>
      <c r="M868" t="n">
        <v>0</v>
      </c>
      <c r="N868" t="n">
        <v>0</v>
      </c>
      <c r="O868" t="n">
        <v>0</v>
      </c>
      <c r="P868" t="n">
        <v>0</v>
      </c>
      <c r="Q868" t="n">
        <v>0</v>
      </c>
      <c r="R868" s="2" t="inlineStr"/>
    </row>
    <row r="869" ht="15" customHeight="1">
      <c r="A869" t="inlineStr">
        <is>
          <t>A 41825-2022</t>
        </is>
      </c>
      <c r="B869" s="1" t="n">
        <v>44827</v>
      </c>
      <c r="C869" s="1" t="n">
        <v>46029</v>
      </c>
      <c r="D869" t="inlineStr">
        <is>
          <t>VÄSTERNORRLANDS LÄN</t>
        </is>
      </c>
      <c r="E869" t="inlineStr">
        <is>
          <t>ÅNGE</t>
        </is>
      </c>
      <c r="F869" t="inlineStr">
        <is>
          <t>SCA</t>
        </is>
      </c>
      <c r="G869" t="n">
        <v>3.3</v>
      </c>
      <c r="H869" t="n">
        <v>0</v>
      </c>
      <c r="I869" t="n">
        <v>0</v>
      </c>
      <c r="J869" t="n">
        <v>0</v>
      </c>
      <c r="K869" t="n">
        <v>0</v>
      </c>
      <c r="L869" t="n">
        <v>0</v>
      </c>
      <c r="M869" t="n">
        <v>0</v>
      </c>
      <c r="N869" t="n">
        <v>0</v>
      </c>
      <c r="O869" t="n">
        <v>0</v>
      </c>
      <c r="P869" t="n">
        <v>0</v>
      </c>
      <c r="Q869" t="n">
        <v>0</v>
      </c>
      <c r="R869" s="2" t="inlineStr"/>
      <c r="U869">
        <f>HYPERLINK("https://klasma.github.io/Logging_2260/knärot/A 41825-2022 karta knärot.png", "A 41825-2022")</f>
        <v/>
      </c>
      <c r="V869">
        <f>HYPERLINK("https://klasma.github.io/Logging_2260/klagomål/A 41825-2022 FSC-klagomål.docx", "A 41825-2022")</f>
        <v/>
      </c>
      <c r="W869">
        <f>HYPERLINK("https://klasma.github.io/Logging_2260/klagomålsmail/A 41825-2022 FSC-klagomål mail.docx", "A 41825-2022")</f>
        <v/>
      </c>
      <c r="X869">
        <f>HYPERLINK("https://klasma.github.io/Logging_2260/tillsyn/A 41825-2022 tillsynsbegäran.docx", "A 41825-2022")</f>
        <v/>
      </c>
      <c r="Y869">
        <f>HYPERLINK("https://klasma.github.io/Logging_2260/tillsynsmail/A 41825-2022 tillsynsbegäran mail.docx", "A 41825-2022")</f>
        <v/>
      </c>
    </row>
    <row r="870" ht="15" customHeight="1">
      <c r="A870" t="inlineStr">
        <is>
          <t>A 42958-2024</t>
        </is>
      </c>
      <c r="B870" s="1" t="n">
        <v>45567.37131944444</v>
      </c>
      <c r="C870" s="1" t="n">
        <v>46029</v>
      </c>
      <c r="D870" t="inlineStr">
        <is>
          <t>VÄSTERNORRLANDS LÄN</t>
        </is>
      </c>
      <c r="E870" t="inlineStr">
        <is>
          <t>ÅNGE</t>
        </is>
      </c>
      <c r="F870" t="inlineStr">
        <is>
          <t>SCA</t>
        </is>
      </c>
      <c r="G870" t="n">
        <v>0.4</v>
      </c>
      <c r="H870" t="n">
        <v>0</v>
      </c>
      <c r="I870" t="n">
        <v>0</v>
      </c>
      <c r="J870" t="n">
        <v>0</v>
      </c>
      <c r="K870" t="n">
        <v>0</v>
      </c>
      <c r="L870" t="n">
        <v>0</v>
      </c>
      <c r="M870" t="n">
        <v>0</v>
      </c>
      <c r="N870" t="n">
        <v>0</v>
      </c>
      <c r="O870" t="n">
        <v>0</v>
      </c>
      <c r="P870" t="n">
        <v>0</v>
      </c>
      <c r="Q870" t="n">
        <v>0</v>
      </c>
      <c r="R870" s="2" t="inlineStr"/>
    </row>
    <row r="871" ht="15" customHeight="1">
      <c r="A871" t="inlineStr">
        <is>
          <t>A 18112-2025</t>
        </is>
      </c>
      <c r="B871" s="1" t="n">
        <v>45761.57350694444</v>
      </c>
      <c r="C871" s="1" t="n">
        <v>46029</v>
      </c>
      <c r="D871" t="inlineStr">
        <is>
          <t>VÄSTERNORRLANDS LÄN</t>
        </is>
      </c>
      <c r="E871" t="inlineStr">
        <is>
          <t>ÅNGE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34861-2024</t>
        </is>
      </c>
      <c r="B872" s="1" t="n">
        <v>45527.339375</v>
      </c>
      <c r="C872" s="1" t="n">
        <v>46029</v>
      </c>
      <c r="D872" t="inlineStr">
        <is>
          <t>VÄSTERNORRLANDS LÄN</t>
        </is>
      </c>
      <c r="E872" t="inlineStr">
        <is>
          <t>ÅNGE</t>
        </is>
      </c>
      <c r="F872" t="inlineStr">
        <is>
          <t>SCA</t>
        </is>
      </c>
      <c r="G872" t="n">
        <v>9.1</v>
      </c>
      <c r="H872" t="n">
        <v>0</v>
      </c>
      <c r="I872" t="n">
        <v>0</v>
      </c>
      <c r="J872" t="n">
        <v>0</v>
      </c>
      <c r="K872" t="n">
        <v>0</v>
      </c>
      <c r="L872" t="n">
        <v>0</v>
      </c>
      <c r="M872" t="n">
        <v>0</v>
      </c>
      <c r="N872" t="n">
        <v>0</v>
      </c>
      <c r="O872" t="n">
        <v>0</v>
      </c>
      <c r="P872" t="n">
        <v>0</v>
      </c>
      <c r="Q872" t="n">
        <v>0</v>
      </c>
      <c r="R872" s="2" t="inlineStr"/>
    </row>
    <row r="873" ht="15" customHeight="1">
      <c r="A873" t="inlineStr">
        <is>
          <t>A 17601-2024</t>
        </is>
      </c>
      <c r="B873" s="1" t="n">
        <v>45415</v>
      </c>
      <c r="C873" s="1" t="n">
        <v>46029</v>
      </c>
      <c r="D873" t="inlineStr">
        <is>
          <t>VÄSTERNORRLANDS LÄN</t>
        </is>
      </c>
      <c r="E873" t="inlineStr">
        <is>
          <t>ÅNGE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49377-2025</t>
        </is>
      </c>
      <c r="B874" s="1" t="n">
        <v>45938.63626157407</v>
      </c>
      <c r="C874" s="1" t="n">
        <v>46029</v>
      </c>
      <c r="D874" t="inlineStr">
        <is>
          <t>VÄSTERNORRLANDS LÄN</t>
        </is>
      </c>
      <c r="E874" t="inlineStr">
        <is>
          <t>ÅNGE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49156-2025</t>
        </is>
      </c>
      <c r="B875" s="1" t="n">
        <v>45938.3458912037</v>
      </c>
      <c r="C875" s="1" t="n">
        <v>46029</v>
      </c>
      <c r="D875" t="inlineStr">
        <is>
          <t>VÄSTERNORRLANDS LÄN</t>
        </is>
      </c>
      <c r="E875" t="inlineStr">
        <is>
          <t>ÅNGE</t>
        </is>
      </c>
      <c r="G875" t="n">
        <v>2.3</v>
      </c>
      <c r="H875" t="n">
        <v>0</v>
      </c>
      <c r="I875" t="n">
        <v>0</v>
      </c>
      <c r="J875" t="n">
        <v>0</v>
      </c>
      <c r="K875" t="n">
        <v>0</v>
      </c>
      <c r="L875" t="n">
        <v>0</v>
      </c>
      <c r="M875" t="n">
        <v>0</v>
      </c>
      <c r="N875" t="n">
        <v>0</v>
      </c>
      <c r="O875" t="n">
        <v>0</v>
      </c>
      <c r="P875" t="n">
        <v>0</v>
      </c>
      <c r="Q875" t="n">
        <v>0</v>
      </c>
      <c r="R875" s="2" t="inlineStr"/>
    </row>
    <row r="876" ht="15" customHeight="1">
      <c r="A876" t="inlineStr">
        <is>
          <t>A 57846-2022</t>
        </is>
      </c>
      <c r="B876" s="1" t="n">
        <v>44897.95008101852</v>
      </c>
      <c r="C876" s="1" t="n">
        <v>46029</v>
      </c>
      <c r="D876" t="inlineStr">
        <is>
          <t>VÄSTERNORRLANDS LÄN</t>
        </is>
      </c>
      <c r="E876" t="inlineStr">
        <is>
          <t>ÅNGE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49179-2025</t>
        </is>
      </c>
      <c r="B877" s="1" t="n">
        <v>45938.38579861111</v>
      </c>
      <c r="C877" s="1" t="n">
        <v>46029</v>
      </c>
      <c r="D877" t="inlineStr">
        <is>
          <t>VÄSTERNORRLANDS LÄN</t>
        </is>
      </c>
      <c r="E877" t="inlineStr">
        <is>
          <t>ÅNGE</t>
        </is>
      </c>
      <c r="G877" t="n">
        <v>2.3</v>
      </c>
      <c r="H877" t="n">
        <v>0</v>
      </c>
      <c r="I877" t="n">
        <v>0</v>
      </c>
      <c r="J877" t="n">
        <v>0</v>
      </c>
      <c r="K877" t="n">
        <v>0</v>
      </c>
      <c r="L877" t="n">
        <v>0</v>
      </c>
      <c r="M877" t="n">
        <v>0</v>
      </c>
      <c r="N877" t="n">
        <v>0</v>
      </c>
      <c r="O877" t="n">
        <v>0</v>
      </c>
      <c r="P877" t="n">
        <v>0</v>
      </c>
      <c r="Q877" t="n">
        <v>0</v>
      </c>
      <c r="R877" s="2" t="inlineStr"/>
    </row>
    <row r="878" ht="15" customHeight="1">
      <c r="A878" t="inlineStr">
        <is>
          <t>A 49381-2025</t>
        </is>
      </c>
      <c r="B878" s="1" t="n">
        <v>45938.63694444444</v>
      </c>
      <c r="C878" s="1" t="n">
        <v>46029</v>
      </c>
      <c r="D878" t="inlineStr">
        <is>
          <t>VÄSTERNORRLANDS LÄN</t>
        </is>
      </c>
      <c r="E878" t="inlineStr">
        <is>
          <t>ÅNGE</t>
        </is>
      </c>
      <c r="F878" t="inlineStr">
        <is>
          <t>SCA</t>
        </is>
      </c>
      <c r="G878" t="n">
        <v>20.6</v>
      </c>
      <c r="H878" t="n">
        <v>0</v>
      </c>
      <c r="I878" t="n">
        <v>0</v>
      </c>
      <c r="J878" t="n">
        <v>0</v>
      </c>
      <c r="K878" t="n">
        <v>0</v>
      </c>
      <c r="L878" t="n">
        <v>0</v>
      </c>
      <c r="M878" t="n">
        <v>0</v>
      </c>
      <c r="N878" t="n">
        <v>0</v>
      </c>
      <c r="O878" t="n">
        <v>0</v>
      </c>
      <c r="P878" t="n">
        <v>0</v>
      </c>
      <c r="Q878" t="n">
        <v>0</v>
      </c>
      <c r="R878" s="2" t="inlineStr"/>
    </row>
    <row r="879" ht="15" customHeight="1">
      <c r="A879" t="inlineStr">
        <is>
          <t>A 36342-2024</t>
        </is>
      </c>
      <c r="B879" s="1" t="n">
        <v>45534.64315972223</v>
      </c>
      <c r="C879" s="1" t="n">
        <v>46029</v>
      </c>
      <c r="D879" t="inlineStr">
        <is>
          <t>VÄSTERNORRLANDS LÄN</t>
        </is>
      </c>
      <c r="E879" t="inlineStr">
        <is>
          <t>ÅNGE</t>
        </is>
      </c>
      <c r="F879" t="inlineStr">
        <is>
          <t>SCA</t>
        </is>
      </c>
      <c r="G879" t="n">
        <v>3.6</v>
      </c>
      <c r="H879" t="n">
        <v>0</v>
      </c>
      <c r="I879" t="n">
        <v>0</v>
      </c>
      <c r="J879" t="n">
        <v>0</v>
      </c>
      <c r="K879" t="n">
        <v>0</v>
      </c>
      <c r="L879" t="n">
        <v>0</v>
      </c>
      <c r="M879" t="n">
        <v>0</v>
      </c>
      <c r="N879" t="n">
        <v>0</v>
      </c>
      <c r="O879" t="n">
        <v>0</v>
      </c>
      <c r="P879" t="n">
        <v>0</v>
      </c>
      <c r="Q879" t="n">
        <v>0</v>
      </c>
      <c r="R879" s="2" t="inlineStr"/>
    </row>
    <row r="880" ht="15" customHeight="1">
      <c r="A880" t="inlineStr">
        <is>
          <t>A 54771-2023</t>
        </is>
      </c>
      <c r="B880" s="1" t="n">
        <v>45229</v>
      </c>
      <c r="C880" s="1" t="n">
        <v>46029</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32922-2024</t>
        </is>
      </c>
      <c r="B881" s="1" t="n">
        <v>45516.95263888889</v>
      </c>
      <c r="C881" s="1" t="n">
        <v>46029</v>
      </c>
      <c r="D881" t="inlineStr">
        <is>
          <t>VÄSTERNORRLANDS LÄN</t>
        </is>
      </c>
      <c r="E881" t="inlineStr">
        <is>
          <t>ÅNGE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20338-2025</t>
        </is>
      </c>
      <c r="B882" s="1" t="n">
        <v>45775</v>
      </c>
      <c r="C882" s="1" t="n">
        <v>46029</v>
      </c>
      <c r="D882" t="inlineStr">
        <is>
          <t>VÄSTERNORRLANDS LÄN</t>
        </is>
      </c>
      <c r="E882" t="inlineStr">
        <is>
          <t>ÅNGE</t>
        </is>
      </c>
      <c r="F882" t="inlineStr">
        <is>
          <t>SCA</t>
        </is>
      </c>
      <c r="G882" t="n">
        <v>5.7</v>
      </c>
      <c r="H882" t="n">
        <v>0</v>
      </c>
      <c r="I882" t="n">
        <v>0</v>
      </c>
      <c r="J882" t="n">
        <v>0</v>
      </c>
      <c r="K882" t="n">
        <v>0</v>
      </c>
      <c r="L882" t="n">
        <v>0</v>
      </c>
      <c r="M882" t="n">
        <v>0</v>
      </c>
      <c r="N882" t="n">
        <v>0</v>
      </c>
      <c r="O882" t="n">
        <v>0</v>
      </c>
      <c r="P882" t="n">
        <v>0</v>
      </c>
      <c r="Q882" t="n">
        <v>0</v>
      </c>
      <c r="R882" s="2" t="inlineStr"/>
    </row>
    <row r="883" ht="15" customHeight="1">
      <c r="A883" t="inlineStr">
        <is>
          <t>A 36457-2021</t>
        </is>
      </c>
      <c r="B883" s="1" t="n">
        <v>44390.93858796296</v>
      </c>
      <c r="C883" s="1" t="n">
        <v>46029</v>
      </c>
      <c r="D883" t="inlineStr">
        <is>
          <t>VÄSTERNORRLANDS LÄN</t>
        </is>
      </c>
      <c r="E883" t="inlineStr">
        <is>
          <t>ÅNGE</t>
        </is>
      </c>
      <c r="G883" t="n">
        <v>1.6</v>
      </c>
      <c r="H883" t="n">
        <v>0</v>
      </c>
      <c r="I883" t="n">
        <v>0</v>
      </c>
      <c r="J883" t="n">
        <v>0</v>
      </c>
      <c r="K883" t="n">
        <v>0</v>
      </c>
      <c r="L883" t="n">
        <v>0</v>
      </c>
      <c r="M883" t="n">
        <v>0</v>
      </c>
      <c r="N883" t="n">
        <v>0</v>
      </c>
      <c r="O883" t="n">
        <v>0</v>
      </c>
      <c r="P883" t="n">
        <v>0</v>
      </c>
      <c r="Q883" t="n">
        <v>0</v>
      </c>
      <c r="R883" s="2" t="inlineStr"/>
    </row>
    <row r="884" ht="15" customHeight="1">
      <c r="A884" t="inlineStr">
        <is>
          <t>A 49562-2025</t>
        </is>
      </c>
      <c r="B884" s="1" t="n">
        <v>45939.46524305556</v>
      </c>
      <c r="C884" s="1" t="n">
        <v>46029</v>
      </c>
      <c r="D884" t="inlineStr">
        <is>
          <t>VÄSTERNORRLANDS LÄN</t>
        </is>
      </c>
      <c r="E884" t="inlineStr">
        <is>
          <t>ÅNGE</t>
        </is>
      </c>
      <c r="G884" t="n">
        <v>4.4</v>
      </c>
      <c r="H884" t="n">
        <v>0</v>
      </c>
      <c r="I884" t="n">
        <v>0</v>
      </c>
      <c r="J884" t="n">
        <v>0</v>
      </c>
      <c r="K884" t="n">
        <v>0</v>
      </c>
      <c r="L884" t="n">
        <v>0</v>
      </c>
      <c r="M884" t="n">
        <v>0</v>
      </c>
      <c r="N884" t="n">
        <v>0</v>
      </c>
      <c r="O884" t="n">
        <v>0</v>
      </c>
      <c r="P884" t="n">
        <v>0</v>
      </c>
      <c r="Q884" t="n">
        <v>0</v>
      </c>
      <c r="R884" s="2" t="inlineStr"/>
    </row>
    <row r="885" ht="15" customHeight="1">
      <c r="A885" t="inlineStr">
        <is>
          <t>A 49476-2025</t>
        </is>
      </c>
      <c r="B885" s="1" t="n">
        <v>45939.34506944445</v>
      </c>
      <c r="C885" s="1" t="n">
        <v>46029</v>
      </c>
      <c r="D885" t="inlineStr">
        <is>
          <t>VÄSTERNORRLANDS LÄN</t>
        </is>
      </c>
      <c r="E885" t="inlineStr">
        <is>
          <t>ÅNGE</t>
        </is>
      </c>
      <c r="F885" t="inlineStr">
        <is>
          <t>SCA</t>
        </is>
      </c>
      <c r="G885" t="n">
        <v>11.4</v>
      </c>
      <c r="H885" t="n">
        <v>0</v>
      </c>
      <c r="I885" t="n">
        <v>0</v>
      </c>
      <c r="J885" t="n">
        <v>0</v>
      </c>
      <c r="K885" t="n">
        <v>0</v>
      </c>
      <c r="L885" t="n">
        <v>0</v>
      </c>
      <c r="M885" t="n">
        <v>0</v>
      </c>
      <c r="N885" t="n">
        <v>0</v>
      </c>
      <c r="O885" t="n">
        <v>0</v>
      </c>
      <c r="P885" t="n">
        <v>0</v>
      </c>
      <c r="Q885" t="n">
        <v>0</v>
      </c>
      <c r="R885" s="2" t="inlineStr"/>
    </row>
    <row r="886" ht="15" customHeight="1">
      <c r="A886" t="inlineStr">
        <is>
          <t>A 56699-2023</t>
        </is>
      </c>
      <c r="B886" s="1" t="n">
        <v>45243</v>
      </c>
      <c r="C886" s="1" t="n">
        <v>46029</v>
      </c>
      <c r="D886" t="inlineStr">
        <is>
          <t>VÄSTERNORRLANDS LÄN</t>
        </is>
      </c>
      <c r="E886" t="inlineStr">
        <is>
          <t>ÅNGE</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61928-2021</t>
        </is>
      </c>
      <c r="B887" s="1" t="n">
        <v>44502.38475694445</v>
      </c>
      <c r="C887" s="1" t="n">
        <v>46029</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16303-2025</t>
        </is>
      </c>
      <c r="B888" s="1" t="n">
        <v>45751.3462037037</v>
      </c>
      <c r="C888" s="1" t="n">
        <v>46029</v>
      </c>
      <c r="D888" t="inlineStr">
        <is>
          <t>VÄSTERNORRLANDS LÄN</t>
        </is>
      </c>
      <c r="E888" t="inlineStr">
        <is>
          <t>ÅNGE</t>
        </is>
      </c>
      <c r="F888" t="inlineStr">
        <is>
          <t>SCA</t>
        </is>
      </c>
      <c r="G888" t="n">
        <v>0.3</v>
      </c>
      <c r="H888" t="n">
        <v>0</v>
      </c>
      <c r="I888" t="n">
        <v>0</v>
      </c>
      <c r="J888" t="n">
        <v>0</v>
      </c>
      <c r="K888" t="n">
        <v>0</v>
      </c>
      <c r="L888" t="n">
        <v>0</v>
      </c>
      <c r="M888" t="n">
        <v>0</v>
      </c>
      <c r="N888" t="n">
        <v>0</v>
      </c>
      <c r="O888" t="n">
        <v>0</v>
      </c>
      <c r="P888" t="n">
        <v>0</v>
      </c>
      <c r="Q888" t="n">
        <v>0</v>
      </c>
      <c r="R888" s="2" t="inlineStr"/>
    </row>
    <row r="889" ht="15" customHeight="1">
      <c r="A889" t="inlineStr">
        <is>
          <t>A 37051-2021</t>
        </is>
      </c>
      <c r="B889" s="1" t="n">
        <v>44393</v>
      </c>
      <c r="C889" s="1" t="n">
        <v>46029</v>
      </c>
      <c r="D889" t="inlineStr">
        <is>
          <t>VÄSTERNORRLANDS LÄN</t>
        </is>
      </c>
      <c r="E889" t="inlineStr">
        <is>
          <t>ÅNGE</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56908-2021</t>
        </is>
      </c>
      <c r="B890" s="1" t="n">
        <v>44481.93844907408</v>
      </c>
      <c r="C890" s="1" t="n">
        <v>46029</v>
      </c>
      <c r="D890" t="inlineStr">
        <is>
          <t>VÄSTERNORRLANDS LÄN</t>
        </is>
      </c>
      <c r="E890" t="inlineStr">
        <is>
          <t>ÅNGE</t>
        </is>
      </c>
      <c r="G890" t="n">
        <v>12</v>
      </c>
      <c r="H890" t="n">
        <v>0</v>
      </c>
      <c r="I890" t="n">
        <v>0</v>
      </c>
      <c r="J890" t="n">
        <v>0</v>
      </c>
      <c r="K890" t="n">
        <v>0</v>
      </c>
      <c r="L890" t="n">
        <v>0</v>
      </c>
      <c r="M890" t="n">
        <v>0</v>
      </c>
      <c r="N890" t="n">
        <v>0</v>
      </c>
      <c r="O890" t="n">
        <v>0</v>
      </c>
      <c r="P890" t="n">
        <v>0</v>
      </c>
      <c r="Q890" t="n">
        <v>0</v>
      </c>
      <c r="R890" s="2" t="inlineStr"/>
    </row>
    <row r="891" ht="15" customHeight="1">
      <c r="A891" t="inlineStr">
        <is>
          <t>A 732-2023</t>
        </is>
      </c>
      <c r="B891" s="1" t="n">
        <v>44931.29981481482</v>
      </c>
      <c r="C891" s="1" t="n">
        <v>46029</v>
      </c>
      <c r="D891" t="inlineStr">
        <is>
          <t>VÄSTERNORRLANDS LÄN</t>
        </is>
      </c>
      <c r="E891" t="inlineStr">
        <is>
          <t>ÅNGE</t>
        </is>
      </c>
      <c r="F891" t="inlineStr">
        <is>
          <t>Sveaskog</t>
        </is>
      </c>
      <c r="G891" t="n">
        <v>3.6</v>
      </c>
      <c r="H891" t="n">
        <v>0</v>
      </c>
      <c r="I891" t="n">
        <v>0</v>
      </c>
      <c r="J891" t="n">
        <v>0</v>
      </c>
      <c r="K891" t="n">
        <v>0</v>
      </c>
      <c r="L891" t="n">
        <v>0</v>
      </c>
      <c r="M891" t="n">
        <v>0</v>
      </c>
      <c r="N891" t="n">
        <v>0</v>
      </c>
      <c r="O891" t="n">
        <v>0</v>
      </c>
      <c r="P891" t="n">
        <v>0</v>
      </c>
      <c r="Q891" t="n">
        <v>0</v>
      </c>
      <c r="R891" s="2" t="inlineStr"/>
    </row>
    <row r="892" ht="15" customHeight="1">
      <c r="A892" t="inlineStr">
        <is>
          <t>A 5520-2022</t>
        </is>
      </c>
      <c r="B892" s="1" t="n">
        <v>44595</v>
      </c>
      <c r="C892" s="1" t="n">
        <v>46029</v>
      </c>
      <c r="D892" t="inlineStr">
        <is>
          <t>VÄSTERNORRLANDS LÄN</t>
        </is>
      </c>
      <c r="E892" t="inlineStr">
        <is>
          <t>ÅNGE</t>
        </is>
      </c>
      <c r="G892" t="n">
        <v>4.9</v>
      </c>
      <c r="H892" t="n">
        <v>0</v>
      </c>
      <c r="I892" t="n">
        <v>0</v>
      </c>
      <c r="J892" t="n">
        <v>0</v>
      </c>
      <c r="K892" t="n">
        <v>0</v>
      </c>
      <c r="L892" t="n">
        <v>0</v>
      </c>
      <c r="M892" t="n">
        <v>0</v>
      </c>
      <c r="N892" t="n">
        <v>0</v>
      </c>
      <c r="O892" t="n">
        <v>0</v>
      </c>
      <c r="P892" t="n">
        <v>0</v>
      </c>
      <c r="Q892" t="n">
        <v>0</v>
      </c>
      <c r="R892" s="2" t="inlineStr"/>
    </row>
    <row r="893" ht="15" customHeight="1">
      <c r="A893" t="inlineStr">
        <is>
          <t>A 49669-2025</t>
        </is>
      </c>
      <c r="B893" s="1" t="n">
        <v>45939.63710648148</v>
      </c>
      <c r="C893" s="1" t="n">
        <v>46029</v>
      </c>
      <c r="D893" t="inlineStr">
        <is>
          <t>VÄSTERNORRLANDS LÄN</t>
        </is>
      </c>
      <c r="E893" t="inlineStr">
        <is>
          <t>ÅNGE</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49603-2025</t>
        </is>
      </c>
      <c r="B894" s="1" t="n">
        <v>45939.5484375</v>
      </c>
      <c r="C894" s="1" t="n">
        <v>46029</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49600-2025</t>
        </is>
      </c>
      <c r="B895" s="1" t="n">
        <v>45939.54434027777</v>
      </c>
      <c r="C895" s="1" t="n">
        <v>46029</v>
      </c>
      <c r="D895" t="inlineStr">
        <is>
          <t>VÄSTERNORRLANDS LÄN</t>
        </is>
      </c>
      <c r="E895" t="inlineStr">
        <is>
          <t>ÅNGE</t>
        </is>
      </c>
      <c r="G895" t="n">
        <v>1.4</v>
      </c>
      <c r="H895" t="n">
        <v>0</v>
      </c>
      <c r="I895" t="n">
        <v>0</v>
      </c>
      <c r="J895" t="n">
        <v>0</v>
      </c>
      <c r="K895" t="n">
        <v>0</v>
      </c>
      <c r="L895" t="n">
        <v>0</v>
      </c>
      <c r="M895" t="n">
        <v>0</v>
      </c>
      <c r="N895" t="n">
        <v>0</v>
      </c>
      <c r="O895" t="n">
        <v>0</v>
      </c>
      <c r="P895" t="n">
        <v>0</v>
      </c>
      <c r="Q895" t="n">
        <v>0</v>
      </c>
      <c r="R895" s="2" t="inlineStr"/>
    </row>
    <row r="896" ht="15" customHeight="1">
      <c r="A896" t="inlineStr">
        <is>
          <t>A 36786-2024</t>
        </is>
      </c>
      <c r="B896" s="1" t="n">
        <v>45538</v>
      </c>
      <c r="C896" s="1" t="n">
        <v>46029</v>
      </c>
      <c r="D896" t="inlineStr">
        <is>
          <t>VÄSTERNORRLANDS LÄN</t>
        </is>
      </c>
      <c r="E896" t="inlineStr">
        <is>
          <t>ÅNGE</t>
        </is>
      </c>
      <c r="F896" t="inlineStr">
        <is>
          <t>SCA</t>
        </is>
      </c>
      <c r="G896" t="n">
        <v>5.2</v>
      </c>
      <c r="H896" t="n">
        <v>0</v>
      </c>
      <c r="I896" t="n">
        <v>0</v>
      </c>
      <c r="J896" t="n">
        <v>0</v>
      </c>
      <c r="K896" t="n">
        <v>0</v>
      </c>
      <c r="L896" t="n">
        <v>0</v>
      </c>
      <c r="M896" t="n">
        <v>0</v>
      </c>
      <c r="N896" t="n">
        <v>0</v>
      </c>
      <c r="O896" t="n">
        <v>0</v>
      </c>
      <c r="P896" t="n">
        <v>0</v>
      </c>
      <c r="Q896" t="n">
        <v>0</v>
      </c>
      <c r="R896" s="2" t="inlineStr"/>
    </row>
    <row r="897" ht="15" customHeight="1">
      <c r="A897" t="inlineStr">
        <is>
          <t>A 53663-2022</t>
        </is>
      </c>
      <c r="B897" s="1" t="n">
        <v>44879</v>
      </c>
      <c r="C897" s="1" t="n">
        <v>46029</v>
      </c>
      <c r="D897" t="inlineStr">
        <is>
          <t>VÄSTERNORRLANDS LÄN</t>
        </is>
      </c>
      <c r="E897" t="inlineStr">
        <is>
          <t>ÅNGE</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49566-2025</t>
        </is>
      </c>
      <c r="B898" s="1" t="n">
        <v>45939.46939814815</v>
      </c>
      <c r="C898" s="1" t="n">
        <v>46029</v>
      </c>
      <c r="D898" t="inlineStr">
        <is>
          <t>VÄSTERNORRLANDS LÄN</t>
        </is>
      </c>
      <c r="E898" t="inlineStr">
        <is>
          <t>ÅNGE</t>
        </is>
      </c>
      <c r="F898" t="inlineStr">
        <is>
          <t>SCA</t>
        </is>
      </c>
      <c r="G898" t="n">
        <v>7.7</v>
      </c>
      <c r="H898" t="n">
        <v>0</v>
      </c>
      <c r="I898" t="n">
        <v>0</v>
      </c>
      <c r="J898" t="n">
        <v>0</v>
      </c>
      <c r="K898" t="n">
        <v>0</v>
      </c>
      <c r="L898" t="n">
        <v>0</v>
      </c>
      <c r="M898" t="n">
        <v>0</v>
      </c>
      <c r="N898" t="n">
        <v>0</v>
      </c>
      <c r="O898" t="n">
        <v>0</v>
      </c>
      <c r="P898" t="n">
        <v>0</v>
      </c>
      <c r="Q898" t="n">
        <v>0</v>
      </c>
      <c r="R898" s="2" t="inlineStr"/>
    </row>
    <row r="899" ht="15" customHeight="1">
      <c r="A899" t="inlineStr">
        <is>
          <t>A 49711-2024</t>
        </is>
      </c>
      <c r="B899" s="1" t="n">
        <v>45596.69891203703</v>
      </c>
      <c r="C899" s="1" t="n">
        <v>46029</v>
      </c>
      <c r="D899" t="inlineStr">
        <is>
          <t>VÄSTERNORRLANDS LÄN</t>
        </is>
      </c>
      <c r="E899" t="inlineStr">
        <is>
          <t>ÅNGE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24293-2023</t>
        </is>
      </c>
      <c r="B900" s="1" t="n">
        <v>45079.92756944444</v>
      </c>
      <c r="C900" s="1" t="n">
        <v>46029</v>
      </c>
      <c r="D900" t="inlineStr">
        <is>
          <t>VÄSTERNORRLANDS LÄN</t>
        </is>
      </c>
      <c r="E900" t="inlineStr">
        <is>
          <t>ÅNGE</t>
        </is>
      </c>
      <c r="G900" t="n">
        <v>0.8</v>
      </c>
      <c r="H900" t="n">
        <v>0</v>
      </c>
      <c r="I900" t="n">
        <v>0</v>
      </c>
      <c r="J900" t="n">
        <v>0</v>
      </c>
      <c r="K900" t="n">
        <v>0</v>
      </c>
      <c r="L900" t="n">
        <v>0</v>
      </c>
      <c r="M900" t="n">
        <v>0</v>
      </c>
      <c r="N900" t="n">
        <v>0</v>
      </c>
      <c r="O900" t="n">
        <v>0</v>
      </c>
      <c r="P900" t="n">
        <v>0</v>
      </c>
      <c r="Q900" t="n">
        <v>0</v>
      </c>
      <c r="R900" s="2" t="inlineStr"/>
    </row>
    <row r="901" ht="15" customHeight="1">
      <c r="A901" t="inlineStr">
        <is>
          <t>A 25779-2023</t>
        </is>
      </c>
      <c r="B901" s="1" t="n">
        <v>45090.47439814815</v>
      </c>
      <c r="C901" s="1" t="n">
        <v>46029</v>
      </c>
      <c r="D901" t="inlineStr">
        <is>
          <t>VÄSTERNORRLANDS LÄN</t>
        </is>
      </c>
      <c r="E901" t="inlineStr">
        <is>
          <t>ÅNGE</t>
        </is>
      </c>
      <c r="G901" t="n">
        <v>2.4</v>
      </c>
      <c r="H901" t="n">
        <v>0</v>
      </c>
      <c r="I901" t="n">
        <v>0</v>
      </c>
      <c r="J901" t="n">
        <v>0</v>
      </c>
      <c r="K901" t="n">
        <v>0</v>
      </c>
      <c r="L901" t="n">
        <v>0</v>
      </c>
      <c r="M901" t="n">
        <v>0</v>
      </c>
      <c r="N901" t="n">
        <v>0</v>
      </c>
      <c r="O901" t="n">
        <v>0</v>
      </c>
      <c r="P901" t="n">
        <v>0</v>
      </c>
      <c r="Q901" t="n">
        <v>0</v>
      </c>
      <c r="R901" s="2" t="inlineStr"/>
    </row>
    <row r="902" ht="15" customHeight="1">
      <c r="A902" t="inlineStr">
        <is>
          <t>A 9211-2023</t>
        </is>
      </c>
      <c r="B902" s="1" t="n">
        <v>44980</v>
      </c>
      <c r="C902" s="1" t="n">
        <v>46029</v>
      </c>
      <c r="D902" t="inlineStr">
        <is>
          <t>VÄSTERNORRLANDS LÄN</t>
        </is>
      </c>
      <c r="E902" t="inlineStr">
        <is>
          <t>ÅNGE</t>
        </is>
      </c>
      <c r="G902" t="n">
        <v>2.3</v>
      </c>
      <c r="H902" t="n">
        <v>0</v>
      </c>
      <c r="I902" t="n">
        <v>0</v>
      </c>
      <c r="J902" t="n">
        <v>0</v>
      </c>
      <c r="K902" t="n">
        <v>0</v>
      </c>
      <c r="L902" t="n">
        <v>0</v>
      </c>
      <c r="M902" t="n">
        <v>0</v>
      </c>
      <c r="N902" t="n">
        <v>0</v>
      </c>
      <c r="O902" t="n">
        <v>0</v>
      </c>
      <c r="P902" t="n">
        <v>0</v>
      </c>
      <c r="Q902" t="n">
        <v>0</v>
      </c>
      <c r="R902" s="2" t="inlineStr"/>
    </row>
    <row r="903" ht="15" customHeight="1">
      <c r="A903" t="inlineStr">
        <is>
          <t>A 8627-2023</t>
        </is>
      </c>
      <c r="B903" s="1" t="n">
        <v>44977</v>
      </c>
      <c r="C903" s="1" t="n">
        <v>46029</v>
      </c>
      <c r="D903" t="inlineStr">
        <is>
          <t>VÄSTERNORRLANDS LÄN</t>
        </is>
      </c>
      <c r="E903" t="inlineStr">
        <is>
          <t>ÅNGE</t>
        </is>
      </c>
      <c r="G903" t="n">
        <v>3</v>
      </c>
      <c r="H903" t="n">
        <v>0</v>
      </c>
      <c r="I903" t="n">
        <v>0</v>
      </c>
      <c r="J903" t="n">
        <v>0</v>
      </c>
      <c r="K903" t="n">
        <v>0</v>
      </c>
      <c r="L903" t="n">
        <v>0</v>
      </c>
      <c r="M903" t="n">
        <v>0</v>
      </c>
      <c r="N903" t="n">
        <v>0</v>
      </c>
      <c r="O903" t="n">
        <v>0</v>
      </c>
      <c r="P903" t="n">
        <v>0</v>
      </c>
      <c r="Q903" t="n">
        <v>0</v>
      </c>
      <c r="R903" s="2" t="inlineStr"/>
    </row>
    <row r="904" ht="15" customHeight="1">
      <c r="A904" t="inlineStr">
        <is>
          <t>A 27260-2023</t>
        </is>
      </c>
      <c r="B904" s="1" t="n">
        <v>45092</v>
      </c>
      <c r="C904" s="1" t="n">
        <v>46029</v>
      </c>
      <c r="D904" t="inlineStr">
        <is>
          <t>VÄSTERNORRLANDS LÄN</t>
        </is>
      </c>
      <c r="E904" t="inlineStr">
        <is>
          <t>ÅNGE</t>
        </is>
      </c>
      <c r="G904" t="n">
        <v>2.7</v>
      </c>
      <c r="H904" t="n">
        <v>0</v>
      </c>
      <c r="I904" t="n">
        <v>0</v>
      </c>
      <c r="J904" t="n">
        <v>0</v>
      </c>
      <c r="K904" t="n">
        <v>0</v>
      </c>
      <c r="L904" t="n">
        <v>0</v>
      </c>
      <c r="M904" t="n">
        <v>0</v>
      </c>
      <c r="N904" t="n">
        <v>0</v>
      </c>
      <c r="O904" t="n">
        <v>0</v>
      </c>
      <c r="P904" t="n">
        <v>0</v>
      </c>
      <c r="Q904" t="n">
        <v>0</v>
      </c>
      <c r="R904" s="2" t="inlineStr"/>
    </row>
    <row r="905" ht="15" customHeight="1">
      <c r="A905" t="inlineStr">
        <is>
          <t>A 50210-2025</t>
        </is>
      </c>
      <c r="B905" s="1" t="n">
        <v>45943.67379629629</v>
      </c>
      <c r="C905" s="1" t="n">
        <v>46029</v>
      </c>
      <c r="D905" t="inlineStr">
        <is>
          <t>VÄSTERNORRLANDS LÄN</t>
        </is>
      </c>
      <c r="E905" t="inlineStr">
        <is>
          <t>ÅNGE</t>
        </is>
      </c>
      <c r="G905" t="n">
        <v>2.5</v>
      </c>
      <c r="H905" t="n">
        <v>0</v>
      </c>
      <c r="I905" t="n">
        <v>0</v>
      </c>
      <c r="J905" t="n">
        <v>0</v>
      </c>
      <c r="K905" t="n">
        <v>0</v>
      </c>
      <c r="L905" t="n">
        <v>0</v>
      </c>
      <c r="M905" t="n">
        <v>0</v>
      </c>
      <c r="N905" t="n">
        <v>0</v>
      </c>
      <c r="O905" t="n">
        <v>0</v>
      </c>
      <c r="P905" t="n">
        <v>0</v>
      </c>
      <c r="Q905" t="n">
        <v>0</v>
      </c>
      <c r="R905" s="2" t="inlineStr"/>
    </row>
    <row r="906" ht="15" customHeight="1">
      <c r="A906" t="inlineStr">
        <is>
          <t>A 50001-2025</t>
        </is>
      </c>
      <c r="B906" s="1" t="n">
        <v>45943.34421296296</v>
      </c>
      <c r="C906" s="1" t="n">
        <v>46029</v>
      </c>
      <c r="D906" t="inlineStr">
        <is>
          <t>VÄSTERNORRLANDS LÄN</t>
        </is>
      </c>
      <c r="E906" t="inlineStr">
        <is>
          <t>ÅNGE</t>
        </is>
      </c>
      <c r="G906" t="n">
        <v>1.8</v>
      </c>
      <c r="H906" t="n">
        <v>0</v>
      </c>
      <c r="I906" t="n">
        <v>0</v>
      </c>
      <c r="J906" t="n">
        <v>0</v>
      </c>
      <c r="K906" t="n">
        <v>0</v>
      </c>
      <c r="L906" t="n">
        <v>0</v>
      </c>
      <c r="M906" t="n">
        <v>0</v>
      </c>
      <c r="N906" t="n">
        <v>0</v>
      </c>
      <c r="O906" t="n">
        <v>0</v>
      </c>
      <c r="P906" t="n">
        <v>0</v>
      </c>
      <c r="Q906" t="n">
        <v>0</v>
      </c>
      <c r="R906" s="2" t="inlineStr"/>
    </row>
    <row r="907" ht="15" customHeight="1">
      <c r="A907" t="inlineStr">
        <is>
          <t>A 16934-2025</t>
        </is>
      </c>
      <c r="B907" s="1" t="n">
        <v>45755.40671296296</v>
      </c>
      <c r="C907" s="1" t="n">
        <v>46029</v>
      </c>
      <c r="D907" t="inlineStr">
        <is>
          <t>VÄSTERNORRLANDS LÄN</t>
        </is>
      </c>
      <c r="E907" t="inlineStr">
        <is>
          <t>ÅNGE</t>
        </is>
      </c>
      <c r="G907" t="n">
        <v>3.9</v>
      </c>
      <c r="H907" t="n">
        <v>0</v>
      </c>
      <c r="I907" t="n">
        <v>0</v>
      </c>
      <c r="J907" t="n">
        <v>0</v>
      </c>
      <c r="K907" t="n">
        <v>0</v>
      </c>
      <c r="L907" t="n">
        <v>0</v>
      </c>
      <c r="M907" t="n">
        <v>0</v>
      </c>
      <c r="N907" t="n">
        <v>0</v>
      </c>
      <c r="O907" t="n">
        <v>0</v>
      </c>
      <c r="P907" t="n">
        <v>0</v>
      </c>
      <c r="Q907" t="n">
        <v>0</v>
      </c>
      <c r="R907" s="2" t="inlineStr"/>
    </row>
    <row r="908" ht="15" customHeight="1">
      <c r="A908" t="inlineStr">
        <is>
          <t>A 56434-2021</t>
        </is>
      </c>
      <c r="B908" s="1" t="n">
        <v>44477</v>
      </c>
      <c r="C908" s="1" t="n">
        <v>46029</v>
      </c>
      <c r="D908" t="inlineStr">
        <is>
          <t>VÄSTERNORRLANDS LÄN</t>
        </is>
      </c>
      <c r="E908" t="inlineStr">
        <is>
          <t>ÅNGE</t>
        </is>
      </c>
      <c r="G908" t="n">
        <v>2.7</v>
      </c>
      <c r="H908" t="n">
        <v>0</v>
      </c>
      <c r="I908" t="n">
        <v>0</v>
      </c>
      <c r="J908" t="n">
        <v>0</v>
      </c>
      <c r="K908" t="n">
        <v>0</v>
      </c>
      <c r="L908" t="n">
        <v>0</v>
      </c>
      <c r="M908" t="n">
        <v>0</v>
      </c>
      <c r="N908" t="n">
        <v>0</v>
      </c>
      <c r="O908" t="n">
        <v>0</v>
      </c>
      <c r="P908" t="n">
        <v>0</v>
      </c>
      <c r="Q908" t="n">
        <v>0</v>
      </c>
      <c r="R908" s="2" t="inlineStr"/>
    </row>
    <row r="909" ht="15" customHeight="1">
      <c r="A909" t="inlineStr">
        <is>
          <t>A 54946-2021</t>
        </is>
      </c>
      <c r="B909" s="1" t="n">
        <v>44474.46466435185</v>
      </c>
      <c r="C909" s="1" t="n">
        <v>46029</v>
      </c>
      <c r="D909" t="inlineStr">
        <is>
          <t>VÄSTERNORRLANDS LÄN</t>
        </is>
      </c>
      <c r="E909" t="inlineStr">
        <is>
          <t>ÅNGE</t>
        </is>
      </c>
      <c r="G909" t="n">
        <v>5.4</v>
      </c>
      <c r="H909" t="n">
        <v>0</v>
      </c>
      <c r="I909" t="n">
        <v>0</v>
      </c>
      <c r="J909" t="n">
        <v>0</v>
      </c>
      <c r="K909" t="n">
        <v>0</v>
      </c>
      <c r="L909" t="n">
        <v>0</v>
      </c>
      <c r="M909" t="n">
        <v>0</v>
      </c>
      <c r="N909" t="n">
        <v>0</v>
      </c>
      <c r="O909" t="n">
        <v>0</v>
      </c>
      <c r="P909" t="n">
        <v>0</v>
      </c>
      <c r="Q909" t="n">
        <v>0</v>
      </c>
      <c r="R909" s="2" t="inlineStr"/>
    </row>
    <row r="910" ht="15" customHeight="1">
      <c r="A910" t="inlineStr">
        <is>
          <t>A 57109-2023</t>
        </is>
      </c>
      <c r="B910" s="1" t="n">
        <v>45239</v>
      </c>
      <c r="C910" s="1" t="n">
        <v>46029</v>
      </c>
      <c r="D910" t="inlineStr">
        <is>
          <t>VÄSTERNORRLANDS LÄN</t>
        </is>
      </c>
      <c r="E910" t="inlineStr">
        <is>
          <t>ÅNGE</t>
        </is>
      </c>
      <c r="G910" t="n">
        <v>7</v>
      </c>
      <c r="H910" t="n">
        <v>0</v>
      </c>
      <c r="I910" t="n">
        <v>0</v>
      </c>
      <c r="J910" t="n">
        <v>0</v>
      </c>
      <c r="K910" t="n">
        <v>0</v>
      </c>
      <c r="L910" t="n">
        <v>0</v>
      </c>
      <c r="M910" t="n">
        <v>0</v>
      </c>
      <c r="N910" t="n">
        <v>0</v>
      </c>
      <c r="O910" t="n">
        <v>0</v>
      </c>
      <c r="P910" t="n">
        <v>0</v>
      </c>
      <c r="Q910" t="n">
        <v>0</v>
      </c>
      <c r="R910" s="2" t="inlineStr"/>
    </row>
    <row r="911" ht="15" customHeight="1">
      <c r="A911" t="inlineStr">
        <is>
          <t>A 50009-2025</t>
        </is>
      </c>
      <c r="B911" s="1" t="n">
        <v>45943.34527777778</v>
      </c>
      <c r="C911" s="1" t="n">
        <v>46029</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50008-2025</t>
        </is>
      </c>
      <c r="B912" s="1" t="n">
        <v>45943.34515046296</v>
      </c>
      <c r="C912" s="1" t="n">
        <v>46029</v>
      </c>
      <c r="D912" t="inlineStr">
        <is>
          <t>VÄSTERNORRLANDS LÄN</t>
        </is>
      </c>
      <c r="E912" t="inlineStr">
        <is>
          <t>ÅNGE</t>
        </is>
      </c>
      <c r="G912" t="n">
        <v>13.9</v>
      </c>
      <c r="H912" t="n">
        <v>0</v>
      </c>
      <c r="I912" t="n">
        <v>0</v>
      </c>
      <c r="J912" t="n">
        <v>0</v>
      </c>
      <c r="K912" t="n">
        <v>0</v>
      </c>
      <c r="L912" t="n">
        <v>0</v>
      </c>
      <c r="M912" t="n">
        <v>0</v>
      </c>
      <c r="N912" t="n">
        <v>0</v>
      </c>
      <c r="O912" t="n">
        <v>0</v>
      </c>
      <c r="P912" t="n">
        <v>0</v>
      </c>
      <c r="Q912" t="n">
        <v>0</v>
      </c>
      <c r="R912" s="2" t="inlineStr"/>
    </row>
    <row r="913" ht="15" customHeight="1">
      <c r="A913" t="inlineStr">
        <is>
          <t>A 42346-2023</t>
        </is>
      </c>
      <c r="B913" s="1" t="n">
        <v>45180</v>
      </c>
      <c r="C913" s="1" t="n">
        <v>46029</v>
      </c>
      <c r="D913" t="inlineStr">
        <is>
          <t>VÄSTERNORRLANDS LÄN</t>
        </is>
      </c>
      <c r="E913" t="inlineStr">
        <is>
          <t>ÅNGE</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16563-2025</t>
        </is>
      </c>
      <c r="B914" s="1" t="n">
        <v>45752.34430555555</v>
      </c>
      <c r="C914" s="1" t="n">
        <v>46029</v>
      </c>
      <c r="D914" t="inlineStr">
        <is>
          <t>VÄSTERNORRLANDS LÄN</t>
        </is>
      </c>
      <c r="E914" t="inlineStr">
        <is>
          <t>ÅNGE</t>
        </is>
      </c>
      <c r="F914" t="inlineStr">
        <is>
          <t>SCA</t>
        </is>
      </c>
      <c r="G914" t="n">
        <v>24.7</v>
      </c>
      <c r="H914" t="n">
        <v>0</v>
      </c>
      <c r="I914" t="n">
        <v>0</v>
      </c>
      <c r="J914" t="n">
        <v>0</v>
      </c>
      <c r="K914" t="n">
        <v>0</v>
      </c>
      <c r="L914" t="n">
        <v>0</v>
      </c>
      <c r="M914" t="n">
        <v>0</v>
      </c>
      <c r="N914" t="n">
        <v>0</v>
      </c>
      <c r="O914" t="n">
        <v>0</v>
      </c>
      <c r="P914" t="n">
        <v>0</v>
      </c>
      <c r="Q914" t="n">
        <v>0</v>
      </c>
      <c r="R914" s="2" t="inlineStr"/>
    </row>
    <row r="915" ht="15" customHeight="1">
      <c r="A915" t="inlineStr">
        <is>
          <t>A 15368-2024</t>
        </is>
      </c>
      <c r="B915" s="1" t="n">
        <v>45400.92284722222</v>
      </c>
      <c r="C915" s="1" t="n">
        <v>46029</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50291-2025</t>
        </is>
      </c>
      <c r="B916" s="1" t="n">
        <v>45944.40677083333</v>
      </c>
      <c r="C916" s="1" t="n">
        <v>46029</v>
      </c>
      <c r="D916" t="inlineStr">
        <is>
          <t>VÄSTERNORRLANDS LÄN</t>
        </is>
      </c>
      <c r="E916" t="inlineStr">
        <is>
          <t>ÅNGE</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57636-2022</t>
        </is>
      </c>
      <c r="B917" s="1" t="n">
        <v>44897</v>
      </c>
      <c r="C917" s="1" t="n">
        <v>46029</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50767-2025</t>
        </is>
      </c>
      <c r="B918" s="1" t="n">
        <v>45946</v>
      </c>
      <c r="C918" s="1" t="n">
        <v>46029</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50769-2025</t>
        </is>
      </c>
      <c r="B919" s="1" t="n">
        <v>45946.44864583333</v>
      </c>
      <c r="C919" s="1" t="n">
        <v>46029</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58890-2025</t>
        </is>
      </c>
      <c r="B920" s="1" t="n">
        <v>45987.49006944444</v>
      </c>
      <c r="C920" s="1" t="n">
        <v>46029</v>
      </c>
      <c r="D920" t="inlineStr">
        <is>
          <t>VÄSTERNORRLANDS LÄN</t>
        </is>
      </c>
      <c r="E920" t="inlineStr">
        <is>
          <t>ÅNGE</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52685-2024</t>
        </is>
      </c>
      <c r="B921" s="1" t="n">
        <v>45610</v>
      </c>
      <c r="C921" s="1" t="n">
        <v>46029</v>
      </c>
      <c r="D921" t="inlineStr">
        <is>
          <t>VÄSTERNORRLANDS LÄN</t>
        </is>
      </c>
      <c r="E921" t="inlineStr">
        <is>
          <t>ÅNGE</t>
        </is>
      </c>
      <c r="G921" t="n">
        <v>2.3</v>
      </c>
      <c r="H921" t="n">
        <v>0</v>
      </c>
      <c r="I921" t="n">
        <v>0</v>
      </c>
      <c r="J921" t="n">
        <v>0</v>
      </c>
      <c r="K921" t="n">
        <v>0</v>
      </c>
      <c r="L921" t="n">
        <v>0</v>
      </c>
      <c r="M921" t="n">
        <v>0</v>
      </c>
      <c r="N921" t="n">
        <v>0</v>
      </c>
      <c r="O921" t="n">
        <v>0</v>
      </c>
      <c r="P921" t="n">
        <v>0</v>
      </c>
      <c r="Q921" t="n">
        <v>0</v>
      </c>
      <c r="R921" s="2" t="inlineStr"/>
    </row>
    <row r="922" ht="15" customHeight="1">
      <c r="A922" t="inlineStr">
        <is>
          <t>A 55664-2023</t>
        </is>
      </c>
      <c r="B922" s="1" t="n">
        <v>45238.96748842593</v>
      </c>
      <c r="C922" s="1" t="n">
        <v>46029</v>
      </c>
      <c r="D922" t="inlineStr">
        <is>
          <t>VÄSTERNORRLANDS LÄN</t>
        </is>
      </c>
      <c r="E922" t="inlineStr">
        <is>
          <t>ÅNGE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50460-2025</t>
        </is>
      </c>
      <c r="B923" s="1" t="n">
        <v>45945.345</v>
      </c>
      <c r="C923" s="1" t="n">
        <v>46029</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59063-2025</t>
        </is>
      </c>
      <c r="B924" s="1" t="n">
        <v>45988.40734953704</v>
      </c>
      <c r="C924" s="1" t="n">
        <v>46029</v>
      </c>
      <c r="D924" t="inlineStr">
        <is>
          <t>VÄSTERNORRLANDS LÄN</t>
        </is>
      </c>
      <c r="E924" t="inlineStr">
        <is>
          <t>ÅNGE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59062-2025</t>
        </is>
      </c>
      <c r="B925" s="1" t="n">
        <v>45988.40723379629</v>
      </c>
      <c r="C925" s="1" t="n">
        <v>46029</v>
      </c>
      <c r="D925" t="inlineStr">
        <is>
          <t>VÄSTERNORRLANDS LÄN</t>
        </is>
      </c>
      <c r="E925" t="inlineStr">
        <is>
          <t>ÅNGE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58275-2022</t>
        </is>
      </c>
      <c r="B926" s="1" t="n">
        <v>44901.47865740741</v>
      </c>
      <c r="C926" s="1" t="n">
        <v>46029</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58906-2025</t>
        </is>
      </c>
      <c r="B927" s="1" t="n">
        <v>45987.51087962963</v>
      </c>
      <c r="C927" s="1" t="n">
        <v>46029</v>
      </c>
      <c r="D927" t="inlineStr">
        <is>
          <t>VÄSTERNORRLANDS LÄN</t>
        </is>
      </c>
      <c r="E927" t="inlineStr">
        <is>
          <t>ÅNGE</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58907-2025</t>
        </is>
      </c>
      <c r="B928" s="1" t="n">
        <v>45987.51108796296</v>
      </c>
      <c r="C928" s="1" t="n">
        <v>46029</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58823-2025</t>
        </is>
      </c>
      <c r="B929" s="1" t="n">
        <v>45987.3453125</v>
      </c>
      <c r="C929" s="1" t="n">
        <v>46029</v>
      </c>
      <c r="D929" t="inlineStr">
        <is>
          <t>VÄSTERNORRLANDS LÄN</t>
        </is>
      </c>
      <c r="E929" t="inlineStr">
        <is>
          <t>ÅNGE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59065-2025</t>
        </is>
      </c>
      <c r="B930" s="1" t="n">
        <v>45988.40780092592</v>
      </c>
      <c r="C930" s="1" t="n">
        <v>46029</v>
      </c>
      <c r="D930" t="inlineStr">
        <is>
          <t>VÄSTERNORRLANDS LÄN</t>
        </is>
      </c>
      <c r="E930" t="inlineStr">
        <is>
          <t>ÅNGE</t>
        </is>
      </c>
      <c r="F930" t="inlineStr">
        <is>
          <t>SCA</t>
        </is>
      </c>
      <c r="G930" t="n">
        <v>5.7</v>
      </c>
      <c r="H930" t="n">
        <v>0</v>
      </c>
      <c r="I930" t="n">
        <v>0</v>
      </c>
      <c r="J930" t="n">
        <v>0</v>
      </c>
      <c r="K930" t="n">
        <v>0</v>
      </c>
      <c r="L930" t="n">
        <v>0</v>
      </c>
      <c r="M930" t="n">
        <v>0</v>
      </c>
      <c r="N930" t="n">
        <v>0</v>
      </c>
      <c r="O930" t="n">
        <v>0</v>
      </c>
      <c r="P930" t="n">
        <v>0</v>
      </c>
      <c r="Q930" t="n">
        <v>0</v>
      </c>
      <c r="R930" s="2" t="inlineStr"/>
    </row>
    <row r="931" ht="15" customHeight="1">
      <c r="A931" t="inlineStr">
        <is>
          <t>A 50571-2025</t>
        </is>
      </c>
      <c r="B931" s="1" t="n">
        <v>45945.57443287037</v>
      </c>
      <c r="C931" s="1" t="n">
        <v>46029</v>
      </c>
      <c r="D931" t="inlineStr">
        <is>
          <t>VÄSTERNORRLANDS LÄN</t>
        </is>
      </c>
      <c r="E931" t="inlineStr">
        <is>
          <t>ÅNGE</t>
        </is>
      </c>
      <c r="G931" t="n">
        <v>2.5</v>
      </c>
      <c r="H931" t="n">
        <v>0</v>
      </c>
      <c r="I931" t="n">
        <v>0</v>
      </c>
      <c r="J931" t="n">
        <v>0</v>
      </c>
      <c r="K931" t="n">
        <v>0</v>
      </c>
      <c r="L931" t="n">
        <v>0</v>
      </c>
      <c r="M931" t="n">
        <v>0</v>
      </c>
      <c r="N931" t="n">
        <v>0</v>
      </c>
      <c r="O931" t="n">
        <v>0</v>
      </c>
      <c r="P931" t="n">
        <v>0</v>
      </c>
      <c r="Q931" t="n">
        <v>0</v>
      </c>
      <c r="R931" s="2" t="inlineStr"/>
    </row>
    <row r="932" ht="15" customHeight="1">
      <c r="A932" t="inlineStr">
        <is>
          <t>A 29063-2023</t>
        </is>
      </c>
      <c r="B932" s="1" t="n">
        <v>45104.94068287037</v>
      </c>
      <c r="C932" s="1" t="n">
        <v>46029</v>
      </c>
      <c r="D932" t="inlineStr">
        <is>
          <t>VÄSTERNORRLANDS LÄN</t>
        </is>
      </c>
      <c r="E932" t="inlineStr">
        <is>
          <t>ÅNGE</t>
        </is>
      </c>
      <c r="F932" t="inlineStr">
        <is>
          <t>SCA</t>
        </is>
      </c>
      <c r="G932" t="n">
        <v>2.1</v>
      </c>
      <c r="H932" t="n">
        <v>0</v>
      </c>
      <c r="I932" t="n">
        <v>0</v>
      </c>
      <c r="J932" t="n">
        <v>0</v>
      </c>
      <c r="K932" t="n">
        <v>0</v>
      </c>
      <c r="L932" t="n">
        <v>0</v>
      </c>
      <c r="M932" t="n">
        <v>0</v>
      </c>
      <c r="N932" t="n">
        <v>0</v>
      </c>
      <c r="O932" t="n">
        <v>0</v>
      </c>
      <c r="P932" t="n">
        <v>0</v>
      </c>
      <c r="Q932" t="n">
        <v>0</v>
      </c>
      <c r="R932" s="2" t="inlineStr"/>
    </row>
    <row r="933" ht="15" customHeight="1">
      <c r="A933" t="inlineStr">
        <is>
          <t>A 59259-2025</t>
        </is>
      </c>
      <c r="B933" s="1" t="n">
        <v>45988.65748842592</v>
      </c>
      <c r="C933" s="1" t="n">
        <v>46029</v>
      </c>
      <c r="D933" t="inlineStr">
        <is>
          <t>VÄSTERNORRLANDS LÄN</t>
        </is>
      </c>
      <c r="E933" t="inlineStr">
        <is>
          <t>ÅNGE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51609-2023</t>
        </is>
      </c>
      <c r="B934" s="1" t="n">
        <v>45215</v>
      </c>
      <c r="C934" s="1" t="n">
        <v>46029</v>
      </c>
      <c r="D934" t="inlineStr">
        <is>
          <t>VÄSTERNORRLANDS LÄN</t>
        </is>
      </c>
      <c r="E934" t="inlineStr">
        <is>
          <t>ÅNGE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53970-2021</t>
        </is>
      </c>
      <c r="B935" s="1" t="n">
        <v>44469</v>
      </c>
      <c r="C935" s="1" t="n">
        <v>46029</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2415-2024</t>
        </is>
      </c>
      <c r="B936" s="1" t="n">
        <v>45310</v>
      </c>
      <c r="C936" s="1" t="n">
        <v>46029</v>
      </c>
      <c r="D936" t="inlineStr">
        <is>
          <t>VÄSTERNORRLANDS LÄN</t>
        </is>
      </c>
      <c r="E936" t="inlineStr">
        <is>
          <t>ÅNGE</t>
        </is>
      </c>
      <c r="F936" t="inlineStr">
        <is>
          <t>Kyrkan</t>
        </is>
      </c>
      <c r="G936" t="n">
        <v>0.2</v>
      </c>
      <c r="H936" t="n">
        <v>0</v>
      </c>
      <c r="I936" t="n">
        <v>0</v>
      </c>
      <c r="J936" t="n">
        <v>0</v>
      </c>
      <c r="K936" t="n">
        <v>0</v>
      </c>
      <c r="L936" t="n">
        <v>0</v>
      </c>
      <c r="M936" t="n">
        <v>0</v>
      </c>
      <c r="N936" t="n">
        <v>0</v>
      </c>
      <c r="O936" t="n">
        <v>0</v>
      </c>
      <c r="P936" t="n">
        <v>0</v>
      </c>
      <c r="Q936" t="n">
        <v>0</v>
      </c>
      <c r="R936" s="2" t="inlineStr"/>
    </row>
    <row r="937" ht="15" customHeight="1">
      <c r="A937" t="inlineStr">
        <is>
          <t>A 58892-2025</t>
        </is>
      </c>
      <c r="B937" s="1" t="n">
        <v>45987.49056712963</v>
      </c>
      <c r="C937" s="1" t="n">
        <v>46029</v>
      </c>
      <c r="D937" t="inlineStr">
        <is>
          <t>VÄSTERNORRLANDS LÄN</t>
        </is>
      </c>
      <c r="E937" t="inlineStr">
        <is>
          <t>ÅNGE</t>
        </is>
      </c>
      <c r="F937" t="inlineStr">
        <is>
          <t>SCA</t>
        </is>
      </c>
      <c r="G937" t="n">
        <v>2.4</v>
      </c>
      <c r="H937" t="n">
        <v>0</v>
      </c>
      <c r="I937" t="n">
        <v>0</v>
      </c>
      <c r="J937" t="n">
        <v>0</v>
      </c>
      <c r="K937" t="n">
        <v>0</v>
      </c>
      <c r="L937" t="n">
        <v>0</v>
      </c>
      <c r="M937" t="n">
        <v>0</v>
      </c>
      <c r="N937" t="n">
        <v>0</v>
      </c>
      <c r="O937" t="n">
        <v>0</v>
      </c>
      <c r="P937" t="n">
        <v>0</v>
      </c>
      <c r="Q937" t="n">
        <v>0</v>
      </c>
      <c r="R937" s="2" t="inlineStr"/>
    </row>
    <row r="938" ht="15" customHeight="1">
      <c r="A938" t="inlineStr">
        <is>
          <t>A 6686-2024</t>
        </is>
      </c>
      <c r="B938" s="1" t="n">
        <v>45341</v>
      </c>
      <c r="C938" s="1" t="n">
        <v>46029</v>
      </c>
      <c r="D938" t="inlineStr">
        <is>
          <t>VÄSTERNORRLANDS LÄN</t>
        </is>
      </c>
      <c r="E938" t="inlineStr">
        <is>
          <t>ÅNGE</t>
        </is>
      </c>
      <c r="G938" t="n">
        <v>0.9</v>
      </c>
      <c r="H938" t="n">
        <v>0</v>
      </c>
      <c r="I938" t="n">
        <v>0</v>
      </c>
      <c r="J938" t="n">
        <v>0</v>
      </c>
      <c r="K938" t="n">
        <v>0</v>
      </c>
      <c r="L938" t="n">
        <v>0</v>
      </c>
      <c r="M938" t="n">
        <v>0</v>
      </c>
      <c r="N938" t="n">
        <v>0</v>
      </c>
      <c r="O938" t="n">
        <v>0</v>
      </c>
      <c r="P938" t="n">
        <v>0</v>
      </c>
      <c r="Q938" t="n">
        <v>0</v>
      </c>
      <c r="R938" s="2" t="inlineStr"/>
    </row>
    <row r="939" ht="15" customHeight="1">
      <c r="A939" t="inlineStr">
        <is>
          <t>A 30682-2024</t>
        </is>
      </c>
      <c r="B939" s="1" t="n">
        <v>45495.95109953704</v>
      </c>
      <c r="C939" s="1" t="n">
        <v>46029</v>
      </c>
      <c r="D939" t="inlineStr">
        <is>
          <t>VÄSTERNORRLANDS LÄN</t>
        </is>
      </c>
      <c r="E939" t="inlineStr">
        <is>
          <t>ÅNGE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30753-2024</t>
        </is>
      </c>
      <c r="B940" s="1" t="n">
        <v>45496</v>
      </c>
      <c r="C940" s="1" t="n">
        <v>46029</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30754-2024</t>
        </is>
      </c>
      <c r="B941" s="1" t="n">
        <v>45496</v>
      </c>
      <c r="C941" s="1" t="n">
        <v>46029</v>
      </c>
      <c r="D941" t="inlineStr">
        <is>
          <t>VÄSTERNORRLANDS LÄN</t>
        </is>
      </c>
      <c r="E941" t="inlineStr">
        <is>
          <t>ÅNGE</t>
        </is>
      </c>
      <c r="G941" t="n">
        <v>3.8</v>
      </c>
      <c r="H941" t="n">
        <v>0</v>
      </c>
      <c r="I941" t="n">
        <v>0</v>
      </c>
      <c r="J941" t="n">
        <v>0</v>
      </c>
      <c r="K941" t="n">
        <v>0</v>
      </c>
      <c r="L941" t="n">
        <v>0</v>
      </c>
      <c r="M941" t="n">
        <v>0</v>
      </c>
      <c r="N941" t="n">
        <v>0</v>
      </c>
      <c r="O941" t="n">
        <v>0</v>
      </c>
      <c r="P941" t="n">
        <v>0</v>
      </c>
      <c r="Q941" t="n">
        <v>0</v>
      </c>
      <c r="R941" s="2" t="inlineStr"/>
    </row>
    <row r="942" ht="15" customHeight="1">
      <c r="A942" t="inlineStr">
        <is>
          <t>A 38960-2021</t>
        </is>
      </c>
      <c r="B942" s="1" t="n">
        <v>44411</v>
      </c>
      <c r="C942" s="1" t="n">
        <v>46029</v>
      </c>
      <c r="D942" t="inlineStr">
        <is>
          <t>VÄSTERNORRLANDS LÄN</t>
        </is>
      </c>
      <c r="E942" t="inlineStr">
        <is>
          <t>ÅNGE</t>
        </is>
      </c>
      <c r="G942" t="n">
        <v>1</v>
      </c>
      <c r="H942" t="n">
        <v>0</v>
      </c>
      <c r="I942" t="n">
        <v>0</v>
      </c>
      <c r="J942" t="n">
        <v>0</v>
      </c>
      <c r="K942" t="n">
        <v>0</v>
      </c>
      <c r="L942" t="n">
        <v>0</v>
      </c>
      <c r="M942" t="n">
        <v>0</v>
      </c>
      <c r="N942" t="n">
        <v>0</v>
      </c>
      <c r="O942" t="n">
        <v>0</v>
      </c>
      <c r="P942" t="n">
        <v>0</v>
      </c>
      <c r="Q942" t="n">
        <v>0</v>
      </c>
      <c r="R942" s="2" t="inlineStr"/>
    </row>
    <row r="943" ht="15" customHeight="1">
      <c r="A943" t="inlineStr">
        <is>
          <t>A 59064-2025</t>
        </is>
      </c>
      <c r="B943" s="1" t="n">
        <v>45988.40768518519</v>
      </c>
      <c r="C943" s="1" t="n">
        <v>46029</v>
      </c>
      <c r="D943" t="inlineStr">
        <is>
          <t>VÄSTERNORRLANDS LÄN</t>
        </is>
      </c>
      <c r="E943" t="inlineStr">
        <is>
          <t>ÅNGE</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35581-2024</t>
        </is>
      </c>
      <c r="B944" s="1" t="n">
        <v>45531</v>
      </c>
      <c r="C944" s="1" t="n">
        <v>46029</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65633-2021</t>
        </is>
      </c>
      <c r="B945" s="1" t="n">
        <v>44516.56181712963</v>
      </c>
      <c r="C945" s="1" t="n">
        <v>46029</v>
      </c>
      <c r="D945" t="inlineStr">
        <is>
          <t>VÄSTERNORRLANDS LÄN</t>
        </is>
      </c>
      <c r="E945" t="inlineStr">
        <is>
          <t>ÅNGE</t>
        </is>
      </c>
      <c r="G945" t="n">
        <v>1.7</v>
      </c>
      <c r="H945" t="n">
        <v>0</v>
      </c>
      <c r="I945" t="n">
        <v>0</v>
      </c>
      <c r="J945" t="n">
        <v>0</v>
      </c>
      <c r="K945" t="n">
        <v>0</v>
      </c>
      <c r="L945" t="n">
        <v>0</v>
      </c>
      <c r="M945" t="n">
        <v>0</v>
      </c>
      <c r="N945" t="n">
        <v>0</v>
      </c>
      <c r="O945" t="n">
        <v>0</v>
      </c>
      <c r="P945" t="n">
        <v>0</v>
      </c>
      <c r="Q945" t="n">
        <v>0</v>
      </c>
      <c r="R945" s="2" t="inlineStr"/>
    </row>
    <row r="946" ht="15" customHeight="1">
      <c r="A946" t="inlineStr">
        <is>
          <t>A 51382-2025</t>
        </is>
      </c>
      <c r="B946" s="1" t="n">
        <v>45950.46019675926</v>
      </c>
      <c r="C946" s="1" t="n">
        <v>46029</v>
      </c>
      <c r="D946" t="inlineStr">
        <is>
          <t>VÄSTERNORRLANDS LÄN</t>
        </is>
      </c>
      <c r="E946" t="inlineStr">
        <is>
          <t>ÅNGE</t>
        </is>
      </c>
      <c r="G946" t="n">
        <v>3</v>
      </c>
      <c r="H946" t="n">
        <v>0</v>
      </c>
      <c r="I946" t="n">
        <v>0</v>
      </c>
      <c r="J946" t="n">
        <v>0</v>
      </c>
      <c r="K946" t="n">
        <v>0</v>
      </c>
      <c r="L946" t="n">
        <v>0</v>
      </c>
      <c r="M946" t="n">
        <v>0</v>
      </c>
      <c r="N946" t="n">
        <v>0</v>
      </c>
      <c r="O946" t="n">
        <v>0</v>
      </c>
      <c r="P946" t="n">
        <v>0</v>
      </c>
      <c r="Q946" t="n">
        <v>0</v>
      </c>
      <c r="R946" s="2" t="inlineStr"/>
    </row>
    <row r="947" ht="15" customHeight="1">
      <c r="A947" t="inlineStr">
        <is>
          <t>A 41507-2024</t>
        </is>
      </c>
      <c r="B947" s="1" t="n">
        <v>45560</v>
      </c>
      <c r="C947" s="1" t="n">
        <v>46029</v>
      </c>
      <c r="D947" t="inlineStr">
        <is>
          <t>VÄSTERNORRLANDS LÄN</t>
        </is>
      </c>
      <c r="E947" t="inlineStr">
        <is>
          <t>ÅNGE</t>
        </is>
      </c>
      <c r="G947" t="n">
        <v>1.2</v>
      </c>
      <c r="H947" t="n">
        <v>0</v>
      </c>
      <c r="I947" t="n">
        <v>0</v>
      </c>
      <c r="J947" t="n">
        <v>0</v>
      </c>
      <c r="K947" t="n">
        <v>0</v>
      </c>
      <c r="L947" t="n">
        <v>0</v>
      </c>
      <c r="M947" t="n">
        <v>0</v>
      </c>
      <c r="N947" t="n">
        <v>0</v>
      </c>
      <c r="O947" t="n">
        <v>0</v>
      </c>
      <c r="P947" t="n">
        <v>0</v>
      </c>
      <c r="Q947" t="n">
        <v>0</v>
      </c>
      <c r="R947" s="2" t="inlineStr"/>
    </row>
    <row r="948" ht="15" customHeight="1">
      <c r="A948" t="inlineStr">
        <is>
          <t>A 6487-2021</t>
        </is>
      </c>
      <c r="B948" s="1" t="n">
        <v>44235</v>
      </c>
      <c r="C948" s="1" t="n">
        <v>46029</v>
      </c>
      <c r="D948" t="inlineStr">
        <is>
          <t>VÄSTERNORRLANDS LÄN</t>
        </is>
      </c>
      <c r="E948" t="inlineStr">
        <is>
          <t>ÅNGE</t>
        </is>
      </c>
      <c r="G948" t="n">
        <v>2.1</v>
      </c>
      <c r="H948" t="n">
        <v>0</v>
      </c>
      <c r="I948" t="n">
        <v>0</v>
      </c>
      <c r="J948" t="n">
        <v>0</v>
      </c>
      <c r="K948" t="n">
        <v>0</v>
      </c>
      <c r="L948" t="n">
        <v>0</v>
      </c>
      <c r="M948" t="n">
        <v>0</v>
      </c>
      <c r="N948" t="n">
        <v>0</v>
      </c>
      <c r="O948" t="n">
        <v>0</v>
      </c>
      <c r="P948" t="n">
        <v>0</v>
      </c>
      <c r="Q948" t="n">
        <v>0</v>
      </c>
      <c r="R948" s="2" t="inlineStr"/>
    </row>
    <row r="949" ht="15" customHeight="1">
      <c r="A949" t="inlineStr">
        <is>
          <t>A 51393-2025</t>
        </is>
      </c>
      <c r="B949" s="1" t="n">
        <v>45950.46957175926</v>
      </c>
      <c r="C949" s="1" t="n">
        <v>46029</v>
      </c>
      <c r="D949" t="inlineStr">
        <is>
          <t>VÄSTERNORRLANDS LÄN</t>
        </is>
      </c>
      <c r="E949" t="inlineStr">
        <is>
          <t>ÅNGE</t>
        </is>
      </c>
      <c r="F949" t="inlineStr">
        <is>
          <t>SCA</t>
        </is>
      </c>
      <c r="G949" t="n">
        <v>17.9</v>
      </c>
      <c r="H949" t="n">
        <v>0</v>
      </c>
      <c r="I949" t="n">
        <v>0</v>
      </c>
      <c r="J949" t="n">
        <v>0</v>
      </c>
      <c r="K949" t="n">
        <v>0</v>
      </c>
      <c r="L949" t="n">
        <v>0</v>
      </c>
      <c r="M949" t="n">
        <v>0</v>
      </c>
      <c r="N949" t="n">
        <v>0</v>
      </c>
      <c r="O949" t="n">
        <v>0</v>
      </c>
      <c r="P949" t="n">
        <v>0</v>
      </c>
      <c r="Q949" t="n">
        <v>0</v>
      </c>
      <c r="R949" s="2" t="inlineStr"/>
    </row>
    <row r="950" ht="15" customHeight="1">
      <c r="A950" t="inlineStr">
        <is>
          <t>A 59641-2025</t>
        </is>
      </c>
      <c r="B950" s="1" t="n">
        <v>45992.4175925926</v>
      </c>
      <c r="C950" s="1" t="n">
        <v>46029</v>
      </c>
      <c r="D950" t="inlineStr">
        <is>
          <t>VÄSTERNORRLANDS LÄN</t>
        </is>
      </c>
      <c r="E950" t="inlineStr">
        <is>
          <t>ÅNGE</t>
        </is>
      </c>
      <c r="G950" t="n">
        <v>6.2</v>
      </c>
      <c r="H950" t="n">
        <v>0</v>
      </c>
      <c r="I950" t="n">
        <v>0</v>
      </c>
      <c r="J950" t="n">
        <v>0</v>
      </c>
      <c r="K950" t="n">
        <v>0</v>
      </c>
      <c r="L950" t="n">
        <v>0</v>
      </c>
      <c r="M950" t="n">
        <v>0</v>
      </c>
      <c r="N950" t="n">
        <v>0</v>
      </c>
      <c r="O950" t="n">
        <v>0</v>
      </c>
      <c r="P950" t="n">
        <v>0</v>
      </c>
      <c r="Q950" t="n">
        <v>0</v>
      </c>
      <c r="R950" s="2" t="inlineStr"/>
    </row>
    <row r="951" ht="15" customHeight="1">
      <c r="A951" t="inlineStr">
        <is>
          <t>A 17749-2025</t>
        </is>
      </c>
      <c r="B951" s="1" t="n">
        <v>45758.48380787037</v>
      </c>
      <c r="C951" s="1" t="n">
        <v>46029</v>
      </c>
      <c r="D951" t="inlineStr">
        <is>
          <t>VÄSTERNORRLANDS LÄN</t>
        </is>
      </c>
      <c r="E951" t="inlineStr">
        <is>
          <t>ÅNGE</t>
        </is>
      </c>
      <c r="G951" t="n">
        <v>7.3</v>
      </c>
      <c r="H951" t="n">
        <v>0</v>
      </c>
      <c r="I951" t="n">
        <v>0</v>
      </c>
      <c r="J951" t="n">
        <v>0</v>
      </c>
      <c r="K951" t="n">
        <v>0</v>
      </c>
      <c r="L951" t="n">
        <v>0</v>
      </c>
      <c r="M951" t="n">
        <v>0</v>
      </c>
      <c r="N951" t="n">
        <v>0</v>
      </c>
      <c r="O951" t="n">
        <v>0</v>
      </c>
      <c r="P951" t="n">
        <v>0</v>
      </c>
      <c r="Q951" t="n">
        <v>0</v>
      </c>
      <c r="R951" s="2" t="inlineStr"/>
    </row>
    <row r="952" ht="15" customHeight="1">
      <c r="A952" t="inlineStr">
        <is>
          <t>A 59331-2025</t>
        </is>
      </c>
      <c r="B952" s="1" t="n">
        <v>45989.35978009259</v>
      </c>
      <c r="C952" s="1" t="n">
        <v>46029</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51109-2025</t>
        </is>
      </c>
      <c r="B953" s="1" t="n">
        <v>45947.50263888889</v>
      </c>
      <c r="C953" s="1" t="n">
        <v>46029</v>
      </c>
      <c r="D953" t="inlineStr">
        <is>
          <t>VÄSTERNORRLANDS LÄN</t>
        </is>
      </c>
      <c r="E953" t="inlineStr">
        <is>
          <t>ÅNGE</t>
        </is>
      </c>
      <c r="F953" t="inlineStr">
        <is>
          <t>Holmen skog AB</t>
        </is>
      </c>
      <c r="G953" t="n">
        <v>2.4</v>
      </c>
      <c r="H953" t="n">
        <v>0</v>
      </c>
      <c r="I953" t="n">
        <v>0</v>
      </c>
      <c r="J953" t="n">
        <v>0</v>
      </c>
      <c r="K953" t="n">
        <v>0</v>
      </c>
      <c r="L953" t="n">
        <v>0</v>
      </c>
      <c r="M953" t="n">
        <v>0</v>
      </c>
      <c r="N953" t="n">
        <v>0</v>
      </c>
      <c r="O953" t="n">
        <v>0</v>
      </c>
      <c r="P953" t="n">
        <v>0</v>
      </c>
      <c r="Q953" t="n">
        <v>0</v>
      </c>
      <c r="R953" s="2" t="inlineStr"/>
    </row>
    <row r="954" ht="15" customHeight="1">
      <c r="A954" t="inlineStr">
        <is>
          <t>A 42044-2024</t>
        </is>
      </c>
      <c r="B954" s="1" t="n">
        <v>45561</v>
      </c>
      <c r="C954" s="1" t="n">
        <v>46029</v>
      </c>
      <c r="D954" t="inlineStr">
        <is>
          <t>VÄSTERNORRLANDS LÄN</t>
        </is>
      </c>
      <c r="E954" t="inlineStr">
        <is>
          <t>ÅNGE</t>
        </is>
      </c>
      <c r="G954" t="n">
        <v>0.9</v>
      </c>
      <c r="H954" t="n">
        <v>0</v>
      </c>
      <c r="I954" t="n">
        <v>0</v>
      </c>
      <c r="J954" t="n">
        <v>0</v>
      </c>
      <c r="K954" t="n">
        <v>0</v>
      </c>
      <c r="L954" t="n">
        <v>0</v>
      </c>
      <c r="M954" t="n">
        <v>0</v>
      </c>
      <c r="N954" t="n">
        <v>0</v>
      </c>
      <c r="O954" t="n">
        <v>0</v>
      </c>
      <c r="P954" t="n">
        <v>0</v>
      </c>
      <c r="Q954" t="n">
        <v>0</v>
      </c>
      <c r="R954" s="2" t="inlineStr"/>
    </row>
    <row r="955" ht="15" customHeight="1">
      <c r="A955" t="inlineStr">
        <is>
          <t>A 3256-2024</t>
        </is>
      </c>
      <c r="B955" s="1" t="n">
        <v>45316</v>
      </c>
      <c r="C955" s="1" t="n">
        <v>46029</v>
      </c>
      <c r="D955" t="inlineStr">
        <is>
          <t>VÄSTERNORRLANDS LÄN</t>
        </is>
      </c>
      <c r="E955" t="inlineStr">
        <is>
          <t>ÅNGE</t>
        </is>
      </c>
      <c r="G955" t="n">
        <v>3.7</v>
      </c>
      <c r="H955" t="n">
        <v>0</v>
      </c>
      <c r="I955" t="n">
        <v>0</v>
      </c>
      <c r="J955" t="n">
        <v>0</v>
      </c>
      <c r="K955" t="n">
        <v>0</v>
      </c>
      <c r="L955" t="n">
        <v>0</v>
      </c>
      <c r="M955" t="n">
        <v>0</v>
      </c>
      <c r="N955" t="n">
        <v>0</v>
      </c>
      <c r="O955" t="n">
        <v>0</v>
      </c>
      <c r="P955" t="n">
        <v>0</v>
      </c>
      <c r="Q955" t="n">
        <v>0</v>
      </c>
      <c r="R955" s="2" t="inlineStr"/>
    </row>
    <row r="956" ht="15" customHeight="1">
      <c r="A956" t="inlineStr">
        <is>
          <t>A 2451-2024</t>
        </is>
      </c>
      <c r="B956" s="1" t="n">
        <v>45312.58627314815</v>
      </c>
      <c r="C956" s="1" t="n">
        <v>46029</v>
      </c>
      <c r="D956" t="inlineStr">
        <is>
          <t>VÄSTERNORRLANDS LÄN</t>
        </is>
      </c>
      <c r="E956" t="inlineStr">
        <is>
          <t>ÅNGE</t>
        </is>
      </c>
      <c r="G956" t="n">
        <v>3.5</v>
      </c>
      <c r="H956" t="n">
        <v>0</v>
      </c>
      <c r="I956" t="n">
        <v>0</v>
      </c>
      <c r="J956" t="n">
        <v>0</v>
      </c>
      <c r="K956" t="n">
        <v>0</v>
      </c>
      <c r="L956" t="n">
        <v>0</v>
      </c>
      <c r="M956" t="n">
        <v>0</v>
      </c>
      <c r="N956" t="n">
        <v>0</v>
      </c>
      <c r="O956" t="n">
        <v>0</v>
      </c>
      <c r="P956" t="n">
        <v>0</v>
      </c>
      <c r="Q956" t="n">
        <v>0</v>
      </c>
      <c r="R956" s="2" t="inlineStr"/>
    </row>
    <row r="957" ht="15" customHeight="1">
      <c r="A957" t="inlineStr">
        <is>
          <t>A 51389-2025</t>
        </is>
      </c>
      <c r="B957" s="1" t="n">
        <v>45950.46767361111</v>
      </c>
      <c r="C957" s="1" t="n">
        <v>46029</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14751-2025</t>
        </is>
      </c>
      <c r="B958" s="1" t="n">
        <v>45742.65863425926</v>
      </c>
      <c r="C958" s="1" t="n">
        <v>46029</v>
      </c>
      <c r="D958" t="inlineStr">
        <is>
          <t>VÄSTERNORRLANDS LÄN</t>
        </is>
      </c>
      <c r="E958" t="inlineStr">
        <is>
          <t>ÅNGE</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10339-2025</t>
        </is>
      </c>
      <c r="B959" s="1" t="n">
        <v>45720</v>
      </c>
      <c r="C959" s="1" t="n">
        <v>46029</v>
      </c>
      <c r="D959" t="inlineStr">
        <is>
          <t>VÄSTERNORRLANDS LÄN</t>
        </is>
      </c>
      <c r="E959" t="inlineStr">
        <is>
          <t>ÅNGE</t>
        </is>
      </c>
      <c r="F959" t="inlineStr">
        <is>
          <t>SCA</t>
        </is>
      </c>
      <c r="G959" t="n">
        <v>3.9</v>
      </c>
      <c r="H959" t="n">
        <v>0</v>
      </c>
      <c r="I959" t="n">
        <v>0</v>
      </c>
      <c r="J959" t="n">
        <v>0</v>
      </c>
      <c r="K959" t="n">
        <v>0</v>
      </c>
      <c r="L959" t="n">
        <v>0</v>
      </c>
      <c r="M959" t="n">
        <v>0</v>
      </c>
      <c r="N959" t="n">
        <v>0</v>
      </c>
      <c r="O959" t="n">
        <v>0</v>
      </c>
      <c r="P959" t="n">
        <v>0</v>
      </c>
      <c r="Q959" t="n">
        <v>0</v>
      </c>
      <c r="R959" s="2" t="inlineStr"/>
    </row>
    <row r="960" ht="15" customHeight="1">
      <c r="A960" t="inlineStr">
        <is>
          <t>A 51416-2025</t>
        </is>
      </c>
      <c r="B960" s="1" t="n">
        <v>45950.51097222222</v>
      </c>
      <c r="C960" s="1" t="n">
        <v>46029</v>
      </c>
      <c r="D960" t="inlineStr">
        <is>
          <t>VÄSTERNORRLANDS LÄN</t>
        </is>
      </c>
      <c r="E960" t="inlineStr">
        <is>
          <t>ÅNGE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41083-2024</t>
        </is>
      </c>
      <c r="B961" s="1" t="n">
        <v>45559.40684027778</v>
      </c>
      <c r="C961" s="1" t="n">
        <v>46029</v>
      </c>
      <c r="D961" t="inlineStr">
        <is>
          <t>VÄSTERNORRLANDS LÄN</t>
        </is>
      </c>
      <c r="E961" t="inlineStr">
        <is>
          <t>ÅNGE</t>
        </is>
      </c>
      <c r="F961" t="inlineStr">
        <is>
          <t>SCA</t>
        </is>
      </c>
      <c r="G961" t="n">
        <v>8.4</v>
      </c>
      <c r="H961" t="n">
        <v>0</v>
      </c>
      <c r="I961" t="n">
        <v>0</v>
      </c>
      <c r="J961" t="n">
        <v>0</v>
      </c>
      <c r="K961" t="n">
        <v>0</v>
      </c>
      <c r="L961" t="n">
        <v>0</v>
      </c>
      <c r="M961" t="n">
        <v>0</v>
      </c>
      <c r="N961" t="n">
        <v>0</v>
      </c>
      <c r="O961" t="n">
        <v>0</v>
      </c>
      <c r="P961" t="n">
        <v>0</v>
      </c>
      <c r="Q961" t="n">
        <v>0</v>
      </c>
      <c r="R961" s="2" t="inlineStr"/>
    </row>
    <row r="962" ht="15" customHeight="1">
      <c r="A962" t="inlineStr">
        <is>
          <t>A 41766-2024</t>
        </is>
      </c>
      <c r="B962" s="1" t="n">
        <v>45561.34594907407</v>
      </c>
      <c r="C962" s="1" t="n">
        <v>46029</v>
      </c>
      <c r="D962" t="inlineStr">
        <is>
          <t>VÄSTERNORRLANDS LÄN</t>
        </is>
      </c>
      <c r="E962" t="inlineStr">
        <is>
          <t>ÅNGE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18067-2025</t>
        </is>
      </c>
      <c r="B963" s="1" t="n">
        <v>45761.49016203704</v>
      </c>
      <c r="C963" s="1" t="n">
        <v>46029</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51024-2024</t>
        </is>
      </c>
      <c r="B964" s="1" t="n">
        <v>45603.4141087963</v>
      </c>
      <c r="C964" s="1" t="n">
        <v>46029</v>
      </c>
      <c r="D964" t="inlineStr">
        <is>
          <t>VÄSTERNORRLANDS LÄN</t>
        </is>
      </c>
      <c r="E964" t="inlineStr">
        <is>
          <t>ÅNGE</t>
        </is>
      </c>
      <c r="G964" t="n">
        <v>8.9</v>
      </c>
      <c r="H964" t="n">
        <v>0</v>
      </c>
      <c r="I964" t="n">
        <v>0</v>
      </c>
      <c r="J964" t="n">
        <v>0</v>
      </c>
      <c r="K964" t="n">
        <v>0</v>
      </c>
      <c r="L964" t="n">
        <v>0</v>
      </c>
      <c r="M964" t="n">
        <v>0</v>
      </c>
      <c r="N964" t="n">
        <v>0</v>
      </c>
      <c r="O964" t="n">
        <v>0</v>
      </c>
      <c r="P964" t="n">
        <v>0</v>
      </c>
      <c r="Q964" t="n">
        <v>0</v>
      </c>
      <c r="R964" s="2" t="inlineStr"/>
    </row>
    <row r="965" ht="15" customHeight="1">
      <c r="A965" t="inlineStr">
        <is>
          <t>A 51370-2025</t>
        </is>
      </c>
      <c r="B965" s="1" t="n">
        <v>45950.44818287037</v>
      </c>
      <c r="C965" s="1" t="n">
        <v>46029</v>
      </c>
      <c r="D965" t="inlineStr">
        <is>
          <t>VÄSTERNORRLANDS LÄN</t>
        </is>
      </c>
      <c r="E965" t="inlineStr">
        <is>
          <t>ÅNGE</t>
        </is>
      </c>
      <c r="G965" t="n">
        <v>0.9</v>
      </c>
      <c r="H965" t="n">
        <v>0</v>
      </c>
      <c r="I965" t="n">
        <v>0</v>
      </c>
      <c r="J965" t="n">
        <v>0</v>
      </c>
      <c r="K965" t="n">
        <v>0</v>
      </c>
      <c r="L965" t="n">
        <v>0</v>
      </c>
      <c r="M965" t="n">
        <v>0</v>
      </c>
      <c r="N965" t="n">
        <v>0</v>
      </c>
      <c r="O965" t="n">
        <v>0</v>
      </c>
      <c r="P965" t="n">
        <v>0</v>
      </c>
      <c r="Q965" t="n">
        <v>0</v>
      </c>
      <c r="R965" s="2" t="inlineStr"/>
    </row>
    <row r="966" ht="15" customHeight="1">
      <c r="A966" t="inlineStr">
        <is>
          <t>A 1095-2023</t>
        </is>
      </c>
      <c r="B966" s="1" t="n">
        <v>44929</v>
      </c>
      <c r="C966" s="1" t="n">
        <v>46029</v>
      </c>
      <c r="D966" t="inlineStr">
        <is>
          <t>VÄSTERNORRLANDS LÄN</t>
        </is>
      </c>
      <c r="E966" t="inlineStr">
        <is>
          <t>ÅNGE</t>
        </is>
      </c>
      <c r="G966" t="n">
        <v>3.2</v>
      </c>
      <c r="H966" t="n">
        <v>0</v>
      </c>
      <c r="I966" t="n">
        <v>0</v>
      </c>
      <c r="J966" t="n">
        <v>0</v>
      </c>
      <c r="K966" t="n">
        <v>0</v>
      </c>
      <c r="L966" t="n">
        <v>0</v>
      </c>
      <c r="M966" t="n">
        <v>0</v>
      </c>
      <c r="N966" t="n">
        <v>0</v>
      </c>
      <c r="O966" t="n">
        <v>0</v>
      </c>
      <c r="P966" t="n">
        <v>0</v>
      </c>
      <c r="Q966" t="n">
        <v>0</v>
      </c>
      <c r="R966" s="2" t="inlineStr"/>
    </row>
    <row r="967" ht="15" customHeight="1">
      <c r="A967" t="inlineStr">
        <is>
          <t>A 64121-2021</t>
        </is>
      </c>
      <c r="B967" s="1" t="n">
        <v>44510.4730787037</v>
      </c>
      <c r="C967" s="1" t="n">
        <v>46029</v>
      </c>
      <c r="D967" t="inlineStr">
        <is>
          <t>VÄSTERNORRLANDS LÄN</t>
        </is>
      </c>
      <c r="E967" t="inlineStr">
        <is>
          <t>ÅNGE</t>
        </is>
      </c>
      <c r="G967" t="n">
        <v>1.1</v>
      </c>
      <c r="H967" t="n">
        <v>0</v>
      </c>
      <c r="I967" t="n">
        <v>0</v>
      </c>
      <c r="J967" t="n">
        <v>0</v>
      </c>
      <c r="K967" t="n">
        <v>0</v>
      </c>
      <c r="L967" t="n">
        <v>0</v>
      </c>
      <c r="M967" t="n">
        <v>0</v>
      </c>
      <c r="N967" t="n">
        <v>0</v>
      </c>
      <c r="O967" t="n">
        <v>0</v>
      </c>
      <c r="P967" t="n">
        <v>0</v>
      </c>
      <c r="Q967" t="n">
        <v>0</v>
      </c>
      <c r="R967" s="2" t="inlineStr"/>
    </row>
    <row r="968" ht="15" customHeight="1">
      <c r="A968" t="inlineStr">
        <is>
          <t>A 42881-2024</t>
        </is>
      </c>
      <c r="B968" s="1" t="n">
        <v>45566.70916666667</v>
      </c>
      <c r="C968" s="1" t="n">
        <v>46029</v>
      </c>
      <c r="D968" t="inlineStr">
        <is>
          <t>VÄSTERNORRLANDS LÄN</t>
        </is>
      </c>
      <c r="E968" t="inlineStr">
        <is>
          <t>ÅNGE</t>
        </is>
      </c>
      <c r="G968" t="n">
        <v>1.9</v>
      </c>
      <c r="H968" t="n">
        <v>0</v>
      </c>
      <c r="I968" t="n">
        <v>0</v>
      </c>
      <c r="J968" t="n">
        <v>0</v>
      </c>
      <c r="K968" t="n">
        <v>0</v>
      </c>
      <c r="L968" t="n">
        <v>0</v>
      </c>
      <c r="M968" t="n">
        <v>0</v>
      </c>
      <c r="N968" t="n">
        <v>0</v>
      </c>
      <c r="O968" t="n">
        <v>0</v>
      </c>
      <c r="P968" t="n">
        <v>0</v>
      </c>
      <c r="Q968" t="n">
        <v>0</v>
      </c>
      <c r="R968" s="2" t="inlineStr"/>
    </row>
    <row r="969" ht="15" customHeight="1">
      <c r="A969" t="inlineStr">
        <is>
          <t>A 50651-2021</t>
        </is>
      </c>
      <c r="B969" s="1" t="n">
        <v>44459</v>
      </c>
      <c r="C969" s="1" t="n">
        <v>46029</v>
      </c>
      <c r="D969" t="inlineStr">
        <is>
          <t>VÄSTERNORRLANDS LÄN</t>
        </is>
      </c>
      <c r="E969" t="inlineStr">
        <is>
          <t>ÅNGE</t>
        </is>
      </c>
      <c r="G969" t="n">
        <v>20.6</v>
      </c>
      <c r="H969" t="n">
        <v>0</v>
      </c>
      <c r="I969" t="n">
        <v>0</v>
      </c>
      <c r="J969" t="n">
        <v>0</v>
      </c>
      <c r="K969" t="n">
        <v>0</v>
      </c>
      <c r="L969" t="n">
        <v>0</v>
      </c>
      <c r="M969" t="n">
        <v>0</v>
      </c>
      <c r="N969" t="n">
        <v>0</v>
      </c>
      <c r="O969" t="n">
        <v>0</v>
      </c>
      <c r="P969" t="n">
        <v>0</v>
      </c>
      <c r="Q969" t="n">
        <v>0</v>
      </c>
      <c r="R969" s="2" t="inlineStr"/>
    </row>
    <row r="970" ht="15" customHeight="1">
      <c r="A970" t="inlineStr">
        <is>
          <t>A 22752-2023</t>
        </is>
      </c>
      <c r="B970" s="1" t="n">
        <v>45071.94104166667</v>
      </c>
      <c r="C970" s="1" t="n">
        <v>46029</v>
      </c>
      <c r="D970" t="inlineStr">
        <is>
          <t>VÄSTERNORRLANDS LÄN</t>
        </is>
      </c>
      <c r="E970" t="inlineStr">
        <is>
          <t>ÅNGE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60779-2024</t>
        </is>
      </c>
      <c r="B971" s="1" t="n">
        <v>45644</v>
      </c>
      <c r="C971" s="1" t="n">
        <v>46029</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28428-2023</t>
        </is>
      </c>
      <c r="B972" s="1" t="n">
        <v>45102</v>
      </c>
      <c r="C972" s="1" t="n">
        <v>46029</v>
      </c>
      <c r="D972" t="inlineStr">
        <is>
          <t>VÄSTERNORRLANDS LÄN</t>
        </is>
      </c>
      <c r="E972" t="inlineStr">
        <is>
          <t>ÅNGE</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43366-2024</t>
        </is>
      </c>
      <c r="B973" s="1" t="n">
        <v>45568</v>
      </c>
      <c r="C973" s="1" t="n">
        <v>46029</v>
      </c>
      <c r="D973" t="inlineStr">
        <is>
          <t>VÄSTERNORRLANDS LÄN</t>
        </is>
      </c>
      <c r="E973" t="inlineStr">
        <is>
          <t>ÅNGE</t>
        </is>
      </c>
      <c r="G973" t="n">
        <v>1.6</v>
      </c>
      <c r="H973" t="n">
        <v>0</v>
      </c>
      <c r="I973" t="n">
        <v>0</v>
      </c>
      <c r="J973" t="n">
        <v>0</v>
      </c>
      <c r="K973" t="n">
        <v>0</v>
      </c>
      <c r="L973" t="n">
        <v>0</v>
      </c>
      <c r="M973" t="n">
        <v>0</v>
      </c>
      <c r="N973" t="n">
        <v>0</v>
      </c>
      <c r="O973" t="n">
        <v>0</v>
      </c>
      <c r="P973" t="n">
        <v>0</v>
      </c>
      <c r="Q973" t="n">
        <v>0</v>
      </c>
      <c r="R973" s="2" t="inlineStr"/>
    </row>
    <row r="974" ht="15" customHeight="1">
      <c r="A974" t="inlineStr">
        <is>
          <t>A 59319-2025</t>
        </is>
      </c>
      <c r="B974" s="1" t="n">
        <v>45989.33283564815</v>
      </c>
      <c r="C974" s="1" t="n">
        <v>46029</v>
      </c>
      <c r="D974" t="inlineStr">
        <is>
          <t>VÄSTERNORRLANDS LÄN</t>
        </is>
      </c>
      <c r="E974" t="inlineStr">
        <is>
          <t>ÅNGE</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60278-2025</t>
        </is>
      </c>
      <c r="B975" s="1" t="n">
        <v>45994.63739583334</v>
      </c>
      <c r="C975" s="1" t="n">
        <v>46029</v>
      </c>
      <c r="D975" t="inlineStr">
        <is>
          <t>VÄSTERNORRLANDS LÄN</t>
        </is>
      </c>
      <c r="E975" t="inlineStr">
        <is>
          <t>ÅNGE</t>
        </is>
      </c>
      <c r="G975" t="n">
        <v>1.2</v>
      </c>
      <c r="H975" t="n">
        <v>0</v>
      </c>
      <c r="I975" t="n">
        <v>0</v>
      </c>
      <c r="J975" t="n">
        <v>0</v>
      </c>
      <c r="K975" t="n">
        <v>0</v>
      </c>
      <c r="L975" t="n">
        <v>0</v>
      </c>
      <c r="M975" t="n">
        <v>0</v>
      </c>
      <c r="N975" t="n">
        <v>0</v>
      </c>
      <c r="O975" t="n">
        <v>0</v>
      </c>
      <c r="P975" t="n">
        <v>0</v>
      </c>
      <c r="Q975" t="n">
        <v>0</v>
      </c>
      <c r="R975" s="2" t="inlineStr"/>
    </row>
    <row r="976" ht="15" customHeight="1">
      <c r="A976" t="inlineStr">
        <is>
          <t>A 34491-2023</t>
        </is>
      </c>
      <c r="B976" s="1" t="n">
        <v>45139.94775462963</v>
      </c>
      <c r="C976" s="1" t="n">
        <v>46029</v>
      </c>
      <c r="D976" t="inlineStr">
        <is>
          <t>VÄSTERNORRLANDS LÄN</t>
        </is>
      </c>
      <c r="E976" t="inlineStr">
        <is>
          <t>ÅNGE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59815-2025</t>
        </is>
      </c>
      <c r="B977" s="1" t="n">
        <v>45992.6359837963</v>
      </c>
      <c r="C977" s="1" t="n">
        <v>46029</v>
      </c>
      <c r="D977" t="inlineStr">
        <is>
          <t>VÄSTERNORRLANDS LÄN</t>
        </is>
      </c>
      <c r="E977" t="inlineStr">
        <is>
          <t>ÅNGE</t>
        </is>
      </c>
      <c r="G977" t="n">
        <v>2.2</v>
      </c>
      <c r="H977" t="n">
        <v>0</v>
      </c>
      <c r="I977" t="n">
        <v>0</v>
      </c>
      <c r="J977" t="n">
        <v>0</v>
      </c>
      <c r="K977" t="n">
        <v>0</v>
      </c>
      <c r="L977" t="n">
        <v>0</v>
      </c>
      <c r="M977" t="n">
        <v>0</v>
      </c>
      <c r="N977" t="n">
        <v>0</v>
      </c>
      <c r="O977" t="n">
        <v>0</v>
      </c>
      <c r="P977" t="n">
        <v>0</v>
      </c>
      <c r="Q977" t="n">
        <v>0</v>
      </c>
      <c r="R977" s="2" t="inlineStr"/>
    </row>
    <row r="978" ht="15" customHeight="1">
      <c r="A978" t="inlineStr">
        <is>
          <t>A 10089-2023</t>
        </is>
      </c>
      <c r="B978" s="1" t="n">
        <v>44985</v>
      </c>
      <c r="C978" s="1" t="n">
        <v>46029</v>
      </c>
      <c r="D978" t="inlineStr">
        <is>
          <t>VÄSTERNORRLANDS LÄN</t>
        </is>
      </c>
      <c r="E978" t="inlineStr">
        <is>
          <t>ÅNGE</t>
        </is>
      </c>
      <c r="F978" t="inlineStr">
        <is>
          <t>SCA</t>
        </is>
      </c>
      <c r="G978" t="n">
        <v>6.7</v>
      </c>
      <c r="H978" t="n">
        <v>0</v>
      </c>
      <c r="I978" t="n">
        <v>0</v>
      </c>
      <c r="J978" t="n">
        <v>0</v>
      </c>
      <c r="K978" t="n">
        <v>0</v>
      </c>
      <c r="L978" t="n">
        <v>0</v>
      </c>
      <c r="M978" t="n">
        <v>0</v>
      </c>
      <c r="N978" t="n">
        <v>0</v>
      </c>
      <c r="O978" t="n">
        <v>0</v>
      </c>
      <c r="P978" t="n">
        <v>0</v>
      </c>
      <c r="Q978" t="n">
        <v>0</v>
      </c>
      <c r="R978" s="2" t="inlineStr"/>
    </row>
    <row r="979" ht="15" customHeight="1">
      <c r="A979" t="inlineStr">
        <is>
          <t>A 10090-2023</t>
        </is>
      </c>
      <c r="B979" s="1" t="n">
        <v>44985.94511574074</v>
      </c>
      <c r="C979" s="1" t="n">
        <v>46029</v>
      </c>
      <c r="D979" t="inlineStr">
        <is>
          <t>VÄSTERNORRLANDS LÄN</t>
        </is>
      </c>
      <c r="E979" t="inlineStr">
        <is>
          <t>ÅNGE</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39005-2024</t>
        </is>
      </c>
      <c r="B980" s="1" t="n">
        <v>45548.42743055556</v>
      </c>
      <c r="C980" s="1" t="n">
        <v>46029</v>
      </c>
      <c r="D980" t="inlineStr">
        <is>
          <t>VÄSTERNORRLANDS LÄN</t>
        </is>
      </c>
      <c r="E980" t="inlineStr">
        <is>
          <t>ÅNGE</t>
        </is>
      </c>
      <c r="F980" t="inlineStr">
        <is>
          <t>SCA</t>
        </is>
      </c>
      <c r="G980" t="n">
        <v>2.6</v>
      </c>
      <c r="H980" t="n">
        <v>0</v>
      </c>
      <c r="I980" t="n">
        <v>0</v>
      </c>
      <c r="J980" t="n">
        <v>0</v>
      </c>
      <c r="K980" t="n">
        <v>0</v>
      </c>
      <c r="L980" t="n">
        <v>0</v>
      </c>
      <c r="M980" t="n">
        <v>0</v>
      </c>
      <c r="N980" t="n">
        <v>0</v>
      </c>
      <c r="O980" t="n">
        <v>0</v>
      </c>
      <c r="P980" t="n">
        <v>0</v>
      </c>
      <c r="Q980" t="n">
        <v>0</v>
      </c>
      <c r="R980" s="2" t="inlineStr"/>
      <c r="U980">
        <f>HYPERLINK("https://klasma.github.io/Logging_2260/knärot/A 39005-2024 karta knärot.png", "A 39005-2024")</f>
        <v/>
      </c>
      <c r="V980">
        <f>HYPERLINK("https://klasma.github.io/Logging_2260/klagomål/A 39005-2024 FSC-klagomål.docx", "A 39005-2024")</f>
        <v/>
      </c>
      <c r="W980">
        <f>HYPERLINK("https://klasma.github.io/Logging_2260/klagomålsmail/A 39005-2024 FSC-klagomål mail.docx", "A 39005-2024")</f>
        <v/>
      </c>
      <c r="X980">
        <f>HYPERLINK("https://klasma.github.io/Logging_2260/tillsyn/A 39005-2024 tillsynsbegäran.docx", "A 39005-2024")</f>
        <v/>
      </c>
      <c r="Y980">
        <f>HYPERLINK("https://klasma.github.io/Logging_2260/tillsynsmail/A 39005-2024 tillsynsbegäran mail.docx", "A 39005-2024")</f>
        <v/>
      </c>
    </row>
    <row r="981" ht="15" customHeight="1">
      <c r="A981" t="inlineStr">
        <is>
          <t>A 52121-2025</t>
        </is>
      </c>
      <c r="B981" s="1" t="n">
        <v>45952.71921296296</v>
      </c>
      <c r="C981" s="1" t="n">
        <v>46029</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59023-2025</t>
        </is>
      </c>
      <c r="B982" s="1" t="n">
        <v>45988</v>
      </c>
      <c r="C982" s="1" t="n">
        <v>46029</v>
      </c>
      <c r="D982" t="inlineStr">
        <is>
          <t>VÄSTERNORRLANDS LÄN</t>
        </is>
      </c>
      <c r="E982" t="inlineStr">
        <is>
          <t>ÅNGE</t>
        </is>
      </c>
      <c r="F982" t="inlineStr">
        <is>
          <t>SCA</t>
        </is>
      </c>
      <c r="G982" t="n">
        <v>5.7</v>
      </c>
      <c r="H982" t="n">
        <v>0</v>
      </c>
      <c r="I982" t="n">
        <v>0</v>
      </c>
      <c r="J982" t="n">
        <v>0</v>
      </c>
      <c r="K982" t="n">
        <v>0</v>
      </c>
      <c r="L982" t="n">
        <v>0</v>
      </c>
      <c r="M982" t="n">
        <v>0</v>
      </c>
      <c r="N982" t="n">
        <v>0</v>
      </c>
      <c r="O982" t="n">
        <v>0</v>
      </c>
      <c r="P982" t="n">
        <v>0</v>
      </c>
      <c r="Q982" t="n">
        <v>0</v>
      </c>
      <c r="R982" s="2" t="inlineStr"/>
    </row>
    <row r="983" ht="15" customHeight="1">
      <c r="A983" t="inlineStr">
        <is>
          <t>A 60061-2025</t>
        </is>
      </c>
      <c r="B983" s="1" t="n">
        <v>45993.65673611111</v>
      </c>
      <c r="C983" s="1" t="n">
        <v>46029</v>
      </c>
      <c r="D983" t="inlineStr">
        <is>
          <t>VÄSTERNORRLANDS LÄN</t>
        </is>
      </c>
      <c r="E983" t="inlineStr">
        <is>
          <t>ÅNGE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57593-2022</t>
        </is>
      </c>
      <c r="B984" s="1" t="n">
        <v>44896.97847222222</v>
      </c>
      <c r="C984" s="1" t="n">
        <v>46029</v>
      </c>
      <c r="D984" t="inlineStr">
        <is>
          <t>VÄSTERNORRLANDS LÄN</t>
        </is>
      </c>
      <c r="E984" t="inlineStr">
        <is>
          <t>ÅNGE</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57596-2022</t>
        </is>
      </c>
      <c r="B985" s="1" t="n">
        <v>44896.97871527778</v>
      </c>
      <c r="C985" s="1" t="n">
        <v>46029</v>
      </c>
      <c r="D985" t="inlineStr">
        <is>
          <t>VÄSTERNORRLANDS LÄN</t>
        </is>
      </c>
      <c r="E985" t="inlineStr">
        <is>
          <t>ÅNGE</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60296-2025</t>
        </is>
      </c>
      <c r="B986" s="1" t="n">
        <v>45994.6568287037</v>
      </c>
      <c r="C986" s="1" t="n">
        <v>46029</v>
      </c>
      <c r="D986" t="inlineStr">
        <is>
          <t>VÄSTERNORRLANDS LÄN</t>
        </is>
      </c>
      <c r="E986" t="inlineStr">
        <is>
          <t>ÅNGE</t>
        </is>
      </c>
      <c r="G986" t="n">
        <v>0.4</v>
      </c>
      <c r="H986" t="n">
        <v>0</v>
      </c>
      <c r="I986" t="n">
        <v>0</v>
      </c>
      <c r="J986" t="n">
        <v>0</v>
      </c>
      <c r="K986" t="n">
        <v>0</v>
      </c>
      <c r="L986" t="n">
        <v>0</v>
      </c>
      <c r="M986" t="n">
        <v>0</v>
      </c>
      <c r="N986" t="n">
        <v>0</v>
      </c>
      <c r="O986" t="n">
        <v>0</v>
      </c>
      <c r="P986" t="n">
        <v>0</v>
      </c>
      <c r="Q986" t="n">
        <v>0</v>
      </c>
      <c r="R986" s="2" t="inlineStr"/>
    </row>
    <row r="987" ht="15" customHeight="1">
      <c r="A987" t="inlineStr">
        <is>
          <t>A 60118-2025</t>
        </is>
      </c>
      <c r="B987" s="1" t="n">
        <v>45994.3242824074</v>
      </c>
      <c r="C987" s="1" t="n">
        <v>46029</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41222-2024</t>
        </is>
      </c>
      <c r="B988" s="1" t="n">
        <v>45559.55306712963</v>
      </c>
      <c r="C988" s="1" t="n">
        <v>46029</v>
      </c>
      <c r="D988" t="inlineStr">
        <is>
          <t>VÄSTERNORRLANDS LÄN</t>
        </is>
      </c>
      <c r="E988" t="inlineStr">
        <is>
          <t>ÅNGE</t>
        </is>
      </c>
      <c r="G988" t="n">
        <v>0.4</v>
      </c>
      <c r="H988" t="n">
        <v>0</v>
      </c>
      <c r="I988" t="n">
        <v>0</v>
      </c>
      <c r="J988" t="n">
        <v>0</v>
      </c>
      <c r="K988" t="n">
        <v>0</v>
      </c>
      <c r="L988" t="n">
        <v>0</v>
      </c>
      <c r="M988" t="n">
        <v>0</v>
      </c>
      <c r="N988" t="n">
        <v>0</v>
      </c>
      <c r="O988" t="n">
        <v>0</v>
      </c>
      <c r="P988" t="n">
        <v>0</v>
      </c>
      <c r="Q988" t="n">
        <v>0</v>
      </c>
      <c r="R988" s="2" t="inlineStr"/>
    </row>
    <row r="989" ht="15" customHeight="1">
      <c r="A989" t="inlineStr">
        <is>
          <t>A 51857-2025</t>
        </is>
      </c>
      <c r="B989" s="1" t="n">
        <v>45952.36506944444</v>
      </c>
      <c r="C989" s="1" t="n">
        <v>46029</v>
      </c>
      <c r="D989" t="inlineStr">
        <is>
          <t>VÄSTERNORRLANDS LÄN</t>
        </is>
      </c>
      <c r="E989" t="inlineStr">
        <is>
          <t>ÅNGE</t>
        </is>
      </c>
      <c r="F989" t="inlineStr">
        <is>
          <t>SCA</t>
        </is>
      </c>
      <c r="G989" t="n">
        <v>3.1</v>
      </c>
      <c r="H989" t="n">
        <v>0</v>
      </c>
      <c r="I989" t="n">
        <v>0</v>
      </c>
      <c r="J989" t="n">
        <v>0</v>
      </c>
      <c r="K989" t="n">
        <v>0</v>
      </c>
      <c r="L989" t="n">
        <v>0</v>
      </c>
      <c r="M989" t="n">
        <v>0</v>
      </c>
      <c r="N989" t="n">
        <v>0</v>
      </c>
      <c r="O989" t="n">
        <v>0</v>
      </c>
      <c r="P989" t="n">
        <v>0</v>
      </c>
      <c r="Q989" t="n">
        <v>0</v>
      </c>
      <c r="R989" s="2" t="inlineStr"/>
    </row>
    <row r="990" ht="15" customHeight="1">
      <c r="A990" t="inlineStr">
        <is>
          <t>A 13091-2024</t>
        </is>
      </c>
      <c r="B990" s="1" t="n">
        <v>45385</v>
      </c>
      <c r="C990" s="1" t="n">
        <v>46029</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3624-2024</t>
        </is>
      </c>
      <c r="B991" s="1" t="n">
        <v>45320.95305555555</v>
      </c>
      <c r="C991" s="1" t="n">
        <v>46029</v>
      </c>
      <c r="D991" t="inlineStr">
        <is>
          <t>VÄSTERNORRLANDS LÄN</t>
        </is>
      </c>
      <c r="E991" t="inlineStr">
        <is>
          <t>ÅNGE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1127-2023</t>
        </is>
      </c>
      <c r="B992" s="1" t="n">
        <v>44929</v>
      </c>
      <c r="C992" s="1" t="n">
        <v>46029</v>
      </c>
      <c r="D992" t="inlineStr">
        <is>
          <t>VÄSTERNORRLANDS LÄN</t>
        </is>
      </c>
      <c r="E992" t="inlineStr">
        <is>
          <t>ÅNGE</t>
        </is>
      </c>
      <c r="G992" t="n">
        <v>10.5</v>
      </c>
      <c r="H992" t="n">
        <v>0</v>
      </c>
      <c r="I992" t="n">
        <v>0</v>
      </c>
      <c r="J992" t="n">
        <v>0</v>
      </c>
      <c r="K992" t="n">
        <v>0</v>
      </c>
      <c r="L992" t="n">
        <v>0</v>
      </c>
      <c r="M992" t="n">
        <v>0</v>
      </c>
      <c r="N992" t="n">
        <v>0</v>
      </c>
      <c r="O992" t="n">
        <v>0</v>
      </c>
      <c r="P992" t="n">
        <v>0</v>
      </c>
      <c r="Q992" t="n">
        <v>0</v>
      </c>
      <c r="R992" s="2" t="inlineStr"/>
    </row>
    <row r="993" ht="15" customHeight="1">
      <c r="A993" t="inlineStr">
        <is>
          <t>A 60119-2025</t>
        </is>
      </c>
      <c r="B993" s="1" t="n">
        <v>45994.33081018519</v>
      </c>
      <c r="C993" s="1" t="n">
        <v>46029</v>
      </c>
      <c r="D993" t="inlineStr">
        <is>
          <t>VÄSTERNORRLANDS LÄN</t>
        </is>
      </c>
      <c r="E993" t="inlineStr">
        <is>
          <t>ÅNGE</t>
        </is>
      </c>
      <c r="G993" t="n">
        <v>1.7</v>
      </c>
      <c r="H993" t="n">
        <v>0</v>
      </c>
      <c r="I993" t="n">
        <v>0</v>
      </c>
      <c r="J993" t="n">
        <v>0</v>
      </c>
      <c r="K993" t="n">
        <v>0</v>
      </c>
      <c r="L993" t="n">
        <v>0</v>
      </c>
      <c r="M993" t="n">
        <v>0</v>
      </c>
      <c r="N993" t="n">
        <v>0</v>
      </c>
      <c r="O993" t="n">
        <v>0</v>
      </c>
      <c r="P993" t="n">
        <v>0</v>
      </c>
      <c r="Q993" t="n">
        <v>0</v>
      </c>
      <c r="R993" s="2" t="inlineStr"/>
    </row>
    <row r="994" ht="15" customHeight="1">
      <c r="A994" t="inlineStr">
        <is>
          <t>A 60134-2025</t>
        </is>
      </c>
      <c r="B994" s="1" t="n">
        <v>45994.34793981481</v>
      </c>
      <c r="C994" s="1" t="n">
        <v>46029</v>
      </c>
      <c r="D994" t="inlineStr">
        <is>
          <t>VÄSTERNORRLANDS LÄN</t>
        </is>
      </c>
      <c r="E994" t="inlineStr">
        <is>
          <t>ÅNGE</t>
        </is>
      </c>
      <c r="G994" t="n">
        <v>5.1</v>
      </c>
      <c r="H994" t="n">
        <v>0</v>
      </c>
      <c r="I994" t="n">
        <v>0</v>
      </c>
      <c r="J994" t="n">
        <v>0</v>
      </c>
      <c r="K994" t="n">
        <v>0</v>
      </c>
      <c r="L994" t="n">
        <v>0</v>
      </c>
      <c r="M994" t="n">
        <v>0</v>
      </c>
      <c r="N994" t="n">
        <v>0</v>
      </c>
      <c r="O994" t="n">
        <v>0</v>
      </c>
      <c r="P994" t="n">
        <v>0</v>
      </c>
      <c r="Q994" t="n">
        <v>0</v>
      </c>
      <c r="R994" s="2" t="inlineStr"/>
    </row>
    <row r="995" ht="15" customHeight="1">
      <c r="A995" t="inlineStr">
        <is>
          <t>A 60286-2025</t>
        </is>
      </c>
      <c r="B995" s="1" t="n">
        <v>45994.64612268518</v>
      </c>
      <c r="C995" s="1" t="n">
        <v>46029</v>
      </c>
      <c r="D995" t="inlineStr">
        <is>
          <t>VÄSTERNORRLANDS LÄN</t>
        </is>
      </c>
      <c r="E995" t="inlineStr">
        <is>
          <t>ÅNGE</t>
        </is>
      </c>
      <c r="G995" t="n">
        <v>0.7</v>
      </c>
      <c r="H995" t="n">
        <v>0</v>
      </c>
      <c r="I995" t="n">
        <v>0</v>
      </c>
      <c r="J995" t="n">
        <v>0</v>
      </c>
      <c r="K995" t="n">
        <v>0</v>
      </c>
      <c r="L995" t="n">
        <v>0</v>
      </c>
      <c r="M995" t="n">
        <v>0</v>
      </c>
      <c r="N995" t="n">
        <v>0</v>
      </c>
      <c r="O995" t="n">
        <v>0</v>
      </c>
      <c r="P995" t="n">
        <v>0</v>
      </c>
      <c r="Q995" t="n">
        <v>0</v>
      </c>
      <c r="R995" s="2" t="inlineStr"/>
    </row>
    <row r="996" ht="15" customHeight="1">
      <c r="A996" t="inlineStr">
        <is>
          <t>A 41781-2024</t>
        </is>
      </c>
      <c r="B996" s="1" t="n">
        <v>45561.34938657407</v>
      </c>
      <c r="C996" s="1" t="n">
        <v>46029</v>
      </c>
      <c r="D996" t="inlineStr">
        <is>
          <t>VÄSTERNORRLANDS LÄN</t>
        </is>
      </c>
      <c r="E996" t="inlineStr">
        <is>
          <t>ÅNGE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58469-2023</t>
        </is>
      </c>
      <c r="B997" s="1" t="n">
        <v>45250</v>
      </c>
      <c r="C997" s="1" t="n">
        <v>46029</v>
      </c>
      <c r="D997" t="inlineStr">
        <is>
          <t>VÄSTERNORRLANDS LÄN</t>
        </is>
      </c>
      <c r="E997" t="inlineStr">
        <is>
          <t>ÅNGE</t>
        </is>
      </c>
      <c r="F997" t="inlineStr">
        <is>
          <t>SCA</t>
        </is>
      </c>
      <c r="G997" t="n">
        <v>4.3</v>
      </c>
      <c r="H997" t="n">
        <v>0</v>
      </c>
      <c r="I997" t="n">
        <v>0</v>
      </c>
      <c r="J997" t="n">
        <v>0</v>
      </c>
      <c r="K997" t="n">
        <v>0</v>
      </c>
      <c r="L997" t="n">
        <v>0</v>
      </c>
      <c r="M997" t="n">
        <v>0</v>
      </c>
      <c r="N997" t="n">
        <v>0</v>
      </c>
      <c r="O997" t="n">
        <v>0</v>
      </c>
      <c r="P997" t="n">
        <v>0</v>
      </c>
      <c r="Q997" t="n">
        <v>0</v>
      </c>
      <c r="R997" s="2" t="inlineStr"/>
    </row>
    <row r="998" ht="15" customHeight="1">
      <c r="A998" t="inlineStr">
        <is>
          <t>A 60342-2025</t>
        </is>
      </c>
      <c r="B998" s="1" t="n">
        <v>45994.86804398148</v>
      </c>
      <c r="C998" s="1" t="n">
        <v>46029</v>
      </c>
      <c r="D998" t="inlineStr">
        <is>
          <t>VÄSTERNORRLANDS LÄN</t>
        </is>
      </c>
      <c r="E998" t="inlineStr">
        <is>
          <t>ÅNGE</t>
        </is>
      </c>
      <c r="G998" t="n">
        <v>2.5</v>
      </c>
      <c r="H998" t="n">
        <v>0</v>
      </c>
      <c r="I998" t="n">
        <v>0</v>
      </c>
      <c r="J998" t="n">
        <v>0</v>
      </c>
      <c r="K998" t="n">
        <v>0</v>
      </c>
      <c r="L998" t="n">
        <v>0</v>
      </c>
      <c r="M998" t="n">
        <v>0</v>
      </c>
      <c r="N998" t="n">
        <v>0</v>
      </c>
      <c r="O998" t="n">
        <v>0</v>
      </c>
      <c r="P998" t="n">
        <v>0</v>
      </c>
      <c r="Q998" t="n">
        <v>0</v>
      </c>
      <c r="R998" s="2" t="inlineStr"/>
    </row>
    <row r="999" ht="15" customHeight="1">
      <c r="A999" t="inlineStr">
        <is>
          <t>A 42090-2024</t>
        </is>
      </c>
      <c r="B999" s="1" t="n">
        <v>45562</v>
      </c>
      <c r="C999" s="1" t="n">
        <v>46029</v>
      </c>
      <c r="D999" t="inlineStr">
        <is>
          <t>VÄSTERNORRLANDS LÄN</t>
        </is>
      </c>
      <c r="E999" t="inlineStr">
        <is>
          <t>ÅNGE</t>
        </is>
      </c>
      <c r="F999" t="inlineStr">
        <is>
          <t>SCA</t>
        </is>
      </c>
      <c r="G999" t="n">
        <v>20.2</v>
      </c>
      <c r="H999" t="n">
        <v>0</v>
      </c>
      <c r="I999" t="n">
        <v>0</v>
      </c>
      <c r="J999" t="n">
        <v>0</v>
      </c>
      <c r="K999" t="n">
        <v>0</v>
      </c>
      <c r="L999" t="n">
        <v>0</v>
      </c>
      <c r="M999" t="n">
        <v>0</v>
      </c>
      <c r="N999" t="n">
        <v>0</v>
      </c>
      <c r="O999" t="n">
        <v>0</v>
      </c>
      <c r="P999" t="n">
        <v>0</v>
      </c>
      <c r="Q999" t="n">
        <v>0</v>
      </c>
      <c r="R999" s="2" t="inlineStr"/>
    </row>
    <row r="1000" ht="15" customHeight="1">
      <c r="A1000" t="inlineStr">
        <is>
          <t>A 52060-2025</t>
        </is>
      </c>
      <c r="B1000" s="1" t="n">
        <v>45952.63641203703</v>
      </c>
      <c r="C1000" s="1" t="n">
        <v>46029</v>
      </c>
      <c r="D1000" t="inlineStr">
        <is>
          <t>VÄSTERNORRLANDS LÄN</t>
        </is>
      </c>
      <c r="E1000" t="inlineStr">
        <is>
          <t>ÅNGE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42098-2024</t>
        </is>
      </c>
      <c r="B1001" s="1" t="n">
        <v>45562.34532407407</v>
      </c>
      <c r="C1001" s="1" t="n">
        <v>46029</v>
      </c>
      <c r="D1001" t="inlineStr">
        <is>
          <t>VÄSTERNORRLANDS LÄN</t>
        </is>
      </c>
      <c r="E1001" t="inlineStr">
        <is>
          <t>ÅNGE</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55324-2023</t>
        </is>
      </c>
      <c r="B1002" s="1" t="n">
        <v>45237.9734837963</v>
      </c>
      <c r="C1002" s="1" t="n">
        <v>46029</v>
      </c>
      <c r="D1002" t="inlineStr">
        <is>
          <t>VÄSTERNORRLANDS LÄN</t>
        </is>
      </c>
      <c r="E1002" t="inlineStr">
        <is>
          <t>ÅNGE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51813-2025</t>
        </is>
      </c>
      <c r="B1003" s="1" t="n">
        <v>45951.83082175926</v>
      </c>
      <c r="C1003" s="1" t="n">
        <v>46029</v>
      </c>
      <c r="D1003" t="inlineStr">
        <is>
          <t>VÄSTERNORRLANDS LÄN</t>
        </is>
      </c>
      <c r="E1003" t="inlineStr">
        <is>
          <t>ÅNGE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4361-2024</t>
        </is>
      </c>
      <c r="B1004" s="1" t="n">
        <v>45325.65047453704</v>
      </c>
      <c r="C1004" s="1" t="n">
        <v>46029</v>
      </c>
      <c r="D1004" t="inlineStr">
        <is>
          <t>VÄSTERNORRLANDS LÄN</t>
        </is>
      </c>
      <c r="E1004" t="inlineStr">
        <is>
          <t>ÅNGE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60124-2025</t>
        </is>
      </c>
      <c r="B1005" s="1" t="n">
        <v>45994.33722222222</v>
      </c>
      <c r="C1005" s="1" t="n">
        <v>46029</v>
      </c>
      <c r="D1005" t="inlineStr">
        <is>
          <t>VÄSTERNORRLANDS LÄN</t>
        </is>
      </c>
      <c r="E1005" t="inlineStr">
        <is>
          <t>ÅNGE</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65229-2021</t>
        </is>
      </c>
      <c r="B1006" s="1" t="n">
        <v>44515</v>
      </c>
      <c r="C1006" s="1" t="n">
        <v>46029</v>
      </c>
      <c r="D1006" t="inlineStr">
        <is>
          <t>VÄSTERNORRLANDS LÄN</t>
        </is>
      </c>
      <c r="E1006" t="inlineStr">
        <is>
          <t>ÅNGE</t>
        </is>
      </c>
      <c r="G1006" t="n">
        <v>12.1</v>
      </c>
      <c r="H1006" t="n">
        <v>0</v>
      </c>
      <c r="I1006" t="n">
        <v>0</v>
      </c>
      <c r="J1006" t="n">
        <v>0</v>
      </c>
      <c r="K1006" t="n">
        <v>0</v>
      </c>
      <c r="L1006" t="n">
        <v>0</v>
      </c>
      <c r="M1006" t="n">
        <v>0</v>
      </c>
      <c r="N1006" t="n">
        <v>0</v>
      </c>
      <c r="O1006" t="n">
        <v>0</v>
      </c>
      <c r="P1006" t="n">
        <v>0</v>
      </c>
      <c r="Q1006" t="n">
        <v>0</v>
      </c>
      <c r="R1006" s="2" t="inlineStr"/>
    </row>
    <row r="1007" ht="15" customHeight="1">
      <c r="A1007" t="inlineStr">
        <is>
          <t>A 60079-2025</t>
        </is>
      </c>
      <c r="B1007" s="1" t="n">
        <v>45993.6834375</v>
      </c>
      <c r="C1007" s="1" t="n">
        <v>46029</v>
      </c>
      <c r="D1007" t="inlineStr">
        <is>
          <t>VÄSTERNORRLANDS LÄN</t>
        </is>
      </c>
      <c r="E1007" t="inlineStr">
        <is>
          <t>ÅNGE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59022-2025</t>
        </is>
      </c>
      <c r="B1008" s="1" t="n">
        <v>45988</v>
      </c>
      <c r="C1008" s="1" t="n">
        <v>46029</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32069-2023</t>
        </is>
      </c>
      <c r="B1009" s="1" t="n">
        <v>45107</v>
      </c>
      <c r="C1009" s="1" t="n">
        <v>46029</v>
      </c>
      <c r="D1009" t="inlineStr">
        <is>
          <t>VÄSTERNORRLANDS LÄN</t>
        </is>
      </c>
      <c r="E1009" t="inlineStr">
        <is>
          <t>ÅNGE</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19829-2025</t>
        </is>
      </c>
      <c r="B1010" s="1" t="n">
        <v>45771.46944444445</v>
      </c>
      <c r="C1010" s="1" t="n">
        <v>46029</v>
      </c>
      <c r="D1010" t="inlineStr">
        <is>
          <t>VÄSTERNORRLANDS LÄN</t>
        </is>
      </c>
      <c r="E1010" t="inlineStr">
        <is>
          <t>ÅNGE</t>
        </is>
      </c>
      <c r="F1010" t="inlineStr">
        <is>
          <t>SCA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60582-2025</t>
        </is>
      </c>
      <c r="B1011" s="1" t="n">
        <v>45994</v>
      </c>
      <c r="C1011" s="1" t="n">
        <v>46029</v>
      </c>
      <c r="D1011" t="inlineStr">
        <is>
          <t>VÄSTERNORRLANDS LÄN</t>
        </is>
      </c>
      <c r="E1011" t="inlineStr">
        <is>
          <t>ÅNGE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46015-2024</t>
        </is>
      </c>
      <c r="B1012" s="1" t="n">
        <v>45580.67760416667</v>
      </c>
      <c r="C1012" s="1" t="n">
        <v>46029</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52392-2025</t>
        </is>
      </c>
      <c r="B1013" s="1" t="n">
        <v>45954.34424768519</v>
      </c>
      <c r="C1013" s="1" t="n">
        <v>46029</v>
      </c>
      <c r="D1013" t="inlineStr">
        <is>
          <t>VÄSTERNORRLANDS LÄN</t>
        </is>
      </c>
      <c r="E1013" t="inlineStr">
        <is>
          <t>ÅNGE</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52335-2025</t>
        </is>
      </c>
      <c r="B1014" s="1" t="n">
        <v>45953.68591435185</v>
      </c>
      <c r="C1014" s="1" t="n">
        <v>46029</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41302-2024</t>
        </is>
      </c>
      <c r="B1015" s="1" t="n">
        <v>45559.62077546296</v>
      </c>
      <c r="C1015" s="1" t="n">
        <v>46029</v>
      </c>
      <c r="D1015" t="inlineStr">
        <is>
          <t>VÄSTERNORRLANDS LÄN</t>
        </is>
      </c>
      <c r="E1015" t="inlineStr">
        <is>
          <t>ÅNGE</t>
        </is>
      </c>
      <c r="F1015" t="inlineStr">
        <is>
          <t>Holmen skog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16576-2023</t>
        </is>
      </c>
      <c r="B1016" s="1" t="n">
        <v>45029.94251157407</v>
      </c>
      <c r="C1016" s="1" t="n">
        <v>46029</v>
      </c>
      <c r="D1016" t="inlineStr">
        <is>
          <t>VÄSTERNORRLANDS LÄN</t>
        </is>
      </c>
      <c r="E1016" t="inlineStr">
        <is>
          <t>ÅNGE</t>
        </is>
      </c>
      <c r="F1016" t="inlineStr">
        <is>
          <t>SCA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60403-2025</t>
        </is>
      </c>
      <c r="B1017" s="1" t="n">
        <v>45995.42762731481</v>
      </c>
      <c r="C1017" s="1" t="n">
        <v>46029</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37503-2023</t>
        </is>
      </c>
      <c r="B1018" s="1" t="n">
        <v>45157.5796875</v>
      </c>
      <c r="C1018" s="1" t="n">
        <v>46029</v>
      </c>
      <c r="D1018" t="inlineStr">
        <is>
          <t>VÄSTERNORRLANDS LÄN</t>
        </is>
      </c>
      <c r="E1018" t="inlineStr">
        <is>
          <t>ÅNGE</t>
        </is>
      </c>
      <c r="F1018" t="inlineStr">
        <is>
          <t>Sveaskog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3323-2023</t>
        </is>
      </c>
      <c r="B1019" s="1" t="n">
        <v>44945</v>
      </c>
      <c r="C1019" s="1" t="n">
        <v>46029</v>
      </c>
      <c r="D1019" t="inlineStr">
        <is>
          <t>VÄSTERNORRLANDS LÄN</t>
        </is>
      </c>
      <c r="E1019" t="inlineStr">
        <is>
          <t>ÅNGE</t>
        </is>
      </c>
      <c r="G1019" t="n">
        <v>9.699999999999999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52283-2025</t>
        </is>
      </c>
      <c r="B1020" s="1" t="n">
        <v>45953.57346064815</v>
      </c>
      <c r="C1020" s="1" t="n">
        <v>46029</v>
      </c>
      <c r="D1020" t="inlineStr">
        <is>
          <t>VÄSTERNORRLANDS LÄN</t>
        </is>
      </c>
      <c r="E1020" t="inlineStr">
        <is>
          <t>ÅNGE</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52411-2025</t>
        </is>
      </c>
      <c r="B1021" s="1" t="n">
        <v>45954.36518518518</v>
      </c>
      <c r="C1021" s="1" t="n">
        <v>46029</v>
      </c>
      <c r="D1021" t="inlineStr">
        <is>
          <t>VÄSTERNORRLANDS LÄN</t>
        </is>
      </c>
      <c r="E1021" t="inlineStr">
        <is>
          <t>ÅNGE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52306-2025</t>
        </is>
      </c>
      <c r="B1022" s="1" t="n">
        <v>45953.63600694444</v>
      </c>
      <c r="C1022" s="1" t="n">
        <v>46029</v>
      </c>
      <c r="D1022" t="inlineStr">
        <is>
          <t>VÄSTERNORRLANDS LÄN</t>
        </is>
      </c>
      <c r="E1022" t="inlineStr">
        <is>
          <t>ÅNGE</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51377-2024</t>
        </is>
      </c>
      <c r="B1023" s="1" t="n">
        <v>45604.38142361111</v>
      </c>
      <c r="C1023" s="1" t="n">
        <v>46029</v>
      </c>
      <c r="D1023" t="inlineStr">
        <is>
          <t>VÄSTERNORRLANDS LÄN</t>
        </is>
      </c>
      <c r="E1023" t="inlineStr">
        <is>
          <t>ÅNGE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60860-2022</t>
        </is>
      </c>
      <c r="B1024" s="1" t="n">
        <v>44914</v>
      </c>
      <c r="C1024" s="1" t="n">
        <v>46029</v>
      </c>
      <c r="D1024" t="inlineStr">
        <is>
          <t>VÄSTERNORRLANDS LÄN</t>
        </is>
      </c>
      <c r="E1024" t="inlineStr">
        <is>
          <t>ÅNGE</t>
        </is>
      </c>
      <c r="F1024" t="inlineStr">
        <is>
          <t>Holmen skog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60590-2025</t>
        </is>
      </c>
      <c r="B1025" s="1" t="n">
        <v>45994</v>
      </c>
      <c r="C1025" s="1" t="n">
        <v>46029</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60604-2025</t>
        </is>
      </c>
      <c r="B1026" s="1" t="n">
        <v>45995</v>
      </c>
      <c r="C1026" s="1" t="n">
        <v>46029</v>
      </c>
      <c r="D1026" t="inlineStr">
        <is>
          <t>VÄSTERNORRLANDS LÄN</t>
        </is>
      </c>
      <c r="E1026" t="inlineStr">
        <is>
          <t>ÅNGE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57286-2022</t>
        </is>
      </c>
      <c r="B1027" s="1" t="n">
        <v>44895.94991898148</v>
      </c>
      <c r="C1027" s="1" t="n">
        <v>46029</v>
      </c>
      <c r="D1027" t="inlineStr">
        <is>
          <t>VÄSTERNORRLANDS LÄN</t>
        </is>
      </c>
      <c r="E1027" t="inlineStr">
        <is>
          <t>ÅNGE</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60422-2025</t>
        </is>
      </c>
      <c r="B1028" s="1" t="n">
        <v>45995.46922453704</v>
      </c>
      <c r="C1028" s="1" t="n">
        <v>46029</v>
      </c>
      <c r="D1028" t="inlineStr">
        <is>
          <t>VÄSTERNORRLANDS LÄN</t>
        </is>
      </c>
      <c r="E1028" t="inlineStr">
        <is>
          <t>ÅNGE</t>
        </is>
      </c>
      <c r="F1028" t="inlineStr">
        <is>
          <t>SCA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16572-2023</t>
        </is>
      </c>
      <c r="B1029" s="1" t="n">
        <v>45029.94224537037</v>
      </c>
      <c r="C1029" s="1" t="n">
        <v>46029</v>
      </c>
      <c r="D1029" t="inlineStr">
        <is>
          <t>VÄSTERNORRLANDS LÄN</t>
        </is>
      </c>
      <c r="E1029" t="inlineStr">
        <is>
          <t>ÅNGE</t>
        </is>
      </c>
      <c r="F1029" t="inlineStr">
        <is>
          <t>SCA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16365-2023</t>
        </is>
      </c>
      <c r="B1030" s="1" t="n">
        <v>45028</v>
      </c>
      <c r="C1030" s="1" t="n">
        <v>46029</v>
      </c>
      <c r="D1030" t="inlineStr">
        <is>
          <t>VÄSTERNORRLANDS LÄN</t>
        </is>
      </c>
      <c r="E1030" t="inlineStr">
        <is>
          <t>ÅNGE</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60520-2025</t>
        </is>
      </c>
      <c r="B1031" s="1" t="n">
        <v>45995.63694444444</v>
      </c>
      <c r="C1031" s="1" t="n">
        <v>46029</v>
      </c>
      <c r="D1031" t="inlineStr">
        <is>
          <t>VÄSTERNORRLANDS LÄN</t>
        </is>
      </c>
      <c r="E1031" t="inlineStr">
        <is>
          <t>ÅNGE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24063-2023</t>
        </is>
      </c>
      <c r="B1032" s="1" t="n">
        <v>45078.94140046297</v>
      </c>
      <c r="C1032" s="1" t="n">
        <v>46029</v>
      </c>
      <c r="D1032" t="inlineStr">
        <is>
          <t>VÄSTERNORRLANDS LÄN</t>
        </is>
      </c>
      <c r="E1032" t="inlineStr">
        <is>
          <t>ÅNGE</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52642-2025</t>
        </is>
      </c>
      <c r="B1033" s="1" t="n">
        <v>45955.34576388889</v>
      </c>
      <c r="C1033" s="1" t="n">
        <v>46029</v>
      </c>
      <c r="D1033" t="inlineStr">
        <is>
          <t>VÄSTERNORRLANDS LÄN</t>
        </is>
      </c>
      <c r="E1033" t="inlineStr">
        <is>
          <t>ÅNGE</t>
        </is>
      </c>
      <c r="F1033" t="inlineStr">
        <is>
          <t>SCA</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10087-2023</t>
        </is>
      </c>
      <c r="B1034" s="1" t="n">
        <v>44985</v>
      </c>
      <c r="C1034" s="1" t="n">
        <v>46029</v>
      </c>
      <c r="D1034" t="inlineStr">
        <is>
          <t>VÄSTERNORRLANDS LÄN</t>
        </is>
      </c>
      <c r="E1034" t="inlineStr">
        <is>
          <t>ÅNGE</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27682-2023</t>
        </is>
      </c>
      <c r="B1035" s="1" t="n">
        <v>45097.93758101852</v>
      </c>
      <c r="C1035" s="1" t="n">
        <v>46029</v>
      </c>
      <c r="D1035" t="inlineStr">
        <is>
          <t>VÄSTERNORRLANDS LÄN</t>
        </is>
      </c>
      <c r="E1035" t="inlineStr">
        <is>
          <t>ÅNGE</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60599-2025</t>
        </is>
      </c>
      <c r="B1036" s="1" t="n">
        <v>45994</v>
      </c>
      <c r="C1036" s="1" t="n">
        <v>46029</v>
      </c>
      <c r="D1036" t="inlineStr">
        <is>
          <t>VÄSTERNORRLANDS LÄN</t>
        </is>
      </c>
      <c r="E1036" t="inlineStr">
        <is>
          <t>ÅNGE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38795-2023</t>
        </is>
      </c>
      <c r="B1037" s="1" t="n">
        <v>45162</v>
      </c>
      <c r="C1037" s="1" t="n">
        <v>46029</v>
      </c>
      <c r="D1037" t="inlineStr">
        <is>
          <t>VÄSTERNORRLANDS LÄN</t>
        </is>
      </c>
      <c r="E1037" t="inlineStr">
        <is>
          <t>ÅNGE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35979-2023</t>
        </is>
      </c>
      <c r="B1038" s="1" t="n">
        <v>45148</v>
      </c>
      <c r="C1038" s="1" t="n">
        <v>46029</v>
      </c>
      <c r="D1038" t="inlineStr">
        <is>
          <t>VÄSTERNORRLANDS LÄN</t>
        </is>
      </c>
      <c r="E1038" t="inlineStr">
        <is>
          <t>ÅNGE</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52858-2025</t>
        </is>
      </c>
      <c r="B1039" s="1" t="n">
        <v>45957.50284722223</v>
      </c>
      <c r="C1039" s="1" t="n">
        <v>46029</v>
      </c>
      <c r="D1039" t="inlineStr">
        <is>
          <t>VÄSTERNORRLANDS LÄN</t>
        </is>
      </c>
      <c r="E1039" t="inlineStr">
        <is>
          <t>ÅNGE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61075-2025</t>
        </is>
      </c>
      <c r="B1040" s="1" t="n">
        <v>46000.3959837963</v>
      </c>
      <c r="C1040" s="1" t="n">
        <v>46029</v>
      </c>
      <c r="D1040" t="inlineStr">
        <is>
          <t>VÄSTERNORRLANDS LÄN</t>
        </is>
      </c>
      <c r="E1040" t="inlineStr">
        <is>
          <t>ÅNGE</t>
        </is>
      </c>
      <c r="F1040" t="inlineStr">
        <is>
          <t>Holmen skog AB</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60402-2025</t>
        </is>
      </c>
      <c r="B1041" s="1" t="n">
        <v>45995.4262962963</v>
      </c>
      <c r="C1041" s="1" t="n">
        <v>46029</v>
      </c>
      <c r="D1041" t="inlineStr">
        <is>
          <t>VÄSTERNORRLANDS LÄN</t>
        </is>
      </c>
      <c r="E1041" t="inlineStr">
        <is>
          <t>ÅNGE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35582-2024</t>
        </is>
      </c>
      <c r="B1042" s="1" t="n">
        <v>45531.64800925926</v>
      </c>
      <c r="C1042" s="1" t="n">
        <v>46029</v>
      </c>
      <c r="D1042" t="inlineStr">
        <is>
          <t>VÄSTERNORRLANDS LÄN</t>
        </is>
      </c>
      <c r="E1042" t="inlineStr">
        <is>
          <t>ÅNGE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36466-2024</t>
        </is>
      </c>
      <c r="B1043" s="1" t="n">
        <v>45537.35872685185</v>
      </c>
      <c r="C1043" s="1" t="n">
        <v>46029</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53012-2025</t>
        </is>
      </c>
      <c r="B1044" s="1" t="n">
        <v>45957.80320601852</v>
      </c>
      <c r="C1044" s="1" t="n">
        <v>46029</v>
      </c>
      <c r="D1044" t="inlineStr">
        <is>
          <t>VÄSTERNORRLANDS LÄN</t>
        </is>
      </c>
      <c r="E1044" t="inlineStr">
        <is>
          <t>ÅNGE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52785-2024</t>
        </is>
      </c>
      <c r="B1045" s="1" t="n">
        <v>45610.55273148148</v>
      </c>
      <c r="C1045" s="1" t="n">
        <v>46029</v>
      </c>
      <c r="D1045" t="inlineStr">
        <is>
          <t>VÄSTERNORRLANDS LÄN</t>
        </is>
      </c>
      <c r="E1045" t="inlineStr">
        <is>
          <t>ÅNGE</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52786-2024</t>
        </is>
      </c>
      <c r="B1046" s="1" t="n">
        <v>45610.55283564814</v>
      </c>
      <c r="C1046" s="1" t="n">
        <v>46029</v>
      </c>
      <c r="D1046" t="inlineStr">
        <is>
          <t>VÄSTERNORRLANDS LÄN</t>
        </is>
      </c>
      <c r="E1046" t="inlineStr">
        <is>
          <t>ÅNGE</t>
        </is>
      </c>
      <c r="F1046" t="inlineStr">
        <is>
          <t>SCA</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53013-2025</t>
        </is>
      </c>
      <c r="B1047" s="1" t="n">
        <v>45957.81732638889</v>
      </c>
      <c r="C1047" s="1" t="n">
        <v>46029</v>
      </c>
      <c r="D1047" t="inlineStr">
        <is>
          <t>VÄSTERNORRLANDS LÄN</t>
        </is>
      </c>
      <c r="E1047" t="inlineStr">
        <is>
          <t>ÅNGE</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53221-2025</t>
        </is>
      </c>
      <c r="B1048" s="1" t="n">
        <v>45958.60331018519</v>
      </c>
      <c r="C1048" s="1" t="n">
        <v>46029</v>
      </c>
      <c r="D1048" t="inlineStr">
        <is>
          <t>VÄSTERNORRLANDS LÄN</t>
        </is>
      </c>
      <c r="E1048" t="inlineStr">
        <is>
          <t>ÅNGE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61203-2025</t>
        </is>
      </c>
      <c r="B1049" s="1" t="n">
        <v>46000.61237268519</v>
      </c>
      <c r="C1049" s="1" t="n">
        <v>46029</v>
      </c>
      <c r="D1049" t="inlineStr">
        <is>
          <t>VÄSTERNORRLANDS LÄN</t>
        </is>
      </c>
      <c r="E1049" t="inlineStr">
        <is>
          <t>ÅNGE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61279-2025</t>
        </is>
      </c>
      <c r="B1050" s="1" t="n">
        <v>46000.69841435185</v>
      </c>
      <c r="C1050" s="1" t="n">
        <v>46029</v>
      </c>
      <c r="D1050" t="inlineStr">
        <is>
          <t>VÄSTERNORRLANDS LÄN</t>
        </is>
      </c>
      <c r="E1050" t="inlineStr">
        <is>
          <t>ÅNGE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48787-2024</t>
        </is>
      </c>
      <c r="B1051" s="1" t="n">
        <v>45593.63888888889</v>
      </c>
      <c r="C1051" s="1" t="n">
        <v>46029</v>
      </c>
      <c r="D1051" t="inlineStr">
        <is>
          <t>VÄSTERNORRLANDS LÄN</t>
        </is>
      </c>
      <c r="E1051" t="inlineStr">
        <is>
          <t>ÅNGE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58939-2021</t>
        </is>
      </c>
      <c r="B1052" s="1" t="n">
        <v>44489</v>
      </c>
      <c r="C1052" s="1" t="n">
        <v>46029</v>
      </c>
      <c r="D1052" t="inlineStr">
        <is>
          <t>VÄSTERNORRLANDS LÄN</t>
        </is>
      </c>
      <c r="E1052" t="inlineStr">
        <is>
          <t>ÅNGE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60864-2025</t>
        </is>
      </c>
      <c r="B1053" s="1" t="n">
        <v>45999.53170138889</v>
      </c>
      <c r="C1053" s="1" t="n">
        <v>46029</v>
      </c>
      <c r="D1053" t="inlineStr">
        <is>
          <t>VÄSTERNORRLANDS LÄN</t>
        </is>
      </c>
      <c r="E1053" t="inlineStr">
        <is>
          <t>ÅNGE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42969-2024</t>
        </is>
      </c>
      <c r="B1054" s="1" t="n">
        <v>45567.37300925926</v>
      </c>
      <c r="C1054" s="1" t="n">
        <v>46029</v>
      </c>
      <c r="D1054" t="inlineStr">
        <is>
          <t>VÄSTERNORRLANDS LÄN</t>
        </is>
      </c>
      <c r="E1054" t="inlineStr">
        <is>
          <t>ÅNGE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52683-2024</t>
        </is>
      </c>
      <c r="B1055" s="1" t="n">
        <v>45610</v>
      </c>
      <c r="C1055" s="1" t="n">
        <v>46029</v>
      </c>
      <c r="D1055" t="inlineStr">
        <is>
          <t>VÄSTERNORRLANDS LÄN</t>
        </is>
      </c>
      <c r="E1055" t="inlineStr">
        <is>
          <t>ÅNGE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37558-2023</t>
        </is>
      </c>
      <c r="B1056" s="1" t="n">
        <v>45159.34511574074</v>
      </c>
      <c r="C1056" s="1" t="n">
        <v>46029</v>
      </c>
      <c r="D1056" t="inlineStr">
        <is>
          <t>VÄSTERNORRLANDS LÄN</t>
        </is>
      </c>
      <c r="E1056" t="inlineStr">
        <is>
          <t>ÅNGE</t>
        </is>
      </c>
      <c r="F1056" t="inlineStr">
        <is>
          <t>Kyrkan</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61200-2025</t>
        </is>
      </c>
      <c r="B1057" s="1" t="n">
        <v>46000.60918981482</v>
      </c>
      <c r="C1057" s="1" t="n">
        <v>46029</v>
      </c>
      <c r="D1057" t="inlineStr">
        <is>
          <t>VÄSTERNORRLANDS LÄN</t>
        </is>
      </c>
      <c r="E1057" t="inlineStr">
        <is>
          <t>ÅNGE</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34852-2023</t>
        </is>
      </c>
      <c r="B1058" s="1" t="n">
        <v>45141</v>
      </c>
      <c r="C1058" s="1" t="n">
        <v>46029</v>
      </c>
      <c r="D1058" t="inlineStr">
        <is>
          <t>VÄSTERNORRLANDS LÄN</t>
        </is>
      </c>
      <c r="E1058" t="inlineStr">
        <is>
          <t>ÅNGE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53033-2025</t>
        </is>
      </c>
      <c r="B1059" s="1" t="n">
        <v>45958.34479166667</v>
      </c>
      <c r="C1059" s="1" t="n">
        <v>46029</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19798-2025</t>
        </is>
      </c>
      <c r="B1060" s="1" t="n">
        <v>45771.44824074074</v>
      </c>
      <c r="C1060" s="1" t="n">
        <v>46029</v>
      </c>
      <c r="D1060" t="inlineStr">
        <is>
          <t>VÄSTERNORRLANDS LÄN</t>
        </is>
      </c>
      <c r="E1060" t="inlineStr">
        <is>
          <t>ÅNGE</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10558-2023</t>
        </is>
      </c>
      <c r="B1061" s="1" t="n">
        <v>44987.94438657408</v>
      </c>
      <c r="C1061" s="1" t="n">
        <v>46029</v>
      </c>
      <c r="D1061" t="inlineStr">
        <is>
          <t>VÄSTERNORRLANDS LÄN</t>
        </is>
      </c>
      <c r="E1061" t="inlineStr">
        <is>
          <t>ÅNGE</t>
        </is>
      </c>
      <c r="F1061" t="inlineStr">
        <is>
          <t>SCA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49487-2024</t>
        </is>
      </c>
      <c r="B1062" s="1" t="n">
        <v>45596.35813657408</v>
      </c>
      <c r="C1062" s="1" t="n">
        <v>46029</v>
      </c>
      <c r="D1062" t="inlineStr">
        <is>
          <t>VÄSTERNORRLANDS LÄN</t>
        </is>
      </c>
      <c r="E1062" t="inlineStr">
        <is>
          <t>ÅNGE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44606-2024</t>
        </is>
      </c>
      <c r="B1063" s="1" t="n">
        <v>45574.51195601852</v>
      </c>
      <c r="C1063" s="1" t="n">
        <v>46029</v>
      </c>
      <c r="D1063" t="inlineStr">
        <is>
          <t>VÄSTERNORRLANDS LÄN</t>
        </is>
      </c>
      <c r="E1063" t="inlineStr">
        <is>
          <t>ÅNGE</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44626-2024</t>
        </is>
      </c>
      <c r="B1064" s="1" t="n">
        <v>45574.51378472222</v>
      </c>
      <c r="C1064" s="1" t="n">
        <v>46029</v>
      </c>
      <c r="D1064" t="inlineStr">
        <is>
          <t>VÄSTERNORRLANDS LÄN</t>
        </is>
      </c>
      <c r="E1064" t="inlineStr">
        <is>
          <t>ÅNGE</t>
        </is>
      </c>
      <c r="F1064" t="inlineStr">
        <is>
          <t>SCA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61500-2025</t>
        </is>
      </c>
      <c r="B1065" s="1" t="n">
        <v>46001.65667824074</v>
      </c>
      <c r="C1065" s="1" t="n">
        <v>46029</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61656-2025</t>
        </is>
      </c>
      <c r="B1066" s="1" t="n">
        <v>46002.44873842593</v>
      </c>
      <c r="C1066" s="1" t="n">
        <v>46029</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61486-2025</t>
        </is>
      </c>
      <c r="B1067" s="1" t="n">
        <v>46001.63607638889</v>
      </c>
      <c r="C1067" s="1" t="n">
        <v>46029</v>
      </c>
      <c r="D1067" t="inlineStr">
        <is>
          <t>VÄSTERNORRLANDS LÄN</t>
        </is>
      </c>
      <c r="E1067" t="inlineStr">
        <is>
          <t>ÅNGE</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61781-2023</t>
        </is>
      </c>
      <c r="B1068" s="1" t="n">
        <v>45265.95708333333</v>
      </c>
      <c r="C1068" s="1" t="n">
        <v>46029</v>
      </c>
      <c r="D1068" t="inlineStr">
        <is>
          <t>VÄSTERNORRLANDS LÄN</t>
        </is>
      </c>
      <c r="E1068" t="inlineStr">
        <is>
          <t>ÅNGE</t>
        </is>
      </c>
      <c r="F1068" t="inlineStr">
        <is>
          <t>SCA</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61332-2025</t>
        </is>
      </c>
      <c r="B1069" s="1" t="n">
        <v>46001.34416666667</v>
      </c>
      <c r="C1069" s="1" t="n">
        <v>46029</v>
      </c>
      <c r="D1069" t="inlineStr">
        <is>
          <t>VÄSTERNORRLANDS LÄN</t>
        </is>
      </c>
      <c r="E1069" t="inlineStr">
        <is>
          <t>ÅNGE</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49187-2024</t>
        </is>
      </c>
      <c r="B1070" s="1" t="n">
        <v>45595.34490740741</v>
      </c>
      <c r="C1070" s="1" t="n">
        <v>46029</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61349-2025</t>
        </is>
      </c>
      <c r="B1071" s="1" t="n">
        <v>46001.3866087963</v>
      </c>
      <c r="C1071" s="1" t="n">
        <v>46029</v>
      </c>
      <c r="D1071" t="inlineStr">
        <is>
          <t>VÄSTERNORRLANDS LÄN</t>
        </is>
      </c>
      <c r="E1071" t="inlineStr">
        <is>
          <t>ÅNGE</t>
        </is>
      </c>
      <c r="F1071" t="inlineStr">
        <is>
          <t>SCA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28873-2024</t>
        </is>
      </c>
      <c r="B1072" s="1" t="n">
        <v>45478.94766203704</v>
      </c>
      <c r="C1072" s="1" t="n">
        <v>46029</v>
      </c>
      <c r="D1072" t="inlineStr">
        <is>
          <t>VÄSTERNORRLANDS LÄN</t>
        </is>
      </c>
      <c r="E1072" t="inlineStr">
        <is>
          <t>ÅNGE</t>
        </is>
      </c>
      <c r="F1072" t="inlineStr">
        <is>
          <t>SCA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31563-2024</t>
        </is>
      </c>
      <c r="B1073" s="1" t="n">
        <v>45505</v>
      </c>
      <c r="C1073" s="1" t="n">
        <v>46029</v>
      </c>
      <c r="D1073" t="inlineStr">
        <is>
          <t>VÄSTERNORRLANDS LÄN</t>
        </is>
      </c>
      <c r="E1073" t="inlineStr">
        <is>
          <t>ÅNGE</t>
        </is>
      </c>
      <c r="F1073" t="inlineStr">
        <is>
          <t>SCA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53509-2025</t>
        </is>
      </c>
      <c r="B1074" s="1" t="n">
        <v>45960.34506944445</v>
      </c>
      <c r="C1074" s="1" t="n">
        <v>46029</v>
      </c>
      <c r="D1074" t="inlineStr">
        <is>
          <t>VÄSTERNORRLANDS LÄN</t>
        </is>
      </c>
      <c r="E1074" t="inlineStr">
        <is>
          <t>ÅNGE</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34705-2023</t>
        </is>
      </c>
      <c r="B1075" s="1" t="n">
        <v>45140.96452546296</v>
      </c>
      <c r="C1075" s="1" t="n">
        <v>46029</v>
      </c>
      <c r="D1075" t="inlineStr">
        <is>
          <t>VÄSTERNORRLANDS LÄN</t>
        </is>
      </c>
      <c r="E1075" t="inlineStr">
        <is>
          <t>ÅNGE</t>
        </is>
      </c>
      <c r="F1075" t="inlineStr">
        <is>
          <t>SCA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34750-2023</t>
        </is>
      </c>
      <c r="B1076" s="1" t="n">
        <v>45139</v>
      </c>
      <c r="C1076" s="1" t="n">
        <v>46029</v>
      </c>
      <c r="D1076" t="inlineStr">
        <is>
          <t>VÄSTERNORRLANDS LÄN</t>
        </is>
      </c>
      <c r="E1076" t="inlineStr">
        <is>
          <t>ÅNGE</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69790-2021</t>
        </is>
      </c>
      <c r="B1077" s="1" t="n">
        <v>44532.605625</v>
      </c>
      <c r="C1077" s="1" t="n">
        <v>46029</v>
      </c>
      <c r="D1077" t="inlineStr">
        <is>
          <t>VÄSTERNORRLANDS LÄN</t>
        </is>
      </c>
      <c r="E1077" t="inlineStr">
        <is>
          <t>ÅNGE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3330-2025</t>
        </is>
      </c>
      <c r="B1078" s="1" t="n">
        <v>45679.70041666667</v>
      </c>
      <c r="C1078" s="1" t="n">
        <v>46029</v>
      </c>
      <c r="D1078" t="inlineStr">
        <is>
          <t>VÄSTERNORRLANDS LÄN</t>
        </is>
      </c>
      <c r="E1078" t="inlineStr">
        <is>
          <t>ÅNGE</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61439-2025</t>
        </is>
      </c>
      <c r="B1079" s="1" t="n">
        <v>46001.57010416667</v>
      </c>
      <c r="C1079" s="1" t="n">
        <v>46029</v>
      </c>
      <c r="D1079" t="inlineStr">
        <is>
          <t>VÄSTERNORRLANDS LÄN</t>
        </is>
      </c>
      <c r="E1079" t="inlineStr">
        <is>
          <t>ÅNGE</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53381-2025</t>
        </is>
      </c>
      <c r="B1080" s="1" t="n">
        <v>45959.53690972222</v>
      </c>
      <c r="C1080" s="1" t="n">
        <v>46029</v>
      </c>
      <c r="D1080" t="inlineStr">
        <is>
          <t>VÄSTERNORRLANDS LÄN</t>
        </is>
      </c>
      <c r="E1080" t="inlineStr">
        <is>
          <t>ÅNGE</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53713-2025</t>
        </is>
      </c>
      <c r="B1081" s="1" t="n">
        <v>45960.61568287037</v>
      </c>
      <c r="C1081" s="1" t="n">
        <v>46029</v>
      </c>
      <c r="D1081" t="inlineStr">
        <is>
          <t>VÄSTERNORRLANDS LÄN</t>
        </is>
      </c>
      <c r="E1081" t="inlineStr">
        <is>
          <t>ÅNGE</t>
        </is>
      </c>
      <c r="F1081" t="inlineStr">
        <is>
          <t>SCA</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61857-2025</t>
        </is>
      </c>
      <c r="B1082" s="1" t="n">
        <v>46003.3862962963</v>
      </c>
      <c r="C1082" s="1" t="n">
        <v>46029</v>
      </c>
      <c r="D1082" t="inlineStr">
        <is>
          <t>VÄSTERNORRLANDS LÄN</t>
        </is>
      </c>
      <c r="E1082" t="inlineStr">
        <is>
          <t>ÅNGE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53984-2025</t>
        </is>
      </c>
      <c r="B1083" s="1" t="n">
        <v>45961.5734837963</v>
      </c>
      <c r="C1083" s="1" t="n">
        <v>46029</v>
      </c>
      <c r="D1083" t="inlineStr">
        <is>
          <t>VÄSTERNORRLANDS LÄN</t>
        </is>
      </c>
      <c r="E1083" t="inlineStr">
        <is>
          <t>ÅNGE</t>
        </is>
      </c>
      <c r="F1083" t="inlineStr">
        <is>
          <t>SCA</t>
        </is>
      </c>
      <c r="G1083" t="n">
        <v>14.8</v>
      </c>
      <c r="H1083" t="n">
        <v>0</v>
      </c>
      <c r="I1083" t="n">
        <v>0</v>
      </c>
      <c r="J1083" t="n">
        <v>0</v>
      </c>
      <c r="K1083" t="n">
        <v>0</v>
      </c>
      <c r="L1083" t="n">
        <v>0</v>
      </c>
      <c r="M1083" t="n">
        <v>0</v>
      </c>
      <c r="N1083" t="n">
        <v>0</v>
      </c>
      <c r="O1083" t="n">
        <v>0</v>
      </c>
      <c r="P1083" t="n">
        <v>0</v>
      </c>
      <c r="Q1083" t="n">
        <v>0</v>
      </c>
      <c r="R1083" s="2" t="inlineStr"/>
    </row>
    <row r="1084" ht="15" customHeight="1">
      <c r="A1084" t="inlineStr">
        <is>
          <t>A 62160-2025</t>
        </is>
      </c>
      <c r="B1084" s="1" t="n">
        <v>46006.49094907408</v>
      </c>
      <c r="C1084" s="1" t="n">
        <v>46029</v>
      </c>
      <c r="D1084" t="inlineStr">
        <is>
          <t>VÄSTERNORRLANDS LÄN</t>
        </is>
      </c>
      <c r="E1084" t="inlineStr">
        <is>
          <t>ÅNGE</t>
        </is>
      </c>
      <c r="F1084" t="inlineStr">
        <is>
          <t>SCA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62084-2025</t>
        </is>
      </c>
      <c r="B1085" s="1" t="n">
        <v>46006.37449074074</v>
      </c>
      <c r="C1085" s="1" t="n">
        <v>46029</v>
      </c>
      <c r="D1085" t="inlineStr">
        <is>
          <t>VÄSTERNORRLANDS LÄN</t>
        </is>
      </c>
      <c r="E1085" t="inlineStr">
        <is>
          <t>ÅNGE</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62257-2025</t>
        </is>
      </c>
      <c r="B1086" s="1" t="n">
        <v>46006.61524305555</v>
      </c>
      <c r="C1086" s="1" t="n">
        <v>46029</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53985-2025</t>
        </is>
      </c>
      <c r="B1087" s="1" t="n">
        <v>45961.57366898148</v>
      </c>
      <c r="C1087" s="1" t="n">
        <v>46029</v>
      </c>
      <c r="D1087" t="inlineStr">
        <is>
          <t>VÄSTERNORRLANDS LÄN</t>
        </is>
      </c>
      <c r="E1087" t="inlineStr">
        <is>
          <t>ÅNGE</t>
        </is>
      </c>
      <c r="F1087" t="inlineStr">
        <is>
          <t>SCA</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62092-2025</t>
        </is>
      </c>
      <c r="B1088" s="1" t="n">
        <v>46006.38613425926</v>
      </c>
      <c r="C1088" s="1" t="n">
        <v>46029</v>
      </c>
      <c r="D1088" t="inlineStr">
        <is>
          <t>VÄSTERNORRLANDS LÄN</t>
        </is>
      </c>
      <c r="E1088" t="inlineStr">
        <is>
          <t>ÅNGE</t>
        </is>
      </c>
      <c r="F1088" t="inlineStr">
        <is>
          <t>SCA</t>
        </is>
      </c>
      <c r="G1088" t="n">
        <v>16.3</v>
      </c>
      <c r="H1088" t="n">
        <v>0</v>
      </c>
      <c r="I1088" t="n">
        <v>0</v>
      </c>
      <c r="J1088" t="n">
        <v>0</v>
      </c>
      <c r="K1088" t="n">
        <v>0</v>
      </c>
      <c r="L1088" t="n">
        <v>0</v>
      </c>
      <c r="M1088" t="n">
        <v>0</v>
      </c>
      <c r="N1088" t="n">
        <v>0</v>
      </c>
      <c r="O1088" t="n">
        <v>0</v>
      </c>
      <c r="P1088" t="n">
        <v>0</v>
      </c>
      <c r="Q1088" t="n">
        <v>0</v>
      </c>
      <c r="R1088" s="2" t="inlineStr"/>
    </row>
    <row r="1089" ht="15" customHeight="1">
      <c r="A1089" t="inlineStr">
        <is>
          <t>A 62101-2025</t>
        </is>
      </c>
      <c r="B1089" s="1" t="n">
        <v>46006.40664351852</v>
      </c>
      <c r="C1089" s="1" t="n">
        <v>46029</v>
      </c>
      <c r="D1089" t="inlineStr">
        <is>
          <t>VÄSTERNORRLANDS LÄN</t>
        </is>
      </c>
      <c r="E1089" t="inlineStr">
        <is>
          <t>ÅNGE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53999-2025</t>
        </is>
      </c>
      <c r="B1090" s="1" t="n">
        <v>45961</v>
      </c>
      <c r="C1090" s="1" t="n">
        <v>46029</v>
      </c>
      <c r="D1090" t="inlineStr">
        <is>
          <t>VÄSTERNORRLANDS LÄN</t>
        </is>
      </c>
      <c r="E1090" t="inlineStr">
        <is>
          <t>ÅNGE</t>
        </is>
      </c>
      <c r="F1090" t="inlineStr">
        <is>
          <t>SCA</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31229-2023</t>
        </is>
      </c>
      <c r="B1091" s="1" t="n">
        <v>45114</v>
      </c>
      <c r="C1091" s="1" t="n">
        <v>46029</v>
      </c>
      <c r="D1091" t="inlineStr">
        <is>
          <t>VÄSTERNORRLANDS LÄN</t>
        </is>
      </c>
      <c r="E1091" t="inlineStr">
        <is>
          <t>ÅNGE</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54197-2025</t>
        </is>
      </c>
      <c r="B1092" s="1" t="n">
        <v>45964</v>
      </c>
      <c r="C1092" s="1" t="n">
        <v>46029</v>
      </c>
      <c r="D1092" t="inlineStr">
        <is>
          <t>VÄSTERNORRLANDS LÄN</t>
        </is>
      </c>
      <c r="E1092" t="inlineStr">
        <is>
          <t>ÅNGE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60960-2025</t>
        </is>
      </c>
      <c r="B1093" s="1" t="n">
        <v>45999</v>
      </c>
      <c r="C1093" s="1" t="n">
        <v>46029</v>
      </c>
      <c r="D1093" t="inlineStr">
        <is>
          <t>VÄSTERNORRLANDS LÄN</t>
        </is>
      </c>
      <c r="E1093" t="inlineStr">
        <is>
          <t>ÅNGE</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60950-2025</t>
        </is>
      </c>
      <c r="B1094" s="1" t="n">
        <v>45999</v>
      </c>
      <c r="C1094" s="1" t="n">
        <v>46029</v>
      </c>
      <c r="D1094" t="inlineStr">
        <is>
          <t>VÄSTERNORRLANDS LÄN</t>
        </is>
      </c>
      <c r="E1094" t="inlineStr">
        <is>
          <t>ÅNGE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62091-2025</t>
        </is>
      </c>
      <c r="B1095" s="1" t="n">
        <v>46006.3859375</v>
      </c>
      <c r="C1095" s="1" t="n">
        <v>46029</v>
      </c>
      <c r="D1095" t="inlineStr">
        <is>
          <t>VÄSTERNORRLANDS LÄN</t>
        </is>
      </c>
      <c r="E1095" t="inlineStr">
        <is>
          <t>ÅNGE</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48690-2024</t>
        </is>
      </c>
      <c r="B1096" s="1" t="n">
        <v>45593.50704861111</v>
      </c>
      <c r="C1096" s="1" t="n">
        <v>46029</v>
      </c>
      <c r="D1096" t="inlineStr">
        <is>
          <t>VÄSTERNORRLANDS LÄN</t>
        </is>
      </c>
      <c r="E1096" t="inlineStr">
        <is>
          <t>ÅNGE</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19342-2024</t>
        </is>
      </c>
      <c r="B1097" s="1" t="n">
        <v>45428</v>
      </c>
      <c r="C1097" s="1" t="n">
        <v>46029</v>
      </c>
      <c r="D1097" t="inlineStr">
        <is>
          <t>VÄSTERNORRLANDS LÄN</t>
        </is>
      </c>
      <c r="E1097" t="inlineStr">
        <is>
          <t>ÅNGE</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54702-2025</t>
        </is>
      </c>
      <c r="B1098" s="1" t="n">
        <v>45966.4828587963</v>
      </c>
      <c r="C1098" s="1" t="n">
        <v>46029</v>
      </c>
      <c r="D1098" t="inlineStr">
        <is>
          <t>VÄSTERNORRLANDS LÄN</t>
        </is>
      </c>
      <c r="E1098" t="inlineStr">
        <is>
          <t>ÅNGE</t>
        </is>
      </c>
      <c r="G1098" t="n">
        <v>12.3</v>
      </c>
      <c r="H1098" t="n">
        <v>0</v>
      </c>
      <c r="I1098" t="n">
        <v>0</v>
      </c>
      <c r="J1098" t="n">
        <v>0</v>
      </c>
      <c r="K1098" t="n">
        <v>0</v>
      </c>
      <c r="L1098" t="n">
        <v>0</v>
      </c>
      <c r="M1098" t="n">
        <v>0</v>
      </c>
      <c r="N1098" t="n">
        <v>0</v>
      </c>
      <c r="O1098" t="n">
        <v>0</v>
      </c>
      <c r="P1098" t="n">
        <v>0</v>
      </c>
      <c r="Q1098" t="n">
        <v>0</v>
      </c>
      <c r="R1098" s="2" t="inlineStr"/>
    </row>
    <row r="1099" ht="15" customHeight="1">
      <c r="A1099" t="inlineStr">
        <is>
          <t>A 54357-2025</t>
        </is>
      </c>
      <c r="B1099" s="1" t="n">
        <v>45965.3858912037</v>
      </c>
      <c r="C1099" s="1" t="n">
        <v>46029</v>
      </c>
      <c r="D1099" t="inlineStr">
        <is>
          <t>VÄSTERNORRLANDS LÄN</t>
        </is>
      </c>
      <c r="E1099" t="inlineStr">
        <is>
          <t>ÅNGE</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25035-2023</t>
        </is>
      </c>
      <c r="B1100" s="1" t="n">
        <v>45085</v>
      </c>
      <c r="C1100" s="1" t="n">
        <v>46029</v>
      </c>
      <c r="D1100" t="inlineStr">
        <is>
          <t>VÄSTERNORRLANDS LÄN</t>
        </is>
      </c>
      <c r="E1100" t="inlineStr">
        <is>
          <t>ÅNGE</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62763-2025</t>
        </is>
      </c>
      <c r="B1101" s="1" t="n">
        <v>46008.59434027778</v>
      </c>
      <c r="C1101" s="1" t="n">
        <v>46029</v>
      </c>
      <c r="D1101" t="inlineStr">
        <is>
          <t>VÄSTERNORRLANDS LÄN</t>
        </is>
      </c>
      <c r="E1101" t="inlineStr">
        <is>
          <t>ÅNGE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40755-2023</t>
        </is>
      </c>
      <c r="B1102" s="1" t="n">
        <v>45170</v>
      </c>
      <c r="C1102" s="1" t="n">
        <v>46029</v>
      </c>
      <c r="D1102" t="inlineStr">
        <is>
          <t>VÄSTERNORRLANDS LÄN</t>
        </is>
      </c>
      <c r="E1102" t="inlineStr">
        <is>
          <t>ÅNGE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41284-2024</t>
        </is>
      </c>
      <c r="B1103" s="1" t="n">
        <v>45559.59520833333</v>
      </c>
      <c r="C1103" s="1" t="n">
        <v>46029</v>
      </c>
      <c r="D1103" t="inlineStr">
        <is>
          <t>VÄSTERNORRLANDS LÄN</t>
        </is>
      </c>
      <c r="E1103" t="inlineStr">
        <is>
          <t>ÅNGE</t>
        </is>
      </c>
      <c r="F1103" t="inlineStr">
        <is>
          <t>SCA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54713-2025</t>
        </is>
      </c>
      <c r="B1104" s="1" t="n">
        <v>45966.50446759259</v>
      </c>
      <c r="C1104" s="1" t="n">
        <v>46029</v>
      </c>
      <c r="D1104" t="inlineStr">
        <is>
          <t>VÄSTERNORRLANDS LÄN</t>
        </is>
      </c>
      <c r="E1104" t="inlineStr">
        <is>
          <t>ÅNGE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54680-2025</t>
        </is>
      </c>
      <c r="B1105" s="1" t="n">
        <v>45966.42751157407</v>
      </c>
      <c r="C1105" s="1" t="n">
        <v>46029</v>
      </c>
      <c r="D1105" t="inlineStr">
        <is>
          <t>VÄSTERNORRLANDS LÄN</t>
        </is>
      </c>
      <c r="E1105" t="inlineStr">
        <is>
          <t>ÅNGE</t>
        </is>
      </c>
      <c r="F1105" t="inlineStr">
        <is>
          <t>SCA</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54705-2025</t>
        </is>
      </c>
      <c r="B1106" s="1" t="n">
        <v>45966.4853125</v>
      </c>
      <c r="C1106" s="1" t="n">
        <v>46029</v>
      </c>
      <c r="D1106" t="inlineStr">
        <is>
          <t>VÄSTERNORRLANDS LÄN</t>
        </is>
      </c>
      <c r="E1106" t="inlineStr">
        <is>
          <t>ÅNGE</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54707-2025</t>
        </is>
      </c>
      <c r="B1107" s="1" t="n">
        <v>45966</v>
      </c>
      <c r="C1107" s="1" t="n">
        <v>46029</v>
      </c>
      <c r="D1107" t="inlineStr">
        <is>
          <t>VÄSTERNORRLANDS LÄN</t>
        </is>
      </c>
      <c r="E1107" t="inlineStr">
        <is>
          <t>ÅNGE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54710-2025</t>
        </is>
      </c>
      <c r="B1108" s="1" t="n">
        <v>45966.49515046296</v>
      </c>
      <c r="C1108" s="1" t="n">
        <v>46029</v>
      </c>
      <c r="D1108" t="inlineStr">
        <is>
          <t>VÄSTERNORRLANDS LÄN</t>
        </is>
      </c>
      <c r="E1108" t="inlineStr">
        <is>
          <t>ÅNGE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32901-2023</t>
        </is>
      </c>
      <c r="B1109" s="1" t="n">
        <v>45124.95063657407</v>
      </c>
      <c r="C1109" s="1" t="n">
        <v>46029</v>
      </c>
      <c r="D1109" t="inlineStr">
        <is>
          <t>VÄSTERNORRLANDS LÄN</t>
        </is>
      </c>
      <c r="E1109" t="inlineStr">
        <is>
          <t>ÅNGE</t>
        </is>
      </c>
      <c r="F1109" t="inlineStr">
        <is>
          <t>SCA</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16903-2024</t>
        </is>
      </c>
      <c r="B1110" s="1" t="n">
        <v>45411.63106481481</v>
      </c>
      <c r="C1110" s="1" t="n">
        <v>46029</v>
      </c>
      <c r="D1110" t="inlineStr">
        <is>
          <t>VÄSTERNORRLANDS LÄN</t>
        </is>
      </c>
      <c r="E1110" t="inlineStr">
        <is>
          <t>ÅNGE</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54819-2025</t>
        </is>
      </c>
      <c r="B1111" s="1" t="n">
        <v>45966.65709490741</v>
      </c>
      <c r="C1111" s="1" t="n">
        <v>46029</v>
      </c>
      <c r="D1111" t="inlineStr">
        <is>
          <t>VÄSTERNORRLANDS LÄN</t>
        </is>
      </c>
      <c r="E1111" t="inlineStr">
        <is>
          <t>ÅNGE</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16915-2024</t>
        </is>
      </c>
      <c r="B1112" s="1" t="n">
        <v>45411.65185185185</v>
      </c>
      <c r="C1112" s="1" t="n">
        <v>46029</v>
      </c>
      <c r="D1112" t="inlineStr">
        <is>
          <t>VÄSTERNORRLANDS LÄN</t>
        </is>
      </c>
      <c r="E1112" t="inlineStr">
        <is>
          <t>ÅNGE</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5613-2024</t>
        </is>
      </c>
      <c r="B1113" s="1" t="n">
        <v>45334</v>
      </c>
      <c r="C1113" s="1" t="n">
        <v>46029</v>
      </c>
      <c r="D1113" t="inlineStr">
        <is>
          <t>VÄSTERNORRLANDS LÄN</t>
        </is>
      </c>
      <c r="E1113" t="inlineStr">
        <is>
          <t>ÅNGE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61308-2025</t>
        </is>
      </c>
      <c r="B1114" s="1" t="n">
        <v>46000.81952546296</v>
      </c>
      <c r="C1114" s="1" t="n">
        <v>46029</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54456-2024</t>
        </is>
      </c>
      <c r="B1115" s="1" t="n">
        <v>45617.53160879629</v>
      </c>
      <c r="C1115" s="1" t="n">
        <v>46029</v>
      </c>
      <c r="D1115" t="inlineStr">
        <is>
          <t>VÄSTERNORRLANDS LÄN</t>
        </is>
      </c>
      <c r="E1115" t="inlineStr">
        <is>
          <t>ÅNGE</t>
        </is>
      </c>
      <c r="F1115" t="inlineStr">
        <is>
          <t>SCA</t>
        </is>
      </c>
      <c r="G1115" t="n">
        <v>9.199999999999999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61321-2025</t>
        </is>
      </c>
      <c r="B1116" s="1" t="n">
        <v>46000.96894675926</v>
      </c>
      <c r="C1116" s="1" t="n">
        <v>46029</v>
      </c>
      <c r="D1116" t="inlineStr">
        <is>
          <t>VÄSTERNORRLANDS LÄN</t>
        </is>
      </c>
      <c r="E1116" t="inlineStr">
        <is>
          <t>ÅNGE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25311-2023</t>
        </is>
      </c>
      <c r="B1117" s="1" t="n">
        <v>45086.93869212963</v>
      </c>
      <c r="C1117" s="1" t="n">
        <v>46029</v>
      </c>
      <c r="D1117" t="inlineStr">
        <is>
          <t>VÄSTERNORRLANDS LÄN</t>
        </is>
      </c>
      <c r="E1117" t="inlineStr">
        <is>
          <t>ÅNGE</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54715-2025</t>
        </is>
      </c>
      <c r="B1118" s="1" t="n">
        <v>45966.50961805556</v>
      </c>
      <c r="C1118" s="1" t="n">
        <v>46029</v>
      </c>
      <c r="D1118" t="inlineStr">
        <is>
          <t>VÄSTERNORRLANDS LÄN</t>
        </is>
      </c>
      <c r="E1118" t="inlineStr">
        <is>
          <t>ÅNGE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4904-2024</t>
        </is>
      </c>
      <c r="B1119" s="1" t="n">
        <v>45329.47856481482</v>
      </c>
      <c r="C1119" s="1" t="n">
        <v>46029</v>
      </c>
      <c r="D1119" t="inlineStr">
        <is>
          <t>VÄSTERNORRLANDS LÄN</t>
        </is>
      </c>
      <c r="E1119" t="inlineStr">
        <is>
          <t>ÅNGE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29462-2024</t>
        </is>
      </c>
      <c r="B1120" s="1" t="n">
        <v>45483.96979166667</v>
      </c>
      <c r="C1120" s="1" t="n">
        <v>46029</v>
      </c>
      <c r="D1120" t="inlineStr">
        <is>
          <t>VÄSTERNORRLANDS LÄN</t>
        </is>
      </c>
      <c r="E1120" t="inlineStr">
        <is>
          <t>ÅNGE</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44178-2023</t>
        </is>
      </c>
      <c r="B1121" s="1" t="n">
        <v>45183</v>
      </c>
      <c r="C1121" s="1" t="n">
        <v>46029</v>
      </c>
      <c r="D1121" t="inlineStr">
        <is>
          <t>VÄSTERNORRLANDS LÄN</t>
        </is>
      </c>
      <c r="E1121" t="inlineStr">
        <is>
          <t>ÅNGE</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8648-2025</t>
        </is>
      </c>
      <c r="B1122" s="1" t="n">
        <v>45712.34501157407</v>
      </c>
      <c r="C1122" s="1" t="n">
        <v>46029</v>
      </c>
      <c r="D1122" t="inlineStr">
        <is>
          <t>VÄSTERNORRLANDS LÄN</t>
        </is>
      </c>
      <c r="E1122" t="inlineStr">
        <is>
          <t>ÅNGE</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27952-2024</t>
        </is>
      </c>
      <c r="B1123" s="1" t="n">
        <v>45476.33063657407</v>
      </c>
      <c r="C1123" s="1" t="n">
        <v>46029</v>
      </c>
      <c r="D1123" t="inlineStr">
        <is>
          <t>VÄSTERNORRLANDS LÄN</t>
        </is>
      </c>
      <c r="E1123" t="inlineStr">
        <is>
          <t>ÅNGE</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32439-2024</t>
        </is>
      </c>
      <c r="B1124" s="1" t="n">
        <v>45512</v>
      </c>
      <c r="C1124" s="1" t="n">
        <v>46029</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62793-2025</t>
        </is>
      </c>
      <c r="B1125" s="1" t="n">
        <v>46008.63625</v>
      </c>
      <c r="C1125" s="1" t="n">
        <v>46029</v>
      </c>
      <c r="D1125" t="inlineStr">
        <is>
          <t>VÄSTERNORRLANDS LÄN</t>
        </is>
      </c>
      <c r="E1125" t="inlineStr">
        <is>
          <t>ÅNGE</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60363-2024</t>
        </is>
      </c>
      <c r="B1126" s="1" t="n">
        <v>45643</v>
      </c>
      <c r="C1126" s="1" t="n">
        <v>46029</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51070-2024</t>
        </is>
      </c>
      <c r="B1127" s="1" t="n">
        <v>45603</v>
      </c>
      <c r="C1127" s="1" t="n">
        <v>46029</v>
      </c>
      <c r="D1127" t="inlineStr">
        <is>
          <t>VÄSTERNORRLANDS LÄN</t>
        </is>
      </c>
      <c r="E1127" t="inlineStr">
        <is>
          <t>ÅNGE</t>
        </is>
      </c>
      <c r="G1127" t="n">
        <v>11.1</v>
      </c>
      <c r="H1127" t="n">
        <v>0</v>
      </c>
      <c r="I1127" t="n">
        <v>0</v>
      </c>
      <c r="J1127" t="n">
        <v>0</v>
      </c>
      <c r="K1127" t="n">
        <v>0</v>
      </c>
      <c r="L1127" t="n">
        <v>0</v>
      </c>
      <c r="M1127" t="n">
        <v>0</v>
      </c>
      <c r="N1127" t="n">
        <v>0</v>
      </c>
      <c r="O1127" t="n">
        <v>0</v>
      </c>
      <c r="P1127" t="n">
        <v>0</v>
      </c>
      <c r="Q1127" t="n">
        <v>0</v>
      </c>
      <c r="R1127" s="2" t="inlineStr"/>
    </row>
    <row r="1128" ht="15" customHeight="1">
      <c r="A1128" t="inlineStr">
        <is>
          <t>A 60514-2024</t>
        </is>
      </c>
      <c r="B1128" s="1" t="n">
        <v>45643.67474537037</v>
      </c>
      <c r="C1128" s="1" t="n">
        <v>46029</v>
      </c>
      <c r="D1128" t="inlineStr">
        <is>
          <t>VÄSTERNORRLANDS LÄN</t>
        </is>
      </c>
      <c r="E1128" t="inlineStr">
        <is>
          <t>ÅNGE</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54346-2025</t>
        </is>
      </c>
      <c r="B1129" s="1" t="n">
        <v>45965.36525462963</v>
      </c>
      <c r="C1129" s="1" t="n">
        <v>46029</v>
      </c>
      <c r="D1129" t="inlineStr">
        <is>
          <t>VÄSTERNORRLANDS LÄN</t>
        </is>
      </c>
      <c r="E1129" t="inlineStr">
        <is>
          <t>ÅNGE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52665-2024</t>
        </is>
      </c>
      <c r="B1130" s="1" t="n">
        <v>45610.36549768518</v>
      </c>
      <c r="C1130" s="1" t="n">
        <v>46029</v>
      </c>
      <c r="D1130" t="inlineStr">
        <is>
          <t>VÄSTERNORRLANDS LÄN</t>
        </is>
      </c>
      <c r="E1130" t="inlineStr">
        <is>
          <t>ÅNGE</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62661-2025</t>
        </is>
      </c>
      <c r="B1131" s="1" t="n">
        <v>46008.42761574074</v>
      </c>
      <c r="C1131" s="1" t="n">
        <v>46029</v>
      </c>
      <c r="D1131" t="inlineStr">
        <is>
          <t>VÄSTERNORRLANDS LÄN</t>
        </is>
      </c>
      <c r="E1131" t="inlineStr">
        <is>
          <t>ÅNGE</t>
        </is>
      </c>
      <c r="F1131" t="inlineStr">
        <is>
          <t>SCA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63092-2025</t>
        </is>
      </c>
      <c r="B1132" s="1" t="n">
        <v>46009.67795138889</v>
      </c>
      <c r="C1132" s="1" t="n">
        <v>46029</v>
      </c>
      <c r="D1132" t="inlineStr">
        <is>
          <t>VÄSTERNORRLANDS LÄN</t>
        </is>
      </c>
      <c r="E1132" t="inlineStr">
        <is>
          <t>ÅNGE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55160-2025</t>
        </is>
      </c>
      <c r="B1133" s="1" t="n">
        <v>45968.46930555555</v>
      </c>
      <c r="C1133" s="1" t="n">
        <v>46029</v>
      </c>
      <c r="D1133" t="inlineStr">
        <is>
          <t>VÄSTERNORRLANDS LÄN</t>
        </is>
      </c>
      <c r="E1133" t="inlineStr">
        <is>
          <t>ÅNGE</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41831-2021</t>
        </is>
      </c>
      <c r="B1134" s="1" t="n">
        <v>44425.92212962963</v>
      </c>
      <c r="C1134" s="1" t="n">
        <v>46029</v>
      </c>
      <c r="D1134" t="inlineStr">
        <is>
          <t>VÄSTERNORRLANDS LÄN</t>
        </is>
      </c>
      <c r="E1134" t="inlineStr">
        <is>
          <t>ÅNGE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57815-2024</t>
        </is>
      </c>
      <c r="B1135" s="1" t="n">
        <v>45631.37068287037</v>
      </c>
      <c r="C1135" s="1" t="n">
        <v>46029</v>
      </c>
      <c r="D1135" t="inlineStr">
        <is>
          <t>VÄSTERNORRLANDS LÄN</t>
        </is>
      </c>
      <c r="E1135" t="inlineStr">
        <is>
          <t>ÅNGE</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6691-2024</t>
        </is>
      </c>
      <c r="B1136" s="1" t="n">
        <v>45341</v>
      </c>
      <c r="C1136" s="1" t="n">
        <v>46029</v>
      </c>
      <c r="D1136" t="inlineStr">
        <is>
          <t>VÄSTERNORRLANDS LÄN</t>
        </is>
      </c>
      <c r="E1136" t="inlineStr">
        <is>
          <t>ÅNGE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54925-2025</t>
        </is>
      </c>
      <c r="B1137" s="1" t="n">
        <v>45967.40699074074</v>
      </c>
      <c r="C1137" s="1" t="n">
        <v>46029</v>
      </c>
      <c r="D1137" t="inlineStr">
        <is>
          <t>VÄSTERNORRLANDS LÄN</t>
        </is>
      </c>
      <c r="E1137" t="inlineStr">
        <is>
          <t>ÅNGE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12123-2024</t>
        </is>
      </c>
      <c r="B1138" s="1" t="n">
        <v>45377</v>
      </c>
      <c r="C1138" s="1" t="n">
        <v>46029</v>
      </c>
      <c r="D1138" t="inlineStr">
        <is>
          <t>VÄSTERNORRLANDS LÄN</t>
        </is>
      </c>
      <c r="E1138" t="inlineStr">
        <is>
          <t>ÅNGE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54627-2025</t>
        </is>
      </c>
      <c r="B1139" s="1" t="n">
        <v>45966.34565972222</v>
      </c>
      <c r="C1139" s="1" t="n">
        <v>46029</v>
      </c>
      <c r="D1139" t="inlineStr">
        <is>
          <t>VÄSTERNORRLANDS LÄN</t>
        </is>
      </c>
      <c r="E1139" t="inlineStr">
        <is>
          <t>ÅNGE</t>
        </is>
      </c>
      <c r="F1139" t="inlineStr">
        <is>
          <t>SCA</t>
        </is>
      </c>
      <c r="G1139" t="n">
        <v>18.5</v>
      </c>
      <c r="H1139" t="n">
        <v>0</v>
      </c>
      <c r="I1139" t="n">
        <v>0</v>
      </c>
      <c r="J1139" t="n">
        <v>0</v>
      </c>
      <c r="K1139" t="n">
        <v>0</v>
      </c>
      <c r="L1139" t="n">
        <v>0</v>
      </c>
      <c r="M1139" t="n">
        <v>0</v>
      </c>
      <c r="N1139" t="n">
        <v>0</v>
      </c>
      <c r="O1139" t="n">
        <v>0</v>
      </c>
      <c r="P1139" t="n">
        <v>0</v>
      </c>
      <c r="Q1139" t="n">
        <v>0</v>
      </c>
      <c r="R1139" s="2" t="inlineStr"/>
    </row>
    <row r="1140" ht="15" customHeight="1">
      <c r="A1140" t="inlineStr">
        <is>
          <t>A 12806-2025</t>
        </is>
      </c>
      <c r="B1140" s="1" t="n">
        <v>45733.61518518518</v>
      </c>
      <c r="C1140" s="1" t="n">
        <v>46029</v>
      </c>
      <c r="D1140" t="inlineStr">
        <is>
          <t>VÄSTERNORRLANDS LÄN</t>
        </is>
      </c>
      <c r="E1140" t="inlineStr">
        <is>
          <t>ÅNGE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20024-2023</t>
        </is>
      </c>
      <c r="B1141" s="1" t="n">
        <v>45051</v>
      </c>
      <c r="C1141" s="1" t="n">
        <v>46029</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54926-2025</t>
        </is>
      </c>
      <c r="B1142" s="1" t="n">
        <v>45967.40707175926</v>
      </c>
      <c r="C1142" s="1" t="n">
        <v>46029</v>
      </c>
      <c r="D1142" t="inlineStr">
        <is>
          <t>VÄSTERNORRLANDS LÄN</t>
        </is>
      </c>
      <c r="E1142" t="inlineStr">
        <is>
          <t>ÅNGE</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13164-2022</t>
        </is>
      </c>
      <c r="B1143" s="1" t="n">
        <v>44644</v>
      </c>
      <c r="C1143" s="1" t="n">
        <v>46029</v>
      </c>
      <c r="D1143" t="inlineStr">
        <is>
          <t>VÄSTERNORRLANDS LÄN</t>
        </is>
      </c>
      <c r="E1143" t="inlineStr">
        <is>
          <t>ÅNGE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5456-2024</t>
        </is>
      </c>
      <c r="B1144" s="1" t="n">
        <v>45331</v>
      </c>
      <c r="C1144" s="1" t="n">
        <v>46029</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63173-2025</t>
        </is>
      </c>
      <c r="B1145" s="1" t="n">
        <v>46010.40679398148</v>
      </c>
      <c r="C1145" s="1" t="n">
        <v>46029</v>
      </c>
      <c r="D1145" t="inlineStr">
        <is>
          <t>VÄSTERNORRLANDS LÄN</t>
        </is>
      </c>
      <c r="E1145" t="inlineStr">
        <is>
          <t>ÅNGE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55038-2025</t>
        </is>
      </c>
      <c r="B1146" s="1" t="n">
        <v>45967.65527777778</v>
      </c>
      <c r="C1146" s="1" t="n">
        <v>46029</v>
      </c>
      <c r="D1146" t="inlineStr">
        <is>
          <t>VÄSTERNORRLANDS LÄN</t>
        </is>
      </c>
      <c r="E1146" t="inlineStr">
        <is>
          <t>ÅNGE</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55045-2025</t>
        </is>
      </c>
      <c r="B1147" s="1" t="n">
        <v>45967.66068287037</v>
      </c>
      <c r="C1147" s="1" t="n">
        <v>46029</v>
      </c>
      <c r="D1147" t="inlineStr">
        <is>
          <t>VÄSTERNORRLANDS LÄN</t>
        </is>
      </c>
      <c r="E1147" t="inlineStr">
        <is>
          <t>ÅNGE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30474-2024</t>
        </is>
      </c>
      <c r="B1148" s="1" t="n">
        <v>45491</v>
      </c>
      <c r="C1148" s="1" t="n">
        <v>46029</v>
      </c>
      <c r="D1148" t="inlineStr">
        <is>
          <t>VÄSTERNORRLANDS LÄN</t>
        </is>
      </c>
      <c r="E1148" t="inlineStr">
        <is>
          <t>ÅNGE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30475-2024</t>
        </is>
      </c>
      <c r="B1149" s="1" t="n">
        <v>45491</v>
      </c>
      <c r="C1149" s="1" t="n">
        <v>46029</v>
      </c>
      <c r="D1149" t="inlineStr">
        <is>
          <t>VÄSTERNORRLANDS LÄN</t>
        </is>
      </c>
      <c r="E1149" t="inlineStr">
        <is>
          <t>ÅNGE</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71965-2021</t>
        </is>
      </c>
      <c r="B1150" s="1" t="n">
        <v>44544.32483796297</v>
      </c>
      <c r="C1150" s="1" t="n">
        <v>46029</v>
      </c>
      <c r="D1150" t="inlineStr">
        <is>
          <t>VÄSTERNORRLANDS LÄN</t>
        </is>
      </c>
      <c r="E1150" t="inlineStr">
        <is>
          <t>ÅNGE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56574-2024</t>
        </is>
      </c>
      <c r="B1151" s="1" t="n">
        <v>45625.59616898148</v>
      </c>
      <c r="C1151" s="1" t="n">
        <v>46029</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58087-2024</t>
        </is>
      </c>
      <c r="B1152" s="1" t="n">
        <v>45632.34502314815</v>
      </c>
      <c r="C1152" s="1" t="n">
        <v>46029</v>
      </c>
      <c r="D1152" t="inlineStr">
        <is>
          <t>VÄSTERNORRLANDS LÄN</t>
        </is>
      </c>
      <c r="E1152" t="inlineStr">
        <is>
          <t>ÅNGE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50231-2024</t>
        </is>
      </c>
      <c r="B1153" s="1" t="n">
        <v>45600.55251157407</v>
      </c>
      <c r="C1153" s="1" t="n">
        <v>46029</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34629-2025</t>
        </is>
      </c>
      <c r="B1154" s="1" t="n">
        <v>45847.93006944445</v>
      </c>
      <c r="C1154" s="1" t="n">
        <v>46029</v>
      </c>
      <c r="D1154" t="inlineStr">
        <is>
          <t>VÄSTERNORRLANDS LÄN</t>
        </is>
      </c>
      <c r="E1154" t="inlineStr">
        <is>
          <t>ÅNGE</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55049-2025</t>
        </is>
      </c>
      <c r="B1155" s="1" t="n">
        <v>45967.66614583333</v>
      </c>
      <c r="C1155" s="1" t="n">
        <v>46029</v>
      </c>
      <c r="D1155" t="inlineStr">
        <is>
          <t>VÄSTERNORRLANDS LÄN</t>
        </is>
      </c>
      <c r="E1155" t="inlineStr">
        <is>
          <t>ÅNGE</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59600-2024</t>
        </is>
      </c>
      <c r="B1156" s="1" t="n">
        <v>45638.71763888889</v>
      </c>
      <c r="C1156" s="1" t="n">
        <v>46029</v>
      </c>
      <c r="D1156" t="inlineStr">
        <is>
          <t>VÄSTERNORRLANDS LÄN</t>
        </is>
      </c>
      <c r="E1156" t="inlineStr">
        <is>
          <t>ÅNGE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63642-2025</t>
        </is>
      </c>
      <c r="B1157" s="1" t="n">
        <v>46014.41258101852</v>
      </c>
      <c r="C1157" s="1" t="n">
        <v>46029</v>
      </c>
      <c r="D1157" t="inlineStr">
        <is>
          <t>VÄSTERNORRLANDS LÄN</t>
        </is>
      </c>
      <c r="E1157" t="inlineStr">
        <is>
          <t>ÅNGE</t>
        </is>
      </c>
      <c r="G1157" t="n">
        <v>9.699999999999999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3133-2024</t>
        </is>
      </c>
      <c r="B1158" s="1" t="n">
        <v>45316.55885416667</v>
      </c>
      <c r="C1158" s="1" t="n">
        <v>46029</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17210-2022</t>
        </is>
      </c>
      <c r="B1159" s="1" t="n">
        <v>44677.92701388889</v>
      </c>
      <c r="C1159" s="1" t="n">
        <v>46029</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63686-2025</t>
        </is>
      </c>
      <c r="B1160" s="1" t="n">
        <v>46014.53172453704</v>
      </c>
      <c r="C1160" s="1" t="n">
        <v>46029</v>
      </c>
      <c r="D1160" t="inlineStr">
        <is>
          <t>VÄSTERNORRLANDS LÄN</t>
        </is>
      </c>
      <c r="E1160" t="inlineStr">
        <is>
          <t>ÅNGE</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10195-2024</t>
        </is>
      </c>
      <c r="B1161" s="1" t="n">
        <v>45364</v>
      </c>
      <c r="C1161" s="1" t="n">
        <v>46029</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361-2025</t>
        </is>
      </c>
      <c r="B1162" s="1" t="n">
        <v>45660</v>
      </c>
      <c r="C1162" s="1" t="n">
        <v>46029</v>
      </c>
      <c r="D1162" t="inlineStr">
        <is>
          <t>VÄSTERNORRLANDS LÄN</t>
        </is>
      </c>
      <c r="E1162" t="inlineStr">
        <is>
          <t>ÅNGE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12021-2022</t>
        </is>
      </c>
      <c r="B1163" s="1" t="n">
        <v>44635</v>
      </c>
      <c r="C1163" s="1" t="n">
        <v>46029</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6690-2024</t>
        </is>
      </c>
      <c r="B1164" s="1" t="n">
        <v>45341</v>
      </c>
      <c r="C1164" s="1" t="n">
        <v>46029</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63652-2025</t>
        </is>
      </c>
      <c r="B1165" s="1" t="n">
        <v>46014.43987268519</v>
      </c>
      <c r="C1165" s="1" t="n">
        <v>46029</v>
      </c>
      <c r="D1165" t="inlineStr">
        <is>
          <t>VÄSTERNORRLANDS LÄN</t>
        </is>
      </c>
      <c r="E1165" t="inlineStr">
        <is>
          <t>ÅNGE</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3977-2025</t>
        </is>
      </c>
      <c r="B1166" s="1" t="n">
        <v>45684</v>
      </c>
      <c r="C1166" s="1" t="n">
        <v>46029</v>
      </c>
      <c r="D1166" t="inlineStr">
        <is>
          <t>VÄSTERNORRLANDS LÄN</t>
        </is>
      </c>
      <c r="E1166" t="inlineStr">
        <is>
          <t>ÅNGE</t>
        </is>
      </c>
      <c r="F1166" t="inlineStr">
        <is>
          <t>Holmen skog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55556-2025</t>
        </is>
      </c>
      <c r="B1167" s="1" t="n">
        <v>45971.64694444444</v>
      </c>
      <c r="C1167" s="1" t="n">
        <v>46029</v>
      </c>
      <c r="D1167" t="inlineStr">
        <is>
          <t>VÄSTERNORRLANDS LÄN</t>
        </is>
      </c>
      <c r="E1167" t="inlineStr">
        <is>
          <t>ÅNGE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63673-2025</t>
        </is>
      </c>
      <c r="B1168" s="1" t="n">
        <v>46014.47594907408</v>
      </c>
      <c r="C1168" s="1" t="n">
        <v>46029</v>
      </c>
      <c r="D1168" t="inlineStr">
        <is>
          <t>VÄSTERNORRLANDS LÄN</t>
        </is>
      </c>
      <c r="E1168" t="inlineStr">
        <is>
          <t>ÅNGE</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62336-2025</t>
        </is>
      </c>
      <c r="B1169" s="1" t="n">
        <v>46006</v>
      </c>
      <c r="C1169" s="1" t="n">
        <v>46029</v>
      </c>
      <c r="D1169" t="inlineStr">
        <is>
          <t>VÄSTERNORRLANDS LÄN</t>
        </is>
      </c>
      <c r="E1169" t="inlineStr">
        <is>
          <t>ÅNGE</t>
        </is>
      </c>
      <c r="G1169" t="n">
        <v>13.4</v>
      </c>
      <c r="H1169" t="n">
        <v>0</v>
      </c>
      <c r="I1169" t="n">
        <v>0</v>
      </c>
      <c r="J1169" t="n">
        <v>0</v>
      </c>
      <c r="K1169" t="n">
        <v>0</v>
      </c>
      <c r="L1169" t="n">
        <v>0</v>
      </c>
      <c r="M1169" t="n">
        <v>0</v>
      </c>
      <c r="N1169" t="n">
        <v>0</v>
      </c>
      <c r="O1169" t="n">
        <v>0</v>
      </c>
      <c r="P1169" t="n">
        <v>0</v>
      </c>
      <c r="Q1169" t="n">
        <v>0</v>
      </c>
      <c r="R1169" s="2" t="inlineStr"/>
    </row>
    <row r="1170" ht="15" customHeight="1">
      <c r="A1170" t="inlineStr">
        <is>
          <t>A 14976-2025</t>
        </is>
      </c>
      <c r="B1170" s="1" t="n">
        <v>45743</v>
      </c>
      <c r="C1170" s="1" t="n">
        <v>46029</v>
      </c>
      <c r="D1170" t="inlineStr">
        <is>
          <t>VÄSTERNORRLANDS LÄN</t>
        </is>
      </c>
      <c r="E1170" t="inlineStr">
        <is>
          <t>ÅNGE</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5249-2025</t>
        </is>
      </c>
      <c r="B1171" s="1" t="n">
        <v>45692.34465277778</v>
      </c>
      <c r="C1171" s="1" t="n">
        <v>46029</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57271-2024</t>
        </is>
      </c>
      <c r="B1172" s="1" t="n">
        <v>45629.57364583333</v>
      </c>
      <c r="C1172" s="1" t="n">
        <v>46029</v>
      </c>
      <c r="D1172" t="inlineStr">
        <is>
          <t>VÄSTERNORRLANDS LÄN</t>
        </is>
      </c>
      <c r="E1172" t="inlineStr">
        <is>
          <t>ÅNGE</t>
        </is>
      </c>
      <c r="F1172" t="inlineStr">
        <is>
          <t>SCA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5369-2022</t>
        </is>
      </c>
      <c r="B1173" s="1" t="n">
        <v>44594.92113425926</v>
      </c>
      <c r="C1173" s="1" t="n">
        <v>46029</v>
      </c>
      <c r="D1173" t="inlineStr">
        <is>
          <t>VÄSTERNORRLANDS LÄN</t>
        </is>
      </c>
      <c r="E1173" t="inlineStr">
        <is>
          <t>ÅNGE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56077-2025</t>
        </is>
      </c>
      <c r="B1174" s="1" t="n">
        <v>45973.65759259259</v>
      </c>
      <c r="C1174" s="1" t="n">
        <v>46029</v>
      </c>
      <c r="D1174" t="inlineStr">
        <is>
          <t>VÄSTERNORRLANDS LÄN</t>
        </is>
      </c>
      <c r="E1174" t="inlineStr">
        <is>
          <t>ÅNGE</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55816-2025</t>
        </is>
      </c>
      <c r="B1175" s="1" t="n">
        <v>45972.69851851852</v>
      </c>
      <c r="C1175" s="1" t="n">
        <v>46029</v>
      </c>
      <c r="D1175" t="inlineStr">
        <is>
          <t>VÄSTERNORRLANDS LÄN</t>
        </is>
      </c>
      <c r="E1175" t="inlineStr">
        <is>
          <t>ÅNGE</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22755-2023</t>
        </is>
      </c>
      <c r="B1176" s="1" t="n">
        <v>45071.94127314815</v>
      </c>
      <c r="C1176" s="1" t="n">
        <v>46029</v>
      </c>
      <c r="D1176" t="inlineStr">
        <is>
          <t>VÄSTERNORRLANDS LÄN</t>
        </is>
      </c>
      <c r="E1176" t="inlineStr">
        <is>
          <t>ÅNGE</t>
        </is>
      </c>
      <c r="F1176" t="inlineStr">
        <is>
          <t>SCA</t>
        </is>
      </c>
      <c r="G1176" t="n">
        <v>12.6</v>
      </c>
      <c r="H1176" t="n">
        <v>0</v>
      </c>
      <c r="I1176" t="n">
        <v>0</v>
      </c>
      <c r="J1176" t="n">
        <v>0</v>
      </c>
      <c r="K1176" t="n">
        <v>0</v>
      </c>
      <c r="L1176" t="n">
        <v>0</v>
      </c>
      <c r="M1176" t="n">
        <v>0</v>
      </c>
      <c r="N1176" t="n">
        <v>0</v>
      </c>
      <c r="O1176" t="n">
        <v>0</v>
      </c>
      <c r="P1176" t="n">
        <v>0</v>
      </c>
      <c r="Q1176" t="n">
        <v>0</v>
      </c>
      <c r="R1176" s="2" t="inlineStr"/>
    </row>
    <row r="1177" ht="15" customHeight="1">
      <c r="A1177" t="inlineStr">
        <is>
          <t>A 50419-2022</t>
        </is>
      </c>
      <c r="B1177" s="1" t="n">
        <v>44861</v>
      </c>
      <c r="C1177" s="1" t="n">
        <v>46029</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42881-2023</t>
        </is>
      </c>
      <c r="B1178" s="1" t="n">
        <v>45182.45256944445</v>
      </c>
      <c r="C1178" s="1" t="n">
        <v>46029</v>
      </c>
      <c r="D1178" t="inlineStr">
        <is>
          <t>VÄSTERNORRLANDS LÄN</t>
        </is>
      </c>
      <c r="E1178" t="inlineStr">
        <is>
          <t>ÅNGE</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18430-2025</t>
        </is>
      </c>
      <c r="B1179" s="1" t="n">
        <v>45762.63576388889</v>
      </c>
      <c r="C1179" s="1" t="n">
        <v>46029</v>
      </c>
      <c r="D1179" t="inlineStr">
        <is>
          <t>VÄSTERNORRLANDS LÄN</t>
        </is>
      </c>
      <c r="E1179" t="inlineStr">
        <is>
          <t>ÅNGE</t>
        </is>
      </c>
      <c r="F1179" t="inlineStr">
        <is>
          <t>SCA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43916-2023</t>
        </is>
      </c>
      <c r="B1180" s="1" t="n">
        <v>45187.72152777778</v>
      </c>
      <c r="C1180" s="1" t="n">
        <v>46029</v>
      </c>
      <c r="D1180" t="inlineStr">
        <is>
          <t>VÄSTERNORRLANDS LÄN</t>
        </is>
      </c>
      <c r="E1180" t="inlineStr">
        <is>
          <t>ÅNGE</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56423-2025</t>
        </is>
      </c>
      <c r="B1181" s="1" t="n">
        <v>45975.34528935186</v>
      </c>
      <c r="C1181" s="1" t="n">
        <v>46029</v>
      </c>
      <c r="D1181" t="inlineStr">
        <is>
          <t>VÄSTERNORRLANDS LÄN</t>
        </is>
      </c>
      <c r="E1181" t="inlineStr">
        <is>
          <t>ÅNGE</t>
        </is>
      </c>
      <c r="F1181" t="inlineStr">
        <is>
          <t>SCA</t>
        </is>
      </c>
      <c r="G1181" t="n">
        <v>1.5</v>
      </c>
      <c r="H1181" t="n">
        <v>0</v>
      </c>
      <c r="I1181" t="n">
        <v>0</v>
      </c>
      <c r="J1181" t="n">
        <v>0</v>
      </c>
      <c r="K1181" t="n">
        <v>0</v>
      </c>
      <c r="L1181" t="n">
        <v>0</v>
      </c>
      <c r="M1181" t="n">
        <v>0</v>
      </c>
      <c r="N1181" t="n">
        <v>0</v>
      </c>
      <c r="O1181" t="n">
        <v>0</v>
      </c>
      <c r="P1181" t="n">
        <v>0</v>
      </c>
      <c r="Q1181" t="n">
        <v>0</v>
      </c>
      <c r="R1181" s="2" t="inlineStr"/>
      <c r="U1181">
        <f>HYPERLINK("https://klasma.github.io/Logging_2260/knärot/A 56423-2025 karta knärot.png", "A 56423-2025")</f>
        <v/>
      </c>
      <c r="V1181">
        <f>HYPERLINK("https://klasma.github.io/Logging_2260/klagomål/A 56423-2025 FSC-klagomål.docx", "A 56423-2025")</f>
        <v/>
      </c>
      <c r="W1181">
        <f>HYPERLINK("https://klasma.github.io/Logging_2260/klagomålsmail/A 56423-2025 FSC-klagomål mail.docx", "A 56423-2025")</f>
        <v/>
      </c>
      <c r="X1181">
        <f>HYPERLINK("https://klasma.github.io/Logging_2260/tillsyn/A 56423-2025 tillsynsbegäran.docx", "A 56423-2025")</f>
        <v/>
      </c>
      <c r="Y1181">
        <f>HYPERLINK("https://klasma.github.io/Logging_2260/tillsynsmail/A 56423-2025 tillsynsbegäran mail.docx", "A 56423-2025")</f>
        <v/>
      </c>
    </row>
    <row r="1182" ht="15" customHeight="1">
      <c r="A1182" t="inlineStr">
        <is>
          <t>A 20255-2023</t>
        </is>
      </c>
      <c r="B1182" s="1" t="n">
        <v>45055</v>
      </c>
      <c r="C1182" s="1" t="n">
        <v>46029</v>
      </c>
      <c r="D1182" t="inlineStr">
        <is>
          <t>VÄSTERNORRLANDS LÄN</t>
        </is>
      </c>
      <c r="E1182" t="inlineStr">
        <is>
          <t>ÅNGE</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54429-2024</t>
        </is>
      </c>
      <c r="B1183" s="1" t="n">
        <v>45617.49087962963</v>
      </c>
      <c r="C1183" s="1" t="n">
        <v>46029</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56849-2025</t>
        </is>
      </c>
      <c r="B1184" s="1" t="n">
        <v>45978.48989583334</v>
      </c>
      <c r="C1184" s="1" t="n">
        <v>46029</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36492-2023</t>
        </is>
      </c>
      <c r="B1185" s="1" t="n">
        <v>45152.92479166666</v>
      </c>
      <c r="C1185" s="1" t="n">
        <v>46029</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56419-2025</t>
        </is>
      </c>
      <c r="B1186" s="1" t="n">
        <v>45975.34445601852</v>
      </c>
      <c r="C1186" s="1" t="n">
        <v>46029</v>
      </c>
      <c r="D1186" t="inlineStr">
        <is>
          <t>VÄSTERNORRLANDS LÄN</t>
        </is>
      </c>
      <c r="E1186" t="inlineStr">
        <is>
          <t>ÅNGE</t>
        </is>
      </c>
      <c r="F1186" t="inlineStr">
        <is>
          <t>SCA</t>
        </is>
      </c>
      <c r="G1186" t="n">
        <v>21.4</v>
      </c>
      <c r="H1186" t="n">
        <v>0</v>
      </c>
      <c r="I1186" t="n">
        <v>0</v>
      </c>
      <c r="J1186" t="n">
        <v>0</v>
      </c>
      <c r="K1186" t="n">
        <v>0</v>
      </c>
      <c r="L1186" t="n">
        <v>0</v>
      </c>
      <c r="M1186" t="n">
        <v>0</v>
      </c>
      <c r="N1186" t="n">
        <v>0</v>
      </c>
      <c r="O1186" t="n">
        <v>0</v>
      </c>
      <c r="P1186" t="n">
        <v>0</v>
      </c>
      <c r="Q1186" t="n">
        <v>0</v>
      </c>
      <c r="R1186" s="2" t="inlineStr"/>
    </row>
    <row r="1187" ht="15" customHeight="1">
      <c r="A1187" t="inlineStr">
        <is>
          <t>A 8650-2024</t>
        </is>
      </c>
      <c r="B1187" s="1" t="n">
        <v>45356</v>
      </c>
      <c r="C1187" s="1" t="n">
        <v>46029</v>
      </c>
      <c r="D1187" t="inlineStr">
        <is>
          <t>VÄSTERNORRLANDS LÄN</t>
        </is>
      </c>
      <c r="E1187" t="inlineStr">
        <is>
          <t>ÅNGE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56666-2025</t>
        </is>
      </c>
      <c r="B1188" s="1" t="n">
        <v>45975.67747685185</v>
      </c>
      <c r="C1188" s="1" t="n">
        <v>46029</v>
      </c>
      <c r="D1188" t="inlineStr">
        <is>
          <t>VÄSTERNORRLANDS LÄN</t>
        </is>
      </c>
      <c r="E1188" t="inlineStr">
        <is>
          <t>ÅNGE</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56741-2025</t>
        </is>
      </c>
      <c r="B1189" s="1" t="n">
        <v>45978.34726851852</v>
      </c>
      <c r="C1189" s="1" t="n">
        <v>46029</v>
      </c>
      <c r="D1189" t="inlineStr">
        <is>
          <t>VÄSTERNORRLANDS LÄN</t>
        </is>
      </c>
      <c r="E1189" t="inlineStr">
        <is>
          <t>ÅNGE</t>
        </is>
      </c>
      <c r="G1189" t="n">
        <v>11.4</v>
      </c>
      <c r="H1189" t="n">
        <v>0</v>
      </c>
      <c r="I1189" t="n">
        <v>0</v>
      </c>
      <c r="J1189" t="n">
        <v>0</v>
      </c>
      <c r="K1189" t="n">
        <v>0</v>
      </c>
      <c r="L1189" t="n">
        <v>0</v>
      </c>
      <c r="M1189" t="n">
        <v>0</v>
      </c>
      <c r="N1189" t="n">
        <v>0</v>
      </c>
      <c r="O1189" t="n">
        <v>0</v>
      </c>
      <c r="P1189" t="n">
        <v>0</v>
      </c>
      <c r="Q1189" t="n">
        <v>0</v>
      </c>
      <c r="R1189" s="2" t="inlineStr"/>
    </row>
    <row r="1190" ht="15" customHeight="1">
      <c r="A1190" t="inlineStr">
        <is>
          <t>A 57022-2025</t>
        </is>
      </c>
      <c r="B1190" s="1" t="n">
        <v>45978.88921296296</v>
      </c>
      <c r="C1190" s="1" t="n">
        <v>46029</v>
      </c>
      <c r="D1190" t="inlineStr">
        <is>
          <t>VÄSTERNORRLANDS LÄN</t>
        </is>
      </c>
      <c r="E1190" t="inlineStr">
        <is>
          <t>ÅNGE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63978-2025</t>
        </is>
      </c>
      <c r="B1191" s="1" t="n">
        <v>46021.34421296296</v>
      </c>
      <c r="C1191" s="1" t="n">
        <v>46029</v>
      </c>
      <c r="D1191" t="inlineStr">
        <is>
          <t>VÄSTERNORRLANDS LÄN</t>
        </is>
      </c>
      <c r="E1191" t="inlineStr">
        <is>
          <t>ÅNGE</t>
        </is>
      </c>
      <c r="F1191" t="inlineStr">
        <is>
          <t>SCA</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57283-2025</t>
        </is>
      </c>
      <c r="B1192" s="1" t="n">
        <v>45979.71918981482</v>
      </c>
      <c r="C1192" s="1" t="n">
        <v>46029</v>
      </c>
      <c r="D1192" t="inlineStr">
        <is>
          <t>VÄSTERNORRLANDS LÄN</t>
        </is>
      </c>
      <c r="E1192" t="inlineStr">
        <is>
          <t>ÅNGE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57457-2025</t>
        </is>
      </c>
      <c r="B1193" s="1" t="n">
        <v>45980.53001157408</v>
      </c>
      <c r="C1193" s="1" t="n">
        <v>46029</v>
      </c>
      <c r="D1193" t="inlineStr">
        <is>
          <t>VÄSTERNORRLANDS LÄN</t>
        </is>
      </c>
      <c r="E1193" t="inlineStr">
        <is>
          <t>ÅNGE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63965-2025</t>
        </is>
      </c>
      <c r="B1194" s="1" t="n">
        <v>46020.93445601852</v>
      </c>
      <c r="C1194" s="1" t="n">
        <v>46029</v>
      </c>
      <c r="D1194" t="inlineStr">
        <is>
          <t>VÄSTERNORRLANDS LÄN</t>
        </is>
      </c>
      <c r="E1194" t="inlineStr">
        <is>
          <t>ÅNGE</t>
        </is>
      </c>
      <c r="G1194" t="n">
        <v>11.1</v>
      </c>
      <c r="H1194" t="n">
        <v>0</v>
      </c>
      <c r="I1194" t="n">
        <v>0</v>
      </c>
      <c r="J1194" t="n">
        <v>0</v>
      </c>
      <c r="K1194" t="n">
        <v>0</v>
      </c>
      <c r="L1194" t="n">
        <v>0</v>
      </c>
      <c r="M1194" t="n">
        <v>0</v>
      </c>
      <c r="N1194" t="n">
        <v>0</v>
      </c>
      <c r="O1194" t="n">
        <v>0</v>
      </c>
      <c r="P1194" t="n">
        <v>0</v>
      </c>
      <c r="Q1194" t="n">
        <v>0</v>
      </c>
      <c r="R1194" s="2" t="inlineStr"/>
    </row>
    <row r="1195" ht="15" customHeight="1">
      <c r="A1195" t="inlineStr">
        <is>
          <t>A 56569-2024</t>
        </is>
      </c>
      <c r="B1195" s="1" t="n">
        <v>45625</v>
      </c>
      <c r="C1195" s="1" t="n">
        <v>46029</v>
      </c>
      <c r="D1195" t="inlineStr">
        <is>
          <t>VÄSTERNORRLANDS LÄN</t>
        </is>
      </c>
      <c r="E1195" t="inlineStr">
        <is>
          <t>ÅNGE</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57529-2024</t>
        </is>
      </c>
      <c r="B1196" s="1" t="n">
        <v>45630</v>
      </c>
      <c r="C1196" s="1" t="n">
        <v>46029</v>
      </c>
      <c r="D1196" t="inlineStr">
        <is>
          <t>VÄSTERNORRLANDS LÄN</t>
        </is>
      </c>
      <c r="E1196" t="inlineStr">
        <is>
          <t>ÅNGE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64080-2025</t>
        </is>
      </c>
      <c r="B1197" s="1" t="n">
        <v>46021.67752314815</v>
      </c>
      <c r="C1197" s="1" t="n">
        <v>46029</v>
      </c>
      <c r="D1197" t="inlineStr">
        <is>
          <t>VÄSTERNORRLANDS LÄN</t>
        </is>
      </c>
      <c r="E1197" t="inlineStr">
        <is>
          <t>ÅNGE</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4872-2025</t>
        </is>
      </c>
      <c r="B1198" s="1" t="n">
        <v>45688.67619212963</v>
      </c>
      <c r="C1198" s="1" t="n">
        <v>46029</v>
      </c>
      <c r="D1198" t="inlineStr">
        <is>
          <t>VÄSTERNORRLANDS LÄN</t>
        </is>
      </c>
      <c r="E1198" t="inlineStr">
        <is>
          <t>ÅNGE</t>
        </is>
      </c>
      <c r="F1198" t="inlineStr">
        <is>
          <t>SCA</t>
        </is>
      </c>
      <c r="G1198" t="n">
        <v>31.3</v>
      </c>
      <c r="H1198" t="n">
        <v>0</v>
      </c>
      <c r="I1198" t="n">
        <v>0</v>
      </c>
      <c r="J1198" t="n">
        <v>0</v>
      </c>
      <c r="K1198" t="n">
        <v>0</v>
      </c>
      <c r="L1198" t="n">
        <v>0</v>
      </c>
      <c r="M1198" t="n">
        <v>0</v>
      </c>
      <c r="N1198" t="n">
        <v>0</v>
      </c>
      <c r="O1198" t="n">
        <v>0</v>
      </c>
      <c r="P1198" t="n">
        <v>0</v>
      </c>
      <c r="Q1198" t="n">
        <v>0</v>
      </c>
      <c r="R1198" s="2" t="inlineStr"/>
      <c r="U1198">
        <f>HYPERLINK("https://klasma.github.io/Logging_2260/knärot/A 4872-2025 karta knärot.png", "A 4872-2025")</f>
        <v/>
      </c>
      <c r="V1198">
        <f>HYPERLINK("https://klasma.github.io/Logging_2260/klagomål/A 4872-2025 FSC-klagomål.docx", "A 4872-2025")</f>
        <v/>
      </c>
      <c r="W1198">
        <f>HYPERLINK("https://klasma.github.io/Logging_2260/klagomålsmail/A 4872-2025 FSC-klagomål mail.docx", "A 4872-2025")</f>
        <v/>
      </c>
      <c r="X1198">
        <f>HYPERLINK("https://klasma.github.io/Logging_2260/tillsyn/A 4872-2025 tillsynsbegäran.docx", "A 4872-2025")</f>
        <v/>
      </c>
      <c r="Y1198">
        <f>HYPERLINK("https://klasma.github.io/Logging_2260/tillsynsmail/A 4872-2025 tillsynsbegäran mail.docx", "A 4872-2025")</f>
        <v/>
      </c>
    </row>
    <row r="1199" ht="15" customHeight="1">
      <c r="A1199" t="inlineStr">
        <is>
          <t>A 16973-2025</t>
        </is>
      </c>
      <c r="B1199" s="1" t="n">
        <v>45755.46967592592</v>
      </c>
      <c r="C1199" s="1" t="n">
        <v>46029</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57302-2025</t>
        </is>
      </c>
      <c r="B1200" s="1" t="n">
        <v>45979.87184027778</v>
      </c>
      <c r="C1200" s="1" t="n">
        <v>46029</v>
      </c>
      <c r="D1200" t="inlineStr">
        <is>
          <t>VÄSTERNORRLANDS LÄN</t>
        </is>
      </c>
      <c r="E1200" t="inlineStr">
        <is>
          <t>ÅNGE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48632-2023</t>
        </is>
      </c>
      <c r="B1201" s="1" t="n">
        <v>45208.57944444445</v>
      </c>
      <c r="C1201" s="1" t="n">
        <v>46029</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57081-2025</t>
        </is>
      </c>
      <c r="B1202" s="1" t="n">
        <v>45979.40826388889</v>
      </c>
      <c r="C1202" s="1" t="n">
        <v>46029</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57371-2025</t>
        </is>
      </c>
      <c r="B1203" s="1" t="n">
        <v>45980.38586805556</v>
      </c>
      <c r="C1203" s="1" t="n">
        <v>46029</v>
      </c>
      <c r="D1203" t="inlineStr">
        <is>
          <t>VÄSTERNORRLANDS LÄN</t>
        </is>
      </c>
      <c r="E1203" t="inlineStr">
        <is>
          <t>ÅNGE</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57961-2025</t>
        </is>
      </c>
      <c r="B1204" s="1" t="n">
        <v>45982.36502314815</v>
      </c>
      <c r="C1204" s="1" t="n">
        <v>46029</v>
      </c>
      <c r="D1204" t="inlineStr">
        <is>
          <t>VÄSTERNORRLANDS LÄN</t>
        </is>
      </c>
      <c r="E1204" t="inlineStr">
        <is>
          <t>ÅNGE</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8747-2022</t>
        </is>
      </c>
      <c r="B1205" s="1" t="n">
        <v>44614.33912037037</v>
      </c>
      <c r="C1205" s="1" t="n">
        <v>46029</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14888-2022</t>
        </is>
      </c>
      <c r="B1206" s="1" t="n">
        <v>44656</v>
      </c>
      <c r="C1206" s="1" t="n">
        <v>46029</v>
      </c>
      <c r="D1206" t="inlineStr">
        <is>
          <t>VÄSTERNORRLANDS LÄN</t>
        </is>
      </c>
      <c r="E1206" t="inlineStr">
        <is>
          <t>ÅNGE</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55329-2023</t>
        </is>
      </c>
      <c r="B1207" s="1" t="n">
        <v>45237</v>
      </c>
      <c r="C1207" s="1" t="n">
        <v>46029</v>
      </c>
      <c r="D1207" t="inlineStr">
        <is>
          <t>VÄSTERNORRLANDS LÄN</t>
        </is>
      </c>
      <c r="E1207" t="inlineStr">
        <is>
          <t>ÅNGE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58048-2025</t>
        </is>
      </c>
      <c r="B1208" s="1" t="n">
        <v>45982.5109837963</v>
      </c>
      <c r="C1208" s="1" t="n">
        <v>46029</v>
      </c>
      <c r="D1208" t="inlineStr">
        <is>
          <t>VÄSTERNORRLANDS LÄN</t>
        </is>
      </c>
      <c r="E1208" t="inlineStr">
        <is>
          <t>ÅNGE</t>
        </is>
      </c>
      <c r="F1208" t="inlineStr">
        <is>
          <t>SCA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3986-2025</t>
        </is>
      </c>
      <c r="B1209" s="1" t="n">
        <v>45684.55262731481</v>
      </c>
      <c r="C1209" s="1" t="n">
        <v>46029</v>
      </c>
      <c r="D1209" t="inlineStr">
        <is>
          <t>VÄSTERNORRLANDS LÄN</t>
        </is>
      </c>
      <c r="E1209" t="inlineStr">
        <is>
          <t>ÅNGE</t>
        </is>
      </c>
      <c r="F1209" t="inlineStr">
        <is>
          <t>SCA</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57615-2025</t>
        </is>
      </c>
      <c r="B1210" s="1" t="n">
        <v>45981.34431712963</v>
      </c>
      <c r="C1210" s="1" t="n">
        <v>46029</v>
      </c>
      <c r="D1210" t="inlineStr">
        <is>
          <t>VÄSTERNORRLANDS LÄN</t>
        </is>
      </c>
      <c r="E1210" t="inlineStr">
        <is>
          <t>ÅNGE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46795-2023</t>
        </is>
      </c>
      <c r="B1211" s="1" t="n">
        <v>45198</v>
      </c>
      <c r="C1211" s="1" t="n">
        <v>46029</v>
      </c>
      <c r="D1211" t="inlineStr">
        <is>
          <t>VÄSTERNORRLANDS LÄN</t>
        </is>
      </c>
      <c r="E1211" t="inlineStr">
        <is>
          <t>ÅNGE</t>
        </is>
      </c>
      <c r="F1211" t="inlineStr">
        <is>
          <t>Holmen skog AB</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57991-2025</t>
        </is>
      </c>
      <c r="B1212" s="1" t="n">
        <v>45982.42438657407</v>
      </c>
      <c r="C1212" s="1" t="n">
        <v>46029</v>
      </c>
      <c r="D1212" t="inlineStr">
        <is>
          <t>VÄSTERNORRLANDS LÄN</t>
        </is>
      </c>
      <c r="E1212" t="inlineStr">
        <is>
          <t>ÅNGE</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58-2026</t>
        </is>
      </c>
      <c r="B1213" s="1" t="n">
        <v>46024.43947916666</v>
      </c>
      <c r="C1213" s="1" t="n">
        <v>46029</v>
      </c>
      <c r="D1213" t="inlineStr">
        <is>
          <t>VÄSTERNORRLANDS LÄN</t>
        </is>
      </c>
      <c r="E1213" t="inlineStr">
        <is>
          <t>ÅNGE</t>
        </is>
      </c>
      <c r="F1213" t="inlineStr">
        <is>
          <t>Kyrkan</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57950-2025</t>
        </is>
      </c>
      <c r="B1214" s="1" t="n">
        <v>45982.34473379629</v>
      </c>
      <c r="C1214" s="1" t="n">
        <v>46029</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57960-2025</t>
        </is>
      </c>
      <c r="B1215" s="1" t="n">
        <v>45982.36494212963</v>
      </c>
      <c r="C1215" s="1" t="n">
        <v>46029</v>
      </c>
      <c r="D1215" t="inlineStr">
        <is>
          <t>VÄSTERNORRLANDS LÄN</t>
        </is>
      </c>
      <c r="E1215" t="inlineStr">
        <is>
          <t>ÅNGE</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58750-2025</t>
        </is>
      </c>
      <c r="B1216" s="1" t="n">
        <v>45986.64064814815</v>
      </c>
      <c r="C1216" s="1" t="n">
        <v>46029</v>
      </c>
      <c r="D1216" t="inlineStr">
        <is>
          <t>VÄSTERNORRLANDS LÄN</t>
        </is>
      </c>
      <c r="E1216" t="inlineStr">
        <is>
          <t>ÅNGE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58536-2025</t>
        </is>
      </c>
      <c r="B1217" s="1" t="n">
        <v>45985.83274305556</v>
      </c>
      <c r="C1217" s="1" t="n">
        <v>46029</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58388-2025</t>
        </is>
      </c>
      <c r="B1218" s="1" t="n">
        <v>45985.54685185185</v>
      </c>
      <c r="C1218" s="1" t="n">
        <v>46029</v>
      </c>
      <c r="D1218" t="inlineStr">
        <is>
          <t>VÄSTERNORRLANDS LÄN</t>
        </is>
      </c>
      <c r="E1218" t="inlineStr">
        <is>
          <t>ÅNGE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4094-2025</t>
        </is>
      </c>
      <c r="B1219" s="1" t="n">
        <v>45684.6778125</v>
      </c>
      <c r="C1219" s="1" t="n">
        <v>46029</v>
      </c>
      <c r="D1219" t="inlineStr">
        <is>
          <t>VÄSTERNORRLANDS LÄN</t>
        </is>
      </c>
      <c r="E1219" t="inlineStr">
        <is>
          <t>ÅNGE</t>
        </is>
      </c>
      <c r="F1219" t="inlineStr">
        <is>
          <t>SCA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58366-2025</t>
        </is>
      </c>
      <c r="B1220" s="1" t="n">
        <v>45985.52600694444</v>
      </c>
      <c r="C1220" s="1" t="n">
        <v>46029</v>
      </c>
      <c r="D1220" t="inlineStr">
        <is>
          <t>VÄSTERNORRLANDS LÄN</t>
        </is>
      </c>
      <c r="E1220" t="inlineStr">
        <is>
          <t>ÅNGE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58268-2025</t>
        </is>
      </c>
      <c r="B1221" s="1" t="n">
        <v>45985.42450231482</v>
      </c>
      <c r="C1221" s="1" t="n">
        <v>46029</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58588-2025</t>
        </is>
      </c>
      <c r="B1222" s="1" t="n">
        <v>45986.4065625</v>
      </c>
      <c r="C1222" s="1" t="n">
        <v>46029</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58605-2025</t>
        </is>
      </c>
      <c r="B1223" s="1" t="n">
        <v>45986</v>
      </c>
      <c r="C1223" s="1" t="n">
        <v>46029</v>
      </c>
      <c r="D1223" t="inlineStr">
        <is>
          <t>VÄSTERNORRLANDS LÄN</t>
        </is>
      </c>
      <c r="E1223" t="inlineStr">
        <is>
          <t>ÅNGE</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58585-2025</t>
        </is>
      </c>
      <c r="B1224" s="1" t="n">
        <v>45986.39733796296</v>
      </c>
      <c r="C1224" s="1" t="n">
        <v>46029</v>
      </c>
      <c r="D1224" t="inlineStr">
        <is>
          <t>VÄSTERNORRLANDS LÄN</t>
        </is>
      </c>
      <c r="E1224" t="inlineStr">
        <is>
          <t>ÅNGE</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39973-2023</t>
        </is>
      </c>
      <c r="B1225" s="1" t="n">
        <v>45168.5858912037</v>
      </c>
      <c r="C1225" s="1" t="n">
        <v>46029</v>
      </c>
      <c r="D1225" t="inlineStr">
        <is>
          <t>VÄSTERNORRLANDS LÄN</t>
        </is>
      </c>
      <c r="E1225" t="inlineStr">
        <is>
          <t>ÅNGE</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353-2026</t>
        </is>
      </c>
      <c r="B1226" s="1" t="n">
        <v>46027.63585648148</v>
      </c>
      <c r="C1226" s="1" t="n">
        <v>46029</v>
      </c>
      <c r="D1226" t="inlineStr">
        <is>
          <t>VÄSTERNORRLANDS LÄN</t>
        </is>
      </c>
      <c r="E1226" t="inlineStr">
        <is>
          <t>ÅNGE</t>
        </is>
      </c>
      <c r="F1226" t="inlineStr">
        <is>
          <t>SCA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58486-2025</t>
        </is>
      </c>
      <c r="B1227" s="1" t="n">
        <v>45985.65660879629</v>
      </c>
      <c r="C1227" s="1" t="n">
        <v>46029</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345-2026</t>
        </is>
      </c>
      <c r="B1228" s="1" t="n">
        <v>46027.61515046296</v>
      </c>
      <c r="C1228" s="1" t="n">
        <v>46029</v>
      </c>
      <c r="D1228" t="inlineStr">
        <is>
          <t>VÄSTERNORRLANDS LÄN</t>
        </is>
      </c>
      <c r="E1228" t="inlineStr">
        <is>
          <t>ÅNGE</t>
        </is>
      </c>
      <c r="F1228" t="inlineStr">
        <is>
          <t>SCA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58637-2023</t>
        </is>
      </c>
      <c r="B1229" s="1" t="n">
        <v>45251</v>
      </c>
      <c r="C1229" s="1" t="n">
        <v>46029</v>
      </c>
      <c r="D1229" t="inlineStr">
        <is>
          <t>VÄSTERNORRLANDS LÄN</t>
        </is>
      </c>
      <c r="E1229" t="inlineStr">
        <is>
          <t>ÅNGE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58242-2025</t>
        </is>
      </c>
      <c r="B1230" s="1" t="n">
        <v>45985.38802083334</v>
      </c>
      <c r="C1230" s="1" t="n">
        <v>46029</v>
      </c>
      <c r="D1230" t="inlineStr">
        <is>
          <t>VÄSTERNORRLANDS LÄN</t>
        </is>
      </c>
      <c r="E1230" t="inlineStr">
        <is>
          <t>ÅNGE</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232-2026</t>
        </is>
      </c>
      <c r="B1231" s="1" t="n">
        <v>46027.34425925926</v>
      </c>
      <c r="C1231" s="1" t="n">
        <v>46029</v>
      </c>
      <c r="D1231" t="inlineStr">
        <is>
          <t>VÄSTERNORRLANDS LÄN</t>
        </is>
      </c>
      <c r="E1231" t="inlineStr">
        <is>
          <t>ÅNGE</t>
        </is>
      </c>
      <c r="F1231" t="inlineStr">
        <is>
          <t>SCA</t>
        </is>
      </c>
      <c r="G1231" t="n">
        <v>37.7</v>
      </c>
      <c r="H1231" t="n">
        <v>0</v>
      </c>
      <c r="I1231" t="n">
        <v>0</v>
      </c>
      <c r="J1231" t="n">
        <v>0</v>
      </c>
      <c r="K1231" t="n">
        <v>0</v>
      </c>
      <c r="L1231" t="n">
        <v>0</v>
      </c>
      <c r="M1231" t="n">
        <v>0</v>
      </c>
      <c r="N1231" t="n">
        <v>0</v>
      </c>
      <c r="O1231" t="n">
        <v>0</v>
      </c>
      <c r="P1231" t="n">
        <v>0</v>
      </c>
      <c r="Q1231" t="n">
        <v>0</v>
      </c>
      <c r="R1231" s="2" t="inlineStr"/>
    </row>
    <row r="1232" ht="15" customHeight="1">
      <c r="A1232" t="inlineStr">
        <is>
          <t>A 58439-2025</t>
        </is>
      </c>
      <c r="B1232" s="1" t="n">
        <v>45985.61518518518</v>
      </c>
      <c r="C1232" s="1" t="n">
        <v>46029</v>
      </c>
      <c r="D1232" t="inlineStr">
        <is>
          <t>VÄSTERNORRLANDS LÄN</t>
        </is>
      </c>
      <c r="E1232" t="inlineStr">
        <is>
          <t>ÅNGE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58524-2025</t>
        </is>
      </c>
      <c r="B1233" s="1" t="n">
        <v>45985.7190162037</v>
      </c>
      <c r="C1233" s="1" t="n">
        <v>46029</v>
      </c>
      <c r="D1233" t="inlineStr">
        <is>
          <t>VÄSTERNORRLANDS LÄN</t>
        </is>
      </c>
      <c r="E1233" t="inlineStr">
        <is>
          <t>ÅNGE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58639-2025</t>
        </is>
      </c>
      <c r="B1234" s="1" t="n">
        <v>45986.49042824074</v>
      </c>
      <c r="C1234" s="1" t="n">
        <v>46029</v>
      </c>
      <c r="D1234" t="inlineStr">
        <is>
          <t>VÄSTERNORRLANDS LÄN</t>
        </is>
      </c>
      <c r="E1234" t="inlineStr">
        <is>
          <t>ÅNGE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58599-2025</t>
        </is>
      </c>
      <c r="B1235" s="1" t="n">
        <v>45986.42644675926</v>
      </c>
      <c r="C1235" s="1" t="n">
        <v>46029</v>
      </c>
      <c r="D1235" t="inlineStr">
        <is>
          <t>VÄSTERNORRLANDS LÄN</t>
        </is>
      </c>
      <c r="E1235" t="inlineStr">
        <is>
          <t>ÅNGE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58406-2025</t>
        </is>
      </c>
      <c r="B1236" s="1" t="n">
        <v>45985.56913194444</v>
      </c>
      <c r="C1236" s="1" t="n">
        <v>46029</v>
      </c>
      <c r="D1236" t="inlineStr">
        <is>
          <t>VÄSTERNORRLANDS LÄN</t>
        </is>
      </c>
      <c r="E1236" t="inlineStr">
        <is>
          <t>ÅNGE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58240-2025</t>
        </is>
      </c>
      <c r="B1237" s="1" t="n">
        <v>45985.38796296297</v>
      </c>
      <c r="C1237" s="1" t="n">
        <v>46029</v>
      </c>
      <c r="D1237" t="inlineStr">
        <is>
          <t>VÄSTERNORRLANDS LÄN</t>
        </is>
      </c>
      <c r="E1237" t="inlineStr">
        <is>
          <t>ÅNGE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58270-2025</t>
        </is>
      </c>
      <c r="B1238" s="1" t="n">
        <v>45985.42633101852</v>
      </c>
      <c r="C1238" s="1" t="n">
        <v>46029</v>
      </c>
      <c r="D1238" t="inlineStr">
        <is>
          <t>VÄSTERNORRLANDS LÄN</t>
        </is>
      </c>
      <c r="E1238" t="inlineStr">
        <is>
          <t>ÅNGE</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4236-2025</t>
        </is>
      </c>
      <c r="B1239" s="1" t="n">
        <v>45685.56534722223</v>
      </c>
      <c r="C1239" s="1" t="n">
        <v>46029</v>
      </c>
      <c r="D1239" t="inlineStr">
        <is>
          <t>VÄSTERNORRLANDS LÄN</t>
        </is>
      </c>
      <c r="E1239" t="inlineStr">
        <is>
          <t>ÅNGE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51131-2022</t>
        </is>
      </c>
      <c r="B1240" s="1" t="n">
        <v>44868</v>
      </c>
      <c r="C1240" s="1" t="n">
        <v>46029</v>
      </c>
      <c r="D1240" t="inlineStr">
        <is>
          <t>VÄSTERNORRLANDS LÄN</t>
        </is>
      </c>
      <c r="E1240" t="inlineStr">
        <is>
          <t>ÅNGE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5999-2025</t>
        </is>
      </c>
      <c r="B1241" s="1" t="n">
        <v>45695</v>
      </c>
      <c r="C1241" s="1" t="n">
        <v>46029</v>
      </c>
      <c r="D1241" t="inlineStr">
        <is>
          <t>VÄSTERNORRLANDS LÄN</t>
        </is>
      </c>
      <c r="E1241" t="inlineStr">
        <is>
          <t>ÅNGE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26015-2024</t>
        </is>
      </c>
      <c r="B1242" s="1" t="n">
        <v>45467.95872685185</v>
      </c>
      <c r="C1242" s="1" t="n">
        <v>46029</v>
      </c>
      <c r="D1242" t="inlineStr">
        <is>
          <t>VÄSTERNORRLANDS LÄN</t>
        </is>
      </c>
      <c r="E1242" t="inlineStr">
        <is>
          <t>ÅNGE</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26010-2024</t>
        </is>
      </c>
      <c r="B1243" s="1" t="n">
        <v>45467.95819444444</v>
      </c>
      <c r="C1243" s="1" t="n">
        <v>46029</v>
      </c>
      <c r="D1243" t="inlineStr">
        <is>
          <t>VÄSTERNORRLANDS LÄN</t>
        </is>
      </c>
      <c r="E1243" t="inlineStr">
        <is>
          <t>ÅNGE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60365-2024</t>
        </is>
      </c>
      <c r="B1244" s="1" t="n">
        <v>45643</v>
      </c>
      <c r="C1244" s="1" t="n">
        <v>46029</v>
      </c>
      <c r="D1244" t="inlineStr">
        <is>
          <t>VÄSTERNORRLANDS LÄN</t>
        </is>
      </c>
      <c r="E1244" t="inlineStr">
        <is>
          <t>ÅNGE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11871-2025</t>
        </is>
      </c>
      <c r="B1245" s="1" t="n">
        <v>45728.42740740741</v>
      </c>
      <c r="C1245" s="1" t="n">
        <v>46029</v>
      </c>
      <c r="D1245" t="inlineStr">
        <is>
          <t>VÄSTERNORRLANDS LÄN</t>
        </is>
      </c>
      <c r="E1245" t="inlineStr">
        <is>
          <t>ÅNGE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15799-2025</t>
        </is>
      </c>
      <c r="B1246" s="1" t="n">
        <v>45748.64768518518</v>
      </c>
      <c r="C1246" s="1" t="n">
        <v>46029</v>
      </c>
      <c r="D1246" t="inlineStr">
        <is>
          <t>VÄSTERNORRLANDS LÄN</t>
        </is>
      </c>
      <c r="E1246" t="inlineStr">
        <is>
          <t>ÅNGE</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47488-2023</t>
        </is>
      </c>
      <c r="B1247" s="1" t="n">
        <v>45202.94168981481</v>
      </c>
      <c r="C1247" s="1" t="n">
        <v>46029</v>
      </c>
      <c r="D1247" t="inlineStr">
        <is>
          <t>VÄSTERNORRLANDS LÄN</t>
        </is>
      </c>
      <c r="E1247" t="inlineStr">
        <is>
          <t>ÅNGE</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54982-2023</t>
        </is>
      </c>
      <c r="B1248" s="1" t="n">
        <v>45236</v>
      </c>
      <c r="C1248" s="1" t="n">
        <v>46029</v>
      </c>
      <c r="D1248" t="inlineStr">
        <is>
          <t>VÄSTERNORRLANDS LÄN</t>
        </is>
      </c>
      <c r="E1248" t="inlineStr">
        <is>
          <t>ÅNGE</t>
        </is>
      </c>
      <c r="F1248" t="inlineStr">
        <is>
          <t>SCA</t>
        </is>
      </c>
      <c r="G1248" t="n">
        <v>26.2</v>
      </c>
      <c r="H1248" t="n">
        <v>0</v>
      </c>
      <c r="I1248" t="n">
        <v>0</v>
      </c>
      <c r="J1248" t="n">
        <v>0</v>
      </c>
      <c r="K1248" t="n">
        <v>0</v>
      </c>
      <c r="L1248" t="n">
        <v>0</v>
      </c>
      <c r="M1248" t="n">
        <v>0</v>
      </c>
      <c r="N1248" t="n">
        <v>0</v>
      </c>
      <c r="O1248" t="n">
        <v>0</v>
      </c>
      <c r="P1248" t="n">
        <v>0</v>
      </c>
      <c r="Q1248" t="n">
        <v>0</v>
      </c>
      <c r="R1248" s="2" t="inlineStr"/>
    </row>
    <row r="1249" ht="15" customHeight="1">
      <c r="A1249" t="inlineStr">
        <is>
          <t>A 57560-2023</t>
        </is>
      </c>
      <c r="B1249" s="1" t="n">
        <v>45243</v>
      </c>
      <c r="C1249" s="1" t="n">
        <v>46029</v>
      </c>
      <c r="D1249" t="inlineStr">
        <is>
          <t>VÄSTERNORRLANDS LÄN</t>
        </is>
      </c>
      <c r="E1249" t="inlineStr">
        <is>
          <t>ÅNGE</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57568-2023</t>
        </is>
      </c>
      <c r="B1250" s="1" t="n">
        <v>45246.50484953704</v>
      </c>
      <c r="C1250" s="1" t="n">
        <v>46029</v>
      </c>
      <c r="D1250" t="inlineStr">
        <is>
          <t>VÄSTERNORRLANDS LÄN</t>
        </is>
      </c>
      <c r="E1250" t="inlineStr">
        <is>
          <t>ÅNGE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63530-2023</t>
        </is>
      </c>
      <c r="B1251" s="1" t="n">
        <v>45274</v>
      </c>
      <c r="C1251" s="1" t="n">
        <v>46029</v>
      </c>
      <c r="D1251" t="inlineStr">
        <is>
          <t>VÄSTERNORRLANDS LÄN</t>
        </is>
      </c>
      <c r="E1251" t="inlineStr">
        <is>
          <t>ÅNGE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3253-2024</t>
        </is>
      </c>
      <c r="B1252" s="1" t="n">
        <v>45316</v>
      </c>
      <c r="C1252" s="1" t="n">
        <v>46029</v>
      </c>
      <c r="D1252" t="inlineStr">
        <is>
          <t>VÄSTERNORRLANDS LÄN</t>
        </is>
      </c>
      <c r="E1252" t="inlineStr">
        <is>
          <t>ÅNGE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49945-2023</t>
        </is>
      </c>
      <c r="B1253" s="1" t="n">
        <v>45215.3625462963</v>
      </c>
      <c r="C1253" s="1" t="n">
        <v>46029</v>
      </c>
      <c r="D1253" t="inlineStr">
        <is>
          <t>VÄSTERNORRLANDS LÄN</t>
        </is>
      </c>
      <c r="E1253" t="inlineStr">
        <is>
          <t>ÅNGE</t>
        </is>
      </c>
      <c r="F1253" t="inlineStr">
        <is>
          <t>Holmen skog AB</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25903-2022</t>
        </is>
      </c>
      <c r="B1254" s="1" t="n">
        <v>44733</v>
      </c>
      <c r="C1254" s="1" t="n">
        <v>46029</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19709-2025</t>
        </is>
      </c>
      <c r="B1255" s="1" t="n">
        <v>45771.34263888889</v>
      </c>
      <c r="C1255" s="1" t="n">
        <v>46029</v>
      </c>
      <c r="D1255" t="inlineStr">
        <is>
          <t>VÄSTERNORRLANDS LÄN</t>
        </is>
      </c>
      <c r="E1255" t="inlineStr">
        <is>
          <t>ÅNGE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24324-2022</t>
        </is>
      </c>
      <c r="B1256" s="1" t="n">
        <v>44725.945</v>
      </c>
      <c r="C1256" s="1" t="n">
        <v>46029</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24325-2022</t>
        </is>
      </c>
      <c r="B1257" s="1" t="n">
        <v>44725.94506944445</v>
      </c>
      <c r="C1257" s="1" t="n">
        <v>46029</v>
      </c>
      <c r="D1257" t="inlineStr">
        <is>
          <t>VÄSTERNORRLANDS LÄN</t>
        </is>
      </c>
      <c r="E1257" t="inlineStr">
        <is>
          <t>ÅNGE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30803-2022</t>
        </is>
      </c>
      <c r="B1258" s="1" t="n">
        <v>44764</v>
      </c>
      <c r="C1258" s="1" t="n">
        <v>46029</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17744-2025</t>
        </is>
      </c>
      <c r="B1259" s="1" t="n">
        <v>45758</v>
      </c>
      <c r="C1259" s="1" t="n">
        <v>46029</v>
      </c>
      <c r="D1259" t="inlineStr">
        <is>
          <t>VÄSTERNORRLANDS LÄN</t>
        </is>
      </c>
      <c r="E1259" t="inlineStr">
        <is>
          <t>ÅNGE</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2433-2024</t>
        </is>
      </c>
      <c r="B1260" s="1" t="n">
        <v>45310</v>
      </c>
      <c r="C1260" s="1" t="n">
        <v>46029</v>
      </c>
      <c r="D1260" t="inlineStr">
        <is>
          <t>VÄSTERNORRLANDS LÄN</t>
        </is>
      </c>
      <c r="E1260" t="inlineStr">
        <is>
          <t>ÅNGE</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56615-2023</t>
        </is>
      </c>
      <c r="B1261" s="1" t="n">
        <v>45243</v>
      </c>
      <c r="C1261" s="1" t="n">
        <v>46029</v>
      </c>
      <c r="D1261" t="inlineStr">
        <is>
          <t>VÄSTERNORRLANDS LÄN</t>
        </is>
      </c>
      <c r="E1261" t="inlineStr">
        <is>
          <t>ÅNGE</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61461-2023</t>
        </is>
      </c>
      <c r="B1262" s="1" t="n">
        <v>45264.9261574074</v>
      </c>
      <c r="C1262" s="1" t="n">
        <v>46029</v>
      </c>
      <c r="D1262" t="inlineStr">
        <is>
          <t>VÄSTERNORRLANDS LÄN</t>
        </is>
      </c>
      <c r="E1262" t="inlineStr">
        <is>
          <t>ÅNGE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27661-2024</t>
        </is>
      </c>
      <c r="B1263" s="1" t="n">
        <v>45474.95365740741</v>
      </c>
      <c r="C1263" s="1" t="n">
        <v>46029</v>
      </c>
      <c r="D1263" t="inlineStr">
        <is>
          <t>VÄSTERNORRLANDS LÄN</t>
        </is>
      </c>
      <c r="E1263" t="inlineStr">
        <is>
          <t>ÅNGE</t>
        </is>
      </c>
      <c r="F1263" t="inlineStr">
        <is>
          <t>SCA</t>
        </is>
      </c>
      <c r="G1263" t="n">
        <v>19.1</v>
      </c>
      <c r="H1263" t="n">
        <v>0</v>
      </c>
      <c r="I1263" t="n">
        <v>0</v>
      </c>
      <c r="J1263" t="n">
        <v>0</v>
      </c>
      <c r="K1263" t="n">
        <v>0</v>
      </c>
      <c r="L1263" t="n">
        <v>0</v>
      </c>
      <c r="M1263" t="n">
        <v>0</v>
      </c>
      <c r="N1263" t="n">
        <v>0</v>
      </c>
      <c r="O1263" t="n">
        <v>0</v>
      </c>
      <c r="P1263" t="n">
        <v>0</v>
      </c>
      <c r="Q1263" t="n">
        <v>0</v>
      </c>
      <c r="R1263" s="2" t="inlineStr"/>
    </row>
    <row r="1264" ht="15" customHeight="1">
      <c r="A1264" t="inlineStr">
        <is>
          <t>A 45890-2021</t>
        </is>
      </c>
      <c r="B1264" s="1" t="n">
        <v>44441</v>
      </c>
      <c r="C1264" s="1" t="n">
        <v>46029</v>
      </c>
      <c r="D1264" t="inlineStr">
        <is>
          <t>VÄSTERNORRLANDS LÄN</t>
        </is>
      </c>
      <c r="E1264" t="inlineStr">
        <is>
          <t>ÅNGE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60003-2023</t>
        </is>
      </c>
      <c r="B1265" s="1" t="n">
        <v>45257</v>
      </c>
      <c r="C1265" s="1" t="n">
        <v>46029</v>
      </c>
      <c r="D1265" t="inlineStr">
        <is>
          <t>VÄSTERNORRLANDS LÄN</t>
        </is>
      </c>
      <c r="E1265" t="inlineStr">
        <is>
          <t>ÅNGE</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213-2024</t>
        </is>
      </c>
      <c r="B1266" s="1" t="n">
        <v>45293</v>
      </c>
      <c r="C1266" s="1" t="n">
        <v>46029</v>
      </c>
      <c r="D1266" t="inlineStr">
        <is>
          <t>VÄSTERNORRLANDS LÄN</t>
        </is>
      </c>
      <c r="E1266" t="inlineStr">
        <is>
          <t>ÅNGE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40788-2024</t>
        </is>
      </c>
      <c r="B1267" s="1" t="n">
        <v>45558.50974537037</v>
      </c>
      <c r="C1267" s="1" t="n">
        <v>46029</v>
      </c>
      <c r="D1267" t="inlineStr">
        <is>
          <t>VÄSTERNORRLANDS LÄN</t>
        </is>
      </c>
      <c r="E1267" t="inlineStr">
        <is>
          <t>ÅNGE</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741-2024</t>
        </is>
      </c>
      <c r="B1268" s="1" t="n">
        <v>45300.46591435185</v>
      </c>
      <c r="C1268" s="1" t="n">
        <v>46029</v>
      </c>
      <c r="D1268" t="inlineStr">
        <is>
          <t>VÄSTERNORRLANDS LÄN</t>
        </is>
      </c>
      <c r="E1268" t="inlineStr">
        <is>
          <t>ÅNGE</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54611-2023</t>
        </is>
      </c>
      <c r="B1269" s="1" t="n">
        <v>45233</v>
      </c>
      <c r="C1269" s="1" t="n">
        <v>46029</v>
      </c>
      <c r="D1269" t="inlineStr">
        <is>
          <t>VÄSTERNORRLANDS LÄN</t>
        </is>
      </c>
      <c r="E1269" t="inlineStr">
        <is>
          <t>ÅNGE</t>
        </is>
      </c>
      <c r="F1269" t="inlineStr">
        <is>
          <t>SCA</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14673-2025</t>
        </is>
      </c>
      <c r="B1270" s="1" t="n">
        <v>45742.55309027778</v>
      </c>
      <c r="C1270" s="1" t="n">
        <v>46029</v>
      </c>
      <c r="D1270" t="inlineStr">
        <is>
          <t>VÄSTERNORRLANDS LÄN</t>
        </is>
      </c>
      <c r="E1270" t="inlineStr">
        <is>
          <t>ÅNGE</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15032-2025</t>
        </is>
      </c>
      <c r="B1271" s="1" t="n">
        <v>45743.67748842593</v>
      </c>
      <c r="C1271" s="1" t="n">
        <v>46029</v>
      </c>
      <c r="D1271" t="inlineStr">
        <is>
          <t>VÄSTERNORRLANDS LÄN</t>
        </is>
      </c>
      <c r="E1271" t="inlineStr">
        <is>
          <t>ÅNGE</t>
        </is>
      </c>
      <c r="F1271" t="inlineStr">
        <is>
          <t>SCA</t>
        </is>
      </c>
      <c r="G1271" t="n">
        <v>9.699999999999999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7692-2024</t>
        </is>
      </c>
      <c r="B1272" s="1" t="n">
        <v>45349</v>
      </c>
      <c r="C1272" s="1" t="n">
        <v>46029</v>
      </c>
      <c r="D1272" t="inlineStr">
        <is>
          <t>VÄSTERNORRLANDS LÄN</t>
        </is>
      </c>
      <c r="E1272" t="inlineStr">
        <is>
          <t>ÅNGE</t>
        </is>
      </c>
      <c r="F1272" t="inlineStr">
        <is>
          <t>SCA</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29673-2024</t>
        </is>
      </c>
      <c r="B1273" s="1" t="n">
        <v>45484.94210648148</v>
      </c>
      <c r="C1273" s="1" t="n">
        <v>46029</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5602-2025</t>
        </is>
      </c>
      <c r="B1274" s="1" t="n">
        <v>45693</v>
      </c>
      <c r="C1274" s="1" t="n">
        <v>46029</v>
      </c>
      <c r="D1274" t="inlineStr">
        <is>
          <t>VÄSTERNORRLANDS LÄN</t>
        </is>
      </c>
      <c r="E1274" t="inlineStr">
        <is>
          <t>ÅNGE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30751-2024</t>
        </is>
      </c>
      <c r="B1275" s="1" t="n">
        <v>45496.69339120371</v>
      </c>
      <c r="C1275" s="1" t="n">
        <v>46029</v>
      </c>
      <c r="D1275" t="inlineStr">
        <is>
          <t>VÄSTERNORRLANDS LÄN</t>
        </is>
      </c>
      <c r="E1275" t="inlineStr">
        <is>
          <t>ÅNGE</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38099-2024</t>
        </is>
      </c>
      <c r="B1276" s="1" t="n">
        <v>45545.35920138889</v>
      </c>
      <c r="C1276" s="1" t="n">
        <v>46029</v>
      </c>
      <c r="D1276" t="inlineStr">
        <is>
          <t>VÄSTERNORRLANDS LÄN</t>
        </is>
      </c>
      <c r="E1276" t="inlineStr">
        <is>
          <t>ÅNGE</t>
        </is>
      </c>
      <c r="F1276" t="inlineStr">
        <is>
          <t>Holmen skog AB</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44636-2024</t>
        </is>
      </c>
      <c r="B1277" s="1" t="n">
        <v>45574.51491898148</v>
      </c>
      <c r="C1277" s="1" t="n">
        <v>46029</v>
      </c>
      <c r="D1277" t="inlineStr">
        <is>
          <t>VÄSTERNORRLANDS LÄN</t>
        </is>
      </c>
      <c r="E1277" t="inlineStr">
        <is>
          <t>ÅNGE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64375-2023</t>
        </is>
      </c>
      <c r="B1278" s="1" t="n">
        <v>45280</v>
      </c>
      <c r="C1278" s="1" t="n">
        <v>46029</v>
      </c>
      <c r="D1278" t="inlineStr">
        <is>
          <t>VÄSTERNORRLANDS LÄN</t>
        </is>
      </c>
      <c r="E1278" t="inlineStr">
        <is>
          <t>ÅNGE</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60296-2021</t>
        </is>
      </c>
      <c r="B1279" s="1" t="n">
        <v>44495</v>
      </c>
      <c r="C1279" s="1" t="n">
        <v>46029</v>
      </c>
      <c r="D1279" t="inlineStr">
        <is>
          <t>VÄSTERNORRLANDS LÄN</t>
        </is>
      </c>
      <c r="E1279" t="inlineStr">
        <is>
          <t>ÅNGE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63556-2021</t>
        </is>
      </c>
      <c r="B1280" s="1" t="n">
        <v>44508.70231481481</v>
      </c>
      <c r="C1280" s="1" t="n">
        <v>46029</v>
      </c>
      <c r="D1280" t="inlineStr">
        <is>
          <t>VÄSTERNORRLANDS LÄN</t>
        </is>
      </c>
      <c r="E1280" t="inlineStr">
        <is>
          <t>ÅNGE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10922-2024</t>
        </is>
      </c>
      <c r="B1281" s="1" t="n">
        <v>45370</v>
      </c>
      <c r="C1281" s="1" t="n">
        <v>46029</v>
      </c>
      <c r="D1281" t="inlineStr">
        <is>
          <t>VÄSTERNORRLANDS LÄN</t>
        </is>
      </c>
      <c r="E1281" t="inlineStr">
        <is>
          <t>ÅNGE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21089-2024</t>
        </is>
      </c>
      <c r="B1282" s="1" t="n">
        <v>45439.94987268518</v>
      </c>
      <c r="C1282" s="1" t="n">
        <v>46029</v>
      </c>
      <c r="D1282" t="inlineStr">
        <is>
          <t>VÄSTERNORRLANDS LÄN</t>
        </is>
      </c>
      <c r="E1282" t="inlineStr">
        <is>
          <t>ÅNGE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64950-2023</t>
        </is>
      </c>
      <c r="B1283" s="1" t="n">
        <v>45282</v>
      </c>
      <c r="C1283" s="1" t="n">
        <v>46029</v>
      </c>
      <c r="D1283" t="inlineStr">
        <is>
          <t>VÄSTERNORRLANDS LÄN</t>
        </is>
      </c>
      <c r="E1283" t="inlineStr">
        <is>
          <t>ÅNGE</t>
        </is>
      </c>
      <c r="F1283" t="inlineStr">
        <is>
          <t>SCA</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20393-2022</t>
        </is>
      </c>
      <c r="B1284" s="1" t="n">
        <v>44699</v>
      </c>
      <c r="C1284" s="1" t="n">
        <v>46029</v>
      </c>
      <c r="D1284" t="inlineStr">
        <is>
          <t>VÄSTERNORRLANDS LÄN</t>
        </is>
      </c>
      <c r="E1284" t="inlineStr">
        <is>
          <t>ÅNGE</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4727-2023</t>
        </is>
      </c>
      <c r="B1285" s="1" t="n">
        <v>44953</v>
      </c>
      <c r="C1285" s="1" t="n">
        <v>46029</v>
      </c>
      <c r="D1285" t="inlineStr">
        <is>
          <t>VÄSTERNORRLANDS LÄN</t>
        </is>
      </c>
      <c r="E1285" t="inlineStr">
        <is>
          <t>ÅNGE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35650-2024</t>
        </is>
      </c>
      <c r="B1286" s="1" t="n">
        <v>45532.34123842593</v>
      </c>
      <c r="C1286" s="1" t="n">
        <v>46029</v>
      </c>
      <c r="D1286" t="inlineStr">
        <is>
          <t>VÄSTERNORRLANDS LÄN</t>
        </is>
      </c>
      <c r="E1286" t="inlineStr">
        <is>
          <t>ÅNGE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3357-2024</t>
        </is>
      </c>
      <c r="B1287" s="1" t="n">
        <v>45317</v>
      </c>
      <c r="C1287" s="1" t="n">
        <v>46029</v>
      </c>
      <c r="D1287" t="inlineStr">
        <is>
          <t>VÄSTERNORRLANDS LÄN</t>
        </is>
      </c>
      <c r="E1287" t="inlineStr">
        <is>
          <t>ÅNGE</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46332-2023</t>
        </is>
      </c>
      <c r="B1288" s="1" t="n">
        <v>45196</v>
      </c>
      <c r="C1288" s="1" t="n">
        <v>46029</v>
      </c>
      <c r="D1288" t="inlineStr">
        <is>
          <t>VÄSTERNORRLANDS LÄN</t>
        </is>
      </c>
      <c r="E1288" t="inlineStr">
        <is>
          <t>ÅNGE</t>
        </is>
      </c>
      <c r="F1288" t="inlineStr">
        <is>
          <t>SCA</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64945-2023</t>
        </is>
      </c>
      <c r="B1289" s="1" t="n">
        <v>45282.94668981482</v>
      </c>
      <c r="C1289" s="1" t="n">
        <v>46029</v>
      </c>
      <c r="D1289" t="inlineStr">
        <is>
          <t>VÄSTERNORRLANDS LÄN</t>
        </is>
      </c>
      <c r="E1289" t="inlineStr">
        <is>
          <t>ÅNGE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23018-2021</t>
        </is>
      </c>
      <c r="B1290" s="1" t="n">
        <v>44328</v>
      </c>
      <c r="C1290" s="1" t="n">
        <v>46029</v>
      </c>
      <c r="D1290" t="inlineStr">
        <is>
          <t>VÄSTERNORRLANDS LÄN</t>
        </is>
      </c>
      <c r="E1290" t="inlineStr">
        <is>
          <t>ÅNGE</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31866-2024</t>
        </is>
      </c>
      <c r="B1291" s="1" t="n">
        <v>45509</v>
      </c>
      <c r="C1291" s="1" t="n">
        <v>46029</v>
      </c>
      <c r="D1291" t="inlineStr">
        <is>
          <t>VÄSTERNORRLANDS LÄN</t>
        </is>
      </c>
      <c r="E1291" t="inlineStr">
        <is>
          <t>ÅNGE</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31867-2024</t>
        </is>
      </c>
      <c r="B1292" s="1" t="n">
        <v>45509</v>
      </c>
      <c r="C1292" s="1" t="n">
        <v>46029</v>
      </c>
      <c r="D1292" t="inlineStr">
        <is>
          <t>VÄSTERNORRLANDS LÄN</t>
        </is>
      </c>
      <c r="E1292" t="inlineStr">
        <is>
          <t>ÅNGE</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39178-2024</t>
        </is>
      </c>
      <c r="B1293" s="1" t="n">
        <v>45548.65692129629</v>
      </c>
      <c r="C1293" s="1" t="n">
        <v>46029</v>
      </c>
      <c r="D1293" t="inlineStr">
        <is>
          <t>VÄSTERNORRLANDS LÄN</t>
        </is>
      </c>
      <c r="E1293" t="inlineStr">
        <is>
          <t>ÅNGE</t>
        </is>
      </c>
      <c r="F1293" t="inlineStr">
        <is>
          <t>SCA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29193-2024</t>
        </is>
      </c>
      <c r="B1294" s="1" t="n">
        <v>45482.56510416666</v>
      </c>
      <c r="C1294" s="1" t="n">
        <v>46029</v>
      </c>
      <c r="D1294" t="inlineStr">
        <is>
          <t>VÄSTERNORRLANDS LÄN</t>
        </is>
      </c>
      <c r="E1294" t="inlineStr">
        <is>
          <t>ÅNGE</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42040-2024</t>
        </is>
      </c>
      <c r="B1295" s="1" t="n">
        <v>45561.80983796297</v>
      </c>
      <c r="C1295" s="1" t="n">
        <v>46029</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34691-2024</t>
        </is>
      </c>
      <c r="B1296" s="1" t="n">
        <v>45526.54516203704</v>
      </c>
      <c r="C1296" s="1" t="n">
        <v>46029</v>
      </c>
      <c r="D1296" t="inlineStr">
        <is>
          <t>VÄSTERNORRLANDS LÄN</t>
        </is>
      </c>
      <c r="E1296" t="inlineStr">
        <is>
          <t>ÅNGE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54210-2024</t>
        </is>
      </c>
      <c r="B1297" s="1" t="n">
        <v>45616.65662037037</v>
      </c>
      <c r="C1297" s="1" t="n">
        <v>46029</v>
      </c>
      <c r="D1297" t="inlineStr">
        <is>
          <t>VÄSTERNORRLANDS LÄN</t>
        </is>
      </c>
      <c r="E1297" t="inlineStr">
        <is>
          <t>ÅNGE</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52805-2024</t>
        </is>
      </c>
      <c r="B1298" s="1" t="n">
        <v>45610.57344907407</v>
      </c>
      <c r="C1298" s="1" t="n">
        <v>46029</v>
      </c>
      <c r="D1298" t="inlineStr">
        <is>
          <t>VÄSTERNORRLANDS LÄN</t>
        </is>
      </c>
      <c r="E1298" t="inlineStr">
        <is>
          <t>ÅNGE</t>
        </is>
      </c>
      <c r="F1298" t="inlineStr">
        <is>
          <t>SCA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61577-2023</t>
        </is>
      </c>
      <c r="B1299" s="1" t="n">
        <v>45265.47366898148</v>
      </c>
      <c r="C1299" s="1" t="n">
        <v>46029</v>
      </c>
      <c r="D1299" t="inlineStr">
        <is>
          <t>VÄSTERNORRLANDS LÄN</t>
        </is>
      </c>
      <c r="E1299" t="inlineStr">
        <is>
          <t>ÅNGE</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1735-2025</t>
        </is>
      </c>
      <c r="B1300" s="1" t="n">
        <v>45671.38594907407</v>
      </c>
      <c r="C1300" s="1" t="n">
        <v>46029</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45939-2023</t>
        </is>
      </c>
      <c r="B1301" s="1" t="n">
        <v>45195.94578703704</v>
      </c>
      <c r="C1301" s="1" t="n">
        <v>46029</v>
      </c>
      <c r="D1301" t="inlineStr">
        <is>
          <t>VÄSTERNORRLANDS LÄN</t>
        </is>
      </c>
      <c r="E1301" t="inlineStr">
        <is>
          <t>ÅNGE</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61585-2022</t>
        </is>
      </c>
      <c r="B1302" s="1" t="n">
        <v>44916.63380787037</v>
      </c>
      <c r="C1302" s="1" t="n">
        <v>46029</v>
      </c>
      <c r="D1302" t="inlineStr">
        <is>
          <t>VÄSTERNORRLANDS LÄN</t>
        </is>
      </c>
      <c r="E1302" t="inlineStr">
        <is>
          <t>ÅNGE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3574-2025</t>
        </is>
      </c>
      <c r="B1303" s="1" t="n">
        <v>45680.71916666667</v>
      </c>
      <c r="C1303" s="1" t="n">
        <v>46029</v>
      </c>
      <c r="D1303" t="inlineStr">
        <is>
          <t>VÄSTERNORRLANDS LÄN</t>
        </is>
      </c>
      <c r="E1303" t="inlineStr">
        <is>
          <t>ÅNGE</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29048-2021</t>
        </is>
      </c>
      <c r="B1304" s="1" t="n">
        <v>44358</v>
      </c>
      <c r="C1304" s="1" t="n">
        <v>46029</v>
      </c>
      <c r="D1304" t="inlineStr">
        <is>
          <t>VÄSTERNORRLANDS LÄN</t>
        </is>
      </c>
      <c r="E1304" t="inlineStr">
        <is>
          <t>ÅNGE</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3022-2023</t>
        </is>
      </c>
      <c r="B1305" s="1" t="n">
        <v>44945</v>
      </c>
      <c r="C1305" s="1" t="n">
        <v>46029</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39021-2024</t>
        </is>
      </c>
      <c r="B1306" s="1" t="n">
        <v>45548</v>
      </c>
      <c r="C1306" s="1" t="n">
        <v>46029</v>
      </c>
      <c r="D1306" t="inlineStr">
        <is>
          <t>VÄSTERNORRLANDS LÄN</t>
        </is>
      </c>
      <c r="E1306" t="inlineStr">
        <is>
          <t>ÅNGE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13875-2022</t>
        </is>
      </c>
      <c r="B1307" s="1" t="n">
        <v>44649</v>
      </c>
      <c r="C1307" s="1" t="n">
        <v>46029</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4876-2023</t>
        </is>
      </c>
      <c r="B1308" s="1" t="n">
        <v>44957.94023148148</v>
      </c>
      <c r="C1308" s="1" t="n">
        <v>46029</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3362-2023</t>
        </is>
      </c>
      <c r="B1309" s="1" t="n">
        <v>44945</v>
      </c>
      <c r="C1309" s="1" t="n">
        <v>46029</v>
      </c>
      <c r="D1309" t="inlineStr">
        <is>
          <t>VÄSTERNORRLANDS LÄN</t>
        </is>
      </c>
      <c r="E1309" t="inlineStr">
        <is>
          <t>ÅNGE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44415-2021</t>
        </is>
      </c>
      <c r="B1310" s="1" t="n">
        <v>44435</v>
      </c>
      <c r="C1310" s="1" t="n">
        <v>46029</v>
      </c>
      <c r="D1310" t="inlineStr">
        <is>
          <t>VÄSTERNORRLANDS LÄN</t>
        </is>
      </c>
      <c r="E1310" t="inlineStr">
        <is>
          <t>ÅNGE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5455-2023</t>
        </is>
      </c>
      <c r="B1311" s="1" t="n">
        <v>44959.93983796296</v>
      </c>
      <c r="C1311" s="1" t="n">
        <v>46029</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59986-2021</t>
        </is>
      </c>
      <c r="B1312" s="1" t="n">
        <v>44494</v>
      </c>
      <c r="C1312" s="1" t="n">
        <v>46029</v>
      </c>
      <c r="D1312" t="inlineStr">
        <is>
          <t>VÄSTERNORRLANDS LÄN</t>
        </is>
      </c>
      <c r="E1312" t="inlineStr">
        <is>
          <t>ÅNGE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50235-2021</t>
        </is>
      </c>
      <c r="B1313" s="1" t="n">
        <v>44457</v>
      </c>
      <c r="C1313" s="1" t="n">
        <v>46029</v>
      </c>
      <c r="D1313" t="inlineStr">
        <is>
          <t>VÄSTERNORRLANDS LÄN</t>
        </is>
      </c>
      <c r="E1313" t="inlineStr">
        <is>
          <t>ÅNGE</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47950-2024</t>
        </is>
      </c>
      <c r="B1314" s="1" t="n">
        <v>45589.36511574074</v>
      </c>
      <c r="C1314" s="1" t="n">
        <v>46029</v>
      </c>
      <c r="D1314" t="inlineStr">
        <is>
          <t>VÄSTERNORRLANDS LÄN</t>
        </is>
      </c>
      <c r="E1314" t="inlineStr">
        <is>
          <t>ÅNGE</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11299-2023</t>
        </is>
      </c>
      <c r="B1315" s="1" t="n">
        <v>44993.01074074074</v>
      </c>
      <c r="C1315" s="1" t="n">
        <v>46029</v>
      </c>
      <c r="D1315" t="inlineStr">
        <is>
          <t>VÄSTERNORRLANDS LÄN</t>
        </is>
      </c>
      <c r="E1315" t="inlineStr">
        <is>
          <t>ÅNGE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11309-2023</t>
        </is>
      </c>
      <c r="B1316" s="1" t="n">
        <v>44993.0118287037</v>
      </c>
      <c r="C1316" s="1" t="n">
        <v>46029</v>
      </c>
      <c r="D1316" t="inlineStr">
        <is>
          <t>VÄSTERNORRLANDS LÄN</t>
        </is>
      </c>
      <c r="E1316" t="inlineStr">
        <is>
          <t>ÅNGE</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62834-2021</t>
        </is>
      </c>
      <c r="B1317" s="1" t="n">
        <v>44503</v>
      </c>
      <c r="C1317" s="1" t="n">
        <v>46029</v>
      </c>
      <c r="D1317" t="inlineStr">
        <is>
          <t>VÄSTERNORRLANDS LÄN</t>
        </is>
      </c>
      <c r="E1317" t="inlineStr">
        <is>
          <t>ÅNGE</t>
        </is>
      </c>
      <c r="F1317" t="inlineStr">
        <is>
          <t>Övriga statliga verk och myndigheter</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10557-2023</t>
        </is>
      </c>
      <c r="B1318" s="1" t="n">
        <v>44987</v>
      </c>
      <c r="C1318" s="1" t="n">
        <v>46029</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8418-2023</t>
        </is>
      </c>
      <c r="B1319" s="1" t="n">
        <v>44971</v>
      </c>
      <c r="C1319" s="1" t="n">
        <v>46029</v>
      </c>
      <c r="D1319" t="inlineStr">
        <is>
          <t>VÄSTERNORRLANDS LÄN</t>
        </is>
      </c>
      <c r="E1319" t="inlineStr">
        <is>
          <t>ÅNGE</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4006-2022</t>
        </is>
      </c>
      <c r="B1320" s="1" t="n">
        <v>44587.92019675926</v>
      </c>
      <c r="C1320" s="1" t="n">
        <v>46029</v>
      </c>
      <c r="D1320" t="inlineStr">
        <is>
          <t>VÄSTERNORRLANDS LÄN</t>
        </is>
      </c>
      <c r="E1320" t="inlineStr">
        <is>
          <t>ÅNGE</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48725-2024</t>
        </is>
      </c>
      <c r="B1321" s="1" t="n">
        <v>45593.55793981482</v>
      </c>
      <c r="C1321" s="1" t="n">
        <v>46029</v>
      </c>
      <c r="D1321" t="inlineStr">
        <is>
          <t>VÄSTERNORRLANDS LÄN</t>
        </is>
      </c>
      <c r="E1321" t="inlineStr">
        <is>
          <t>ÅNGE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48988-2021</t>
        </is>
      </c>
      <c r="B1322" s="1" t="n">
        <v>44453.43</v>
      </c>
      <c r="C1322" s="1" t="n">
        <v>46029</v>
      </c>
      <c r="D1322" t="inlineStr">
        <is>
          <t>VÄSTERNORRLANDS LÄN</t>
        </is>
      </c>
      <c r="E1322" t="inlineStr">
        <is>
          <t>ÅNGE</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1886-2024</t>
        </is>
      </c>
      <c r="B1323" s="1" t="n">
        <v>45307.96335648148</v>
      </c>
      <c r="C1323" s="1" t="n">
        <v>46029</v>
      </c>
      <c r="D1323" t="inlineStr">
        <is>
          <t>VÄSTERNORRLANDS LÄN</t>
        </is>
      </c>
      <c r="E1323" t="inlineStr">
        <is>
          <t>ÅNGE</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44979-2023</t>
        </is>
      </c>
      <c r="B1324" s="1" t="n">
        <v>45190.95752314815</v>
      </c>
      <c r="C1324" s="1" t="n">
        <v>46029</v>
      </c>
      <c r="D1324" t="inlineStr">
        <is>
          <t>VÄSTERNORRLANDS LÄN</t>
        </is>
      </c>
      <c r="E1324" t="inlineStr">
        <is>
          <t>ÅNGE</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17923-2025</t>
        </is>
      </c>
      <c r="B1325" s="1" t="n">
        <v>45759.34415509259</v>
      </c>
      <c r="C1325" s="1" t="n">
        <v>46029</v>
      </c>
      <c r="D1325" t="inlineStr">
        <is>
          <t>VÄSTERNORRLANDS LÄN</t>
        </is>
      </c>
      <c r="E1325" t="inlineStr">
        <is>
          <t>ÅNGE</t>
        </is>
      </c>
      <c r="F1325" t="inlineStr">
        <is>
          <t>SCA</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1582-2025</t>
        </is>
      </c>
      <c r="B1326" s="1" t="n">
        <v>45670</v>
      </c>
      <c r="C1326" s="1" t="n">
        <v>46029</v>
      </c>
      <c r="D1326" t="inlineStr">
        <is>
          <t>VÄSTERNORRLANDS LÄN</t>
        </is>
      </c>
      <c r="E1326" t="inlineStr">
        <is>
          <t>ÅNGE</t>
        </is>
      </c>
      <c r="G1326" t="n">
        <v>7.3</v>
      </c>
      <c r="H1326" t="n">
        <v>0</v>
      </c>
      <c r="I1326" t="n">
        <v>0</v>
      </c>
      <c r="J1326" t="n">
        <v>0</v>
      </c>
      <c r="K1326" t="n">
        <v>0</v>
      </c>
      <c r="L1326" t="n">
        <v>0</v>
      </c>
      <c r="M1326" t="n">
        <v>0</v>
      </c>
      <c r="N1326" t="n">
        <v>0</v>
      </c>
      <c r="O1326" t="n">
        <v>0</v>
      </c>
      <c r="P1326" t="n">
        <v>0</v>
      </c>
      <c r="Q1326" t="n">
        <v>0</v>
      </c>
      <c r="R1326" s="2" t="inlineStr"/>
      <c r="U1326">
        <f>HYPERLINK("https://klasma.github.io/Logging_2260/knärot/A 1582-2025 karta knärot.png", "A 1582-2025")</f>
        <v/>
      </c>
      <c r="V1326">
        <f>HYPERLINK("https://klasma.github.io/Logging_2260/klagomål/A 1582-2025 FSC-klagomål.docx", "A 1582-2025")</f>
        <v/>
      </c>
      <c r="W1326">
        <f>HYPERLINK("https://klasma.github.io/Logging_2260/klagomålsmail/A 1582-2025 FSC-klagomål mail.docx", "A 1582-2025")</f>
        <v/>
      </c>
      <c r="X1326">
        <f>HYPERLINK("https://klasma.github.io/Logging_2260/tillsyn/A 1582-2025 tillsynsbegäran.docx", "A 1582-2025")</f>
        <v/>
      </c>
      <c r="Y1326">
        <f>HYPERLINK("https://klasma.github.io/Logging_2260/tillsynsmail/A 1582-2025 tillsynsbegäran mail.docx", "A 1582-2025")</f>
        <v/>
      </c>
    </row>
    <row r="1327" ht="15" customHeight="1">
      <c r="A1327" t="inlineStr">
        <is>
          <t>A 54908-2021</t>
        </is>
      </c>
      <c r="B1327" s="1" t="n">
        <v>44474.39769675926</v>
      </c>
      <c r="C1327" s="1" t="n">
        <v>46029</v>
      </c>
      <c r="D1327" t="inlineStr">
        <is>
          <t>VÄSTERNORRLANDS LÄN</t>
        </is>
      </c>
      <c r="E1327" t="inlineStr">
        <is>
          <t>ÅNGE</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27951-2021</t>
        </is>
      </c>
      <c r="B1328" s="1" t="n">
        <v>44354</v>
      </c>
      <c r="C1328" s="1" t="n">
        <v>46029</v>
      </c>
      <c r="D1328" t="inlineStr">
        <is>
          <t>VÄSTERNORRLANDS LÄN</t>
        </is>
      </c>
      <c r="E1328" t="inlineStr">
        <is>
          <t>ÅNGE</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22990-2024</t>
        </is>
      </c>
      <c r="B1329" s="1" t="n">
        <v>45449.94548611111</v>
      </c>
      <c r="C1329" s="1" t="n">
        <v>46029</v>
      </c>
      <c r="D1329" t="inlineStr">
        <is>
          <t>VÄSTERNORRLANDS LÄN</t>
        </is>
      </c>
      <c r="E1329" t="inlineStr">
        <is>
          <t>ÅNGE</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39589-2022</t>
        </is>
      </c>
      <c r="B1330" s="1" t="n">
        <v>44818</v>
      </c>
      <c r="C1330" s="1" t="n">
        <v>46029</v>
      </c>
      <c r="D1330" t="inlineStr">
        <is>
          <t>VÄSTERNORRLANDS LÄN</t>
        </is>
      </c>
      <c r="E1330" t="inlineStr">
        <is>
          <t>ÅNGE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25320-2023</t>
        </is>
      </c>
      <c r="B1331" s="1" t="n">
        <v>45086.93929398148</v>
      </c>
      <c r="C1331" s="1" t="n">
        <v>46029</v>
      </c>
      <c r="D1331" t="inlineStr">
        <is>
          <t>VÄSTERNORRLANDS LÄN</t>
        </is>
      </c>
      <c r="E1331" t="inlineStr">
        <is>
          <t>ÅNGE</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24541-2023</t>
        </is>
      </c>
      <c r="B1332" s="1" t="n">
        <v>45082.94135416667</v>
      </c>
      <c r="C1332" s="1" t="n">
        <v>46029</v>
      </c>
      <c r="D1332" t="inlineStr">
        <is>
          <t>VÄSTERNORRLANDS LÄN</t>
        </is>
      </c>
      <c r="E1332" t="inlineStr">
        <is>
          <t>ÅNGE</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18542-2022</t>
        </is>
      </c>
      <c r="B1333" s="1" t="n">
        <v>44686</v>
      </c>
      <c r="C1333" s="1" t="n">
        <v>46029</v>
      </c>
      <c r="D1333" t="inlineStr">
        <is>
          <t>VÄSTERNORRLANDS LÄN</t>
        </is>
      </c>
      <c r="E1333" t="inlineStr">
        <is>
          <t>ÅNGE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44600-2024</t>
        </is>
      </c>
      <c r="B1334" s="1" t="n">
        <v>45574.51113425926</v>
      </c>
      <c r="C1334" s="1" t="n">
        <v>46029</v>
      </c>
      <c r="D1334" t="inlineStr">
        <is>
          <t>VÄSTERNORRLANDS LÄN</t>
        </is>
      </c>
      <c r="E1334" t="inlineStr">
        <is>
          <t>ÅNGE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26013-2024</t>
        </is>
      </c>
      <c r="B1335" s="1" t="n">
        <v>45467</v>
      </c>
      <c r="C1335" s="1" t="n">
        <v>46029</v>
      </c>
      <c r="D1335" t="inlineStr">
        <is>
          <t>VÄSTERNORRLANDS LÄN</t>
        </is>
      </c>
      <c r="E1335" t="inlineStr">
        <is>
          <t>ÅNGE</t>
        </is>
      </c>
      <c r="F1335" t="inlineStr">
        <is>
          <t>SCA</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25377-2024</t>
        </is>
      </c>
      <c r="B1336" s="1" t="n">
        <v>45462.96211805556</v>
      </c>
      <c r="C1336" s="1" t="n">
        <v>46029</v>
      </c>
      <c r="D1336" t="inlineStr">
        <is>
          <t>VÄSTERNORRLANDS LÄN</t>
        </is>
      </c>
      <c r="E1336" t="inlineStr">
        <is>
          <t>ÅNGE</t>
        </is>
      </c>
      <c r="F1336" t="inlineStr">
        <is>
          <t>SCA</t>
        </is>
      </c>
      <c r="G1336" t="n">
        <v>20.7</v>
      </c>
      <c r="H1336" t="n">
        <v>0</v>
      </c>
      <c r="I1336" t="n">
        <v>0</v>
      </c>
      <c r="J1336" t="n">
        <v>0</v>
      </c>
      <c r="K1336" t="n">
        <v>0</v>
      </c>
      <c r="L1336" t="n">
        <v>0</v>
      </c>
      <c r="M1336" t="n">
        <v>0</v>
      </c>
      <c r="N1336" t="n">
        <v>0</v>
      </c>
      <c r="O1336" t="n">
        <v>0</v>
      </c>
      <c r="P1336" t="n">
        <v>0</v>
      </c>
      <c r="Q1336" t="n">
        <v>0</v>
      </c>
      <c r="R1336" s="2" t="inlineStr"/>
    </row>
    <row r="1337" ht="15" customHeight="1">
      <c r="A1337" t="inlineStr">
        <is>
          <t>A 56956-2022</t>
        </is>
      </c>
      <c r="B1337" s="1" t="n">
        <v>44894</v>
      </c>
      <c r="C1337" s="1" t="n">
        <v>46029</v>
      </c>
      <c r="D1337" t="inlineStr">
        <is>
          <t>VÄSTERNORRLANDS LÄN</t>
        </is>
      </c>
      <c r="E1337" t="inlineStr">
        <is>
          <t>ÅNGE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4883-2023</t>
        </is>
      </c>
      <c r="B1338" s="1" t="n">
        <v>44957</v>
      </c>
      <c r="C1338" s="1" t="n">
        <v>46029</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8755-2022</t>
        </is>
      </c>
      <c r="B1339" s="1" t="n">
        <v>44614</v>
      </c>
      <c r="C1339" s="1" t="n">
        <v>46029</v>
      </c>
      <c r="D1339" t="inlineStr">
        <is>
          <t>VÄSTERNORRLANDS LÄN</t>
        </is>
      </c>
      <c r="E1339" t="inlineStr">
        <is>
          <t>ÅNGE</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30747-2024</t>
        </is>
      </c>
      <c r="B1340" s="1" t="n">
        <v>45496</v>
      </c>
      <c r="C1340" s="1" t="n">
        <v>46029</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58929-2024</t>
        </is>
      </c>
      <c r="B1341" s="1" t="n">
        <v>45636.51090277778</v>
      </c>
      <c r="C1341" s="1" t="n">
        <v>46029</v>
      </c>
      <c r="D1341" t="inlineStr">
        <is>
          <t>VÄSTERNORRLANDS LÄN</t>
        </is>
      </c>
      <c r="E1341" t="inlineStr">
        <is>
          <t>ÅNGE</t>
        </is>
      </c>
      <c r="F1341" t="inlineStr">
        <is>
          <t>SCA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46254-2023</t>
        </is>
      </c>
      <c r="B1342" s="1" t="n">
        <v>45196</v>
      </c>
      <c r="C1342" s="1" t="n">
        <v>46029</v>
      </c>
      <c r="D1342" t="inlineStr">
        <is>
          <t>VÄSTERNORRLANDS LÄN</t>
        </is>
      </c>
      <c r="E1342" t="inlineStr">
        <is>
          <t>ÅNGE</t>
        </is>
      </c>
      <c r="F1342" t="inlineStr">
        <is>
          <t>SCA</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46262-2023</t>
        </is>
      </c>
      <c r="B1343" s="1" t="n">
        <v>45196.93855324074</v>
      </c>
      <c r="C1343" s="1" t="n">
        <v>46029</v>
      </c>
      <c r="D1343" t="inlineStr">
        <is>
          <t>VÄSTERNORRLANDS LÄN</t>
        </is>
      </c>
      <c r="E1343" t="inlineStr">
        <is>
          <t>ÅNGE</t>
        </is>
      </c>
      <c r="F1343" t="inlineStr">
        <is>
          <t>SCA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45027-2023</t>
        </is>
      </c>
      <c r="B1344" s="1" t="n">
        <v>45190.96303240741</v>
      </c>
      <c r="C1344" s="1" t="n">
        <v>46029</v>
      </c>
      <c r="D1344" t="inlineStr">
        <is>
          <t>VÄSTERNORRLANDS LÄN</t>
        </is>
      </c>
      <c r="E1344" t="inlineStr">
        <is>
          <t>ÅNGE</t>
        </is>
      </c>
      <c r="F1344" t="inlineStr">
        <is>
          <t>SCA</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21409-2022</t>
        </is>
      </c>
      <c r="B1345" s="1" t="n">
        <v>44705.9406712963</v>
      </c>
      <c r="C1345" s="1" t="n">
        <v>46029</v>
      </c>
      <c r="D1345" t="inlineStr">
        <is>
          <t>VÄSTERNORRLANDS LÄN</t>
        </is>
      </c>
      <c r="E1345" t="inlineStr">
        <is>
          <t>ÅNGE</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55380-2024</t>
        </is>
      </c>
      <c r="B1346" s="1" t="n">
        <v>45622.28810185185</v>
      </c>
      <c r="C1346" s="1" t="n">
        <v>46029</v>
      </c>
      <c r="D1346" t="inlineStr">
        <is>
          <t>VÄSTERNORRLANDS LÄN</t>
        </is>
      </c>
      <c r="E1346" t="inlineStr">
        <is>
          <t>ÅNGE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22678-2024</t>
        </is>
      </c>
      <c r="B1347" s="1" t="n">
        <v>45447.94533564815</v>
      </c>
      <c r="C1347" s="1" t="n">
        <v>46029</v>
      </c>
      <c r="D1347" t="inlineStr">
        <is>
          <t>VÄSTERNORRLANDS LÄN</t>
        </is>
      </c>
      <c r="E1347" t="inlineStr">
        <is>
          <t>ÅNGE</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10084-2023</t>
        </is>
      </c>
      <c r="B1348" s="1" t="n">
        <v>44985.94465277778</v>
      </c>
      <c r="C1348" s="1" t="n">
        <v>46029</v>
      </c>
      <c r="D1348" t="inlineStr">
        <is>
          <t>VÄSTERNORRLANDS LÄN</t>
        </is>
      </c>
      <c r="E1348" t="inlineStr">
        <is>
          <t>ÅNGE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39991-2023</t>
        </is>
      </c>
      <c r="B1349" s="1" t="n">
        <v>45168.6043287037</v>
      </c>
      <c r="C1349" s="1" t="n">
        <v>46029</v>
      </c>
      <c r="D1349" t="inlineStr">
        <is>
          <t>VÄSTERNORRLANDS LÄN</t>
        </is>
      </c>
      <c r="E1349" t="inlineStr">
        <is>
          <t>ÅNGE</t>
        </is>
      </c>
      <c r="G1349" t="n">
        <v>10.2</v>
      </c>
      <c r="H1349" t="n">
        <v>0</v>
      </c>
      <c r="I1349" t="n">
        <v>0</v>
      </c>
      <c r="J1349" t="n">
        <v>0</v>
      </c>
      <c r="K1349" t="n">
        <v>0</v>
      </c>
      <c r="L1349" t="n">
        <v>0</v>
      </c>
      <c r="M1349" t="n">
        <v>0</v>
      </c>
      <c r="N1349" t="n">
        <v>0</v>
      </c>
      <c r="O1349" t="n">
        <v>0</v>
      </c>
      <c r="P1349" t="n">
        <v>0</v>
      </c>
      <c r="Q1349" t="n">
        <v>0</v>
      </c>
      <c r="R1349" s="2" t="inlineStr"/>
    </row>
    <row r="1350" ht="15" customHeight="1">
      <c r="A1350" t="inlineStr">
        <is>
          <t>A 15167-2025</t>
        </is>
      </c>
      <c r="B1350" s="1" t="n">
        <v>45744.49009259259</v>
      </c>
      <c r="C1350" s="1" t="n">
        <v>46029</v>
      </c>
      <c r="D1350" t="inlineStr">
        <is>
          <t>VÄSTERNORRLANDS LÄN</t>
        </is>
      </c>
      <c r="E1350" t="inlineStr">
        <is>
          <t>ÅNGE</t>
        </is>
      </c>
      <c r="F1350" t="inlineStr">
        <is>
          <t>SCA</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30556-2023</t>
        </is>
      </c>
      <c r="B1351" s="1" t="n">
        <v>45111.87935185185</v>
      </c>
      <c r="C1351" s="1" t="n">
        <v>46029</v>
      </c>
      <c r="D1351" t="inlineStr">
        <is>
          <t>VÄSTERNORRLANDS LÄN</t>
        </is>
      </c>
      <c r="E1351" t="inlineStr">
        <is>
          <t>ÅNGE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5393-2025</t>
        </is>
      </c>
      <c r="B1352" s="1" t="n">
        <v>45692.63574074074</v>
      </c>
      <c r="C1352" s="1" t="n">
        <v>46029</v>
      </c>
      <c r="D1352" t="inlineStr">
        <is>
          <t>VÄSTERNORRLANDS LÄN</t>
        </is>
      </c>
      <c r="E1352" t="inlineStr">
        <is>
          <t>ÅNGE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45142.61635416667</v>
      </c>
      <c r="C1353" s="1" t="n">
        <v>46029</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9480-2022</t>
        </is>
      </c>
      <c r="B1354" s="1" t="n">
        <v>44616</v>
      </c>
      <c r="C1354" s="1" t="n">
        <v>46029</v>
      </c>
      <c r="D1354" t="inlineStr">
        <is>
          <t>VÄSTERNORRLANDS LÄN</t>
        </is>
      </c>
      <c r="E1354" t="inlineStr">
        <is>
          <t>ÅNGE</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18617-2024</t>
        </is>
      </c>
      <c r="B1355" s="1" t="n">
        <v>45425</v>
      </c>
      <c r="C1355" s="1" t="n">
        <v>46029</v>
      </c>
      <c r="D1355" t="inlineStr">
        <is>
          <t>VÄSTERNORRLANDS LÄN</t>
        </is>
      </c>
      <c r="E1355" t="inlineStr">
        <is>
          <t>ÅNGE</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8868-2023</t>
        </is>
      </c>
      <c r="B1356" s="1" t="n">
        <v>44978</v>
      </c>
      <c r="C1356" s="1" t="n">
        <v>46029</v>
      </c>
      <c r="D1356" t="inlineStr">
        <is>
          <t>VÄSTERNORRLANDS LÄN</t>
        </is>
      </c>
      <c r="E1356" t="inlineStr">
        <is>
          <t>ÅNGE</t>
        </is>
      </c>
      <c r="F1356" t="inlineStr">
        <is>
          <t>SCA</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10917-2024</t>
        </is>
      </c>
      <c r="B1357" s="1" t="n">
        <v>45370</v>
      </c>
      <c r="C1357" s="1" t="n">
        <v>46029</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43775-2022</t>
        </is>
      </c>
      <c r="B1358" s="1" t="n">
        <v>44837.95053240741</v>
      </c>
      <c r="C1358" s="1" t="n">
        <v>46029</v>
      </c>
      <c r="D1358" t="inlineStr">
        <is>
          <t>VÄSTERNORRLANDS LÄN</t>
        </is>
      </c>
      <c r="E1358" t="inlineStr">
        <is>
          <t>ÅNGE</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27306-2024</t>
        </is>
      </c>
      <c r="B1359" s="1" t="n">
        <v>45471.94454861111</v>
      </c>
      <c r="C1359" s="1" t="n">
        <v>46029</v>
      </c>
      <c r="D1359" t="inlineStr">
        <is>
          <t>VÄSTERNORRLANDS LÄN</t>
        </is>
      </c>
      <c r="E1359" t="inlineStr">
        <is>
          <t>ÅNGE</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11396-2024</t>
        </is>
      </c>
      <c r="B1360" s="1" t="n">
        <v>45372</v>
      </c>
      <c r="C1360" s="1" t="n">
        <v>46029</v>
      </c>
      <c r="D1360" t="inlineStr">
        <is>
          <t>VÄSTERNORRLANDS LÄN</t>
        </is>
      </c>
      <c r="E1360" t="inlineStr">
        <is>
          <t>ÅNGE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25680-2023</t>
        </is>
      </c>
      <c r="B1361" s="1" t="n">
        <v>45089</v>
      </c>
      <c r="C1361" s="1" t="n">
        <v>46029</v>
      </c>
      <c r="D1361" t="inlineStr">
        <is>
          <t>VÄSTERNORRLANDS LÄN</t>
        </is>
      </c>
      <c r="E1361" t="inlineStr">
        <is>
          <t>ÅNGE</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59818-2024</t>
        </is>
      </c>
      <c r="B1362" s="1" t="n">
        <v>45639.63572916666</v>
      </c>
      <c r="C1362" s="1" t="n">
        <v>46029</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1769-2023</t>
        </is>
      </c>
      <c r="B1363" s="1" t="n">
        <v>44938.58025462963</v>
      </c>
      <c r="C1363" s="1" t="n">
        <v>46029</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1775-2023</t>
        </is>
      </c>
      <c r="B1364" s="1" t="n">
        <v>44938</v>
      </c>
      <c r="C1364" s="1" t="n">
        <v>46029</v>
      </c>
      <c r="D1364" t="inlineStr">
        <is>
          <t>VÄSTERNORRLANDS LÄN</t>
        </is>
      </c>
      <c r="E1364" t="inlineStr">
        <is>
          <t>ÅNGE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10878-2024</t>
        </is>
      </c>
      <c r="B1365" s="1" t="n">
        <v>45370</v>
      </c>
      <c r="C1365" s="1" t="n">
        <v>46029</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19066-2024</t>
        </is>
      </c>
      <c r="B1366" s="1" t="n">
        <v>45427</v>
      </c>
      <c r="C1366" s="1" t="n">
        <v>46029</v>
      </c>
      <c r="D1366" t="inlineStr">
        <is>
          <t>VÄSTERNORRLANDS LÄN</t>
        </is>
      </c>
      <c r="E1366" t="inlineStr">
        <is>
          <t>ÅNGE</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3629-2023</t>
        </is>
      </c>
      <c r="B1367" s="1" t="n">
        <v>44950</v>
      </c>
      <c r="C1367" s="1" t="n">
        <v>46029</v>
      </c>
      <c r="D1367" t="inlineStr">
        <is>
          <t>VÄSTERNORRLANDS LÄN</t>
        </is>
      </c>
      <c r="E1367" t="inlineStr">
        <is>
          <t>ÅNGE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3631-2023</t>
        </is>
      </c>
      <c r="B1368" s="1" t="n">
        <v>44950</v>
      </c>
      <c r="C1368" s="1" t="n">
        <v>46029</v>
      </c>
      <c r="D1368" t="inlineStr">
        <is>
          <t>VÄSTERNORRLANDS LÄN</t>
        </is>
      </c>
      <c r="E1368" t="inlineStr">
        <is>
          <t>ÅNGE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31177-2024</t>
        </is>
      </c>
      <c r="B1369" s="1" t="n">
        <v>45503</v>
      </c>
      <c r="C1369" s="1" t="n">
        <v>46029</v>
      </c>
      <c r="D1369" t="inlineStr">
        <is>
          <t>VÄSTERNORRLANDS LÄN</t>
        </is>
      </c>
      <c r="E1369" t="inlineStr">
        <is>
          <t>ÅNGE</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50179-2024</t>
        </is>
      </c>
      <c r="B1370" s="1" t="n">
        <v>45600</v>
      </c>
      <c r="C1370" s="1" t="n">
        <v>46029</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2140-2023</t>
        </is>
      </c>
      <c r="B1371" s="1" t="n">
        <v>44940</v>
      </c>
      <c r="C1371" s="1" t="n">
        <v>46029</v>
      </c>
      <c r="D1371" t="inlineStr">
        <is>
          <t>VÄSTERNORRLANDS LÄN</t>
        </is>
      </c>
      <c r="E1371" t="inlineStr">
        <is>
          <t>ÅNGE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30347-2024</t>
        </is>
      </c>
      <c r="B1372" s="1" t="n">
        <v>45490.95515046296</v>
      </c>
      <c r="C1372" s="1" t="n">
        <v>46029</v>
      </c>
      <c r="D1372" t="inlineStr">
        <is>
          <t>VÄSTERNORRLANDS LÄN</t>
        </is>
      </c>
      <c r="E1372" t="inlineStr">
        <is>
          <t>ÅNGE</t>
        </is>
      </c>
      <c r="F1372" t="inlineStr">
        <is>
          <t>SCA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55177-2024</t>
        </is>
      </c>
      <c r="B1373" s="1" t="n">
        <v>45621.53179398148</v>
      </c>
      <c r="C1373" s="1" t="n">
        <v>46029</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43096-2023</t>
        </is>
      </c>
      <c r="B1374" s="1" t="n">
        <v>45182</v>
      </c>
      <c r="C1374" s="1" t="n">
        <v>46029</v>
      </c>
      <c r="D1374" t="inlineStr">
        <is>
          <t>VÄSTERNORRLANDS LÄN</t>
        </is>
      </c>
      <c r="E1374" t="inlineStr">
        <is>
          <t>ÅNGE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3322-2025</t>
        </is>
      </c>
      <c r="B1375" s="1" t="n">
        <v>45679.6989699074</v>
      </c>
      <c r="C1375" s="1" t="n">
        <v>46029</v>
      </c>
      <c r="D1375" t="inlineStr">
        <is>
          <t>VÄSTERNORRLANDS LÄN</t>
        </is>
      </c>
      <c r="E1375" t="inlineStr">
        <is>
          <t>ÅNGE</t>
        </is>
      </c>
      <c r="F1375" t="inlineStr">
        <is>
          <t>SCA</t>
        </is>
      </c>
      <c r="G1375" t="n">
        <v>11.1</v>
      </c>
      <c r="H1375" t="n">
        <v>0</v>
      </c>
      <c r="I1375" t="n">
        <v>0</v>
      </c>
      <c r="J1375" t="n">
        <v>0</v>
      </c>
      <c r="K1375" t="n">
        <v>0</v>
      </c>
      <c r="L1375" t="n">
        <v>0</v>
      </c>
      <c r="M1375" t="n">
        <v>0</v>
      </c>
      <c r="N1375" t="n">
        <v>0</v>
      </c>
      <c r="O1375" t="n">
        <v>0</v>
      </c>
      <c r="P1375" t="n">
        <v>0</v>
      </c>
      <c r="Q1375" t="n">
        <v>0</v>
      </c>
      <c r="R1375" s="2" t="inlineStr"/>
    </row>
    <row r="1376" ht="15" customHeight="1">
      <c r="A1376" t="inlineStr">
        <is>
          <t>A 3327-2025</t>
        </is>
      </c>
      <c r="B1376" s="1" t="n">
        <v>45679.69967592593</v>
      </c>
      <c r="C1376" s="1" t="n">
        <v>46029</v>
      </c>
      <c r="D1376" t="inlineStr">
        <is>
          <t>VÄSTERNORRLANDS LÄN</t>
        </is>
      </c>
      <c r="E1376" t="inlineStr">
        <is>
          <t>ÅNGE</t>
        </is>
      </c>
      <c r="F1376" t="inlineStr">
        <is>
          <t>SCA</t>
        </is>
      </c>
      <c r="G1376" t="n">
        <v>12.9</v>
      </c>
      <c r="H1376" t="n">
        <v>0</v>
      </c>
      <c r="I1376" t="n">
        <v>0</v>
      </c>
      <c r="J1376" t="n">
        <v>0</v>
      </c>
      <c r="K1376" t="n">
        <v>0</v>
      </c>
      <c r="L1376" t="n">
        <v>0</v>
      </c>
      <c r="M1376" t="n">
        <v>0</v>
      </c>
      <c r="N1376" t="n">
        <v>0</v>
      </c>
      <c r="O1376" t="n">
        <v>0</v>
      </c>
      <c r="P1376" t="n">
        <v>0</v>
      </c>
      <c r="Q1376" t="n">
        <v>0</v>
      </c>
      <c r="R1376" s="2" t="inlineStr"/>
    </row>
    <row r="1377" ht="15" customHeight="1">
      <c r="A1377" t="inlineStr">
        <is>
          <t>A 3947-2025</t>
        </is>
      </c>
      <c r="B1377" s="1" t="n">
        <v>45684.49001157407</v>
      </c>
      <c r="C1377" s="1" t="n">
        <v>46029</v>
      </c>
      <c r="D1377" t="inlineStr">
        <is>
          <t>VÄSTERNORRLANDS LÄN</t>
        </is>
      </c>
      <c r="E1377" t="inlineStr">
        <is>
          <t>ÅNGE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15603-2024</t>
        </is>
      </c>
      <c r="B1378" s="1" t="n">
        <v>45401.92501157407</v>
      </c>
      <c r="C1378" s="1" t="n">
        <v>46029</v>
      </c>
      <c r="D1378" t="inlineStr">
        <is>
          <t>VÄSTERNORRLANDS LÄN</t>
        </is>
      </c>
      <c r="E1378" t="inlineStr">
        <is>
          <t>ÅNGE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52804-2024</t>
        </is>
      </c>
      <c r="B1379" s="1" t="n">
        <v>45610.57322916666</v>
      </c>
      <c r="C1379" s="1" t="n">
        <v>46029</v>
      </c>
      <c r="D1379" t="inlineStr">
        <is>
          <t>VÄSTERNORRLANDS LÄN</t>
        </is>
      </c>
      <c r="E1379" t="inlineStr">
        <is>
          <t>ÅNGE</t>
        </is>
      </c>
      <c r="F1379" t="inlineStr">
        <is>
          <t>SCA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21151-2024</t>
        </is>
      </c>
      <c r="B1380" s="1" t="n">
        <v>45440</v>
      </c>
      <c r="C1380" s="1" t="n">
        <v>46029</v>
      </c>
      <c r="D1380" t="inlineStr">
        <is>
          <t>VÄSTERNORRLANDS LÄN</t>
        </is>
      </c>
      <c r="E1380" t="inlineStr">
        <is>
          <t>ÅNGE</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13706-2023</t>
        </is>
      </c>
      <c r="B1381" s="1" t="n">
        <v>45006</v>
      </c>
      <c r="C1381" s="1" t="n">
        <v>46029</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6462-2024</t>
        </is>
      </c>
      <c r="B1382" s="1" t="n">
        <v>45338</v>
      </c>
      <c r="C1382" s="1" t="n">
        <v>46029</v>
      </c>
      <c r="D1382" t="inlineStr">
        <is>
          <t>VÄSTERNORRLANDS LÄN</t>
        </is>
      </c>
      <c r="E1382" t="inlineStr">
        <is>
          <t>ÅNGE</t>
        </is>
      </c>
      <c r="F1382" t="inlineStr">
        <is>
          <t>Kyrkan</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26490-2024</t>
        </is>
      </c>
      <c r="B1383" s="1" t="n">
        <v>45469</v>
      </c>
      <c r="C1383" s="1" t="n">
        <v>46029</v>
      </c>
      <c r="D1383" t="inlineStr">
        <is>
          <t>VÄSTERNORRLANDS LÄN</t>
        </is>
      </c>
      <c r="E1383" t="inlineStr">
        <is>
          <t>ÅNGE</t>
        </is>
      </c>
      <c r="F1383" t="inlineStr">
        <is>
          <t>Sveaskog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33747-2024</t>
        </is>
      </c>
      <c r="B1384" s="1" t="n">
        <v>45520</v>
      </c>
      <c r="C1384" s="1" t="n">
        <v>46029</v>
      </c>
      <c r="D1384" t="inlineStr">
        <is>
          <t>VÄSTERNORRLANDS LÄN</t>
        </is>
      </c>
      <c r="E1384" t="inlineStr">
        <is>
          <t>ÅNGE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34754-2024</t>
        </is>
      </c>
      <c r="B1385" s="1" t="n">
        <v>45526</v>
      </c>
      <c r="C1385" s="1" t="n">
        <v>46029</v>
      </c>
      <c r="D1385" t="inlineStr">
        <is>
          <t>VÄSTERNORRLANDS LÄN</t>
        </is>
      </c>
      <c r="E1385" t="inlineStr">
        <is>
          <t>ÅNGE</t>
        </is>
      </c>
      <c r="F1385" t="inlineStr">
        <is>
          <t>SCA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22411-2023</t>
        </is>
      </c>
      <c r="B1386" s="1" t="n">
        <v>45070</v>
      </c>
      <c r="C1386" s="1" t="n">
        <v>46029</v>
      </c>
      <c r="D1386" t="inlineStr">
        <is>
          <t>VÄSTERNORRLANDS LÄN</t>
        </is>
      </c>
      <c r="E1386" t="inlineStr">
        <is>
          <t>ÅNGE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4071-2025</t>
        </is>
      </c>
      <c r="B1387" s="1" t="n">
        <v>45684.63579861111</v>
      </c>
      <c r="C1387" s="1" t="n">
        <v>46029</v>
      </c>
      <c r="D1387" t="inlineStr">
        <is>
          <t>VÄSTERNORRLANDS LÄN</t>
        </is>
      </c>
      <c r="E1387" t="inlineStr">
        <is>
          <t>ÅNGE</t>
        </is>
      </c>
      <c r="F1387" t="inlineStr">
        <is>
          <t>SCA</t>
        </is>
      </c>
      <c r="G1387" t="n">
        <v>13.7</v>
      </c>
      <c r="H1387" t="n">
        <v>0</v>
      </c>
      <c r="I1387" t="n">
        <v>0</v>
      </c>
      <c r="J1387" t="n">
        <v>0</v>
      </c>
      <c r="K1387" t="n">
        <v>0</v>
      </c>
      <c r="L1387" t="n">
        <v>0</v>
      </c>
      <c r="M1387" t="n">
        <v>0</v>
      </c>
      <c r="N1387" t="n">
        <v>0</v>
      </c>
      <c r="O1387" t="n">
        <v>0</v>
      </c>
      <c r="P1387" t="n">
        <v>0</v>
      </c>
      <c r="Q1387" t="n">
        <v>0</v>
      </c>
      <c r="R1387" s="2" t="inlineStr"/>
    </row>
    <row r="1388" ht="15" customHeight="1">
      <c r="A1388" t="inlineStr">
        <is>
          <t>A 6619-2025</t>
        </is>
      </c>
      <c r="B1388" s="1" t="n">
        <v>45700.36541666667</v>
      </c>
      <c r="C1388" s="1" t="n">
        <v>46029</v>
      </c>
      <c r="D1388" t="inlineStr">
        <is>
          <t>VÄSTERNORRLANDS LÄN</t>
        </is>
      </c>
      <c r="E1388" t="inlineStr">
        <is>
          <t>ÅNGE</t>
        </is>
      </c>
      <c r="F1388" t="inlineStr">
        <is>
          <t>SCA</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8070-2022</t>
        </is>
      </c>
      <c r="B1389" s="1" t="n">
        <v>44609.48665509259</v>
      </c>
      <c r="C1389" s="1" t="n">
        <v>46029</v>
      </c>
      <c r="D1389" t="inlineStr">
        <is>
          <t>VÄSTERNORRLANDS LÄN</t>
        </is>
      </c>
      <c r="E1389" t="inlineStr">
        <is>
          <t>ÅNGE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14097-2022</t>
        </is>
      </c>
      <c r="B1390" s="1" t="n">
        <v>44651</v>
      </c>
      <c r="C1390" s="1" t="n">
        <v>46029</v>
      </c>
      <c r="D1390" t="inlineStr">
        <is>
          <t>VÄSTERNORRLANDS LÄN</t>
        </is>
      </c>
      <c r="E1390" t="inlineStr">
        <is>
          <t>ÅNGE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29667-2024</t>
        </is>
      </c>
      <c r="B1391" s="1" t="n">
        <v>45484.94041666666</v>
      </c>
      <c r="C1391" s="1" t="n">
        <v>46029</v>
      </c>
      <c r="D1391" t="inlineStr">
        <is>
          <t>VÄSTERNORRLANDS LÄN</t>
        </is>
      </c>
      <c r="E1391" t="inlineStr">
        <is>
          <t>ÅNGE</t>
        </is>
      </c>
      <c r="F1391" t="inlineStr">
        <is>
          <t>SCA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39975-2023</t>
        </is>
      </c>
      <c r="B1392" s="1" t="n">
        <v>45168.58844907407</v>
      </c>
      <c r="C1392" s="1" t="n">
        <v>46029</v>
      </c>
      <c r="D1392" t="inlineStr">
        <is>
          <t>VÄSTERNORRLANDS LÄN</t>
        </is>
      </c>
      <c r="E1392" t="inlineStr">
        <is>
          <t>ÅNGE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32776-2022</t>
        </is>
      </c>
      <c r="B1393" s="1" t="n">
        <v>44783.94607638889</v>
      </c>
      <c r="C1393" s="1" t="n">
        <v>46029</v>
      </c>
      <c r="D1393" t="inlineStr">
        <is>
          <t>VÄSTERNORRLANDS LÄN</t>
        </is>
      </c>
      <c r="E1393" t="inlineStr">
        <is>
          <t>ÅNGE</t>
        </is>
      </c>
      <c r="F1393" t="inlineStr">
        <is>
          <t>SCA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11032-2025</t>
        </is>
      </c>
      <c r="B1394" s="1" t="n">
        <v>45723.47601851852</v>
      </c>
      <c r="C1394" s="1" t="n">
        <v>46029</v>
      </c>
      <c r="D1394" t="inlineStr">
        <is>
          <t>VÄSTERNORRLANDS LÄN</t>
        </is>
      </c>
      <c r="E1394" t="inlineStr">
        <is>
          <t>ÅNGE</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56874-2024</t>
        </is>
      </c>
      <c r="B1395" s="1" t="n">
        <v>45628</v>
      </c>
      <c r="C1395" s="1" t="n">
        <v>46029</v>
      </c>
      <c r="D1395" t="inlineStr">
        <is>
          <t>VÄSTERNORRLANDS LÄN</t>
        </is>
      </c>
      <c r="E1395" t="inlineStr">
        <is>
          <t>ÅNGE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16657-2025</t>
        </is>
      </c>
      <c r="B1396" s="1" t="n">
        <v>45754.40700231482</v>
      </c>
      <c r="C1396" s="1" t="n">
        <v>46029</v>
      </c>
      <c r="D1396" t="inlineStr">
        <is>
          <t>VÄSTERNORRLANDS LÄN</t>
        </is>
      </c>
      <c r="E1396" t="inlineStr">
        <is>
          <t>ÅNGE</t>
        </is>
      </c>
      <c r="F1396" t="inlineStr">
        <is>
          <t>SCA</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6608-2025</t>
        </is>
      </c>
      <c r="B1397" s="1" t="n">
        <v>45700.34415509259</v>
      </c>
      <c r="C1397" s="1" t="n">
        <v>46029</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51871-2024</t>
        </is>
      </c>
      <c r="B1398" s="1" t="n">
        <v>45607</v>
      </c>
      <c r="C1398" s="1" t="n">
        <v>46029</v>
      </c>
      <c r="D1398" t="inlineStr">
        <is>
          <t>VÄSTERNORRLANDS LÄN</t>
        </is>
      </c>
      <c r="E1398" t="inlineStr">
        <is>
          <t>ÅNGE</t>
        </is>
      </c>
      <c r="F1398" t="inlineStr">
        <is>
          <t>SCA</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19065-2025</t>
        </is>
      </c>
      <c r="B1399" s="1" t="n">
        <v>45765</v>
      </c>
      <c r="C1399" s="1" t="n">
        <v>46029</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36290-2023</t>
        </is>
      </c>
      <c r="B1400" s="1" t="n">
        <v>45152.35467592593</v>
      </c>
      <c r="C1400" s="1" t="n">
        <v>46029</v>
      </c>
      <c r="D1400" t="inlineStr">
        <is>
          <t>VÄSTERNORRLANDS LÄN</t>
        </is>
      </c>
      <c r="E1400" t="inlineStr">
        <is>
          <t>ÅNGE</t>
        </is>
      </c>
      <c r="F1400" t="inlineStr">
        <is>
          <t>Övriga Aktiebolag</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48369-2024</t>
        </is>
      </c>
      <c r="B1401" s="1" t="n">
        <v>45590.57960648148</v>
      </c>
      <c r="C1401" s="1" t="n">
        <v>46029</v>
      </c>
      <c r="D1401" t="inlineStr">
        <is>
          <t>VÄSTERNORRLANDS LÄN</t>
        </is>
      </c>
      <c r="E1401" t="inlineStr">
        <is>
          <t>ÅNGE</t>
        </is>
      </c>
      <c r="F1401" t="inlineStr">
        <is>
          <t>SCA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1714-2025</t>
        </is>
      </c>
      <c r="B1402" s="1" t="n">
        <v>45671.32474537037</v>
      </c>
      <c r="C1402" s="1" t="n">
        <v>46029</v>
      </c>
      <c r="D1402" t="inlineStr">
        <is>
          <t>VÄSTERNORRLANDS LÄN</t>
        </is>
      </c>
      <c r="E1402" t="inlineStr">
        <is>
          <t>ÅNGE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11529-2023</t>
        </is>
      </c>
      <c r="B1403" s="1" t="n">
        <v>44993</v>
      </c>
      <c r="C1403" s="1" t="n">
        <v>46029</v>
      </c>
      <c r="D1403" t="inlineStr">
        <is>
          <t>VÄSTERNORRLANDS LÄN</t>
        </is>
      </c>
      <c r="E1403" t="inlineStr">
        <is>
          <t>ÅNGE</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31182-2024</t>
        </is>
      </c>
      <c r="B1404" s="1" t="n">
        <v>45503</v>
      </c>
      <c r="C1404" s="1" t="n">
        <v>46029</v>
      </c>
      <c r="D1404" t="inlineStr">
        <is>
          <t>VÄSTERNORRLANDS LÄN</t>
        </is>
      </c>
      <c r="E1404" t="inlineStr">
        <is>
          <t>ÅNGE</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41758-2024</t>
        </is>
      </c>
      <c r="B1405" s="1" t="n">
        <v>45561.34478009259</v>
      </c>
      <c r="C1405" s="1" t="n">
        <v>46029</v>
      </c>
      <c r="D1405" t="inlineStr">
        <is>
          <t>VÄSTERNORRLANDS LÄN</t>
        </is>
      </c>
      <c r="E1405" t="inlineStr">
        <is>
          <t>ÅNGE</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5433-2024</t>
        </is>
      </c>
      <c r="B1406" s="1" t="n">
        <v>45331</v>
      </c>
      <c r="C1406" s="1" t="n">
        <v>46029</v>
      </c>
      <c r="D1406" t="inlineStr">
        <is>
          <t>VÄSTERNORRLANDS LÄN</t>
        </is>
      </c>
      <c r="E1406" t="inlineStr">
        <is>
          <t>ÅNGE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19926-2025</t>
        </is>
      </c>
      <c r="B1407" s="1" t="n">
        <v>45771.6357175926</v>
      </c>
      <c r="C1407" s="1" t="n">
        <v>46029</v>
      </c>
      <c r="D1407" t="inlineStr">
        <is>
          <t>VÄSTERNORRLANDS LÄN</t>
        </is>
      </c>
      <c r="E1407" t="inlineStr">
        <is>
          <t>ÅNGE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51055-2023</t>
        </is>
      </c>
      <c r="B1408" s="1" t="n">
        <v>45218</v>
      </c>
      <c r="C1408" s="1" t="n">
        <v>46029</v>
      </c>
      <c r="D1408" t="inlineStr">
        <is>
          <t>VÄSTERNORRLANDS LÄN</t>
        </is>
      </c>
      <c r="E1408" t="inlineStr">
        <is>
          <t>ÅNGE</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6684-2024</t>
        </is>
      </c>
      <c r="B1409" s="1" t="n">
        <v>45341.92555555556</v>
      </c>
      <c r="C1409" s="1" t="n">
        <v>46029</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113-2025</t>
        </is>
      </c>
      <c r="B1410" s="1" t="n">
        <v>45659.5106712963</v>
      </c>
      <c r="C1410" s="1" t="n">
        <v>46029</v>
      </c>
      <c r="D1410" t="inlineStr">
        <is>
          <t>VÄSTERNORRLANDS LÄN</t>
        </is>
      </c>
      <c r="E1410" t="inlineStr">
        <is>
          <t>ÅNGE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1403-2025</t>
        </is>
      </c>
      <c r="B1411" s="1" t="n">
        <v>45667.70548611111</v>
      </c>
      <c r="C1411" s="1" t="n">
        <v>46029</v>
      </c>
      <c r="D1411" t="inlineStr">
        <is>
          <t>VÄSTERNORRLANDS LÄN</t>
        </is>
      </c>
      <c r="E1411" t="inlineStr">
        <is>
          <t>ÅNGE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39619-2024</t>
        </is>
      </c>
      <c r="B1412" s="1" t="n">
        <v>45552</v>
      </c>
      <c r="C1412" s="1" t="n">
        <v>46029</v>
      </c>
      <c r="D1412" t="inlineStr">
        <is>
          <t>VÄSTERNORRLANDS LÄN</t>
        </is>
      </c>
      <c r="E1412" t="inlineStr">
        <is>
          <t>ÅNGE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58774-2023</t>
        </is>
      </c>
      <c r="B1413" s="1" t="n">
        <v>45251</v>
      </c>
      <c r="C1413" s="1" t="n">
        <v>46029</v>
      </c>
      <c r="D1413" t="inlineStr">
        <is>
          <t>VÄSTERNORRLANDS LÄN</t>
        </is>
      </c>
      <c r="E1413" t="inlineStr">
        <is>
          <t>ÅNGE</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4359-2025</t>
        </is>
      </c>
      <c r="B1414" s="1" t="n">
        <v>45686.33072916666</v>
      </c>
      <c r="C1414" s="1" t="n">
        <v>46029</v>
      </c>
      <c r="D1414" t="inlineStr">
        <is>
          <t>VÄSTERNORRLANDS LÄN</t>
        </is>
      </c>
      <c r="E1414" t="inlineStr">
        <is>
          <t>ÅNGE</t>
        </is>
      </c>
      <c r="F1414" t="inlineStr">
        <is>
          <t>Holmen skog AB</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11399-2025</t>
        </is>
      </c>
      <c r="B1415" s="1" t="n">
        <v>45726.57364583333</v>
      </c>
      <c r="C1415" s="1" t="n">
        <v>46029</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15822-2025</t>
        </is>
      </c>
      <c r="B1416" s="1" t="n">
        <v>45748.70172453704</v>
      </c>
      <c r="C1416" s="1" t="n">
        <v>46029</v>
      </c>
      <c r="D1416" t="inlineStr">
        <is>
          <t>VÄSTERNORRLANDS LÄN</t>
        </is>
      </c>
      <c r="E1416" t="inlineStr">
        <is>
          <t>ÅNGE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57591-2022</t>
        </is>
      </c>
      <c r="B1417" s="1" t="n">
        <v>44896.97834490741</v>
      </c>
      <c r="C1417" s="1" t="n">
        <v>46029</v>
      </c>
      <c r="D1417" t="inlineStr">
        <is>
          <t>VÄSTERNORRLANDS LÄN</t>
        </is>
      </c>
      <c r="E1417" t="inlineStr">
        <is>
          <t>ÅNGE</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17044-2023</t>
        </is>
      </c>
      <c r="B1418" s="1" t="n">
        <v>45034</v>
      </c>
      <c r="C1418" s="1" t="n">
        <v>46029</v>
      </c>
      <c r="D1418" t="inlineStr">
        <is>
          <t>VÄSTERNORRLANDS LÄN</t>
        </is>
      </c>
      <c r="E1418" t="inlineStr">
        <is>
          <t>ÅNGE</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60812-2024</t>
        </is>
      </c>
      <c r="B1419" s="1" t="n">
        <v>45644</v>
      </c>
      <c r="C1419" s="1" t="n">
        <v>46029</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58943-2022</t>
        </is>
      </c>
      <c r="B1420" s="1" t="n">
        <v>44903.64400462963</v>
      </c>
      <c r="C1420" s="1" t="n">
        <v>46029</v>
      </c>
      <c r="D1420" t="inlineStr">
        <is>
          <t>VÄSTERNORRLANDS LÄN</t>
        </is>
      </c>
      <c r="E1420" t="inlineStr">
        <is>
          <t>ÅNGE</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1103-2023</t>
        </is>
      </c>
      <c r="B1421" s="1" t="n">
        <v>44929</v>
      </c>
      <c r="C1421" s="1" t="n">
        <v>46029</v>
      </c>
      <c r="D1421" t="inlineStr">
        <is>
          <t>VÄSTERNORRLANDS LÄN</t>
        </is>
      </c>
      <c r="E1421" t="inlineStr">
        <is>
          <t>ÅNGE</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57526-2024</t>
        </is>
      </c>
      <c r="B1422" s="1" t="n">
        <v>45630</v>
      </c>
      <c r="C1422" s="1" t="n">
        <v>46029</v>
      </c>
      <c r="D1422" t="inlineStr">
        <is>
          <t>VÄSTERNORRLANDS LÄN</t>
        </is>
      </c>
      <c r="E1422" t="inlineStr">
        <is>
          <t>ÅNGE</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18456-2024</t>
        </is>
      </c>
      <c r="B1423" s="1" t="n">
        <v>45425.46831018518</v>
      </c>
      <c r="C1423" s="1" t="n">
        <v>46029</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44180-2023</t>
        </is>
      </c>
      <c r="B1424" s="1" t="n">
        <v>45183</v>
      </c>
      <c r="C1424" s="1" t="n">
        <v>46029</v>
      </c>
      <c r="D1424" t="inlineStr">
        <is>
          <t>VÄSTERNORRLANDS LÄN</t>
        </is>
      </c>
      <c r="E1424" t="inlineStr">
        <is>
          <t>ÅNGE</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5197-2025</t>
        </is>
      </c>
      <c r="B1425" s="1" t="n">
        <v>45691.65701388889</v>
      </c>
      <c r="C1425" s="1" t="n">
        <v>46029</v>
      </c>
      <c r="D1425" t="inlineStr">
        <is>
          <t>VÄSTERNORRLANDS LÄN</t>
        </is>
      </c>
      <c r="E1425" t="inlineStr">
        <is>
          <t>ÅNGE</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5246-2025</t>
        </is>
      </c>
      <c r="B1426" s="1" t="n">
        <v>45692.34427083333</v>
      </c>
      <c r="C1426" s="1" t="n">
        <v>46029</v>
      </c>
      <c r="D1426" t="inlineStr">
        <is>
          <t>VÄSTERNORRLANDS LÄN</t>
        </is>
      </c>
      <c r="E1426" t="inlineStr">
        <is>
          <t>ÅNGE</t>
        </is>
      </c>
      <c r="F1426" t="inlineStr">
        <is>
          <t>SCA</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41829-2021</t>
        </is>
      </c>
      <c r="B1427" s="1" t="n">
        <v>44425.92202546296</v>
      </c>
      <c r="C1427" s="1" t="n">
        <v>46029</v>
      </c>
      <c r="D1427" t="inlineStr">
        <is>
          <t>VÄSTERNORRLANDS LÄN</t>
        </is>
      </c>
      <c r="E1427" t="inlineStr">
        <is>
          <t>ÅNGE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50612-2024</t>
        </is>
      </c>
      <c r="B1428" s="1" t="n">
        <v>45601</v>
      </c>
      <c r="C1428" s="1" t="n">
        <v>46029</v>
      </c>
      <c r="D1428" t="inlineStr">
        <is>
          <t>VÄSTERNORRLANDS LÄN</t>
        </is>
      </c>
      <c r="E1428" t="inlineStr">
        <is>
          <t>ÅNGE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13491-2023</t>
        </is>
      </c>
      <c r="B1429" s="1" t="n">
        <v>45005.93929398148</v>
      </c>
      <c r="C1429" s="1" t="n">
        <v>46029</v>
      </c>
      <c r="D1429" t="inlineStr">
        <is>
          <t>VÄSTERNORRLANDS LÄN</t>
        </is>
      </c>
      <c r="E1429" t="inlineStr">
        <is>
          <t>ÅNGE</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47243-2024</t>
        </is>
      </c>
      <c r="B1430" s="1" t="n">
        <v>45586.6987962963</v>
      </c>
      <c r="C1430" s="1" t="n">
        <v>46029</v>
      </c>
      <c r="D1430" t="inlineStr">
        <is>
          <t>VÄSTERNORRLANDS LÄN</t>
        </is>
      </c>
      <c r="E1430" t="inlineStr">
        <is>
          <t>ÅNGE</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37540-2024</t>
        </is>
      </c>
      <c r="B1431" s="1" t="n">
        <v>45541.42111111111</v>
      </c>
      <c r="C1431" s="1" t="n">
        <v>46029</v>
      </c>
      <c r="D1431" t="inlineStr">
        <is>
          <t>VÄSTERNORRLANDS LÄN</t>
        </is>
      </c>
      <c r="E1431" t="inlineStr">
        <is>
          <t>ÅNGE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42948-2024</t>
        </is>
      </c>
      <c r="B1432" s="1" t="n">
        <v>45567.36628472222</v>
      </c>
      <c r="C1432" s="1" t="n">
        <v>46029</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54585-2024</t>
        </is>
      </c>
      <c r="B1433" s="1" t="n">
        <v>45617.65762731482</v>
      </c>
      <c r="C1433" s="1" t="n">
        <v>46029</v>
      </c>
      <c r="D1433" t="inlineStr">
        <is>
          <t>VÄSTERNORRLANDS LÄN</t>
        </is>
      </c>
      <c r="E1433" t="inlineStr">
        <is>
          <t>ÅNGE</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15404-2025</t>
        </is>
      </c>
      <c r="B1434" s="1" t="n">
        <v>45747.44665509259</v>
      </c>
      <c r="C1434" s="1" t="n">
        <v>46029</v>
      </c>
      <c r="D1434" t="inlineStr">
        <is>
          <t>VÄSTERNORRLANDS LÄN</t>
        </is>
      </c>
      <c r="E1434" t="inlineStr">
        <is>
          <t>ÅNGE</t>
        </is>
      </c>
      <c r="G1434" t="n">
        <v>11.8</v>
      </c>
      <c r="H1434" t="n">
        <v>0</v>
      </c>
      <c r="I1434" t="n">
        <v>0</v>
      </c>
      <c r="J1434" t="n">
        <v>0</v>
      </c>
      <c r="K1434" t="n">
        <v>0</v>
      </c>
      <c r="L1434" t="n">
        <v>0</v>
      </c>
      <c r="M1434" t="n">
        <v>0</v>
      </c>
      <c r="N1434" t="n">
        <v>0</v>
      </c>
      <c r="O1434" t="n">
        <v>0</v>
      </c>
      <c r="P1434" t="n">
        <v>0</v>
      </c>
      <c r="Q1434" t="n">
        <v>0</v>
      </c>
      <c r="R1434" s="2" t="inlineStr"/>
    </row>
    <row r="1435" ht="15" customHeight="1">
      <c r="A1435" t="inlineStr">
        <is>
          <t>A 17703-2025</t>
        </is>
      </c>
      <c r="B1435" s="1" t="n">
        <v>45758.4275462963</v>
      </c>
      <c r="C1435" s="1" t="n">
        <v>46029</v>
      </c>
      <c r="D1435" t="inlineStr">
        <is>
          <t>VÄSTERNORRLANDS LÄN</t>
        </is>
      </c>
      <c r="E1435" t="inlineStr">
        <is>
          <t>ÅNGE</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42529-2024</t>
        </is>
      </c>
      <c r="B1436" s="1" t="n">
        <v>45565.57324074074</v>
      </c>
      <c r="C1436" s="1" t="n">
        <v>46029</v>
      </c>
      <c r="D1436" t="inlineStr">
        <is>
          <t>VÄSTERNORRLANDS LÄN</t>
        </is>
      </c>
      <c r="E1436" t="inlineStr">
        <is>
          <t>ÅNGE</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3966-2025</t>
        </is>
      </c>
      <c r="B1437" s="1" t="n">
        <v>45684.51072916666</v>
      </c>
      <c r="C1437" s="1" t="n">
        <v>46029</v>
      </c>
      <c r="D1437" t="inlineStr">
        <is>
          <t>VÄSTERNORRLANDS LÄN</t>
        </is>
      </c>
      <c r="E1437" t="inlineStr">
        <is>
          <t>ÅNGE</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54316-2024</t>
        </is>
      </c>
      <c r="B1438" s="1" t="n">
        <v>45617.34443287037</v>
      </c>
      <c r="C1438" s="1" t="n">
        <v>46029</v>
      </c>
      <c r="D1438" t="inlineStr">
        <is>
          <t>VÄSTERNORRLANDS LÄN</t>
        </is>
      </c>
      <c r="E1438" t="inlineStr">
        <is>
          <t>ÅNGE</t>
        </is>
      </c>
      <c r="F1438" t="inlineStr">
        <is>
          <t>SCA</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4186-2025</t>
        </is>
      </c>
      <c r="B1439" s="1" t="n">
        <v>45685.44827546296</v>
      </c>
      <c r="C1439" s="1" t="n">
        <v>46029</v>
      </c>
      <c r="D1439" t="inlineStr">
        <is>
          <t>VÄSTERNORRLANDS LÄN</t>
        </is>
      </c>
      <c r="E1439" t="inlineStr">
        <is>
          <t>ÅNGE</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53209-2024</t>
        </is>
      </c>
      <c r="B1440" s="1" t="n">
        <v>45612.51079861111</v>
      </c>
      <c r="C1440" s="1" t="n">
        <v>46029</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15778-2025</t>
        </is>
      </c>
      <c r="B1441" s="1" t="n">
        <v>45748.60030092593</v>
      </c>
      <c r="C1441" s="1" t="n">
        <v>46029</v>
      </c>
      <c r="D1441" t="inlineStr">
        <is>
          <t>VÄSTERNORRLANDS LÄN</t>
        </is>
      </c>
      <c r="E1441" t="inlineStr">
        <is>
          <t>ÅNGE</t>
        </is>
      </c>
      <c r="F1441" t="inlineStr">
        <is>
          <t>SCA</t>
        </is>
      </c>
      <c r="G1441" t="n">
        <v>13.6</v>
      </c>
      <c r="H1441" t="n">
        <v>0</v>
      </c>
      <c r="I1441" t="n">
        <v>0</v>
      </c>
      <c r="J1441" t="n">
        <v>0</v>
      </c>
      <c r="K1441" t="n">
        <v>0</v>
      </c>
      <c r="L1441" t="n">
        <v>0</v>
      </c>
      <c r="M1441" t="n">
        <v>0</v>
      </c>
      <c r="N1441" t="n">
        <v>0</v>
      </c>
      <c r="O1441" t="n">
        <v>0</v>
      </c>
      <c r="P1441" t="n">
        <v>0</v>
      </c>
      <c r="Q1441" t="n">
        <v>0</v>
      </c>
      <c r="R1441" s="2" t="inlineStr"/>
    </row>
    <row r="1442" ht="15" customHeight="1">
      <c r="A1442" t="inlineStr">
        <is>
          <t>A 17718-2025</t>
        </is>
      </c>
      <c r="B1442" s="1" t="n">
        <v>45758.44815972223</v>
      </c>
      <c r="C1442" s="1" t="n">
        <v>46029</v>
      </c>
      <c r="D1442" t="inlineStr">
        <is>
          <t>VÄSTERNORRLANDS LÄN</t>
        </is>
      </c>
      <c r="E1442" t="inlineStr">
        <is>
          <t>ÅNGE</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38246-2024</t>
        </is>
      </c>
      <c r="B1443" s="1" t="n">
        <v>45545.57327546296</v>
      </c>
      <c r="C1443" s="1" t="n">
        <v>46029</v>
      </c>
      <c r="D1443" t="inlineStr">
        <is>
          <t>VÄSTERNORRLANDS LÄN</t>
        </is>
      </c>
      <c r="E1443" t="inlineStr">
        <is>
          <t>ÅNGE</t>
        </is>
      </c>
      <c r="F1443" t="inlineStr">
        <is>
          <t>SCA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26943-2024</t>
        </is>
      </c>
      <c r="B1444" s="1" t="n">
        <v>45470</v>
      </c>
      <c r="C1444" s="1" t="n">
        <v>46029</v>
      </c>
      <c r="D1444" t="inlineStr">
        <is>
          <t>VÄSTERNORRLANDS LÄN</t>
        </is>
      </c>
      <c r="E1444" t="inlineStr">
        <is>
          <t>ÅNGE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53512-2023</t>
        </is>
      </c>
      <c r="B1445" s="1" t="n">
        <v>45230</v>
      </c>
      <c r="C1445" s="1" t="n">
        <v>46029</v>
      </c>
      <c r="D1445" t="inlineStr">
        <is>
          <t>VÄSTERNORRLANDS LÄN</t>
        </is>
      </c>
      <c r="E1445" t="inlineStr">
        <is>
          <t>ÅNGE</t>
        </is>
      </c>
      <c r="F1445" t="inlineStr">
        <is>
          <t>Holmen skog AB</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20776-2025</t>
        </is>
      </c>
      <c r="B1446" s="1" t="n">
        <v>45776.59410879629</v>
      </c>
      <c r="C1446" s="1" t="n">
        <v>46029</v>
      </c>
      <c r="D1446" t="inlineStr">
        <is>
          <t>VÄSTERNORRLANDS LÄN</t>
        </is>
      </c>
      <c r="E1446" t="inlineStr">
        <is>
          <t>ÅNGE</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20718-2025</t>
        </is>
      </c>
      <c r="B1447" s="1" t="n">
        <v>45776.49047453704</v>
      </c>
      <c r="C1447" s="1" t="n">
        <v>46029</v>
      </c>
      <c r="D1447" t="inlineStr">
        <is>
          <t>VÄSTERNORRLANDS LÄN</t>
        </is>
      </c>
      <c r="E1447" t="inlineStr">
        <is>
          <t>ÅNGE</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20864-2025</t>
        </is>
      </c>
      <c r="B1448" s="1" t="n">
        <v>45777.34417824074</v>
      </c>
      <c r="C1448" s="1" t="n">
        <v>46029</v>
      </c>
      <c r="D1448" t="inlineStr">
        <is>
          <t>VÄSTERNORRLANDS LÄN</t>
        </is>
      </c>
      <c r="E1448" t="inlineStr">
        <is>
          <t>ÅNGE</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21068-2025</t>
        </is>
      </c>
      <c r="B1449" s="1" t="n">
        <v>45777.59413194445</v>
      </c>
      <c r="C1449" s="1" t="n">
        <v>46029</v>
      </c>
      <c r="D1449" t="inlineStr">
        <is>
          <t>VÄSTERNORRLANDS LÄN</t>
        </is>
      </c>
      <c r="E1449" t="inlineStr">
        <is>
          <t>ÅNGE</t>
        </is>
      </c>
      <c r="F1449" t="inlineStr">
        <is>
          <t>SCA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20868-2025</t>
        </is>
      </c>
      <c r="B1450" s="1" t="n">
        <v>45777.34483796296</v>
      </c>
      <c r="C1450" s="1" t="n">
        <v>46029</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21176-2025</t>
        </is>
      </c>
      <c r="B1451" s="1" t="n">
        <v>45779.42798611111</v>
      </c>
      <c r="C1451" s="1" t="n">
        <v>46029</v>
      </c>
      <c r="D1451" t="inlineStr">
        <is>
          <t>VÄSTERNORRLANDS LÄN</t>
        </is>
      </c>
      <c r="E1451" t="inlineStr">
        <is>
          <t>ÅNGE</t>
        </is>
      </c>
      <c r="F1451" t="inlineStr">
        <is>
          <t>SCA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21197-2025</t>
        </is>
      </c>
      <c r="B1452" s="1" t="n">
        <v>45779.46949074074</v>
      </c>
      <c r="C1452" s="1" t="n">
        <v>46029</v>
      </c>
      <c r="D1452" t="inlineStr">
        <is>
          <t>VÄSTERNORRLANDS LÄN</t>
        </is>
      </c>
      <c r="E1452" t="inlineStr">
        <is>
          <t>ÅNGE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21563-2025</t>
        </is>
      </c>
      <c r="B1453" s="1" t="n">
        <v>45782.69822916666</v>
      </c>
      <c r="C1453" s="1" t="n">
        <v>46029</v>
      </c>
      <c r="D1453" t="inlineStr">
        <is>
          <t>VÄSTERNORRLANDS LÄN</t>
        </is>
      </c>
      <c r="E1453" t="inlineStr">
        <is>
          <t>ÅNGE</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45030-2024</t>
        </is>
      </c>
      <c r="B1454" s="1" t="n">
        <v>45575.52089120371</v>
      </c>
      <c r="C1454" s="1" t="n">
        <v>46029</v>
      </c>
      <c r="D1454" t="inlineStr">
        <is>
          <t>VÄSTERNORRLANDS LÄN</t>
        </is>
      </c>
      <c r="E1454" t="inlineStr">
        <is>
          <t>ÅNGE</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21263-2025</t>
        </is>
      </c>
      <c r="B1455" s="1" t="n">
        <v>45779.61233796296</v>
      </c>
      <c r="C1455" s="1" t="n">
        <v>46029</v>
      </c>
      <c r="D1455" t="inlineStr">
        <is>
          <t>VÄSTERNORRLANDS LÄN</t>
        </is>
      </c>
      <c r="E1455" t="inlineStr">
        <is>
          <t>ÅNGE</t>
        </is>
      </c>
      <c r="F1455" t="inlineStr">
        <is>
          <t>Sveaskog</t>
        </is>
      </c>
      <c r="G1455" t="n">
        <v>14.9</v>
      </c>
      <c r="H1455" t="n">
        <v>0</v>
      </c>
      <c r="I1455" t="n">
        <v>0</v>
      </c>
      <c r="J1455" t="n">
        <v>0</v>
      </c>
      <c r="K1455" t="n">
        <v>0</v>
      </c>
      <c r="L1455" t="n">
        <v>0</v>
      </c>
      <c r="M1455" t="n">
        <v>0</v>
      </c>
      <c r="N1455" t="n">
        <v>0</v>
      </c>
      <c r="O1455" t="n">
        <v>0</v>
      </c>
      <c r="P1455" t="n">
        <v>0</v>
      </c>
      <c r="Q1455" t="n">
        <v>0</v>
      </c>
      <c r="R1455" s="2" t="inlineStr"/>
    </row>
    <row r="1456" ht="15" customHeight="1">
      <c r="A1456" t="inlineStr">
        <is>
          <t>A 21174-2025</t>
        </is>
      </c>
      <c r="B1456" s="1" t="n">
        <v>45779.42746527777</v>
      </c>
      <c r="C1456" s="1" t="n">
        <v>46029</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21251-2025</t>
        </is>
      </c>
      <c r="B1457" s="1" t="n">
        <v>45779.57417824074</v>
      </c>
      <c r="C1457" s="1" t="n">
        <v>46029</v>
      </c>
      <c r="D1457" t="inlineStr">
        <is>
          <t>VÄSTERNORRLANDS LÄN</t>
        </is>
      </c>
      <c r="E1457" t="inlineStr">
        <is>
          <t>ÅNGE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21712-2025</t>
        </is>
      </c>
      <c r="B1458" s="1" t="n">
        <v>45783.53210648148</v>
      </c>
      <c r="C1458" s="1" t="n">
        <v>46029</v>
      </c>
      <c r="D1458" t="inlineStr">
        <is>
          <t>VÄSTERNORRLANDS LÄN</t>
        </is>
      </c>
      <c r="E1458" t="inlineStr">
        <is>
          <t>ÅNGE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2539-2025</t>
        </is>
      </c>
      <c r="B1459" s="1" t="n">
        <v>45674.61581018518</v>
      </c>
      <c r="C1459" s="1" t="n">
        <v>46029</v>
      </c>
      <c r="D1459" t="inlineStr">
        <is>
          <t>VÄSTERNORRLANDS LÄN</t>
        </is>
      </c>
      <c r="E1459" t="inlineStr">
        <is>
          <t>ÅNGE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22187-2024</t>
        </is>
      </c>
      <c r="B1460" s="1" t="n">
        <v>45446.35222222222</v>
      </c>
      <c r="C1460" s="1" t="n">
        <v>46029</v>
      </c>
      <c r="D1460" t="inlineStr">
        <is>
          <t>VÄSTERNORRLANDS LÄN</t>
        </is>
      </c>
      <c r="E1460" t="inlineStr">
        <is>
          <t>ÅNGE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21883-2025</t>
        </is>
      </c>
      <c r="B1461" s="1" t="n">
        <v>45784.41361111111</v>
      </c>
      <c r="C1461" s="1" t="n">
        <v>46029</v>
      </c>
      <c r="D1461" t="inlineStr">
        <is>
          <t>VÄSTERNORRLANDS LÄN</t>
        </is>
      </c>
      <c r="E1461" t="inlineStr">
        <is>
          <t>ÅNGE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21597-2025</t>
        </is>
      </c>
      <c r="B1462" s="1" t="n">
        <v>45783.34493055556</v>
      </c>
      <c r="C1462" s="1" t="n">
        <v>46029</v>
      </c>
      <c r="D1462" t="inlineStr">
        <is>
          <t>VÄSTERNORRLANDS LÄN</t>
        </is>
      </c>
      <c r="E1462" t="inlineStr">
        <is>
          <t>ÅNGE</t>
        </is>
      </c>
      <c r="F1462" t="inlineStr">
        <is>
          <t>SCA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25867-2024</t>
        </is>
      </c>
      <c r="B1463" s="1" t="n">
        <v>45463</v>
      </c>
      <c r="C1463" s="1" t="n">
        <v>46029</v>
      </c>
      <c r="D1463" t="inlineStr">
        <is>
          <t>VÄSTERNORRLANDS LÄN</t>
        </is>
      </c>
      <c r="E1463" t="inlineStr">
        <is>
          <t>ÅNGE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17669-2023</t>
        </is>
      </c>
      <c r="B1464" s="1" t="n">
        <v>45036.94457175926</v>
      </c>
      <c r="C1464" s="1" t="n">
        <v>46029</v>
      </c>
      <c r="D1464" t="inlineStr">
        <is>
          <t>VÄSTERNORRLANDS LÄN</t>
        </is>
      </c>
      <c r="E1464" t="inlineStr">
        <is>
          <t>ÅNGE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29395-2023</t>
        </is>
      </c>
      <c r="B1465" s="1" t="n">
        <v>45106.4359837963</v>
      </c>
      <c r="C1465" s="1" t="n">
        <v>46029</v>
      </c>
      <c r="D1465" t="inlineStr">
        <is>
          <t>VÄSTERNORRLANDS LÄN</t>
        </is>
      </c>
      <c r="E1465" t="inlineStr">
        <is>
          <t>ÅNGE</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21862-2025</t>
        </is>
      </c>
      <c r="B1466" s="1" t="n">
        <v>45784.36519675926</v>
      </c>
      <c r="C1466" s="1" t="n">
        <v>46029</v>
      </c>
      <c r="D1466" t="inlineStr">
        <is>
          <t>VÄSTERNORRLANDS LÄN</t>
        </is>
      </c>
      <c r="E1466" t="inlineStr">
        <is>
          <t>ÅNGE</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21982-2025</t>
        </is>
      </c>
      <c r="B1467" s="1" t="n">
        <v>45784.65660879629</v>
      </c>
      <c r="C1467" s="1" t="n">
        <v>46029</v>
      </c>
      <c r="D1467" t="inlineStr">
        <is>
          <t>VÄSTERNORRLANDS LÄN</t>
        </is>
      </c>
      <c r="E1467" t="inlineStr">
        <is>
          <t>ÅNGE</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54295-2024</t>
        </is>
      </c>
      <c r="B1468" s="1" t="n">
        <v>45617</v>
      </c>
      <c r="C1468" s="1" t="n">
        <v>46029</v>
      </c>
      <c r="D1468" t="inlineStr">
        <is>
          <t>VÄSTERNORRLANDS LÄN</t>
        </is>
      </c>
      <c r="E1468" t="inlineStr">
        <is>
          <t>ÅNGE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21686-2025</t>
        </is>
      </c>
      <c r="B1469" s="1" t="n">
        <v>45783.490625</v>
      </c>
      <c r="C1469" s="1" t="n">
        <v>46029</v>
      </c>
      <c r="D1469" t="inlineStr">
        <is>
          <t>VÄSTERNORRLANDS LÄN</t>
        </is>
      </c>
      <c r="E1469" t="inlineStr">
        <is>
          <t>ÅNGE</t>
        </is>
      </c>
      <c r="F1469" t="inlineStr">
        <is>
          <t>SCA</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21741-2025</t>
        </is>
      </c>
      <c r="B1470" s="1" t="n">
        <v>45783.59415509259</v>
      </c>
      <c r="C1470" s="1" t="n">
        <v>46029</v>
      </c>
      <c r="D1470" t="inlineStr">
        <is>
          <t>VÄSTERNORRLANDS LÄN</t>
        </is>
      </c>
      <c r="E1470" t="inlineStr">
        <is>
          <t>ÅNGE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39119-2024</t>
        </is>
      </c>
      <c r="B1471" s="1" t="n">
        <v>45548.58939814815</v>
      </c>
      <c r="C1471" s="1" t="n">
        <v>46029</v>
      </c>
      <c r="D1471" t="inlineStr">
        <is>
          <t>VÄSTERNORRLANDS LÄN</t>
        </is>
      </c>
      <c r="E1471" t="inlineStr">
        <is>
          <t>ÅNGE</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21685-2025</t>
        </is>
      </c>
      <c r="B1472" s="1" t="n">
        <v>45783.49050925926</v>
      </c>
      <c r="C1472" s="1" t="n">
        <v>46029</v>
      </c>
      <c r="D1472" t="inlineStr">
        <is>
          <t>VÄSTERNORRLANDS LÄN</t>
        </is>
      </c>
      <c r="E1472" t="inlineStr">
        <is>
          <t>ÅNGE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32257-2024</t>
        </is>
      </c>
      <c r="B1473" s="1" t="n">
        <v>45511</v>
      </c>
      <c r="C1473" s="1" t="n">
        <v>46029</v>
      </c>
      <c r="D1473" t="inlineStr">
        <is>
          <t>VÄSTERNORRLANDS LÄN</t>
        </is>
      </c>
      <c r="E1473" t="inlineStr">
        <is>
          <t>ÅNGE</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31492-2024</t>
        </is>
      </c>
      <c r="B1474" s="1" t="n">
        <v>45505</v>
      </c>
      <c r="C1474" s="1" t="n">
        <v>46029</v>
      </c>
      <c r="D1474" t="inlineStr">
        <is>
          <t>VÄSTERNORRLANDS LÄN</t>
        </is>
      </c>
      <c r="E1474" t="inlineStr">
        <is>
          <t>ÅNGE</t>
        </is>
      </c>
      <c r="F1474" t="inlineStr">
        <is>
          <t>SCA</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38800-2024</t>
        </is>
      </c>
      <c r="B1475" s="1" t="n">
        <v>45547</v>
      </c>
      <c r="C1475" s="1" t="n">
        <v>46029</v>
      </c>
      <c r="D1475" t="inlineStr">
        <is>
          <t>VÄSTERNORRLANDS LÄN</t>
        </is>
      </c>
      <c r="E1475" t="inlineStr">
        <is>
          <t>ÅNGE</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20880-2025</t>
        </is>
      </c>
      <c r="B1476" s="1" t="n">
        <v>45777</v>
      </c>
      <c r="C1476" s="1" t="n">
        <v>46029</v>
      </c>
      <c r="D1476" t="inlineStr">
        <is>
          <t>VÄSTERNORRLANDS LÄN</t>
        </is>
      </c>
      <c r="E1476" t="inlineStr">
        <is>
          <t>ÅNGE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22219-2025</t>
        </is>
      </c>
      <c r="B1477" s="1" t="n">
        <v>45785.65849537037</v>
      </c>
      <c r="C1477" s="1" t="n">
        <v>46029</v>
      </c>
      <c r="D1477" t="inlineStr">
        <is>
          <t>VÄSTERNORRLANDS LÄN</t>
        </is>
      </c>
      <c r="E1477" t="inlineStr">
        <is>
          <t>ÅNGE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22206-2025</t>
        </is>
      </c>
      <c r="B1478" s="1" t="n">
        <v>45785.65699074074</v>
      </c>
      <c r="C1478" s="1" t="n">
        <v>46029</v>
      </c>
      <c r="D1478" t="inlineStr">
        <is>
          <t>VÄSTERNORRLANDS LÄN</t>
        </is>
      </c>
      <c r="E1478" t="inlineStr">
        <is>
          <t>ÅNGE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26640-2024</t>
        </is>
      </c>
      <c r="B1479" s="1" t="n">
        <v>45469.92831018518</v>
      </c>
      <c r="C1479" s="1" t="n">
        <v>46029</v>
      </c>
      <c r="D1479" t="inlineStr">
        <is>
          <t>VÄSTERNORRLANDS LÄN</t>
        </is>
      </c>
      <c r="E1479" t="inlineStr">
        <is>
          <t>ÅNGE</t>
        </is>
      </c>
      <c r="G1479" t="n">
        <v>9.9</v>
      </c>
      <c r="H1479" t="n">
        <v>0</v>
      </c>
      <c r="I1479" t="n">
        <v>0</v>
      </c>
      <c r="J1479" t="n">
        <v>0</v>
      </c>
      <c r="K1479" t="n">
        <v>0</v>
      </c>
      <c r="L1479" t="n">
        <v>0</v>
      </c>
      <c r="M1479" t="n">
        <v>0</v>
      </c>
      <c r="N1479" t="n">
        <v>0</v>
      </c>
      <c r="O1479" t="n">
        <v>0</v>
      </c>
      <c r="P1479" t="n">
        <v>0</v>
      </c>
      <c r="Q1479" t="n">
        <v>0</v>
      </c>
      <c r="R1479" s="2" t="inlineStr"/>
    </row>
    <row r="1480" ht="15" customHeight="1">
      <c r="A1480" t="inlineStr">
        <is>
          <t>A 22489-2025</t>
        </is>
      </c>
      <c r="B1480" s="1" t="n">
        <v>45786.64946759259</v>
      </c>
      <c r="C1480" s="1" t="n">
        <v>46029</v>
      </c>
      <c r="D1480" t="inlineStr">
        <is>
          <t>VÄSTERNORRLANDS LÄN</t>
        </is>
      </c>
      <c r="E1480" t="inlineStr">
        <is>
          <t>ÅNGE</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22549-2025</t>
        </is>
      </c>
      <c r="B1481" s="1" t="n">
        <v>45788.48113425926</v>
      </c>
      <c r="C1481" s="1" t="n">
        <v>46029</v>
      </c>
      <c r="D1481" t="inlineStr">
        <is>
          <t>VÄSTERNORRLANDS LÄN</t>
        </is>
      </c>
      <c r="E1481" t="inlineStr">
        <is>
          <t>ÅNGE</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22926-2025</t>
        </is>
      </c>
      <c r="B1482" s="1" t="n">
        <v>45790</v>
      </c>
      <c r="C1482" s="1" t="n">
        <v>46029</v>
      </c>
      <c r="D1482" t="inlineStr">
        <is>
          <t>VÄSTERNORRLANDS LÄN</t>
        </is>
      </c>
      <c r="E1482" t="inlineStr">
        <is>
          <t>ÅNGE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22928-2025</t>
        </is>
      </c>
      <c r="B1483" s="1" t="n">
        <v>45790.44825231482</v>
      </c>
      <c r="C1483" s="1" t="n">
        <v>46029</v>
      </c>
      <c r="D1483" t="inlineStr">
        <is>
          <t>VÄSTERNORRLANDS LÄN</t>
        </is>
      </c>
      <c r="E1483" t="inlineStr">
        <is>
          <t>ÅNGE</t>
        </is>
      </c>
      <c r="F1483" t="inlineStr">
        <is>
          <t>SCA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22791-2025</t>
        </is>
      </c>
      <c r="B1484" s="1" t="n">
        <v>45789.65663194445</v>
      </c>
      <c r="C1484" s="1" t="n">
        <v>46029</v>
      </c>
      <c r="D1484" t="inlineStr">
        <is>
          <t>VÄSTERNORRLANDS LÄN</t>
        </is>
      </c>
      <c r="E1484" t="inlineStr">
        <is>
          <t>ÅNGE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23091-2025</t>
        </is>
      </c>
      <c r="B1485" s="1" t="n">
        <v>45791.34456018519</v>
      </c>
      <c r="C1485" s="1" t="n">
        <v>46029</v>
      </c>
      <c r="D1485" t="inlineStr">
        <is>
          <t>VÄSTERNORRLANDS LÄN</t>
        </is>
      </c>
      <c r="E1485" t="inlineStr">
        <is>
          <t>ÅNGE</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23580-2025</t>
        </is>
      </c>
      <c r="B1486" s="1" t="n">
        <v>45792.62555555555</v>
      </c>
      <c r="C1486" s="1" t="n">
        <v>46029</v>
      </c>
      <c r="D1486" t="inlineStr">
        <is>
          <t>VÄSTERNORRLANDS LÄN</t>
        </is>
      </c>
      <c r="E1486" t="inlineStr">
        <is>
          <t>ÅNGE</t>
        </is>
      </c>
      <c r="F1486" t="inlineStr">
        <is>
          <t>Kyrkan</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23343-2025</t>
        </is>
      </c>
      <c r="B1487" s="1" t="n">
        <v>45791.65702546296</v>
      </c>
      <c r="C1487" s="1" t="n">
        <v>46029</v>
      </c>
      <c r="D1487" t="inlineStr">
        <is>
          <t>VÄSTERNORRLANDS LÄN</t>
        </is>
      </c>
      <c r="E1487" t="inlineStr">
        <is>
          <t>ÅNGE</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23573-2025</t>
        </is>
      </c>
      <c r="B1488" s="1" t="n">
        <v>45792.61497685185</v>
      </c>
      <c r="C1488" s="1" t="n">
        <v>46029</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23590-2025</t>
        </is>
      </c>
      <c r="B1489" s="1" t="n">
        <v>45792.63627314815</v>
      </c>
      <c r="C1489" s="1" t="n">
        <v>46029</v>
      </c>
      <c r="D1489" t="inlineStr">
        <is>
          <t>VÄSTERNORRLANDS LÄN</t>
        </is>
      </c>
      <c r="E1489" t="inlineStr">
        <is>
          <t>ÅNGE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23495-2025</t>
        </is>
      </c>
      <c r="B1490" s="1" t="n">
        <v>45792.46967592592</v>
      </c>
      <c r="C1490" s="1" t="n">
        <v>46029</v>
      </c>
      <c r="D1490" t="inlineStr">
        <is>
          <t>VÄSTERNORRLANDS LÄN</t>
        </is>
      </c>
      <c r="E1490" t="inlineStr">
        <is>
          <t>ÅNGE</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23589-2025</t>
        </is>
      </c>
      <c r="B1491" s="1" t="n">
        <v>45792.63618055556</v>
      </c>
      <c r="C1491" s="1" t="n">
        <v>46029</v>
      </c>
      <c r="D1491" t="inlineStr">
        <is>
          <t>VÄSTERNORRLANDS LÄN</t>
        </is>
      </c>
      <c r="E1491" t="inlineStr">
        <is>
          <t>ÅNGE</t>
        </is>
      </c>
      <c r="F1491" t="inlineStr">
        <is>
          <t>SCA</t>
        </is>
      </c>
      <c r="G1491" t="n">
        <v>10.7</v>
      </c>
      <c r="H1491" t="n">
        <v>0</v>
      </c>
      <c r="I1491" t="n">
        <v>0</v>
      </c>
      <c r="J1491" t="n">
        <v>0</v>
      </c>
      <c r="K1491" t="n">
        <v>0</v>
      </c>
      <c r="L1491" t="n">
        <v>0</v>
      </c>
      <c r="M1491" t="n">
        <v>0</v>
      </c>
      <c r="N1491" t="n">
        <v>0</v>
      </c>
      <c r="O1491" t="n">
        <v>0</v>
      </c>
      <c r="P1491" t="n">
        <v>0</v>
      </c>
      <c r="Q1491" t="n">
        <v>0</v>
      </c>
      <c r="R1491" s="2" t="inlineStr"/>
    </row>
    <row r="1492" ht="15" customHeight="1">
      <c r="A1492" t="inlineStr">
        <is>
          <t>A 23252-2025</t>
        </is>
      </c>
      <c r="B1492" s="1" t="n">
        <v>45791.53157407408</v>
      </c>
      <c r="C1492" s="1" t="n">
        <v>46029</v>
      </c>
      <c r="D1492" t="inlineStr">
        <is>
          <t>VÄSTERNORRLANDS LÄN</t>
        </is>
      </c>
      <c r="E1492" t="inlineStr">
        <is>
          <t>ÅNGE</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23529-2025</t>
        </is>
      </c>
      <c r="B1493" s="1" t="n">
        <v>45792.53158564815</v>
      </c>
      <c r="C1493" s="1" t="n">
        <v>46029</v>
      </c>
      <c r="D1493" t="inlineStr">
        <is>
          <t>VÄSTERNORRLANDS LÄN</t>
        </is>
      </c>
      <c r="E1493" t="inlineStr">
        <is>
          <t>ÅNGE</t>
        </is>
      </c>
      <c r="F1493" t="inlineStr">
        <is>
          <t>SCA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23552-2025</t>
        </is>
      </c>
      <c r="B1494" s="1" t="n">
        <v>45792.5738425926</v>
      </c>
      <c r="C1494" s="1" t="n">
        <v>46029</v>
      </c>
      <c r="D1494" t="inlineStr">
        <is>
          <t>VÄSTERNORRLANDS LÄN</t>
        </is>
      </c>
      <c r="E1494" t="inlineStr">
        <is>
          <t>ÅNGE</t>
        </is>
      </c>
      <c r="F1494" t="inlineStr">
        <is>
          <t>SCA</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23748-2025</t>
        </is>
      </c>
      <c r="B1495" s="1" t="n">
        <v>45793.44755787037</v>
      </c>
      <c r="C1495" s="1" t="n">
        <v>46029</v>
      </c>
      <c r="D1495" t="inlineStr">
        <is>
          <t>VÄSTERNORRLANDS LÄN</t>
        </is>
      </c>
      <c r="E1495" t="inlineStr">
        <is>
          <t>ÅNGE</t>
        </is>
      </c>
      <c r="F1495" t="inlineStr">
        <is>
          <t>Sveaskog</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43145-2024</t>
        </is>
      </c>
      <c r="B1496" s="1" t="n">
        <v>45567.63030092593</v>
      </c>
      <c r="C1496" s="1" t="n">
        <v>46029</v>
      </c>
      <c r="D1496" t="inlineStr">
        <is>
          <t>VÄSTERNORRLANDS LÄN</t>
        </is>
      </c>
      <c r="E1496" t="inlineStr">
        <is>
          <t>ÅNGE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23899-2025</t>
        </is>
      </c>
      <c r="B1497" s="1" t="n">
        <v>45794.34414351852</v>
      </c>
      <c r="C1497" s="1" t="n">
        <v>46029</v>
      </c>
      <c r="D1497" t="inlineStr">
        <is>
          <t>VÄSTERNORRLANDS LÄN</t>
        </is>
      </c>
      <c r="E1497" t="inlineStr">
        <is>
          <t>ÅNGE</t>
        </is>
      </c>
      <c r="F1497" t="inlineStr">
        <is>
          <t>SCA</t>
        </is>
      </c>
      <c r="G1497" t="n">
        <v>8.699999999999999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23917-2025</t>
        </is>
      </c>
      <c r="B1498" s="1" t="n">
        <v>45795.34481481482</v>
      </c>
      <c r="C1498" s="1" t="n">
        <v>46029</v>
      </c>
      <c r="D1498" t="inlineStr">
        <is>
          <t>VÄSTERNORRLANDS LÄN</t>
        </is>
      </c>
      <c r="E1498" t="inlineStr">
        <is>
          <t>ÅNGE</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56188-2024</t>
        </is>
      </c>
      <c r="B1499" s="1" t="n">
        <v>45624.57800925926</v>
      </c>
      <c r="C1499" s="1" t="n">
        <v>46029</v>
      </c>
      <c r="D1499" t="inlineStr">
        <is>
          <t>VÄSTERNORRLANDS LÄN</t>
        </is>
      </c>
      <c r="E1499" t="inlineStr">
        <is>
          <t>ÅNGE</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39843-2023</t>
        </is>
      </c>
      <c r="B1500" s="1" t="n">
        <v>45168</v>
      </c>
      <c r="C1500" s="1" t="n">
        <v>46029</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23975-2025</t>
        </is>
      </c>
      <c r="B1501" s="1" t="n">
        <v>45796.38614583333</v>
      </c>
      <c r="C1501" s="1" t="n">
        <v>46029</v>
      </c>
      <c r="D1501" t="inlineStr">
        <is>
          <t>VÄSTERNORRLANDS LÄN</t>
        </is>
      </c>
      <c r="E1501" t="inlineStr">
        <is>
          <t>ÅNGE</t>
        </is>
      </c>
      <c r="F1501" t="inlineStr">
        <is>
          <t>SCA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23976-2025</t>
        </is>
      </c>
      <c r="B1502" s="1" t="n">
        <v>45796.38625</v>
      </c>
      <c r="C1502" s="1" t="n">
        <v>46029</v>
      </c>
      <c r="D1502" t="inlineStr">
        <is>
          <t>VÄSTERNORRLANDS LÄN</t>
        </is>
      </c>
      <c r="E1502" t="inlineStr">
        <is>
          <t>ÅNGE</t>
        </is>
      </c>
      <c r="F1502" t="inlineStr">
        <is>
          <t>SCA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23921-2025</t>
        </is>
      </c>
      <c r="B1503" s="1" t="n">
        <v>45795.34513888889</v>
      </c>
      <c r="C1503" s="1" t="n">
        <v>46029</v>
      </c>
      <c r="D1503" t="inlineStr">
        <is>
          <t>VÄSTERNORRLANDS LÄN</t>
        </is>
      </c>
      <c r="E1503" t="inlineStr">
        <is>
          <t>ÅNGE</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54079-2023</t>
        </is>
      </c>
      <c r="B1504" s="1" t="n">
        <v>45231</v>
      </c>
      <c r="C1504" s="1" t="n">
        <v>46029</v>
      </c>
      <c r="D1504" t="inlineStr">
        <is>
          <t>VÄSTERNORRLANDS LÄN</t>
        </is>
      </c>
      <c r="E1504" t="inlineStr">
        <is>
          <t>ÅNGE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29702-2024</t>
        </is>
      </c>
      <c r="B1505" s="1" t="n">
        <v>45485.31525462963</v>
      </c>
      <c r="C1505" s="1" t="n">
        <v>46029</v>
      </c>
      <c r="D1505" t="inlineStr">
        <is>
          <t>VÄSTERNORRLANDS LÄN</t>
        </is>
      </c>
      <c r="E1505" t="inlineStr">
        <is>
          <t>ÅNGE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26641-2024</t>
        </is>
      </c>
      <c r="B1506" s="1" t="n">
        <v>45469.92836805555</v>
      </c>
      <c r="C1506" s="1" t="n">
        <v>46029</v>
      </c>
      <c r="D1506" t="inlineStr">
        <is>
          <t>VÄSTERNORRLANDS LÄN</t>
        </is>
      </c>
      <c r="E1506" t="inlineStr">
        <is>
          <t>ÅNGE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41741-2023</t>
        </is>
      </c>
      <c r="B1507" s="1" t="n">
        <v>45176.42164351852</v>
      </c>
      <c r="C1507" s="1" t="n">
        <v>46029</v>
      </c>
      <c r="D1507" t="inlineStr">
        <is>
          <t>VÄSTERNORRLANDS LÄN</t>
        </is>
      </c>
      <c r="E1507" t="inlineStr">
        <is>
          <t>ÅNGE</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37992-2024</t>
        </is>
      </c>
      <c r="B1508" s="1" t="n">
        <v>45544.59524305556</v>
      </c>
      <c r="C1508" s="1" t="n">
        <v>46029</v>
      </c>
      <c r="D1508" t="inlineStr">
        <is>
          <t>VÄSTERNORRLANDS LÄN</t>
        </is>
      </c>
      <c r="E1508" t="inlineStr">
        <is>
          <t>ÅNGE</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57516-2023</t>
        </is>
      </c>
      <c r="B1509" s="1" t="n">
        <v>45246.44665509259</v>
      </c>
      <c r="C1509" s="1" t="n">
        <v>46029</v>
      </c>
      <c r="D1509" t="inlineStr">
        <is>
          <t>VÄSTERNORRLANDS LÄN</t>
        </is>
      </c>
      <c r="E1509" t="inlineStr">
        <is>
          <t>ÅNGE</t>
        </is>
      </c>
      <c r="G1509" t="n">
        <v>2.2</v>
      </c>
      <c r="H1509" t="n">
        <v>0</v>
      </c>
      <c r="I1509" t="n">
        <v>0</v>
      </c>
      <c r="J1509" t="n">
        <v>0</v>
      </c>
      <c r="K1509" t="n">
        <v>0</v>
      </c>
      <c r="L1509" t="n">
        <v>0</v>
      </c>
      <c r="M1509" t="n">
        <v>0</v>
      </c>
      <c r="N1509" t="n">
        <v>0</v>
      </c>
      <c r="O1509" t="n">
        <v>0</v>
      </c>
      <c r="P1509" t="n">
        <v>0</v>
      </c>
      <c r="Q1509" t="n">
        <v>0</v>
      </c>
      <c r="R1509" s="2" t="inlineStr"/>
    </row>
    <row r="1510">
      <c r="A1510" t="inlineStr">
        <is>
          <t>A 23069-2024</t>
        </is>
      </c>
      <c r="B1510" s="1" t="n">
        <v>45450</v>
      </c>
      <c r="C1510" s="1" t="n">
        <v>46029</v>
      </c>
      <c r="D1510" t="inlineStr">
        <is>
          <t>VÄSTERNORRLANDS LÄN</t>
        </is>
      </c>
      <c r="E1510" t="inlineStr">
        <is>
          <t>ÅNGE</t>
        </is>
      </c>
      <c r="G1510" t="n">
        <v>1.5</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2026-01-07T10:49:16Z</dcterms:created>
  <dcterms:modified xmlns:dcterms="http://purl.org/dc/terms/" xmlns:xsi="http://www.w3.org/2001/XMLSchema-instance" xsi:type="dcterms:W3CDTF">2026-01-07T10:49:17Z</dcterms:modified>
</cp:coreProperties>
</file>