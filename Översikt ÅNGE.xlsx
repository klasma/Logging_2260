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45890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45890</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45890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45890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45890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45890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45890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45890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45890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45890</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45890</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45890</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45890</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45890</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45890</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45890</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45890</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45890</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45890</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45890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45890</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30840-2023</t>
        </is>
      </c>
      <c r="B39" s="1" t="n">
        <v>45112</v>
      </c>
      <c r="C39" s="1" t="n">
        <v>45890</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45890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45890</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30474-2025</t>
        </is>
      </c>
      <c r="B42" s="1" t="n">
        <v>45828.34430555555</v>
      </c>
      <c r="C42" s="1" t="n">
        <v>45890</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45890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45890</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44607-2021</t>
        </is>
      </c>
      <c r="B45" s="1" t="n">
        <v>44435</v>
      </c>
      <c r="C45" s="1" t="n">
        <v>45890</v>
      </c>
      <c r="D45" t="inlineStr">
        <is>
          <t>VÄSTERNORRLANDS LÄN</t>
        </is>
      </c>
      <c r="E45" t="inlineStr">
        <is>
          <t>ÅNGE</t>
        </is>
      </c>
      <c r="F45" t="inlineStr">
        <is>
          <t>SCA</t>
        </is>
      </c>
      <c r="G45" t="n">
        <v>7.2</v>
      </c>
      <c r="H45" t="n">
        <v>1</v>
      </c>
      <c r="I45" t="n">
        <v>2</v>
      </c>
      <c r="J45" t="n">
        <v>6</v>
      </c>
      <c r="K45" t="n">
        <v>1</v>
      </c>
      <c r="L45" t="n">
        <v>0</v>
      </c>
      <c r="M45" t="n">
        <v>0</v>
      </c>
      <c r="N45" t="n">
        <v>0</v>
      </c>
      <c r="O45" t="n">
        <v>7</v>
      </c>
      <c r="P45" t="n">
        <v>1</v>
      </c>
      <c r="Q45" t="n">
        <v>9</v>
      </c>
      <c r="R45" s="2" t="inlineStr">
        <is>
          <t>Fläckporing
Dvärgbägarlav
Kolflarnlav
Mörk kolflarnlav
Skrovlig taggsvamp
Talltita
Vedflamlav
Dropptaggsvamp
Vedticka</t>
        </is>
      </c>
      <c r="S45">
        <f>HYPERLINK("https://klasma.github.io/Logging_2260/artfynd/A 44607-2021 artfynd.xlsx", "A 44607-2021")</f>
        <v/>
      </c>
      <c r="T45">
        <f>HYPERLINK("https://klasma.github.io/Logging_2260/kartor/A 44607-2021 karta.png", "A 44607-2021")</f>
        <v/>
      </c>
      <c r="V45">
        <f>HYPERLINK("https://klasma.github.io/Logging_2260/klagomål/A 44607-2021 FSC-klagomål.docx", "A 44607-2021")</f>
        <v/>
      </c>
      <c r="W45">
        <f>HYPERLINK("https://klasma.github.io/Logging_2260/klagomålsmail/A 44607-2021 FSC-klagomål mail.docx", "A 44607-2021")</f>
        <v/>
      </c>
      <c r="X45">
        <f>HYPERLINK("https://klasma.github.io/Logging_2260/tillsyn/A 44607-2021 tillsynsbegäran.docx", "A 44607-2021")</f>
        <v/>
      </c>
      <c r="Y45">
        <f>HYPERLINK("https://klasma.github.io/Logging_2260/tillsynsmail/A 44607-2021 tillsynsbegäran mail.docx", "A 44607-2021")</f>
        <v/>
      </c>
      <c r="Z45">
        <f>HYPERLINK("https://klasma.github.io/Logging_2260/fåglar/A 44607-2021 prioriterade fågelarter.docx", "A 44607-2021")</f>
        <v/>
      </c>
    </row>
    <row r="46" ht="15" customHeight="1">
      <c r="A46" t="inlineStr">
        <is>
          <t>A 26314-2024</t>
        </is>
      </c>
      <c r="B46" s="1" t="n">
        <v>45468</v>
      </c>
      <c r="C46" s="1" t="n">
        <v>45890</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34786-2021</t>
        </is>
      </c>
      <c r="B47" s="1" t="n">
        <v>44382</v>
      </c>
      <c r="C47" s="1" t="n">
        <v>45890</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20694-2022</t>
        </is>
      </c>
      <c r="B48" s="1" t="n">
        <v>44700</v>
      </c>
      <c r="C48" s="1" t="n">
        <v>45890</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45890</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45890</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34519-2022</t>
        </is>
      </c>
      <c r="B51" s="1" t="n">
        <v>44792</v>
      </c>
      <c r="C51" s="1" t="n">
        <v>45890</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33783-2025</t>
        </is>
      </c>
      <c r="B52" s="1" t="n">
        <v>45842.40699074074</v>
      </c>
      <c r="C52" s="1" t="n">
        <v>45890</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40545-2024</t>
        </is>
      </c>
      <c r="B53" s="1" t="n">
        <v>45555</v>
      </c>
      <c r="C53" s="1" t="n">
        <v>45890</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45890</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45890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45890</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45890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45890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45890</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45890</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45890</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45890</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45890</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55147-2024</t>
        </is>
      </c>
      <c r="B67" s="1" t="n">
        <v>45621.49002314815</v>
      </c>
      <c r="C67" s="1" t="n">
        <v>45890</v>
      </c>
      <c r="D67" t="inlineStr">
        <is>
          <t>VÄSTERNORRLANDS LÄN</t>
        </is>
      </c>
      <c r="E67" t="inlineStr">
        <is>
          <t>ÅNGE</t>
        </is>
      </c>
      <c r="F67" t="inlineStr">
        <is>
          <t>SCA</t>
        </is>
      </c>
      <c r="G67" t="n">
        <v>1.3</v>
      </c>
      <c r="H67" t="n">
        <v>0</v>
      </c>
      <c r="I67" t="n">
        <v>1</v>
      </c>
      <c r="J67" t="n">
        <v>4</v>
      </c>
      <c r="K67" t="n">
        <v>1</v>
      </c>
      <c r="L67" t="n">
        <v>0</v>
      </c>
      <c r="M67" t="n">
        <v>0</v>
      </c>
      <c r="N67" t="n">
        <v>0</v>
      </c>
      <c r="O67" t="n">
        <v>5</v>
      </c>
      <c r="P67" t="n">
        <v>1</v>
      </c>
      <c r="Q67" t="n">
        <v>6</v>
      </c>
      <c r="R67" s="2" t="inlineStr">
        <is>
          <t>Fläckporing
Blågrå svartspik
Garnlav
Mörk kolflarnlav
Violettgrå tagellav
Dropptaggsvamp</t>
        </is>
      </c>
      <c r="S67">
        <f>HYPERLINK("https://klasma.github.io/Logging_2260/artfynd/A 55147-2024 artfynd.xlsx", "A 55147-2024")</f>
        <v/>
      </c>
      <c r="T67">
        <f>HYPERLINK("https://klasma.github.io/Logging_2260/kartor/A 55147-2024 karta.png", "A 55147-2024")</f>
        <v/>
      </c>
      <c r="U67">
        <f>HYPERLINK("https://klasma.github.io/Logging_2260/knärot/A 55147-2024 karta knärot.png", "A 55147-2024")</f>
        <v/>
      </c>
      <c r="V67">
        <f>HYPERLINK("https://klasma.github.io/Logging_2260/klagomål/A 55147-2024 FSC-klagomål.docx", "A 55147-2024")</f>
        <v/>
      </c>
      <c r="W67">
        <f>HYPERLINK("https://klasma.github.io/Logging_2260/klagomålsmail/A 55147-2024 FSC-klagomål mail.docx", "A 55147-2024")</f>
        <v/>
      </c>
      <c r="X67">
        <f>HYPERLINK("https://klasma.github.io/Logging_2260/tillsyn/A 55147-2024 tillsynsbegäran.docx", "A 55147-2024")</f>
        <v/>
      </c>
      <c r="Y67">
        <f>HYPERLINK("https://klasma.github.io/Logging_2260/tillsynsmail/A 55147-2024 tillsynsbegäran mail.docx", "A 55147-2024")</f>
        <v/>
      </c>
    </row>
    <row r="68" ht="15" customHeight="1">
      <c r="A68" t="inlineStr">
        <is>
          <t>A 10085-2023</t>
        </is>
      </c>
      <c r="B68" s="1" t="n">
        <v>44985.9447337963</v>
      </c>
      <c r="C68" s="1" t="n">
        <v>45890</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45890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45890</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45890</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27955-2021</t>
        </is>
      </c>
      <c r="B72" s="1" t="n">
        <v>44354</v>
      </c>
      <c r="C72" s="1" t="n">
        <v>45890</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24073-2025</t>
        </is>
      </c>
      <c r="B73" s="1" t="n">
        <v>45796.54840277778</v>
      </c>
      <c r="C73" s="1" t="n">
        <v>45890</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45890</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45890</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26363-2023</t>
        </is>
      </c>
      <c r="B76" s="1" t="n">
        <v>45091</v>
      </c>
      <c r="C76" s="1" t="n">
        <v>45890</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45890</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31364-2022</t>
        </is>
      </c>
      <c r="B78" s="1" t="n">
        <v>44774</v>
      </c>
      <c r="C78" s="1" t="n">
        <v>45890</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32911-2024</t>
        </is>
      </c>
      <c r="B79" s="1" t="n">
        <v>45516</v>
      </c>
      <c r="C79" s="1" t="n">
        <v>45890</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52269-2024</t>
        </is>
      </c>
      <c r="B80" s="1" t="n">
        <v>45608.65660879629</v>
      </c>
      <c r="C80" s="1" t="n">
        <v>45890</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45890</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62640-2020</t>
        </is>
      </c>
      <c r="B82" s="1" t="n">
        <v>44161</v>
      </c>
      <c r="C82" s="1" t="n">
        <v>45890</v>
      </c>
      <c r="D82" t="inlineStr">
        <is>
          <t>VÄSTERNORRLANDS LÄN</t>
        </is>
      </c>
      <c r="E82" t="inlineStr">
        <is>
          <t>ÅNGE</t>
        </is>
      </c>
      <c r="F82" t="inlineStr">
        <is>
          <t>Sveaskog</t>
        </is>
      </c>
      <c r="G82" t="n">
        <v>2</v>
      </c>
      <c r="H82" t="n">
        <v>1</v>
      </c>
      <c r="I82" t="n">
        <v>2</v>
      </c>
      <c r="J82" t="n">
        <v>0</v>
      </c>
      <c r="K82" t="n">
        <v>2</v>
      </c>
      <c r="L82" t="n">
        <v>0</v>
      </c>
      <c r="M82" t="n">
        <v>0</v>
      </c>
      <c r="N82" t="n">
        <v>0</v>
      </c>
      <c r="O82" t="n">
        <v>2</v>
      </c>
      <c r="P82" t="n">
        <v>2</v>
      </c>
      <c r="Q82" t="n">
        <v>5</v>
      </c>
      <c r="R82" s="2" t="inlineStr">
        <is>
          <t>Bitter taggsvamp
Rynkskinn
Kransrams
Svart trolldruva
Blåsippa</t>
        </is>
      </c>
      <c r="S82">
        <f>HYPERLINK("https://klasma.github.io/Logging_2260/artfynd/A 62640-2020 artfynd.xlsx", "A 62640-2020")</f>
        <v/>
      </c>
      <c r="T82">
        <f>HYPERLINK("https://klasma.github.io/Logging_2260/kartor/A 62640-2020 karta.png", "A 62640-2020")</f>
        <v/>
      </c>
      <c r="V82">
        <f>HYPERLINK("https://klasma.github.io/Logging_2260/klagomål/A 62640-2020 FSC-klagomål.docx", "A 62640-2020")</f>
        <v/>
      </c>
      <c r="W82">
        <f>HYPERLINK("https://klasma.github.io/Logging_2260/klagomålsmail/A 62640-2020 FSC-klagomål mail.docx", "A 62640-2020")</f>
        <v/>
      </c>
      <c r="X82">
        <f>HYPERLINK("https://klasma.github.io/Logging_2260/tillsyn/A 62640-2020 tillsynsbegäran.docx", "A 62640-2020")</f>
        <v/>
      </c>
      <c r="Y82">
        <f>HYPERLINK("https://klasma.github.io/Logging_2260/tillsynsmail/A 62640-2020 tillsynsbegäran mail.docx", "A 62640-2020")</f>
        <v/>
      </c>
    </row>
    <row r="83" ht="15" customHeight="1">
      <c r="A83" t="inlineStr">
        <is>
          <t>A 23601-2025</t>
        </is>
      </c>
      <c r="B83" s="1" t="n">
        <v>45792</v>
      </c>
      <c r="C83" s="1" t="n">
        <v>45890</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27914-2024</t>
        </is>
      </c>
      <c r="B84" s="1" t="n">
        <v>45475</v>
      </c>
      <c r="C84" s="1" t="n">
        <v>45890</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45890</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38327-2025</t>
        </is>
      </c>
      <c r="B86" s="1" t="n">
        <v>45883.49084490741</v>
      </c>
      <c r="C86" s="1" t="n">
        <v>45890</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45890</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55004-2023</t>
        </is>
      </c>
      <c r="B88" s="1" t="n">
        <v>45236</v>
      </c>
      <c r="C88" s="1" t="n">
        <v>45890</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45890</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53169-2020</t>
        </is>
      </c>
      <c r="B90" s="1" t="n">
        <v>44120</v>
      </c>
      <c r="C90" s="1" t="n">
        <v>45890</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44558-2024</t>
        </is>
      </c>
      <c r="B91" s="1" t="n">
        <v>45574.47001157407</v>
      </c>
      <c r="C91" s="1" t="n">
        <v>45890</v>
      </c>
      <c r="D91" t="inlineStr">
        <is>
          <t>VÄSTERNORRLANDS LÄN</t>
        </is>
      </c>
      <c r="E91" t="inlineStr">
        <is>
          <t>ÅNGE</t>
        </is>
      </c>
      <c r="F91" t="inlineStr">
        <is>
          <t>SCA</t>
        </is>
      </c>
      <c r="G91" t="n">
        <v>6.1</v>
      </c>
      <c r="H91" t="n">
        <v>0</v>
      </c>
      <c r="I91" t="n">
        <v>0</v>
      </c>
      <c r="J91" t="n">
        <v>3</v>
      </c>
      <c r="K91" t="n">
        <v>1</v>
      </c>
      <c r="L91" t="n">
        <v>0</v>
      </c>
      <c r="M91" t="n">
        <v>0</v>
      </c>
      <c r="N91" t="n">
        <v>0</v>
      </c>
      <c r="O91" t="n">
        <v>4</v>
      </c>
      <c r="P91" t="n">
        <v>1</v>
      </c>
      <c r="Q91" t="n">
        <v>4</v>
      </c>
      <c r="R91" s="2" t="inlineStr">
        <is>
          <t>Gräddporing
Kortskaftad ärgspik
Reliktbock
Ullticka</t>
        </is>
      </c>
      <c r="S91">
        <f>HYPERLINK("https://klasma.github.io/Logging_2260/artfynd/A 44558-2024 artfynd.xlsx", "A 44558-2024")</f>
        <v/>
      </c>
      <c r="T91">
        <f>HYPERLINK("https://klasma.github.io/Logging_2260/kartor/A 44558-2024 karta.png", "A 44558-2024")</f>
        <v/>
      </c>
      <c r="V91">
        <f>HYPERLINK("https://klasma.github.io/Logging_2260/klagomål/A 44558-2024 FSC-klagomål.docx", "A 44558-2024")</f>
        <v/>
      </c>
      <c r="W91">
        <f>HYPERLINK("https://klasma.github.io/Logging_2260/klagomålsmail/A 44558-2024 FSC-klagomål mail.docx", "A 44558-2024")</f>
        <v/>
      </c>
      <c r="X91">
        <f>HYPERLINK("https://klasma.github.io/Logging_2260/tillsyn/A 44558-2024 tillsynsbegäran.docx", "A 44558-2024")</f>
        <v/>
      </c>
      <c r="Y91">
        <f>HYPERLINK("https://klasma.github.io/Logging_2260/tillsynsmail/A 44558-2024 tillsynsbegäran mail.docx", "A 44558-2024")</f>
        <v/>
      </c>
    </row>
    <row r="92" ht="15" customHeight="1">
      <c r="A92" t="inlineStr">
        <is>
          <t>A 46548-2023</t>
        </is>
      </c>
      <c r="B92" s="1" t="n">
        <v>45197</v>
      </c>
      <c r="C92" s="1" t="n">
        <v>45890</v>
      </c>
      <c r="D92" t="inlineStr">
        <is>
          <t>VÄSTERNORRLANDS LÄN</t>
        </is>
      </c>
      <c r="E92" t="inlineStr">
        <is>
          <t>ÅNGE</t>
        </is>
      </c>
      <c r="F92" t="inlineStr">
        <is>
          <t>SCA</t>
        </is>
      </c>
      <c r="G92" t="n">
        <v>4.1</v>
      </c>
      <c r="H92" t="n">
        <v>3</v>
      </c>
      <c r="I92" t="n">
        <v>2</v>
      </c>
      <c r="J92" t="n">
        <v>0</v>
      </c>
      <c r="K92" t="n">
        <v>1</v>
      </c>
      <c r="L92" t="n">
        <v>0</v>
      </c>
      <c r="M92" t="n">
        <v>0</v>
      </c>
      <c r="N92" t="n">
        <v>0</v>
      </c>
      <c r="O92" t="n">
        <v>1</v>
      </c>
      <c r="P92" t="n">
        <v>1</v>
      </c>
      <c r="Q92" t="n">
        <v>4</v>
      </c>
      <c r="R92" s="2" t="inlineStr">
        <is>
          <t>Knärot
Spindelblomster
Svavelriska
Fläcknycklar</t>
        </is>
      </c>
      <c r="S92">
        <f>HYPERLINK("https://klasma.github.io/Logging_2260/artfynd/A 46548-2023 artfynd.xlsx", "A 46548-2023")</f>
        <v/>
      </c>
      <c r="T92">
        <f>HYPERLINK("https://klasma.github.io/Logging_2260/kartor/A 46548-2023 karta.png", "A 46548-2023")</f>
        <v/>
      </c>
      <c r="U92">
        <f>HYPERLINK("https://klasma.github.io/Logging_2260/knärot/A 46548-2023 karta knärot.png", "A 46548-2023")</f>
        <v/>
      </c>
      <c r="V92">
        <f>HYPERLINK("https://klasma.github.io/Logging_2260/klagomål/A 46548-2023 FSC-klagomål.docx", "A 46548-2023")</f>
        <v/>
      </c>
      <c r="W92">
        <f>HYPERLINK("https://klasma.github.io/Logging_2260/klagomålsmail/A 46548-2023 FSC-klagomål mail.docx", "A 46548-2023")</f>
        <v/>
      </c>
      <c r="X92">
        <f>HYPERLINK("https://klasma.github.io/Logging_2260/tillsyn/A 46548-2023 tillsynsbegäran.docx", "A 46548-2023")</f>
        <v/>
      </c>
      <c r="Y92">
        <f>HYPERLINK("https://klasma.github.io/Logging_2260/tillsynsmail/A 46548-2023 tillsynsbegäran mail.docx", "A 46548-2023")</f>
        <v/>
      </c>
    </row>
    <row r="93" ht="15" customHeight="1">
      <c r="A93" t="inlineStr">
        <is>
          <t>A 38326-2024</t>
        </is>
      </c>
      <c r="B93" s="1" t="n">
        <v>45545.67741898148</v>
      </c>
      <c r="C93" s="1" t="n">
        <v>45890</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57299-2022</t>
        </is>
      </c>
      <c r="B94" s="1" t="n">
        <v>44895.95090277777</v>
      </c>
      <c r="C94" s="1" t="n">
        <v>45890</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55179-2024</t>
        </is>
      </c>
      <c r="B95" s="1" t="n">
        <v>45621.53204861111</v>
      </c>
      <c r="C95" s="1" t="n">
        <v>45890</v>
      </c>
      <c r="D95" t="inlineStr">
        <is>
          <t>VÄSTERNORRLANDS LÄN</t>
        </is>
      </c>
      <c r="E95" t="inlineStr">
        <is>
          <t>ÅNGE</t>
        </is>
      </c>
      <c r="F95" t="inlineStr">
        <is>
          <t>SCA</t>
        </is>
      </c>
      <c r="G95" t="n">
        <v>3</v>
      </c>
      <c r="H95" t="n">
        <v>2</v>
      </c>
      <c r="I95" t="n">
        <v>1</v>
      </c>
      <c r="J95" t="n">
        <v>1</v>
      </c>
      <c r="K95" t="n">
        <v>0</v>
      </c>
      <c r="L95" t="n">
        <v>0</v>
      </c>
      <c r="M95" t="n">
        <v>0</v>
      </c>
      <c r="N95" t="n">
        <v>0</v>
      </c>
      <c r="O95" t="n">
        <v>1</v>
      </c>
      <c r="P95" t="n">
        <v>0</v>
      </c>
      <c r="Q95" t="n">
        <v>4</v>
      </c>
      <c r="R95" s="2" t="inlineStr">
        <is>
          <t>Lunglav
Stuplav
Fläcknycklar
Blåsippa</t>
        </is>
      </c>
      <c r="S95">
        <f>HYPERLINK("https://klasma.github.io/Logging_2260/artfynd/A 55179-2024 artfynd.xlsx", "A 55179-2024")</f>
        <v/>
      </c>
      <c r="T95">
        <f>HYPERLINK("https://klasma.github.io/Logging_2260/kartor/A 55179-2024 karta.png", "A 55179-2024")</f>
        <v/>
      </c>
      <c r="V95">
        <f>HYPERLINK("https://klasma.github.io/Logging_2260/klagomål/A 55179-2024 FSC-klagomål.docx", "A 55179-2024")</f>
        <v/>
      </c>
      <c r="W95">
        <f>HYPERLINK("https://klasma.github.io/Logging_2260/klagomålsmail/A 55179-2024 FSC-klagomål mail.docx", "A 55179-2024")</f>
        <v/>
      </c>
      <c r="X95">
        <f>HYPERLINK("https://klasma.github.io/Logging_2260/tillsyn/A 55179-2024 tillsynsbegäran.docx", "A 55179-2024")</f>
        <v/>
      </c>
      <c r="Y95">
        <f>HYPERLINK("https://klasma.github.io/Logging_2260/tillsynsmail/A 55179-2024 tillsynsbegäran mail.docx", "A 55179-2024")</f>
        <v/>
      </c>
    </row>
    <row r="96" ht="15" customHeight="1">
      <c r="A96" t="inlineStr">
        <is>
          <t>A 39176-2024</t>
        </is>
      </c>
      <c r="B96" s="1" t="n">
        <v>45548</v>
      </c>
      <c r="C96" s="1" t="n">
        <v>45890</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26953-2024</t>
        </is>
      </c>
      <c r="B97" s="1" t="n">
        <v>45470</v>
      </c>
      <c r="C97" s="1" t="n">
        <v>45890</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38713-2025</t>
        </is>
      </c>
      <c r="B98" s="1" t="n">
        <v>45886.34479166667</v>
      </c>
      <c r="C98" s="1" t="n">
        <v>45890</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11029-2025</t>
        </is>
      </c>
      <c r="B99" s="1" t="n">
        <v>45723</v>
      </c>
      <c r="C99" s="1" t="n">
        <v>45890</v>
      </c>
      <c r="D99" t="inlineStr">
        <is>
          <t>VÄSTERNORRLANDS LÄN</t>
        </is>
      </c>
      <c r="E99" t="inlineStr">
        <is>
          <t>ÅNGE</t>
        </is>
      </c>
      <c r="G99" t="n">
        <v>1.3</v>
      </c>
      <c r="H99" t="n">
        <v>3</v>
      </c>
      <c r="I99" t="n">
        <v>0</v>
      </c>
      <c r="J99" t="n">
        <v>1</v>
      </c>
      <c r="K99" t="n">
        <v>1</v>
      </c>
      <c r="L99" t="n">
        <v>0</v>
      </c>
      <c r="M99" t="n">
        <v>0</v>
      </c>
      <c r="N99" t="n">
        <v>0</v>
      </c>
      <c r="O99" t="n">
        <v>2</v>
      </c>
      <c r="P99" t="n">
        <v>1</v>
      </c>
      <c r="Q99" t="n">
        <v>4</v>
      </c>
      <c r="R99" s="2" t="inlineStr">
        <is>
          <t>Knärot
Garnlav
Vanlig groda
Revlummer</t>
        </is>
      </c>
      <c r="S99">
        <f>HYPERLINK("https://klasma.github.io/Logging_2260/artfynd/A 11029-2025 artfynd.xlsx", "A 11029-2025")</f>
        <v/>
      </c>
      <c r="T99">
        <f>HYPERLINK("https://klasma.github.io/Logging_2260/kartor/A 11029-2025 karta.png", "A 11029-2025")</f>
        <v/>
      </c>
      <c r="U99">
        <f>HYPERLINK("https://klasma.github.io/Logging_2260/knärot/A 11029-2025 karta knärot.png", "A 11029-2025")</f>
        <v/>
      </c>
      <c r="V99">
        <f>HYPERLINK("https://klasma.github.io/Logging_2260/klagomål/A 11029-2025 FSC-klagomål.docx", "A 11029-2025")</f>
        <v/>
      </c>
      <c r="W99">
        <f>HYPERLINK("https://klasma.github.io/Logging_2260/klagomålsmail/A 11029-2025 FSC-klagomål mail.docx", "A 11029-2025")</f>
        <v/>
      </c>
      <c r="X99">
        <f>HYPERLINK("https://klasma.github.io/Logging_2260/tillsyn/A 11029-2025 tillsynsbegäran.docx", "A 11029-2025")</f>
        <v/>
      </c>
      <c r="Y99">
        <f>HYPERLINK("https://klasma.github.io/Logging_2260/tillsynsmail/A 11029-2025 tillsynsbegäran mail.docx", "A 11029-2025")</f>
        <v/>
      </c>
    </row>
    <row r="100" ht="15" customHeight="1">
      <c r="A100" t="inlineStr">
        <is>
          <t>A 723-2025</t>
        </is>
      </c>
      <c r="B100" s="1" t="n">
        <v>45665.38576388889</v>
      </c>
      <c r="C100" s="1" t="n">
        <v>45890</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27956-2021</t>
        </is>
      </c>
      <c r="B101" s="1" t="n">
        <v>44354</v>
      </c>
      <c r="C101" s="1" t="n">
        <v>45890</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45890</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39181-2024</t>
        </is>
      </c>
      <c r="B103" s="1" t="n">
        <v>45548</v>
      </c>
      <c r="C103" s="1" t="n">
        <v>45890</v>
      </c>
      <c r="D103" t="inlineStr">
        <is>
          <t>VÄSTERNORRLANDS LÄN</t>
        </is>
      </c>
      <c r="E103" t="inlineStr">
        <is>
          <t>ÅNGE</t>
        </is>
      </c>
      <c r="F103" t="inlineStr">
        <is>
          <t>SCA</t>
        </is>
      </c>
      <c r="G103" t="n">
        <v>21.1</v>
      </c>
      <c r="H103" t="n">
        <v>1</v>
      </c>
      <c r="I103" t="n">
        <v>1</v>
      </c>
      <c r="J103" t="n">
        <v>1</v>
      </c>
      <c r="K103" t="n">
        <v>1</v>
      </c>
      <c r="L103" t="n">
        <v>0</v>
      </c>
      <c r="M103" t="n">
        <v>0</v>
      </c>
      <c r="N103" t="n">
        <v>0</v>
      </c>
      <c r="O103" t="n">
        <v>2</v>
      </c>
      <c r="P103" t="n">
        <v>1</v>
      </c>
      <c r="Q103" t="n">
        <v>3</v>
      </c>
      <c r="R103" s="2" t="inlineStr">
        <is>
          <t>Knärot
Granticka
Kransrams</t>
        </is>
      </c>
      <c r="S103">
        <f>HYPERLINK("https://klasma.github.io/Logging_2260/artfynd/A 39181-2024 artfynd.xlsx", "A 39181-2024")</f>
        <v/>
      </c>
      <c r="T103">
        <f>HYPERLINK("https://klasma.github.io/Logging_2260/kartor/A 39181-2024 karta.png", "A 39181-2024")</f>
        <v/>
      </c>
      <c r="U103">
        <f>HYPERLINK("https://klasma.github.io/Logging_2260/knärot/A 39181-2024 karta knärot.png", "A 39181-2024")</f>
        <v/>
      </c>
      <c r="V103">
        <f>HYPERLINK("https://klasma.github.io/Logging_2260/klagomål/A 39181-2024 FSC-klagomål.docx", "A 39181-2024")</f>
        <v/>
      </c>
      <c r="W103">
        <f>HYPERLINK("https://klasma.github.io/Logging_2260/klagomålsmail/A 39181-2024 FSC-klagomål mail.docx", "A 39181-2024")</f>
        <v/>
      </c>
      <c r="X103">
        <f>HYPERLINK("https://klasma.github.io/Logging_2260/tillsyn/A 39181-2024 tillsynsbegäran.docx", "A 39181-2024")</f>
        <v/>
      </c>
      <c r="Y103">
        <f>HYPERLINK("https://klasma.github.io/Logging_2260/tillsynsmail/A 39181-2024 tillsynsbegäran mail.docx", "A 39181-2024")</f>
        <v/>
      </c>
    </row>
    <row r="104" ht="15" customHeight="1">
      <c r="A104" t="inlineStr">
        <is>
          <t>A 24796-2024</t>
        </is>
      </c>
      <c r="B104" s="1" t="n">
        <v>45460</v>
      </c>
      <c r="C104" s="1" t="n">
        <v>45890</v>
      </c>
      <c r="D104" t="inlineStr">
        <is>
          <t>VÄSTERNORRLANDS LÄN</t>
        </is>
      </c>
      <c r="E104" t="inlineStr">
        <is>
          <t>ÅNGE</t>
        </is>
      </c>
      <c r="F104" t="inlineStr">
        <is>
          <t>SCA</t>
        </is>
      </c>
      <c r="G104" t="n">
        <v>6.7</v>
      </c>
      <c r="H104" t="n">
        <v>1</v>
      </c>
      <c r="I104" t="n">
        <v>2</v>
      </c>
      <c r="J104" t="n">
        <v>1</v>
      </c>
      <c r="K104" t="n">
        <v>0</v>
      </c>
      <c r="L104" t="n">
        <v>0</v>
      </c>
      <c r="M104" t="n">
        <v>0</v>
      </c>
      <c r="N104" t="n">
        <v>0</v>
      </c>
      <c r="O104" t="n">
        <v>1</v>
      </c>
      <c r="P104" t="n">
        <v>0</v>
      </c>
      <c r="Q104" t="n">
        <v>3</v>
      </c>
      <c r="R104" s="2" t="inlineStr">
        <is>
          <t>Doftskinn
Korallrot
Skinnlav</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row>
    <row r="105" ht="15" customHeight="1">
      <c r="A105" t="inlineStr">
        <is>
          <t>A 28274-2023</t>
        </is>
      </c>
      <c r="B105" s="1" t="n">
        <v>45099</v>
      </c>
      <c r="C105" s="1" t="n">
        <v>45890</v>
      </c>
      <c r="D105" t="inlineStr">
        <is>
          <t>VÄSTERNORRLANDS LÄN</t>
        </is>
      </c>
      <c r="E105" t="inlineStr">
        <is>
          <t>ÅNGE</t>
        </is>
      </c>
      <c r="G105" t="n">
        <v>19.2</v>
      </c>
      <c r="H105" t="n">
        <v>1</v>
      </c>
      <c r="I105" t="n">
        <v>1</v>
      </c>
      <c r="J105" t="n">
        <v>1</v>
      </c>
      <c r="K105" t="n">
        <v>1</v>
      </c>
      <c r="L105" t="n">
        <v>0</v>
      </c>
      <c r="M105" t="n">
        <v>0</v>
      </c>
      <c r="N105" t="n">
        <v>0</v>
      </c>
      <c r="O105" t="n">
        <v>2</v>
      </c>
      <c r="P105" t="n">
        <v>1</v>
      </c>
      <c r="Q105" t="n">
        <v>3</v>
      </c>
      <c r="R105" s="2" t="inlineStr">
        <is>
          <t>Knärot
Lunglav
Grönpyrola</t>
        </is>
      </c>
      <c r="S105">
        <f>HYPERLINK("https://klasma.github.io/Logging_2260/artfynd/A 28274-2023 artfynd.xlsx", "A 28274-2023")</f>
        <v/>
      </c>
      <c r="T105">
        <f>HYPERLINK("https://klasma.github.io/Logging_2260/kartor/A 28274-2023 karta.png", "A 28274-2023")</f>
        <v/>
      </c>
      <c r="U105">
        <f>HYPERLINK("https://klasma.github.io/Logging_2260/knärot/A 28274-2023 karta knärot.png", "A 28274-2023")</f>
        <v/>
      </c>
      <c r="V105">
        <f>HYPERLINK("https://klasma.github.io/Logging_2260/klagomål/A 28274-2023 FSC-klagomål.docx", "A 28274-2023")</f>
        <v/>
      </c>
      <c r="W105">
        <f>HYPERLINK("https://klasma.github.io/Logging_2260/klagomålsmail/A 28274-2023 FSC-klagomål mail.docx", "A 28274-2023")</f>
        <v/>
      </c>
      <c r="X105">
        <f>HYPERLINK("https://klasma.github.io/Logging_2260/tillsyn/A 28274-2023 tillsynsbegäran.docx", "A 28274-2023")</f>
        <v/>
      </c>
      <c r="Y105">
        <f>HYPERLINK("https://klasma.github.io/Logging_2260/tillsynsmail/A 28274-2023 tillsynsbegäran mail.docx", "A 28274-2023")</f>
        <v/>
      </c>
    </row>
    <row r="106" ht="15" customHeight="1">
      <c r="A106" t="inlineStr">
        <is>
          <t>A 21267-2025</t>
        </is>
      </c>
      <c r="B106" s="1" t="n">
        <v>45779</v>
      </c>
      <c r="C106" s="1" t="n">
        <v>45890</v>
      </c>
      <c r="D106" t="inlineStr">
        <is>
          <t>VÄSTERNORRLANDS LÄN</t>
        </is>
      </c>
      <c r="E106" t="inlineStr">
        <is>
          <t>ÅNGE</t>
        </is>
      </c>
      <c r="F106" t="inlineStr">
        <is>
          <t>Sveaskog</t>
        </is>
      </c>
      <c r="G106" t="n">
        <v>3.7</v>
      </c>
      <c r="H106" t="n">
        <v>2</v>
      </c>
      <c r="I106" t="n">
        <v>2</v>
      </c>
      <c r="J106" t="n">
        <v>1</v>
      </c>
      <c r="K106" t="n">
        <v>0</v>
      </c>
      <c r="L106" t="n">
        <v>0</v>
      </c>
      <c r="M106" t="n">
        <v>0</v>
      </c>
      <c r="N106" t="n">
        <v>0</v>
      </c>
      <c r="O106" t="n">
        <v>1</v>
      </c>
      <c r="P106" t="n">
        <v>0</v>
      </c>
      <c r="Q106" t="n">
        <v>3</v>
      </c>
      <c r="R106" s="2" t="inlineStr">
        <is>
          <t>Lunglav
Korallrot
Spindelblomster</t>
        </is>
      </c>
      <c r="S106">
        <f>HYPERLINK("https://klasma.github.io/Logging_2260/artfynd/A 21267-2025 artfynd.xlsx", "A 21267-2025")</f>
        <v/>
      </c>
      <c r="T106">
        <f>HYPERLINK("https://klasma.github.io/Logging_2260/kartor/A 21267-2025 karta.png", "A 21267-2025")</f>
        <v/>
      </c>
      <c r="V106">
        <f>HYPERLINK("https://klasma.github.io/Logging_2260/klagomål/A 21267-2025 FSC-klagomål.docx", "A 21267-2025")</f>
        <v/>
      </c>
      <c r="W106">
        <f>HYPERLINK("https://klasma.github.io/Logging_2260/klagomålsmail/A 21267-2025 FSC-klagomål mail.docx", "A 21267-2025")</f>
        <v/>
      </c>
      <c r="X106">
        <f>HYPERLINK("https://klasma.github.io/Logging_2260/tillsyn/A 21267-2025 tillsynsbegäran.docx", "A 21267-2025")</f>
        <v/>
      </c>
      <c r="Y106">
        <f>HYPERLINK("https://klasma.github.io/Logging_2260/tillsynsmail/A 21267-2025 tillsynsbegäran mail.docx", "A 21267-2025")</f>
        <v/>
      </c>
    </row>
    <row r="107" ht="15" customHeight="1">
      <c r="A107" t="inlineStr">
        <is>
          <t>A 29665-2024</t>
        </is>
      </c>
      <c r="B107" s="1" t="n">
        <v>45484</v>
      </c>
      <c r="C107" s="1" t="n">
        <v>45890</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39179-2024</t>
        </is>
      </c>
      <c r="B108" s="1" t="n">
        <v>45548.65703703704</v>
      </c>
      <c r="C108" s="1" t="n">
        <v>45890</v>
      </c>
      <c r="D108" t="inlineStr">
        <is>
          <t>VÄSTERNORRLANDS LÄN</t>
        </is>
      </c>
      <c r="E108" t="inlineStr">
        <is>
          <t>ÅNGE</t>
        </is>
      </c>
      <c r="F108" t="inlineStr">
        <is>
          <t>SCA</t>
        </is>
      </c>
      <c r="G108" t="n">
        <v>4.2</v>
      </c>
      <c r="H108" t="n">
        <v>1</v>
      </c>
      <c r="I108" t="n">
        <v>2</v>
      </c>
      <c r="J108" t="n">
        <v>1</v>
      </c>
      <c r="K108" t="n">
        <v>0</v>
      </c>
      <c r="L108" t="n">
        <v>0</v>
      </c>
      <c r="M108" t="n">
        <v>0</v>
      </c>
      <c r="N108" t="n">
        <v>0</v>
      </c>
      <c r="O108" t="n">
        <v>1</v>
      </c>
      <c r="P108" t="n">
        <v>0</v>
      </c>
      <c r="Q108" t="n">
        <v>3</v>
      </c>
      <c r="R108" s="2" t="inlineStr">
        <is>
          <t>Rosenticka
Fjällig taggsvamp s.str.
Spindelblomster</t>
        </is>
      </c>
      <c r="S108">
        <f>HYPERLINK("https://klasma.github.io/Logging_2260/artfynd/A 39179-2024 artfynd.xlsx", "A 39179-2024")</f>
        <v/>
      </c>
      <c r="T108">
        <f>HYPERLINK("https://klasma.github.io/Logging_2260/kartor/A 39179-2024 karta.png", "A 39179-2024")</f>
        <v/>
      </c>
      <c r="V108">
        <f>HYPERLINK("https://klasma.github.io/Logging_2260/klagomål/A 39179-2024 FSC-klagomål.docx", "A 39179-2024")</f>
        <v/>
      </c>
      <c r="W108">
        <f>HYPERLINK("https://klasma.github.io/Logging_2260/klagomålsmail/A 39179-2024 FSC-klagomål mail.docx", "A 39179-2024")</f>
        <v/>
      </c>
      <c r="X108">
        <f>HYPERLINK("https://klasma.github.io/Logging_2260/tillsyn/A 39179-2024 tillsynsbegäran.docx", "A 39179-2024")</f>
        <v/>
      </c>
      <c r="Y108">
        <f>HYPERLINK("https://klasma.github.io/Logging_2260/tillsynsmail/A 39179-2024 tillsynsbegäran mail.docx", "A 39179-2024")</f>
        <v/>
      </c>
    </row>
    <row r="109" ht="15" customHeight="1">
      <c r="A109" t="inlineStr">
        <is>
          <t>A 39708-2024</t>
        </is>
      </c>
      <c r="B109" s="1" t="n">
        <v>45552.59408564815</v>
      </c>
      <c r="C109" s="1" t="n">
        <v>45890</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23754-2025</t>
        </is>
      </c>
      <c r="B110" s="1" t="n">
        <v>45793.45782407407</v>
      </c>
      <c r="C110" s="1" t="n">
        <v>45890</v>
      </c>
      <c r="D110" t="inlineStr">
        <is>
          <t>VÄSTERNORRLANDS LÄN</t>
        </is>
      </c>
      <c r="E110" t="inlineStr">
        <is>
          <t>ÅNGE</t>
        </is>
      </c>
      <c r="F110" t="inlineStr">
        <is>
          <t>Sveaskog</t>
        </is>
      </c>
      <c r="G110" t="n">
        <v>4.3</v>
      </c>
      <c r="H110" t="n">
        <v>3</v>
      </c>
      <c r="I110" t="n">
        <v>0</v>
      </c>
      <c r="J110" t="n">
        <v>1</v>
      </c>
      <c r="K110" t="n">
        <v>0</v>
      </c>
      <c r="L110" t="n">
        <v>0</v>
      </c>
      <c r="M110" t="n">
        <v>0</v>
      </c>
      <c r="N110" t="n">
        <v>0</v>
      </c>
      <c r="O110" t="n">
        <v>1</v>
      </c>
      <c r="P110" t="n">
        <v>0</v>
      </c>
      <c r="Q110" t="n">
        <v>3</v>
      </c>
      <c r="R110" s="2" t="inlineStr">
        <is>
          <t>Spillkråka
Tjäder
Blåsippa</t>
        </is>
      </c>
      <c r="S110">
        <f>HYPERLINK("https://klasma.github.io/Logging_2260/artfynd/A 23754-2025 artfynd.xlsx", "A 23754-2025")</f>
        <v/>
      </c>
      <c r="T110">
        <f>HYPERLINK("https://klasma.github.io/Logging_2260/kartor/A 23754-2025 karta.png", "A 23754-2025")</f>
        <v/>
      </c>
      <c r="U110">
        <f>HYPERLINK("https://klasma.github.io/Logging_2260/knärot/A 23754-2025 karta knärot.png", "A 23754-2025")</f>
        <v/>
      </c>
      <c r="V110">
        <f>HYPERLINK("https://klasma.github.io/Logging_2260/klagomål/A 23754-2025 FSC-klagomål.docx", "A 23754-2025")</f>
        <v/>
      </c>
      <c r="W110">
        <f>HYPERLINK("https://klasma.github.io/Logging_2260/klagomålsmail/A 23754-2025 FSC-klagomål mail.docx", "A 23754-2025")</f>
        <v/>
      </c>
      <c r="X110">
        <f>HYPERLINK("https://klasma.github.io/Logging_2260/tillsyn/A 23754-2025 tillsynsbegäran.docx", "A 23754-2025")</f>
        <v/>
      </c>
      <c r="Y110">
        <f>HYPERLINK("https://klasma.github.io/Logging_2260/tillsynsmail/A 23754-2025 tillsynsbegäran mail.docx", "A 23754-2025")</f>
        <v/>
      </c>
      <c r="Z110">
        <f>HYPERLINK("https://klasma.github.io/Logging_2260/fåglar/A 23754-2025 prioriterade fågelarter.docx", "A 23754-2025")</f>
        <v/>
      </c>
    </row>
    <row r="111" ht="15" customHeight="1">
      <c r="A111" t="inlineStr">
        <is>
          <t>A 23759-2025</t>
        </is>
      </c>
      <c r="B111" s="1" t="n">
        <v>45793.46409722222</v>
      </c>
      <c r="C111" s="1" t="n">
        <v>45890</v>
      </c>
      <c r="D111" t="inlineStr">
        <is>
          <t>VÄSTERNORRLANDS LÄN</t>
        </is>
      </c>
      <c r="E111" t="inlineStr">
        <is>
          <t>ÅNGE</t>
        </is>
      </c>
      <c r="F111" t="inlineStr">
        <is>
          <t>Sveaskog</t>
        </is>
      </c>
      <c r="G111" t="n">
        <v>5.2</v>
      </c>
      <c r="H111" t="n">
        <v>0</v>
      </c>
      <c r="I111" t="n">
        <v>1</v>
      </c>
      <c r="J111" t="n">
        <v>2</v>
      </c>
      <c r="K111" t="n">
        <v>0</v>
      </c>
      <c r="L111" t="n">
        <v>0</v>
      </c>
      <c r="M111" t="n">
        <v>0</v>
      </c>
      <c r="N111" t="n">
        <v>0</v>
      </c>
      <c r="O111" t="n">
        <v>2</v>
      </c>
      <c r="P111" t="n">
        <v>0</v>
      </c>
      <c r="Q111" t="n">
        <v>3</v>
      </c>
      <c r="R111" s="2" t="inlineStr">
        <is>
          <t>Lunglav
Skrovellav
Korallblylav</t>
        </is>
      </c>
      <c r="S111">
        <f>HYPERLINK("https://klasma.github.io/Logging_2260/artfynd/A 23759-2025 artfynd.xlsx", "A 23759-2025")</f>
        <v/>
      </c>
      <c r="T111">
        <f>HYPERLINK("https://klasma.github.io/Logging_2260/kartor/A 23759-2025 karta.png", "A 23759-2025")</f>
        <v/>
      </c>
      <c r="V111">
        <f>HYPERLINK("https://klasma.github.io/Logging_2260/klagomål/A 23759-2025 FSC-klagomål.docx", "A 23759-2025")</f>
        <v/>
      </c>
      <c r="W111">
        <f>HYPERLINK("https://klasma.github.io/Logging_2260/klagomålsmail/A 23759-2025 FSC-klagomål mail.docx", "A 23759-2025")</f>
        <v/>
      </c>
      <c r="X111">
        <f>HYPERLINK("https://klasma.github.io/Logging_2260/tillsyn/A 23759-2025 tillsynsbegäran.docx", "A 23759-2025")</f>
        <v/>
      </c>
      <c r="Y111">
        <f>HYPERLINK("https://klasma.github.io/Logging_2260/tillsynsmail/A 23759-2025 tillsynsbegäran mail.docx", "A 23759-2025")</f>
        <v/>
      </c>
    </row>
    <row r="112" ht="15" customHeight="1">
      <c r="A112" t="inlineStr">
        <is>
          <t>A 22996-2023</t>
        </is>
      </c>
      <c r="B112" s="1" t="n">
        <v>45072</v>
      </c>
      <c r="C112" s="1" t="n">
        <v>45890</v>
      </c>
      <c r="D112" t="inlineStr">
        <is>
          <t>VÄSTERNORRLANDS LÄN</t>
        </is>
      </c>
      <c r="E112" t="inlineStr">
        <is>
          <t>ÅNGE</t>
        </is>
      </c>
      <c r="F112" t="inlineStr">
        <is>
          <t>SCA</t>
        </is>
      </c>
      <c r="G112" t="n">
        <v>2.2</v>
      </c>
      <c r="H112" t="n">
        <v>1</v>
      </c>
      <c r="I112" t="n">
        <v>0</v>
      </c>
      <c r="J112" t="n">
        <v>2</v>
      </c>
      <c r="K112" t="n">
        <v>1</v>
      </c>
      <c r="L112" t="n">
        <v>0</v>
      </c>
      <c r="M112" t="n">
        <v>0</v>
      </c>
      <c r="N112" t="n">
        <v>0</v>
      </c>
      <c r="O112" t="n">
        <v>3</v>
      </c>
      <c r="P112" t="n">
        <v>1</v>
      </c>
      <c r="Q112" t="n">
        <v>3</v>
      </c>
      <c r="R112" s="2" t="inlineStr">
        <is>
          <t>Knärot
Garnlav
Vedtrappmossa</t>
        </is>
      </c>
      <c r="S112">
        <f>HYPERLINK("https://klasma.github.io/Logging_2260/artfynd/A 22996-2023 artfynd.xlsx", "A 22996-2023")</f>
        <v/>
      </c>
      <c r="T112">
        <f>HYPERLINK("https://klasma.github.io/Logging_2260/kartor/A 22996-2023 karta.png", "A 22996-2023")</f>
        <v/>
      </c>
      <c r="U112">
        <f>HYPERLINK("https://klasma.github.io/Logging_2260/knärot/A 22996-2023 karta knärot.png", "A 22996-2023")</f>
        <v/>
      </c>
      <c r="V112">
        <f>HYPERLINK("https://klasma.github.io/Logging_2260/klagomål/A 22996-2023 FSC-klagomål.docx", "A 22996-2023")</f>
        <v/>
      </c>
      <c r="W112">
        <f>HYPERLINK("https://klasma.github.io/Logging_2260/klagomålsmail/A 22996-2023 FSC-klagomål mail.docx", "A 22996-2023")</f>
        <v/>
      </c>
      <c r="X112">
        <f>HYPERLINK("https://klasma.github.io/Logging_2260/tillsyn/A 22996-2023 tillsynsbegäran.docx", "A 22996-2023")</f>
        <v/>
      </c>
      <c r="Y112">
        <f>HYPERLINK("https://klasma.github.io/Logging_2260/tillsynsmail/A 22996-2023 tillsynsbegäran mail.docx", "A 22996-2023")</f>
        <v/>
      </c>
    </row>
    <row r="113" ht="15" customHeight="1">
      <c r="A113" t="inlineStr">
        <is>
          <t>A 26679-2025</t>
        </is>
      </c>
      <c r="B113" s="1" t="n">
        <v>45810</v>
      </c>
      <c r="C113" s="1" t="n">
        <v>45890</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16307-2025</t>
        </is>
      </c>
      <c r="B114" s="1" t="n">
        <v>45751.34686342593</v>
      </c>
      <c r="C114" s="1" t="n">
        <v>45890</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47617-2024</t>
        </is>
      </c>
      <c r="B115" s="1" t="n">
        <v>45588.32125</v>
      </c>
      <c r="C115" s="1" t="n">
        <v>45890</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31212-2025</t>
        </is>
      </c>
      <c r="B116" s="1" t="n">
        <v>45832.71978009259</v>
      </c>
      <c r="C116" s="1" t="n">
        <v>45890</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45890</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45890</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45890</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45890</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29691-2024</t>
        </is>
      </c>
      <c r="B121" s="1" t="n">
        <v>45484.9446875</v>
      </c>
      <c r="C121" s="1" t="n">
        <v>45890</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45890</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46130-2020</t>
        </is>
      </c>
      <c r="B123" s="1" t="n">
        <v>44091</v>
      </c>
      <c r="C123" s="1" t="n">
        <v>45890</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36635-2021</t>
        </is>
      </c>
      <c r="B124" s="1" t="n">
        <v>44391</v>
      </c>
      <c r="C124" s="1" t="n">
        <v>45890</v>
      </c>
      <c r="D124" t="inlineStr">
        <is>
          <t>VÄSTERNORRLANDS LÄN</t>
        </is>
      </c>
      <c r="E124" t="inlineStr">
        <is>
          <t>ÅNGE</t>
        </is>
      </c>
      <c r="F124" t="inlineStr">
        <is>
          <t>SCA</t>
        </is>
      </c>
      <c r="G124" t="n">
        <v>3.7</v>
      </c>
      <c r="H124" t="n">
        <v>1</v>
      </c>
      <c r="I124" t="n">
        <v>0</v>
      </c>
      <c r="J124" t="n">
        <v>1</v>
      </c>
      <c r="K124" t="n">
        <v>1</v>
      </c>
      <c r="L124" t="n">
        <v>0</v>
      </c>
      <c r="M124" t="n">
        <v>0</v>
      </c>
      <c r="N124" t="n">
        <v>0</v>
      </c>
      <c r="O124" t="n">
        <v>2</v>
      </c>
      <c r="P124" t="n">
        <v>1</v>
      </c>
      <c r="Q124" t="n">
        <v>2</v>
      </c>
      <c r="R124" s="2" t="inlineStr">
        <is>
          <t>Knärot
Tallticka</t>
        </is>
      </c>
      <c r="S124">
        <f>HYPERLINK("https://klasma.github.io/Logging_2260/artfynd/A 36635-2021 artfynd.xlsx", "A 36635-2021")</f>
        <v/>
      </c>
      <c r="T124">
        <f>HYPERLINK("https://klasma.github.io/Logging_2260/kartor/A 36635-2021 karta.png", "A 36635-2021")</f>
        <v/>
      </c>
      <c r="U124">
        <f>HYPERLINK("https://klasma.github.io/Logging_2260/knärot/A 36635-2021 karta knärot.png", "A 36635-2021")</f>
        <v/>
      </c>
      <c r="V124">
        <f>HYPERLINK("https://klasma.github.io/Logging_2260/klagomål/A 36635-2021 FSC-klagomål.docx", "A 36635-2021")</f>
        <v/>
      </c>
      <c r="W124">
        <f>HYPERLINK("https://klasma.github.io/Logging_2260/klagomålsmail/A 36635-2021 FSC-klagomål mail.docx", "A 36635-2021")</f>
        <v/>
      </c>
      <c r="X124">
        <f>HYPERLINK("https://klasma.github.io/Logging_2260/tillsyn/A 36635-2021 tillsynsbegäran.docx", "A 36635-2021")</f>
        <v/>
      </c>
      <c r="Y124">
        <f>HYPERLINK("https://klasma.github.io/Logging_2260/tillsynsmail/A 36635-2021 tillsynsbegäran mail.docx", "A 36635-2021")</f>
        <v/>
      </c>
    </row>
    <row r="125" ht="15" customHeight="1">
      <c r="A125" t="inlineStr">
        <is>
          <t>A 1082-2022</t>
        </is>
      </c>
      <c r="B125" s="1" t="n">
        <v>44571</v>
      </c>
      <c r="C125" s="1" t="n">
        <v>45890</v>
      </c>
      <c r="D125" t="inlineStr">
        <is>
          <t>VÄSTERNORRLANDS LÄN</t>
        </is>
      </c>
      <c r="E125" t="inlineStr">
        <is>
          <t>ÅNGE</t>
        </is>
      </c>
      <c r="G125" t="n">
        <v>0.9</v>
      </c>
      <c r="H125" t="n">
        <v>1</v>
      </c>
      <c r="I125" t="n">
        <v>0</v>
      </c>
      <c r="J125" t="n">
        <v>2</v>
      </c>
      <c r="K125" t="n">
        <v>0</v>
      </c>
      <c r="L125" t="n">
        <v>0</v>
      </c>
      <c r="M125" t="n">
        <v>0</v>
      </c>
      <c r="N125" t="n">
        <v>0</v>
      </c>
      <c r="O125" t="n">
        <v>2</v>
      </c>
      <c r="P125" t="n">
        <v>0</v>
      </c>
      <c r="Q125" t="n">
        <v>2</v>
      </c>
      <c r="R125" s="2" t="inlineStr">
        <is>
          <t>Garnlav
Talltita</t>
        </is>
      </c>
      <c r="S125">
        <f>HYPERLINK("https://klasma.github.io/Logging_2260/artfynd/A 1082-2022 artfynd.xlsx", "A 1082-2022")</f>
        <v/>
      </c>
      <c r="T125">
        <f>HYPERLINK("https://klasma.github.io/Logging_2260/kartor/A 1082-2022 karta.png", "A 1082-2022")</f>
        <v/>
      </c>
      <c r="V125">
        <f>HYPERLINK("https://klasma.github.io/Logging_2260/klagomål/A 1082-2022 FSC-klagomål.docx", "A 1082-2022")</f>
        <v/>
      </c>
      <c r="W125">
        <f>HYPERLINK("https://klasma.github.io/Logging_2260/klagomålsmail/A 1082-2022 FSC-klagomål mail.docx", "A 1082-2022")</f>
        <v/>
      </c>
      <c r="X125">
        <f>HYPERLINK("https://klasma.github.io/Logging_2260/tillsyn/A 1082-2022 tillsynsbegäran.docx", "A 1082-2022")</f>
        <v/>
      </c>
      <c r="Y125">
        <f>HYPERLINK("https://klasma.github.io/Logging_2260/tillsynsmail/A 1082-2022 tillsynsbegäran mail.docx", "A 1082-2022")</f>
        <v/>
      </c>
      <c r="Z125">
        <f>HYPERLINK("https://klasma.github.io/Logging_2260/fåglar/A 1082-2022 prioriterade fågelarter.docx", "A 1082-2022")</f>
        <v/>
      </c>
    </row>
    <row r="126" ht="15" customHeight="1">
      <c r="A126" t="inlineStr">
        <is>
          <t>A 47798-2022</t>
        </is>
      </c>
      <c r="B126" s="1" t="n">
        <v>44854.95365740741</v>
      </c>
      <c r="C126" s="1" t="n">
        <v>45890</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48152-2022</t>
        </is>
      </c>
      <c r="B127" s="1" t="n">
        <v>44853</v>
      </c>
      <c r="C127" s="1" t="n">
        <v>45890</v>
      </c>
      <c r="D127" t="inlineStr">
        <is>
          <t>VÄSTERNORRLANDS LÄN</t>
        </is>
      </c>
      <c r="E127" t="inlineStr">
        <is>
          <t>ÅNGE</t>
        </is>
      </c>
      <c r="G127" t="n">
        <v>2.9</v>
      </c>
      <c r="H127" t="n">
        <v>0</v>
      </c>
      <c r="I127" t="n">
        <v>0</v>
      </c>
      <c r="J127" t="n">
        <v>2</v>
      </c>
      <c r="K127" t="n">
        <v>0</v>
      </c>
      <c r="L127" t="n">
        <v>0</v>
      </c>
      <c r="M127" t="n">
        <v>0</v>
      </c>
      <c r="N127" t="n">
        <v>0</v>
      </c>
      <c r="O127" t="n">
        <v>2</v>
      </c>
      <c r="P127" t="n">
        <v>0</v>
      </c>
      <c r="Q127" t="n">
        <v>2</v>
      </c>
      <c r="R127" s="2" t="inlineStr">
        <is>
          <t>Lunglav
Skrovellav</t>
        </is>
      </c>
      <c r="S127">
        <f>HYPERLINK("https://klasma.github.io/Logging_2260/artfynd/A 48152-2022 artfynd.xlsx", "A 48152-2022")</f>
        <v/>
      </c>
      <c r="T127">
        <f>HYPERLINK("https://klasma.github.io/Logging_2260/kartor/A 48152-2022 karta.png", "A 48152-2022")</f>
        <v/>
      </c>
      <c r="V127">
        <f>HYPERLINK("https://klasma.github.io/Logging_2260/klagomål/A 48152-2022 FSC-klagomål.docx", "A 48152-2022")</f>
        <v/>
      </c>
      <c r="W127">
        <f>HYPERLINK("https://klasma.github.io/Logging_2260/klagomålsmail/A 48152-2022 FSC-klagomål mail.docx", "A 48152-2022")</f>
        <v/>
      </c>
      <c r="X127">
        <f>HYPERLINK("https://klasma.github.io/Logging_2260/tillsyn/A 48152-2022 tillsynsbegäran.docx", "A 48152-2022")</f>
        <v/>
      </c>
      <c r="Y127">
        <f>HYPERLINK("https://klasma.github.io/Logging_2260/tillsynsmail/A 48152-2022 tillsynsbegäran mail.docx", "A 48152-2022")</f>
        <v/>
      </c>
    </row>
    <row r="128" ht="15" customHeight="1">
      <c r="A128" t="inlineStr">
        <is>
          <t>A 47799-2022</t>
        </is>
      </c>
      <c r="B128" s="1" t="n">
        <v>44854.95371527778</v>
      </c>
      <c r="C128" s="1" t="n">
        <v>45890</v>
      </c>
      <c r="D128" t="inlineStr">
        <is>
          <t>VÄSTERNORRLANDS LÄN</t>
        </is>
      </c>
      <c r="E128" t="inlineStr">
        <is>
          <t>ÅNGE</t>
        </is>
      </c>
      <c r="F128" t="inlineStr">
        <is>
          <t>SCA</t>
        </is>
      </c>
      <c r="G128" t="n">
        <v>5</v>
      </c>
      <c r="H128" t="n">
        <v>1</v>
      </c>
      <c r="I128" t="n">
        <v>0</v>
      </c>
      <c r="J128" t="n">
        <v>1</v>
      </c>
      <c r="K128" t="n">
        <v>0</v>
      </c>
      <c r="L128" t="n">
        <v>0</v>
      </c>
      <c r="M128" t="n">
        <v>0</v>
      </c>
      <c r="N128" t="n">
        <v>0</v>
      </c>
      <c r="O128" t="n">
        <v>1</v>
      </c>
      <c r="P128" t="n">
        <v>0</v>
      </c>
      <c r="Q128" t="n">
        <v>2</v>
      </c>
      <c r="R128" s="2" t="inlineStr">
        <is>
          <t>Lunglav
Fläcknycklar</t>
        </is>
      </c>
      <c r="S128">
        <f>HYPERLINK("https://klasma.github.io/Logging_2260/artfynd/A 47799-2022 artfynd.xlsx", "A 47799-2022")</f>
        <v/>
      </c>
      <c r="T128">
        <f>HYPERLINK("https://klasma.github.io/Logging_2260/kartor/A 47799-2022 karta.png", "A 47799-2022")</f>
        <v/>
      </c>
      <c r="V128">
        <f>HYPERLINK("https://klasma.github.io/Logging_2260/klagomål/A 47799-2022 FSC-klagomål.docx", "A 47799-2022")</f>
        <v/>
      </c>
      <c r="W128">
        <f>HYPERLINK("https://klasma.github.io/Logging_2260/klagomålsmail/A 47799-2022 FSC-klagomål mail.docx", "A 47799-2022")</f>
        <v/>
      </c>
      <c r="X128">
        <f>HYPERLINK("https://klasma.github.io/Logging_2260/tillsyn/A 47799-2022 tillsynsbegäran.docx", "A 47799-2022")</f>
        <v/>
      </c>
      <c r="Y128">
        <f>HYPERLINK("https://klasma.github.io/Logging_2260/tillsynsmail/A 47799-2022 tillsynsbegäran mail.docx", "A 47799-2022")</f>
        <v/>
      </c>
    </row>
    <row r="129" ht="15" customHeight="1">
      <c r="A129" t="inlineStr">
        <is>
          <t>A 40965-2021</t>
        </is>
      </c>
      <c r="B129" s="1" t="n">
        <v>44421.57918981482</v>
      </c>
      <c r="C129" s="1" t="n">
        <v>45890</v>
      </c>
      <c r="D129" t="inlineStr">
        <is>
          <t>VÄSTERNORRLANDS LÄN</t>
        </is>
      </c>
      <c r="E129" t="inlineStr">
        <is>
          <t>ÅNGE</t>
        </is>
      </c>
      <c r="F129" t="inlineStr">
        <is>
          <t>Sveaskog</t>
        </is>
      </c>
      <c r="G129" t="n">
        <v>5.4</v>
      </c>
      <c r="H129" t="n">
        <v>1</v>
      </c>
      <c r="I129" t="n">
        <v>1</v>
      </c>
      <c r="J129" t="n">
        <v>1</v>
      </c>
      <c r="K129" t="n">
        <v>0</v>
      </c>
      <c r="L129" t="n">
        <v>0</v>
      </c>
      <c r="M129" t="n">
        <v>0</v>
      </c>
      <c r="N129" t="n">
        <v>0</v>
      </c>
      <c r="O129" t="n">
        <v>1</v>
      </c>
      <c r="P129" t="n">
        <v>0</v>
      </c>
      <c r="Q129" t="n">
        <v>2</v>
      </c>
      <c r="R129" s="2" t="inlineStr">
        <is>
          <t>Skogsfru
Skogsbräsma</t>
        </is>
      </c>
      <c r="S129">
        <f>HYPERLINK("https://klasma.github.io/Logging_2260/artfynd/A 40965-2021 artfynd.xlsx", "A 40965-2021")</f>
        <v/>
      </c>
      <c r="T129">
        <f>HYPERLINK("https://klasma.github.io/Logging_2260/kartor/A 40965-2021 karta.png", "A 40965-2021")</f>
        <v/>
      </c>
      <c r="V129">
        <f>HYPERLINK("https://klasma.github.io/Logging_2260/klagomål/A 40965-2021 FSC-klagomål.docx", "A 40965-2021")</f>
        <v/>
      </c>
      <c r="W129">
        <f>HYPERLINK("https://klasma.github.io/Logging_2260/klagomålsmail/A 40965-2021 FSC-klagomål mail.docx", "A 40965-2021")</f>
        <v/>
      </c>
      <c r="X129">
        <f>HYPERLINK("https://klasma.github.io/Logging_2260/tillsyn/A 40965-2021 tillsynsbegäran.docx", "A 40965-2021")</f>
        <v/>
      </c>
      <c r="Y129">
        <f>HYPERLINK("https://klasma.github.io/Logging_2260/tillsynsmail/A 40965-2021 tillsynsbegäran mail.docx", "A 40965-2021")</f>
        <v/>
      </c>
    </row>
    <row r="130" ht="15" customHeight="1">
      <c r="A130" t="inlineStr">
        <is>
          <t>A 8234-2022</t>
        </is>
      </c>
      <c r="B130" s="1" t="n">
        <v>44609</v>
      </c>
      <c r="C130" s="1" t="n">
        <v>45890</v>
      </c>
      <c r="D130" t="inlineStr">
        <is>
          <t>VÄSTERNORRLANDS LÄN</t>
        </is>
      </c>
      <c r="E130" t="inlineStr">
        <is>
          <t>ÅNGE</t>
        </is>
      </c>
      <c r="F130" t="inlineStr">
        <is>
          <t>SCA</t>
        </is>
      </c>
      <c r="G130" t="n">
        <v>2.3</v>
      </c>
      <c r="H130" t="n">
        <v>1</v>
      </c>
      <c r="I130" t="n">
        <v>0</v>
      </c>
      <c r="J130" t="n">
        <v>1</v>
      </c>
      <c r="K130" t="n">
        <v>0</v>
      </c>
      <c r="L130" t="n">
        <v>0</v>
      </c>
      <c r="M130" t="n">
        <v>0</v>
      </c>
      <c r="N130" t="n">
        <v>0</v>
      </c>
      <c r="O130" t="n">
        <v>1</v>
      </c>
      <c r="P130" t="n">
        <v>0</v>
      </c>
      <c r="Q130" t="n">
        <v>2</v>
      </c>
      <c r="R130" s="2" t="inlineStr">
        <is>
          <t>Garnlav
Revlummer</t>
        </is>
      </c>
      <c r="S130">
        <f>HYPERLINK("https://klasma.github.io/Logging_2260/artfynd/A 8234-2022 artfynd.xlsx", "A 8234-2022")</f>
        <v/>
      </c>
      <c r="T130">
        <f>HYPERLINK("https://klasma.github.io/Logging_2260/kartor/A 8234-2022 karta.png", "A 8234-2022")</f>
        <v/>
      </c>
      <c r="V130">
        <f>HYPERLINK("https://klasma.github.io/Logging_2260/klagomål/A 8234-2022 FSC-klagomål.docx", "A 8234-2022")</f>
        <v/>
      </c>
      <c r="W130">
        <f>HYPERLINK("https://klasma.github.io/Logging_2260/klagomålsmail/A 8234-2022 FSC-klagomål mail.docx", "A 8234-2022")</f>
        <v/>
      </c>
      <c r="X130">
        <f>HYPERLINK("https://klasma.github.io/Logging_2260/tillsyn/A 8234-2022 tillsynsbegäran.docx", "A 8234-2022")</f>
        <v/>
      </c>
      <c r="Y130">
        <f>HYPERLINK("https://klasma.github.io/Logging_2260/tillsynsmail/A 8234-2022 tillsynsbegäran mail.docx", "A 8234-2022")</f>
        <v/>
      </c>
    </row>
    <row r="131" ht="15" customHeight="1">
      <c r="A131" t="inlineStr">
        <is>
          <t>A 48695-2024</t>
        </is>
      </c>
      <c r="B131" s="1" t="n">
        <v>45593.5109837963</v>
      </c>
      <c r="C131" s="1" t="n">
        <v>45890</v>
      </c>
      <c r="D131" t="inlineStr">
        <is>
          <t>VÄSTERNORRLANDS LÄN</t>
        </is>
      </c>
      <c r="E131" t="inlineStr">
        <is>
          <t>ÅNGE</t>
        </is>
      </c>
      <c r="F131" t="inlineStr">
        <is>
          <t>SCA</t>
        </is>
      </c>
      <c r="G131" t="n">
        <v>1.2</v>
      </c>
      <c r="H131" t="n">
        <v>0</v>
      </c>
      <c r="I131" t="n">
        <v>0</v>
      </c>
      <c r="J131" t="n">
        <v>2</v>
      </c>
      <c r="K131" t="n">
        <v>0</v>
      </c>
      <c r="L131" t="n">
        <v>0</v>
      </c>
      <c r="M131" t="n">
        <v>0</v>
      </c>
      <c r="N131" t="n">
        <v>0</v>
      </c>
      <c r="O131" t="n">
        <v>2</v>
      </c>
      <c r="P131" t="n">
        <v>0</v>
      </c>
      <c r="Q131" t="n">
        <v>2</v>
      </c>
      <c r="R131" s="2" t="inlineStr">
        <is>
          <t>Lunglav
Ullticka</t>
        </is>
      </c>
      <c r="S131">
        <f>HYPERLINK("https://klasma.github.io/Logging_2260/artfynd/A 48695-2024 artfynd.xlsx", "A 48695-2024")</f>
        <v/>
      </c>
      <c r="T131">
        <f>HYPERLINK("https://klasma.github.io/Logging_2260/kartor/A 48695-2024 karta.png", "A 48695-2024")</f>
        <v/>
      </c>
      <c r="V131">
        <f>HYPERLINK("https://klasma.github.io/Logging_2260/klagomål/A 48695-2024 FSC-klagomål.docx", "A 48695-2024")</f>
        <v/>
      </c>
      <c r="W131">
        <f>HYPERLINK("https://klasma.github.io/Logging_2260/klagomålsmail/A 48695-2024 FSC-klagomål mail.docx", "A 48695-2024")</f>
        <v/>
      </c>
      <c r="X131">
        <f>HYPERLINK("https://klasma.github.io/Logging_2260/tillsyn/A 48695-2024 tillsynsbegäran.docx", "A 48695-2024")</f>
        <v/>
      </c>
      <c r="Y131">
        <f>HYPERLINK("https://klasma.github.io/Logging_2260/tillsynsmail/A 48695-2024 tillsynsbegäran mail.docx", "A 48695-2024")</f>
        <v/>
      </c>
    </row>
    <row r="132" ht="15" customHeight="1">
      <c r="A132" t="inlineStr">
        <is>
          <t>A 165-2025</t>
        </is>
      </c>
      <c r="B132" s="1" t="n">
        <v>45659</v>
      </c>
      <c r="C132" s="1" t="n">
        <v>45890</v>
      </c>
      <c r="D132" t="inlineStr">
        <is>
          <t>VÄSTERNORRLANDS LÄN</t>
        </is>
      </c>
      <c r="E132" t="inlineStr">
        <is>
          <t>ÅNGE</t>
        </is>
      </c>
      <c r="G132" t="n">
        <v>13.9</v>
      </c>
      <c r="H132" t="n">
        <v>1</v>
      </c>
      <c r="I132" t="n">
        <v>0</v>
      </c>
      <c r="J132" t="n">
        <v>2</v>
      </c>
      <c r="K132" t="n">
        <v>0</v>
      </c>
      <c r="L132" t="n">
        <v>0</v>
      </c>
      <c r="M132" t="n">
        <v>0</v>
      </c>
      <c r="N132" t="n">
        <v>0</v>
      </c>
      <c r="O132" t="n">
        <v>2</v>
      </c>
      <c r="P132" t="n">
        <v>0</v>
      </c>
      <c r="Q132" t="n">
        <v>2</v>
      </c>
      <c r="R132" s="2" t="inlineStr">
        <is>
          <t>Doftskinn
Tretåig hackspett</t>
        </is>
      </c>
      <c r="S132">
        <f>HYPERLINK("https://klasma.github.io/Logging_2260/artfynd/A 165-2025 artfynd.xlsx", "A 165-2025")</f>
        <v/>
      </c>
      <c r="T132">
        <f>HYPERLINK("https://klasma.github.io/Logging_2260/kartor/A 165-2025 karta.png", "A 165-2025")</f>
        <v/>
      </c>
      <c r="V132">
        <f>HYPERLINK("https://klasma.github.io/Logging_2260/klagomål/A 165-2025 FSC-klagomål.docx", "A 165-2025")</f>
        <v/>
      </c>
      <c r="W132">
        <f>HYPERLINK("https://klasma.github.io/Logging_2260/klagomålsmail/A 165-2025 FSC-klagomål mail.docx", "A 165-2025")</f>
        <v/>
      </c>
      <c r="X132">
        <f>HYPERLINK("https://klasma.github.io/Logging_2260/tillsyn/A 165-2025 tillsynsbegäran.docx", "A 165-2025")</f>
        <v/>
      </c>
      <c r="Y132">
        <f>HYPERLINK("https://klasma.github.io/Logging_2260/tillsynsmail/A 165-2025 tillsynsbegäran mail.docx", "A 165-2025")</f>
        <v/>
      </c>
      <c r="Z132">
        <f>HYPERLINK("https://klasma.github.io/Logging_2260/fåglar/A 165-2025 prioriterade fågelarter.docx", "A 165-2025")</f>
        <v/>
      </c>
    </row>
    <row r="133" ht="15" customHeight="1">
      <c r="A133" t="inlineStr">
        <is>
          <t>A 55591-2021</t>
        </is>
      </c>
      <c r="B133" s="1" t="n">
        <v>44475</v>
      </c>
      <c r="C133" s="1" t="n">
        <v>45890</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24795-2024</t>
        </is>
      </c>
      <c r="B134" s="1" t="n">
        <v>45460.95252314815</v>
      </c>
      <c r="C134" s="1" t="n">
        <v>45890</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17861-2023</t>
        </is>
      </c>
      <c r="B135" s="1" t="n">
        <v>45037.94171296297</v>
      </c>
      <c r="C135" s="1" t="n">
        <v>45890</v>
      </c>
      <c r="D135" t="inlineStr">
        <is>
          <t>VÄSTERNORRLANDS LÄN</t>
        </is>
      </c>
      <c r="E135" t="inlineStr">
        <is>
          <t>ÅNGE</t>
        </is>
      </c>
      <c r="F135" t="inlineStr">
        <is>
          <t>SCA</t>
        </is>
      </c>
      <c r="G135" t="n">
        <v>1.1</v>
      </c>
      <c r="H135" t="n">
        <v>0</v>
      </c>
      <c r="I135" t="n">
        <v>1</v>
      </c>
      <c r="J135" t="n">
        <v>1</v>
      </c>
      <c r="K135" t="n">
        <v>0</v>
      </c>
      <c r="L135" t="n">
        <v>0</v>
      </c>
      <c r="M135" t="n">
        <v>0</v>
      </c>
      <c r="N135" t="n">
        <v>0</v>
      </c>
      <c r="O135" t="n">
        <v>1</v>
      </c>
      <c r="P135" t="n">
        <v>0</v>
      </c>
      <c r="Q135" t="n">
        <v>2</v>
      </c>
      <c r="R135" s="2" t="inlineStr">
        <is>
          <t>Skrovlig taggsvamp
Dropptaggsvamp</t>
        </is>
      </c>
      <c r="S135">
        <f>HYPERLINK("https://klasma.github.io/Logging_2260/artfynd/A 17861-2023 artfynd.xlsx", "A 17861-2023")</f>
        <v/>
      </c>
      <c r="T135">
        <f>HYPERLINK("https://klasma.github.io/Logging_2260/kartor/A 17861-2023 karta.png", "A 17861-2023")</f>
        <v/>
      </c>
      <c r="V135">
        <f>HYPERLINK("https://klasma.github.io/Logging_2260/klagomål/A 17861-2023 FSC-klagomål.docx", "A 17861-2023")</f>
        <v/>
      </c>
      <c r="W135">
        <f>HYPERLINK("https://klasma.github.io/Logging_2260/klagomålsmail/A 17861-2023 FSC-klagomål mail.docx", "A 17861-2023")</f>
        <v/>
      </c>
      <c r="X135">
        <f>HYPERLINK("https://klasma.github.io/Logging_2260/tillsyn/A 17861-2023 tillsynsbegäran.docx", "A 17861-2023")</f>
        <v/>
      </c>
      <c r="Y135">
        <f>HYPERLINK("https://klasma.github.io/Logging_2260/tillsynsmail/A 17861-2023 tillsynsbegäran mail.docx", "A 17861-2023")</f>
        <v/>
      </c>
    </row>
    <row r="136" ht="15" customHeight="1">
      <c r="A136" t="inlineStr">
        <is>
          <t>A 32659-2024</t>
        </is>
      </c>
      <c r="B136" s="1" t="n">
        <v>45513</v>
      </c>
      <c r="C136" s="1" t="n">
        <v>45890</v>
      </c>
      <c r="D136" t="inlineStr">
        <is>
          <t>VÄSTERNORRLANDS LÄN</t>
        </is>
      </c>
      <c r="E136" t="inlineStr">
        <is>
          <t>ÅNGE</t>
        </is>
      </c>
      <c r="F136" t="inlineStr">
        <is>
          <t>SCA</t>
        </is>
      </c>
      <c r="G136" t="n">
        <v>6.9</v>
      </c>
      <c r="H136" t="n">
        <v>0</v>
      </c>
      <c r="I136" t="n">
        <v>0</v>
      </c>
      <c r="J136" t="n">
        <v>2</v>
      </c>
      <c r="K136" t="n">
        <v>0</v>
      </c>
      <c r="L136" t="n">
        <v>0</v>
      </c>
      <c r="M136" t="n">
        <v>0</v>
      </c>
      <c r="N136" t="n">
        <v>0</v>
      </c>
      <c r="O136" t="n">
        <v>2</v>
      </c>
      <c r="P136" t="n">
        <v>0</v>
      </c>
      <c r="Q136" t="n">
        <v>2</v>
      </c>
      <c r="R136" s="2" t="inlineStr">
        <is>
          <t>Lunglav
Stjärntagging</t>
        </is>
      </c>
      <c r="S136">
        <f>HYPERLINK("https://klasma.github.io/Logging_2260/artfynd/A 32659-2024 artfynd.xlsx", "A 32659-2024")</f>
        <v/>
      </c>
      <c r="T136">
        <f>HYPERLINK("https://klasma.github.io/Logging_2260/kartor/A 32659-2024 karta.png", "A 32659-2024")</f>
        <v/>
      </c>
      <c r="V136">
        <f>HYPERLINK("https://klasma.github.io/Logging_2260/klagomål/A 32659-2024 FSC-klagomål.docx", "A 32659-2024")</f>
        <v/>
      </c>
      <c r="W136">
        <f>HYPERLINK("https://klasma.github.io/Logging_2260/klagomålsmail/A 32659-2024 FSC-klagomål mail.docx", "A 32659-2024")</f>
        <v/>
      </c>
      <c r="X136">
        <f>HYPERLINK("https://klasma.github.io/Logging_2260/tillsyn/A 32659-2024 tillsynsbegäran.docx", "A 32659-2024")</f>
        <v/>
      </c>
      <c r="Y136">
        <f>HYPERLINK("https://klasma.github.io/Logging_2260/tillsynsmail/A 32659-2024 tillsynsbegäran mail.docx", "A 32659-2024")</f>
        <v/>
      </c>
    </row>
    <row r="137" ht="15" customHeight="1">
      <c r="A137" t="inlineStr">
        <is>
          <t>A 21453-2025</t>
        </is>
      </c>
      <c r="B137" s="1" t="n">
        <v>45782.55311342593</v>
      </c>
      <c r="C137" s="1" t="n">
        <v>45890</v>
      </c>
      <c r="D137" t="inlineStr">
        <is>
          <t>VÄSTERNORRLANDS LÄN</t>
        </is>
      </c>
      <c r="E137" t="inlineStr">
        <is>
          <t>ÅNGE</t>
        </is>
      </c>
      <c r="F137" t="inlineStr">
        <is>
          <t>SCA</t>
        </is>
      </c>
      <c r="G137" t="n">
        <v>1</v>
      </c>
      <c r="H137" t="n">
        <v>0</v>
      </c>
      <c r="I137" t="n">
        <v>2</v>
      </c>
      <c r="J137" t="n">
        <v>0</v>
      </c>
      <c r="K137" t="n">
        <v>0</v>
      </c>
      <c r="L137" t="n">
        <v>0</v>
      </c>
      <c r="M137" t="n">
        <v>0</v>
      </c>
      <c r="N137" t="n">
        <v>0</v>
      </c>
      <c r="O137" t="n">
        <v>0</v>
      </c>
      <c r="P137" t="n">
        <v>0</v>
      </c>
      <c r="Q137" t="n">
        <v>2</v>
      </c>
      <c r="R137" s="2" t="inlineStr">
        <is>
          <t>Svart trolldruva
Tibast</t>
        </is>
      </c>
      <c r="S137">
        <f>HYPERLINK("https://klasma.github.io/Logging_2260/artfynd/A 21453-2025 artfynd.xlsx", "A 21453-2025")</f>
        <v/>
      </c>
      <c r="T137">
        <f>HYPERLINK("https://klasma.github.io/Logging_2260/kartor/A 21453-2025 karta.png", "A 21453-2025")</f>
        <v/>
      </c>
      <c r="V137">
        <f>HYPERLINK("https://klasma.github.io/Logging_2260/klagomål/A 21453-2025 FSC-klagomål.docx", "A 21453-2025")</f>
        <v/>
      </c>
      <c r="W137">
        <f>HYPERLINK("https://klasma.github.io/Logging_2260/klagomålsmail/A 21453-2025 FSC-klagomål mail.docx", "A 21453-2025")</f>
        <v/>
      </c>
      <c r="X137">
        <f>HYPERLINK("https://klasma.github.io/Logging_2260/tillsyn/A 21453-2025 tillsynsbegäran.docx", "A 21453-2025")</f>
        <v/>
      </c>
      <c r="Y137">
        <f>HYPERLINK("https://klasma.github.io/Logging_2260/tillsynsmail/A 21453-2025 tillsynsbegäran mail.docx", "A 21453-2025")</f>
        <v/>
      </c>
    </row>
    <row r="138" ht="15" customHeight="1">
      <c r="A138" t="inlineStr">
        <is>
          <t>A 57089-2024</t>
        </is>
      </c>
      <c r="B138" s="1" t="n">
        <v>45629.35665509259</v>
      </c>
      <c r="C138" s="1" t="n">
        <v>45890</v>
      </c>
      <c r="D138" t="inlineStr">
        <is>
          <t>VÄSTERNORRLANDS LÄN</t>
        </is>
      </c>
      <c r="E138" t="inlineStr">
        <is>
          <t>ÅNGE</t>
        </is>
      </c>
      <c r="F138" t="inlineStr">
        <is>
          <t>SCA</t>
        </is>
      </c>
      <c r="G138" t="n">
        <v>1.5</v>
      </c>
      <c r="H138" t="n">
        <v>0</v>
      </c>
      <c r="I138" t="n">
        <v>0</v>
      </c>
      <c r="J138" t="n">
        <v>2</v>
      </c>
      <c r="K138" t="n">
        <v>0</v>
      </c>
      <c r="L138" t="n">
        <v>0</v>
      </c>
      <c r="M138" t="n">
        <v>0</v>
      </c>
      <c r="N138" t="n">
        <v>0</v>
      </c>
      <c r="O138" t="n">
        <v>2</v>
      </c>
      <c r="P138" t="n">
        <v>0</v>
      </c>
      <c r="Q138" t="n">
        <v>2</v>
      </c>
      <c r="R138" s="2" t="inlineStr">
        <is>
          <t>Lunglav
Ullticka</t>
        </is>
      </c>
      <c r="S138">
        <f>HYPERLINK("https://klasma.github.io/Logging_2260/artfynd/A 57089-2024 artfynd.xlsx", "A 57089-2024")</f>
        <v/>
      </c>
      <c r="T138">
        <f>HYPERLINK("https://klasma.github.io/Logging_2260/kartor/A 57089-2024 karta.png", "A 57089-2024")</f>
        <v/>
      </c>
      <c r="V138">
        <f>HYPERLINK("https://klasma.github.io/Logging_2260/klagomål/A 57089-2024 FSC-klagomål.docx", "A 57089-2024")</f>
        <v/>
      </c>
      <c r="W138">
        <f>HYPERLINK("https://klasma.github.io/Logging_2260/klagomålsmail/A 57089-2024 FSC-klagomål mail.docx", "A 57089-2024")</f>
        <v/>
      </c>
      <c r="X138">
        <f>HYPERLINK("https://klasma.github.io/Logging_2260/tillsyn/A 57089-2024 tillsynsbegäran.docx", "A 57089-2024")</f>
        <v/>
      </c>
      <c r="Y138">
        <f>HYPERLINK("https://klasma.github.io/Logging_2260/tillsynsmail/A 57089-2024 tillsynsbegäran mail.docx", "A 57089-2024")</f>
        <v/>
      </c>
    </row>
    <row r="139" ht="15" customHeight="1">
      <c r="A139" t="inlineStr">
        <is>
          <t>A 19341-2024</t>
        </is>
      </c>
      <c r="B139" s="1" t="n">
        <v>45428</v>
      </c>
      <c r="C139" s="1" t="n">
        <v>45890</v>
      </c>
      <c r="D139" t="inlineStr">
        <is>
          <t>VÄSTERNORRLANDS LÄN</t>
        </is>
      </c>
      <c r="E139" t="inlineStr">
        <is>
          <t>ÅNGE</t>
        </is>
      </c>
      <c r="F139" t="inlineStr">
        <is>
          <t>SCA</t>
        </is>
      </c>
      <c r="G139" t="n">
        <v>2.5</v>
      </c>
      <c r="H139" t="n">
        <v>0</v>
      </c>
      <c r="I139" t="n">
        <v>0</v>
      </c>
      <c r="J139" t="n">
        <v>2</v>
      </c>
      <c r="K139" t="n">
        <v>0</v>
      </c>
      <c r="L139" t="n">
        <v>0</v>
      </c>
      <c r="M139" t="n">
        <v>0</v>
      </c>
      <c r="N139" t="n">
        <v>0</v>
      </c>
      <c r="O139" t="n">
        <v>2</v>
      </c>
      <c r="P139" t="n">
        <v>0</v>
      </c>
      <c r="Q139" t="n">
        <v>2</v>
      </c>
      <c r="R139" s="2" t="inlineStr">
        <is>
          <t>Granticka
Skrovellav</t>
        </is>
      </c>
      <c r="S139">
        <f>HYPERLINK("https://klasma.github.io/Logging_2260/artfynd/A 19341-2024 artfynd.xlsx", "A 19341-2024")</f>
        <v/>
      </c>
      <c r="T139">
        <f>HYPERLINK("https://klasma.github.io/Logging_2260/kartor/A 19341-2024 karta.png", "A 19341-2024")</f>
        <v/>
      </c>
      <c r="V139">
        <f>HYPERLINK("https://klasma.github.io/Logging_2260/klagomål/A 19341-2024 FSC-klagomål.docx", "A 19341-2024")</f>
        <v/>
      </c>
      <c r="W139">
        <f>HYPERLINK("https://klasma.github.io/Logging_2260/klagomålsmail/A 19341-2024 FSC-klagomål mail.docx", "A 19341-2024")</f>
        <v/>
      </c>
      <c r="X139">
        <f>HYPERLINK("https://klasma.github.io/Logging_2260/tillsyn/A 19341-2024 tillsynsbegäran.docx", "A 19341-2024")</f>
        <v/>
      </c>
      <c r="Y139">
        <f>HYPERLINK("https://klasma.github.io/Logging_2260/tillsynsmail/A 19341-2024 tillsynsbegäran mail.docx", "A 19341-2024")</f>
        <v/>
      </c>
    </row>
    <row r="140" ht="15" customHeight="1">
      <c r="A140" t="inlineStr">
        <is>
          <t>A 57597-2022</t>
        </is>
      </c>
      <c r="B140" s="1" t="n">
        <v>44896.97878472223</v>
      </c>
      <c r="C140" s="1" t="n">
        <v>45890</v>
      </c>
      <c r="D140" t="inlineStr">
        <is>
          <t>VÄSTERNORRLANDS LÄN</t>
        </is>
      </c>
      <c r="E140" t="inlineStr">
        <is>
          <t>ÅNGE</t>
        </is>
      </c>
      <c r="F140" t="inlineStr">
        <is>
          <t>SCA</t>
        </is>
      </c>
      <c r="G140" t="n">
        <v>6.2</v>
      </c>
      <c r="H140" t="n">
        <v>0</v>
      </c>
      <c r="I140" t="n">
        <v>0</v>
      </c>
      <c r="J140" t="n">
        <v>2</v>
      </c>
      <c r="K140" t="n">
        <v>0</v>
      </c>
      <c r="L140" t="n">
        <v>0</v>
      </c>
      <c r="M140" t="n">
        <v>0</v>
      </c>
      <c r="N140" t="n">
        <v>0</v>
      </c>
      <c r="O140" t="n">
        <v>2</v>
      </c>
      <c r="P140" t="n">
        <v>0</v>
      </c>
      <c r="Q140" t="n">
        <v>2</v>
      </c>
      <c r="R140" s="2" t="inlineStr">
        <is>
          <t>Garnlav
Lunglav</t>
        </is>
      </c>
      <c r="S140">
        <f>HYPERLINK("https://klasma.github.io/Logging_2260/artfynd/A 57597-2022 artfynd.xlsx", "A 57597-2022")</f>
        <v/>
      </c>
      <c r="T140">
        <f>HYPERLINK("https://klasma.github.io/Logging_2260/kartor/A 57597-2022 karta.png", "A 57597-2022")</f>
        <v/>
      </c>
      <c r="V140">
        <f>HYPERLINK("https://klasma.github.io/Logging_2260/klagomål/A 57597-2022 FSC-klagomål.docx", "A 57597-2022")</f>
        <v/>
      </c>
      <c r="W140">
        <f>HYPERLINK("https://klasma.github.io/Logging_2260/klagomålsmail/A 57597-2022 FSC-klagomål mail.docx", "A 57597-2022")</f>
        <v/>
      </c>
      <c r="X140">
        <f>HYPERLINK("https://klasma.github.io/Logging_2260/tillsyn/A 57597-2022 tillsynsbegäran.docx", "A 57597-2022")</f>
        <v/>
      </c>
      <c r="Y140">
        <f>HYPERLINK("https://klasma.github.io/Logging_2260/tillsynsmail/A 57597-2022 tillsynsbegäran mail.docx", "A 57597-2022")</f>
        <v/>
      </c>
    </row>
    <row r="141" ht="15" customHeight="1">
      <c r="A141" t="inlineStr">
        <is>
          <t>A 62861-2021</t>
        </is>
      </c>
      <c r="B141" s="1" t="n">
        <v>44503</v>
      </c>
      <c r="C141" s="1" t="n">
        <v>45890</v>
      </c>
      <c r="D141" t="inlineStr">
        <is>
          <t>VÄSTERNORRLANDS LÄN</t>
        </is>
      </c>
      <c r="E141" t="inlineStr">
        <is>
          <t>ÅNGE</t>
        </is>
      </c>
      <c r="F141" t="inlineStr">
        <is>
          <t>Övriga statliga verk och myndigheter</t>
        </is>
      </c>
      <c r="G141" t="n">
        <v>12.1</v>
      </c>
      <c r="H141" t="n">
        <v>1</v>
      </c>
      <c r="I141" t="n">
        <v>0</v>
      </c>
      <c r="J141" t="n">
        <v>1</v>
      </c>
      <c r="K141" t="n">
        <v>1</v>
      </c>
      <c r="L141" t="n">
        <v>0</v>
      </c>
      <c r="M141" t="n">
        <v>0</v>
      </c>
      <c r="N141" t="n">
        <v>0</v>
      </c>
      <c r="O141" t="n">
        <v>2</v>
      </c>
      <c r="P141" t="n">
        <v>1</v>
      </c>
      <c r="Q141" t="n">
        <v>2</v>
      </c>
      <c r="R141" s="2" t="inlineStr">
        <is>
          <t>Knärot
Rosenticka</t>
        </is>
      </c>
      <c r="S141">
        <f>HYPERLINK("https://klasma.github.io/Logging_2260/artfynd/A 62861-2021 artfynd.xlsx", "A 62861-2021")</f>
        <v/>
      </c>
      <c r="T141">
        <f>HYPERLINK("https://klasma.github.io/Logging_2260/kartor/A 62861-2021 karta.png", "A 62861-2021")</f>
        <v/>
      </c>
      <c r="U141">
        <f>HYPERLINK("https://klasma.github.io/Logging_2260/knärot/A 62861-2021 karta knärot.png", "A 62861-2021")</f>
        <v/>
      </c>
      <c r="V141">
        <f>HYPERLINK("https://klasma.github.io/Logging_2260/klagomål/A 62861-2021 FSC-klagomål.docx", "A 62861-2021")</f>
        <v/>
      </c>
      <c r="W141">
        <f>HYPERLINK("https://klasma.github.io/Logging_2260/klagomålsmail/A 62861-2021 FSC-klagomål mail.docx", "A 62861-2021")</f>
        <v/>
      </c>
      <c r="X141">
        <f>HYPERLINK("https://klasma.github.io/Logging_2260/tillsyn/A 62861-2021 tillsynsbegäran.docx", "A 62861-2021")</f>
        <v/>
      </c>
      <c r="Y141">
        <f>HYPERLINK("https://klasma.github.io/Logging_2260/tillsynsmail/A 62861-2021 tillsynsbegäran mail.docx", "A 62861-2021")</f>
        <v/>
      </c>
    </row>
    <row r="142" ht="15" customHeight="1">
      <c r="A142" t="inlineStr">
        <is>
          <t>A 25034-2024</t>
        </is>
      </c>
      <c r="B142" s="1" t="n">
        <v>45461.96458333333</v>
      </c>
      <c r="C142" s="1" t="n">
        <v>45890</v>
      </c>
      <c r="D142" t="inlineStr">
        <is>
          <t>VÄSTERNORRLANDS LÄN</t>
        </is>
      </c>
      <c r="E142" t="inlineStr">
        <is>
          <t>ÅNGE</t>
        </is>
      </c>
      <c r="F142" t="inlineStr">
        <is>
          <t>SCA</t>
        </is>
      </c>
      <c r="G142" t="n">
        <v>3.3</v>
      </c>
      <c r="H142" t="n">
        <v>0</v>
      </c>
      <c r="I142" t="n">
        <v>0</v>
      </c>
      <c r="J142" t="n">
        <v>2</v>
      </c>
      <c r="K142" t="n">
        <v>0</v>
      </c>
      <c r="L142" t="n">
        <v>0</v>
      </c>
      <c r="M142" t="n">
        <v>0</v>
      </c>
      <c r="N142" t="n">
        <v>0</v>
      </c>
      <c r="O142" t="n">
        <v>2</v>
      </c>
      <c r="P142" t="n">
        <v>0</v>
      </c>
      <c r="Q142" t="n">
        <v>2</v>
      </c>
      <c r="R142" s="2" t="inlineStr">
        <is>
          <t>Rosenticka
Ullticka</t>
        </is>
      </c>
      <c r="S142">
        <f>HYPERLINK("https://klasma.github.io/Logging_2260/artfynd/A 25034-2024 artfynd.xlsx", "A 25034-2024")</f>
        <v/>
      </c>
      <c r="T142">
        <f>HYPERLINK("https://klasma.github.io/Logging_2260/kartor/A 25034-2024 karta.png", "A 25034-2024")</f>
        <v/>
      </c>
      <c r="V142">
        <f>HYPERLINK("https://klasma.github.io/Logging_2260/klagomål/A 25034-2024 FSC-klagomål.docx", "A 25034-2024")</f>
        <v/>
      </c>
      <c r="W142">
        <f>HYPERLINK("https://klasma.github.io/Logging_2260/klagomålsmail/A 25034-2024 FSC-klagomål mail.docx", "A 25034-2024")</f>
        <v/>
      </c>
      <c r="X142">
        <f>HYPERLINK("https://klasma.github.io/Logging_2260/tillsyn/A 25034-2024 tillsynsbegäran.docx", "A 25034-2024")</f>
        <v/>
      </c>
      <c r="Y142">
        <f>HYPERLINK("https://klasma.github.io/Logging_2260/tillsynsmail/A 25034-2024 tillsynsbegäran mail.docx", "A 25034-2024")</f>
        <v/>
      </c>
    </row>
    <row r="143" ht="15" customHeight="1">
      <c r="A143" t="inlineStr">
        <is>
          <t>A 48374-2024</t>
        </is>
      </c>
      <c r="B143" s="1" t="n">
        <v>45590.58028935185</v>
      </c>
      <c r="C143" s="1" t="n">
        <v>45890</v>
      </c>
      <c r="D143" t="inlineStr">
        <is>
          <t>VÄSTERNORRLANDS LÄN</t>
        </is>
      </c>
      <c r="E143" t="inlineStr">
        <is>
          <t>ÅNGE</t>
        </is>
      </c>
      <c r="G143" t="n">
        <v>6.6</v>
      </c>
      <c r="H143" t="n">
        <v>0</v>
      </c>
      <c r="I143" t="n">
        <v>1</v>
      </c>
      <c r="J143" t="n">
        <v>1</v>
      </c>
      <c r="K143" t="n">
        <v>0</v>
      </c>
      <c r="L143" t="n">
        <v>0</v>
      </c>
      <c r="M143" t="n">
        <v>0</v>
      </c>
      <c r="N143" t="n">
        <v>0</v>
      </c>
      <c r="O143" t="n">
        <v>1</v>
      </c>
      <c r="P143" t="n">
        <v>0</v>
      </c>
      <c r="Q143" t="n">
        <v>2</v>
      </c>
      <c r="R143" s="2" t="inlineStr">
        <is>
          <t>Kolflarnlav
Bollvitmossa</t>
        </is>
      </c>
      <c r="S143">
        <f>HYPERLINK("https://klasma.github.io/Logging_2260/artfynd/A 48374-2024 artfynd.xlsx", "A 48374-2024")</f>
        <v/>
      </c>
      <c r="T143">
        <f>HYPERLINK("https://klasma.github.io/Logging_2260/kartor/A 48374-2024 karta.png", "A 48374-2024")</f>
        <v/>
      </c>
      <c r="V143">
        <f>HYPERLINK("https://klasma.github.io/Logging_2260/klagomål/A 48374-2024 FSC-klagomål.docx", "A 48374-2024")</f>
        <v/>
      </c>
      <c r="W143">
        <f>HYPERLINK("https://klasma.github.io/Logging_2260/klagomålsmail/A 48374-2024 FSC-klagomål mail.docx", "A 48374-2024")</f>
        <v/>
      </c>
      <c r="X143">
        <f>HYPERLINK("https://klasma.github.io/Logging_2260/tillsyn/A 48374-2024 tillsynsbegäran.docx", "A 48374-2024")</f>
        <v/>
      </c>
      <c r="Y143">
        <f>HYPERLINK("https://klasma.github.io/Logging_2260/tillsynsmail/A 48374-2024 tillsynsbegäran mail.docx", "A 48374-2024")</f>
        <v/>
      </c>
    </row>
    <row r="144" ht="15" customHeight="1">
      <c r="A144" t="inlineStr">
        <is>
          <t>A 47719-2024</t>
        </is>
      </c>
      <c r="B144" s="1" t="n">
        <v>45588.48996527777</v>
      </c>
      <c r="C144" s="1" t="n">
        <v>45890</v>
      </c>
      <c r="D144" t="inlineStr">
        <is>
          <t>VÄSTERNORRLANDS LÄN</t>
        </is>
      </c>
      <c r="E144" t="inlineStr">
        <is>
          <t>ÅNGE</t>
        </is>
      </c>
      <c r="F144" t="inlineStr">
        <is>
          <t>SCA</t>
        </is>
      </c>
      <c r="G144" t="n">
        <v>1.4</v>
      </c>
      <c r="H144" t="n">
        <v>0</v>
      </c>
      <c r="I144" t="n">
        <v>0</v>
      </c>
      <c r="J144" t="n">
        <v>2</v>
      </c>
      <c r="K144" t="n">
        <v>0</v>
      </c>
      <c r="L144" t="n">
        <v>0</v>
      </c>
      <c r="M144" t="n">
        <v>0</v>
      </c>
      <c r="N144" t="n">
        <v>0</v>
      </c>
      <c r="O144" t="n">
        <v>2</v>
      </c>
      <c r="P144" t="n">
        <v>0</v>
      </c>
      <c r="Q144" t="n">
        <v>2</v>
      </c>
      <c r="R144" s="2" t="inlineStr">
        <is>
          <t>Dvärgbägarlav
Vedskivlav</t>
        </is>
      </c>
      <c r="S144">
        <f>HYPERLINK("https://klasma.github.io/Logging_2260/artfynd/A 47719-2024 artfynd.xlsx", "A 47719-2024")</f>
        <v/>
      </c>
      <c r="T144">
        <f>HYPERLINK("https://klasma.github.io/Logging_2260/kartor/A 47719-2024 karta.png", "A 47719-2024")</f>
        <v/>
      </c>
      <c r="V144">
        <f>HYPERLINK("https://klasma.github.io/Logging_2260/klagomål/A 47719-2024 FSC-klagomål.docx", "A 47719-2024")</f>
        <v/>
      </c>
      <c r="W144">
        <f>HYPERLINK("https://klasma.github.io/Logging_2260/klagomålsmail/A 47719-2024 FSC-klagomål mail.docx", "A 47719-2024")</f>
        <v/>
      </c>
      <c r="X144">
        <f>HYPERLINK("https://klasma.github.io/Logging_2260/tillsyn/A 47719-2024 tillsynsbegäran.docx", "A 47719-2024")</f>
        <v/>
      </c>
      <c r="Y144">
        <f>HYPERLINK("https://klasma.github.io/Logging_2260/tillsynsmail/A 47719-2024 tillsynsbegäran mail.docx", "A 47719-2024")</f>
        <v/>
      </c>
    </row>
    <row r="145" ht="15" customHeight="1">
      <c r="A145" t="inlineStr">
        <is>
          <t>A 24176-2025</t>
        </is>
      </c>
      <c r="B145" s="1" t="n">
        <v>45796.69832175926</v>
      </c>
      <c r="C145" s="1" t="n">
        <v>45890</v>
      </c>
      <c r="D145" t="inlineStr">
        <is>
          <t>VÄSTERNORRLANDS LÄN</t>
        </is>
      </c>
      <c r="E145" t="inlineStr">
        <is>
          <t>ÅNGE</t>
        </is>
      </c>
      <c r="F145" t="inlineStr">
        <is>
          <t>SCA</t>
        </is>
      </c>
      <c r="G145" t="n">
        <v>3.9</v>
      </c>
      <c r="H145" t="n">
        <v>0</v>
      </c>
      <c r="I145" t="n">
        <v>1</v>
      </c>
      <c r="J145" t="n">
        <v>1</v>
      </c>
      <c r="K145" t="n">
        <v>0</v>
      </c>
      <c r="L145" t="n">
        <v>0</v>
      </c>
      <c r="M145" t="n">
        <v>0</v>
      </c>
      <c r="N145" t="n">
        <v>0</v>
      </c>
      <c r="O145" t="n">
        <v>1</v>
      </c>
      <c r="P145" t="n">
        <v>0</v>
      </c>
      <c r="Q145" t="n">
        <v>2</v>
      </c>
      <c r="R145" s="2" t="inlineStr">
        <is>
          <t>Vitgrynig nållav
Vedticka</t>
        </is>
      </c>
      <c r="S145">
        <f>HYPERLINK("https://klasma.github.io/Logging_2260/artfynd/A 24176-2025 artfynd.xlsx", "A 24176-2025")</f>
        <v/>
      </c>
      <c r="T145">
        <f>HYPERLINK("https://klasma.github.io/Logging_2260/kartor/A 24176-2025 karta.png", "A 24176-2025")</f>
        <v/>
      </c>
      <c r="V145">
        <f>HYPERLINK("https://klasma.github.io/Logging_2260/klagomål/A 24176-2025 FSC-klagomål.docx", "A 24176-2025")</f>
        <v/>
      </c>
      <c r="W145">
        <f>HYPERLINK("https://klasma.github.io/Logging_2260/klagomålsmail/A 24176-2025 FSC-klagomål mail.docx", "A 24176-2025")</f>
        <v/>
      </c>
      <c r="X145">
        <f>HYPERLINK("https://klasma.github.io/Logging_2260/tillsyn/A 24176-2025 tillsynsbegäran.docx", "A 24176-2025")</f>
        <v/>
      </c>
      <c r="Y145">
        <f>HYPERLINK("https://klasma.github.io/Logging_2260/tillsynsmail/A 24176-2025 tillsynsbegäran mail.docx", "A 24176-2025")</f>
        <v/>
      </c>
    </row>
    <row r="146" ht="15" customHeight="1">
      <c r="A146" t="inlineStr">
        <is>
          <t>A 55178-2024</t>
        </is>
      </c>
      <c r="B146" s="1" t="n">
        <v>45621</v>
      </c>
      <c r="C146" s="1" t="n">
        <v>45890</v>
      </c>
      <c r="D146" t="inlineStr">
        <is>
          <t>VÄSTERNORRLANDS LÄN</t>
        </is>
      </c>
      <c r="E146" t="inlineStr">
        <is>
          <t>ÅNGE</t>
        </is>
      </c>
      <c r="F146" t="inlineStr">
        <is>
          <t>SCA</t>
        </is>
      </c>
      <c r="G146" t="n">
        <v>4.8</v>
      </c>
      <c r="H146" t="n">
        <v>1</v>
      </c>
      <c r="I146" t="n">
        <v>0</v>
      </c>
      <c r="J146" t="n">
        <v>1</v>
      </c>
      <c r="K146" t="n">
        <v>1</v>
      </c>
      <c r="L146" t="n">
        <v>0</v>
      </c>
      <c r="M146" t="n">
        <v>0</v>
      </c>
      <c r="N146" t="n">
        <v>0</v>
      </c>
      <c r="O146" t="n">
        <v>2</v>
      </c>
      <c r="P146" t="n">
        <v>1</v>
      </c>
      <c r="Q146" t="n">
        <v>2</v>
      </c>
      <c r="R146" s="2" t="inlineStr">
        <is>
          <t>Knärot
Stiftgelélav</t>
        </is>
      </c>
      <c r="S146">
        <f>HYPERLINK("https://klasma.github.io/Logging_2260/artfynd/A 55178-2024 artfynd.xlsx", "A 55178-2024")</f>
        <v/>
      </c>
      <c r="T146">
        <f>HYPERLINK("https://klasma.github.io/Logging_2260/kartor/A 55178-2024 karta.png", "A 55178-2024")</f>
        <v/>
      </c>
      <c r="U146">
        <f>HYPERLINK("https://klasma.github.io/Logging_2260/knärot/A 55178-2024 karta knärot.png", "A 55178-2024")</f>
        <v/>
      </c>
      <c r="V146">
        <f>HYPERLINK("https://klasma.github.io/Logging_2260/klagomål/A 55178-2024 FSC-klagomål.docx", "A 55178-2024")</f>
        <v/>
      </c>
      <c r="W146">
        <f>HYPERLINK("https://klasma.github.io/Logging_2260/klagomålsmail/A 55178-2024 FSC-klagomål mail.docx", "A 55178-2024")</f>
        <v/>
      </c>
      <c r="X146">
        <f>HYPERLINK("https://klasma.github.io/Logging_2260/tillsyn/A 55178-2024 tillsynsbegäran.docx", "A 55178-2024")</f>
        <v/>
      </c>
      <c r="Y146">
        <f>HYPERLINK("https://klasma.github.io/Logging_2260/tillsynsmail/A 55178-2024 tillsynsbegäran mail.docx", "A 55178-2024")</f>
        <v/>
      </c>
    </row>
    <row r="147" ht="15" customHeight="1">
      <c r="A147" t="inlineStr">
        <is>
          <t>A 26906-2025</t>
        </is>
      </c>
      <c r="B147" s="1" t="n">
        <v>45811.34552083333</v>
      </c>
      <c r="C147" s="1" t="n">
        <v>45890</v>
      </c>
      <c r="D147" t="inlineStr">
        <is>
          <t>VÄSTERNORRLANDS LÄN</t>
        </is>
      </c>
      <c r="E147" t="inlineStr">
        <is>
          <t>ÅNGE</t>
        </is>
      </c>
      <c r="F147" t="inlineStr">
        <is>
          <t>SCA</t>
        </is>
      </c>
      <c r="G147" t="n">
        <v>7</v>
      </c>
      <c r="H147" t="n">
        <v>0</v>
      </c>
      <c r="I147" t="n">
        <v>0</v>
      </c>
      <c r="J147" t="n">
        <v>2</v>
      </c>
      <c r="K147" t="n">
        <v>0</v>
      </c>
      <c r="L147" t="n">
        <v>0</v>
      </c>
      <c r="M147" t="n">
        <v>0</v>
      </c>
      <c r="N147" t="n">
        <v>0</v>
      </c>
      <c r="O147" t="n">
        <v>2</v>
      </c>
      <c r="P147" t="n">
        <v>0</v>
      </c>
      <c r="Q147" t="n">
        <v>2</v>
      </c>
      <c r="R147" s="2" t="inlineStr">
        <is>
          <t>Garnlav
Vitgrynig nållav</t>
        </is>
      </c>
      <c r="S147">
        <f>HYPERLINK("https://klasma.github.io/Logging_2260/artfynd/A 26906-2025 artfynd.xlsx", "A 26906-2025")</f>
        <v/>
      </c>
      <c r="T147">
        <f>HYPERLINK("https://klasma.github.io/Logging_2260/kartor/A 26906-2025 karta.png", "A 26906-2025")</f>
        <v/>
      </c>
      <c r="V147">
        <f>HYPERLINK("https://klasma.github.io/Logging_2260/klagomål/A 26906-2025 FSC-klagomål.docx", "A 26906-2025")</f>
        <v/>
      </c>
      <c r="W147">
        <f>HYPERLINK("https://klasma.github.io/Logging_2260/klagomålsmail/A 26906-2025 FSC-klagomål mail.docx", "A 26906-2025")</f>
        <v/>
      </c>
      <c r="X147">
        <f>HYPERLINK("https://klasma.github.io/Logging_2260/tillsyn/A 26906-2025 tillsynsbegäran.docx", "A 26906-2025")</f>
        <v/>
      </c>
      <c r="Y147">
        <f>HYPERLINK("https://klasma.github.io/Logging_2260/tillsynsmail/A 26906-2025 tillsynsbegäran mail.docx", "A 26906-2025")</f>
        <v/>
      </c>
    </row>
    <row r="148" ht="15" customHeight="1">
      <c r="A148" t="inlineStr">
        <is>
          <t>A 49871-2024</t>
        </is>
      </c>
      <c r="B148" s="1" t="n">
        <v>45597.4903125</v>
      </c>
      <c r="C148" s="1" t="n">
        <v>45890</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29325-2023</t>
        </is>
      </c>
      <c r="B149" s="1" t="n">
        <v>45105</v>
      </c>
      <c r="C149" s="1" t="n">
        <v>45890</v>
      </c>
      <c r="D149" t="inlineStr">
        <is>
          <t>VÄSTERNORRLANDS LÄN</t>
        </is>
      </c>
      <c r="E149" t="inlineStr">
        <is>
          <t>ÅNGE</t>
        </is>
      </c>
      <c r="G149" t="n">
        <v>12.4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HYPERLINK("https://klasma.github.io/Logging_2260/artfynd/A 29325-2023 artfynd.xlsx", "A 29325-2023")</f>
        <v/>
      </c>
      <c r="T149">
        <f>HYPERLINK("https://klasma.github.io/Logging_2260/kartor/A 29325-2023 karta.png", "A 29325-2023")</f>
        <v/>
      </c>
      <c r="V149">
        <f>HYPERLINK("https://klasma.github.io/Logging_2260/klagomål/A 29325-2023 FSC-klagomål.docx", "A 29325-2023")</f>
        <v/>
      </c>
      <c r="W149">
        <f>HYPERLINK("https://klasma.github.io/Logging_2260/klagomålsmail/A 29325-2023 FSC-klagomål mail.docx", "A 29325-2023")</f>
        <v/>
      </c>
      <c r="X149">
        <f>HYPERLINK("https://klasma.github.io/Logging_2260/tillsyn/A 29325-2023 tillsynsbegäran.docx", "A 29325-2023")</f>
        <v/>
      </c>
      <c r="Y149">
        <f>HYPERLINK("https://klasma.github.io/Logging_2260/tillsynsmail/A 29325-2023 tillsynsbegäran mail.docx", "A 29325-2023")</f>
        <v/>
      </c>
    </row>
    <row r="150" ht="15" customHeight="1">
      <c r="A150" t="inlineStr">
        <is>
          <t>A 26020-2024</t>
        </is>
      </c>
      <c r="B150" s="1" t="n">
        <v>45467.9603125</v>
      </c>
      <c r="C150" s="1" t="n">
        <v>45890</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36414-2025</t>
        </is>
      </c>
      <c r="B151" s="1" t="n">
        <v>45868.69246527777</v>
      </c>
      <c r="C151" s="1" t="n">
        <v>45890</v>
      </c>
      <c r="D151" t="inlineStr">
        <is>
          <t>VÄSTERNORRLANDS LÄN</t>
        </is>
      </c>
      <c r="E151" t="inlineStr">
        <is>
          <t>ÅNGE</t>
        </is>
      </c>
      <c r="G151" t="n">
        <v>5.4</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36414-2025 artfynd.xlsx", "A 36414-2025")</f>
        <v/>
      </c>
      <c r="T151">
        <f>HYPERLINK("https://klasma.github.io/Logging_2260/kartor/A 36414-2025 karta.png", "A 36414-2025")</f>
        <v/>
      </c>
      <c r="V151">
        <f>HYPERLINK("https://klasma.github.io/Logging_2260/klagomål/A 36414-2025 FSC-klagomål.docx", "A 36414-2025")</f>
        <v/>
      </c>
      <c r="W151">
        <f>HYPERLINK("https://klasma.github.io/Logging_2260/klagomålsmail/A 36414-2025 FSC-klagomål mail.docx", "A 36414-2025")</f>
        <v/>
      </c>
      <c r="X151">
        <f>HYPERLINK("https://klasma.github.io/Logging_2260/tillsyn/A 36414-2025 tillsynsbegäran.docx", "A 36414-2025")</f>
        <v/>
      </c>
      <c r="Y151">
        <f>HYPERLINK("https://klasma.github.io/Logging_2260/tillsynsmail/A 36414-2025 tillsynsbegäran mail.docx", "A 36414-2025")</f>
        <v/>
      </c>
    </row>
    <row r="152" ht="15" customHeight="1">
      <c r="A152" t="inlineStr">
        <is>
          <t>A 51756-2020</t>
        </is>
      </c>
      <c r="B152" s="1" t="n">
        <v>44114</v>
      </c>
      <c r="C152" s="1" t="n">
        <v>45890</v>
      </c>
      <c r="D152" t="inlineStr">
        <is>
          <t>VÄSTERNORRLANDS LÄN</t>
        </is>
      </c>
      <c r="E152" t="inlineStr">
        <is>
          <t>ÅNGE</t>
        </is>
      </c>
      <c r="G152" t="n">
        <v>0.8</v>
      </c>
      <c r="H152" t="n">
        <v>1</v>
      </c>
      <c r="I152" t="n">
        <v>0</v>
      </c>
      <c r="J152" t="n">
        <v>0</v>
      </c>
      <c r="K152" t="n">
        <v>0</v>
      </c>
      <c r="L152" t="n">
        <v>2</v>
      </c>
      <c r="M152" t="n">
        <v>0</v>
      </c>
      <c r="N152" t="n">
        <v>0</v>
      </c>
      <c r="O152" t="n">
        <v>2</v>
      </c>
      <c r="P152" t="n">
        <v>2</v>
      </c>
      <c r="Q152" t="n">
        <v>2</v>
      </c>
      <c r="R152" s="2" t="inlineStr">
        <is>
          <t>Mikroskapania
Timmerskapania</t>
        </is>
      </c>
      <c r="S152">
        <f>HYPERLINK("https://klasma.github.io/Logging_2260/artfynd/A 51756-2020 artfynd.xlsx", "A 51756-2020")</f>
        <v/>
      </c>
      <c r="T152">
        <f>HYPERLINK("https://klasma.github.io/Logging_2260/kartor/A 51756-2020 karta.png", "A 51756-2020")</f>
        <v/>
      </c>
      <c r="V152">
        <f>HYPERLINK("https://klasma.github.io/Logging_2260/klagomål/A 51756-2020 FSC-klagomål.docx", "A 51756-2020")</f>
        <v/>
      </c>
      <c r="W152">
        <f>HYPERLINK("https://klasma.github.io/Logging_2260/klagomålsmail/A 51756-2020 FSC-klagomål mail.docx", "A 51756-2020")</f>
        <v/>
      </c>
      <c r="X152">
        <f>HYPERLINK("https://klasma.github.io/Logging_2260/tillsyn/A 51756-2020 tillsynsbegäran.docx", "A 51756-2020")</f>
        <v/>
      </c>
      <c r="Y152">
        <f>HYPERLINK("https://klasma.github.io/Logging_2260/tillsynsmail/A 51756-2020 tillsynsbegäran mail.docx", "A 51756-2020")</f>
        <v/>
      </c>
    </row>
    <row r="153" ht="15" customHeight="1">
      <c r="A153" t="inlineStr">
        <is>
          <t>A 57594-2022</t>
        </is>
      </c>
      <c r="B153" s="1" t="n">
        <v>44896.97854166666</v>
      </c>
      <c r="C153" s="1" t="n">
        <v>45890</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37800-2025</t>
        </is>
      </c>
      <c r="B154" s="1" t="n">
        <v>45881.34420138889</v>
      </c>
      <c r="C154" s="1" t="n">
        <v>45890</v>
      </c>
      <c r="D154" t="inlineStr">
        <is>
          <t>VÄSTERNORRLANDS LÄN</t>
        </is>
      </c>
      <c r="E154" t="inlineStr">
        <is>
          <t>ÅNGE</t>
        </is>
      </c>
      <c r="F154" t="inlineStr">
        <is>
          <t>SCA</t>
        </is>
      </c>
      <c r="G154" t="n">
        <v>4</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37800-2025 artfynd.xlsx", "A 37800-2025")</f>
        <v/>
      </c>
      <c r="T154">
        <f>HYPERLINK("https://klasma.github.io/Logging_2260/kartor/A 37800-2025 karta.png", "A 37800-2025")</f>
        <v/>
      </c>
      <c r="V154">
        <f>HYPERLINK("https://klasma.github.io/Logging_2260/klagomål/A 37800-2025 FSC-klagomål.docx", "A 37800-2025")</f>
        <v/>
      </c>
      <c r="W154">
        <f>HYPERLINK("https://klasma.github.io/Logging_2260/klagomålsmail/A 37800-2025 FSC-klagomål mail.docx", "A 37800-2025")</f>
        <v/>
      </c>
      <c r="X154">
        <f>HYPERLINK("https://klasma.github.io/Logging_2260/tillsyn/A 37800-2025 tillsynsbegäran.docx", "A 37800-2025")</f>
        <v/>
      </c>
      <c r="Y154">
        <f>HYPERLINK("https://klasma.github.io/Logging_2260/tillsynsmail/A 37800-2025 tillsynsbegäran mail.docx", "A 37800-2025")</f>
        <v/>
      </c>
    </row>
    <row r="155" ht="15" customHeight="1">
      <c r="A155" t="inlineStr">
        <is>
          <t>A 8324-2025</t>
        </is>
      </c>
      <c r="B155" s="1" t="n">
        <v>45708.63621527778</v>
      </c>
      <c r="C155" s="1" t="n">
        <v>45890</v>
      </c>
      <c r="D155" t="inlineStr">
        <is>
          <t>VÄSTERNORRLANDS LÄN</t>
        </is>
      </c>
      <c r="E155" t="inlineStr">
        <is>
          <t>ÅNGE</t>
        </is>
      </c>
      <c r="F155" t="inlineStr">
        <is>
          <t>SCA</t>
        </is>
      </c>
      <c r="G155" t="n">
        <v>7.8</v>
      </c>
      <c r="H155" t="n">
        <v>0</v>
      </c>
      <c r="I155" t="n">
        <v>1</v>
      </c>
      <c r="J155" t="n">
        <v>1</v>
      </c>
      <c r="K155" t="n">
        <v>0</v>
      </c>
      <c r="L155" t="n">
        <v>0</v>
      </c>
      <c r="M155" t="n">
        <v>0</v>
      </c>
      <c r="N155" t="n">
        <v>0</v>
      </c>
      <c r="O155" t="n">
        <v>1</v>
      </c>
      <c r="P155" t="n">
        <v>0</v>
      </c>
      <c r="Q155" t="n">
        <v>2</v>
      </c>
      <c r="R155" s="2" t="inlineStr">
        <is>
          <t>Vitgrynig nållav
Bollvitmossa</t>
        </is>
      </c>
      <c r="S155">
        <f>HYPERLINK("https://klasma.github.io/Logging_2260/artfynd/A 8324-2025 artfynd.xlsx", "A 8324-2025")</f>
        <v/>
      </c>
      <c r="T155">
        <f>HYPERLINK("https://klasma.github.io/Logging_2260/kartor/A 8324-2025 karta.png", "A 8324-2025")</f>
        <v/>
      </c>
      <c r="V155">
        <f>HYPERLINK("https://klasma.github.io/Logging_2260/klagomål/A 8324-2025 FSC-klagomål.docx", "A 8324-2025")</f>
        <v/>
      </c>
      <c r="W155">
        <f>HYPERLINK("https://klasma.github.io/Logging_2260/klagomålsmail/A 8324-2025 FSC-klagomål mail.docx", "A 8324-2025")</f>
        <v/>
      </c>
      <c r="X155">
        <f>HYPERLINK("https://klasma.github.io/Logging_2260/tillsyn/A 8324-2025 tillsynsbegäran.docx", "A 8324-2025")</f>
        <v/>
      </c>
      <c r="Y155">
        <f>HYPERLINK("https://klasma.github.io/Logging_2260/tillsynsmail/A 8324-2025 tillsynsbegäran mail.docx", "A 8324-2025")</f>
        <v/>
      </c>
    </row>
    <row r="156" ht="15" customHeight="1">
      <c r="A156" t="inlineStr">
        <is>
          <t>A 38298-2025</t>
        </is>
      </c>
      <c r="B156" s="1" t="n">
        <v>45883.4568287037</v>
      </c>
      <c r="C156" s="1" t="n">
        <v>45890</v>
      </c>
      <c r="D156" t="inlineStr">
        <is>
          <t>VÄSTERNORRLANDS LÄN</t>
        </is>
      </c>
      <c r="E156" t="inlineStr">
        <is>
          <t>ÅNGE</t>
        </is>
      </c>
      <c r="G156" t="n">
        <v>4.5</v>
      </c>
      <c r="H156" t="n">
        <v>0</v>
      </c>
      <c r="I156" t="n">
        <v>0</v>
      </c>
      <c r="J156" t="n">
        <v>2</v>
      </c>
      <c r="K156" t="n">
        <v>0</v>
      </c>
      <c r="L156" t="n">
        <v>0</v>
      </c>
      <c r="M156" t="n">
        <v>0</v>
      </c>
      <c r="N156" t="n">
        <v>0</v>
      </c>
      <c r="O156" t="n">
        <v>2</v>
      </c>
      <c r="P156" t="n">
        <v>0</v>
      </c>
      <c r="Q156" t="n">
        <v>2</v>
      </c>
      <c r="R156" s="2" t="inlineStr">
        <is>
          <t>Kolflarnlav
Lunglav</t>
        </is>
      </c>
      <c r="S156">
        <f>HYPERLINK("https://klasma.github.io/Logging_2260/artfynd/A 38298-2025 artfynd.xlsx", "A 38298-2025")</f>
        <v/>
      </c>
      <c r="T156">
        <f>HYPERLINK("https://klasma.github.io/Logging_2260/kartor/A 38298-2025 karta.png", "A 38298-2025")</f>
        <v/>
      </c>
      <c r="V156">
        <f>HYPERLINK("https://klasma.github.io/Logging_2260/klagomål/A 38298-2025 FSC-klagomål.docx", "A 38298-2025")</f>
        <v/>
      </c>
      <c r="W156">
        <f>HYPERLINK("https://klasma.github.io/Logging_2260/klagomålsmail/A 38298-2025 FSC-klagomål mail.docx", "A 38298-2025")</f>
        <v/>
      </c>
      <c r="X156">
        <f>HYPERLINK("https://klasma.github.io/Logging_2260/tillsyn/A 38298-2025 tillsynsbegäran.docx", "A 38298-2025")</f>
        <v/>
      </c>
      <c r="Y156">
        <f>HYPERLINK("https://klasma.github.io/Logging_2260/tillsynsmail/A 38298-2025 tillsynsbegäran mail.docx", "A 38298-2025")</f>
        <v/>
      </c>
    </row>
    <row r="157" ht="15" customHeight="1">
      <c r="A157" t="inlineStr">
        <is>
          <t>A 4093-2025</t>
        </is>
      </c>
      <c r="B157" s="1" t="n">
        <v>45684.67762731481</v>
      </c>
      <c r="C157" s="1" t="n">
        <v>45890</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31493-2024</t>
        </is>
      </c>
      <c r="B158" s="1" t="n">
        <v>45505</v>
      </c>
      <c r="C158" s="1" t="n">
        <v>45890</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58902-2020</t>
        </is>
      </c>
      <c r="B159" s="1" t="n">
        <v>44146</v>
      </c>
      <c r="C159" s="1" t="n">
        <v>45890</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20367-2022</t>
        </is>
      </c>
      <c r="B160" s="1" t="n">
        <v>44699</v>
      </c>
      <c r="C160" s="1" t="n">
        <v>45890</v>
      </c>
      <c r="D160" t="inlineStr">
        <is>
          <t>VÄSTERNORRLANDS LÄN</t>
        </is>
      </c>
      <c r="E160" t="inlineStr">
        <is>
          <t>ÅNGE</t>
        </is>
      </c>
      <c r="G160" t="n">
        <v>9.6</v>
      </c>
      <c r="H160" t="n">
        <v>1</v>
      </c>
      <c r="I160" t="n">
        <v>0</v>
      </c>
      <c r="J160" t="n">
        <v>0</v>
      </c>
      <c r="K160" t="n">
        <v>0</v>
      </c>
      <c r="L160" t="n">
        <v>0</v>
      </c>
      <c r="M160" t="n">
        <v>0</v>
      </c>
      <c r="N160" t="n">
        <v>0</v>
      </c>
      <c r="O160" t="n">
        <v>0</v>
      </c>
      <c r="P160" t="n">
        <v>0</v>
      </c>
      <c r="Q160" t="n">
        <v>1</v>
      </c>
      <c r="R160" s="2" t="inlineStr">
        <is>
          <t>Fläcknycklar</t>
        </is>
      </c>
      <c r="S160">
        <f>HYPERLINK("https://klasma.github.io/Logging_2260/artfynd/A 20367-2022 artfynd.xlsx", "A 20367-2022")</f>
        <v/>
      </c>
      <c r="T160">
        <f>HYPERLINK("https://klasma.github.io/Logging_2260/kartor/A 20367-2022 karta.png", "A 20367-2022")</f>
        <v/>
      </c>
      <c r="V160">
        <f>HYPERLINK("https://klasma.github.io/Logging_2260/klagomål/A 20367-2022 FSC-klagomål.docx", "A 20367-2022")</f>
        <v/>
      </c>
      <c r="W160">
        <f>HYPERLINK("https://klasma.github.io/Logging_2260/klagomålsmail/A 20367-2022 FSC-klagomål mail.docx", "A 20367-2022")</f>
        <v/>
      </c>
      <c r="X160">
        <f>HYPERLINK("https://klasma.github.io/Logging_2260/tillsyn/A 20367-2022 tillsynsbegäran.docx", "A 20367-2022")</f>
        <v/>
      </c>
      <c r="Y160">
        <f>HYPERLINK("https://klasma.github.io/Logging_2260/tillsynsmail/A 20367-2022 tillsynsbegäran mail.docx", "A 20367-2022")</f>
        <v/>
      </c>
    </row>
    <row r="161" ht="15" customHeight="1">
      <c r="A161" t="inlineStr">
        <is>
          <t>A 31136-2022</t>
        </is>
      </c>
      <c r="B161" s="1" t="n">
        <v>44770.40920138889</v>
      </c>
      <c r="C161" s="1" t="n">
        <v>45890</v>
      </c>
      <c r="D161" t="inlineStr">
        <is>
          <t>VÄSTERNORRLANDS LÄN</t>
        </is>
      </c>
      <c r="E161" t="inlineStr">
        <is>
          <t>ÅNGE</t>
        </is>
      </c>
      <c r="F161" t="inlineStr">
        <is>
          <t>Övriga Aktiebolag</t>
        </is>
      </c>
      <c r="G161" t="n">
        <v>4.4</v>
      </c>
      <c r="H161" t="n">
        <v>1</v>
      </c>
      <c r="I161" t="n">
        <v>0</v>
      </c>
      <c r="J161" t="n">
        <v>0</v>
      </c>
      <c r="K161" t="n">
        <v>0</v>
      </c>
      <c r="L161" t="n">
        <v>0</v>
      </c>
      <c r="M161" t="n">
        <v>0</v>
      </c>
      <c r="N161" t="n">
        <v>0</v>
      </c>
      <c r="O161" t="n">
        <v>0</v>
      </c>
      <c r="P161" t="n">
        <v>0</v>
      </c>
      <c r="Q161" t="n">
        <v>1</v>
      </c>
      <c r="R161" s="2" t="inlineStr">
        <is>
          <t>Tjäder</t>
        </is>
      </c>
      <c r="S161">
        <f>HYPERLINK("https://klasma.github.io/Logging_2260/artfynd/A 31136-2022 artfynd.xlsx", "A 31136-2022")</f>
        <v/>
      </c>
      <c r="T161">
        <f>HYPERLINK("https://klasma.github.io/Logging_2260/kartor/A 31136-2022 karta.png", "A 31136-2022")</f>
        <v/>
      </c>
      <c r="V161">
        <f>HYPERLINK("https://klasma.github.io/Logging_2260/klagomål/A 31136-2022 FSC-klagomål.docx", "A 31136-2022")</f>
        <v/>
      </c>
      <c r="W161">
        <f>HYPERLINK("https://klasma.github.io/Logging_2260/klagomålsmail/A 31136-2022 FSC-klagomål mail.docx", "A 31136-2022")</f>
        <v/>
      </c>
      <c r="X161">
        <f>HYPERLINK("https://klasma.github.io/Logging_2260/tillsyn/A 31136-2022 tillsynsbegäran.docx", "A 31136-2022")</f>
        <v/>
      </c>
      <c r="Y161">
        <f>HYPERLINK("https://klasma.github.io/Logging_2260/tillsynsmail/A 31136-2022 tillsynsbegäran mail.docx", "A 31136-2022")</f>
        <v/>
      </c>
      <c r="Z161">
        <f>HYPERLINK("https://klasma.github.io/Logging_2260/fåglar/A 31136-2022 prioriterade fågelarter.docx", "A 31136-2022")</f>
        <v/>
      </c>
    </row>
    <row r="162" ht="15" customHeight="1">
      <c r="A162" t="inlineStr">
        <is>
          <t>A 61479-2021</t>
        </is>
      </c>
      <c r="B162" s="1" t="n">
        <v>44500</v>
      </c>
      <c r="C162" s="1" t="n">
        <v>45890</v>
      </c>
      <c r="D162" t="inlineStr">
        <is>
          <t>VÄSTERNORRLANDS LÄN</t>
        </is>
      </c>
      <c r="E162" t="inlineStr">
        <is>
          <t>ÅNGE</t>
        </is>
      </c>
      <c r="F162" t="inlineStr">
        <is>
          <t>SCA</t>
        </is>
      </c>
      <c r="G162" t="n">
        <v>7.2</v>
      </c>
      <c r="H162" t="n">
        <v>1</v>
      </c>
      <c r="I162" t="n">
        <v>0</v>
      </c>
      <c r="J162" t="n">
        <v>0</v>
      </c>
      <c r="K162" t="n">
        <v>1</v>
      </c>
      <c r="L162" t="n">
        <v>0</v>
      </c>
      <c r="M162" t="n">
        <v>0</v>
      </c>
      <c r="N162" t="n">
        <v>0</v>
      </c>
      <c r="O162" t="n">
        <v>1</v>
      </c>
      <c r="P162" t="n">
        <v>1</v>
      </c>
      <c r="Q162" t="n">
        <v>1</v>
      </c>
      <c r="R162" s="2" t="inlineStr">
        <is>
          <t>Knärot</t>
        </is>
      </c>
      <c r="S162">
        <f>HYPERLINK("https://klasma.github.io/Logging_2260/artfynd/A 61479-2021 artfynd.xlsx", "A 61479-2021")</f>
        <v/>
      </c>
      <c r="T162">
        <f>HYPERLINK("https://klasma.github.io/Logging_2260/kartor/A 61479-2021 karta.png", "A 61479-2021")</f>
        <v/>
      </c>
      <c r="U162">
        <f>HYPERLINK("https://klasma.github.io/Logging_2260/knärot/A 61479-2021 karta knärot.png", "A 61479-2021")</f>
        <v/>
      </c>
      <c r="V162">
        <f>HYPERLINK("https://klasma.github.io/Logging_2260/klagomål/A 61479-2021 FSC-klagomål.docx", "A 61479-2021")</f>
        <v/>
      </c>
      <c r="W162">
        <f>HYPERLINK("https://klasma.github.io/Logging_2260/klagomålsmail/A 61479-2021 FSC-klagomål mail.docx", "A 61479-2021")</f>
        <v/>
      </c>
      <c r="X162">
        <f>HYPERLINK("https://klasma.github.io/Logging_2260/tillsyn/A 61479-2021 tillsynsbegäran.docx", "A 61479-2021")</f>
        <v/>
      </c>
      <c r="Y162">
        <f>HYPERLINK("https://klasma.github.io/Logging_2260/tillsynsmail/A 61479-2021 tillsynsbegäran mail.docx", "A 61479-2021")</f>
        <v/>
      </c>
    </row>
    <row r="163" ht="15" customHeight="1">
      <c r="A163" t="inlineStr">
        <is>
          <t>A 31578-2021</t>
        </is>
      </c>
      <c r="B163" s="1" t="n">
        <v>44369</v>
      </c>
      <c r="C163" s="1" t="n">
        <v>45890</v>
      </c>
      <c r="D163" t="inlineStr">
        <is>
          <t>VÄSTERNORRLANDS LÄN</t>
        </is>
      </c>
      <c r="E163" t="inlineStr">
        <is>
          <t>ÅNGE</t>
        </is>
      </c>
      <c r="G163" t="n">
        <v>25.8</v>
      </c>
      <c r="H163" t="n">
        <v>1</v>
      </c>
      <c r="I163" t="n">
        <v>0</v>
      </c>
      <c r="J163" t="n">
        <v>0</v>
      </c>
      <c r="K163" t="n">
        <v>1</v>
      </c>
      <c r="L163" t="n">
        <v>0</v>
      </c>
      <c r="M163" t="n">
        <v>0</v>
      </c>
      <c r="N163" t="n">
        <v>0</v>
      </c>
      <c r="O163" t="n">
        <v>1</v>
      </c>
      <c r="P163" t="n">
        <v>1</v>
      </c>
      <c r="Q163" t="n">
        <v>1</v>
      </c>
      <c r="R163" s="2" t="inlineStr">
        <is>
          <t>Knärot</t>
        </is>
      </c>
      <c r="S163">
        <f>HYPERLINK("https://klasma.github.io/Logging_2260/artfynd/A 31578-2021 artfynd.xlsx", "A 31578-2021")</f>
        <v/>
      </c>
      <c r="T163">
        <f>HYPERLINK("https://klasma.github.io/Logging_2260/kartor/A 31578-2021 karta.png", "A 31578-2021")</f>
        <v/>
      </c>
      <c r="U163">
        <f>HYPERLINK("https://klasma.github.io/Logging_2260/knärot/A 31578-2021 karta knärot.png", "A 31578-2021")</f>
        <v/>
      </c>
      <c r="V163">
        <f>HYPERLINK("https://klasma.github.io/Logging_2260/klagomål/A 31578-2021 FSC-klagomål.docx", "A 31578-2021")</f>
        <v/>
      </c>
      <c r="W163">
        <f>HYPERLINK("https://klasma.github.io/Logging_2260/klagomålsmail/A 31578-2021 FSC-klagomål mail.docx", "A 31578-2021")</f>
        <v/>
      </c>
      <c r="X163">
        <f>HYPERLINK("https://klasma.github.io/Logging_2260/tillsyn/A 31578-2021 tillsynsbegäran.docx", "A 31578-2021")</f>
        <v/>
      </c>
      <c r="Y163">
        <f>HYPERLINK("https://klasma.github.io/Logging_2260/tillsynsmail/A 31578-2021 tillsynsbegäran mail.docx", "A 31578-2021")</f>
        <v/>
      </c>
    </row>
    <row r="164" ht="15" customHeight="1">
      <c r="A164" t="inlineStr">
        <is>
          <t>A 35018-2021</t>
        </is>
      </c>
      <c r="B164" s="1" t="n">
        <v>44383.69549768518</v>
      </c>
      <c r="C164" s="1" t="n">
        <v>45890</v>
      </c>
      <c r="D164" t="inlineStr">
        <is>
          <t>VÄSTERNORRLANDS LÄN</t>
        </is>
      </c>
      <c r="E164" t="inlineStr">
        <is>
          <t>ÅNGE</t>
        </is>
      </c>
      <c r="F164" t="inlineStr">
        <is>
          <t>Sveaskog</t>
        </is>
      </c>
      <c r="G164" t="n">
        <v>9.5</v>
      </c>
      <c r="H164" t="n">
        <v>1</v>
      </c>
      <c r="I164" t="n">
        <v>0</v>
      </c>
      <c r="J164" t="n">
        <v>1</v>
      </c>
      <c r="K164" t="n">
        <v>0</v>
      </c>
      <c r="L164" t="n">
        <v>0</v>
      </c>
      <c r="M164" t="n">
        <v>0</v>
      </c>
      <c r="N164" t="n">
        <v>0</v>
      </c>
      <c r="O164" t="n">
        <v>1</v>
      </c>
      <c r="P164" t="n">
        <v>0</v>
      </c>
      <c r="Q164" t="n">
        <v>1</v>
      </c>
      <c r="R164" s="2" t="inlineStr">
        <is>
          <t>Utter</t>
        </is>
      </c>
      <c r="S164">
        <f>HYPERLINK("https://klasma.github.io/Logging_2260/artfynd/A 35018-2021 artfynd.xlsx", "A 35018-2021")</f>
        <v/>
      </c>
      <c r="T164">
        <f>HYPERLINK("https://klasma.github.io/Logging_2260/kartor/A 35018-2021 karta.png", "A 35018-2021")</f>
        <v/>
      </c>
      <c r="V164">
        <f>HYPERLINK("https://klasma.github.io/Logging_2260/klagomål/A 35018-2021 FSC-klagomål.docx", "A 35018-2021")</f>
        <v/>
      </c>
      <c r="W164">
        <f>HYPERLINK("https://klasma.github.io/Logging_2260/klagomålsmail/A 35018-2021 FSC-klagomål mail.docx", "A 35018-2021")</f>
        <v/>
      </c>
      <c r="X164">
        <f>HYPERLINK("https://klasma.github.io/Logging_2260/tillsyn/A 35018-2021 tillsynsbegäran.docx", "A 35018-2021")</f>
        <v/>
      </c>
      <c r="Y164">
        <f>HYPERLINK("https://klasma.github.io/Logging_2260/tillsynsmail/A 35018-2021 tillsynsbegäran mail.docx", "A 35018-2021")</f>
        <v/>
      </c>
    </row>
    <row r="165" ht="15" customHeight="1">
      <c r="A165" t="inlineStr">
        <is>
          <t>A 5558-2021</t>
        </is>
      </c>
      <c r="B165" s="1" t="n">
        <v>44230</v>
      </c>
      <c r="C165" s="1" t="n">
        <v>45890</v>
      </c>
      <c r="D165" t="inlineStr">
        <is>
          <t>VÄSTERNORRLANDS LÄN</t>
        </is>
      </c>
      <c r="E165" t="inlineStr">
        <is>
          <t>ÅNGE</t>
        </is>
      </c>
      <c r="G165" t="n">
        <v>60.6</v>
      </c>
      <c r="H165" t="n">
        <v>0</v>
      </c>
      <c r="I165" t="n">
        <v>0</v>
      </c>
      <c r="J165" t="n">
        <v>1</v>
      </c>
      <c r="K165" t="n">
        <v>0</v>
      </c>
      <c r="L165" t="n">
        <v>0</v>
      </c>
      <c r="M165" t="n">
        <v>0</v>
      </c>
      <c r="N165" t="n">
        <v>0</v>
      </c>
      <c r="O165" t="n">
        <v>1</v>
      </c>
      <c r="P165" t="n">
        <v>0</v>
      </c>
      <c r="Q165" t="n">
        <v>1</v>
      </c>
      <c r="R165" s="2" t="inlineStr">
        <is>
          <t>Garnlav</t>
        </is>
      </c>
      <c r="S165">
        <f>HYPERLINK("https://klasma.github.io/Logging_2260/artfynd/A 5558-2021 artfynd.xlsx", "A 5558-2021")</f>
        <v/>
      </c>
      <c r="T165">
        <f>HYPERLINK("https://klasma.github.io/Logging_2260/kartor/A 5558-2021 karta.png", "A 5558-2021")</f>
        <v/>
      </c>
      <c r="V165">
        <f>HYPERLINK("https://klasma.github.io/Logging_2260/klagomål/A 5558-2021 FSC-klagomål.docx", "A 5558-2021")</f>
        <v/>
      </c>
      <c r="W165">
        <f>HYPERLINK("https://klasma.github.io/Logging_2260/klagomålsmail/A 5558-2021 FSC-klagomål mail.docx", "A 5558-2021")</f>
        <v/>
      </c>
      <c r="X165">
        <f>HYPERLINK("https://klasma.github.io/Logging_2260/tillsyn/A 5558-2021 tillsynsbegäran.docx", "A 5558-2021")</f>
        <v/>
      </c>
      <c r="Y165">
        <f>HYPERLINK("https://klasma.github.io/Logging_2260/tillsynsmail/A 5558-2021 tillsynsbegäran mail.docx", "A 5558-2021")</f>
        <v/>
      </c>
    </row>
    <row r="166" ht="15" customHeight="1">
      <c r="A166" t="inlineStr">
        <is>
          <t>A 54751-2021</t>
        </is>
      </c>
      <c r="B166" s="1" t="n">
        <v>44473</v>
      </c>
      <c r="C166" s="1" t="n">
        <v>45890</v>
      </c>
      <c r="D166" t="inlineStr">
        <is>
          <t>VÄSTERNORRLANDS LÄN</t>
        </is>
      </c>
      <c r="E166" t="inlineStr">
        <is>
          <t>ÅNGE</t>
        </is>
      </c>
      <c r="G166" t="n">
        <v>6.5</v>
      </c>
      <c r="H166" t="n">
        <v>0</v>
      </c>
      <c r="I166" t="n">
        <v>0</v>
      </c>
      <c r="J166" t="n">
        <v>0</v>
      </c>
      <c r="K166" t="n">
        <v>1</v>
      </c>
      <c r="L166" t="n">
        <v>0</v>
      </c>
      <c r="M166" t="n">
        <v>0</v>
      </c>
      <c r="N166" t="n">
        <v>0</v>
      </c>
      <c r="O166" t="n">
        <v>1</v>
      </c>
      <c r="P166" t="n">
        <v>1</v>
      </c>
      <c r="Q166" t="n">
        <v>1</v>
      </c>
      <c r="R166" s="2" t="inlineStr">
        <is>
          <t>Gräddporing</t>
        </is>
      </c>
      <c r="S166">
        <f>HYPERLINK("https://klasma.github.io/Logging_2260/artfynd/A 54751-2021 artfynd.xlsx", "A 54751-2021")</f>
        <v/>
      </c>
      <c r="T166">
        <f>HYPERLINK("https://klasma.github.io/Logging_2260/kartor/A 54751-2021 karta.png", "A 54751-2021")</f>
        <v/>
      </c>
      <c r="V166">
        <f>HYPERLINK("https://klasma.github.io/Logging_2260/klagomål/A 54751-2021 FSC-klagomål.docx", "A 54751-2021")</f>
        <v/>
      </c>
      <c r="W166">
        <f>HYPERLINK("https://klasma.github.io/Logging_2260/klagomålsmail/A 54751-2021 FSC-klagomål mail.docx", "A 54751-2021")</f>
        <v/>
      </c>
      <c r="X166">
        <f>HYPERLINK("https://klasma.github.io/Logging_2260/tillsyn/A 54751-2021 tillsynsbegäran.docx", "A 54751-2021")</f>
        <v/>
      </c>
      <c r="Y166">
        <f>HYPERLINK("https://klasma.github.io/Logging_2260/tillsynsmail/A 54751-2021 tillsynsbegäran mail.docx", "A 54751-2021")</f>
        <v/>
      </c>
    </row>
    <row r="167" ht="15" customHeight="1">
      <c r="A167" t="inlineStr">
        <is>
          <t>A 39180-2024</t>
        </is>
      </c>
      <c r="B167" s="1" t="n">
        <v>45548.6571412037</v>
      </c>
      <c r="C167" s="1" t="n">
        <v>45890</v>
      </c>
      <c r="D167" t="inlineStr">
        <is>
          <t>VÄSTERNORRLANDS LÄN</t>
        </is>
      </c>
      <c r="E167" t="inlineStr">
        <is>
          <t>ÅNGE</t>
        </is>
      </c>
      <c r="F167" t="inlineStr">
        <is>
          <t>SCA</t>
        </is>
      </c>
      <c r="G167" t="n">
        <v>8.699999999999999</v>
      </c>
      <c r="H167" t="n">
        <v>0</v>
      </c>
      <c r="I167" t="n">
        <v>0</v>
      </c>
      <c r="J167" t="n">
        <v>1</v>
      </c>
      <c r="K167" t="n">
        <v>0</v>
      </c>
      <c r="L167" t="n">
        <v>0</v>
      </c>
      <c r="M167" t="n">
        <v>0</v>
      </c>
      <c r="N167" t="n">
        <v>0</v>
      </c>
      <c r="O167" t="n">
        <v>1</v>
      </c>
      <c r="P167" t="n">
        <v>0</v>
      </c>
      <c r="Q167" t="n">
        <v>1</v>
      </c>
      <c r="R167" s="2" t="inlineStr">
        <is>
          <t>Lunglav</t>
        </is>
      </c>
      <c r="S167">
        <f>HYPERLINK("https://klasma.github.io/Logging_2260/artfynd/A 39180-2024 artfynd.xlsx", "A 39180-2024")</f>
        <v/>
      </c>
      <c r="T167">
        <f>HYPERLINK("https://klasma.github.io/Logging_2260/kartor/A 39180-2024 karta.png", "A 39180-2024")</f>
        <v/>
      </c>
      <c r="V167">
        <f>HYPERLINK("https://klasma.github.io/Logging_2260/klagomål/A 39180-2024 FSC-klagomål.docx", "A 39180-2024")</f>
        <v/>
      </c>
      <c r="W167">
        <f>HYPERLINK("https://klasma.github.io/Logging_2260/klagomålsmail/A 39180-2024 FSC-klagomål mail.docx", "A 39180-2024")</f>
        <v/>
      </c>
      <c r="X167">
        <f>HYPERLINK("https://klasma.github.io/Logging_2260/tillsyn/A 39180-2024 tillsynsbegäran.docx", "A 39180-2024")</f>
        <v/>
      </c>
      <c r="Y167">
        <f>HYPERLINK("https://klasma.github.io/Logging_2260/tillsynsmail/A 39180-2024 tillsynsbegäran mail.docx", "A 39180-2024")</f>
        <v/>
      </c>
    </row>
    <row r="168" ht="15" customHeight="1">
      <c r="A168" t="inlineStr">
        <is>
          <t>A 40214-2024</t>
        </is>
      </c>
      <c r="B168" s="1" t="n">
        <v>45554.59460648148</v>
      </c>
      <c r="C168" s="1" t="n">
        <v>45890</v>
      </c>
      <c r="D168" t="inlineStr">
        <is>
          <t>VÄSTERNORRLANDS LÄN</t>
        </is>
      </c>
      <c r="E168" t="inlineStr">
        <is>
          <t>ÅNGE</t>
        </is>
      </c>
      <c r="F168" t="inlineStr">
        <is>
          <t>SCA</t>
        </is>
      </c>
      <c r="G168" t="n">
        <v>7.7</v>
      </c>
      <c r="H168" t="n">
        <v>0</v>
      </c>
      <c r="I168" t="n">
        <v>0</v>
      </c>
      <c r="J168" t="n">
        <v>1</v>
      </c>
      <c r="K168" t="n">
        <v>0</v>
      </c>
      <c r="L168" t="n">
        <v>0</v>
      </c>
      <c r="M168" t="n">
        <v>0</v>
      </c>
      <c r="N168" t="n">
        <v>0</v>
      </c>
      <c r="O168" t="n">
        <v>1</v>
      </c>
      <c r="P168" t="n">
        <v>0</v>
      </c>
      <c r="Q168" t="n">
        <v>1</v>
      </c>
      <c r="R168" s="2" t="inlineStr">
        <is>
          <t>Lunglav</t>
        </is>
      </c>
      <c r="S168">
        <f>HYPERLINK("https://klasma.github.io/Logging_2260/artfynd/A 40214-2024 artfynd.xlsx", "A 40214-2024")</f>
        <v/>
      </c>
      <c r="T168">
        <f>HYPERLINK("https://klasma.github.io/Logging_2260/kartor/A 40214-2024 karta.png", "A 40214-2024")</f>
        <v/>
      </c>
      <c r="V168">
        <f>HYPERLINK("https://klasma.github.io/Logging_2260/klagomål/A 40214-2024 FSC-klagomål.docx", "A 40214-2024")</f>
        <v/>
      </c>
      <c r="W168">
        <f>HYPERLINK("https://klasma.github.io/Logging_2260/klagomålsmail/A 40214-2024 FSC-klagomål mail.docx", "A 40214-2024")</f>
        <v/>
      </c>
      <c r="X168">
        <f>HYPERLINK("https://klasma.github.io/Logging_2260/tillsyn/A 40214-2024 tillsynsbegäran.docx", "A 40214-2024")</f>
        <v/>
      </c>
      <c r="Y168">
        <f>HYPERLINK("https://klasma.github.io/Logging_2260/tillsynsmail/A 40214-2024 tillsynsbegäran mail.docx", "A 40214-2024")</f>
        <v/>
      </c>
    </row>
    <row r="169" ht="15" customHeight="1">
      <c r="A169" t="inlineStr">
        <is>
          <t>A 5-2025</t>
        </is>
      </c>
      <c r="B169" s="1" t="n">
        <v>45658.50527777777</v>
      </c>
      <c r="C169" s="1" t="n">
        <v>45890</v>
      </c>
      <c r="D169" t="inlineStr">
        <is>
          <t>VÄSTERNORRLANDS LÄN</t>
        </is>
      </c>
      <c r="E169" t="inlineStr">
        <is>
          <t>ÅNGE</t>
        </is>
      </c>
      <c r="G169" t="n">
        <v>5.7</v>
      </c>
      <c r="H169" t="n">
        <v>1</v>
      </c>
      <c r="I169" t="n">
        <v>0</v>
      </c>
      <c r="J169" t="n">
        <v>0</v>
      </c>
      <c r="K169" t="n">
        <v>0</v>
      </c>
      <c r="L169" t="n">
        <v>0</v>
      </c>
      <c r="M169" t="n">
        <v>0</v>
      </c>
      <c r="N169" t="n">
        <v>0</v>
      </c>
      <c r="O169" t="n">
        <v>0</v>
      </c>
      <c r="P169" t="n">
        <v>0</v>
      </c>
      <c r="Q169" t="n">
        <v>1</v>
      </c>
      <c r="R169" s="2" t="inlineStr">
        <is>
          <t>Vanlig groda</t>
        </is>
      </c>
      <c r="S169">
        <f>HYPERLINK("https://klasma.github.io/Logging_2260/artfynd/A 5-2025 artfynd.xlsx", "A 5-2025")</f>
        <v/>
      </c>
      <c r="T169">
        <f>HYPERLINK("https://klasma.github.io/Logging_2260/kartor/A 5-2025 karta.png", "A 5-2025")</f>
        <v/>
      </c>
      <c r="V169">
        <f>HYPERLINK("https://klasma.github.io/Logging_2260/klagomål/A 5-2025 FSC-klagomål.docx", "A 5-2025")</f>
        <v/>
      </c>
      <c r="W169">
        <f>HYPERLINK("https://klasma.github.io/Logging_2260/klagomålsmail/A 5-2025 FSC-klagomål mail.docx", "A 5-2025")</f>
        <v/>
      </c>
      <c r="X169">
        <f>HYPERLINK("https://klasma.github.io/Logging_2260/tillsyn/A 5-2025 tillsynsbegäran.docx", "A 5-2025")</f>
        <v/>
      </c>
      <c r="Y169">
        <f>HYPERLINK("https://klasma.github.io/Logging_2260/tillsynsmail/A 5-2025 tillsynsbegäran mail.docx", "A 5-2025")</f>
        <v/>
      </c>
    </row>
    <row r="170" ht="15" customHeight="1">
      <c r="A170" t="inlineStr">
        <is>
          <t>A 40776-2023</t>
        </is>
      </c>
      <c r="B170" s="1" t="n">
        <v>45170</v>
      </c>
      <c r="C170" s="1" t="n">
        <v>45890</v>
      </c>
      <c r="D170" t="inlineStr">
        <is>
          <t>VÄSTERNORRLANDS LÄN</t>
        </is>
      </c>
      <c r="E170" t="inlineStr">
        <is>
          <t>ÅNGE</t>
        </is>
      </c>
      <c r="F170" t="inlineStr">
        <is>
          <t>SCA</t>
        </is>
      </c>
      <c r="G170" t="n">
        <v>3</v>
      </c>
      <c r="H170" t="n">
        <v>1</v>
      </c>
      <c r="I170" t="n">
        <v>0</v>
      </c>
      <c r="J170" t="n">
        <v>1</v>
      </c>
      <c r="K170" t="n">
        <v>0</v>
      </c>
      <c r="L170" t="n">
        <v>0</v>
      </c>
      <c r="M170" t="n">
        <v>0</v>
      </c>
      <c r="N170" t="n">
        <v>0</v>
      </c>
      <c r="O170" t="n">
        <v>1</v>
      </c>
      <c r="P170" t="n">
        <v>0</v>
      </c>
      <c r="Q170" t="n">
        <v>1</v>
      </c>
      <c r="R170" s="2" t="inlineStr">
        <is>
          <t>Tretåig hackspett</t>
        </is>
      </c>
      <c r="S170">
        <f>HYPERLINK("https://klasma.github.io/Logging_2260/artfynd/A 40776-2023 artfynd.xlsx", "A 40776-2023")</f>
        <v/>
      </c>
      <c r="T170">
        <f>HYPERLINK("https://klasma.github.io/Logging_2260/kartor/A 40776-2023 karta.png", "A 40776-2023")</f>
        <v/>
      </c>
      <c r="V170">
        <f>HYPERLINK("https://klasma.github.io/Logging_2260/klagomål/A 40776-2023 FSC-klagomål.docx", "A 40776-2023")</f>
        <v/>
      </c>
      <c r="W170">
        <f>HYPERLINK("https://klasma.github.io/Logging_2260/klagomålsmail/A 40776-2023 FSC-klagomål mail.docx", "A 40776-2023")</f>
        <v/>
      </c>
      <c r="X170">
        <f>HYPERLINK("https://klasma.github.io/Logging_2260/tillsyn/A 40776-2023 tillsynsbegäran.docx", "A 40776-2023")</f>
        <v/>
      </c>
      <c r="Y170">
        <f>HYPERLINK("https://klasma.github.io/Logging_2260/tillsynsmail/A 40776-2023 tillsynsbegäran mail.docx", "A 40776-2023")</f>
        <v/>
      </c>
      <c r="Z170">
        <f>HYPERLINK("https://klasma.github.io/Logging_2260/fåglar/A 40776-2023 prioriterade fågelarter.docx", "A 40776-2023")</f>
        <v/>
      </c>
    </row>
    <row r="171" ht="15" customHeight="1">
      <c r="A171" t="inlineStr">
        <is>
          <t>A 52424-2023</t>
        </is>
      </c>
      <c r="B171" s="1" t="n">
        <v>45217</v>
      </c>
      <c r="C171" s="1" t="n">
        <v>45890</v>
      </c>
      <c r="D171" t="inlineStr">
        <is>
          <t>VÄSTERNORRLANDS LÄN</t>
        </is>
      </c>
      <c r="E171" t="inlineStr">
        <is>
          <t>ÅNGE</t>
        </is>
      </c>
      <c r="F171" t="inlineStr">
        <is>
          <t>SCA</t>
        </is>
      </c>
      <c r="G171" t="n">
        <v>3.8</v>
      </c>
      <c r="H171" t="n">
        <v>1</v>
      </c>
      <c r="I171" t="n">
        <v>0</v>
      </c>
      <c r="J171" t="n">
        <v>0</v>
      </c>
      <c r="K171" t="n">
        <v>0</v>
      </c>
      <c r="L171" t="n">
        <v>0</v>
      </c>
      <c r="M171" t="n">
        <v>0</v>
      </c>
      <c r="N171" t="n">
        <v>0</v>
      </c>
      <c r="O171" t="n">
        <v>0</v>
      </c>
      <c r="P171" t="n">
        <v>0</v>
      </c>
      <c r="Q171" t="n">
        <v>1</v>
      </c>
      <c r="R171" s="2" t="inlineStr">
        <is>
          <t>Revlummer</t>
        </is>
      </c>
      <c r="S171">
        <f>HYPERLINK("https://klasma.github.io/Logging_2260/artfynd/A 52424-2023 artfynd.xlsx", "A 52424-2023")</f>
        <v/>
      </c>
      <c r="T171">
        <f>HYPERLINK("https://klasma.github.io/Logging_2260/kartor/A 52424-2023 karta.png", "A 52424-2023")</f>
        <v/>
      </c>
      <c r="V171">
        <f>HYPERLINK("https://klasma.github.io/Logging_2260/klagomål/A 52424-2023 FSC-klagomål.docx", "A 52424-2023")</f>
        <v/>
      </c>
      <c r="W171">
        <f>HYPERLINK("https://klasma.github.io/Logging_2260/klagomålsmail/A 52424-2023 FSC-klagomål mail.docx", "A 52424-2023")</f>
        <v/>
      </c>
      <c r="X171">
        <f>HYPERLINK("https://klasma.github.io/Logging_2260/tillsyn/A 52424-2023 tillsynsbegäran.docx", "A 52424-2023")</f>
        <v/>
      </c>
      <c r="Y171">
        <f>HYPERLINK("https://klasma.github.io/Logging_2260/tillsynsmail/A 52424-2023 tillsynsbegäran mail.docx", "A 52424-2023")</f>
        <v/>
      </c>
    </row>
    <row r="172" ht="15" customHeight="1">
      <c r="A172" t="inlineStr">
        <is>
          <t>A 71366-2021</t>
        </is>
      </c>
      <c r="B172" s="1" t="n">
        <v>44539</v>
      </c>
      <c r="C172" s="1" t="n">
        <v>45890</v>
      </c>
      <c r="D172" t="inlineStr">
        <is>
          <t>VÄSTERNORRLANDS LÄN</t>
        </is>
      </c>
      <c r="E172" t="inlineStr">
        <is>
          <t>ÅNGE</t>
        </is>
      </c>
      <c r="F172" t="inlineStr">
        <is>
          <t>SCA</t>
        </is>
      </c>
      <c r="G172" t="n">
        <v>2.3</v>
      </c>
      <c r="H172" t="n">
        <v>1</v>
      </c>
      <c r="I172" t="n">
        <v>0</v>
      </c>
      <c r="J172" t="n">
        <v>0</v>
      </c>
      <c r="K172" t="n">
        <v>1</v>
      </c>
      <c r="L172" t="n">
        <v>0</v>
      </c>
      <c r="M172" t="n">
        <v>0</v>
      </c>
      <c r="N172" t="n">
        <v>0</v>
      </c>
      <c r="O172" t="n">
        <v>1</v>
      </c>
      <c r="P172" t="n">
        <v>1</v>
      </c>
      <c r="Q172" t="n">
        <v>1</v>
      </c>
      <c r="R172" s="2" t="inlineStr">
        <is>
          <t>Knärot</t>
        </is>
      </c>
      <c r="S172">
        <f>HYPERLINK("https://klasma.github.io/Logging_2260/artfynd/A 71366-2021 artfynd.xlsx", "A 71366-2021")</f>
        <v/>
      </c>
      <c r="T172">
        <f>HYPERLINK("https://klasma.github.io/Logging_2260/kartor/A 71366-2021 karta.png", "A 71366-2021")</f>
        <v/>
      </c>
      <c r="U172">
        <f>HYPERLINK("https://klasma.github.io/Logging_2260/knärot/A 71366-2021 karta knärot.png", "A 71366-2021")</f>
        <v/>
      </c>
      <c r="V172">
        <f>HYPERLINK("https://klasma.github.io/Logging_2260/klagomål/A 71366-2021 FSC-klagomål.docx", "A 71366-2021")</f>
        <v/>
      </c>
      <c r="W172">
        <f>HYPERLINK("https://klasma.github.io/Logging_2260/klagomålsmail/A 71366-2021 FSC-klagomål mail.docx", "A 71366-2021")</f>
        <v/>
      </c>
      <c r="X172">
        <f>HYPERLINK("https://klasma.github.io/Logging_2260/tillsyn/A 71366-2021 tillsynsbegäran.docx", "A 71366-2021")</f>
        <v/>
      </c>
      <c r="Y172">
        <f>HYPERLINK("https://klasma.github.io/Logging_2260/tillsynsmail/A 71366-2021 tillsynsbegäran mail.docx", "A 71366-2021")</f>
        <v/>
      </c>
    </row>
    <row r="173" ht="15" customHeight="1">
      <c r="A173" t="inlineStr">
        <is>
          <t>A 32457-2024</t>
        </is>
      </c>
      <c r="B173" s="1" t="n">
        <v>45512</v>
      </c>
      <c r="C173" s="1" t="n">
        <v>45890</v>
      </c>
      <c r="D173" t="inlineStr">
        <is>
          <t>VÄSTERNORRLANDS LÄN</t>
        </is>
      </c>
      <c r="E173" t="inlineStr">
        <is>
          <t>ÅNGE</t>
        </is>
      </c>
      <c r="F173" t="inlineStr">
        <is>
          <t>SCA</t>
        </is>
      </c>
      <c r="G173" t="n">
        <v>1.3</v>
      </c>
      <c r="H173" t="n">
        <v>0</v>
      </c>
      <c r="I173" t="n">
        <v>0</v>
      </c>
      <c r="J173" t="n">
        <v>1</v>
      </c>
      <c r="K173" t="n">
        <v>0</v>
      </c>
      <c r="L173" t="n">
        <v>0</v>
      </c>
      <c r="M173" t="n">
        <v>0</v>
      </c>
      <c r="N173" t="n">
        <v>0</v>
      </c>
      <c r="O173" t="n">
        <v>1</v>
      </c>
      <c r="P173" t="n">
        <v>0</v>
      </c>
      <c r="Q173" t="n">
        <v>1</v>
      </c>
      <c r="R173" s="2" t="inlineStr">
        <is>
          <t>Ullticka</t>
        </is>
      </c>
      <c r="S173">
        <f>HYPERLINK("https://klasma.github.io/Logging_2260/artfynd/A 32457-2024 artfynd.xlsx", "A 32457-2024")</f>
        <v/>
      </c>
      <c r="T173">
        <f>HYPERLINK("https://klasma.github.io/Logging_2260/kartor/A 32457-2024 karta.png", "A 32457-2024")</f>
        <v/>
      </c>
      <c r="V173">
        <f>HYPERLINK("https://klasma.github.io/Logging_2260/klagomål/A 32457-2024 FSC-klagomål.docx", "A 32457-2024")</f>
        <v/>
      </c>
      <c r="W173">
        <f>HYPERLINK("https://klasma.github.io/Logging_2260/klagomålsmail/A 32457-2024 FSC-klagomål mail.docx", "A 32457-2024")</f>
        <v/>
      </c>
      <c r="X173">
        <f>HYPERLINK("https://klasma.github.io/Logging_2260/tillsyn/A 32457-2024 tillsynsbegäran.docx", "A 32457-2024")</f>
        <v/>
      </c>
      <c r="Y173">
        <f>HYPERLINK("https://klasma.github.io/Logging_2260/tillsynsmail/A 32457-2024 tillsynsbegäran mail.docx", "A 32457-2024")</f>
        <v/>
      </c>
    </row>
    <row r="174" ht="15" customHeight="1">
      <c r="A174" t="inlineStr">
        <is>
          <t>A 30774-2024</t>
        </is>
      </c>
      <c r="B174" s="1" t="n">
        <v>45496.949375</v>
      </c>
      <c r="C174" s="1" t="n">
        <v>45890</v>
      </c>
      <c r="D174" t="inlineStr">
        <is>
          <t>VÄSTERNORRLANDS LÄN</t>
        </is>
      </c>
      <c r="E174" t="inlineStr">
        <is>
          <t>ÅNGE</t>
        </is>
      </c>
      <c r="F174" t="inlineStr">
        <is>
          <t>SCA</t>
        </is>
      </c>
      <c r="G174" t="n">
        <v>2.2</v>
      </c>
      <c r="H174" t="n">
        <v>1</v>
      </c>
      <c r="I174" t="n">
        <v>0</v>
      </c>
      <c r="J174" t="n">
        <v>0</v>
      </c>
      <c r="K174" t="n">
        <v>0</v>
      </c>
      <c r="L174" t="n">
        <v>0</v>
      </c>
      <c r="M174" t="n">
        <v>0</v>
      </c>
      <c r="N174" t="n">
        <v>0</v>
      </c>
      <c r="O174" t="n">
        <v>0</v>
      </c>
      <c r="P174" t="n">
        <v>0</v>
      </c>
      <c r="Q174" t="n">
        <v>1</v>
      </c>
      <c r="R174" s="2" t="inlineStr">
        <is>
          <t>Tjäder</t>
        </is>
      </c>
      <c r="S174">
        <f>HYPERLINK("https://klasma.github.io/Logging_2260/artfynd/A 30774-2024 artfynd.xlsx", "A 30774-2024")</f>
        <v/>
      </c>
      <c r="T174">
        <f>HYPERLINK("https://klasma.github.io/Logging_2260/kartor/A 30774-2024 karta.png", "A 30774-2024")</f>
        <v/>
      </c>
      <c r="V174">
        <f>HYPERLINK("https://klasma.github.io/Logging_2260/klagomål/A 30774-2024 FSC-klagomål.docx", "A 30774-2024")</f>
        <v/>
      </c>
      <c r="W174">
        <f>HYPERLINK("https://klasma.github.io/Logging_2260/klagomålsmail/A 30774-2024 FSC-klagomål mail.docx", "A 30774-2024")</f>
        <v/>
      </c>
      <c r="X174">
        <f>HYPERLINK("https://klasma.github.io/Logging_2260/tillsyn/A 30774-2024 tillsynsbegäran.docx", "A 30774-2024")</f>
        <v/>
      </c>
      <c r="Y174">
        <f>HYPERLINK("https://klasma.github.io/Logging_2260/tillsynsmail/A 30774-2024 tillsynsbegäran mail.docx", "A 30774-2024")</f>
        <v/>
      </c>
      <c r="Z174">
        <f>HYPERLINK("https://klasma.github.io/Logging_2260/fåglar/A 30774-2024 prioriterade fågelarter.docx", "A 30774-2024")</f>
        <v/>
      </c>
    </row>
    <row r="175" ht="15" customHeight="1">
      <c r="A175" t="inlineStr">
        <is>
          <t>A 31544-2024</t>
        </is>
      </c>
      <c r="B175" s="1" t="n">
        <v>45505</v>
      </c>
      <c r="C175" s="1" t="n">
        <v>45890</v>
      </c>
      <c r="D175" t="inlineStr">
        <is>
          <t>VÄSTERNORRLANDS LÄN</t>
        </is>
      </c>
      <c r="E175" t="inlineStr">
        <is>
          <t>ÅNGE</t>
        </is>
      </c>
      <c r="F175" t="inlineStr">
        <is>
          <t>SCA</t>
        </is>
      </c>
      <c r="G175" t="n">
        <v>3.5</v>
      </c>
      <c r="H175" t="n">
        <v>0</v>
      </c>
      <c r="I175" t="n">
        <v>0</v>
      </c>
      <c r="J175" t="n">
        <v>1</v>
      </c>
      <c r="K175" t="n">
        <v>0</v>
      </c>
      <c r="L175" t="n">
        <v>0</v>
      </c>
      <c r="M175" t="n">
        <v>0</v>
      </c>
      <c r="N175" t="n">
        <v>0</v>
      </c>
      <c r="O175" t="n">
        <v>1</v>
      </c>
      <c r="P175" t="n">
        <v>0</v>
      </c>
      <c r="Q175" t="n">
        <v>1</v>
      </c>
      <c r="R175" s="2" t="inlineStr">
        <is>
          <t>Granticka</t>
        </is>
      </c>
      <c r="S175">
        <f>HYPERLINK("https://klasma.github.io/Logging_2260/artfynd/A 31544-2024 artfynd.xlsx", "A 31544-2024")</f>
        <v/>
      </c>
      <c r="T175">
        <f>HYPERLINK("https://klasma.github.io/Logging_2260/kartor/A 31544-2024 karta.png", "A 31544-2024")</f>
        <v/>
      </c>
      <c r="V175">
        <f>HYPERLINK("https://klasma.github.io/Logging_2260/klagomål/A 31544-2024 FSC-klagomål.docx", "A 31544-2024")</f>
        <v/>
      </c>
      <c r="W175">
        <f>HYPERLINK("https://klasma.github.io/Logging_2260/klagomålsmail/A 31544-2024 FSC-klagomål mail.docx", "A 31544-2024")</f>
        <v/>
      </c>
      <c r="X175">
        <f>HYPERLINK("https://klasma.github.io/Logging_2260/tillsyn/A 31544-2024 tillsynsbegäran.docx", "A 31544-2024")</f>
        <v/>
      </c>
      <c r="Y175">
        <f>HYPERLINK("https://klasma.github.io/Logging_2260/tillsynsmail/A 31544-2024 tillsynsbegäran mail.docx", "A 31544-2024")</f>
        <v/>
      </c>
    </row>
    <row r="176" ht="15" customHeight="1">
      <c r="A176" t="inlineStr">
        <is>
          <t>A 40416-2020</t>
        </is>
      </c>
      <c r="B176" s="1" t="n">
        <v>44068</v>
      </c>
      <c r="C176" s="1" t="n">
        <v>45890</v>
      </c>
      <c r="D176" t="inlineStr">
        <is>
          <t>VÄSTERNORRLANDS LÄN</t>
        </is>
      </c>
      <c r="E176" t="inlineStr">
        <is>
          <t>ÅNGE</t>
        </is>
      </c>
      <c r="F176" t="inlineStr">
        <is>
          <t>SCA</t>
        </is>
      </c>
      <c r="G176" t="n">
        <v>7.7</v>
      </c>
      <c r="H176" t="n">
        <v>1</v>
      </c>
      <c r="I176" t="n">
        <v>0</v>
      </c>
      <c r="J176" t="n">
        <v>0</v>
      </c>
      <c r="K176" t="n">
        <v>1</v>
      </c>
      <c r="L176" t="n">
        <v>0</v>
      </c>
      <c r="M176" t="n">
        <v>0</v>
      </c>
      <c r="N176" t="n">
        <v>0</v>
      </c>
      <c r="O176" t="n">
        <v>1</v>
      </c>
      <c r="P176" t="n">
        <v>1</v>
      </c>
      <c r="Q176" t="n">
        <v>1</v>
      </c>
      <c r="R176" s="2" t="inlineStr">
        <is>
          <t>Knärot</t>
        </is>
      </c>
      <c r="S176">
        <f>HYPERLINK("https://klasma.github.io/Logging_2260/artfynd/A 40416-2020 artfynd.xlsx", "A 40416-2020")</f>
        <v/>
      </c>
      <c r="T176">
        <f>HYPERLINK("https://klasma.github.io/Logging_2260/kartor/A 40416-2020 karta.png", "A 40416-2020")</f>
        <v/>
      </c>
      <c r="U176">
        <f>HYPERLINK("https://klasma.github.io/Logging_2260/knärot/A 40416-2020 karta knärot.png", "A 40416-2020")</f>
        <v/>
      </c>
      <c r="V176">
        <f>HYPERLINK("https://klasma.github.io/Logging_2260/klagomål/A 40416-2020 FSC-klagomål.docx", "A 40416-2020")</f>
        <v/>
      </c>
      <c r="W176">
        <f>HYPERLINK("https://klasma.github.io/Logging_2260/klagomålsmail/A 40416-2020 FSC-klagomål mail.docx", "A 40416-2020")</f>
        <v/>
      </c>
      <c r="X176">
        <f>HYPERLINK("https://klasma.github.io/Logging_2260/tillsyn/A 40416-2020 tillsynsbegäran.docx", "A 40416-2020")</f>
        <v/>
      </c>
      <c r="Y176">
        <f>HYPERLINK("https://klasma.github.io/Logging_2260/tillsynsmail/A 40416-2020 tillsynsbegäran mail.docx", "A 40416-2020")</f>
        <v/>
      </c>
    </row>
    <row r="177" ht="15" customHeight="1">
      <c r="A177" t="inlineStr">
        <is>
          <t>A 39933-2022</t>
        </is>
      </c>
      <c r="B177" s="1" t="n">
        <v>44819</v>
      </c>
      <c r="C177" s="1" t="n">
        <v>45890</v>
      </c>
      <c r="D177" t="inlineStr">
        <is>
          <t>VÄSTERNORRLANDS LÄN</t>
        </is>
      </c>
      <c r="E177" t="inlineStr">
        <is>
          <t>ÅNGE</t>
        </is>
      </c>
      <c r="F177" t="inlineStr">
        <is>
          <t>SCA</t>
        </is>
      </c>
      <c r="G177" t="n">
        <v>13.8</v>
      </c>
      <c r="H177" t="n">
        <v>1</v>
      </c>
      <c r="I177" t="n">
        <v>0</v>
      </c>
      <c r="J177" t="n">
        <v>0</v>
      </c>
      <c r="K177" t="n">
        <v>1</v>
      </c>
      <c r="L177" t="n">
        <v>0</v>
      </c>
      <c r="M177" t="n">
        <v>0</v>
      </c>
      <c r="N177" t="n">
        <v>0</v>
      </c>
      <c r="O177" t="n">
        <v>1</v>
      </c>
      <c r="P177" t="n">
        <v>1</v>
      </c>
      <c r="Q177" t="n">
        <v>1</v>
      </c>
      <c r="R177" s="2" t="inlineStr">
        <is>
          <t>Knärot</t>
        </is>
      </c>
      <c r="S177">
        <f>HYPERLINK("https://klasma.github.io/Logging_2260/artfynd/A 39933-2022 artfynd.xlsx", "A 39933-2022")</f>
        <v/>
      </c>
      <c r="T177">
        <f>HYPERLINK("https://klasma.github.io/Logging_2260/kartor/A 39933-2022 karta.png", "A 39933-2022")</f>
        <v/>
      </c>
      <c r="U177">
        <f>HYPERLINK("https://klasma.github.io/Logging_2260/knärot/A 39933-2022 karta knärot.png", "A 39933-2022")</f>
        <v/>
      </c>
      <c r="V177">
        <f>HYPERLINK("https://klasma.github.io/Logging_2260/klagomål/A 39933-2022 FSC-klagomål.docx", "A 39933-2022")</f>
        <v/>
      </c>
      <c r="W177">
        <f>HYPERLINK("https://klasma.github.io/Logging_2260/klagomålsmail/A 39933-2022 FSC-klagomål mail.docx", "A 39933-2022")</f>
        <v/>
      </c>
      <c r="X177">
        <f>HYPERLINK("https://klasma.github.io/Logging_2260/tillsyn/A 39933-2022 tillsynsbegäran.docx", "A 39933-2022")</f>
        <v/>
      </c>
      <c r="Y177">
        <f>HYPERLINK("https://klasma.github.io/Logging_2260/tillsynsmail/A 39933-2022 tillsynsbegäran mail.docx", "A 39933-2022")</f>
        <v/>
      </c>
    </row>
    <row r="178" ht="15" customHeight="1">
      <c r="A178" t="inlineStr">
        <is>
          <t>A 38606-2024</t>
        </is>
      </c>
      <c r="B178" s="1" t="n">
        <v>45546.67804398148</v>
      </c>
      <c r="C178" s="1" t="n">
        <v>45890</v>
      </c>
      <c r="D178" t="inlineStr">
        <is>
          <t>VÄSTERNORRLANDS LÄN</t>
        </is>
      </c>
      <c r="E178" t="inlineStr">
        <is>
          <t>ÅNGE</t>
        </is>
      </c>
      <c r="F178" t="inlineStr">
        <is>
          <t>SCA</t>
        </is>
      </c>
      <c r="G178" t="n">
        <v>2.4</v>
      </c>
      <c r="H178" t="n">
        <v>0</v>
      </c>
      <c r="I178" t="n">
        <v>0</v>
      </c>
      <c r="J178" t="n">
        <v>1</v>
      </c>
      <c r="K178" t="n">
        <v>0</v>
      </c>
      <c r="L178" t="n">
        <v>0</v>
      </c>
      <c r="M178" t="n">
        <v>0</v>
      </c>
      <c r="N178" t="n">
        <v>0</v>
      </c>
      <c r="O178" t="n">
        <v>1</v>
      </c>
      <c r="P178" t="n">
        <v>0</v>
      </c>
      <c r="Q178" t="n">
        <v>1</v>
      </c>
      <c r="R178" s="2" t="inlineStr">
        <is>
          <t>Ullticka</t>
        </is>
      </c>
      <c r="S178">
        <f>HYPERLINK("https://klasma.github.io/Logging_2260/artfynd/A 38606-2024 artfynd.xlsx", "A 38606-2024")</f>
        <v/>
      </c>
      <c r="T178">
        <f>HYPERLINK("https://klasma.github.io/Logging_2260/kartor/A 38606-2024 karta.png", "A 38606-2024")</f>
        <v/>
      </c>
      <c r="V178">
        <f>HYPERLINK("https://klasma.github.io/Logging_2260/klagomål/A 38606-2024 FSC-klagomål.docx", "A 38606-2024")</f>
        <v/>
      </c>
      <c r="W178">
        <f>HYPERLINK("https://klasma.github.io/Logging_2260/klagomålsmail/A 38606-2024 FSC-klagomål mail.docx", "A 38606-2024")</f>
        <v/>
      </c>
      <c r="X178">
        <f>HYPERLINK("https://klasma.github.io/Logging_2260/tillsyn/A 38606-2024 tillsynsbegäran.docx", "A 38606-2024")</f>
        <v/>
      </c>
      <c r="Y178">
        <f>HYPERLINK("https://klasma.github.io/Logging_2260/tillsynsmail/A 38606-2024 tillsynsbegäran mail.docx", "A 38606-2024")</f>
        <v/>
      </c>
    </row>
    <row r="179" ht="15" customHeight="1">
      <c r="A179" t="inlineStr">
        <is>
          <t>A 56091-2024</t>
        </is>
      </c>
      <c r="B179" s="1" t="n">
        <v>45624.40678240741</v>
      </c>
      <c r="C179" s="1" t="n">
        <v>45890</v>
      </c>
      <c r="D179" t="inlineStr">
        <is>
          <t>VÄSTERNORRLANDS LÄN</t>
        </is>
      </c>
      <c r="E179" t="inlineStr">
        <is>
          <t>ÅNGE</t>
        </is>
      </c>
      <c r="F179" t="inlineStr">
        <is>
          <t>SCA</t>
        </is>
      </c>
      <c r="G179" t="n">
        <v>2.5</v>
      </c>
      <c r="H179" t="n">
        <v>0</v>
      </c>
      <c r="I179" t="n">
        <v>0</v>
      </c>
      <c r="J179" t="n">
        <v>1</v>
      </c>
      <c r="K179" t="n">
        <v>0</v>
      </c>
      <c r="L179" t="n">
        <v>0</v>
      </c>
      <c r="M179" t="n">
        <v>0</v>
      </c>
      <c r="N179" t="n">
        <v>0</v>
      </c>
      <c r="O179" t="n">
        <v>1</v>
      </c>
      <c r="P179" t="n">
        <v>0</v>
      </c>
      <c r="Q179" t="n">
        <v>1</v>
      </c>
      <c r="R179" s="2" t="inlineStr">
        <is>
          <t>Mörk kolflarnlav</t>
        </is>
      </c>
      <c r="S179">
        <f>HYPERLINK("https://klasma.github.io/Logging_2260/artfynd/A 56091-2024 artfynd.xlsx", "A 56091-2024")</f>
        <v/>
      </c>
      <c r="T179">
        <f>HYPERLINK("https://klasma.github.io/Logging_2260/kartor/A 56091-2024 karta.png", "A 56091-2024")</f>
        <v/>
      </c>
      <c r="V179">
        <f>HYPERLINK("https://klasma.github.io/Logging_2260/klagomål/A 56091-2024 FSC-klagomål.docx", "A 56091-2024")</f>
        <v/>
      </c>
      <c r="W179">
        <f>HYPERLINK("https://klasma.github.io/Logging_2260/klagomålsmail/A 56091-2024 FSC-klagomål mail.docx", "A 56091-2024")</f>
        <v/>
      </c>
      <c r="X179">
        <f>HYPERLINK("https://klasma.github.io/Logging_2260/tillsyn/A 56091-2024 tillsynsbegäran.docx", "A 56091-2024")</f>
        <v/>
      </c>
      <c r="Y179">
        <f>HYPERLINK("https://klasma.github.io/Logging_2260/tillsynsmail/A 56091-2024 tillsynsbegäran mail.docx", "A 56091-2024")</f>
        <v/>
      </c>
    </row>
    <row r="180" ht="15" customHeight="1">
      <c r="A180" t="inlineStr">
        <is>
          <t>A 13934-2024</t>
        </is>
      </c>
      <c r="B180" s="1" t="n">
        <v>45391</v>
      </c>
      <c r="C180" s="1" t="n">
        <v>45890</v>
      </c>
      <c r="D180" t="inlineStr">
        <is>
          <t>VÄSTERNORRLANDS LÄN</t>
        </is>
      </c>
      <c r="E180" t="inlineStr">
        <is>
          <t>ÅNGE</t>
        </is>
      </c>
      <c r="F180" t="inlineStr">
        <is>
          <t>SCA</t>
        </is>
      </c>
      <c r="G180" t="n">
        <v>5.8</v>
      </c>
      <c r="H180" t="n">
        <v>0</v>
      </c>
      <c r="I180" t="n">
        <v>0</v>
      </c>
      <c r="J180" t="n">
        <v>1</v>
      </c>
      <c r="K180" t="n">
        <v>0</v>
      </c>
      <c r="L180" t="n">
        <v>0</v>
      </c>
      <c r="M180" t="n">
        <v>0</v>
      </c>
      <c r="N180" t="n">
        <v>0</v>
      </c>
      <c r="O180" t="n">
        <v>1</v>
      </c>
      <c r="P180" t="n">
        <v>0</v>
      </c>
      <c r="Q180" t="n">
        <v>1</v>
      </c>
      <c r="R180" s="2" t="inlineStr">
        <is>
          <t>Ullticka</t>
        </is>
      </c>
      <c r="S180">
        <f>HYPERLINK("https://klasma.github.io/Logging_2260/artfynd/A 13934-2024 artfynd.xlsx", "A 13934-2024")</f>
        <v/>
      </c>
      <c r="T180">
        <f>HYPERLINK("https://klasma.github.io/Logging_2260/kartor/A 13934-2024 karta.png", "A 13934-2024")</f>
        <v/>
      </c>
      <c r="V180">
        <f>HYPERLINK("https://klasma.github.io/Logging_2260/klagomål/A 13934-2024 FSC-klagomål.docx", "A 13934-2024")</f>
        <v/>
      </c>
      <c r="W180">
        <f>HYPERLINK("https://klasma.github.io/Logging_2260/klagomålsmail/A 13934-2024 FSC-klagomål mail.docx", "A 13934-2024")</f>
        <v/>
      </c>
      <c r="X180">
        <f>HYPERLINK("https://klasma.github.io/Logging_2260/tillsyn/A 13934-2024 tillsynsbegäran.docx", "A 13934-2024")</f>
        <v/>
      </c>
      <c r="Y180">
        <f>HYPERLINK("https://klasma.github.io/Logging_2260/tillsynsmail/A 13934-2024 tillsynsbegäran mail.docx", "A 13934-2024")</f>
        <v/>
      </c>
    </row>
    <row r="181" ht="15" customHeight="1">
      <c r="A181" t="inlineStr">
        <is>
          <t>A 54386-2024</t>
        </is>
      </c>
      <c r="B181" s="1" t="n">
        <v>45617.44822916666</v>
      </c>
      <c r="C181" s="1" t="n">
        <v>45890</v>
      </c>
      <c r="D181" t="inlineStr">
        <is>
          <t>VÄSTERNORRLANDS LÄN</t>
        </is>
      </c>
      <c r="E181" t="inlineStr">
        <is>
          <t>ÅNGE</t>
        </is>
      </c>
      <c r="F181" t="inlineStr">
        <is>
          <t>SCA</t>
        </is>
      </c>
      <c r="G181" t="n">
        <v>1.9</v>
      </c>
      <c r="H181" t="n">
        <v>0</v>
      </c>
      <c r="I181" t="n">
        <v>0</v>
      </c>
      <c r="J181" t="n">
        <v>1</v>
      </c>
      <c r="K181" t="n">
        <v>0</v>
      </c>
      <c r="L181" t="n">
        <v>0</v>
      </c>
      <c r="M181" t="n">
        <v>0</v>
      </c>
      <c r="N181" t="n">
        <v>0</v>
      </c>
      <c r="O181" t="n">
        <v>1</v>
      </c>
      <c r="P181" t="n">
        <v>0</v>
      </c>
      <c r="Q181" t="n">
        <v>1</v>
      </c>
      <c r="R181" s="2" t="inlineStr">
        <is>
          <t>Reliktbock</t>
        </is>
      </c>
      <c r="S181">
        <f>HYPERLINK("https://klasma.github.io/Logging_2260/artfynd/A 54386-2024 artfynd.xlsx", "A 54386-2024")</f>
        <v/>
      </c>
      <c r="T181">
        <f>HYPERLINK("https://klasma.github.io/Logging_2260/kartor/A 54386-2024 karta.png", "A 54386-2024")</f>
        <v/>
      </c>
      <c r="V181">
        <f>HYPERLINK("https://klasma.github.io/Logging_2260/klagomål/A 54386-2024 FSC-klagomål.docx", "A 54386-2024")</f>
        <v/>
      </c>
      <c r="W181">
        <f>HYPERLINK("https://klasma.github.io/Logging_2260/klagomålsmail/A 54386-2024 FSC-klagomål mail.docx", "A 54386-2024")</f>
        <v/>
      </c>
      <c r="X181">
        <f>HYPERLINK("https://klasma.github.io/Logging_2260/tillsyn/A 54386-2024 tillsynsbegäran.docx", "A 54386-2024")</f>
        <v/>
      </c>
      <c r="Y181">
        <f>HYPERLINK("https://klasma.github.io/Logging_2260/tillsynsmail/A 54386-2024 tillsynsbegäran mail.docx", "A 54386-2024")</f>
        <v/>
      </c>
    </row>
    <row r="182" ht="15" customHeight="1">
      <c r="A182" t="inlineStr">
        <is>
          <t>A 35648-2025</t>
        </is>
      </c>
      <c r="B182" s="1" t="n">
        <v>45859.51670138889</v>
      </c>
      <c r="C182" s="1" t="n">
        <v>45890</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43171-2024</t>
        </is>
      </c>
      <c r="B183" s="1" t="n">
        <v>45567</v>
      </c>
      <c r="C183" s="1" t="n">
        <v>45890</v>
      </c>
      <c r="D183" t="inlineStr">
        <is>
          <t>VÄSTERNORRLANDS LÄN</t>
        </is>
      </c>
      <c r="E183" t="inlineStr">
        <is>
          <t>ÅNGE</t>
        </is>
      </c>
      <c r="F183" t="inlineStr">
        <is>
          <t>SCA</t>
        </is>
      </c>
      <c r="G183" t="n">
        <v>3.4</v>
      </c>
      <c r="H183" t="n">
        <v>0</v>
      </c>
      <c r="I183" t="n">
        <v>0</v>
      </c>
      <c r="J183" t="n">
        <v>1</v>
      </c>
      <c r="K183" t="n">
        <v>0</v>
      </c>
      <c r="L183" t="n">
        <v>0</v>
      </c>
      <c r="M183" t="n">
        <v>0</v>
      </c>
      <c r="N183" t="n">
        <v>0</v>
      </c>
      <c r="O183" t="n">
        <v>1</v>
      </c>
      <c r="P183" t="n">
        <v>0</v>
      </c>
      <c r="Q183" t="n">
        <v>1</v>
      </c>
      <c r="R183" s="2" t="inlineStr">
        <is>
          <t>Rosenticka</t>
        </is>
      </c>
      <c r="S183">
        <f>HYPERLINK("https://klasma.github.io/Logging_2260/artfynd/A 43171-2024 artfynd.xlsx", "A 43171-2024")</f>
        <v/>
      </c>
      <c r="T183">
        <f>HYPERLINK("https://klasma.github.io/Logging_2260/kartor/A 43171-2024 karta.png", "A 43171-2024")</f>
        <v/>
      </c>
      <c r="V183">
        <f>HYPERLINK("https://klasma.github.io/Logging_2260/klagomål/A 43171-2024 FSC-klagomål.docx", "A 43171-2024")</f>
        <v/>
      </c>
      <c r="W183">
        <f>HYPERLINK("https://klasma.github.io/Logging_2260/klagomålsmail/A 43171-2024 FSC-klagomål mail.docx", "A 43171-2024")</f>
        <v/>
      </c>
      <c r="X183">
        <f>HYPERLINK("https://klasma.github.io/Logging_2260/tillsyn/A 43171-2024 tillsynsbegäran.docx", "A 43171-2024")</f>
        <v/>
      </c>
      <c r="Y183">
        <f>HYPERLINK("https://klasma.github.io/Logging_2260/tillsynsmail/A 43171-2024 tillsynsbegäran mail.docx", "A 43171-2024")</f>
        <v/>
      </c>
    </row>
    <row r="184" ht="15" customHeight="1">
      <c r="A184" t="inlineStr">
        <is>
          <t>A 35839-2025</t>
        </is>
      </c>
      <c r="B184" s="1" t="n">
        <v>45861.53943287037</v>
      </c>
      <c r="C184" s="1" t="n">
        <v>45890</v>
      </c>
      <c r="D184" t="inlineStr">
        <is>
          <t>VÄSTERNORRLANDS LÄN</t>
        </is>
      </c>
      <c r="E184" t="inlineStr">
        <is>
          <t>ÅNGE</t>
        </is>
      </c>
      <c r="F184" t="inlineStr">
        <is>
          <t>Sveaskog</t>
        </is>
      </c>
      <c r="G184" t="n">
        <v>7.9</v>
      </c>
      <c r="H184" t="n">
        <v>0</v>
      </c>
      <c r="I184" t="n">
        <v>0</v>
      </c>
      <c r="J184" t="n">
        <v>1</v>
      </c>
      <c r="K184" t="n">
        <v>0</v>
      </c>
      <c r="L184" t="n">
        <v>0</v>
      </c>
      <c r="M184" t="n">
        <v>0</v>
      </c>
      <c r="N184" t="n">
        <v>0</v>
      </c>
      <c r="O184" t="n">
        <v>1</v>
      </c>
      <c r="P184" t="n">
        <v>0</v>
      </c>
      <c r="Q184" t="n">
        <v>1</v>
      </c>
      <c r="R184" s="2" t="inlineStr">
        <is>
          <t>Lunglav</t>
        </is>
      </c>
      <c r="S184">
        <f>HYPERLINK("https://klasma.github.io/Logging_2260/artfynd/A 35839-2025 artfynd.xlsx", "A 35839-2025")</f>
        <v/>
      </c>
      <c r="T184">
        <f>HYPERLINK("https://klasma.github.io/Logging_2260/kartor/A 35839-2025 karta.png", "A 35839-2025")</f>
        <v/>
      </c>
      <c r="V184">
        <f>HYPERLINK("https://klasma.github.io/Logging_2260/klagomål/A 35839-2025 FSC-klagomål.docx", "A 35839-2025")</f>
        <v/>
      </c>
      <c r="W184">
        <f>HYPERLINK("https://klasma.github.io/Logging_2260/klagomålsmail/A 35839-2025 FSC-klagomål mail.docx", "A 35839-2025")</f>
        <v/>
      </c>
      <c r="X184">
        <f>HYPERLINK("https://klasma.github.io/Logging_2260/tillsyn/A 35839-2025 tillsynsbegäran.docx", "A 35839-2025")</f>
        <v/>
      </c>
      <c r="Y184">
        <f>HYPERLINK("https://klasma.github.io/Logging_2260/tillsynsmail/A 35839-2025 tillsynsbegäran mail.docx", "A 35839-2025")</f>
        <v/>
      </c>
    </row>
    <row r="185" ht="15" customHeight="1">
      <c r="A185" t="inlineStr">
        <is>
          <t>A 64510-2023</t>
        </is>
      </c>
      <c r="B185" s="1" t="n">
        <v>45281</v>
      </c>
      <c r="C185" s="1" t="n">
        <v>45890</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24799-2024</t>
        </is>
      </c>
      <c r="B186" s="1" t="n">
        <v>45460</v>
      </c>
      <c r="C186" s="1" t="n">
        <v>45890</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27308-2024</t>
        </is>
      </c>
      <c r="B187" s="1" t="n">
        <v>45471</v>
      </c>
      <c r="C187" s="1" t="n">
        <v>45890</v>
      </c>
      <c r="D187" t="inlineStr">
        <is>
          <t>VÄSTERNORRLANDS LÄN</t>
        </is>
      </c>
      <c r="E187" t="inlineStr">
        <is>
          <t>ÅNGE</t>
        </is>
      </c>
      <c r="F187" t="inlineStr">
        <is>
          <t>SCA</t>
        </is>
      </c>
      <c r="G187" t="n">
        <v>15.9</v>
      </c>
      <c r="H187" t="n">
        <v>0</v>
      </c>
      <c r="I187" t="n">
        <v>0</v>
      </c>
      <c r="J187" t="n">
        <v>1</v>
      </c>
      <c r="K187" t="n">
        <v>0</v>
      </c>
      <c r="L187" t="n">
        <v>0</v>
      </c>
      <c r="M187" t="n">
        <v>0</v>
      </c>
      <c r="N187" t="n">
        <v>0</v>
      </c>
      <c r="O187" t="n">
        <v>1</v>
      </c>
      <c r="P187" t="n">
        <v>0</v>
      </c>
      <c r="Q187" t="n">
        <v>1</v>
      </c>
      <c r="R187" s="2" t="inlineStr">
        <is>
          <t>Lunglav</t>
        </is>
      </c>
      <c r="S187">
        <f>HYPERLINK("https://klasma.github.io/Logging_2260/artfynd/A 27308-2024 artfynd.xlsx", "A 27308-2024")</f>
        <v/>
      </c>
      <c r="T187">
        <f>HYPERLINK("https://klasma.github.io/Logging_2260/kartor/A 27308-2024 karta.png", "A 27308-2024")</f>
        <v/>
      </c>
      <c r="V187">
        <f>HYPERLINK("https://klasma.github.io/Logging_2260/klagomål/A 27308-2024 FSC-klagomål.docx", "A 27308-2024")</f>
        <v/>
      </c>
      <c r="W187">
        <f>HYPERLINK("https://klasma.github.io/Logging_2260/klagomålsmail/A 27308-2024 FSC-klagomål mail.docx", "A 27308-2024")</f>
        <v/>
      </c>
      <c r="X187">
        <f>HYPERLINK("https://klasma.github.io/Logging_2260/tillsyn/A 27308-2024 tillsynsbegäran.docx", "A 27308-2024")</f>
        <v/>
      </c>
      <c r="Y187">
        <f>HYPERLINK("https://klasma.github.io/Logging_2260/tillsynsmail/A 27308-2024 tillsynsbegäran mail.docx", "A 27308-2024")</f>
        <v/>
      </c>
    </row>
    <row r="188" ht="15" customHeight="1">
      <c r="A188" t="inlineStr">
        <is>
          <t>A 38603-2024</t>
        </is>
      </c>
      <c r="B188" s="1" t="n">
        <v>45546</v>
      </c>
      <c r="C188" s="1" t="n">
        <v>45890</v>
      </c>
      <c r="D188" t="inlineStr">
        <is>
          <t>VÄSTERNORRLANDS LÄN</t>
        </is>
      </c>
      <c r="E188" t="inlineStr">
        <is>
          <t>ÅNGE</t>
        </is>
      </c>
      <c r="F188" t="inlineStr">
        <is>
          <t>SCA</t>
        </is>
      </c>
      <c r="G188" t="n">
        <v>5.6</v>
      </c>
      <c r="H188" t="n">
        <v>0</v>
      </c>
      <c r="I188" t="n">
        <v>0</v>
      </c>
      <c r="J188" t="n">
        <v>0</v>
      </c>
      <c r="K188" t="n">
        <v>1</v>
      </c>
      <c r="L188" t="n">
        <v>0</v>
      </c>
      <c r="M188" t="n">
        <v>0</v>
      </c>
      <c r="N188" t="n">
        <v>0</v>
      </c>
      <c r="O188" t="n">
        <v>1</v>
      </c>
      <c r="P188" t="n">
        <v>1</v>
      </c>
      <c r="Q188" t="n">
        <v>1</v>
      </c>
      <c r="R188" s="2" t="inlineStr">
        <is>
          <t>Rynkskinn</t>
        </is>
      </c>
      <c r="S188">
        <f>HYPERLINK("https://klasma.github.io/Logging_2260/artfynd/A 38603-2024 artfynd.xlsx", "A 38603-2024")</f>
        <v/>
      </c>
      <c r="T188">
        <f>HYPERLINK("https://klasma.github.io/Logging_2260/kartor/A 38603-2024 karta.png", "A 38603-2024")</f>
        <v/>
      </c>
      <c r="V188">
        <f>HYPERLINK("https://klasma.github.io/Logging_2260/klagomål/A 38603-2024 FSC-klagomål.docx", "A 38603-2024")</f>
        <v/>
      </c>
      <c r="W188">
        <f>HYPERLINK("https://klasma.github.io/Logging_2260/klagomålsmail/A 38603-2024 FSC-klagomål mail.docx", "A 38603-2024")</f>
        <v/>
      </c>
      <c r="X188">
        <f>HYPERLINK("https://klasma.github.io/Logging_2260/tillsyn/A 38603-2024 tillsynsbegäran.docx", "A 38603-2024")</f>
        <v/>
      </c>
      <c r="Y188">
        <f>HYPERLINK("https://klasma.github.io/Logging_2260/tillsynsmail/A 38603-2024 tillsynsbegäran mail.docx", "A 38603-2024")</f>
        <v/>
      </c>
    </row>
    <row r="189" ht="15" customHeight="1">
      <c r="A189" t="inlineStr">
        <is>
          <t>A 34696-2024</t>
        </is>
      </c>
      <c r="B189" s="1" t="n">
        <v>45526</v>
      </c>
      <c r="C189" s="1" t="n">
        <v>45890</v>
      </c>
      <c r="D189" t="inlineStr">
        <is>
          <t>VÄSTERNORRLANDS LÄN</t>
        </is>
      </c>
      <c r="E189" t="inlineStr">
        <is>
          <t>ÅNGE</t>
        </is>
      </c>
      <c r="G189" t="n">
        <v>3.6</v>
      </c>
      <c r="H189" t="n">
        <v>1</v>
      </c>
      <c r="I189" t="n">
        <v>0</v>
      </c>
      <c r="J189" t="n">
        <v>0</v>
      </c>
      <c r="K189" t="n">
        <v>0</v>
      </c>
      <c r="L189" t="n">
        <v>0</v>
      </c>
      <c r="M189" t="n">
        <v>0</v>
      </c>
      <c r="N189" t="n">
        <v>0</v>
      </c>
      <c r="O189" t="n">
        <v>0</v>
      </c>
      <c r="P189" t="n">
        <v>0</v>
      </c>
      <c r="Q189" t="n">
        <v>1</v>
      </c>
      <c r="R189" s="2" t="inlineStr">
        <is>
          <t>Revlummer</t>
        </is>
      </c>
      <c r="S189">
        <f>HYPERLINK("https://klasma.github.io/Logging_2260/artfynd/A 34696-2024 artfynd.xlsx", "A 34696-2024")</f>
        <v/>
      </c>
      <c r="T189">
        <f>HYPERLINK("https://klasma.github.io/Logging_2260/kartor/A 34696-2024 karta.png", "A 34696-2024")</f>
        <v/>
      </c>
      <c r="V189">
        <f>HYPERLINK("https://klasma.github.io/Logging_2260/klagomål/A 34696-2024 FSC-klagomål.docx", "A 34696-2024")</f>
        <v/>
      </c>
      <c r="W189">
        <f>HYPERLINK("https://klasma.github.io/Logging_2260/klagomålsmail/A 34696-2024 FSC-klagomål mail.docx", "A 34696-2024")</f>
        <v/>
      </c>
      <c r="X189">
        <f>HYPERLINK("https://klasma.github.io/Logging_2260/tillsyn/A 34696-2024 tillsynsbegäran.docx", "A 34696-2024")</f>
        <v/>
      </c>
      <c r="Y189">
        <f>HYPERLINK("https://klasma.github.io/Logging_2260/tillsynsmail/A 34696-2024 tillsynsbegäran mail.docx", "A 34696-2024")</f>
        <v/>
      </c>
    </row>
    <row r="190" ht="15" customHeight="1">
      <c r="A190" t="inlineStr">
        <is>
          <t>A 27025-2025</t>
        </is>
      </c>
      <c r="B190" s="1" t="n">
        <v>45811</v>
      </c>
      <c r="C190" s="1" t="n">
        <v>45890</v>
      </c>
      <c r="D190" t="inlineStr">
        <is>
          <t>VÄSTERNORRLANDS LÄN</t>
        </is>
      </c>
      <c r="E190" t="inlineStr">
        <is>
          <t>ÅNGE</t>
        </is>
      </c>
      <c r="G190" t="n">
        <v>25.5</v>
      </c>
      <c r="H190" t="n">
        <v>0</v>
      </c>
      <c r="I190" t="n">
        <v>0</v>
      </c>
      <c r="J190" t="n">
        <v>1</v>
      </c>
      <c r="K190" t="n">
        <v>0</v>
      </c>
      <c r="L190" t="n">
        <v>0</v>
      </c>
      <c r="M190" t="n">
        <v>0</v>
      </c>
      <c r="N190" t="n">
        <v>0</v>
      </c>
      <c r="O190" t="n">
        <v>1</v>
      </c>
      <c r="P190" t="n">
        <v>0</v>
      </c>
      <c r="Q190" t="n">
        <v>1</v>
      </c>
      <c r="R190" s="2" t="inlineStr">
        <is>
          <t>Garnlav</t>
        </is>
      </c>
      <c r="S190">
        <f>HYPERLINK("https://klasma.github.io/Logging_2260/artfynd/A 27025-2025 artfynd.xlsx", "A 27025-2025")</f>
        <v/>
      </c>
      <c r="T190">
        <f>HYPERLINK("https://klasma.github.io/Logging_2260/kartor/A 27025-2025 karta.png", "A 27025-2025")</f>
        <v/>
      </c>
      <c r="U190">
        <f>HYPERLINK("https://klasma.github.io/Logging_2260/knärot/A 27025-2025 karta knärot.png", "A 27025-2025")</f>
        <v/>
      </c>
      <c r="V190">
        <f>HYPERLINK("https://klasma.github.io/Logging_2260/klagomål/A 27025-2025 FSC-klagomål.docx", "A 27025-2025")</f>
        <v/>
      </c>
      <c r="W190">
        <f>HYPERLINK("https://klasma.github.io/Logging_2260/klagomålsmail/A 27025-2025 FSC-klagomål mail.docx", "A 27025-2025")</f>
        <v/>
      </c>
      <c r="X190">
        <f>HYPERLINK("https://klasma.github.io/Logging_2260/tillsyn/A 27025-2025 tillsynsbegäran.docx", "A 27025-2025")</f>
        <v/>
      </c>
      <c r="Y190">
        <f>HYPERLINK("https://klasma.github.io/Logging_2260/tillsynsmail/A 27025-2025 tillsynsbegäran mail.docx", "A 27025-2025")</f>
        <v/>
      </c>
    </row>
    <row r="191" ht="15" customHeight="1">
      <c r="A191" t="inlineStr">
        <is>
          <t>A 37432-2025</t>
        </is>
      </c>
      <c r="B191" s="1" t="n">
        <v>45877.51106481482</v>
      </c>
      <c r="C191" s="1" t="n">
        <v>45890</v>
      </c>
      <c r="D191" t="inlineStr">
        <is>
          <t>VÄSTERNORRLANDS LÄN</t>
        </is>
      </c>
      <c r="E191" t="inlineStr">
        <is>
          <t>ÅNGE</t>
        </is>
      </c>
      <c r="F191" t="inlineStr">
        <is>
          <t>SCA</t>
        </is>
      </c>
      <c r="G191" t="n">
        <v>1.2</v>
      </c>
      <c r="H191" t="n">
        <v>1</v>
      </c>
      <c r="I191" t="n">
        <v>1</v>
      </c>
      <c r="J191" t="n">
        <v>0</v>
      </c>
      <c r="K191" t="n">
        <v>0</v>
      </c>
      <c r="L191" t="n">
        <v>0</v>
      </c>
      <c r="M191" t="n">
        <v>0</v>
      </c>
      <c r="N191" t="n">
        <v>0</v>
      </c>
      <c r="O191" t="n">
        <v>0</v>
      </c>
      <c r="P191" t="n">
        <v>0</v>
      </c>
      <c r="Q191" t="n">
        <v>1</v>
      </c>
      <c r="R191" s="2" t="inlineStr">
        <is>
          <t>Spindelblomster</t>
        </is>
      </c>
      <c r="S191">
        <f>HYPERLINK("https://klasma.github.io/Logging_2260/artfynd/A 37432-2025 artfynd.xlsx", "A 37432-2025")</f>
        <v/>
      </c>
      <c r="T191">
        <f>HYPERLINK("https://klasma.github.io/Logging_2260/kartor/A 37432-2025 karta.png", "A 37432-2025")</f>
        <v/>
      </c>
      <c r="V191">
        <f>HYPERLINK("https://klasma.github.io/Logging_2260/klagomål/A 37432-2025 FSC-klagomål.docx", "A 37432-2025")</f>
        <v/>
      </c>
      <c r="W191">
        <f>HYPERLINK("https://klasma.github.io/Logging_2260/klagomålsmail/A 37432-2025 FSC-klagomål mail.docx", "A 37432-2025")</f>
        <v/>
      </c>
      <c r="X191">
        <f>HYPERLINK("https://klasma.github.io/Logging_2260/tillsyn/A 37432-2025 tillsynsbegäran.docx", "A 37432-2025")</f>
        <v/>
      </c>
      <c r="Y191">
        <f>HYPERLINK("https://klasma.github.io/Logging_2260/tillsynsmail/A 37432-2025 tillsynsbegäran mail.docx", "A 37432-2025")</f>
        <v/>
      </c>
    </row>
    <row r="192" ht="15" customHeight="1">
      <c r="A192" t="inlineStr">
        <is>
          <t>A 29327-2023</t>
        </is>
      </c>
      <c r="B192" s="1" t="n">
        <v>45105.94349537037</v>
      </c>
      <c r="C192" s="1" t="n">
        <v>45890</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31878-2024</t>
        </is>
      </c>
      <c r="B193" s="1" t="n">
        <v>45509</v>
      </c>
      <c r="C193" s="1" t="n">
        <v>45890</v>
      </c>
      <c r="D193" t="inlineStr">
        <is>
          <t>VÄSTERNORRLANDS LÄN</t>
        </is>
      </c>
      <c r="E193" t="inlineStr">
        <is>
          <t>ÅNGE</t>
        </is>
      </c>
      <c r="F193" t="inlineStr">
        <is>
          <t>SCA</t>
        </is>
      </c>
      <c r="G193" t="n">
        <v>5.1</v>
      </c>
      <c r="H193" t="n">
        <v>0</v>
      </c>
      <c r="I193" t="n">
        <v>1</v>
      </c>
      <c r="J193" t="n">
        <v>0</v>
      </c>
      <c r="K193" t="n">
        <v>0</v>
      </c>
      <c r="L193" t="n">
        <v>0</v>
      </c>
      <c r="M193" t="n">
        <v>0</v>
      </c>
      <c r="N193" t="n">
        <v>0</v>
      </c>
      <c r="O193" t="n">
        <v>0</v>
      </c>
      <c r="P193" t="n">
        <v>0</v>
      </c>
      <c r="Q193" t="n">
        <v>1</v>
      </c>
      <c r="R193" s="2" t="inlineStr">
        <is>
          <t>Grönpyrola</t>
        </is>
      </c>
      <c r="S193">
        <f>HYPERLINK("https://klasma.github.io/Logging_2260/artfynd/A 31878-2024 artfynd.xlsx", "A 31878-2024")</f>
        <v/>
      </c>
      <c r="T193">
        <f>HYPERLINK("https://klasma.github.io/Logging_2260/kartor/A 31878-2024 karta.png", "A 31878-2024")</f>
        <v/>
      </c>
      <c r="V193">
        <f>HYPERLINK("https://klasma.github.io/Logging_2260/klagomål/A 31878-2024 FSC-klagomål.docx", "A 31878-2024")</f>
        <v/>
      </c>
      <c r="W193">
        <f>HYPERLINK("https://klasma.github.io/Logging_2260/klagomålsmail/A 31878-2024 FSC-klagomål mail.docx", "A 31878-2024")</f>
        <v/>
      </c>
      <c r="X193">
        <f>HYPERLINK("https://klasma.github.io/Logging_2260/tillsyn/A 31878-2024 tillsynsbegäran.docx", "A 31878-2024")</f>
        <v/>
      </c>
      <c r="Y193">
        <f>HYPERLINK("https://klasma.github.io/Logging_2260/tillsynsmail/A 31878-2024 tillsynsbegäran mail.docx", "A 31878-2024")</f>
        <v/>
      </c>
    </row>
    <row r="194" ht="15" customHeight="1">
      <c r="A194" t="inlineStr">
        <is>
          <t>A 63983-2020</t>
        </is>
      </c>
      <c r="B194" s="1" t="n">
        <v>44167</v>
      </c>
      <c r="C194" s="1" t="n">
        <v>45890</v>
      </c>
      <c r="D194" t="inlineStr">
        <is>
          <t>VÄSTERNORRLANDS LÄN</t>
        </is>
      </c>
      <c r="E194" t="inlineStr">
        <is>
          <t>ÅNGE</t>
        </is>
      </c>
      <c r="F194" t="inlineStr">
        <is>
          <t>Kommuner</t>
        </is>
      </c>
      <c r="G194" t="n">
        <v>27.1</v>
      </c>
      <c r="H194" t="n">
        <v>1</v>
      </c>
      <c r="I194" t="n">
        <v>0</v>
      </c>
      <c r="J194" t="n">
        <v>0</v>
      </c>
      <c r="K194" t="n">
        <v>1</v>
      </c>
      <c r="L194" t="n">
        <v>0</v>
      </c>
      <c r="M194" t="n">
        <v>0</v>
      </c>
      <c r="N194" t="n">
        <v>0</v>
      </c>
      <c r="O194" t="n">
        <v>1</v>
      </c>
      <c r="P194" t="n">
        <v>1</v>
      </c>
      <c r="Q194" t="n">
        <v>1</v>
      </c>
      <c r="R194" s="2" t="inlineStr">
        <is>
          <t>Knärot</t>
        </is>
      </c>
      <c r="S194">
        <f>HYPERLINK("https://klasma.github.io/Logging_2260/artfynd/A 63983-2020 artfynd.xlsx", "A 63983-2020")</f>
        <v/>
      </c>
      <c r="T194">
        <f>HYPERLINK("https://klasma.github.io/Logging_2260/kartor/A 63983-2020 karta.png", "A 63983-2020")</f>
        <v/>
      </c>
      <c r="U194">
        <f>HYPERLINK("https://klasma.github.io/Logging_2260/knärot/A 63983-2020 karta knärot.png", "A 63983-2020")</f>
        <v/>
      </c>
      <c r="V194">
        <f>HYPERLINK("https://klasma.github.io/Logging_2260/klagomål/A 63983-2020 FSC-klagomål.docx", "A 63983-2020")</f>
        <v/>
      </c>
      <c r="W194">
        <f>HYPERLINK("https://klasma.github.io/Logging_2260/klagomålsmail/A 63983-2020 FSC-klagomål mail.docx", "A 63983-2020")</f>
        <v/>
      </c>
      <c r="X194">
        <f>HYPERLINK("https://klasma.github.io/Logging_2260/tillsyn/A 63983-2020 tillsynsbegäran.docx", "A 63983-2020")</f>
        <v/>
      </c>
      <c r="Y194">
        <f>HYPERLINK("https://klasma.github.io/Logging_2260/tillsynsmail/A 63983-2020 tillsynsbegäran mail.docx", "A 63983-2020")</f>
        <v/>
      </c>
    </row>
    <row r="195" ht="15" customHeight="1">
      <c r="A195" t="inlineStr">
        <is>
          <t>A 55015-2023</t>
        </is>
      </c>
      <c r="B195" s="1" t="n">
        <v>45237.32185185186</v>
      </c>
      <c r="C195" s="1" t="n">
        <v>45890</v>
      </c>
      <c r="D195" t="inlineStr">
        <is>
          <t>VÄSTERNORRLANDS LÄN</t>
        </is>
      </c>
      <c r="E195" t="inlineStr">
        <is>
          <t>ÅNGE</t>
        </is>
      </c>
      <c r="F195" t="inlineStr">
        <is>
          <t>Sveaskog</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HYPERLINK("https://klasma.github.io/Logging_2260/artfynd/A 55015-2023 artfynd.xlsx", "A 55015-2023")</f>
        <v/>
      </c>
      <c r="T195">
        <f>HYPERLINK("https://klasma.github.io/Logging_2260/kartor/A 55015-2023 karta.png", "A 55015-2023")</f>
        <v/>
      </c>
      <c r="V195">
        <f>HYPERLINK("https://klasma.github.io/Logging_2260/klagomål/A 55015-2023 FSC-klagomål.docx", "A 55015-2023")</f>
        <v/>
      </c>
      <c r="W195">
        <f>HYPERLINK("https://klasma.github.io/Logging_2260/klagomålsmail/A 55015-2023 FSC-klagomål mail.docx", "A 55015-2023")</f>
        <v/>
      </c>
      <c r="X195">
        <f>HYPERLINK("https://klasma.github.io/Logging_2260/tillsyn/A 55015-2023 tillsynsbegäran.docx", "A 55015-2023")</f>
        <v/>
      </c>
      <c r="Y195">
        <f>HYPERLINK("https://klasma.github.io/Logging_2260/tillsynsmail/A 55015-2023 tillsynsbegäran mail.docx", "A 55015-2023")</f>
        <v/>
      </c>
    </row>
    <row r="196" ht="15" customHeight="1">
      <c r="A196" t="inlineStr">
        <is>
          <t>A 25705-2024</t>
        </is>
      </c>
      <c r="B196" s="1" t="n">
        <v>45463.9428587963</v>
      </c>
      <c r="C196" s="1" t="n">
        <v>45890</v>
      </c>
      <c r="D196" t="inlineStr">
        <is>
          <t>VÄSTERNORRLANDS LÄN</t>
        </is>
      </c>
      <c r="E196" t="inlineStr">
        <is>
          <t>ÅNGE</t>
        </is>
      </c>
      <c r="F196" t="inlineStr">
        <is>
          <t>SCA</t>
        </is>
      </c>
      <c r="G196" t="n">
        <v>10.6</v>
      </c>
      <c r="H196" t="n">
        <v>1</v>
      </c>
      <c r="I196" t="n">
        <v>1</v>
      </c>
      <c r="J196" t="n">
        <v>0</v>
      </c>
      <c r="K196" t="n">
        <v>0</v>
      </c>
      <c r="L196" t="n">
        <v>0</v>
      </c>
      <c r="M196" t="n">
        <v>0</v>
      </c>
      <c r="N196" t="n">
        <v>0</v>
      </c>
      <c r="O196" t="n">
        <v>0</v>
      </c>
      <c r="P196" t="n">
        <v>0</v>
      </c>
      <c r="Q196" t="n">
        <v>1</v>
      </c>
      <c r="R196" s="2" t="inlineStr">
        <is>
          <t>Korallrot</t>
        </is>
      </c>
      <c r="S196">
        <f>HYPERLINK("https://klasma.github.io/Logging_2260/artfynd/A 25705-2024 artfynd.xlsx", "A 25705-2024")</f>
        <v/>
      </c>
      <c r="T196">
        <f>HYPERLINK("https://klasma.github.io/Logging_2260/kartor/A 25705-2024 karta.png", "A 25705-2024")</f>
        <v/>
      </c>
      <c r="V196">
        <f>HYPERLINK("https://klasma.github.io/Logging_2260/klagomål/A 25705-2024 FSC-klagomål.docx", "A 25705-2024")</f>
        <v/>
      </c>
      <c r="W196">
        <f>HYPERLINK("https://klasma.github.io/Logging_2260/klagomålsmail/A 25705-2024 FSC-klagomål mail.docx", "A 25705-2024")</f>
        <v/>
      </c>
      <c r="X196">
        <f>HYPERLINK("https://klasma.github.io/Logging_2260/tillsyn/A 25705-2024 tillsynsbegäran.docx", "A 25705-2024")</f>
        <v/>
      </c>
      <c r="Y196">
        <f>HYPERLINK("https://klasma.github.io/Logging_2260/tillsynsmail/A 25705-2024 tillsynsbegäran mail.docx", "A 25705-2024")</f>
        <v/>
      </c>
    </row>
    <row r="197" ht="15" customHeight="1">
      <c r="A197" t="inlineStr">
        <is>
          <t>A 41493-2021</t>
        </is>
      </c>
      <c r="B197" s="1" t="n">
        <v>44424</v>
      </c>
      <c r="C197" s="1" t="n">
        <v>45890</v>
      </c>
      <c r="D197" t="inlineStr">
        <is>
          <t>VÄSTERNORRLANDS LÄN</t>
        </is>
      </c>
      <c r="E197" t="inlineStr">
        <is>
          <t>ÅNGE</t>
        </is>
      </c>
      <c r="F197" t="inlineStr">
        <is>
          <t>SCA</t>
        </is>
      </c>
      <c r="G197" t="n">
        <v>8</v>
      </c>
      <c r="H197" t="n">
        <v>1</v>
      </c>
      <c r="I197" t="n">
        <v>0</v>
      </c>
      <c r="J197" t="n">
        <v>0</v>
      </c>
      <c r="K197" t="n">
        <v>1</v>
      </c>
      <c r="L197" t="n">
        <v>0</v>
      </c>
      <c r="M197" t="n">
        <v>0</v>
      </c>
      <c r="N197" t="n">
        <v>0</v>
      </c>
      <c r="O197" t="n">
        <v>1</v>
      </c>
      <c r="P197" t="n">
        <v>1</v>
      </c>
      <c r="Q197" t="n">
        <v>1</v>
      </c>
      <c r="R197" s="2" t="inlineStr">
        <is>
          <t>Knärot</t>
        </is>
      </c>
      <c r="S197">
        <f>HYPERLINK("https://klasma.github.io/Logging_2260/artfynd/A 41493-2021 artfynd.xlsx", "A 41493-2021")</f>
        <v/>
      </c>
      <c r="T197">
        <f>HYPERLINK("https://klasma.github.io/Logging_2260/kartor/A 41493-2021 karta.png", "A 41493-2021")</f>
        <v/>
      </c>
      <c r="U197">
        <f>HYPERLINK("https://klasma.github.io/Logging_2260/knärot/A 41493-2021 karta knärot.png", "A 41493-2021")</f>
        <v/>
      </c>
      <c r="V197">
        <f>HYPERLINK("https://klasma.github.io/Logging_2260/klagomål/A 41493-2021 FSC-klagomål.docx", "A 41493-2021")</f>
        <v/>
      </c>
      <c r="W197">
        <f>HYPERLINK("https://klasma.github.io/Logging_2260/klagomålsmail/A 41493-2021 FSC-klagomål mail.docx", "A 41493-2021")</f>
        <v/>
      </c>
      <c r="X197">
        <f>HYPERLINK("https://klasma.github.io/Logging_2260/tillsyn/A 41493-2021 tillsynsbegäran.docx", "A 41493-2021")</f>
        <v/>
      </c>
      <c r="Y197">
        <f>HYPERLINK("https://klasma.github.io/Logging_2260/tillsynsmail/A 41493-2021 tillsynsbegäran mail.docx", "A 41493-2021")</f>
        <v/>
      </c>
    </row>
    <row r="198" ht="15" customHeight="1">
      <c r="A198" t="inlineStr">
        <is>
          <t>A 20192-2025</t>
        </is>
      </c>
      <c r="B198" s="1" t="n">
        <v>45772.60177083333</v>
      </c>
      <c r="C198" s="1" t="n">
        <v>45890</v>
      </c>
      <c r="D198" t="inlineStr">
        <is>
          <t>VÄSTERNORRLANDS LÄN</t>
        </is>
      </c>
      <c r="E198" t="inlineStr">
        <is>
          <t>ÅNGE</t>
        </is>
      </c>
      <c r="F198" t="inlineStr">
        <is>
          <t>Sveaskog</t>
        </is>
      </c>
      <c r="G198" t="n">
        <v>8.800000000000001</v>
      </c>
      <c r="H198" t="n">
        <v>1</v>
      </c>
      <c r="I198" t="n">
        <v>0</v>
      </c>
      <c r="J198" t="n">
        <v>0</v>
      </c>
      <c r="K198" t="n">
        <v>0</v>
      </c>
      <c r="L198" t="n">
        <v>0</v>
      </c>
      <c r="M198" t="n">
        <v>0</v>
      </c>
      <c r="N198" t="n">
        <v>0</v>
      </c>
      <c r="O198" t="n">
        <v>0</v>
      </c>
      <c r="P198" t="n">
        <v>0</v>
      </c>
      <c r="Q198" t="n">
        <v>1</v>
      </c>
      <c r="R198" s="2" t="inlineStr">
        <is>
          <t>Blåsippa</t>
        </is>
      </c>
      <c r="S198">
        <f>HYPERLINK("https://klasma.github.io/Logging_2260/artfynd/A 20192-2025 artfynd.xlsx", "A 20192-2025")</f>
        <v/>
      </c>
      <c r="T198">
        <f>HYPERLINK("https://klasma.github.io/Logging_2260/kartor/A 20192-2025 karta.png", "A 20192-2025")</f>
        <v/>
      </c>
      <c r="V198">
        <f>HYPERLINK("https://klasma.github.io/Logging_2260/klagomål/A 20192-2025 FSC-klagomål.docx", "A 20192-2025")</f>
        <v/>
      </c>
      <c r="W198">
        <f>HYPERLINK("https://klasma.github.io/Logging_2260/klagomålsmail/A 20192-2025 FSC-klagomål mail.docx", "A 20192-2025")</f>
        <v/>
      </c>
      <c r="X198">
        <f>HYPERLINK("https://klasma.github.io/Logging_2260/tillsyn/A 20192-2025 tillsynsbegäran.docx", "A 20192-2025")</f>
        <v/>
      </c>
      <c r="Y198">
        <f>HYPERLINK("https://klasma.github.io/Logging_2260/tillsynsmail/A 20192-2025 tillsynsbegäran mail.docx", "A 20192-2025")</f>
        <v/>
      </c>
    </row>
    <row r="199" ht="15" customHeight="1">
      <c r="A199" t="inlineStr">
        <is>
          <t>A 31510-2024</t>
        </is>
      </c>
      <c r="B199" s="1" t="n">
        <v>45505</v>
      </c>
      <c r="C199" s="1" t="n">
        <v>45890</v>
      </c>
      <c r="D199" t="inlineStr">
        <is>
          <t>VÄSTERNORRLANDS LÄN</t>
        </is>
      </c>
      <c r="E199" t="inlineStr">
        <is>
          <t>ÅNGE</t>
        </is>
      </c>
      <c r="F199" t="inlineStr">
        <is>
          <t>SCA</t>
        </is>
      </c>
      <c r="G199" t="n">
        <v>6</v>
      </c>
      <c r="H199" t="n">
        <v>1</v>
      </c>
      <c r="I199" t="n">
        <v>0</v>
      </c>
      <c r="J199" t="n">
        <v>0</v>
      </c>
      <c r="K199" t="n">
        <v>1</v>
      </c>
      <c r="L199" t="n">
        <v>0</v>
      </c>
      <c r="M199" t="n">
        <v>0</v>
      </c>
      <c r="N199" t="n">
        <v>0</v>
      </c>
      <c r="O199" t="n">
        <v>1</v>
      </c>
      <c r="P199" t="n">
        <v>1</v>
      </c>
      <c r="Q199" t="n">
        <v>1</v>
      </c>
      <c r="R199" s="2" t="inlineStr">
        <is>
          <t>Doftticka</t>
        </is>
      </c>
      <c r="S199">
        <f>HYPERLINK("https://klasma.github.io/Logging_2260/artfynd/A 31510-2024 artfynd.xlsx", "A 31510-2024")</f>
        <v/>
      </c>
      <c r="T199">
        <f>HYPERLINK("https://klasma.github.io/Logging_2260/kartor/A 31510-2024 karta.png", "A 31510-2024")</f>
        <v/>
      </c>
      <c r="V199">
        <f>HYPERLINK("https://klasma.github.io/Logging_2260/klagomål/A 31510-2024 FSC-klagomål.docx", "A 31510-2024")</f>
        <v/>
      </c>
      <c r="W199">
        <f>HYPERLINK("https://klasma.github.io/Logging_2260/klagomålsmail/A 31510-2024 FSC-klagomål mail.docx", "A 31510-2024")</f>
        <v/>
      </c>
      <c r="X199">
        <f>HYPERLINK("https://klasma.github.io/Logging_2260/tillsyn/A 31510-2024 tillsynsbegäran.docx", "A 31510-2024")</f>
        <v/>
      </c>
      <c r="Y199">
        <f>HYPERLINK("https://klasma.github.io/Logging_2260/tillsynsmail/A 31510-2024 tillsynsbegäran mail.docx", "A 31510-2024")</f>
        <v/>
      </c>
    </row>
    <row r="200" ht="15" customHeight="1">
      <c r="A200" t="inlineStr">
        <is>
          <t>A 39638-2024</t>
        </is>
      </c>
      <c r="B200" s="1" t="n">
        <v>45552</v>
      </c>
      <c r="C200" s="1" t="n">
        <v>45890</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45890</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37914-2024</t>
        </is>
      </c>
      <c r="B202" s="1" t="n">
        <v>45544</v>
      </c>
      <c r="C202" s="1" t="n">
        <v>45890</v>
      </c>
      <c r="D202" t="inlineStr">
        <is>
          <t>VÄSTERNORRLANDS LÄN</t>
        </is>
      </c>
      <c r="E202" t="inlineStr">
        <is>
          <t>ÅNGE</t>
        </is>
      </c>
      <c r="F202" t="inlineStr">
        <is>
          <t>SCA</t>
        </is>
      </c>
      <c r="G202" t="n">
        <v>9</v>
      </c>
      <c r="H202" t="n">
        <v>0</v>
      </c>
      <c r="I202" t="n">
        <v>0</v>
      </c>
      <c r="J202" t="n">
        <v>1</v>
      </c>
      <c r="K202" t="n">
        <v>0</v>
      </c>
      <c r="L202" t="n">
        <v>0</v>
      </c>
      <c r="M202" t="n">
        <v>0</v>
      </c>
      <c r="N202" t="n">
        <v>0</v>
      </c>
      <c r="O202" t="n">
        <v>1</v>
      </c>
      <c r="P202" t="n">
        <v>0</v>
      </c>
      <c r="Q202" t="n">
        <v>1</v>
      </c>
      <c r="R202" s="2" t="inlineStr">
        <is>
          <t>Granticka</t>
        </is>
      </c>
      <c r="S202">
        <f>HYPERLINK("https://klasma.github.io/Logging_2260/artfynd/A 37914-2024 artfynd.xlsx", "A 37914-2024")</f>
        <v/>
      </c>
      <c r="T202">
        <f>HYPERLINK("https://klasma.github.io/Logging_2260/kartor/A 37914-2024 karta.png", "A 37914-2024")</f>
        <v/>
      </c>
      <c r="V202">
        <f>HYPERLINK("https://klasma.github.io/Logging_2260/klagomål/A 37914-2024 FSC-klagomål.docx", "A 37914-2024")</f>
        <v/>
      </c>
      <c r="W202">
        <f>HYPERLINK("https://klasma.github.io/Logging_2260/klagomålsmail/A 37914-2024 FSC-klagomål mail.docx", "A 37914-2024")</f>
        <v/>
      </c>
      <c r="X202">
        <f>HYPERLINK("https://klasma.github.io/Logging_2260/tillsyn/A 37914-2024 tillsynsbegäran.docx", "A 37914-2024")</f>
        <v/>
      </c>
      <c r="Y202">
        <f>HYPERLINK("https://klasma.github.io/Logging_2260/tillsynsmail/A 37914-2024 tillsynsbegäran mail.docx", "A 37914-2024")</f>
        <v/>
      </c>
    </row>
    <row r="203" ht="15" customHeight="1">
      <c r="A203" t="inlineStr">
        <is>
          <t>A 1449-2025</t>
        </is>
      </c>
      <c r="B203" s="1" t="n">
        <v>45670.27537037037</v>
      </c>
      <c r="C203" s="1" t="n">
        <v>45890</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4351-2024</t>
        </is>
      </c>
      <c r="B204" s="1" t="n">
        <v>45324</v>
      </c>
      <c r="C204" s="1" t="n">
        <v>45890</v>
      </c>
      <c r="D204" t="inlineStr">
        <is>
          <t>VÄSTERNORRLANDS LÄN</t>
        </is>
      </c>
      <c r="E204" t="inlineStr">
        <is>
          <t>ÅNGE</t>
        </is>
      </c>
      <c r="F204" t="inlineStr">
        <is>
          <t>SCA</t>
        </is>
      </c>
      <c r="G204" t="n">
        <v>0.5</v>
      </c>
      <c r="H204" t="n">
        <v>0</v>
      </c>
      <c r="I204" t="n">
        <v>0</v>
      </c>
      <c r="J204" t="n">
        <v>1</v>
      </c>
      <c r="K204" t="n">
        <v>0</v>
      </c>
      <c r="L204" t="n">
        <v>0</v>
      </c>
      <c r="M204" t="n">
        <v>0</v>
      </c>
      <c r="N204" t="n">
        <v>0</v>
      </c>
      <c r="O204" t="n">
        <v>1</v>
      </c>
      <c r="P204" t="n">
        <v>0</v>
      </c>
      <c r="Q204" t="n">
        <v>1</v>
      </c>
      <c r="R204" s="2" t="inlineStr">
        <is>
          <t>Garnlav</t>
        </is>
      </c>
      <c r="S204">
        <f>HYPERLINK("https://klasma.github.io/Logging_2260/artfynd/A 4351-2024 artfynd.xlsx", "A 4351-2024")</f>
        <v/>
      </c>
      <c r="T204">
        <f>HYPERLINK("https://klasma.github.io/Logging_2260/kartor/A 4351-2024 karta.png", "A 4351-2024")</f>
        <v/>
      </c>
      <c r="V204">
        <f>HYPERLINK("https://klasma.github.io/Logging_2260/klagomål/A 4351-2024 FSC-klagomål.docx", "A 4351-2024")</f>
        <v/>
      </c>
      <c r="W204">
        <f>HYPERLINK("https://klasma.github.io/Logging_2260/klagomålsmail/A 4351-2024 FSC-klagomål mail.docx", "A 4351-2024")</f>
        <v/>
      </c>
      <c r="X204">
        <f>HYPERLINK("https://klasma.github.io/Logging_2260/tillsyn/A 4351-2024 tillsynsbegäran.docx", "A 4351-2024")</f>
        <v/>
      </c>
      <c r="Y204">
        <f>HYPERLINK("https://klasma.github.io/Logging_2260/tillsynsmail/A 4351-2024 tillsynsbegäran mail.docx", "A 4351-2024")</f>
        <v/>
      </c>
    </row>
    <row r="205" ht="15" customHeight="1">
      <c r="A205" t="inlineStr">
        <is>
          <t>A 8057-2021</t>
        </is>
      </c>
      <c r="B205" s="1" t="n">
        <v>44238</v>
      </c>
      <c r="C205" s="1" t="n">
        <v>45890</v>
      </c>
      <c r="D205" t="inlineStr">
        <is>
          <t>VÄSTERNORRLANDS LÄN</t>
        </is>
      </c>
      <c r="E205" t="inlineStr">
        <is>
          <t>ÅNGE</t>
        </is>
      </c>
      <c r="G205" t="n">
        <v>1.2</v>
      </c>
      <c r="H205" t="n">
        <v>0</v>
      </c>
      <c r="I205" t="n">
        <v>0</v>
      </c>
      <c r="J205" t="n">
        <v>0</v>
      </c>
      <c r="K205" t="n">
        <v>0</v>
      </c>
      <c r="L205" t="n">
        <v>0</v>
      </c>
      <c r="M205" t="n">
        <v>0</v>
      </c>
      <c r="N205" t="n">
        <v>0</v>
      </c>
      <c r="O205" t="n">
        <v>0</v>
      </c>
      <c r="P205" t="n">
        <v>0</v>
      </c>
      <c r="Q205" t="n">
        <v>0</v>
      </c>
      <c r="R205" s="2" t="inlineStr"/>
    </row>
    <row r="206" ht="15" customHeight="1">
      <c r="A206" t="inlineStr">
        <is>
          <t>A 47127-2020</t>
        </is>
      </c>
      <c r="B206" s="1" t="n">
        <v>44096</v>
      </c>
      <c r="C206" s="1" t="n">
        <v>45890</v>
      </c>
      <c r="D206" t="inlineStr">
        <is>
          <t>VÄSTERNORRLANDS LÄN</t>
        </is>
      </c>
      <c r="E206" t="inlineStr">
        <is>
          <t>ÅNGE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52627-2020</t>
        </is>
      </c>
      <c r="B207" s="1" t="n">
        <v>44118</v>
      </c>
      <c r="C207" s="1" t="n">
        <v>45890</v>
      </c>
      <c r="D207" t="inlineStr">
        <is>
          <t>VÄSTERNORRLANDS LÄN</t>
        </is>
      </c>
      <c r="E207" t="inlineStr">
        <is>
          <t>ÅNGE</t>
        </is>
      </c>
      <c r="G207" t="n">
        <v>0.8</v>
      </c>
      <c r="H207" t="n">
        <v>0</v>
      </c>
      <c r="I207" t="n">
        <v>0</v>
      </c>
      <c r="J207" t="n">
        <v>0</v>
      </c>
      <c r="K207" t="n">
        <v>0</v>
      </c>
      <c r="L207" t="n">
        <v>0</v>
      </c>
      <c r="M207" t="n">
        <v>0</v>
      </c>
      <c r="N207" t="n">
        <v>0</v>
      </c>
      <c r="O207" t="n">
        <v>0</v>
      </c>
      <c r="P207" t="n">
        <v>0</v>
      </c>
      <c r="Q207" t="n">
        <v>0</v>
      </c>
      <c r="R207" s="2" t="inlineStr"/>
    </row>
    <row r="208" ht="15" customHeight="1">
      <c r="A208" t="inlineStr">
        <is>
          <t>A 52633-2020</t>
        </is>
      </c>
      <c r="B208" s="1" t="n">
        <v>44118</v>
      </c>
      <c r="C208" s="1" t="n">
        <v>45890</v>
      </c>
      <c r="D208" t="inlineStr">
        <is>
          <t>VÄSTERNORRLANDS LÄN</t>
        </is>
      </c>
      <c r="E208" t="inlineStr">
        <is>
          <t>ÅNGE</t>
        </is>
      </c>
      <c r="G208" t="n">
        <v>3.6</v>
      </c>
      <c r="H208" t="n">
        <v>0</v>
      </c>
      <c r="I208" t="n">
        <v>0</v>
      </c>
      <c r="J208" t="n">
        <v>0</v>
      </c>
      <c r="K208" t="n">
        <v>0</v>
      </c>
      <c r="L208" t="n">
        <v>0</v>
      </c>
      <c r="M208" t="n">
        <v>0</v>
      </c>
      <c r="N208" t="n">
        <v>0</v>
      </c>
      <c r="O208" t="n">
        <v>0</v>
      </c>
      <c r="P208" t="n">
        <v>0</v>
      </c>
      <c r="Q208" t="n">
        <v>0</v>
      </c>
      <c r="R208" s="2" t="inlineStr"/>
    </row>
    <row r="209" ht="15" customHeight="1">
      <c r="A209" t="inlineStr">
        <is>
          <t>A 20354-2021</t>
        </is>
      </c>
      <c r="B209" s="1" t="n">
        <v>44312</v>
      </c>
      <c r="C209" s="1" t="n">
        <v>45890</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53474-2020</t>
        </is>
      </c>
      <c r="B210" s="1" t="n">
        <v>44123.68413194444</v>
      </c>
      <c r="C210" s="1" t="n">
        <v>45890</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45890</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45890</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68715-2020</t>
        </is>
      </c>
      <c r="B213" s="1" t="n">
        <v>44187</v>
      </c>
      <c r="C213" s="1" t="n">
        <v>45890</v>
      </c>
      <c r="D213" t="inlineStr">
        <is>
          <t>VÄSTERNORRLANDS LÄN</t>
        </is>
      </c>
      <c r="E213" t="inlineStr">
        <is>
          <t>ÅNGE</t>
        </is>
      </c>
      <c r="G213" t="n">
        <v>19.1</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45890</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45890</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45890</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45890</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45890</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45890</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45890</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39744-2021</t>
        </is>
      </c>
      <c r="B221" s="1" t="n">
        <v>44417</v>
      </c>
      <c r="C221" s="1" t="n">
        <v>45890</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48990-2021</t>
        </is>
      </c>
      <c r="B222" s="1" t="n">
        <v>44453</v>
      </c>
      <c r="C222" s="1" t="n">
        <v>45890</v>
      </c>
      <c r="D222" t="inlineStr">
        <is>
          <t>VÄSTERNORRLANDS LÄN</t>
        </is>
      </c>
      <c r="E222" t="inlineStr">
        <is>
          <t>ÅNGE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46518-2020</t>
        </is>
      </c>
      <c r="B223" s="1" t="n">
        <v>44095</v>
      </c>
      <c r="C223" s="1" t="n">
        <v>45890</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69271-2020</t>
        </is>
      </c>
      <c r="B224" s="1" t="n">
        <v>44193</v>
      </c>
      <c r="C224" s="1" t="n">
        <v>45890</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74088-2021</t>
        </is>
      </c>
      <c r="B225" s="1" t="n">
        <v>44557.59435185185</v>
      </c>
      <c r="C225" s="1" t="n">
        <v>45890</v>
      </c>
      <c r="D225" t="inlineStr">
        <is>
          <t>VÄSTERNORRLANDS LÄN</t>
        </is>
      </c>
      <c r="E225" t="inlineStr">
        <is>
          <t>ÅNGE</t>
        </is>
      </c>
      <c r="G225" t="n">
        <v>0.6</v>
      </c>
      <c r="H225" t="n">
        <v>0</v>
      </c>
      <c r="I225" t="n">
        <v>0</v>
      </c>
      <c r="J225" t="n">
        <v>0</v>
      </c>
      <c r="K225" t="n">
        <v>0</v>
      </c>
      <c r="L225" t="n">
        <v>0</v>
      </c>
      <c r="M225" t="n">
        <v>0</v>
      </c>
      <c r="N225" t="n">
        <v>0</v>
      </c>
      <c r="O225" t="n">
        <v>0</v>
      </c>
      <c r="P225" t="n">
        <v>0</v>
      </c>
      <c r="Q225" t="n">
        <v>0</v>
      </c>
      <c r="R225" s="2" t="inlineStr"/>
    </row>
    <row r="226" ht="15" customHeight="1">
      <c r="A226" t="inlineStr">
        <is>
          <t>A 65593-2020</t>
        </is>
      </c>
      <c r="B226" s="1" t="n">
        <v>44173</v>
      </c>
      <c r="C226" s="1" t="n">
        <v>45890</v>
      </c>
      <c r="D226" t="inlineStr">
        <is>
          <t>VÄSTERNORRLANDS LÄN</t>
        </is>
      </c>
      <c r="E226" t="inlineStr">
        <is>
          <t>ÅNGE</t>
        </is>
      </c>
      <c r="G226" t="n">
        <v>4</v>
      </c>
      <c r="H226" t="n">
        <v>0</v>
      </c>
      <c r="I226" t="n">
        <v>0</v>
      </c>
      <c r="J226" t="n">
        <v>0</v>
      </c>
      <c r="K226" t="n">
        <v>0</v>
      </c>
      <c r="L226" t="n">
        <v>0</v>
      </c>
      <c r="M226" t="n">
        <v>0</v>
      </c>
      <c r="N226" t="n">
        <v>0</v>
      </c>
      <c r="O226" t="n">
        <v>0</v>
      </c>
      <c r="P226" t="n">
        <v>0</v>
      </c>
      <c r="Q226" t="n">
        <v>0</v>
      </c>
      <c r="R226" s="2" t="inlineStr"/>
    </row>
    <row r="227" ht="15" customHeight="1">
      <c r="A227" t="inlineStr">
        <is>
          <t>A 53173-2020</t>
        </is>
      </c>
      <c r="B227" s="1" t="n">
        <v>44120</v>
      </c>
      <c r="C227" s="1" t="n">
        <v>45890</v>
      </c>
      <c r="D227" t="inlineStr">
        <is>
          <t>VÄSTERNORRLANDS LÄN</t>
        </is>
      </c>
      <c r="E227" t="inlineStr">
        <is>
          <t>ÅNGE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53174-2020</t>
        </is>
      </c>
      <c r="B228" s="1" t="n">
        <v>44120</v>
      </c>
      <c r="C228" s="1" t="n">
        <v>45890</v>
      </c>
      <c r="D228" t="inlineStr">
        <is>
          <t>VÄSTERNORRLANDS LÄN</t>
        </is>
      </c>
      <c r="E228" t="inlineStr">
        <is>
          <t>ÅNGE</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19102-2021</t>
        </is>
      </c>
      <c r="B229" s="1" t="n">
        <v>44308</v>
      </c>
      <c r="C229" s="1" t="n">
        <v>45890</v>
      </c>
      <c r="D229" t="inlineStr">
        <is>
          <t>VÄSTERNORRLANDS LÄN</t>
        </is>
      </c>
      <c r="E229" t="inlineStr">
        <is>
          <t>ÅNGE</t>
        </is>
      </c>
      <c r="G229" t="n">
        <v>3.3</v>
      </c>
      <c r="H229" t="n">
        <v>0</v>
      </c>
      <c r="I229" t="n">
        <v>0</v>
      </c>
      <c r="J229" t="n">
        <v>0</v>
      </c>
      <c r="K229" t="n">
        <v>0</v>
      </c>
      <c r="L229" t="n">
        <v>0</v>
      </c>
      <c r="M229" t="n">
        <v>0</v>
      </c>
      <c r="N229" t="n">
        <v>0</v>
      </c>
      <c r="O229" t="n">
        <v>0</v>
      </c>
      <c r="P229" t="n">
        <v>0</v>
      </c>
      <c r="Q229" t="n">
        <v>0</v>
      </c>
      <c r="R229" s="2" t="inlineStr"/>
    </row>
    <row r="230" ht="15" customHeight="1">
      <c r="A230" t="inlineStr">
        <is>
          <t>A 65594-2020</t>
        </is>
      </c>
      <c r="B230" s="1" t="n">
        <v>44173</v>
      </c>
      <c r="C230" s="1" t="n">
        <v>45890</v>
      </c>
      <c r="D230" t="inlineStr">
        <is>
          <t>VÄSTERNORRLANDS LÄN</t>
        </is>
      </c>
      <c r="E230" t="inlineStr">
        <is>
          <t>ÅNGE</t>
        </is>
      </c>
      <c r="G230" t="n">
        <v>5.9</v>
      </c>
      <c r="H230" t="n">
        <v>0</v>
      </c>
      <c r="I230" t="n">
        <v>0</v>
      </c>
      <c r="J230" t="n">
        <v>0</v>
      </c>
      <c r="K230" t="n">
        <v>0</v>
      </c>
      <c r="L230" t="n">
        <v>0</v>
      </c>
      <c r="M230" t="n">
        <v>0</v>
      </c>
      <c r="N230" t="n">
        <v>0</v>
      </c>
      <c r="O230" t="n">
        <v>0</v>
      </c>
      <c r="P230" t="n">
        <v>0</v>
      </c>
      <c r="Q230" t="n">
        <v>0</v>
      </c>
      <c r="R230" s="2" t="inlineStr"/>
    </row>
    <row r="231" ht="15" customHeight="1">
      <c r="A231" t="inlineStr">
        <is>
          <t>A 71396-2021</t>
        </is>
      </c>
      <c r="B231" s="1" t="n">
        <v>44540.35644675926</v>
      </c>
      <c r="C231" s="1" t="n">
        <v>45890</v>
      </c>
      <c r="D231" t="inlineStr">
        <is>
          <t>VÄSTERNORRLANDS LÄN</t>
        </is>
      </c>
      <c r="E231" t="inlineStr">
        <is>
          <t>ÅNGE</t>
        </is>
      </c>
      <c r="G231" t="n">
        <v>0.5</v>
      </c>
      <c r="H231" t="n">
        <v>0</v>
      </c>
      <c r="I231" t="n">
        <v>0</v>
      </c>
      <c r="J231" t="n">
        <v>0</v>
      </c>
      <c r="K231" t="n">
        <v>0</v>
      </c>
      <c r="L231" t="n">
        <v>0</v>
      </c>
      <c r="M231" t="n">
        <v>0</v>
      </c>
      <c r="N231" t="n">
        <v>0</v>
      </c>
      <c r="O231" t="n">
        <v>0</v>
      </c>
      <c r="P231" t="n">
        <v>0</v>
      </c>
      <c r="Q231" t="n">
        <v>0</v>
      </c>
      <c r="R231" s="2" t="inlineStr"/>
    </row>
    <row r="232" ht="15" customHeight="1">
      <c r="A232" t="inlineStr">
        <is>
          <t>A 66265-2021</t>
        </is>
      </c>
      <c r="B232" s="1" t="n">
        <v>44518.45263888889</v>
      </c>
      <c r="C232" s="1" t="n">
        <v>45890</v>
      </c>
      <c r="D232" t="inlineStr">
        <is>
          <t>VÄSTERNORRLANDS LÄN</t>
        </is>
      </c>
      <c r="E232" t="inlineStr">
        <is>
          <t>ÅNGE</t>
        </is>
      </c>
      <c r="G232" t="n">
        <v>6</v>
      </c>
      <c r="H232" t="n">
        <v>0</v>
      </c>
      <c r="I232" t="n">
        <v>0</v>
      </c>
      <c r="J232" t="n">
        <v>0</v>
      </c>
      <c r="K232" t="n">
        <v>0</v>
      </c>
      <c r="L232" t="n">
        <v>0</v>
      </c>
      <c r="M232" t="n">
        <v>0</v>
      </c>
      <c r="N232" t="n">
        <v>0</v>
      </c>
      <c r="O232" t="n">
        <v>0</v>
      </c>
      <c r="P232" t="n">
        <v>0</v>
      </c>
      <c r="Q232" t="n">
        <v>0</v>
      </c>
      <c r="R232" s="2" t="inlineStr"/>
    </row>
    <row r="233" ht="15" customHeight="1">
      <c r="A233" t="inlineStr">
        <is>
          <t>A 71669-2021</t>
        </is>
      </c>
      <c r="B233" s="1" t="n">
        <v>44538</v>
      </c>
      <c r="C233" s="1" t="n">
        <v>45890</v>
      </c>
      <c r="D233" t="inlineStr">
        <is>
          <t>VÄSTERNORRLANDS LÄN</t>
        </is>
      </c>
      <c r="E233" t="inlineStr">
        <is>
          <t>ÅNGE</t>
        </is>
      </c>
      <c r="G233" t="n">
        <v>2.1</v>
      </c>
      <c r="H233" t="n">
        <v>0</v>
      </c>
      <c r="I233" t="n">
        <v>0</v>
      </c>
      <c r="J233" t="n">
        <v>0</v>
      </c>
      <c r="K233" t="n">
        <v>0</v>
      </c>
      <c r="L233" t="n">
        <v>0</v>
      </c>
      <c r="M233" t="n">
        <v>0</v>
      </c>
      <c r="N233" t="n">
        <v>0</v>
      </c>
      <c r="O233" t="n">
        <v>0</v>
      </c>
      <c r="P233" t="n">
        <v>0</v>
      </c>
      <c r="Q233" t="n">
        <v>0</v>
      </c>
      <c r="R233" s="2" t="inlineStr"/>
    </row>
    <row r="234" ht="15" customHeight="1">
      <c r="A234" t="inlineStr">
        <is>
          <t>A 14812-2021</t>
        </is>
      </c>
      <c r="B234" s="1" t="n">
        <v>44280</v>
      </c>
      <c r="C234" s="1" t="n">
        <v>45890</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9619-2021</t>
        </is>
      </c>
      <c r="B235" s="1" t="n">
        <v>44251</v>
      </c>
      <c r="C235" s="1" t="n">
        <v>45890</v>
      </c>
      <c r="D235" t="inlineStr">
        <is>
          <t>VÄSTERNORRLANDS LÄN</t>
        </is>
      </c>
      <c r="E235" t="inlineStr">
        <is>
          <t>ÅNGE</t>
        </is>
      </c>
      <c r="G235" t="n">
        <v>10.4</v>
      </c>
      <c r="H235" t="n">
        <v>0</v>
      </c>
      <c r="I235" t="n">
        <v>0</v>
      </c>
      <c r="J235" t="n">
        <v>0</v>
      </c>
      <c r="K235" t="n">
        <v>0</v>
      </c>
      <c r="L235" t="n">
        <v>0</v>
      </c>
      <c r="M235" t="n">
        <v>0</v>
      </c>
      <c r="N235" t="n">
        <v>0</v>
      </c>
      <c r="O235" t="n">
        <v>0</v>
      </c>
      <c r="P235" t="n">
        <v>0</v>
      </c>
      <c r="Q235" t="n">
        <v>0</v>
      </c>
      <c r="R235" s="2" t="inlineStr"/>
    </row>
    <row r="236" ht="15" customHeight="1">
      <c r="A236" t="inlineStr">
        <is>
          <t>A 50258-2020</t>
        </is>
      </c>
      <c r="B236" s="1" t="n">
        <v>44109</v>
      </c>
      <c r="C236" s="1" t="n">
        <v>45890</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50259-2020</t>
        </is>
      </c>
      <c r="B237" s="1" t="n">
        <v>44109</v>
      </c>
      <c r="C237" s="1" t="n">
        <v>45890</v>
      </c>
      <c r="D237" t="inlineStr">
        <is>
          <t>VÄSTERNORRLANDS LÄN</t>
        </is>
      </c>
      <c r="E237" t="inlineStr">
        <is>
          <t>ÅNGE</t>
        </is>
      </c>
      <c r="G237" t="n">
        <v>5.1</v>
      </c>
      <c r="H237" t="n">
        <v>0</v>
      </c>
      <c r="I237" t="n">
        <v>0</v>
      </c>
      <c r="J237" t="n">
        <v>0</v>
      </c>
      <c r="K237" t="n">
        <v>0</v>
      </c>
      <c r="L237" t="n">
        <v>0</v>
      </c>
      <c r="M237" t="n">
        <v>0</v>
      </c>
      <c r="N237" t="n">
        <v>0</v>
      </c>
      <c r="O237" t="n">
        <v>0</v>
      </c>
      <c r="P237" t="n">
        <v>0</v>
      </c>
      <c r="Q237" t="n">
        <v>0</v>
      </c>
      <c r="R237" s="2" t="inlineStr"/>
    </row>
    <row r="238" ht="15" customHeight="1">
      <c r="A238" t="inlineStr">
        <is>
          <t>A 46350-2022</t>
        </is>
      </c>
      <c r="B238" s="1" t="n">
        <v>44847.95120370371</v>
      </c>
      <c r="C238" s="1" t="n">
        <v>45890</v>
      </c>
      <c r="D238" t="inlineStr">
        <is>
          <t>VÄSTERNORRLANDS LÄN</t>
        </is>
      </c>
      <c r="E238" t="inlineStr">
        <is>
          <t>ÅNGE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54105-2020</t>
        </is>
      </c>
      <c r="B239" s="1" t="n">
        <v>44125</v>
      </c>
      <c r="C239" s="1" t="n">
        <v>45890</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24819-2021</t>
        </is>
      </c>
      <c r="B240" s="1" t="n">
        <v>44340</v>
      </c>
      <c r="C240" s="1" t="n">
        <v>45890</v>
      </c>
      <c r="D240" t="inlineStr">
        <is>
          <t>VÄSTERNORRLANDS LÄN</t>
        </is>
      </c>
      <c r="E240" t="inlineStr">
        <is>
          <t>ÅNGE</t>
        </is>
      </c>
      <c r="G240" t="n">
        <v>1.5</v>
      </c>
      <c r="H240" t="n">
        <v>0</v>
      </c>
      <c r="I240" t="n">
        <v>0</v>
      </c>
      <c r="J240" t="n">
        <v>0</v>
      </c>
      <c r="K240" t="n">
        <v>0</v>
      </c>
      <c r="L240" t="n">
        <v>0</v>
      </c>
      <c r="M240" t="n">
        <v>0</v>
      </c>
      <c r="N240" t="n">
        <v>0</v>
      </c>
      <c r="O240" t="n">
        <v>0</v>
      </c>
      <c r="P240" t="n">
        <v>0</v>
      </c>
      <c r="Q240" t="n">
        <v>0</v>
      </c>
      <c r="R240" s="2" t="inlineStr"/>
    </row>
    <row r="241" ht="15" customHeight="1">
      <c r="A241" t="inlineStr">
        <is>
          <t>A 53969-2021</t>
        </is>
      </c>
      <c r="B241" s="1" t="n">
        <v>44469</v>
      </c>
      <c r="C241" s="1" t="n">
        <v>45890</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45890</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45890</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63609-2021</t>
        </is>
      </c>
      <c r="B244" s="1" t="n">
        <v>44508.94660879629</v>
      </c>
      <c r="C244" s="1" t="n">
        <v>45890</v>
      </c>
      <c r="D244" t="inlineStr">
        <is>
          <t>VÄSTERNORRLANDS LÄN</t>
        </is>
      </c>
      <c r="E244" t="inlineStr">
        <is>
          <t>ÅNGE</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7158-2022</t>
        </is>
      </c>
      <c r="B245" s="1" t="n">
        <v>44603.96534722222</v>
      </c>
      <c r="C245" s="1" t="n">
        <v>45890</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43093-2020</t>
        </is>
      </c>
      <c r="B246" s="1" t="n">
        <v>44078</v>
      </c>
      <c r="C246" s="1" t="n">
        <v>45890</v>
      </c>
      <c r="D246" t="inlineStr">
        <is>
          <t>VÄSTERNORRLANDS LÄN</t>
        </is>
      </c>
      <c r="E246" t="inlineStr">
        <is>
          <t>ÅNGE</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58941-2021</t>
        </is>
      </c>
      <c r="B247" s="1" t="n">
        <v>44489.92215277778</v>
      </c>
      <c r="C247" s="1" t="n">
        <v>45890</v>
      </c>
      <c r="D247" t="inlineStr">
        <is>
          <t>VÄSTERNORRLANDS LÄN</t>
        </is>
      </c>
      <c r="E247" t="inlineStr">
        <is>
          <t>ÅNGE</t>
        </is>
      </c>
      <c r="G247" t="n">
        <v>6.7</v>
      </c>
      <c r="H247" t="n">
        <v>0</v>
      </c>
      <c r="I247" t="n">
        <v>0</v>
      </c>
      <c r="J247" t="n">
        <v>0</v>
      </c>
      <c r="K247" t="n">
        <v>0</v>
      </c>
      <c r="L247" t="n">
        <v>0</v>
      </c>
      <c r="M247" t="n">
        <v>0</v>
      </c>
      <c r="N247" t="n">
        <v>0</v>
      </c>
      <c r="O247" t="n">
        <v>0</v>
      </c>
      <c r="P247" t="n">
        <v>0</v>
      </c>
      <c r="Q247" t="n">
        <v>0</v>
      </c>
      <c r="R247" s="2" t="inlineStr"/>
    </row>
    <row r="248" ht="15" customHeight="1">
      <c r="A248" t="inlineStr">
        <is>
          <t>A 47282-2022</t>
        </is>
      </c>
      <c r="B248" s="1" t="n">
        <v>44852.95091435185</v>
      </c>
      <c r="C248" s="1" t="n">
        <v>45890</v>
      </c>
      <c r="D248" t="inlineStr">
        <is>
          <t>VÄSTERNORRLANDS LÄN</t>
        </is>
      </c>
      <c r="E248" t="inlineStr">
        <is>
          <t>ÅNGE</t>
        </is>
      </c>
      <c r="F248" t="inlineStr">
        <is>
          <t>SCA</t>
        </is>
      </c>
      <c r="G248" t="n">
        <v>0.4</v>
      </c>
      <c r="H248" t="n">
        <v>0</v>
      </c>
      <c r="I248" t="n">
        <v>0</v>
      </c>
      <c r="J248" t="n">
        <v>0</v>
      </c>
      <c r="K248" t="n">
        <v>0</v>
      </c>
      <c r="L248" t="n">
        <v>0</v>
      </c>
      <c r="M248" t="n">
        <v>0</v>
      </c>
      <c r="N248" t="n">
        <v>0</v>
      </c>
      <c r="O248" t="n">
        <v>0</v>
      </c>
      <c r="P248" t="n">
        <v>0</v>
      </c>
      <c r="Q248" t="n">
        <v>0</v>
      </c>
      <c r="R248" s="2" t="inlineStr"/>
    </row>
    <row r="249" ht="15" customHeight="1">
      <c r="A249" t="inlineStr">
        <is>
          <t>A 7649-2022</t>
        </is>
      </c>
      <c r="B249" s="1" t="n">
        <v>44607</v>
      </c>
      <c r="C249" s="1" t="n">
        <v>45890</v>
      </c>
      <c r="D249" t="inlineStr">
        <is>
          <t>VÄSTERNORRLANDS LÄN</t>
        </is>
      </c>
      <c r="E249" t="inlineStr">
        <is>
          <t>ÅNGE</t>
        </is>
      </c>
      <c r="G249" t="n">
        <v>1.9</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45890</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52705-2021</t>
        </is>
      </c>
      <c r="B251" s="1" t="n">
        <v>44466</v>
      </c>
      <c r="C251" s="1" t="n">
        <v>45890</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52726-2021</t>
        </is>
      </c>
      <c r="B252" s="1" t="n">
        <v>44466</v>
      </c>
      <c r="C252" s="1" t="n">
        <v>45890</v>
      </c>
      <c r="D252" t="inlineStr">
        <is>
          <t>VÄSTERNORRLANDS LÄN</t>
        </is>
      </c>
      <c r="E252" t="inlineStr">
        <is>
          <t>ÅNGE</t>
        </is>
      </c>
      <c r="F252" t="inlineStr">
        <is>
          <t>SCA</t>
        </is>
      </c>
      <c r="G252" t="n">
        <v>9.5</v>
      </c>
      <c r="H252" t="n">
        <v>0</v>
      </c>
      <c r="I252" t="n">
        <v>0</v>
      </c>
      <c r="J252" t="n">
        <v>0</v>
      </c>
      <c r="K252" t="n">
        <v>0</v>
      </c>
      <c r="L252" t="n">
        <v>0</v>
      </c>
      <c r="M252" t="n">
        <v>0</v>
      </c>
      <c r="N252" t="n">
        <v>0</v>
      </c>
      <c r="O252" t="n">
        <v>0</v>
      </c>
      <c r="P252" t="n">
        <v>0</v>
      </c>
      <c r="Q252" t="n">
        <v>0</v>
      </c>
      <c r="R252" s="2" t="inlineStr"/>
    </row>
    <row r="253" ht="15" customHeight="1">
      <c r="A253" t="inlineStr">
        <is>
          <t>A 19970-2021</t>
        </is>
      </c>
      <c r="B253" s="1" t="n">
        <v>44313</v>
      </c>
      <c r="C253" s="1" t="n">
        <v>45890</v>
      </c>
      <c r="D253" t="inlineStr">
        <is>
          <t>VÄSTERNORRLANDS LÄN</t>
        </is>
      </c>
      <c r="E253" t="inlineStr">
        <is>
          <t>ÅNGE</t>
        </is>
      </c>
      <c r="F253" t="inlineStr">
        <is>
          <t>Holmen skog AB</t>
        </is>
      </c>
      <c r="G253" t="n">
        <v>0.4</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45890</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45890</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65437-2021</t>
        </is>
      </c>
      <c r="B256" s="1" t="n">
        <v>44515.93900462963</v>
      </c>
      <c r="C256" s="1" t="n">
        <v>45890</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45890</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45890</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45890</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45890</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45890</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9998-2022</t>
        </is>
      </c>
      <c r="B262" s="1" t="n">
        <v>44621.46462962963</v>
      </c>
      <c r="C262" s="1" t="n">
        <v>45890</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45890</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45890</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51427-2021</t>
        </is>
      </c>
      <c r="B265" s="1" t="n">
        <v>44461</v>
      </c>
      <c r="C265" s="1" t="n">
        <v>45890</v>
      </c>
      <c r="D265" t="inlineStr">
        <is>
          <t>VÄSTERNORRLANDS LÄN</t>
        </is>
      </c>
      <c r="E265" t="inlineStr">
        <is>
          <t>ÅNGE</t>
        </is>
      </c>
      <c r="G265" t="n">
        <v>3.2</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45890</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45890</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32536-2022</t>
        </is>
      </c>
      <c r="B268" s="1" t="n">
        <v>44783.30246527777</v>
      </c>
      <c r="C268" s="1" t="n">
        <v>45890</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32631-2022</t>
        </is>
      </c>
      <c r="B269" s="1" t="n">
        <v>44783</v>
      </c>
      <c r="C269" s="1" t="n">
        <v>45890</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68812-2020</t>
        </is>
      </c>
      <c r="B270" s="1" t="n">
        <v>44187</v>
      </c>
      <c r="C270" s="1" t="n">
        <v>45890</v>
      </c>
      <c r="D270" t="inlineStr">
        <is>
          <t>VÄSTERNORRLANDS LÄN</t>
        </is>
      </c>
      <c r="E270" t="inlineStr">
        <is>
          <t>ÅNGE</t>
        </is>
      </c>
      <c r="G270" t="n">
        <v>1.6</v>
      </c>
      <c r="H270" t="n">
        <v>0</v>
      </c>
      <c r="I270" t="n">
        <v>0</v>
      </c>
      <c r="J270" t="n">
        <v>0</v>
      </c>
      <c r="K270" t="n">
        <v>0</v>
      </c>
      <c r="L270" t="n">
        <v>0</v>
      </c>
      <c r="M270" t="n">
        <v>0</v>
      </c>
      <c r="N270" t="n">
        <v>0</v>
      </c>
      <c r="O270" t="n">
        <v>0</v>
      </c>
      <c r="P270" t="n">
        <v>0</v>
      </c>
      <c r="Q270" t="n">
        <v>0</v>
      </c>
      <c r="R270" s="2" t="inlineStr"/>
    </row>
    <row r="271" ht="15" customHeight="1">
      <c r="A271" t="inlineStr">
        <is>
          <t>A 30495-2022</t>
        </is>
      </c>
      <c r="B271" s="1" t="n">
        <v>44761.9424074074</v>
      </c>
      <c r="C271" s="1" t="n">
        <v>45890</v>
      </c>
      <c r="D271" t="inlineStr">
        <is>
          <t>VÄSTERNORRLANDS LÄN</t>
        </is>
      </c>
      <c r="E271" t="inlineStr">
        <is>
          <t>ÅNGE</t>
        </is>
      </c>
      <c r="F271" t="inlineStr">
        <is>
          <t>SCA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65277-2020</t>
        </is>
      </c>
      <c r="B272" s="1" t="n">
        <v>44172</v>
      </c>
      <c r="C272" s="1" t="n">
        <v>45890</v>
      </c>
      <c r="D272" t="inlineStr">
        <is>
          <t>VÄSTERNORRLANDS LÄN</t>
        </is>
      </c>
      <c r="E272" t="inlineStr">
        <is>
          <t>ÅNGE</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45890</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45890</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45890</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45890</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45890</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45890</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58942-2021</t>
        </is>
      </c>
      <c r="B279" s="1" t="n">
        <v>44489.9221875</v>
      </c>
      <c r="C279" s="1" t="n">
        <v>45890</v>
      </c>
      <c r="D279" t="inlineStr">
        <is>
          <t>VÄSTERNORRLANDS LÄN</t>
        </is>
      </c>
      <c r="E279" t="inlineStr">
        <is>
          <t>ÅNGE</t>
        </is>
      </c>
      <c r="G279" t="n">
        <v>5.6</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45890</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45890</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45890</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45890</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45890</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42751-2020</t>
        </is>
      </c>
      <c r="B285" s="1" t="n">
        <v>44077</v>
      </c>
      <c r="C285" s="1" t="n">
        <v>45890</v>
      </c>
      <c r="D285" t="inlineStr">
        <is>
          <t>VÄSTERNORRLANDS LÄN</t>
        </is>
      </c>
      <c r="E285" t="inlineStr">
        <is>
          <t>ÅNGE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45890</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45890</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45890</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10687-2022</t>
        </is>
      </c>
      <c r="B289" s="1" t="n">
        <v>44624.92684027777</v>
      </c>
      <c r="C289" s="1" t="n">
        <v>45890</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45890</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42289-2020</t>
        </is>
      </c>
      <c r="B291" s="1" t="n">
        <v>44076</v>
      </c>
      <c r="C291" s="1" t="n">
        <v>45890</v>
      </c>
      <c r="D291" t="inlineStr">
        <is>
          <t>VÄSTERNORRLANDS LÄN</t>
        </is>
      </c>
      <c r="E291" t="inlineStr">
        <is>
          <t>ÅNGE</t>
        </is>
      </c>
      <c r="G291" t="n">
        <v>16.7</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45890</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45890</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45890</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45890</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45890</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45890</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45890</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45890</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45890</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45890</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45890</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17594-2021</t>
        </is>
      </c>
      <c r="B303" s="1" t="n">
        <v>44299</v>
      </c>
      <c r="C303" s="1" t="n">
        <v>45890</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45890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70893-2021</t>
        </is>
      </c>
      <c r="B305" s="1" t="n">
        <v>44538</v>
      </c>
      <c r="C305" s="1" t="n">
        <v>45890</v>
      </c>
      <c r="D305" t="inlineStr">
        <is>
          <t>VÄSTERNORRLANDS LÄN</t>
        </is>
      </c>
      <c r="E305" t="inlineStr">
        <is>
          <t>ÅNGE</t>
        </is>
      </c>
      <c r="G305" t="n">
        <v>6.2</v>
      </c>
      <c r="H305" t="n">
        <v>0</v>
      </c>
      <c r="I305" t="n">
        <v>0</v>
      </c>
      <c r="J305" t="n">
        <v>0</v>
      </c>
      <c r="K305" t="n">
        <v>0</v>
      </c>
      <c r="L305" t="n">
        <v>0</v>
      </c>
      <c r="M305" t="n">
        <v>0</v>
      </c>
      <c r="N305" t="n">
        <v>0</v>
      </c>
      <c r="O305" t="n">
        <v>0</v>
      </c>
      <c r="P305" t="n">
        <v>0</v>
      </c>
      <c r="Q305" t="n">
        <v>0</v>
      </c>
      <c r="R305" s="2" t="inlineStr"/>
    </row>
    <row r="306" ht="15" customHeight="1">
      <c r="A306" t="inlineStr">
        <is>
          <t>A 44412-2022</t>
        </is>
      </c>
      <c r="B306" s="1" t="n">
        <v>44839.92626157407</v>
      </c>
      <c r="C306" s="1" t="n">
        <v>45890</v>
      </c>
      <c r="D306" t="inlineStr">
        <is>
          <t>VÄSTERNORRLANDS LÄN</t>
        </is>
      </c>
      <c r="E306" t="inlineStr">
        <is>
          <t>ÅNGE</t>
        </is>
      </c>
      <c r="G306" t="n">
        <v>1.6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45890</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6263-2022</t>
        </is>
      </c>
      <c r="B308" s="1" t="n">
        <v>44600</v>
      </c>
      <c r="C308" s="1" t="n">
        <v>45890</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20369-2022</t>
        </is>
      </c>
      <c r="B309" s="1" t="n">
        <v>44699.41140046297</v>
      </c>
      <c r="C309" s="1" t="n">
        <v>45890</v>
      </c>
      <c r="D309" t="inlineStr">
        <is>
          <t>VÄSTERNORRLANDS LÄN</t>
        </is>
      </c>
      <c r="E309" t="inlineStr">
        <is>
          <t>ÅNGE</t>
        </is>
      </c>
      <c r="G309" t="n">
        <v>5.5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45890</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45890</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45890</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45890</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27953-2021</t>
        </is>
      </c>
      <c r="B314" s="1" t="n">
        <v>44354.9209375</v>
      </c>
      <c r="C314" s="1" t="n">
        <v>45890</v>
      </c>
      <c r="D314" t="inlineStr">
        <is>
          <t>VÄSTERNORRLANDS LÄN</t>
        </is>
      </c>
      <c r="E314" t="inlineStr">
        <is>
          <t>ÅNGE</t>
        </is>
      </c>
      <c r="G314" t="n">
        <v>2.9</v>
      </c>
      <c r="H314" t="n">
        <v>0</v>
      </c>
      <c r="I314" t="n">
        <v>0</v>
      </c>
      <c r="J314" t="n">
        <v>0</v>
      </c>
      <c r="K314" t="n">
        <v>0</v>
      </c>
      <c r="L314" t="n">
        <v>0</v>
      </c>
      <c r="M314" t="n">
        <v>0</v>
      </c>
      <c r="N314" t="n">
        <v>0</v>
      </c>
      <c r="O314" t="n">
        <v>0</v>
      </c>
      <c r="P314" t="n">
        <v>0</v>
      </c>
      <c r="Q314" t="n">
        <v>0</v>
      </c>
      <c r="R314" s="2" t="inlineStr"/>
    </row>
    <row r="315" ht="15" customHeight="1">
      <c r="A315" t="inlineStr">
        <is>
          <t>A 33408-2021</t>
        </is>
      </c>
      <c r="B315" s="1" t="n">
        <v>44377</v>
      </c>
      <c r="C315" s="1" t="n">
        <v>45890</v>
      </c>
      <c r="D315" t="inlineStr">
        <is>
          <t>VÄSTERNORRLANDS LÄN</t>
        </is>
      </c>
      <c r="E315" t="inlineStr">
        <is>
          <t>ÅNGE</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61761-2021</t>
        </is>
      </c>
      <c r="B316" s="1" t="n">
        <v>44501</v>
      </c>
      <c r="C316" s="1" t="n">
        <v>45890</v>
      </c>
      <c r="D316" t="inlineStr">
        <is>
          <t>VÄSTERNORRLANDS LÄN</t>
        </is>
      </c>
      <c r="E316" t="inlineStr">
        <is>
          <t>ÅNGE</t>
        </is>
      </c>
      <c r="G316" t="n">
        <v>0.3</v>
      </c>
      <c r="H316" t="n">
        <v>0</v>
      </c>
      <c r="I316" t="n">
        <v>0</v>
      </c>
      <c r="J316" t="n">
        <v>0</v>
      </c>
      <c r="K316" t="n">
        <v>0</v>
      </c>
      <c r="L316" t="n">
        <v>0</v>
      </c>
      <c r="M316" t="n">
        <v>0</v>
      </c>
      <c r="N316" t="n">
        <v>0</v>
      </c>
      <c r="O316" t="n">
        <v>0</v>
      </c>
      <c r="P316" t="n">
        <v>0</v>
      </c>
      <c r="Q316" t="n">
        <v>0</v>
      </c>
      <c r="R316" s="2" t="inlineStr"/>
    </row>
    <row r="317" ht="15" customHeight="1">
      <c r="A317" t="inlineStr">
        <is>
          <t>A 57162-2021</t>
        </is>
      </c>
      <c r="B317" s="1" t="n">
        <v>44482</v>
      </c>
      <c r="C317" s="1" t="n">
        <v>45890</v>
      </c>
      <c r="D317" t="inlineStr">
        <is>
          <t>VÄSTERNORRLANDS LÄN</t>
        </is>
      </c>
      <c r="E317" t="inlineStr">
        <is>
          <t>ÅNGE</t>
        </is>
      </c>
      <c r="G317" t="n">
        <v>2.5</v>
      </c>
      <c r="H317" t="n">
        <v>0</v>
      </c>
      <c r="I317" t="n">
        <v>0</v>
      </c>
      <c r="J317" t="n">
        <v>0</v>
      </c>
      <c r="K317" t="n">
        <v>0</v>
      </c>
      <c r="L317" t="n">
        <v>0</v>
      </c>
      <c r="M317" t="n">
        <v>0</v>
      </c>
      <c r="N317" t="n">
        <v>0</v>
      </c>
      <c r="O317" t="n">
        <v>0</v>
      </c>
      <c r="P317" t="n">
        <v>0</v>
      </c>
      <c r="Q317" t="n">
        <v>0</v>
      </c>
      <c r="R317" s="2" t="inlineStr"/>
    </row>
    <row r="318" ht="15" customHeight="1">
      <c r="A318" t="inlineStr">
        <is>
          <t>A 30365-2021</t>
        </is>
      </c>
      <c r="B318" s="1" t="n">
        <v>44364.45164351852</v>
      </c>
      <c r="C318" s="1" t="n">
        <v>45890</v>
      </c>
      <c r="D318" t="inlineStr">
        <is>
          <t>VÄSTERNORRLANDS LÄN</t>
        </is>
      </c>
      <c r="E318" t="inlineStr">
        <is>
          <t>ÅNGE</t>
        </is>
      </c>
      <c r="G318" t="n">
        <v>3.9</v>
      </c>
      <c r="H318" t="n">
        <v>0</v>
      </c>
      <c r="I318" t="n">
        <v>0</v>
      </c>
      <c r="J318" t="n">
        <v>0</v>
      </c>
      <c r="K318" t="n">
        <v>0</v>
      </c>
      <c r="L318" t="n">
        <v>0</v>
      </c>
      <c r="M318" t="n">
        <v>0</v>
      </c>
      <c r="N318" t="n">
        <v>0</v>
      </c>
      <c r="O318" t="n">
        <v>0</v>
      </c>
      <c r="P318" t="n">
        <v>0</v>
      </c>
      <c r="Q318" t="n">
        <v>0</v>
      </c>
      <c r="R318" s="2" t="inlineStr"/>
    </row>
    <row r="319" ht="15" customHeight="1">
      <c r="A319" t="inlineStr">
        <is>
          <t>A 17044-2022</t>
        </is>
      </c>
      <c r="B319" s="1" t="n">
        <v>44676</v>
      </c>
      <c r="C319" s="1" t="n">
        <v>45890</v>
      </c>
      <c r="D319" t="inlineStr">
        <is>
          <t>VÄSTERNORRLANDS LÄN</t>
        </is>
      </c>
      <c r="E319" t="inlineStr">
        <is>
          <t>ÅNGE</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49656-2020</t>
        </is>
      </c>
      <c r="B320" s="1" t="n">
        <v>44106</v>
      </c>
      <c r="C320" s="1" t="n">
        <v>45890</v>
      </c>
      <c r="D320" t="inlineStr">
        <is>
          <t>VÄSTERNORRLANDS LÄN</t>
        </is>
      </c>
      <c r="E320" t="inlineStr">
        <is>
          <t>ÅNGE</t>
        </is>
      </c>
      <c r="G320" t="n">
        <v>2.6</v>
      </c>
      <c r="H320" t="n">
        <v>0</v>
      </c>
      <c r="I320" t="n">
        <v>0</v>
      </c>
      <c r="J320" t="n">
        <v>0</v>
      </c>
      <c r="K320" t="n">
        <v>0</v>
      </c>
      <c r="L320" t="n">
        <v>0</v>
      </c>
      <c r="M320" t="n">
        <v>0</v>
      </c>
      <c r="N320" t="n">
        <v>0</v>
      </c>
      <c r="O320" t="n">
        <v>0</v>
      </c>
      <c r="P320" t="n">
        <v>0</v>
      </c>
      <c r="Q320" t="n">
        <v>0</v>
      </c>
      <c r="R320" s="2" t="inlineStr"/>
    </row>
    <row r="321" ht="15" customHeight="1">
      <c r="A321" t="inlineStr">
        <is>
          <t>A 55907-2022</t>
        </is>
      </c>
      <c r="B321" s="1" t="n">
        <v>44888.95457175926</v>
      </c>
      <c r="C321" s="1" t="n">
        <v>45890</v>
      </c>
      <c r="D321" t="inlineStr">
        <is>
          <t>VÄSTERNORRLANDS LÄN</t>
        </is>
      </c>
      <c r="E321" t="inlineStr">
        <is>
          <t>ÅNGE</t>
        </is>
      </c>
      <c r="F321" t="inlineStr">
        <is>
          <t>SCA</t>
        </is>
      </c>
      <c r="G321" t="n">
        <v>8.4</v>
      </c>
      <c r="H321" t="n">
        <v>0</v>
      </c>
      <c r="I321" t="n">
        <v>0</v>
      </c>
      <c r="J321" t="n">
        <v>0</v>
      </c>
      <c r="K321" t="n">
        <v>0</v>
      </c>
      <c r="L321" t="n">
        <v>0</v>
      </c>
      <c r="M321" t="n">
        <v>0</v>
      </c>
      <c r="N321" t="n">
        <v>0</v>
      </c>
      <c r="O321" t="n">
        <v>0</v>
      </c>
      <c r="P321" t="n">
        <v>0</v>
      </c>
      <c r="Q321" t="n">
        <v>0</v>
      </c>
      <c r="R321" s="2" t="inlineStr"/>
    </row>
    <row r="322" ht="15" customHeight="1">
      <c r="A322" t="inlineStr">
        <is>
          <t>A 31647-2022</t>
        </is>
      </c>
      <c r="B322" s="1" t="n">
        <v>44775.94328703704</v>
      </c>
      <c r="C322" s="1" t="n">
        <v>45890</v>
      </c>
      <c r="D322" t="inlineStr">
        <is>
          <t>VÄSTERNORRLANDS LÄN</t>
        </is>
      </c>
      <c r="E322" t="inlineStr">
        <is>
          <t>ÅNGE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66560-2021</t>
        </is>
      </c>
      <c r="B323" s="1" t="n">
        <v>44519</v>
      </c>
      <c r="C323" s="1" t="n">
        <v>45890</v>
      </c>
      <c r="D323" t="inlineStr">
        <is>
          <t>VÄSTERNORRLANDS LÄN</t>
        </is>
      </c>
      <c r="E323" t="inlineStr">
        <is>
          <t>ÅNGE</t>
        </is>
      </c>
      <c r="G323" t="n">
        <v>2.6</v>
      </c>
      <c r="H323" t="n">
        <v>0</v>
      </c>
      <c r="I323" t="n">
        <v>0</v>
      </c>
      <c r="J323" t="n">
        <v>0</v>
      </c>
      <c r="K323" t="n">
        <v>0</v>
      </c>
      <c r="L323" t="n">
        <v>0</v>
      </c>
      <c r="M323" t="n">
        <v>0</v>
      </c>
      <c r="N323" t="n">
        <v>0</v>
      </c>
      <c r="O323" t="n">
        <v>0</v>
      </c>
      <c r="P323" t="n">
        <v>0</v>
      </c>
      <c r="Q323" t="n">
        <v>0</v>
      </c>
      <c r="R323" s="2" t="inlineStr"/>
    </row>
    <row r="324" ht="15" customHeight="1">
      <c r="A324" t="inlineStr">
        <is>
          <t>A 37621-2021</t>
        </is>
      </c>
      <c r="B324" s="1" t="n">
        <v>44399</v>
      </c>
      <c r="C324" s="1" t="n">
        <v>45890</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30768-2022</t>
        </is>
      </c>
      <c r="B325" s="1" t="n">
        <v>44764.53608796297</v>
      </c>
      <c r="C325" s="1" t="n">
        <v>45890</v>
      </c>
      <c r="D325" t="inlineStr">
        <is>
          <t>VÄSTERNORRLANDS LÄN</t>
        </is>
      </c>
      <c r="E325" t="inlineStr">
        <is>
          <t>ÅNGE</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70899-2021</t>
        </is>
      </c>
      <c r="B326" s="1" t="n">
        <v>44537</v>
      </c>
      <c r="C326" s="1" t="n">
        <v>45890</v>
      </c>
      <c r="D326" t="inlineStr">
        <is>
          <t>VÄSTERNORRLANDS LÄN</t>
        </is>
      </c>
      <c r="E326" t="inlineStr">
        <is>
          <t>ÅNGE</t>
        </is>
      </c>
      <c r="G326" t="n">
        <v>1.1</v>
      </c>
      <c r="H326" t="n">
        <v>0</v>
      </c>
      <c r="I326" t="n">
        <v>0</v>
      </c>
      <c r="J326" t="n">
        <v>0</v>
      </c>
      <c r="K326" t="n">
        <v>0</v>
      </c>
      <c r="L326" t="n">
        <v>0</v>
      </c>
      <c r="M326" t="n">
        <v>0</v>
      </c>
      <c r="N326" t="n">
        <v>0</v>
      </c>
      <c r="O326" t="n">
        <v>0</v>
      </c>
      <c r="P326" t="n">
        <v>0</v>
      </c>
      <c r="Q326" t="n">
        <v>0</v>
      </c>
      <c r="R326" s="2" t="inlineStr"/>
    </row>
    <row r="327" ht="15" customHeight="1">
      <c r="A327" t="inlineStr">
        <is>
          <t>A 66233-2021</t>
        </is>
      </c>
      <c r="B327" s="1" t="n">
        <v>44518.39234953704</v>
      </c>
      <c r="C327" s="1" t="n">
        <v>45890</v>
      </c>
      <c r="D327" t="inlineStr">
        <is>
          <t>VÄSTERNORRLANDS LÄN</t>
        </is>
      </c>
      <c r="E327" t="inlineStr">
        <is>
          <t>ÅNGE</t>
        </is>
      </c>
      <c r="G327" t="n">
        <v>3.1</v>
      </c>
      <c r="H327" t="n">
        <v>0</v>
      </c>
      <c r="I327" t="n">
        <v>0</v>
      </c>
      <c r="J327" t="n">
        <v>0</v>
      </c>
      <c r="K327" t="n">
        <v>0</v>
      </c>
      <c r="L327" t="n">
        <v>0</v>
      </c>
      <c r="M327" t="n">
        <v>0</v>
      </c>
      <c r="N327" t="n">
        <v>0</v>
      </c>
      <c r="O327" t="n">
        <v>0</v>
      </c>
      <c r="P327" t="n">
        <v>0</v>
      </c>
      <c r="Q327" t="n">
        <v>0</v>
      </c>
      <c r="R327" s="2" t="inlineStr"/>
    </row>
    <row r="328" ht="15" customHeight="1">
      <c r="A328" t="inlineStr">
        <is>
          <t>A 74194-2021</t>
        </is>
      </c>
      <c r="B328" s="1" t="n">
        <v>44558.47333333334</v>
      </c>
      <c r="C328" s="1" t="n">
        <v>45890</v>
      </c>
      <c r="D328" t="inlineStr">
        <is>
          <t>VÄSTERNORRLANDS LÄN</t>
        </is>
      </c>
      <c r="E328" t="inlineStr">
        <is>
          <t>ÅNGE</t>
        </is>
      </c>
      <c r="G328" t="n">
        <v>1.9</v>
      </c>
      <c r="H328" t="n">
        <v>0</v>
      </c>
      <c r="I328" t="n">
        <v>0</v>
      </c>
      <c r="J328" t="n">
        <v>0</v>
      </c>
      <c r="K328" t="n">
        <v>0</v>
      </c>
      <c r="L328" t="n">
        <v>0</v>
      </c>
      <c r="M328" t="n">
        <v>0</v>
      </c>
      <c r="N328" t="n">
        <v>0</v>
      </c>
      <c r="O328" t="n">
        <v>0</v>
      </c>
      <c r="P328" t="n">
        <v>0</v>
      </c>
      <c r="Q328" t="n">
        <v>0</v>
      </c>
      <c r="R328" s="2" t="inlineStr"/>
    </row>
    <row r="329" ht="15" customHeight="1">
      <c r="A329" t="inlineStr">
        <is>
          <t>A 51555-2022</t>
        </is>
      </c>
      <c r="B329" s="1" t="n">
        <v>44869.9495949074</v>
      </c>
      <c r="C329" s="1" t="n">
        <v>45890</v>
      </c>
      <c r="D329" t="inlineStr">
        <is>
          <t>VÄSTERNORRLANDS LÄN</t>
        </is>
      </c>
      <c r="E329" t="inlineStr">
        <is>
          <t>ÅNGE</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24355-2022</t>
        </is>
      </c>
      <c r="B330" s="1" t="n">
        <v>44726.3816087963</v>
      </c>
      <c r="C330" s="1" t="n">
        <v>45890</v>
      </c>
      <c r="D330" t="inlineStr">
        <is>
          <t>VÄSTERNORRLANDS LÄN</t>
        </is>
      </c>
      <c r="E330" t="inlineStr">
        <is>
          <t>ÅNGE</t>
        </is>
      </c>
      <c r="G330" t="n">
        <v>0.7</v>
      </c>
      <c r="H330" t="n">
        <v>0</v>
      </c>
      <c r="I330" t="n">
        <v>0</v>
      </c>
      <c r="J330" t="n">
        <v>0</v>
      </c>
      <c r="K330" t="n">
        <v>0</v>
      </c>
      <c r="L330" t="n">
        <v>0</v>
      </c>
      <c r="M330" t="n">
        <v>0</v>
      </c>
      <c r="N330" t="n">
        <v>0</v>
      </c>
      <c r="O330" t="n">
        <v>0</v>
      </c>
      <c r="P330" t="n">
        <v>0</v>
      </c>
      <c r="Q330" t="n">
        <v>0</v>
      </c>
      <c r="R330" s="2" t="inlineStr"/>
    </row>
    <row r="331" ht="15" customHeight="1">
      <c r="A331" t="inlineStr">
        <is>
          <t>A 51494-2022</t>
        </is>
      </c>
      <c r="B331" s="1" t="n">
        <v>44869</v>
      </c>
      <c r="C331" s="1" t="n">
        <v>45890</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13641-2022</t>
        </is>
      </c>
      <c r="B332" s="1" t="n">
        <v>44648</v>
      </c>
      <c r="C332" s="1" t="n">
        <v>45890</v>
      </c>
      <c r="D332" t="inlineStr">
        <is>
          <t>VÄSTERNORRLANDS LÄN</t>
        </is>
      </c>
      <c r="E332" t="inlineStr">
        <is>
          <t>ÅNGE</t>
        </is>
      </c>
      <c r="G332" t="n">
        <v>4.9</v>
      </c>
      <c r="H332" t="n">
        <v>0</v>
      </c>
      <c r="I332" t="n">
        <v>0</v>
      </c>
      <c r="J332" t="n">
        <v>0</v>
      </c>
      <c r="K332" t="n">
        <v>0</v>
      </c>
      <c r="L332" t="n">
        <v>0</v>
      </c>
      <c r="M332" t="n">
        <v>0</v>
      </c>
      <c r="N332" t="n">
        <v>0</v>
      </c>
      <c r="O332" t="n">
        <v>0</v>
      </c>
      <c r="P332" t="n">
        <v>0</v>
      </c>
      <c r="Q332" t="n">
        <v>0</v>
      </c>
      <c r="R332" s="2" t="inlineStr"/>
    </row>
    <row r="333" ht="15" customHeight="1">
      <c r="A333" t="inlineStr">
        <is>
          <t>A 35507-2022</t>
        </is>
      </c>
      <c r="B333" s="1" t="n">
        <v>44798</v>
      </c>
      <c r="C333" s="1" t="n">
        <v>45890</v>
      </c>
      <c r="D333" t="inlineStr">
        <is>
          <t>VÄSTERNORRLANDS LÄN</t>
        </is>
      </c>
      <c r="E333" t="inlineStr">
        <is>
          <t>ÅNGE</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10680-2022</t>
        </is>
      </c>
      <c r="B334" s="1" t="n">
        <v>44624</v>
      </c>
      <c r="C334" s="1" t="n">
        <v>45890</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10686-2022</t>
        </is>
      </c>
      <c r="B335" s="1" t="n">
        <v>44624.92680555556</v>
      </c>
      <c r="C335" s="1" t="n">
        <v>45890</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62870-2021</t>
        </is>
      </c>
      <c r="B336" s="1" t="n">
        <v>44503</v>
      </c>
      <c r="C336" s="1" t="n">
        <v>45890</v>
      </c>
      <c r="D336" t="inlineStr">
        <is>
          <t>VÄSTERNORRLANDS LÄN</t>
        </is>
      </c>
      <c r="E336" t="inlineStr">
        <is>
          <t>ÅNGE</t>
        </is>
      </c>
      <c r="F336" t="inlineStr">
        <is>
          <t>Övriga statliga verk och myndigheter</t>
        </is>
      </c>
      <c r="G336" t="n">
        <v>3</v>
      </c>
      <c r="H336" t="n">
        <v>0</v>
      </c>
      <c r="I336" t="n">
        <v>0</v>
      </c>
      <c r="J336" t="n">
        <v>0</v>
      </c>
      <c r="K336" t="n">
        <v>0</v>
      </c>
      <c r="L336" t="n">
        <v>0</v>
      </c>
      <c r="M336" t="n">
        <v>0</v>
      </c>
      <c r="N336" t="n">
        <v>0</v>
      </c>
      <c r="O336" t="n">
        <v>0</v>
      </c>
      <c r="P336" t="n">
        <v>0</v>
      </c>
      <c r="Q336" t="n">
        <v>0</v>
      </c>
      <c r="R336" s="2" t="inlineStr"/>
    </row>
    <row r="337" ht="15" customHeight="1">
      <c r="A337" t="inlineStr">
        <is>
          <t>A 50640-2022</t>
        </is>
      </c>
      <c r="B337" s="1" t="n">
        <v>44866.94734953704</v>
      </c>
      <c r="C337" s="1" t="n">
        <v>45890</v>
      </c>
      <c r="D337" t="inlineStr">
        <is>
          <t>VÄSTERNORRLANDS LÄN</t>
        </is>
      </c>
      <c r="E337" t="inlineStr">
        <is>
          <t>ÅNGE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45810-2020</t>
        </is>
      </c>
      <c r="B338" s="1" t="n">
        <v>44090.88427083333</v>
      </c>
      <c r="C338" s="1" t="n">
        <v>45890</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45890</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60064-2020</t>
        </is>
      </c>
      <c r="B340" s="1" t="n">
        <v>44151</v>
      </c>
      <c r="C340" s="1" t="n">
        <v>45890</v>
      </c>
      <c r="D340" t="inlineStr">
        <is>
          <t>VÄSTERNORRLANDS LÄN</t>
        </is>
      </c>
      <c r="E340" t="inlineStr">
        <is>
          <t>ÅNGE</t>
        </is>
      </c>
      <c r="G340" t="n">
        <v>1.8</v>
      </c>
      <c r="H340" t="n">
        <v>0</v>
      </c>
      <c r="I340" t="n">
        <v>0</v>
      </c>
      <c r="J340" t="n">
        <v>0</v>
      </c>
      <c r="K340" t="n">
        <v>0</v>
      </c>
      <c r="L340" t="n">
        <v>0</v>
      </c>
      <c r="M340" t="n">
        <v>0</v>
      </c>
      <c r="N340" t="n">
        <v>0</v>
      </c>
      <c r="O340" t="n">
        <v>0</v>
      </c>
      <c r="P340" t="n">
        <v>0</v>
      </c>
      <c r="Q340" t="n">
        <v>0</v>
      </c>
      <c r="R340" s="2" t="inlineStr"/>
    </row>
    <row r="341" ht="15" customHeight="1">
      <c r="A341" t="inlineStr">
        <is>
          <t>A 48238-2020</t>
        </is>
      </c>
      <c r="B341" s="1" t="n">
        <v>44097</v>
      </c>
      <c r="C341" s="1" t="n">
        <v>45890</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14084-2022</t>
        </is>
      </c>
      <c r="B342" s="1" t="n">
        <v>44651</v>
      </c>
      <c r="C342" s="1" t="n">
        <v>45890</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14091-2022</t>
        </is>
      </c>
      <c r="B343" s="1" t="n">
        <v>44651</v>
      </c>
      <c r="C343" s="1" t="n">
        <v>45890</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21189-2021</t>
        </is>
      </c>
      <c r="B344" s="1" t="n">
        <v>44320</v>
      </c>
      <c r="C344" s="1" t="n">
        <v>45890</v>
      </c>
      <c r="D344" t="inlineStr">
        <is>
          <t>VÄSTERNORRLANDS LÄN</t>
        </is>
      </c>
      <c r="E344" t="inlineStr">
        <is>
          <t>ÅNGE</t>
        </is>
      </c>
      <c r="G344" t="n">
        <v>2.4</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45890</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45808-2020</t>
        </is>
      </c>
      <c r="B346" s="1" t="n">
        <v>44090</v>
      </c>
      <c r="C346" s="1" t="n">
        <v>45890</v>
      </c>
      <c r="D346" t="inlineStr">
        <is>
          <t>VÄSTERNORRLANDS LÄN</t>
        </is>
      </c>
      <c r="E346" t="inlineStr">
        <is>
          <t>ÅNGE</t>
        </is>
      </c>
      <c r="G346" t="n">
        <v>0.3</v>
      </c>
      <c r="H346" t="n">
        <v>0</v>
      </c>
      <c r="I346" t="n">
        <v>0</v>
      </c>
      <c r="J346" t="n">
        <v>0</v>
      </c>
      <c r="K346" t="n">
        <v>0</v>
      </c>
      <c r="L346" t="n">
        <v>0</v>
      </c>
      <c r="M346" t="n">
        <v>0</v>
      </c>
      <c r="N346" t="n">
        <v>0</v>
      </c>
      <c r="O346" t="n">
        <v>0</v>
      </c>
      <c r="P346" t="n">
        <v>0</v>
      </c>
      <c r="Q346" t="n">
        <v>0</v>
      </c>
      <c r="R346" s="2" t="inlineStr"/>
    </row>
    <row r="347" ht="15" customHeight="1">
      <c r="A347" t="inlineStr">
        <is>
          <t>A 45812-2020</t>
        </is>
      </c>
      <c r="B347" s="1" t="n">
        <v>44090.88556712963</v>
      </c>
      <c r="C347" s="1" t="n">
        <v>45890</v>
      </c>
      <c r="D347" t="inlineStr">
        <is>
          <t>VÄSTERNORRLANDS LÄN</t>
        </is>
      </c>
      <c r="E347" t="inlineStr">
        <is>
          <t>ÅNGE</t>
        </is>
      </c>
      <c r="G347" t="n">
        <v>0.1</v>
      </c>
      <c r="H347" t="n">
        <v>0</v>
      </c>
      <c r="I347" t="n">
        <v>0</v>
      </c>
      <c r="J347" t="n">
        <v>0</v>
      </c>
      <c r="K347" t="n">
        <v>0</v>
      </c>
      <c r="L347" t="n">
        <v>0</v>
      </c>
      <c r="M347" t="n">
        <v>0</v>
      </c>
      <c r="N347" t="n">
        <v>0</v>
      </c>
      <c r="O347" t="n">
        <v>0</v>
      </c>
      <c r="P347" t="n">
        <v>0</v>
      </c>
      <c r="Q347" t="n">
        <v>0</v>
      </c>
      <c r="R347" s="2" t="inlineStr"/>
    </row>
    <row r="348" ht="15" customHeight="1">
      <c r="A348" t="inlineStr">
        <is>
          <t>A 53962-2020</t>
        </is>
      </c>
      <c r="B348" s="1" t="n">
        <v>44125.46759259259</v>
      </c>
      <c r="C348" s="1" t="n">
        <v>45890</v>
      </c>
      <c r="D348" t="inlineStr">
        <is>
          <t>VÄSTERNORRLANDS LÄN</t>
        </is>
      </c>
      <c r="E348" t="inlineStr">
        <is>
          <t>ÅNGE</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35276-2022</t>
        </is>
      </c>
      <c r="B349" s="1" t="n">
        <v>44798</v>
      </c>
      <c r="C349" s="1" t="n">
        <v>45890</v>
      </c>
      <c r="D349" t="inlineStr">
        <is>
          <t>VÄSTERNORRLANDS LÄN</t>
        </is>
      </c>
      <c r="E349" t="inlineStr">
        <is>
          <t>ÅNGE</t>
        </is>
      </c>
      <c r="G349" t="n">
        <v>15.2</v>
      </c>
      <c r="H349" t="n">
        <v>0</v>
      </c>
      <c r="I349" t="n">
        <v>0</v>
      </c>
      <c r="J349" t="n">
        <v>0</v>
      </c>
      <c r="K349" t="n">
        <v>0</v>
      </c>
      <c r="L349" t="n">
        <v>0</v>
      </c>
      <c r="M349" t="n">
        <v>0</v>
      </c>
      <c r="N349" t="n">
        <v>0</v>
      </c>
      <c r="O349" t="n">
        <v>0</v>
      </c>
      <c r="P349" t="n">
        <v>0</v>
      </c>
      <c r="Q349" t="n">
        <v>0</v>
      </c>
      <c r="R349" s="2" t="inlineStr"/>
    </row>
    <row r="350" ht="15" customHeight="1">
      <c r="A350" t="inlineStr">
        <is>
          <t>A 13149-2021</t>
        </is>
      </c>
      <c r="B350" s="1" t="n">
        <v>44272</v>
      </c>
      <c r="C350" s="1" t="n">
        <v>45890</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11098-2022</t>
        </is>
      </c>
      <c r="B351" s="1" t="n">
        <v>44628</v>
      </c>
      <c r="C351" s="1" t="n">
        <v>45890</v>
      </c>
      <c r="D351" t="inlineStr">
        <is>
          <t>VÄSTERNORRLANDS LÄN</t>
        </is>
      </c>
      <c r="E351" t="inlineStr">
        <is>
          <t>ÅNGE</t>
        </is>
      </c>
      <c r="G351" t="n">
        <v>8.9</v>
      </c>
      <c r="H351" t="n">
        <v>0</v>
      </c>
      <c r="I351" t="n">
        <v>0</v>
      </c>
      <c r="J351" t="n">
        <v>0</v>
      </c>
      <c r="K351" t="n">
        <v>0</v>
      </c>
      <c r="L351" t="n">
        <v>0</v>
      </c>
      <c r="M351" t="n">
        <v>0</v>
      </c>
      <c r="N351" t="n">
        <v>0</v>
      </c>
      <c r="O351" t="n">
        <v>0</v>
      </c>
      <c r="P351" t="n">
        <v>0</v>
      </c>
      <c r="Q351" t="n">
        <v>0</v>
      </c>
      <c r="R351" s="2" t="inlineStr"/>
    </row>
    <row r="352" ht="15" customHeight="1">
      <c r="A352" t="inlineStr">
        <is>
          <t>A 65280-2020</t>
        </is>
      </c>
      <c r="B352" s="1" t="n">
        <v>44172</v>
      </c>
      <c r="C352" s="1" t="n">
        <v>45890</v>
      </c>
      <c r="D352" t="inlineStr">
        <is>
          <t>VÄSTERNORRLANDS LÄN</t>
        </is>
      </c>
      <c r="E352" t="inlineStr">
        <is>
          <t>ÅNGE</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35283-2022</t>
        </is>
      </c>
      <c r="B353" s="1" t="n">
        <v>44798.39916666667</v>
      </c>
      <c r="C353" s="1" t="n">
        <v>45890</v>
      </c>
      <c r="D353" t="inlineStr">
        <is>
          <t>VÄSTERNORRLANDS LÄN</t>
        </is>
      </c>
      <c r="E353" t="inlineStr">
        <is>
          <t>ÅNGE</t>
        </is>
      </c>
      <c r="G353" t="n">
        <v>4.5</v>
      </c>
      <c r="H353" t="n">
        <v>0</v>
      </c>
      <c r="I353" t="n">
        <v>0</v>
      </c>
      <c r="J353" t="n">
        <v>0</v>
      </c>
      <c r="K353" t="n">
        <v>0</v>
      </c>
      <c r="L353" t="n">
        <v>0</v>
      </c>
      <c r="M353" t="n">
        <v>0</v>
      </c>
      <c r="N353" t="n">
        <v>0</v>
      </c>
      <c r="O353" t="n">
        <v>0</v>
      </c>
      <c r="P353" t="n">
        <v>0</v>
      </c>
      <c r="Q353" t="n">
        <v>0</v>
      </c>
      <c r="R353" s="2" t="inlineStr"/>
    </row>
    <row r="354" ht="15" customHeight="1">
      <c r="A354" t="inlineStr">
        <is>
          <t>A 5366-2022</t>
        </is>
      </c>
      <c r="B354" s="1" t="n">
        <v>44594.92107638889</v>
      </c>
      <c r="C354" s="1" t="n">
        <v>45890</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29509-2021</t>
        </is>
      </c>
      <c r="B355" s="1" t="n">
        <v>44361</v>
      </c>
      <c r="C355" s="1" t="n">
        <v>45890</v>
      </c>
      <c r="D355" t="inlineStr">
        <is>
          <t>VÄSTERNORRLANDS LÄN</t>
        </is>
      </c>
      <c r="E355" t="inlineStr">
        <is>
          <t>ÅNGE</t>
        </is>
      </c>
      <c r="G355" t="n">
        <v>3.6</v>
      </c>
      <c r="H355" t="n">
        <v>0</v>
      </c>
      <c r="I355" t="n">
        <v>0</v>
      </c>
      <c r="J355" t="n">
        <v>0</v>
      </c>
      <c r="K355" t="n">
        <v>0</v>
      </c>
      <c r="L355" t="n">
        <v>0</v>
      </c>
      <c r="M355" t="n">
        <v>0</v>
      </c>
      <c r="N355" t="n">
        <v>0</v>
      </c>
      <c r="O355" t="n">
        <v>0</v>
      </c>
      <c r="P355" t="n">
        <v>0</v>
      </c>
      <c r="Q355" t="n">
        <v>0</v>
      </c>
      <c r="R355" s="2" t="inlineStr"/>
    </row>
    <row r="356" ht="15" customHeight="1">
      <c r="A356" t="inlineStr">
        <is>
          <t>A 48810-2020</t>
        </is>
      </c>
      <c r="B356" s="1" t="n">
        <v>44103</v>
      </c>
      <c r="C356" s="1" t="n">
        <v>45890</v>
      </c>
      <c r="D356" t="inlineStr">
        <is>
          <t>VÄSTERNORRLANDS LÄN</t>
        </is>
      </c>
      <c r="E356" t="inlineStr">
        <is>
          <t>ÅNGE</t>
        </is>
      </c>
      <c r="F356" t="inlineStr">
        <is>
          <t>SCA</t>
        </is>
      </c>
      <c r="G356" t="n">
        <v>1.8</v>
      </c>
      <c r="H356" t="n">
        <v>0</v>
      </c>
      <c r="I356" t="n">
        <v>0</v>
      </c>
      <c r="J356" t="n">
        <v>0</v>
      </c>
      <c r="K356" t="n">
        <v>0</v>
      </c>
      <c r="L356" t="n">
        <v>0</v>
      </c>
      <c r="M356" t="n">
        <v>0</v>
      </c>
      <c r="N356" t="n">
        <v>0</v>
      </c>
      <c r="O356" t="n">
        <v>0</v>
      </c>
      <c r="P356" t="n">
        <v>0</v>
      </c>
      <c r="Q356" t="n">
        <v>0</v>
      </c>
      <c r="R356" s="2" t="inlineStr"/>
      <c r="U356">
        <f>HYPERLINK("https://klasma.github.io/Logging_2260/knärot/A 48810-2020 karta knärot.png", "A 48810-2020")</f>
        <v/>
      </c>
      <c r="V356">
        <f>HYPERLINK("https://klasma.github.io/Logging_2260/klagomål/A 48810-2020 FSC-klagomål.docx", "A 48810-2020")</f>
        <v/>
      </c>
      <c r="W356">
        <f>HYPERLINK("https://klasma.github.io/Logging_2260/klagomålsmail/A 48810-2020 FSC-klagomål mail.docx", "A 48810-2020")</f>
        <v/>
      </c>
      <c r="X356">
        <f>HYPERLINK("https://klasma.github.io/Logging_2260/tillsyn/A 48810-2020 tillsynsbegäran.docx", "A 48810-2020")</f>
        <v/>
      </c>
      <c r="Y356">
        <f>HYPERLINK("https://klasma.github.io/Logging_2260/tillsynsmail/A 48810-2020 tillsynsbegäran mail.docx", "A 48810-2020")</f>
        <v/>
      </c>
    </row>
    <row r="357" ht="15" customHeight="1">
      <c r="A357" t="inlineStr">
        <is>
          <t>A 33274-2022</t>
        </is>
      </c>
      <c r="B357" s="1" t="n">
        <v>44788</v>
      </c>
      <c r="C357" s="1" t="n">
        <v>45890</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7633-2022</t>
        </is>
      </c>
      <c r="B358" s="1" t="n">
        <v>44607.71378472223</v>
      </c>
      <c r="C358" s="1" t="n">
        <v>45890</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51755-2020</t>
        </is>
      </c>
      <c r="B359" s="1" t="n">
        <v>44114</v>
      </c>
      <c r="C359" s="1" t="n">
        <v>45890</v>
      </c>
      <c r="D359" t="inlineStr">
        <is>
          <t>VÄSTERNORRLANDS LÄN</t>
        </is>
      </c>
      <c r="E359" t="inlineStr">
        <is>
          <t>ÅNGE</t>
        </is>
      </c>
      <c r="G359" t="n">
        <v>6.4</v>
      </c>
      <c r="H359" t="n">
        <v>0</v>
      </c>
      <c r="I359" t="n">
        <v>0</v>
      </c>
      <c r="J359" t="n">
        <v>0</v>
      </c>
      <c r="K359" t="n">
        <v>0</v>
      </c>
      <c r="L359" t="n">
        <v>0</v>
      </c>
      <c r="M359" t="n">
        <v>0</v>
      </c>
      <c r="N359" t="n">
        <v>0</v>
      </c>
      <c r="O359" t="n">
        <v>0</v>
      </c>
      <c r="P359" t="n">
        <v>0</v>
      </c>
      <c r="Q359" t="n">
        <v>0</v>
      </c>
      <c r="R359" s="2" t="inlineStr"/>
    </row>
    <row r="360" ht="15" customHeight="1">
      <c r="A360" t="inlineStr">
        <is>
          <t>A 38369-2021</t>
        </is>
      </c>
      <c r="B360" s="1" t="n">
        <v>44406</v>
      </c>
      <c r="C360" s="1" t="n">
        <v>45890</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47660-2022</t>
        </is>
      </c>
      <c r="B361" s="1" t="n">
        <v>44854.45766203704</v>
      </c>
      <c r="C361" s="1" t="n">
        <v>45890</v>
      </c>
      <c r="D361" t="inlineStr">
        <is>
          <t>VÄSTERNORRLANDS LÄN</t>
        </is>
      </c>
      <c r="E361" t="inlineStr">
        <is>
          <t>ÅNGE</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50710-2021</t>
        </is>
      </c>
      <c r="B362" s="1" t="n">
        <v>44460.366875</v>
      </c>
      <c r="C362" s="1" t="n">
        <v>45890</v>
      </c>
      <c r="D362" t="inlineStr">
        <is>
          <t>VÄSTERNORRLANDS LÄN</t>
        </is>
      </c>
      <c r="E362" t="inlineStr">
        <is>
          <t>ÅNGE</t>
        </is>
      </c>
      <c r="G362" t="n">
        <v>2.2</v>
      </c>
      <c r="H362" t="n">
        <v>0</v>
      </c>
      <c r="I362" t="n">
        <v>0</v>
      </c>
      <c r="J362" t="n">
        <v>0</v>
      </c>
      <c r="K362" t="n">
        <v>0</v>
      </c>
      <c r="L362" t="n">
        <v>0</v>
      </c>
      <c r="M362" t="n">
        <v>0</v>
      </c>
      <c r="N362" t="n">
        <v>0</v>
      </c>
      <c r="O362" t="n">
        <v>0</v>
      </c>
      <c r="P362" t="n">
        <v>0</v>
      </c>
      <c r="Q362" t="n">
        <v>0</v>
      </c>
      <c r="R362" s="2" t="inlineStr"/>
    </row>
    <row r="363" ht="15" customHeight="1">
      <c r="A363" t="inlineStr">
        <is>
          <t>A 46351-2022</t>
        </is>
      </c>
      <c r="B363" s="1" t="n">
        <v>44847</v>
      </c>
      <c r="C363" s="1" t="n">
        <v>45890</v>
      </c>
      <c r="D363" t="inlineStr">
        <is>
          <t>VÄSTERNORRLANDS LÄN</t>
        </is>
      </c>
      <c r="E363" t="inlineStr">
        <is>
          <t>ÅNGE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47411-2020</t>
        </is>
      </c>
      <c r="B364" s="1" t="n">
        <v>44095</v>
      </c>
      <c r="C364" s="1" t="n">
        <v>45890</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44413-2022</t>
        </is>
      </c>
      <c r="B365" s="1" t="n">
        <v>44839.92630787037</v>
      </c>
      <c r="C365" s="1" t="n">
        <v>45890</v>
      </c>
      <c r="D365" t="inlineStr">
        <is>
          <t>VÄSTERNORRLANDS LÄN</t>
        </is>
      </c>
      <c r="E365" t="inlineStr">
        <is>
          <t>ÅNGE</t>
        </is>
      </c>
      <c r="G365" t="n">
        <v>0.7</v>
      </c>
      <c r="H365" t="n">
        <v>0</v>
      </c>
      <c r="I365" t="n">
        <v>0</v>
      </c>
      <c r="J365" t="n">
        <v>0</v>
      </c>
      <c r="K365" t="n">
        <v>0</v>
      </c>
      <c r="L365" t="n">
        <v>0</v>
      </c>
      <c r="M365" t="n">
        <v>0</v>
      </c>
      <c r="N365" t="n">
        <v>0</v>
      </c>
      <c r="O365" t="n">
        <v>0</v>
      </c>
      <c r="P365" t="n">
        <v>0</v>
      </c>
      <c r="Q365" t="n">
        <v>0</v>
      </c>
      <c r="R365" s="2" t="inlineStr"/>
    </row>
    <row r="366" ht="15" customHeight="1">
      <c r="A366" t="inlineStr">
        <is>
          <t>A 39561-2020</t>
        </is>
      </c>
      <c r="B366" s="1" t="n">
        <v>44064</v>
      </c>
      <c r="C366" s="1" t="n">
        <v>45890</v>
      </c>
      <c r="D366" t="inlineStr">
        <is>
          <t>VÄSTERNORRLANDS LÄN</t>
        </is>
      </c>
      <c r="E366" t="inlineStr">
        <is>
          <t>ÅNGE</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50268-2020</t>
        </is>
      </c>
      <c r="B367" s="1" t="n">
        <v>44109</v>
      </c>
      <c r="C367" s="1" t="n">
        <v>45890</v>
      </c>
      <c r="D367" t="inlineStr">
        <is>
          <t>VÄSTERNORRLANDS LÄN</t>
        </is>
      </c>
      <c r="E367" t="inlineStr">
        <is>
          <t>ÅNGE</t>
        </is>
      </c>
      <c r="G367" t="n">
        <v>1.3</v>
      </c>
      <c r="H367" t="n">
        <v>0</v>
      </c>
      <c r="I367" t="n">
        <v>0</v>
      </c>
      <c r="J367" t="n">
        <v>0</v>
      </c>
      <c r="K367" t="n">
        <v>0</v>
      </c>
      <c r="L367" t="n">
        <v>0</v>
      </c>
      <c r="M367" t="n">
        <v>0</v>
      </c>
      <c r="N367" t="n">
        <v>0</v>
      </c>
      <c r="O367" t="n">
        <v>0</v>
      </c>
      <c r="P367" t="n">
        <v>0</v>
      </c>
      <c r="Q367" t="n">
        <v>0</v>
      </c>
      <c r="R367" s="2" t="inlineStr"/>
    </row>
    <row r="368" ht="15" customHeight="1">
      <c r="A368" t="inlineStr">
        <is>
          <t>A 40476-2022</t>
        </is>
      </c>
      <c r="B368" s="1" t="n">
        <v>44823.54685185185</v>
      </c>
      <c r="C368" s="1" t="n">
        <v>45890</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14813-2022</t>
        </is>
      </c>
      <c r="B369" s="1" t="n">
        <v>44656</v>
      </c>
      <c r="C369" s="1" t="n">
        <v>45890</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45890</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50265-2020</t>
        </is>
      </c>
      <c r="B371" s="1" t="n">
        <v>44109</v>
      </c>
      <c r="C371" s="1" t="n">
        <v>45890</v>
      </c>
      <c r="D371" t="inlineStr">
        <is>
          <t>VÄSTERNORRLANDS LÄN</t>
        </is>
      </c>
      <c r="E371" t="inlineStr">
        <is>
          <t>ÅNGE</t>
        </is>
      </c>
      <c r="G371" t="n">
        <v>1.5</v>
      </c>
      <c r="H371" t="n">
        <v>0</v>
      </c>
      <c r="I371" t="n">
        <v>0</v>
      </c>
      <c r="J371" t="n">
        <v>0</v>
      </c>
      <c r="K371" t="n">
        <v>0</v>
      </c>
      <c r="L371" t="n">
        <v>0</v>
      </c>
      <c r="M371" t="n">
        <v>0</v>
      </c>
      <c r="N371" t="n">
        <v>0</v>
      </c>
      <c r="O371" t="n">
        <v>0</v>
      </c>
      <c r="P371" t="n">
        <v>0</v>
      </c>
      <c r="Q371" t="n">
        <v>0</v>
      </c>
      <c r="R371" s="2" t="inlineStr"/>
    </row>
    <row r="372" ht="15" customHeight="1">
      <c r="A372" t="inlineStr">
        <is>
          <t>A 57418-2021</t>
        </is>
      </c>
      <c r="B372" s="1" t="n">
        <v>44483</v>
      </c>
      <c r="C372" s="1" t="n">
        <v>45890</v>
      </c>
      <c r="D372" t="inlineStr">
        <is>
          <t>VÄSTERNORRLANDS LÄN</t>
        </is>
      </c>
      <c r="E372" t="inlineStr">
        <is>
          <t>ÅNGE</t>
        </is>
      </c>
      <c r="G372" t="n">
        <v>4.4</v>
      </c>
      <c r="H372" t="n">
        <v>0</v>
      </c>
      <c r="I372" t="n">
        <v>0</v>
      </c>
      <c r="J372" t="n">
        <v>0</v>
      </c>
      <c r="K372" t="n">
        <v>0</v>
      </c>
      <c r="L372" t="n">
        <v>0</v>
      </c>
      <c r="M372" t="n">
        <v>0</v>
      </c>
      <c r="N372" t="n">
        <v>0</v>
      </c>
      <c r="O372" t="n">
        <v>0</v>
      </c>
      <c r="P372" t="n">
        <v>0</v>
      </c>
      <c r="Q372" t="n">
        <v>0</v>
      </c>
      <c r="R372" s="2" t="inlineStr"/>
    </row>
    <row r="373" ht="15" customHeight="1">
      <c r="A373" t="inlineStr">
        <is>
          <t>A 17963-2022</t>
        </is>
      </c>
      <c r="B373" s="1" t="n">
        <v>44683</v>
      </c>
      <c r="C373" s="1" t="n">
        <v>45890</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61909-2021</t>
        </is>
      </c>
      <c r="B374" s="1" t="n">
        <v>44502.35310185186</v>
      </c>
      <c r="C374" s="1" t="n">
        <v>45890</v>
      </c>
      <c r="D374" t="inlineStr">
        <is>
          <t>VÄSTERNORRLANDS LÄN</t>
        </is>
      </c>
      <c r="E374" t="inlineStr">
        <is>
          <t>ÅNGE</t>
        </is>
      </c>
      <c r="G374" t="n">
        <v>2.4</v>
      </c>
      <c r="H374" t="n">
        <v>0</v>
      </c>
      <c r="I374" t="n">
        <v>0</v>
      </c>
      <c r="J374" t="n">
        <v>0</v>
      </c>
      <c r="K374" t="n">
        <v>0</v>
      </c>
      <c r="L374" t="n">
        <v>0</v>
      </c>
      <c r="M374" t="n">
        <v>0</v>
      </c>
      <c r="N374" t="n">
        <v>0</v>
      </c>
      <c r="O374" t="n">
        <v>0</v>
      </c>
      <c r="P374" t="n">
        <v>0</v>
      </c>
      <c r="Q374" t="n">
        <v>0</v>
      </c>
      <c r="R374" s="2" t="inlineStr"/>
    </row>
    <row r="375" ht="15" customHeight="1">
      <c r="A375" t="inlineStr">
        <is>
          <t>A 25020-2021</t>
        </is>
      </c>
      <c r="B375" s="1" t="n">
        <v>44341</v>
      </c>
      <c r="C375" s="1" t="n">
        <v>45890</v>
      </c>
      <c r="D375" t="inlineStr">
        <is>
          <t>VÄSTERNORRLANDS LÄN</t>
        </is>
      </c>
      <c r="E375" t="inlineStr">
        <is>
          <t>ÅNGE</t>
        </is>
      </c>
      <c r="G375" t="n">
        <v>3.4</v>
      </c>
      <c r="H375" t="n">
        <v>0</v>
      </c>
      <c r="I375" t="n">
        <v>0</v>
      </c>
      <c r="J375" t="n">
        <v>0</v>
      </c>
      <c r="K375" t="n">
        <v>0</v>
      </c>
      <c r="L375" t="n">
        <v>0</v>
      </c>
      <c r="M375" t="n">
        <v>0</v>
      </c>
      <c r="N375" t="n">
        <v>0</v>
      </c>
      <c r="O375" t="n">
        <v>0</v>
      </c>
      <c r="P375" t="n">
        <v>0</v>
      </c>
      <c r="Q375" t="n">
        <v>0</v>
      </c>
      <c r="R375" s="2" t="inlineStr"/>
    </row>
    <row r="376" ht="15" customHeight="1">
      <c r="A376" t="inlineStr">
        <is>
          <t>A 35496-2022</t>
        </is>
      </c>
      <c r="B376" s="1" t="n">
        <v>44798</v>
      </c>
      <c r="C376" s="1" t="n">
        <v>45890</v>
      </c>
      <c r="D376" t="inlineStr">
        <is>
          <t>VÄSTERNORRLANDS LÄN</t>
        </is>
      </c>
      <c r="E376" t="inlineStr">
        <is>
          <t>ÅNGE</t>
        </is>
      </c>
      <c r="F376" t="inlineStr">
        <is>
          <t>SCA</t>
        </is>
      </c>
      <c r="G376" t="n">
        <v>15.6</v>
      </c>
      <c r="H376" t="n">
        <v>0</v>
      </c>
      <c r="I376" t="n">
        <v>0</v>
      </c>
      <c r="J376" t="n">
        <v>0</v>
      </c>
      <c r="K376" t="n">
        <v>0</v>
      </c>
      <c r="L376" t="n">
        <v>0</v>
      </c>
      <c r="M376" t="n">
        <v>0</v>
      </c>
      <c r="N376" t="n">
        <v>0</v>
      </c>
      <c r="O376" t="n">
        <v>0</v>
      </c>
      <c r="P376" t="n">
        <v>0</v>
      </c>
      <c r="Q376" t="n">
        <v>0</v>
      </c>
      <c r="R376" s="2" t="inlineStr"/>
    </row>
    <row r="377" ht="15" customHeight="1">
      <c r="A377" t="inlineStr">
        <is>
          <t>A 53664-2022</t>
        </is>
      </c>
      <c r="B377" s="1" t="n">
        <v>44879.95643518519</v>
      </c>
      <c r="C377" s="1" t="n">
        <v>45890</v>
      </c>
      <c r="D377" t="inlineStr">
        <is>
          <t>VÄSTERNORRLANDS LÄN</t>
        </is>
      </c>
      <c r="E377" t="inlineStr">
        <is>
          <t>ÅNGE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56907-2021</t>
        </is>
      </c>
      <c r="B378" s="1" t="n">
        <v>44481.93837962963</v>
      </c>
      <c r="C378" s="1" t="n">
        <v>45890</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45890</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12800-2021</t>
        </is>
      </c>
      <c r="B380" s="1" t="n">
        <v>44270.92056712963</v>
      </c>
      <c r="C380" s="1" t="n">
        <v>45890</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2327-2021</t>
        </is>
      </c>
      <c r="B381" s="1" t="n">
        <v>44214</v>
      </c>
      <c r="C381" s="1" t="n">
        <v>45890</v>
      </c>
      <c r="D381" t="inlineStr">
        <is>
          <t>VÄSTERNORRLANDS LÄN</t>
        </is>
      </c>
      <c r="E381" t="inlineStr">
        <is>
          <t>ÅNGE</t>
        </is>
      </c>
      <c r="G381" t="n">
        <v>6.7</v>
      </c>
      <c r="H381" t="n">
        <v>0</v>
      </c>
      <c r="I381" t="n">
        <v>0</v>
      </c>
      <c r="J381" t="n">
        <v>0</v>
      </c>
      <c r="K381" t="n">
        <v>0</v>
      </c>
      <c r="L381" t="n">
        <v>0</v>
      </c>
      <c r="M381" t="n">
        <v>0</v>
      </c>
      <c r="N381" t="n">
        <v>0</v>
      </c>
      <c r="O381" t="n">
        <v>0</v>
      </c>
      <c r="P381" t="n">
        <v>0</v>
      </c>
      <c r="Q381" t="n">
        <v>0</v>
      </c>
      <c r="R381" s="2" t="inlineStr"/>
    </row>
    <row r="382" ht="15" customHeight="1">
      <c r="A382" t="inlineStr">
        <is>
          <t>A 54469-2020</t>
        </is>
      </c>
      <c r="B382" s="1" t="n">
        <v>44126</v>
      </c>
      <c r="C382" s="1" t="n">
        <v>45890</v>
      </c>
      <c r="D382" t="inlineStr">
        <is>
          <t>VÄSTERNORRLANDS LÄN</t>
        </is>
      </c>
      <c r="E382" t="inlineStr">
        <is>
          <t>ÅNGE</t>
        </is>
      </c>
      <c r="G382" t="n">
        <v>4</v>
      </c>
      <c r="H382" t="n">
        <v>0</v>
      </c>
      <c r="I382" t="n">
        <v>0</v>
      </c>
      <c r="J382" t="n">
        <v>0</v>
      </c>
      <c r="K382" t="n">
        <v>0</v>
      </c>
      <c r="L382" t="n">
        <v>0</v>
      </c>
      <c r="M382" t="n">
        <v>0</v>
      </c>
      <c r="N382" t="n">
        <v>0</v>
      </c>
      <c r="O382" t="n">
        <v>0</v>
      </c>
      <c r="P382" t="n">
        <v>0</v>
      </c>
      <c r="Q382" t="n">
        <v>0</v>
      </c>
      <c r="R382" s="2" t="inlineStr"/>
    </row>
    <row r="383" ht="15" customHeight="1">
      <c r="A383" t="inlineStr">
        <is>
          <t>A 10342-2021</t>
        </is>
      </c>
      <c r="B383" s="1" t="n">
        <v>44257</v>
      </c>
      <c r="C383" s="1" t="n">
        <v>45890</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14587-2021</t>
        </is>
      </c>
      <c r="B384" s="1" t="n">
        <v>44279.91825231481</v>
      </c>
      <c r="C384" s="1" t="n">
        <v>45890</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53010-2022</t>
        </is>
      </c>
      <c r="B385" s="1" t="n">
        <v>44875</v>
      </c>
      <c r="C385" s="1" t="n">
        <v>45890</v>
      </c>
      <c r="D385" t="inlineStr">
        <is>
          <t>VÄSTERNORRLANDS LÄN</t>
        </is>
      </c>
      <c r="E385" t="inlineStr">
        <is>
          <t>ÅNGE</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52504-2020</t>
        </is>
      </c>
      <c r="B386" s="1" t="n">
        <v>44113</v>
      </c>
      <c r="C386" s="1" t="n">
        <v>45890</v>
      </c>
      <c r="D386" t="inlineStr">
        <is>
          <t>VÄSTERNORRLANDS LÄN</t>
        </is>
      </c>
      <c r="E386" t="inlineStr">
        <is>
          <t>ÅNGE</t>
        </is>
      </c>
      <c r="G386" t="n">
        <v>1.8</v>
      </c>
      <c r="H386" t="n">
        <v>0</v>
      </c>
      <c r="I386" t="n">
        <v>0</v>
      </c>
      <c r="J386" t="n">
        <v>0</v>
      </c>
      <c r="K386" t="n">
        <v>0</v>
      </c>
      <c r="L386" t="n">
        <v>0</v>
      </c>
      <c r="M386" t="n">
        <v>0</v>
      </c>
      <c r="N386" t="n">
        <v>0</v>
      </c>
      <c r="O386" t="n">
        <v>0</v>
      </c>
      <c r="P386" t="n">
        <v>0</v>
      </c>
      <c r="Q386" t="n">
        <v>0</v>
      </c>
      <c r="R386" s="2" t="inlineStr"/>
    </row>
    <row r="387" ht="15" customHeight="1">
      <c r="A387" t="inlineStr">
        <is>
          <t>A 18422-2021</t>
        </is>
      </c>
      <c r="B387" s="1" t="n">
        <v>44305</v>
      </c>
      <c r="C387" s="1" t="n">
        <v>45890</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46824-2021</t>
        </is>
      </c>
      <c r="B388" s="1" t="n">
        <v>44446.34271990741</v>
      </c>
      <c r="C388" s="1" t="n">
        <v>45890</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21642-2021</t>
        </is>
      </c>
      <c r="B389" s="1" t="n">
        <v>44321.94239583334</v>
      </c>
      <c r="C389" s="1" t="n">
        <v>45890</v>
      </c>
      <c r="D389" t="inlineStr">
        <is>
          <t>VÄSTERNORRLANDS LÄN</t>
        </is>
      </c>
      <c r="E389" t="inlineStr">
        <is>
          <t>ÅNGE</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42296-2020</t>
        </is>
      </c>
      <c r="B390" s="1" t="n">
        <v>44076.45442129629</v>
      </c>
      <c r="C390" s="1" t="n">
        <v>45890</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20807-2021</t>
        </is>
      </c>
      <c r="B391" s="1" t="n">
        <v>44316.93965277778</v>
      </c>
      <c r="C391" s="1" t="n">
        <v>45890</v>
      </c>
      <c r="D391" t="inlineStr">
        <is>
          <t>VÄSTERNORRLANDS LÄN</t>
        </is>
      </c>
      <c r="E391" t="inlineStr">
        <is>
          <t>ÅNGE</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46053-2021</t>
        </is>
      </c>
      <c r="B392" s="1" t="n">
        <v>44441</v>
      </c>
      <c r="C392" s="1" t="n">
        <v>45890</v>
      </c>
      <c r="D392" t="inlineStr">
        <is>
          <t>VÄSTERNORRLANDS LÄN</t>
        </is>
      </c>
      <c r="E392" t="inlineStr">
        <is>
          <t>ÅNGE</t>
        </is>
      </c>
      <c r="F392" t="inlineStr">
        <is>
          <t>SCA</t>
        </is>
      </c>
      <c r="G392" t="n">
        <v>0.2</v>
      </c>
      <c r="H392" t="n">
        <v>0</v>
      </c>
      <c r="I392" t="n">
        <v>0</v>
      </c>
      <c r="J392" t="n">
        <v>0</v>
      </c>
      <c r="K392" t="n">
        <v>0</v>
      </c>
      <c r="L392" t="n">
        <v>0</v>
      </c>
      <c r="M392" t="n">
        <v>0</v>
      </c>
      <c r="N392" t="n">
        <v>0</v>
      </c>
      <c r="O392" t="n">
        <v>0</v>
      </c>
      <c r="P392" t="n">
        <v>0</v>
      </c>
      <c r="Q392" t="n">
        <v>0</v>
      </c>
      <c r="R392" s="2" t="inlineStr"/>
    </row>
    <row r="393" ht="15" customHeight="1">
      <c r="A393" t="inlineStr">
        <is>
          <t>A 45145-2021</t>
        </is>
      </c>
      <c r="B393" s="1" t="n">
        <v>44439</v>
      </c>
      <c r="C393" s="1" t="n">
        <v>45890</v>
      </c>
      <c r="D393" t="inlineStr">
        <is>
          <t>VÄSTERNORRLANDS LÄN</t>
        </is>
      </c>
      <c r="E393" t="inlineStr">
        <is>
          <t>ÅNGE</t>
        </is>
      </c>
      <c r="F393" t="inlineStr">
        <is>
          <t>Holmen skog AB</t>
        </is>
      </c>
      <c r="G393" t="n">
        <v>1.1</v>
      </c>
      <c r="H393" t="n">
        <v>0</v>
      </c>
      <c r="I393" t="n">
        <v>0</v>
      </c>
      <c r="J393" t="n">
        <v>0</v>
      </c>
      <c r="K393" t="n">
        <v>0</v>
      </c>
      <c r="L393" t="n">
        <v>0</v>
      </c>
      <c r="M393" t="n">
        <v>0</v>
      </c>
      <c r="N393" t="n">
        <v>0</v>
      </c>
      <c r="O393" t="n">
        <v>0</v>
      </c>
      <c r="P393" t="n">
        <v>0</v>
      </c>
      <c r="Q393" t="n">
        <v>0</v>
      </c>
      <c r="R393" s="2" t="inlineStr"/>
    </row>
    <row r="394" ht="15" customHeight="1">
      <c r="A394" t="inlineStr">
        <is>
          <t>A 71302-2021</t>
        </is>
      </c>
      <c r="B394" s="1" t="n">
        <v>44539.63871527778</v>
      </c>
      <c r="C394" s="1" t="n">
        <v>45890</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15368-2024</t>
        </is>
      </c>
      <c r="B395" s="1" t="n">
        <v>45400.92284722222</v>
      </c>
      <c r="C395" s="1" t="n">
        <v>45890</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6680-2024</t>
        </is>
      </c>
      <c r="B396" s="1" t="n">
        <v>45341</v>
      </c>
      <c r="C396" s="1" t="n">
        <v>45890</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15799-2025</t>
        </is>
      </c>
      <c r="B397" s="1" t="n">
        <v>45748.64768518518</v>
      </c>
      <c r="C397" s="1" t="n">
        <v>45890</v>
      </c>
      <c r="D397" t="inlineStr">
        <is>
          <t>VÄSTERNORRLANDS LÄN</t>
        </is>
      </c>
      <c r="E397" t="inlineStr">
        <is>
          <t>ÅNGE</t>
        </is>
      </c>
      <c r="G397" t="n">
        <v>2.3</v>
      </c>
      <c r="H397" t="n">
        <v>0</v>
      </c>
      <c r="I397" t="n">
        <v>0</v>
      </c>
      <c r="J397" t="n">
        <v>0</v>
      </c>
      <c r="K397" t="n">
        <v>0</v>
      </c>
      <c r="L397" t="n">
        <v>0</v>
      </c>
      <c r="M397" t="n">
        <v>0</v>
      </c>
      <c r="N397" t="n">
        <v>0</v>
      </c>
      <c r="O397" t="n">
        <v>0</v>
      </c>
      <c r="P397" t="n">
        <v>0</v>
      </c>
      <c r="Q397" t="n">
        <v>0</v>
      </c>
      <c r="R397" s="2" t="inlineStr"/>
    </row>
    <row r="398" ht="15" customHeight="1">
      <c r="A398" t="inlineStr">
        <is>
          <t>A 6685-2024</t>
        </is>
      </c>
      <c r="B398" s="1" t="n">
        <v>45341</v>
      </c>
      <c r="C398" s="1" t="n">
        <v>45890</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6689-2024</t>
        </is>
      </c>
      <c r="B399" s="1" t="n">
        <v>45341.9259375</v>
      </c>
      <c r="C399" s="1" t="n">
        <v>45890</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51542-2022</t>
        </is>
      </c>
      <c r="B400" s="1" t="n">
        <v>44869.94850694444</v>
      </c>
      <c r="C400" s="1" t="n">
        <v>45890</v>
      </c>
      <c r="D400" t="inlineStr">
        <is>
          <t>VÄSTERNORRLANDS LÄN</t>
        </is>
      </c>
      <c r="E400" t="inlineStr">
        <is>
          <t>ÅNGE</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6732-2022</t>
        </is>
      </c>
      <c r="B401" s="1" t="n">
        <v>44602.46072916667</v>
      </c>
      <c r="C401" s="1" t="n">
        <v>45890</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16303-2025</t>
        </is>
      </c>
      <c r="B402" s="1" t="n">
        <v>45751.3462037037</v>
      </c>
      <c r="C402" s="1" t="n">
        <v>45890</v>
      </c>
      <c r="D402" t="inlineStr">
        <is>
          <t>VÄSTERNORRLANDS LÄN</t>
        </is>
      </c>
      <c r="E402" t="inlineStr">
        <is>
          <t>ÅNGE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55905-2021</t>
        </is>
      </c>
      <c r="B403" s="1" t="n">
        <v>44476.91895833334</v>
      </c>
      <c r="C403" s="1" t="n">
        <v>45890</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17580-2022</t>
        </is>
      </c>
      <c r="B404" s="1" t="n">
        <v>44679</v>
      </c>
      <c r="C404" s="1" t="n">
        <v>45890</v>
      </c>
      <c r="D404" t="inlineStr">
        <is>
          <t>VÄSTERNORRLANDS LÄN</t>
        </is>
      </c>
      <c r="E404" t="inlineStr">
        <is>
          <t>ÅNGE</t>
        </is>
      </c>
      <c r="G404" t="n">
        <v>0.6</v>
      </c>
      <c r="H404" t="n">
        <v>0</v>
      </c>
      <c r="I404" t="n">
        <v>0</v>
      </c>
      <c r="J404" t="n">
        <v>0</v>
      </c>
      <c r="K404" t="n">
        <v>0</v>
      </c>
      <c r="L404" t="n">
        <v>0</v>
      </c>
      <c r="M404" t="n">
        <v>0</v>
      </c>
      <c r="N404" t="n">
        <v>0</v>
      </c>
      <c r="O404" t="n">
        <v>0</v>
      </c>
      <c r="P404" t="n">
        <v>0</v>
      </c>
      <c r="Q404" t="n">
        <v>0</v>
      </c>
      <c r="R404" s="2" t="inlineStr"/>
    </row>
    <row r="405" ht="15" customHeight="1">
      <c r="A405" t="inlineStr">
        <is>
          <t>A 45631-2021</t>
        </is>
      </c>
      <c r="B405" s="1" t="n">
        <v>44440.98045138889</v>
      </c>
      <c r="C405" s="1" t="n">
        <v>45890</v>
      </c>
      <c r="D405" t="inlineStr">
        <is>
          <t>VÄSTERNORRLANDS LÄN</t>
        </is>
      </c>
      <c r="E405" t="inlineStr">
        <is>
          <t>ÅNGE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5552-2022</t>
        </is>
      </c>
      <c r="B406" s="1" t="n">
        <v>44595.62966435185</v>
      </c>
      <c r="C406" s="1" t="n">
        <v>45890</v>
      </c>
      <c r="D406" t="inlineStr">
        <is>
          <t>VÄSTERNORRLANDS LÄN</t>
        </is>
      </c>
      <c r="E406" t="inlineStr">
        <is>
          <t>ÅNGE</t>
        </is>
      </c>
      <c r="G406" t="n">
        <v>0.6</v>
      </c>
      <c r="H406" t="n">
        <v>0</v>
      </c>
      <c r="I406" t="n">
        <v>0</v>
      </c>
      <c r="J406" t="n">
        <v>0</v>
      </c>
      <c r="K406" t="n">
        <v>0</v>
      </c>
      <c r="L406" t="n">
        <v>0</v>
      </c>
      <c r="M406" t="n">
        <v>0</v>
      </c>
      <c r="N406" t="n">
        <v>0</v>
      </c>
      <c r="O406" t="n">
        <v>0</v>
      </c>
      <c r="P406" t="n">
        <v>0</v>
      </c>
      <c r="Q406" t="n">
        <v>0</v>
      </c>
      <c r="R406" s="2" t="inlineStr"/>
    </row>
    <row r="407" ht="15" customHeight="1">
      <c r="A407" t="inlineStr">
        <is>
          <t>A 35026-2022</t>
        </is>
      </c>
      <c r="B407" s="1" t="n">
        <v>44796</v>
      </c>
      <c r="C407" s="1" t="n">
        <v>45890</v>
      </c>
      <c r="D407" t="inlineStr">
        <is>
          <t>VÄSTERNORRLANDS LÄN</t>
        </is>
      </c>
      <c r="E407" t="inlineStr">
        <is>
          <t>ÅNGE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10878-2024</t>
        </is>
      </c>
      <c r="B408" s="1" t="n">
        <v>45370</v>
      </c>
      <c r="C408" s="1" t="n">
        <v>45890</v>
      </c>
      <c r="D408" t="inlineStr">
        <is>
          <t>VÄSTERNORRLANDS LÄN</t>
        </is>
      </c>
      <c r="E408" t="inlineStr">
        <is>
          <t>ÅNGE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37382-2021</t>
        </is>
      </c>
      <c r="B409" s="1" t="n">
        <v>44397</v>
      </c>
      <c r="C409" s="1" t="n">
        <v>45890</v>
      </c>
      <c r="D409" t="inlineStr">
        <is>
          <t>VÄSTERNORRLANDS LÄN</t>
        </is>
      </c>
      <c r="E409" t="inlineStr">
        <is>
          <t>ÅNGE</t>
        </is>
      </c>
      <c r="G409" t="n">
        <v>2.4</v>
      </c>
      <c r="H409" t="n">
        <v>0</v>
      </c>
      <c r="I409" t="n">
        <v>0</v>
      </c>
      <c r="J409" t="n">
        <v>0</v>
      </c>
      <c r="K409" t="n">
        <v>0</v>
      </c>
      <c r="L409" t="n">
        <v>0</v>
      </c>
      <c r="M409" t="n">
        <v>0</v>
      </c>
      <c r="N409" t="n">
        <v>0</v>
      </c>
      <c r="O409" t="n">
        <v>0</v>
      </c>
      <c r="P409" t="n">
        <v>0</v>
      </c>
      <c r="Q409" t="n">
        <v>0</v>
      </c>
      <c r="R409" s="2" t="inlineStr"/>
    </row>
    <row r="410" ht="15" customHeight="1">
      <c r="A410" t="inlineStr">
        <is>
          <t>A 32535-2022</t>
        </is>
      </c>
      <c r="B410" s="1" t="n">
        <v>44783.29856481482</v>
      </c>
      <c r="C410" s="1" t="n">
        <v>45890</v>
      </c>
      <c r="D410" t="inlineStr">
        <is>
          <t>VÄSTERNORRLANDS LÄN</t>
        </is>
      </c>
      <c r="E410" t="inlineStr">
        <is>
          <t>ÅNGE</t>
        </is>
      </c>
      <c r="G410" t="n">
        <v>10.3</v>
      </c>
      <c r="H410" t="n">
        <v>0</v>
      </c>
      <c r="I410" t="n">
        <v>0</v>
      </c>
      <c r="J410" t="n">
        <v>0</v>
      </c>
      <c r="K410" t="n">
        <v>0</v>
      </c>
      <c r="L410" t="n">
        <v>0</v>
      </c>
      <c r="M410" t="n">
        <v>0</v>
      </c>
      <c r="N410" t="n">
        <v>0</v>
      </c>
      <c r="O410" t="n">
        <v>0</v>
      </c>
      <c r="P410" t="n">
        <v>0</v>
      </c>
      <c r="Q410" t="n">
        <v>0</v>
      </c>
      <c r="R410" s="2" t="inlineStr"/>
    </row>
    <row r="411" ht="15" customHeight="1">
      <c r="A411" t="inlineStr">
        <is>
          <t>A 39594-2022</t>
        </is>
      </c>
      <c r="B411" s="1" t="n">
        <v>44818</v>
      </c>
      <c r="C411" s="1" t="n">
        <v>45890</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10313-2022</t>
        </is>
      </c>
      <c r="B412" s="1" t="n">
        <v>44622</v>
      </c>
      <c r="C412" s="1" t="n">
        <v>45890</v>
      </c>
      <c r="D412" t="inlineStr">
        <is>
          <t>VÄSTERNORRLANDS LÄN</t>
        </is>
      </c>
      <c r="E412" t="inlineStr">
        <is>
          <t>ÅNGE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4006-2022</t>
        </is>
      </c>
      <c r="B413" s="1" t="n">
        <v>44587.92019675926</v>
      </c>
      <c r="C413" s="1" t="n">
        <v>45890</v>
      </c>
      <c r="D413" t="inlineStr">
        <is>
          <t>VÄSTERNORRLANDS LÄN</t>
        </is>
      </c>
      <c r="E413" t="inlineStr">
        <is>
          <t>ÅNGE</t>
        </is>
      </c>
      <c r="G413" t="n">
        <v>5</v>
      </c>
      <c r="H413" t="n">
        <v>0</v>
      </c>
      <c r="I413" t="n">
        <v>0</v>
      </c>
      <c r="J413" t="n">
        <v>0</v>
      </c>
      <c r="K413" t="n">
        <v>0</v>
      </c>
      <c r="L413" t="n">
        <v>0</v>
      </c>
      <c r="M413" t="n">
        <v>0</v>
      </c>
      <c r="N413" t="n">
        <v>0</v>
      </c>
      <c r="O413" t="n">
        <v>0</v>
      </c>
      <c r="P413" t="n">
        <v>0</v>
      </c>
      <c r="Q413" t="n">
        <v>0</v>
      </c>
      <c r="R413" s="2" t="inlineStr"/>
    </row>
    <row r="414" ht="15" customHeight="1">
      <c r="A414" t="inlineStr">
        <is>
          <t>A 61781-2023</t>
        </is>
      </c>
      <c r="B414" s="1" t="n">
        <v>45265.95708333333</v>
      </c>
      <c r="C414" s="1" t="n">
        <v>45890</v>
      </c>
      <c r="D414" t="inlineStr">
        <is>
          <t>VÄSTERNORRLANDS LÄN</t>
        </is>
      </c>
      <c r="E414" t="inlineStr">
        <is>
          <t>ÅNGE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4186-2025</t>
        </is>
      </c>
      <c r="B415" s="1" t="n">
        <v>45685.44827546296</v>
      </c>
      <c r="C415" s="1" t="n">
        <v>45890</v>
      </c>
      <c r="D415" t="inlineStr">
        <is>
          <t>VÄSTERNORRLANDS LÄN</t>
        </is>
      </c>
      <c r="E415" t="inlineStr">
        <is>
          <t>ÅNGE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52232-2020</t>
        </is>
      </c>
      <c r="B416" s="1" t="n">
        <v>44111</v>
      </c>
      <c r="C416" s="1" t="n">
        <v>45890</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11529-2023</t>
        </is>
      </c>
      <c r="B417" s="1" t="n">
        <v>44993</v>
      </c>
      <c r="C417" s="1" t="n">
        <v>45890</v>
      </c>
      <c r="D417" t="inlineStr">
        <is>
          <t>VÄSTERNORRLANDS LÄN</t>
        </is>
      </c>
      <c r="E417" t="inlineStr">
        <is>
          <t>ÅNGE</t>
        </is>
      </c>
      <c r="G417" t="n">
        <v>8.9</v>
      </c>
      <c r="H417" t="n">
        <v>0</v>
      </c>
      <c r="I417" t="n">
        <v>0</v>
      </c>
      <c r="J417" t="n">
        <v>0</v>
      </c>
      <c r="K417" t="n">
        <v>0</v>
      </c>
      <c r="L417" t="n">
        <v>0</v>
      </c>
      <c r="M417" t="n">
        <v>0</v>
      </c>
      <c r="N417" t="n">
        <v>0</v>
      </c>
      <c r="O417" t="n">
        <v>0</v>
      </c>
      <c r="P417" t="n">
        <v>0</v>
      </c>
      <c r="Q417" t="n">
        <v>0</v>
      </c>
      <c r="R417" s="2" t="inlineStr"/>
    </row>
    <row r="418" ht="15" customHeight="1">
      <c r="A418" t="inlineStr">
        <is>
          <t>A 37605-2021</t>
        </is>
      </c>
      <c r="B418" s="1" t="n">
        <v>44399</v>
      </c>
      <c r="C418" s="1" t="n">
        <v>45890</v>
      </c>
      <c r="D418" t="inlineStr">
        <is>
          <t>VÄSTERNORRLANDS LÄN</t>
        </is>
      </c>
      <c r="E418" t="inlineStr">
        <is>
          <t>ÅNGE</t>
        </is>
      </c>
      <c r="G418" t="n">
        <v>0.5</v>
      </c>
      <c r="H418" t="n">
        <v>0</v>
      </c>
      <c r="I418" t="n">
        <v>0</v>
      </c>
      <c r="J418" t="n">
        <v>0</v>
      </c>
      <c r="K418" t="n">
        <v>0</v>
      </c>
      <c r="L418" t="n">
        <v>0</v>
      </c>
      <c r="M418" t="n">
        <v>0</v>
      </c>
      <c r="N418" t="n">
        <v>0</v>
      </c>
      <c r="O418" t="n">
        <v>0</v>
      </c>
      <c r="P418" t="n">
        <v>0</v>
      </c>
      <c r="Q418" t="n">
        <v>0</v>
      </c>
      <c r="R418" s="2" t="inlineStr"/>
    </row>
    <row r="419" ht="15" customHeight="1">
      <c r="A419" t="inlineStr">
        <is>
          <t>A 37620-2021</t>
        </is>
      </c>
      <c r="B419" s="1" t="n">
        <v>44399</v>
      </c>
      <c r="C419" s="1" t="n">
        <v>45890</v>
      </c>
      <c r="D419" t="inlineStr">
        <is>
          <t>VÄSTERNORRLANDS LÄN</t>
        </is>
      </c>
      <c r="E419" t="inlineStr">
        <is>
          <t>ÅNGE</t>
        </is>
      </c>
      <c r="G419" t="n">
        <v>4.3</v>
      </c>
      <c r="H419" t="n">
        <v>0</v>
      </c>
      <c r="I419" t="n">
        <v>0</v>
      </c>
      <c r="J419" t="n">
        <v>0</v>
      </c>
      <c r="K419" t="n">
        <v>0</v>
      </c>
      <c r="L419" t="n">
        <v>0</v>
      </c>
      <c r="M419" t="n">
        <v>0</v>
      </c>
      <c r="N419" t="n">
        <v>0</v>
      </c>
      <c r="O419" t="n">
        <v>0</v>
      </c>
      <c r="P419" t="n">
        <v>0</v>
      </c>
      <c r="Q419" t="n">
        <v>0</v>
      </c>
      <c r="R419" s="2" t="inlineStr"/>
    </row>
    <row r="420" ht="15" customHeight="1">
      <c r="A420" t="inlineStr">
        <is>
          <t>A 17744-2025</t>
        </is>
      </c>
      <c r="B420" s="1" t="n">
        <v>45758</v>
      </c>
      <c r="C420" s="1" t="n">
        <v>45890</v>
      </c>
      <c r="D420" t="inlineStr">
        <is>
          <t>VÄSTERNORRLANDS LÄN</t>
        </is>
      </c>
      <c r="E420" t="inlineStr">
        <is>
          <t>ÅNGE</t>
        </is>
      </c>
      <c r="G420" t="n">
        <v>5</v>
      </c>
      <c r="H420" t="n">
        <v>0</v>
      </c>
      <c r="I420" t="n">
        <v>0</v>
      </c>
      <c r="J420" t="n">
        <v>0</v>
      </c>
      <c r="K420" t="n">
        <v>0</v>
      </c>
      <c r="L420" t="n">
        <v>0</v>
      </c>
      <c r="M420" t="n">
        <v>0</v>
      </c>
      <c r="N420" t="n">
        <v>0</v>
      </c>
      <c r="O420" t="n">
        <v>0</v>
      </c>
      <c r="P420" t="n">
        <v>0</v>
      </c>
      <c r="Q420" t="n">
        <v>0</v>
      </c>
      <c r="R420" s="2" t="inlineStr"/>
    </row>
    <row r="421" ht="15" customHeight="1">
      <c r="A421" t="inlineStr">
        <is>
          <t>A 17009-2023</t>
        </is>
      </c>
      <c r="B421" s="1" t="n">
        <v>45033.9455787037</v>
      </c>
      <c r="C421" s="1" t="n">
        <v>45890</v>
      </c>
      <c r="D421" t="inlineStr">
        <is>
          <t>VÄSTERNORRLANDS LÄN</t>
        </is>
      </c>
      <c r="E421" t="inlineStr">
        <is>
          <t>ÅNGE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45890</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63170-2023</t>
        </is>
      </c>
      <c r="B423" s="1" t="n">
        <v>45273.57087962963</v>
      </c>
      <c r="C423" s="1" t="n">
        <v>45890</v>
      </c>
      <c r="D423" t="inlineStr">
        <is>
          <t>VÄSTERNORRLANDS LÄN</t>
        </is>
      </c>
      <c r="E423" t="inlineStr">
        <is>
          <t>ÅNGE</t>
        </is>
      </c>
      <c r="F423" t="inlineStr">
        <is>
          <t>Holmen skog AB</t>
        </is>
      </c>
      <c r="G423" t="n">
        <v>4.1</v>
      </c>
      <c r="H423" t="n">
        <v>0</v>
      </c>
      <c r="I423" t="n">
        <v>0</v>
      </c>
      <c r="J423" t="n">
        <v>0</v>
      </c>
      <c r="K423" t="n">
        <v>0</v>
      </c>
      <c r="L423" t="n">
        <v>0</v>
      </c>
      <c r="M423" t="n">
        <v>0</v>
      </c>
      <c r="N423" t="n">
        <v>0</v>
      </c>
      <c r="O423" t="n">
        <v>0</v>
      </c>
      <c r="P423" t="n">
        <v>0</v>
      </c>
      <c r="Q423" t="n">
        <v>0</v>
      </c>
      <c r="R423" s="2" t="inlineStr"/>
    </row>
    <row r="424" ht="15" customHeight="1">
      <c r="A424" t="inlineStr">
        <is>
          <t>A 39991-2023</t>
        </is>
      </c>
      <c r="B424" s="1" t="n">
        <v>45168.6043287037</v>
      </c>
      <c r="C424" s="1" t="n">
        <v>45890</v>
      </c>
      <c r="D424" t="inlineStr">
        <is>
          <t>VÄSTERNORRLANDS LÄN</t>
        </is>
      </c>
      <c r="E424" t="inlineStr">
        <is>
          <t>ÅNGE</t>
        </is>
      </c>
      <c r="G424" t="n">
        <v>10.2</v>
      </c>
      <c r="H424" t="n">
        <v>0</v>
      </c>
      <c r="I424" t="n">
        <v>0</v>
      </c>
      <c r="J424" t="n">
        <v>0</v>
      </c>
      <c r="K424" t="n">
        <v>0</v>
      </c>
      <c r="L424" t="n">
        <v>0</v>
      </c>
      <c r="M424" t="n">
        <v>0</v>
      </c>
      <c r="N424" t="n">
        <v>0</v>
      </c>
      <c r="O424" t="n">
        <v>0</v>
      </c>
      <c r="P424" t="n">
        <v>0</v>
      </c>
      <c r="Q424" t="n">
        <v>0</v>
      </c>
      <c r="R424" s="2" t="inlineStr"/>
    </row>
    <row r="425" ht="15" customHeight="1">
      <c r="A425" t="inlineStr">
        <is>
          <t>A 1775-2023</t>
        </is>
      </c>
      <c r="B425" s="1" t="n">
        <v>44938</v>
      </c>
      <c r="C425" s="1" t="n">
        <v>45890</v>
      </c>
      <c r="D425" t="inlineStr">
        <is>
          <t>VÄSTERNORRLANDS LÄN</t>
        </is>
      </c>
      <c r="E425" t="inlineStr">
        <is>
          <t>ÅNGE</t>
        </is>
      </c>
      <c r="G425" t="n">
        <v>1.4</v>
      </c>
      <c r="H425" t="n">
        <v>0</v>
      </c>
      <c r="I425" t="n">
        <v>0</v>
      </c>
      <c r="J425" t="n">
        <v>0</v>
      </c>
      <c r="K425" t="n">
        <v>0</v>
      </c>
      <c r="L425" t="n">
        <v>0</v>
      </c>
      <c r="M425" t="n">
        <v>0</v>
      </c>
      <c r="N425" t="n">
        <v>0</v>
      </c>
      <c r="O425" t="n">
        <v>0</v>
      </c>
      <c r="P425" t="n">
        <v>0</v>
      </c>
      <c r="Q425" t="n">
        <v>0</v>
      </c>
      <c r="R425" s="2" t="inlineStr"/>
    </row>
    <row r="426" ht="15" customHeight="1">
      <c r="A426" t="inlineStr">
        <is>
          <t>A 51059-2024</t>
        </is>
      </c>
      <c r="B426" s="1" t="n">
        <v>45603</v>
      </c>
      <c r="C426" s="1" t="n">
        <v>45890</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31182-2024</t>
        </is>
      </c>
      <c r="B427" s="1" t="n">
        <v>45503</v>
      </c>
      <c r="C427" s="1" t="n">
        <v>45890</v>
      </c>
      <c r="D427" t="inlineStr">
        <is>
          <t>VÄSTERNORRLANDS LÄN</t>
        </is>
      </c>
      <c r="E427" t="inlineStr">
        <is>
          <t>ÅNGE</t>
        </is>
      </c>
      <c r="G427" t="n">
        <v>8.6</v>
      </c>
      <c r="H427" t="n">
        <v>0</v>
      </c>
      <c r="I427" t="n">
        <v>0</v>
      </c>
      <c r="J427" t="n">
        <v>0</v>
      </c>
      <c r="K427" t="n">
        <v>0</v>
      </c>
      <c r="L427" t="n">
        <v>0</v>
      </c>
      <c r="M427" t="n">
        <v>0</v>
      </c>
      <c r="N427" t="n">
        <v>0</v>
      </c>
      <c r="O427" t="n">
        <v>0</v>
      </c>
      <c r="P427" t="n">
        <v>0</v>
      </c>
      <c r="Q427" t="n">
        <v>0</v>
      </c>
      <c r="R427" s="2" t="inlineStr"/>
    </row>
    <row r="428" ht="15" customHeight="1">
      <c r="A428" t="inlineStr">
        <is>
          <t>A 24324-2022</t>
        </is>
      </c>
      <c r="B428" s="1" t="n">
        <v>44725.945</v>
      </c>
      <c r="C428" s="1" t="n">
        <v>45890</v>
      </c>
      <c r="D428" t="inlineStr">
        <is>
          <t>VÄSTERNORRLANDS LÄN</t>
        </is>
      </c>
      <c r="E428" t="inlineStr">
        <is>
          <t>ÅNGE</t>
        </is>
      </c>
      <c r="G428" t="n">
        <v>1</v>
      </c>
      <c r="H428" t="n">
        <v>0</v>
      </c>
      <c r="I428" t="n">
        <v>0</v>
      </c>
      <c r="J428" t="n">
        <v>0</v>
      </c>
      <c r="K428" t="n">
        <v>0</v>
      </c>
      <c r="L428" t="n">
        <v>0</v>
      </c>
      <c r="M428" t="n">
        <v>0</v>
      </c>
      <c r="N428" t="n">
        <v>0</v>
      </c>
      <c r="O428" t="n">
        <v>0</v>
      </c>
      <c r="P428" t="n">
        <v>0</v>
      </c>
      <c r="Q428" t="n">
        <v>0</v>
      </c>
      <c r="R428" s="2" t="inlineStr"/>
    </row>
    <row r="429" ht="15" customHeight="1">
      <c r="A429" t="inlineStr">
        <is>
          <t>A 24325-2022</t>
        </is>
      </c>
      <c r="B429" s="1" t="n">
        <v>44725.94506944445</v>
      </c>
      <c r="C429" s="1" t="n">
        <v>45890</v>
      </c>
      <c r="D429" t="inlineStr">
        <is>
          <t>VÄSTERNORRLANDS LÄN</t>
        </is>
      </c>
      <c r="E429" t="inlineStr">
        <is>
          <t>ÅNGE</t>
        </is>
      </c>
      <c r="G429" t="n">
        <v>1.6</v>
      </c>
      <c r="H429" t="n">
        <v>0</v>
      </c>
      <c r="I429" t="n">
        <v>0</v>
      </c>
      <c r="J429" t="n">
        <v>0</v>
      </c>
      <c r="K429" t="n">
        <v>0</v>
      </c>
      <c r="L429" t="n">
        <v>0</v>
      </c>
      <c r="M429" t="n">
        <v>0</v>
      </c>
      <c r="N429" t="n">
        <v>0</v>
      </c>
      <c r="O429" t="n">
        <v>0</v>
      </c>
      <c r="P429" t="n">
        <v>0</v>
      </c>
      <c r="Q429" t="n">
        <v>0</v>
      </c>
      <c r="R429" s="2" t="inlineStr"/>
    </row>
    <row r="430" ht="15" customHeight="1">
      <c r="A430" t="inlineStr">
        <is>
          <t>A 47792-2022</t>
        </is>
      </c>
      <c r="B430" s="1" t="n">
        <v>44854.95238425926</v>
      </c>
      <c r="C430" s="1" t="n">
        <v>45890</v>
      </c>
      <c r="D430" t="inlineStr">
        <is>
          <t>VÄSTERNORRLANDS LÄN</t>
        </is>
      </c>
      <c r="E430" t="inlineStr">
        <is>
          <t>ÅNGE</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56956-2022</t>
        </is>
      </c>
      <c r="B431" s="1" t="n">
        <v>44894</v>
      </c>
      <c r="C431" s="1" t="n">
        <v>45890</v>
      </c>
      <c r="D431" t="inlineStr">
        <is>
          <t>VÄSTERNORRLANDS LÄN</t>
        </is>
      </c>
      <c r="E431" t="inlineStr">
        <is>
          <t>ÅNGE</t>
        </is>
      </c>
      <c r="G431" t="n">
        <v>1.1</v>
      </c>
      <c r="H431" t="n">
        <v>0</v>
      </c>
      <c r="I431" t="n">
        <v>0</v>
      </c>
      <c r="J431" t="n">
        <v>0</v>
      </c>
      <c r="K431" t="n">
        <v>0</v>
      </c>
      <c r="L431" t="n">
        <v>0</v>
      </c>
      <c r="M431" t="n">
        <v>0</v>
      </c>
      <c r="N431" t="n">
        <v>0</v>
      </c>
      <c r="O431" t="n">
        <v>0</v>
      </c>
      <c r="P431" t="n">
        <v>0</v>
      </c>
      <c r="Q431" t="n">
        <v>0</v>
      </c>
      <c r="R431" s="2" t="inlineStr"/>
    </row>
    <row r="432" ht="15" customHeight="1">
      <c r="A432" t="inlineStr">
        <is>
          <t>A 19829-2025</t>
        </is>
      </c>
      <c r="B432" s="1" t="n">
        <v>45771.46944444445</v>
      </c>
      <c r="C432" s="1" t="n">
        <v>45890</v>
      </c>
      <c r="D432" t="inlineStr">
        <is>
          <t>VÄSTERNORRLANDS LÄN</t>
        </is>
      </c>
      <c r="E432" t="inlineStr">
        <is>
          <t>ÅNGE</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16362-2023</t>
        </is>
      </c>
      <c r="B433" s="1" t="n">
        <v>45028.9250462963</v>
      </c>
      <c r="C433" s="1" t="n">
        <v>45890</v>
      </c>
      <c r="D433" t="inlineStr">
        <is>
          <t>VÄSTERNORRLANDS LÄN</t>
        </is>
      </c>
      <c r="E433" t="inlineStr">
        <is>
          <t>ÅNGE</t>
        </is>
      </c>
      <c r="G433" t="n">
        <v>4.8</v>
      </c>
      <c r="H433" t="n">
        <v>0</v>
      </c>
      <c r="I433" t="n">
        <v>0</v>
      </c>
      <c r="J433" t="n">
        <v>0</v>
      </c>
      <c r="K433" t="n">
        <v>0</v>
      </c>
      <c r="L433" t="n">
        <v>0</v>
      </c>
      <c r="M433" t="n">
        <v>0</v>
      </c>
      <c r="N433" t="n">
        <v>0</v>
      </c>
      <c r="O433" t="n">
        <v>0</v>
      </c>
      <c r="P433" t="n">
        <v>0</v>
      </c>
      <c r="Q433" t="n">
        <v>0</v>
      </c>
      <c r="R433" s="2" t="inlineStr"/>
    </row>
    <row r="434" ht="15" customHeight="1">
      <c r="A434" t="inlineStr">
        <is>
          <t>A 1975-2025</t>
        </is>
      </c>
      <c r="B434" s="1" t="n">
        <v>45672.39332175926</v>
      </c>
      <c r="C434" s="1" t="n">
        <v>45890</v>
      </c>
      <c r="D434" t="inlineStr">
        <is>
          <t>VÄSTERNORRLANDS LÄN</t>
        </is>
      </c>
      <c r="E434" t="inlineStr">
        <is>
          <t>ÅNGE</t>
        </is>
      </c>
      <c r="G434" t="n">
        <v>6.2</v>
      </c>
      <c r="H434" t="n">
        <v>0</v>
      </c>
      <c r="I434" t="n">
        <v>0</v>
      </c>
      <c r="J434" t="n">
        <v>0</v>
      </c>
      <c r="K434" t="n">
        <v>0</v>
      </c>
      <c r="L434" t="n">
        <v>0</v>
      </c>
      <c r="M434" t="n">
        <v>0</v>
      </c>
      <c r="N434" t="n">
        <v>0</v>
      </c>
      <c r="O434" t="n">
        <v>0</v>
      </c>
      <c r="P434" t="n">
        <v>0</v>
      </c>
      <c r="Q434" t="n">
        <v>0</v>
      </c>
      <c r="R434" s="2" t="inlineStr"/>
    </row>
    <row r="435" ht="15" customHeight="1">
      <c r="A435" t="inlineStr">
        <is>
          <t>A 15404-2025</t>
        </is>
      </c>
      <c r="B435" s="1" t="n">
        <v>45747.44665509259</v>
      </c>
      <c r="C435" s="1" t="n">
        <v>45890</v>
      </c>
      <c r="D435" t="inlineStr">
        <is>
          <t>VÄSTERNORRLANDS LÄN</t>
        </is>
      </c>
      <c r="E435" t="inlineStr">
        <is>
          <t>ÅNGE</t>
        </is>
      </c>
      <c r="G435" t="n">
        <v>11.8</v>
      </c>
      <c r="H435" t="n">
        <v>0</v>
      </c>
      <c r="I435" t="n">
        <v>0</v>
      </c>
      <c r="J435" t="n">
        <v>0</v>
      </c>
      <c r="K435" t="n">
        <v>0</v>
      </c>
      <c r="L435" t="n">
        <v>0</v>
      </c>
      <c r="M435" t="n">
        <v>0</v>
      </c>
      <c r="N435" t="n">
        <v>0</v>
      </c>
      <c r="O435" t="n">
        <v>0</v>
      </c>
      <c r="P435" t="n">
        <v>0</v>
      </c>
      <c r="Q435" t="n">
        <v>0</v>
      </c>
      <c r="R435" s="2" t="inlineStr"/>
    </row>
    <row r="436" ht="15" customHeight="1">
      <c r="A436" t="inlineStr">
        <is>
          <t>A 38099-2024</t>
        </is>
      </c>
      <c r="B436" s="1" t="n">
        <v>45545.35920138889</v>
      </c>
      <c r="C436" s="1" t="n">
        <v>45890</v>
      </c>
      <c r="D436" t="inlineStr">
        <is>
          <t>VÄSTERNORRLANDS LÄN</t>
        </is>
      </c>
      <c r="E436" t="inlineStr">
        <is>
          <t>ÅNGE</t>
        </is>
      </c>
      <c r="F436" t="inlineStr">
        <is>
          <t>Holmen skog AB</t>
        </is>
      </c>
      <c r="G436" t="n">
        <v>3.7</v>
      </c>
      <c r="H436" t="n">
        <v>0</v>
      </c>
      <c r="I436" t="n">
        <v>0</v>
      </c>
      <c r="J436" t="n">
        <v>0</v>
      </c>
      <c r="K436" t="n">
        <v>0</v>
      </c>
      <c r="L436" t="n">
        <v>0</v>
      </c>
      <c r="M436" t="n">
        <v>0</v>
      </c>
      <c r="N436" t="n">
        <v>0</v>
      </c>
      <c r="O436" t="n">
        <v>0</v>
      </c>
      <c r="P436" t="n">
        <v>0</v>
      </c>
      <c r="Q436" t="n">
        <v>0</v>
      </c>
      <c r="R436" s="2" t="inlineStr"/>
    </row>
    <row r="437" ht="15" customHeight="1">
      <c r="A437" t="inlineStr">
        <is>
          <t>A 39973-2023</t>
        </is>
      </c>
      <c r="B437" s="1" t="n">
        <v>45168.5858912037</v>
      </c>
      <c r="C437" s="1" t="n">
        <v>45890</v>
      </c>
      <c r="D437" t="inlineStr">
        <is>
          <t>VÄSTERNORRLANDS LÄN</t>
        </is>
      </c>
      <c r="E437" t="inlineStr">
        <is>
          <t>ÅNGE</t>
        </is>
      </c>
      <c r="G437" t="n">
        <v>3.6</v>
      </c>
      <c r="H437" t="n">
        <v>0</v>
      </c>
      <c r="I437" t="n">
        <v>0</v>
      </c>
      <c r="J437" t="n">
        <v>0</v>
      </c>
      <c r="K437" t="n">
        <v>0</v>
      </c>
      <c r="L437" t="n">
        <v>0</v>
      </c>
      <c r="M437" t="n">
        <v>0</v>
      </c>
      <c r="N437" t="n">
        <v>0</v>
      </c>
      <c r="O437" t="n">
        <v>0</v>
      </c>
      <c r="P437" t="n">
        <v>0</v>
      </c>
      <c r="Q437" t="n">
        <v>0</v>
      </c>
      <c r="R437" s="2" t="inlineStr"/>
    </row>
    <row r="438" ht="15" customHeight="1">
      <c r="A438" t="inlineStr">
        <is>
          <t>A 33747-2024</t>
        </is>
      </c>
      <c r="B438" s="1" t="n">
        <v>45520</v>
      </c>
      <c r="C438" s="1" t="n">
        <v>45890</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34851-2023</t>
        </is>
      </c>
      <c r="B439" s="1" t="n">
        <v>45141</v>
      </c>
      <c r="C439" s="1" t="n">
        <v>45890</v>
      </c>
      <c r="D439" t="inlineStr">
        <is>
          <t>VÄSTERNORRLANDS LÄN</t>
        </is>
      </c>
      <c r="E439" t="inlineStr">
        <is>
          <t>ÅNGE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113-2025</t>
        </is>
      </c>
      <c r="B440" s="1" t="n">
        <v>45659.5106712963</v>
      </c>
      <c r="C440" s="1" t="n">
        <v>45890</v>
      </c>
      <c r="D440" t="inlineStr">
        <is>
          <t>VÄSTERNORRLANDS LÄN</t>
        </is>
      </c>
      <c r="E440" t="inlineStr">
        <is>
          <t>ÅNGE</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27321-2024</t>
        </is>
      </c>
      <c r="B441" s="1" t="n">
        <v>45471</v>
      </c>
      <c r="C441" s="1" t="n">
        <v>45890</v>
      </c>
      <c r="D441" t="inlineStr">
        <is>
          <t>VÄSTERNORRLANDS LÄN</t>
        </is>
      </c>
      <c r="E441" t="inlineStr">
        <is>
          <t>ÅNGE</t>
        </is>
      </c>
      <c r="F441" t="inlineStr">
        <is>
          <t>SCA</t>
        </is>
      </c>
      <c r="G441" t="n">
        <v>14.1</v>
      </c>
      <c r="H441" t="n">
        <v>0</v>
      </c>
      <c r="I441" t="n">
        <v>0</v>
      </c>
      <c r="J441" t="n">
        <v>0</v>
      </c>
      <c r="K441" t="n">
        <v>0</v>
      </c>
      <c r="L441" t="n">
        <v>0</v>
      </c>
      <c r="M441" t="n">
        <v>0</v>
      </c>
      <c r="N441" t="n">
        <v>0</v>
      </c>
      <c r="O441" t="n">
        <v>0</v>
      </c>
      <c r="P441" t="n">
        <v>0</v>
      </c>
      <c r="Q441" t="n">
        <v>0</v>
      </c>
      <c r="R441" s="2" t="inlineStr"/>
    </row>
    <row r="442" ht="15" customHeight="1">
      <c r="A442" t="inlineStr">
        <is>
          <t>A 27002-2023</t>
        </is>
      </c>
      <c r="B442" s="1" t="n">
        <v>45093</v>
      </c>
      <c r="C442" s="1" t="n">
        <v>45890</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29667-2024</t>
        </is>
      </c>
      <c r="B443" s="1" t="n">
        <v>45484.94041666666</v>
      </c>
      <c r="C443" s="1" t="n">
        <v>45890</v>
      </c>
      <c r="D443" t="inlineStr">
        <is>
          <t>VÄSTERNORRLANDS LÄN</t>
        </is>
      </c>
      <c r="E443" t="inlineStr">
        <is>
          <t>ÅNGE</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8418-2023</t>
        </is>
      </c>
      <c r="B444" s="1" t="n">
        <v>44971</v>
      </c>
      <c r="C444" s="1" t="n">
        <v>45890</v>
      </c>
      <c r="D444" t="inlineStr">
        <is>
          <t>VÄSTERNORRLANDS LÄN</t>
        </is>
      </c>
      <c r="E444" t="inlineStr">
        <is>
          <t>ÅNGE</t>
        </is>
      </c>
      <c r="G444" t="n">
        <v>8.6</v>
      </c>
      <c r="H444" t="n">
        <v>0</v>
      </c>
      <c r="I444" t="n">
        <v>0</v>
      </c>
      <c r="J444" t="n">
        <v>0</v>
      </c>
      <c r="K444" t="n">
        <v>0</v>
      </c>
      <c r="L444" t="n">
        <v>0</v>
      </c>
      <c r="M444" t="n">
        <v>0</v>
      </c>
      <c r="N444" t="n">
        <v>0</v>
      </c>
      <c r="O444" t="n">
        <v>0</v>
      </c>
      <c r="P444" t="n">
        <v>0</v>
      </c>
      <c r="Q444" t="n">
        <v>0</v>
      </c>
      <c r="R444" s="2" t="inlineStr"/>
    </row>
    <row r="445" ht="15" customHeight="1">
      <c r="A445" t="inlineStr">
        <is>
          <t>A 15866-2025</t>
        </is>
      </c>
      <c r="B445" s="1" t="n">
        <v>45749.36032407408</v>
      </c>
      <c r="C445" s="1" t="n">
        <v>45890</v>
      </c>
      <c r="D445" t="inlineStr">
        <is>
          <t>VÄSTERNORRLANDS LÄN</t>
        </is>
      </c>
      <c r="E445" t="inlineStr">
        <is>
          <t>ÅNGE</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1403-2025</t>
        </is>
      </c>
      <c r="B446" s="1" t="n">
        <v>45667.70548611111</v>
      </c>
      <c r="C446" s="1" t="n">
        <v>45890</v>
      </c>
      <c r="D446" t="inlineStr">
        <is>
          <t>VÄSTERNORRLANDS LÄN</t>
        </is>
      </c>
      <c r="E446" t="inlineStr">
        <is>
          <t>ÅNGE</t>
        </is>
      </c>
      <c r="G446" t="n">
        <v>1.3</v>
      </c>
      <c r="H446" t="n">
        <v>0</v>
      </c>
      <c r="I446" t="n">
        <v>0</v>
      </c>
      <c r="J446" t="n">
        <v>0</v>
      </c>
      <c r="K446" t="n">
        <v>0</v>
      </c>
      <c r="L446" t="n">
        <v>0</v>
      </c>
      <c r="M446" t="n">
        <v>0</v>
      </c>
      <c r="N446" t="n">
        <v>0</v>
      </c>
      <c r="O446" t="n">
        <v>0</v>
      </c>
      <c r="P446" t="n">
        <v>0</v>
      </c>
      <c r="Q446" t="n">
        <v>0</v>
      </c>
      <c r="R446" s="2" t="inlineStr"/>
    </row>
    <row r="447" ht="15" customHeight="1">
      <c r="A447" t="inlineStr">
        <is>
          <t>A 54946-2021</t>
        </is>
      </c>
      <c r="B447" s="1" t="n">
        <v>44474.46466435185</v>
      </c>
      <c r="C447" s="1" t="n">
        <v>45890</v>
      </c>
      <c r="D447" t="inlineStr">
        <is>
          <t>VÄSTERNORRLANDS LÄN</t>
        </is>
      </c>
      <c r="E447" t="inlineStr">
        <is>
          <t>ÅNGE</t>
        </is>
      </c>
      <c r="G447" t="n">
        <v>5.4</v>
      </c>
      <c r="H447" t="n">
        <v>0</v>
      </c>
      <c r="I447" t="n">
        <v>0</v>
      </c>
      <c r="J447" t="n">
        <v>0</v>
      </c>
      <c r="K447" t="n">
        <v>0</v>
      </c>
      <c r="L447" t="n">
        <v>0</v>
      </c>
      <c r="M447" t="n">
        <v>0</v>
      </c>
      <c r="N447" t="n">
        <v>0</v>
      </c>
      <c r="O447" t="n">
        <v>0</v>
      </c>
      <c r="P447" t="n">
        <v>0</v>
      </c>
      <c r="Q447" t="n">
        <v>0</v>
      </c>
      <c r="R447" s="2" t="inlineStr"/>
    </row>
    <row r="448" ht="15" customHeight="1">
      <c r="A448" t="inlineStr">
        <is>
          <t>A 38960-2021</t>
        </is>
      </c>
      <c r="B448" s="1" t="n">
        <v>44411</v>
      </c>
      <c r="C448" s="1" t="n">
        <v>45890</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20024-2023</t>
        </is>
      </c>
      <c r="B449" s="1" t="n">
        <v>45051</v>
      </c>
      <c r="C449" s="1" t="n">
        <v>45890</v>
      </c>
      <c r="D449" t="inlineStr">
        <is>
          <t>VÄSTERNORRLANDS LÄN</t>
        </is>
      </c>
      <c r="E449" t="inlineStr">
        <is>
          <t>ÅNGE</t>
        </is>
      </c>
      <c r="G449" t="n">
        <v>0.8</v>
      </c>
      <c r="H449" t="n">
        <v>0</v>
      </c>
      <c r="I449" t="n">
        <v>0</v>
      </c>
      <c r="J449" t="n">
        <v>0</v>
      </c>
      <c r="K449" t="n">
        <v>0</v>
      </c>
      <c r="L449" t="n">
        <v>0</v>
      </c>
      <c r="M449" t="n">
        <v>0</v>
      </c>
      <c r="N449" t="n">
        <v>0</v>
      </c>
      <c r="O449" t="n">
        <v>0</v>
      </c>
      <c r="P449" t="n">
        <v>0</v>
      </c>
      <c r="Q449" t="n">
        <v>0</v>
      </c>
      <c r="R449" s="2" t="inlineStr"/>
    </row>
    <row r="450" ht="15" customHeight="1">
      <c r="A450" t="inlineStr">
        <is>
          <t>A 60365-2024</t>
        </is>
      </c>
      <c r="B450" s="1" t="n">
        <v>45643</v>
      </c>
      <c r="C450" s="1" t="n">
        <v>45890</v>
      </c>
      <c r="D450" t="inlineStr">
        <is>
          <t>VÄSTERNORRLANDS LÄN</t>
        </is>
      </c>
      <c r="E450" t="inlineStr">
        <is>
          <t>ÅNGE</t>
        </is>
      </c>
      <c r="G450" t="n">
        <v>1</v>
      </c>
      <c r="H450" t="n">
        <v>0</v>
      </c>
      <c r="I450" t="n">
        <v>0</v>
      </c>
      <c r="J450" t="n">
        <v>0</v>
      </c>
      <c r="K450" t="n">
        <v>0</v>
      </c>
      <c r="L450" t="n">
        <v>0</v>
      </c>
      <c r="M450" t="n">
        <v>0</v>
      </c>
      <c r="N450" t="n">
        <v>0</v>
      </c>
      <c r="O450" t="n">
        <v>0</v>
      </c>
      <c r="P450" t="n">
        <v>0</v>
      </c>
      <c r="Q450" t="n">
        <v>0</v>
      </c>
      <c r="R450" s="2" t="inlineStr"/>
    </row>
    <row r="451" ht="15" customHeight="1">
      <c r="A451" t="inlineStr">
        <is>
          <t>A 54982-2023</t>
        </is>
      </c>
      <c r="B451" s="1" t="n">
        <v>45236</v>
      </c>
      <c r="C451" s="1" t="n">
        <v>45890</v>
      </c>
      <c r="D451" t="inlineStr">
        <is>
          <t>VÄSTERNORRLANDS LÄN</t>
        </is>
      </c>
      <c r="E451" t="inlineStr">
        <is>
          <t>ÅNGE</t>
        </is>
      </c>
      <c r="F451" t="inlineStr">
        <is>
          <t>SCA</t>
        </is>
      </c>
      <c r="G451" t="n">
        <v>26.2</v>
      </c>
      <c r="H451" t="n">
        <v>0</v>
      </c>
      <c r="I451" t="n">
        <v>0</v>
      </c>
      <c r="J451" t="n">
        <v>0</v>
      </c>
      <c r="K451" t="n">
        <v>0</v>
      </c>
      <c r="L451" t="n">
        <v>0</v>
      </c>
      <c r="M451" t="n">
        <v>0</v>
      </c>
      <c r="N451" t="n">
        <v>0</v>
      </c>
      <c r="O451" t="n">
        <v>0</v>
      </c>
      <c r="P451" t="n">
        <v>0</v>
      </c>
      <c r="Q451" t="n">
        <v>0</v>
      </c>
      <c r="R451" s="2" t="inlineStr"/>
    </row>
    <row r="452" ht="15" customHeight="1">
      <c r="A452" t="inlineStr">
        <is>
          <t>A 20393-2022</t>
        </is>
      </c>
      <c r="B452" s="1" t="n">
        <v>44699</v>
      </c>
      <c r="C452" s="1" t="n">
        <v>45890</v>
      </c>
      <c r="D452" t="inlineStr">
        <is>
          <t>VÄSTERNORRLANDS LÄN</t>
        </is>
      </c>
      <c r="E452" t="inlineStr">
        <is>
          <t>ÅNGE</t>
        </is>
      </c>
      <c r="G452" t="n">
        <v>6.9</v>
      </c>
      <c r="H452" t="n">
        <v>0</v>
      </c>
      <c r="I452" t="n">
        <v>0</v>
      </c>
      <c r="J452" t="n">
        <v>0</v>
      </c>
      <c r="K452" t="n">
        <v>0</v>
      </c>
      <c r="L452" t="n">
        <v>0</v>
      </c>
      <c r="M452" t="n">
        <v>0</v>
      </c>
      <c r="N452" t="n">
        <v>0</v>
      </c>
      <c r="O452" t="n">
        <v>0</v>
      </c>
      <c r="P452" t="n">
        <v>0</v>
      </c>
      <c r="Q452" t="n">
        <v>0</v>
      </c>
      <c r="R452" s="2" t="inlineStr"/>
    </row>
    <row r="453" ht="15" customHeight="1">
      <c r="A453" t="inlineStr">
        <is>
          <t>A 25320-2023</t>
        </is>
      </c>
      <c r="B453" s="1" t="n">
        <v>45086.93929398148</v>
      </c>
      <c r="C453" s="1" t="n">
        <v>45890</v>
      </c>
      <c r="D453" t="inlineStr">
        <is>
          <t>VÄSTERNORRLANDS LÄN</t>
        </is>
      </c>
      <c r="E453" t="inlineStr">
        <is>
          <t>ÅNGE</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59626-2022</t>
        </is>
      </c>
      <c r="B454" s="1" t="n">
        <v>44907.92354166666</v>
      </c>
      <c r="C454" s="1" t="n">
        <v>45890</v>
      </c>
      <c r="D454" t="inlineStr">
        <is>
          <t>VÄSTERNORRLANDS LÄN</t>
        </is>
      </c>
      <c r="E454" t="inlineStr">
        <is>
          <t>ÅNGE</t>
        </is>
      </c>
      <c r="G454" t="n">
        <v>1.4</v>
      </c>
      <c r="H454" t="n">
        <v>0</v>
      </c>
      <c r="I454" t="n">
        <v>0</v>
      </c>
      <c r="J454" t="n">
        <v>0</v>
      </c>
      <c r="K454" t="n">
        <v>0</v>
      </c>
      <c r="L454" t="n">
        <v>0</v>
      </c>
      <c r="M454" t="n">
        <v>0</v>
      </c>
      <c r="N454" t="n">
        <v>0</v>
      </c>
      <c r="O454" t="n">
        <v>0</v>
      </c>
      <c r="P454" t="n">
        <v>0</v>
      </c>
      <c r="Q454" t="n">
        <v>0</v>
      </c>
      <c r="R454" s="2" t="inlineStr"/>
    </row>
    <row r="455" ht="15" customHeight="1">
      <c r="A455" t="inlineStr">
        <is>
          <t>A 4873-2025</t>
        </is>
      </c>
      <c r="B455" s="1" t="n">
        <v>45688.67633101852</v>
      </c>
      <c r="C455" s="1" t="n">
        <v>45890</v>
      </c>
      <c r="D455" t="inlineStr">
        <is>
          <t>VÄSTERNORRLANDS LÄN</t>
        </is>
      </c>
      <c r="E455" t="inlineStr">
        <is>
          <t>ÅNGE</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45027-2023</t>
        </is>
      </c>
      <c r="B456" s="1" t="n">
        <v>45190.96303240741</v>
      </c>
      <c r="C456" s="1" t="n">
        <v>45890</v>
      </c>
      <c r="D456" t="inlineStr">
        <is>
          <t>VÄSTERNORRLANDS LÄN</t>
        </is>
      </c>
      <c r="E456" t="inlineStr">
        <is>
          <t>ÅNGE</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45939-2023</t>
        </is>
      </c>
      <c r="B457" s="1" t="n">
        <v>45195.94578703704</v>
      </c>
      <c r="C457" s="1" t="n">
        <v>45890</v>
      </c>
      <c r="D457" t="inlineStr">
        <is>
          <t>VÄSTERNORRLANDS LÄN</t>
        </is>
      </c>
      <c r="E457" t="inlineStr">
        <is>
          <t>ÅNGE</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34727-2024</t>
        </is>
      </c>
      <c r="B458" s="1" t="n">
        <v>45526.5734375</v>
      </c>
      <c r="C458" s="1" t="n">
        <v>45890</v>
      </c>
      <c r="D458" t="inlineStr">
        <is>
          <t>VÄSTERNORRLANDS LÄN</t>
        </is>
      </c>
      <c r="E458" t="inlineStr">
        <is>
          <t>ÅNGE</t>
        </is>
      </c>
      <c r="G458" t="n">
        <v>3.6</v>
      </c>
      <c r="H458" t="n">
        <v>0</v>
      </c>
      <c r="I458" t="n">
        <v>0</v>
      </c>
      <c r="J458" t="n">
        <v>0</v>
      </c>
      <c r="K458" t="n">
        <v>0</v>
      </c>
      <c r="L458" t="n">
        <v>0</v>
      </c>
      <c r="M458" t="n">
        <v>0</v>
      </c>
      <c r="N458" t="n">
        <v>0</v>
      </c>
      <c r="O458" t="n">
        <v>0</v>
      </c>
      <c r="P458" t="n">
        <v>0</v>
      </c>
      <c r="Q458" t="n">
        <v>0</v>
      </c>
      <c r="R458" s="2" t="inlineStr"/>
    </row>
    <row r="459" ht="15" customHeight="1">
      <c r="A459" t="inlineStr">
        <is>
          <t>A 3-2025</t>
        </is>
      </c>
      <c r="B459" s="1" t="n">
        <v>45658.49819444444</v>
      </c>
      <c r="C459" s="1" t="n">
        <v>45890</v>
      </c>
      <c r="D459" t="inlineStr">
        <is>
          <t>VÄSTERNORRLANDS LÄN</t>
        </is>
      </c>
      <c r="E459" t="inlineStr">
        <is>
          <t>ÅNGE</t>
        </is>
      </c>
      <c r="G459" t="n">
        <v>2</v>
      </c>
      <c r="H459" t="n">
        <v>0</v>
      </c>
      <c r="I459" t="n">
        <v>0</v>
      </c>
      <c r="J459" t="n">
        <v>0</v>
      </c>
      <c r="K459" t="n">
        <v>0</v>
      </c>
      <c r="L459" t="n">
        <v>0</v>
      </c>
      <c r="M459" t="n">
        <v>0</v>
      </c>
      <c r="N459" t="n">
        <v>0</v>
      </c>
      <c r="O459" t="n">
        <v>0</v>
      </c>
      <c r="P459" t="n">
        <v>0</v>
      </c>
      <c r="Q459" t="n">
        <v>0</v>
      </c>
      <c r="R459" s="2" t="inlineStr"/>
    </row>
    <row r="460" ht="15" customHeight="1">
      <c r="A460" t="inlineStr">
        <is>
          <t>A 3834-2025</t>
        </is>
      </c>
      <c r="B460" s="1" t="n">
        <v>45682.34517361111</v>
      </c>
      <c r="C460" s="1" t="n">
        <v>45890</v>
      </c>
      <c r="D460" t="inlineStr">
        <is>
          <t>VÄSTERNORRLANDS LÄN</t>
        </is>
      </c>
      <c r="E460" t="inlineStr">
        <is>
          <t>ÅNGE</t>
        </is>
      </c>
      <c r="G460" t="n">
        <v>6.4</v>
      </c>
      <c r="H460" t="n">
        <v>0</v>
      </c>
      <c r="I460" t="n">
        <v>0</v>
      </c>
      <c r="J460" t="n">
        <v>0</v>
      </c>
      <c r="K460" t="n">
        <v>0</v>
      </c>
      <c r="L460" t="n">
        <v>0</v>
      </c>
      <c r="M460" t="n">
        <v>0</v>
      </c>
      <c r="N460" t="n">
        <v>0</v>
      </c>
      <c r="O460" t="n">
        <v>0</v>
      </c>
      <c r="P460" t="n">
        <v>0</v>
      </c>
      <c r="Q460" t="n">
        <v>0</v>
      </c>
      <c r="R460" s="2" t="inlineStr"/>
    </row>
    <row r="461" ht="15" customHeight="1">
      <c r="A461" t="inlineStr">
        <is>
          <t>A 34852-2023</t>
        </is>
      </c>
      <c r="B461" s="1" t="n">
        <v>45141</v>
      </c>
      <c r="C461" s="1" t="n">
        <v>45890</v>
      </c>
      <c r="D461" t="inlineStr">
        <is>
          <t>VÄSTERNORRLANDS LÄN</t>
        </is>
      </c>
      <c r="E461" t="inlineStr">
        <is>
          <t>ÅNGE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51311-2022</t>
        </is>
      </c>
      <c r="B462" s="1" t="n">
        <v>44868</v>
      </c>
      <c r="C462" s="1" t="n">
        <v>45890</v>
      </c>
      <c r="D462" t="inlineStr">
        <is>
          <t>VÄSTERNORRLANDS LÄN</t>
        </is>
      </c>
      <c r="E462" t="inlineStr">
        <is>
          <t>ÅNGE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15032-2025</t>
        </is>
      </c>
      <c r="B463" s="1" t="n">
        <v>45743.67748842593</v>
      </c>
      <c r="C463" s="1" t="n">
        <v>45890</v>
      </c>
      <c r="D463" t="inlineStr">
        <is>
          <t>VÄSTERNORRLANDS LÄN</t>
        </is>
      </c>
      <c r="E463" t="inlineStr">
        <is>
          <t>ÅNGE</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63216-2023</t>
        </is>
      </c>
      <c r="B464" s="1" t="n">
        <v>45273.62721064815</v>
      </c>
      <c r="C464" s="1" t="n">
        <v>45890</v>
      </c>
      <c r="D464" t="inlineStr">
        <is>
          <t>VÄSTERNORRLANDS LÄN</t>
        </is>
      </c>
      <c r="E464" t="inlineStr">
        <is>
          <t>ÅNGE</t>
        </is>
      </c>
      <c r="F464" t="inlineStr">
        <is>
          <t>Holmen skog AB</t>
        </is>
      </c>
      <c r="G464" t="n">
        <v>2.9</v>
      </c>
      <c r="H464" t="n">
        <v>0</v>
      </c>
      <c r="I464" t="n">
        <v>0</v>
      </c>
      <c r="J464" t="n">
        <v>0</v>
      </c>
      <c r="K464" t="n">
        <v>0</v>
      </c>
      <c r="L464" t="n">
        <v>0</v>
      </c>
      <c r="M464" t="n">
        <v>0</v>
      </c>
      <c r="N464" t="n">
        <v>0</v>
      </c>
      <c r="O464" t="n">
        <v>0</v>
      </c>
      <c r="P464" t="n">
        <v>0</v>
      </c>
      <c r="Q464" t="n">
        <v>0</v>
      </c>
      <c r="R464" s="2" t="inlineStr"/>
    </row>
    <row r="465" ht="15" customHeight="1">
      <c r="A465" t="inlineStr">
        <is>
          <t>A 44415-2021</t>
        </is>
      </c>
      <c r="B465" s="1" t="n">
        <v>44435</v>
      </c>
      <c r="C465" s="1" t="n">
        <v>45890</v>
      </c>
      <c r="D465" t="inlineStr">
        <is>
          <t>VÄSTERNORRLANDS LÄN</t>
        </is>
      </c>
      <c r="E465" t="inlineStr">
        <is>
          <t>ÅNGE</t>
        </is>
      </c>
      <c r="G465" t="n">
        <v>5.2</v>
      </c>
      <c r="H465" t="n">
        <v>0</v>
      </c>
      <c r="I465" t="n">
        <v>0</v>
      </c>
      <c r="J465" t="n">
        <v>0</v>
      </c>
      <c r="K465" t="n">
        <v>0</v>
      </c>
      <c r="L465" t="n">
        <v>0</v>
      </c>
      <c r="M465" t="n">
        <v>0</v>
      </c>
      <c r="N465" t="n">
        <v>0</v>
      </c>
      <c r="O465" t="n">
        <v>0</v>
      </c>
      <c r="P465" t="n">
        <v>0</v>
      </c>
      <c r="Q465" t="n">
        <v>0</v>
      </c>
      <c r="R465" s="2" t="inlineStr"/>
    </row>
    <row r="466" ht="15" customHeight="1">
      <c r="A466" t="inlineStr">
        <is>
          <t>A 24231-2024</t>
        </is>
      </c>
      <c r="B466" s="1" t="n">
        <v>45457.34393518518</v>
      </c>
      <c r="C466" s="1" t="n">
        <v>45890</v>
      </c>
      <c r="D466" t="inlineStr">
        <is>
          <t>VÄSTERNORRLANDS LÄN</t>
        </is>
      </c>
      <c r="E466" t="inlineStr">
        <is>
          <t>ÅNGE</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40788-2024</t>
        </is>
      </c>
      <c r="B467" s="1" t="n">
        <v>45558.50974537037</v>
      </c>
      <c r="C467" s="1" t="n">
        <v>45890</v>
      </c>
      <c r="D467" t="inlineStr">
        <is>
          <t>VÄSTERNORRLANDS LÄN</t>
        </is>
      </c>
      <c r="E467" t="inlineStr">
        <is>
          <t>ÅNGE</t>
        </is>
      </c>
      <c r="G467" t="n">
        <v>4.2</v>
      </c>
      <c r="H467" t="n">
        <v>0</v>
      </c>
      <c r="I467" t="n">
        <v>0</v>
      </c>
      <c r="J467" t="n">
        <v>0</v>
      </c>
      <c r="K467" t="n">
        <v>0</v>
      </c>
      <c r="L467" t="n">
        <v>0</v>
      </c>
      <c r="M467" t="n">
        <v>0</v>
      </c>
      <c r="N467" t="n">
        <v>0</v>
      </c>
      <c r="O467" t="n">
        <v>0</v>
      </c>
      <c r="P467" t="n">
        <v>0</v>
      </c>
      <c r="Q467" t="n">
        <v>0</v>
      </c>
      <c r="R467" s="2" t="inlineStr"/>
    </row>
    <row r="468" ht="15" customHeight="1">
      <c r="A468" t="inlineStr">
        <is>
          <t>A 27306-2024</t>
        </is>
      </c>
      <c r="B468" s="1" t="n">
        <v>45471.94454861111</v>
      </c>
      <c r="C468" s="1" t="n">
        <v>45890</v>
      </c>
      <c r="D468" t="inlineStr">
        <is>
          <t>VÄSTERNORRLANDS LÄN</t>
        </is>
      </c>
      <c r="E468" t="inlineStr">
        <is>
          <t>ÅNGE</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36290-2023</t>
        </is>
      </c>
      <c r="B469" s="1" t="n">
        <v>45152.35467592593</v>
      </c>
      <c r="C469" s="1" t="n">
        <v>45890</v>
      </c>
      <c r="D469" t="inlineStr">
        <is>
          <t>VÄSTERNORRLANDS LÄN</t>
        </is>
      </c>
      <c r="E469" t="inlineStr">
        <is>
          <t>ÅNGE</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59818-2024</t>
        </is>
      </c>
      <c r="B470" s="1" t="n">
        <v>45639.63572916666</v>
      </c>
      <c r="C470" s="1" t="n">
        <v>45890</v>
      </c>
      <c r="D470" t="inlineStr">
        <is>
          <t>VÄSTERNORRLANDS LÄN</t>
        </is>
      </c>
      <c r="E470" t="inlineStr">
        <is>
          <t>ÅNGE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16978-2024</t>
        </is>
      </c>
      <c r="B471" s="1" t="n">
        <v>45412.02416666667</v>
      </c>
      <c r="C471" s="1" t="n">
        <v>45890</v>
      </c>
      <c r="D471" t="inlineStr">
        <is>
          <t>VÄSTERNORRLANDS LÄN</t>
        </is>
      </c>
      <c r="E471" t="inlineStr">
        <is>
          <t>ÅNGE</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57286-2022</t>
        </is>
      </c>
      <c r="B472" s="1" t="n">
        <v>44895.94991898148</v>
      </c>
      <c r="C472" s="1" t="n">
        <v>45890</v>
      </c>
      <c r="D472" t="inlineStr">
        <is>
          <t>VÄSTERNORRLANDS LÄN</t>
        </is>
      </c>
      <c r="E472" t="inlineStr">
        <is>
          <t>ÅNGE</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43916-2023</t>
        </is>
      </c>
      <c r="B473" s="1" t="n">
        <v>45187.72152777778</v>
      </c>
      <c r="C473" s="1" t="n">
        <v>45890</v>
      </c>
      <c r="D473" t="inlineStr">
        <is>
          <t>VÄSTERNORRLANDS LÄN</t>
        </is>
      </c>
      <c r="E473" t="inlineStr">
        <is>
          <t>ÅNGE</t>
        </is>
      </c>
      <c r="G473" t="n">
        <v>3.1</v>
      </c>
      <c r="H473" t="n">
        <v>0</v>
      </c>
      <c r="I473" t="n">
        <v>0</v>
      </c>
      <c r="J473" t="n">
        <v>0</v>
      </c>
      <c r="K473" t="n">
        <v>0</v>
      </c>
      <c r="L473" t="n">
        <v>0</v>
      </c>
      <c r="M473" t="n">
        <v>0</v>
      </c>
      <c r="N473" t="n">
        <v>0</v>
      </c>
      <c r="O473" t="n">
        <v>0</v>
      </c>
      <c r="P473" t="n">
        <v>0</v>
      </c>
      <c r="Q473" t="n">
        <v>0</v>
      </c>
      <c r="R473" s="2" t="inlineStr"/>
    </row>
    <row r="474" ht="15" customHeight="1">
      <c r="A474" t="inlineStr">
        <is>
          <t>A 19065-2025</t>
        </is>
      </c>
      <c r="B474" s="1" t="n">
        <v>45765</v>
      </c>
      <c r="C474" s="1" t="n">
        <v>45890</v>
      </c>
      <c r="D474" t="inlineStr">
        <is>
          <t>VÄSTERNORRLANDS LÄN</t>
        </is>
      </c>
      <c r="E474" t="inlineStr">
        <is>
          <t>ÅNGE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30273-2023</t>
        </is>
      </c>
      <c r="B475" s="1" t="n">
        <v>45099</v>
      </c>
      <c r="C475" s="1" t="n">
        <v>45890</v>
      </c>
      <c r="D475" t="inlineStr">
        <is>
          <t>VÄSTERNORRLANDS LÄN</t>
        </is>
      </c>
      <c r="E475" t="inlineStr">
        <is>
          <t>ÅNGE</t>
        </is>
      </c>
      <c r="G475" t="n">
        <v>3.9</v>
      </c>
      <c r="H475" t="n">
        <v>0</v>
      </c>
      <c r="I475" t="n">
        <v>0</v>
      </c>
      <c r="J475" t="n">
        <v>0</v>
      </c>
      <c r="K475" t="n">
        <v>0</v>
      </c>
      <c r="L475" t="n">
        <v>0</v>
      </c>
      <c r="M475" t="n">
        <v>0</v>
      </c>
      <c r="N475" t="n">
        <v>0</v>
      </c>
      <c r="O475" t="n">
        <v>0</v>
      </c>
      <c r="P475" t="n">
        <v>0</v>
      </c>
      <c r="Q475" t="n">
        <v>0</v>
      </c>
      <c r="R475" s="2" t="inlineStr"/>
    </row>
    <row r="476" ht="15" customHeight="1">
      <c r="A476" t="inlineStr">
        <is>
          <t>A 29048-2021</t>
        </is>
      </c>
      <c r="B476" s="1" t="n">
        <v>44358</v>
      </c>
      <c r="C476" s="1" t="n">
        <v>45890</v>
      </c>
      <c r="D476" t="inlineStr">
        <is>
          <t>VÄSTERNORRLANDS LÄN</t>
        </is>
      </c>
      <c r="E476" t="inlineStr">
        <is>
          <t>ÅNGE</t>
        </is>
      </c>
      <c r="G476" t="n">
        <v>2.5</v>
      </c>
      <c r="H476" t="n">
        <v>0</v>
      </c>
      <c r="I476" t="n">
        <v>0</v>
      </c>
      <c r="J476" t="n">
        <v>0</v>
      </c>
      <c r="K476" t="n">
        <v>0</v>
      </c>
      <c r="L476" t="n">
        <v>0</v>
      </c>
      <c r="M476" t="n">
        <v>0</v>
      </c>
      <c r="N476" t="n">
        <v>0</v>
      </c>
      <c r="O476" t="n">
        <v>0</v>
      </c>
      <c r="P476" t="n">
        <v>0</v>
      </c>
      <c r="Q476" t="n">
        <v>0</v>
      </c>
      <c r="R476" s="2" t="inlineStr"/>
    </row>
    <row r="477" ht="15" customHeight="1">
      <c r="A477" t="inlineStr">
        <is>
          <t>A 14889-2022</t>
        </is>
      </c>
      <c r="B477" s="1" t="n">
        <v>44656</v>
      </c>
      <c r="C477" s="1" t="n">
        <v>45890</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65149-2020</t>
        </is>
      </c>
      <c r="B478" s="1" t="n">
        <v>44172</v>
      </c>
      <c r="C478" s="1" t="n">
        <v>45890</v>
      </c>
      <c r="D478" t="inlineStr">
        <is>
          <t>VÄSTERNORRLANDS LÄN</t>
        </is>
      </c>
      <c r="E478" t="inlineStr">
        <is>
          <t>ÅNGE</t>
        </is>
      </c>
      <c r="G478" t="n">
        <v>9.5</v>
      </c>
      <c r="H478" t="n">
        <v>0</v>
      </c>
      <c r="I478" t="n">
        <v>0</v>
      </c>
      <c r="J478" t="n">
        <v>0</v>
      </c>
      <c r="K478" t="n">
        <v>0</v>
      </c>
      <c r="L478" t="n">
        <v>0</v>
      </c>
      <c r="M478" t="n">
        <v>0</v>
      </c>
      <c r="N478" t="n">
        <v>0</v>
      </c>
      <c r="O478" t="n">
        <v>0</v>
      </c>
      <c r="P478" t="n">
        <v>0</v>
      </c>
      <c r="Q478" t="n">
        <v>0</v>
      </c>
      <c r="R478" s="2" t="inlineStr"/>
    </row>
    <row r="479" ht="15" customHeight="1">
      <c r="A479" t="inlineStr">
        <is>
          <t>A 36492-2023</t>
        </is>
      </c>
      <c r="B479" s="1" t="n">
        <v>45152.92479166666</v>
      </c>
      <c r="C479" s="1" t="n">
        <v>45890</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46332-2023</t>
        </is>
      </c>
      <c r="B480" s="1" t="n">
        <v>45196</v>
      </c>
      <c r="C480" s="1" t="n">
        <v>45890</v>
      </c>
      <c r="D480" t="inlineStr">
        <is>
          <t>VÄSTERNORRLANDS LÄN</t>
        </is>
      </c>
      <c r="E480" t="inlineStr">
        <is>
          <t>ÅNGE</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26943-2024</t>
        </is>
      </c>
      <c r="B481" s="1" t="n">
        <v>45470</v>
      </c>
      <c r="C481" s="1" t="n">
        <v>45890</v>
      </c>
      <c r="D481" t="inlineStr">
        <is>
          <t>VÄSTERNORRLANDS LÄN</t>
        </is>
      </c>
      <c r="E481" t="inlineStr">
        <is>
          <t>ÅNGE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55882-2022</t>
        </is>
      </c>
      <c r="B482" s="1" t="n">
        <v>44888</v>
      </c>
      <c r="C482" s="1" t="n">
        <v>45890</v>
      </c>
      <c r="D482" t="inlineStr">
        <is>
          <t>VÄSTERNORRLANDS LÄN</t>
        </is>
      </c>
      <c r="E482" t="inlineStr">
        <is>
          <t>ÅNGE</t>
        </is>
      </c>
      <c r="G482" t="n">
        <v>2.7</v>
      </c>
      <c r="H482" t="n">
        <v>0</v>
      </c>
      <c r="I482" t="n">
        <v>0</v>
      </c>
      <c r="J482" t="n">
        <v>0</v>
      </c>
      <c r="K482" t="n">
        <v>0</v>
      </c>
      <c r="L482" t="n">
        <v>0</v>
      </c>
      <c r="M482" t="n">
        <v>0</v>
      </c>
      <c r="N482" t="n">
        <v>0</v>
      </c>
      <c r="O482" t="n">
        <v>0</v>
      </c>
      <c r="P482" t="n">
        <v>0</v>
      </c>
      <c r="Q482" t="n">
        <v>0</v>
      </c>
      <c r="R482" s="2" t="inlineStr"/>
    </row>
    <row r="483" ht="15" customHeight="1">
      <c r="A483" t="inlineStr">
        <is>
          <t>A 6686-2024</t>
        </is>
      </c>
      <c r="B483" s="1" t="n">
        <v>45341</v>
      </c>
      <c r="C483" s="1" t="n">
        <v>45890</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63556-2021</t>
        </is>
      </c>
      <c r="B484" s="1" t="n">
        <v>44508.70231481481</v>
      </c>
      <c r="C484" s="1" t="n">
        <v>45890</v>
      </c>
      <c r="D484" t="inlineStr">
        <is>
          <t>VÄSTERNORRLANDS LÄN</t>
        </is>
      </c>
      <c r="E484" t="inlineStr">
        <is>
          <t>ÅNGE</t>
        </is>
      </c>
      <c r="G484" t="n">
        <v>4.2</v>
      </c>
      <c r="H484" t="n">
        <v>0</v>
      </c>
      <c r="I484" t="n">
        <v>0</v>
      </c>
      <c r="J484" t="n">
        <v>0</v>
      </c>
      <c r="K484" t="n">
        <v>0</v>
      </c>
      <c r="L484" t="n">
        <v>0</v>
      </c>
      <c r="M484" t="n">
        <v>0</v>
      </c>
      <c r="N484" t="n">
        <v>0</v>
      </c>
      <c r="O484" t="n">
        <v>0</v>
      </c>
      <c r="P484" t="n">
        <v>0</v>
      </c>
      <c r="Q484" t="n">
        <v>0</v>
      </c>
      <c r="R484" s="2" t="inlineStr"/>
    </row>
    <row r="485" ht="15" customHeight="1">
      <c r="A485" t="inlineStr">
        <is>
          <t>A 17044-2023</t>
        </is>
      </c>
      <c r="B485" s="1" t="n">
        <v>45034</v>
      </c>
      <c r="C485" s="1" t="n">
        <v>45890</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10087-2023</t>
        </is>
      </c>
      <c r="B486" s="1" t="n">
        <v>44985</v>
      </c>
      <c r="C486" s="1" t="n">
        <v>45890</v>
      </c>
      <c r="D486" t="inlineStr">
        <is>
          <t>VÄSTERNORRLANDS LÄN</t>
        </is>
      </c>
      <c r="E486" t="inlineStr">
        <is>
          <t>ÅNGE</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15288-2025</t>
        </is>
      </c>
      <c r="B487" s="1" t="n">
        <v>45745.34423611111</v>
      </c>
      <c r="C487" s="1" t="n">
        <v>45890</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41766-2024</t>
        </is>
      </c>
      <c r="B488" s="1" t="n">
        <v>45561.34594907407</v>
      </c>
      <c r="C488" s="1" t="n">
        <v>45890</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17670-2023</t>
        </is>
      </c>
      <c r="B489" s="1" t="n">
        <v>45036</v>
      </c>
      <c r="C489" s="1" t="n">
        <v>45890</v>
      </c>
      <c r="D489" t="inlineStr">
        <is>
          <t>VÄSTERNORRLANDS LÄN</t>
        </is>
      </c>
      <c r="E489" t="inlineStr">
        <is>
          <t>ÅNGE</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57109-2023</t>
        </is>
      </c>
      <c r="B490" s="1" t="n">
        <v>45239</v>
      </c>
      <c r="C490" s="1" t="n">
        <v>45890</v>
      </c>
      <c r="D490" t="inlineStr">
        <is>
          <t>VÄSTERNORRLANDS LÄN</t>
        </is>
      </c>
      <c r="E490" t="inlineStr">
        <is>
          <t>ÅNGE</t>
        </is>
      </c>
      <c r="G490" t="n">
        <v>7</v>
      </c>
      <c r="H490" t="n">
        <v>0</v>
      </c>
      <c r="I490" t="n">
        <v>0</v>
      </c>
      <c r="J490" t="n">
        <v>0</v>
      </c>
      <c r="K490" t="n">
        <v>0</v>
      </c>
      <c r="L490" t="n">
        <v>0</v>
      </c>
      <c r="M490" t="n">
        <v>0</v>
      </c>
      <c r="N490" t="n">
        <v>0</v>
      </c>
      <c r="O490" t="n">
        <v>0</v>
      </c>
      <c r="P490" t="n">
        <v>0</v>
      </c>
      <c r="Q490" t="n">
        <v>0</v>
      </c>
      <c r="R490" s="2" t="inlineStr"/>
    </row>
    <row r="491" ht="15" customHeight="1">
      <c r="A491" t="inlineStr">
        <is>
          <t>A 39178-2024</t>
        </is>
      </c>
      <c r="B491" s="1" t="n">
        <v>45548.65692129629</v>
      </c>
      <c r="C491" s="1" t="n">
        <v>45890</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6608-2025</t>
        </is>
      </c>
      <c r="B492" s="1" t="n">
        <v>45700.34415509259</v>
      </c>
      <c r="C492" s="1" t="n">
        <v>45890</v>
      </c>
      <c r="D492" t="inlineStr">
        <is>
          <t>VÄSTERNORRLANDS LÄN</t>
        </is>
      </c>
      <c r="E492" t="inlineStr">
        <is>
          <t>ÅNGE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30682-2024</t>
        </is>
      </c>
      <c r="B493" s="1" t="n">
        <v>45495.95109953704</v>
      </c>
      <c r="C493" s="1" t="n">
        <v>45890</v>
      </c>
      <c r="D493" t="inlineStr">
        <is>
          <t>VÄSTERNORRLANDS LÄN</t>
        </is>
      </c>
      <c r="E493" t="inlineStr">
        <is>
          <t>ÅNGE</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51383-2022</t>
        </is>
      </c>
      <c r="B494" s="1" t="n">
        <v>44866</v>
      </c>
      <c r="C494" s="1" t="n">
        <v>45890</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51393-2022</t>
        </is>
      </c>
      <c r="B495" s="1" t="n">
        <v>44869.43277777778</v>
      </c>
      <c r="C495" s="1" t="n">
        <v>45890</v>
      </c>
      <c r="D495" t="inlineStr">
        <is>
          <t>VÄSTERNORRLANDS LÄN</t>
        </is>
      </c>
      <c r="E495" t="inlineStr">
        <is>
          <t>ÅNGE</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4073-2025</t>
        </is>
      </c>
      <c r="B496" s="1" t="n">
        <v>45684.63621527778</v>
      </c>
      <c r="C496" s="1" t="n">
        <v>45890</v>
      </c>
      <c r="D496" t="inlineStr">
        <is>
          <t>VÄSTERNORRLANDS LÄN</t>
        </is>
      </c>
      <c r="E496" t="inlineStr">
        <is>
          <t>ÅNGE</t>
        </is>
      </c>
      <c r="F496" t="inlineStr">
        <is>
          <t>SCA</t>
        </is>
      </c>
      <c r="G496" t="n">
        <v>7.7</v>
      </c>
      <c r="H496" t="n">
        <v>0</v>
      </c>
      <c r="I496" t="n">
        <v>0</v>
      </c>
      <c r="J496" t="n">
        <v>0</v>
      </c>
      <c r="K496" t="n">
        <v>0</v>
      </c>
      <c r="L496" t="n">
        <v>0</v>
      </c>
      <c r="M496" t="n">
        <v>0</v>
      </c>
      <c r="N496" t="n">
        <v>0</v>
      </c>
      <c r="O496" t="n">
        <v>0</v>
      </c>
      <c r="P496" t="n">
        <v>0</v>
      </c>
      <c r="Q496" t="n">
        <v>0</v>
      </c>
      <c r="R496" s="2" t="inlineStr"/>
    </row>
    <row r="497" ht="15" customHeight="1">
      <c r="A497" t="inlineStr">
        <is>
          <t>A 4236-2025</t>
        </is>
      </c>
      <c r="B497" s="1" t="n">
        <v>45685.56534722223</v>
      </c>
      <c r="C497" s="1" t="n">
        <v>45890</v>
      </c>
      <c r="D497" t="inlineStr">
        <is>
          <t>VÄSTERNORRLANDS LÄN</t>
        </is>
      </c>
      <c r="E497" t="inlineStr">
        <is>
          <t>ÅNGE</t>
        </is>
      </c>
      <c r="G497" t="n">
        <v>2.4</v>
      </c>
      <c r="H497" t="n">
        <v>0</v>
      </c>
      <c r="I497" t="n">
        <v>0</v>
      </c>
      <c r="J497" t="n">
        <v>0</v>
      </c>
      <c r="K497" t="n">
        <v>0</v>
      </c>
      <c r="L497" t="n">
        <v>0</v>
      </c>
      <c r="M497" t="n">
        <v>0</v>
      </c>
      <c r="N497" t="n">
        <v>0</v>
      </c>
      <c r="O497" t="n">
        <v>0</v>
      </c>
      <c r="P497" t="n">
        <v>0</v>
      </c>
      <c r="Q497" t="n">
        <v>0</v>
      </c>
      <c r="R497" s="2" t="inlineStr"/>
    </row>
    <row r="498" ht="15" customHeight="1">
      <c r="A498" t="inlineStr">
        <is>
          <t>A 2415-2024</t>
        </is>
      </c>
      <c r="B498" s="1" t="n">
        <v>45310</v>
      </c>
      <c r="C498" s="1" t="n">
        <v>45890</v>
      </c>
      <c r="D498" t="inlineStr">
        <is>
          <t>VÄSTERNORRLANDS LÄN</t>
        </is>
      </c>
      <c r="E498" t="inlineStr">
        <is>
          <t>ÅNGE</t>
        </is>
      </c>
      <c r="F498" t="inlineStr">
        <is>
          <t>Kyrkan</t>
        </is>
      </c>
      <c r="G498" t="n">
        <v>0.2</v>
      </c>
      <c r="H498" t="n">
        <v>0</v>
      </c>
      <c r="I498" t="n">
        <v>0</v>
      </c>
      <c r="J498" t="n">
        <v>0</v>
      </c>
      <c r="K498" t="n">
        <v>0</v>
      </c>
      <c r="L498" t="n">
        <v>0</v>
      </c>
      <c r="M498" t="n">
        <v>0</v>
      </c>
      <c r="N498" t="n">
        <v>0</v>
      </c>
      <c r="O498" t="n">
        <v>0</v>
      </c>
      <c r="P498" t="n">
        <v>0</v>
      </c>
      <c r="Q498" t="n">
        <v>0</v>
      </c>
      <c r="R498" s="2" t="inlineStr"/>
    </row>
    <row r="499" ht="15" customHeight="1">
      <c r="A499" t="inlineStr">
        <is>
          <t>A 4361-2024</t>
        </is>
      </c>
      <c r="B499" s="1" t="n">
        <v>45325.65047453704</v>
      </c>
      <c r="C499" s="1" t="n">
        <v>45890</v>
      </c>
      <c r="D499" t="inlineStr">
        <is>
          <t>VÄSTERNORRLANDS LÄN</t>
        </is>
      </c>
      <c r="E499" t="inlineStr">
        <is>
          <t>ÅNGE</t>
        </is>
      </c>
      <c r="G499" t="n">
        <v>1.3</v>
      </c>
      <c r="H499" t="n">
        <v>0</v>
      </c>
      <c r="I499" t="n">
        <v>0</v>
      </c>
      <c r="J499" t="n">
        <v>0</v>
      </c>
      <c r="K499" t="n">
        <v>0</v>
      </c>
      <c r="L499" t="n">
        <v>0</v>
      </c>
      <c r="M499" t="n">
        <v>0</v>
      </c>
      <c r="N499" t="n">
        <v>0</v>
      </c>
      <c r="O499" t="n">
        <v>0</v>
      </c>
      <c r="P499" t="n">
        <v>0</v>
      </c>
      <c r="Q499" t="n">
        <v>0</v>
      </c>
      <c r="R499" s="2" t="inlineStr"/>
    </row>
    <row r="500" ht="15" customHeight="1">
      <c r="A500" t="inlineStr">
        <is>
          <t>A 2451-2024</t>
        </is>
      </c>
      <c r="B500" s="1" t="n">
        <v>45312.58627314815</v>
      </c>
      <c r="C500" s="1" t="n">
        <v>45890</v>
      </c>
      <c r="D500" t="inlineStr">
        <is>
          <t>VÄSTERNORRLANDS LÄN</t>
        </is>
      </c>
      <c r="E500" t="inlineStr">
        <is>
          <t>ÅNGE</t>
        </is>
      </c>
      <c r="G500" t="n">
        <v>3.5</v>
      </c>
      <c r="H500" t="n">
        <v>0</v>
      </c>
      <c r="I500" t="n">
        <v>0</v>
      </c>
      <c r="J500" t="n">
        <v>0</v>
      </c>
      <c r="K500" t="n">
        <v>0</v>
      </c>
      <c r="L500" t="n">
        <v>0</v>
      </c>
      <c r="M500" t="n">
        <v>0</v>
      </c>
      <c r="N500" t="n">
        <v>0</v>
      </c>
      <c r="O500" t="n">
        <v>0</v>
      </c>
      <c r="P500" t="n">
        <v>0</v>
      </c>
      <c r="Q500" t="n">
        <v>0</v>
      </c>
      <c r="R500" s="2" t="inlineStr"/>
    </row>
    <row r="501" ht="15" customHeight="1">
      <c r="A501" t="inlineStr">
        <is>
          <t>A 3352-2021</t>
        </is>
      </c>
      <c r="B501" s="1" t="n">
        <v>44217</v>
      </c>
      <c r="C501" s="1" t="n">
        <v>45890</v>
      </c>
      <c r="D501" t="inlineStr">
        <is>
          <t>VÄSTERNORRLANDS LÄN</t>
        </is>
      </c>
      <c r="E501" t="inlineStr">
        <is>
          <t>ÅNGE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3253-2024</t>
        </is>
      </c>
      <c r="B502" s="1" t="n">
        <v>45316</v>
      </c>
      <c r="C502" s="1" t="n">
        <v>45890</v>
      </c>
      <c r="D502" t="inlineStr">
        <is>
          <t>VÄSTERNORRLANDS LÄN</t>
        </is>
      </c>
      <c r="E502" t="inlineStr">
        <is>
          <t>ÅNGE</t>
        </is>
      </c>
      <c r="G502" t="n">
        <v>1.2</v>
      </c>
      <c r="H502" t="n">
        <v>0</v>
      </c>
      <c r="I502" t="n">
        <v>0</v>
      </c>
      <c r="J502" t="n">
        <v>0</v>
      </c>
      <c r="K502" t="n">
        <v>0</v>
      </c>
      <c r="L502" t="n">
        <v>0</v>
      </c>
      <c r="M502" t="n">
        <v>0</v>
      </c>
      <c r="N502" t="n">
        <v>0</v>
      </c>
      <c r="O502" t="n">
        <v>0</v>
      </c>
      <c r="P502" t="n">
        <v>0</v>
      </c>
      <c r="Q502" t="n">
        <v>0</v>
      </c>
      <c r="R502" s="2" t="inlineStr"/>
    </row>
    <row r="503" ht="15" customHeight="1">
      <c r="A503" t="inlineStr">
        <is>
          <t>A 26490-2024</t>
        </is>
      </c>
      <c r="B503" s="1" t="n">
        <v>45469</v>
      </c>
      <c r="C503" s="1" t="n">
        <v>45890</v>
      </c>
      <c r="D503" t="inlineStr">
        <is>
          <t>VÄSTERNORRLANDS LÄN</t>
        </is>
      </c>
      <c r="E503" t="inlineStr">
        <is>
          <t>ÅNGE</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47779-2023</t>
        </is>
      </c>
      <c r="B504" s="1" t="n">
        <v>45203.92232638889</v>
      </c>
      <c r="C504" s="1" t="n">
        <v>45890</v>
      </c>
      <c r="D504" t="inlineStr">
        <is>
          <t>VÄSTERNORRLANDS LÄN</t>
        </is>
      </c>
      <c r="E504" t="inlineStr">
        <is>
          <t>ÅNGE</t>
        </is>
      </c>
      <c r="G504" t="n">
        <v>9.6</v>
      </c>
      <c r="H504" t="n">
        <v>0</v>
      </c>
      <c r="I504" t="n">
        <v>0</v>
      </c>
      <c r="J504" t="n">
        <v>0</v>
      </c>
      <c r="K504" t="n">
        <v>0</v>
      </c>
      <c r="L504" t="n">
        <v>0</v>
      </c>
      <c r="M504" t="n">
        <v>0</v>
      </c>
      <c r="N504" t="n">
        <v>0</v>
      </c>
      <c r="O504" t="n">
        <v>0</v>
      </c>
      <c r="P504" t="n">
        <v>0</v>
      </c>
      <c r="Q504" t="n">
        <v>0</v>
      </c>
      <c r="R504" s="2" t="inlineStr"/>
    </row>
    <row r="505" ht="15" customHeight="1">
      <c r="A505" t="inlineStr">
        <is>
          <t>A 61577-2023</t>
        </is>
      </c>
      <c r="B505" s="1" t="n">
        <v>45265.47366898148</v>
      </c>
      <c r="C505" s="1" t="n">
        <v>45890</v>
      </c>
      <c r="D505" t="inlineStr">
        <is>
          <t>VÄSTERNORRLANDS LÄN</t>
        </is>
      </c>
      <c r="E505" t="inlineStr">
        <is>
          <t>ÅNGE</t>
        </is>
      </c>
      <c r="G505" t="n">
        <v>2.9</v>
      </c>
      <c r="H505" t="n">
        <v>0</v>
      </c>
      <c r="I505" t="n">
        <v>0</v>
      </c>
      <c r="J505" t="n">
        <v>0</v>
      </c>
      <c r="K505" t="n">
        <v>0</v>
      </c>
      <c r="L505" t="n">
        <v>0</v>
      </c>
      <c r="M505" t="n">
        <v>0</v>
      </c>
      <c r="N505" t="n">
        <v>0</v>
      </c>
      <c r="O505" t="n">
        <v>0</v>
      </c>
      <c r="P505" t="n">
        <v>0</v>
      </c>
      <c r="Q505" t="n">
        <v>0</v>
      </c>
      <c r="R505" s="2" t="inlineStr"/>
    </row>
    <row r="506" ht="15" customHeight="1">
      <c r="A506" t="inlineStr">
        <is>
          <t>A 38246-2024</t>
        </is>
      </c>
      <c r="B506" s="1" t="n">
        <v>45545.57327546296</v>
      </c>
      <c r="C506" s="1" t="n">
        <v>45890</v>
      </c>
      <c r="D506" t="inlineStr">
        <is>
          <t>VÄSTERNORRLANDS LÄN</t>
        </is>
      </c>
      <c r="E506" t="inlineStr">
        <is>
          <t>ÅNGE</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64946-2023</t>
        </is>
      </c>
      <c r="B507" s="1" t="n">
        <v>45282.94678240741</v>
      </c>
      <c r="C507" s="1" t="n">
        <v>45890</v>
      </c>
      <c r="D507" t="inlineStr">
        <is>
          <t>VÄSTERNORRLANDS LÄN</t>
        </is>
      </c>
      <c r="E507" t="inlineStr">
        <is>
          <t>ÅNGE</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34783-2021</t>
        </is>
      </c>
      <c r="B508" s="1" t="n">
        <v>44382</v>
      </c>
      <c r="C508" s="1" t="n">
        <v>45890</v>
      </c>
      <c r="D508" t="inlineStr">
        <is>
          <t>VÄSTERNORRLANDS LÄN</t>
        </is>
      </c>
      <c r="E508" t="inlineStr">
        <is>
          <t>ÅNGE</t>
        </is>
      </c>
      <c r="F508" t="inlineStr">
        <is>
          <t>SCA</t>
        </is>
      </c>
      <c r="G508" t="n">
        <v>8.5</v>
      </c>
      <c r="H508" t="n">
        <v>0</v>
      </c>
      <c r="I508" t="n">
        <v>0</v>
      </c>
      <c r="J508" t="n">
        <v>0</v>
      </c>
      <c r="K508" t="n">
        <v>0</v>
      </c>
      <c r="L508" t="n">
        <v>0</v>
      </c>
      <c r="M508" t="n">
        <v>0</v>
      </c>
      <c r="N508" t="n">
        <v>0</v>
      </c>
      <c r="O508" t="n">
        <v>0</v>
      </c>
      <c r="P508" t="n">
        <v>0</v>
      </c>
      <c r="Q508" t="n">
        <v>0</v>
      </c>
      <c r="R508" s="2" t="inlineStr"/>
    </row>
    <row r="509" ht="15" customHeight="1">
      <c r="A509" t="inlineStr">
        <is>
          <t>A 51024-2024</t>
        </is>
      </c>
      <c r="B509" s="1" t="n">
        <v>45603.4141087963</v>
      </c>
      <c r="C509" s="1" t="n">
        <v>45890</v>
      </c>
      <c r="D509" t="inlineStr">
        <is>
          <t>VÄSTERNORRLANDS LÄN</t>
        </is>
      </c>
      <c r="E509" t="inlineStr">
        <is>
          <t>ÅNGE</t>
        </is>
      </c>
      <c r="G509" t="n">
        <v>8.9</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45890</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23035-2024</t>
        </is>
      </c>
      <c r="B511" s="1" t="n">
        <v>45450.39016203704</v>
      </c>
      <c r="C511" s="1" t="n">
        <v>45890</v>
      </c>
      <c r="D511" t="inlineStr">
        <is>
          <t>VÄSTERNORRLANDS LÄN</t>
        </is>
      </c>
      <c r="E511" t="inlineStr">
        <is>
          <t>ÅNGE</t>
        </is>
      </c>
      <c r="G511" t="n">
        <v>12.1</v>
      </c>
      <c r="H511" t="n">
        <v>0</v>
      </c>
      <c r="I511" t="n">
        <v>0</v>
      </c>
      <c r="J511" t="n">
        <v>0</v>
      </c>
      <c r="K511" t="n">
        <v>0</v>
      </c>
      <c r="L511" t="n">
        <v>0</v>
      </c>
      <c r="M511" t="n">
        <v>0</v>
      </c>
      <c r="N511" t="n">
        <v>0</v>
      </c>
      <c r="O511" t="n">
        <v>0</v>
      </c>
      <c r="P511" t="n">
        <v>0</v>
      </c>
      <c r="Q511" t="n">
        <v>0</v>
      </c>
      <c r="R511" s="2" t="inlineStr"/>
    </row>
    <row r="512" ht="15" customHeight="1">
      <c r="A512" t="inlineStr">
        <is>
          <t>A 61585-2022</t>
        </is>
      </c>
      <c r="B512" s="1" t="n">
        <v>44916.63380787037</v>
      </c>
      <c r="C512" s="1" t="n">
        <v>45890</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45890</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34959-2023</t>
        </is>
      </c>
      <c r="B514" s="1" t="n">
        <v>45142</v>
      </c>
      <c r="C514" s="1" t="n">
        <v>45890</v>
      </c>
      <c r="D514" t="inlineStr">
        <is>
          <t>VÄSTERNORRLANDS LÄN</t>
        </is>
      </c>
      <c r="E514" t="inlineStr">
        <is>
          <t>ÅNGE</t>
        </is>
      </c>
      <c r="F514" t="inlineStr">
        <is>
          <t>Sveaskog</t>
        </is>
      </c>
      <c r="G514" t="n">
        <v>6.6</v>
      </c>
      <c r="H514" t="n">
        <v>0</v>
      </c>
      <c r="I514" t="n">
        <v>0</v>
      </c>
      <c r="J514" t="n">
        <v>0</v>
      </c>
      <c r="K514" t="n">
        <v>0</v>
      </c>
      <c r="L514" t="n">
        <v>0</v>
      </c>
      <c r="M514" t="n">
        <v>0</v>
      </c>
      <c r="N514" t="n">
        <v>0</v>
      </c>
      <c r="O514" t="n">
        <v>0</v>
      </c>
      <c r="P514" t="n">
        <v>0</v>
      </c>
      <c r="Q514" t="n">
        <v>0</v>
      </c>
      <c r="R514" s="2" t="inlineStr"/>
    </row>
    <row r="515" ht="15" customHeight="1">
      <c r="A515" t="inlineStr">
        <is>
          <t>A 51070-2024</t>
        </is>
      </c>
      <c r="B515" s="1" t="n">
        <v>45603</v>
      </c>
      <c r="C515" s="1" t="n">
        <v>45890</v>
      </c>
      <c r="D515" t="inlineStr">
        <is>
          <t>VÄSTERNORRLANDS LÄN</t>
        </is>
      </c>
      <c r="E515" t="inlineStr">
        <is>
          <t>ÅNGE</t>
        </is>
      </c>
      <c r="G515" t="n">
        <v>11.1</v>
      </c>
      <c r="H515" t="n">
        <v>0</v>
      </c>
      <c r="I515" t="n">
        <v>0</v>
      </c>
      <c r="J515" t="n">
        <v>0</v>
      </c>
      <c r="K515" t="n">
        <v>0</v>
      </c>
      <c r="L515" t="n">
        <v>0</v>
      </c>
      <c r="M515" t="n">
        <v>0</v>
      </c>
      <c r="N515" t="n">
        <v>0</v>
      </c>
      <c r="O515" t="n">
        <v>0</v>
      </c>
      <c r="P515" t="n">
        <v>0</v>
      </c>
      <c r="Q515" t="n">
        <v>0</v>
      </c>
      <c r="R515" s="2" t="inlineStr"/>
    </row>
    <row r="516" ht="15" customHeight="1">
      <c r="A516" t="inlineStr">
        <is>
          <t>A 51871-2024</t>
        </is>
      </c>
      <c r="B516" s="1" t="n">
        <v>45607</v>
      </c>
      <c r="C516" s="1" t="n">
        <v>45890</v>
      </c>
      <c r="D516" t="inlineStr">
        <is>
          <t>VÄSTERNORRLANDS LÄN</t>
        </is>
      </c>
      <c r="E516" t="inlineStr">
        <is>
          <t>ÅNGE</t>
        </is>
      </c>
      <c r="F516" t="inlineStr">
        <is>
          <t>SCA</t>
        </is>
      </c>
      <c r="G516" t="n">
        <v>10.1</v>
      </c>
      <c r="H516" t="n">
        <v>0</v>
      </c>
      <c r="I516" t="n">
        <v>0</v>
      </c>
      <c r="J516" t="n">
        <v>0</v>
      </c>
      <c r="K516" t="n">
        <v>0</v>
      </c>
      <c r="L516" t="n">
        <v>0</v>
      </c>
      <c r="M516" t="n">
        <v>0</v>
      </c>
      <c r="N516" t="n">
        <v>0</v>
      </c>
      <c r="O516" t="n">
        <v>0</v>
      </c>
      <c r="P516" t="n">
        <v>0</v>
      </c>
      <c r="Q516" t="n">
        <v>0</v>
      </c>
      <c r="R516" s="2" t="inlineStr"/>
    </row>
    <row r="517" ht="15" customHeight="1">
      <c r="A517" t="inlineStr">
        <is>
          <t>A 57636-2022</t>
        </is>
      </c>
      <c r="B517" s="1" t="n">
        <v>44897</v>
      </c>
      <c r="C517" s="1" t="n">
        <v>45890</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34971-2023</t>
        </is>
      </c>
      <c r="B518" s="1" t="n">
        <v>45142.61635416667</v>
      </c>
      <c r="C518" s="1" t="n">
        <v>45890</v>
      </c>
      <c r="D518" t="inlineStr">
        <is>
          <t>VÄSTERNORRLANDS LÄN</t>
        </is>
      </c>
      <c r="E518" t="inlineStr">
        <is>
          <t>ÅNGE</t>
        </is>
      </c>
      <c r="F518" t="inlineStr">
        <is>
          <t>Sveaskog</t>
        </is>
      </c>
      <c r="G518" t="n">
        <v>4.5</v>
      </c>
      <c r="H518" t="n">
        <v>0</v>
      </c>
      <c r="I518" t="n">
        <v>0</v>
      </c>
      <c r="J518" t="n">
        <v>0</v>
      </c>
      <c r="K518" t="n">
        <v>0</v>
      </c>
      <c r="L518" t="n">
        <v>0</v>
      </c>
      <c r="M518" t="n">
        <v>0</v>
      </c>
      <c r="N518" t="n">
        <v>0</v>
      </c>
      <c r="O518" t="n">
        <v>0</v>
      </c>
      <c r="P518" t="n">
        <v>0</v>
      </c>
      <c r="Q518" t="n">
        <v>0</v>
      </c>
      <c r="R518" s="2" t="inlineStr"/>
    </row>
    <row r="519" ht="15" customHeight="1">
      <c r="A519" t="inlineStr">
        <is>
          <t>A 16365-2023</t>
        </is>
      </c>
      <c r="B519" s="1" t="n">
        <v>45028</v>
      </c>
      <c r="C519" s="1" t="n">
        <v>45890</v>
      </c>
      <c r="D519" t="inlineStr">
        <is>
          <t>VÄSTERNORRLANDS LÄN</t>
        </is>
      </c>
      <c r="E519" t="inlineStr">
        <is>
          <t>ÅNGE</t>
        </is>
      </c>
      <c r="G519" t="n">
        <v>1.5</v>
      </c>
      <c r="H519" t="n">
        <v>0</v>
      </c>
      <c r="I519" t="n">
        <v>0</v>
      </c>
      <c r="J519" t="n">
        <v>0</v>
      </c>
      <c r="K519" t="n">
        <v>0</v>
      </c>
      <c r="L519" t="n">
        <v>0</v>
      </c>
      <c r="M519" t="n">
        <v>0</v>
      </c>
      <c r="N519" t="n">
        <v>0</v>
      </c>
      <c r="O519" t="n">
        <v>0</v>
      </c>
      <c r="P519" t="n">
        <v>0</v>
      </c>
      <c r="Q519" t="n">
        <v>0</v>
      </c>
      <c r="R519" s="2" t="inlineStr"/>
    </row>
    <row r="520" ht="15" customHeight="1">
      <c r="A520" t="inlineStr">
        <is>
          <t>A 8406-2023</t>
        </is>
      </c>
      <c r="B520" s="1" t="n">
        <v>44971</v>
      </c>
      <c r="C520" s="1" t="n">
        <v>45890</v>
      </c>
      <c r="D520" t="inlineStr">
        <is>
          <t>VÄSTERNORRLANDS LÄN</t>
        </is>
      </c>
      <c r="E520" t="inlineStr">
        <is>
          <t>ÅNGE</t>
        </is>
      </c>
      <c r="G520" t="n">
        <v>1.2</v>
      </c>
      <c r="H520" t="n">
        <v>0</v>
      </c>
      <c r="I520" t="n">
        <v>0</v>
      </c>
      <c r="J520" t="n">
        <v>0</v>
      </c>
      <c r="K520" t="n">
        <v>0</v>
      </c>
      <c r="L520" t="n">
        <v>0</v>
      </c>
      <c r="M520" t="n">
        <v>0</v>
      </c>
      <c r="N520" t="n">
        <v>0</v>
      </c>
      <c r="O520" t="n">
        <v>0</v>
      </c>
      <c r="P520" t="n">
        <v>0</v>
      </c>
      <c r="Q520" t="n">
        <v>0</v>
      </c>
      <c r="R520" s="2" t="inlineStr"/>
    </row>
    <row r="521" ht="15" customHeight="1">
      <c r="A521" t="inlineStr">
        <is>
          <t>A 69790-2021</t>
        </is>
      </c>
      <c r="B521" s="1" t="n">
        <v>44532.605625</v>
      </c>
      <c r="C521" s="1" t="n">
        <v>45890</v>
      </c>
      <c r="D521" t="inlineStr">
        <is>
          <t>VÄSTERNORRLANDS LÄN</t>
        </is>
      </c>
      <c r="E521" t="inlineStr">
        <is>
          <t>ÅNGE</t>
        </is>
      </c>
      <c r="G521" t="n">
        <v>1.9</v>
      </c>
      <c r="H521" t="n">
        <v>0</v>
      </c>
      <c r="I521" t="n">
        <v>0</v>
      </c>
      <c r="J521" t="n">
        <v>0</v>
      </c>
      <c r="K521" t="n">
        <v>0</v>
      </c>
      <c r="L521" t="n">
        <v>0</v>
      </c>
      <c r="M521" t="n">
        <v>0</v>
      </c>
      <c r="N521" t="n">
        <v>0</v>
      </c>
      <c r="O521" t="n">
        <v>0</v>
      </c>
      <c r="P521" t="n">
        <v>0</v>
      </c>
      <c r="Q521" t="n">
        <v>0</v>
      </c>
      <c r="R521" s="2" t="inlineStr"/>
    </row>
    <row r="522" ht="15" customHeight="1">
      <c r="A522" t="inlineStr">
        <is>
          <t>A 55329-2023</t>
        </is>
      </c>
      <c r="B522" s="1" t="n">
        <v>45237</v>
      </c>
      <c r="C522" s="1" t="n">
        <v>45890</v>
      </c>
      <c r="D522" t="inlineStr">
        <is>
          <t>VÄSTERNORRLANDS LÄN</t>
        </is>
      </c>
      <c r="E522" t="inlineStr">
        <is>
          <t>ÅNGE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44178-2023</t>
        </is>
      </c>
      <c r="B523" s="1" t="n">
        <v>45183</v>
      </c>
      <c r="C523" s="1" t="n">
        <v>45890</v>
      </c>
      <c r="D523" t="inlineStr">
        <is>
          <t>VÄSTERNORRLANDS LÄN</t>
        </is>
      </c>
      <c r="E523" t="inlineStr">
        <is>
          <t>ÅNGE</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42857-2022</t>
        </is>
      </c>
      <c r="B524" s="1" t="n">
        <v>44832</v>
      </c>
      <c r="C524" s="1" t="n">
        <v>45890</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52804-2024</t>
        </is>
      </c>
      <c r="B525" s="1" t="n">
        <v>45610.57322916666</v>
      </c>
      <c r="C525" s="1" t="n">
        <v>45890</v>
      </c>
      <c r="D525" t="inlineStr">
        <is>
          <t>VÄSTERNORRLANDS LÄN</t>
        </is>
      </c>
      <c r="E525" t="inlineStr">
        <is>
          <t>ÅNGE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30055-2024</t>
        </is>
      </c>
      <c r="B526" s="1" t="n">
        <v>45488.94767361111</v>
      </c>
      <c r="C526" s="1" t="n">
        <v>45890</v>
      </c>
      <c r="D526" t="inlineStr">
        <is>
          <t>VÄSTERNORRLANDS LÄN</t>
        </is>
      </c>
      <c r="E526" t="inlineStr">
        <is>
          <t>ÅNGE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53209-2024</t>
        </is>
      </c>
      <c r="B527" s="1" t="n">
        <v>45612.51079861111</v>
      </c>
      <c r="C527" s="1" t="n">
        <v>45890</v>
      </c>
      <c r="D527" t="inlineStr">
        <is>
          <t>VÄSTERNORRLANDS LÄN</t>
        </is>
      </c>
      <c r="E527" t="inlineStr">
        <is>
          <t>ÅNGE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3574-2025</t>
        </is>
      </c>
      <c r="B528" s="1" t="n">
        <v>45680.71916666667</v>
      </c>
      <c r="C528" s="1" t="n">
        <v>45890</v>
      </c>
      <c r="D528" t="inlineStr">
        <is>
          <t>VÄSTERNORRLANDS LÄN</t>
        </is>
      </c>
      <c r="E528" t="inlineStr">
        <is>
          <t>ÅNGE</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30803-2022</t>
        </is>
      </c>
      <c r="B529" s="1" t="n">
        <v>44764</v>
      </c>
      <c r="C529" s="1" t="n">
        <v>45890</v>
      </c>
      <c r="D529" t="inlineStr">
        <is>
          <t>VÄSTERNORRLANDS LÄN</t>
        </is>
      </c>
      <c r="E529" t="inlineStr">
        <is>
          <t>ÅNGE</t>
        </is>
      </c>
      <c r="G529" t="n">
        <v>1.1</v>
      </c>
      <c r="H529" t="n">
        <v>0</v>
      </c>
      <c r="I529" t="n">
        <v>0</v>
      </c>
      <c r="J529" t="n">
        <v>0</v>
      </c>
      <c r="K529" t="n">
        <v>0</v>
      </c>
      <c r="L529" t="n">
        <v>0</v>
      </c>
      <c r="M529" t="n">
        <v>0</v>
      </c>
      <c r="N529" t="n">
        <v>0</v>
      </c>
      <c r="O529" t="n">
        <v>0</v>
      </c>
      <c r="P529" t="n">
        <v>0</v>
      </c>
      <c r="Q529" t="n">
        <v>0</v>
      </c>
      <c r="R529" s="2" t="inlineStr"/>
    </row>
    <row r="530" ht="15" customHeight="1">
      <c r="A530" t="inlineStr">
        <is>
          <t>A 6-2025</t>
        </is>
      </c>
      <c r="B530" s="1" t="n">
        <v>45658.50759259259</v>
      </c>
      <c r="C530" s="1" t="n">
        <v>45890</v>
      </c>
      <c r="D530" t="inlineStr">
        <is>
          <t>VÄSTERNORRLANDS LÄN</t>
        </is>
      </c>
      <c r="E530" t="inlineStr">
        <is>
          <t>ÅNGE</t>
        </is>
      </c>
      <c r="G530" t="n">
        <v>4.3</v>
      </c>
      <c r="H530" t="n">
        <v>0</v>
      </c>
      <c r="I530" t="n">
        <v>0</v>
      </c>
      <c r="J530" t="n">
        <v>0</v>
      </c>
      <c r="K530" t="n">
        <v>0</v>
      </c>
      <c r="L530" t="n">
        <v>0</v>
      </c>
      <c r="M530" t="n">
        <v>0</v>
      </c>
      <c r="N530" t="n">
        <v>0</v>
      </c>
      <c r="O530" t="n">
        <v>0</v>
      </c>
      <c r="P530" t="n">
        <v>0</v>
      </c>
      <c r="Q530" t="n">
        <v>0</v>
      </c>
      <c r="R530" s="2" t="inlineStr"/>
    </row>
    <row r="531" ht="15" customHeight="1">
      <c r="A531" t="inlineStr">
        <is>
          <t>A 42346-2023</t>
        </is>
      </c>
      <c r="B531" s="1" t="n">
        <v>45180</v>
      </c>
      <c r="C531" s="1" t="n">
        <v>45890</v>
      </c>
      <c r="D531" t="inlineStr">
        <is>
          <t>VÄSTERNORRLANDS LÄN</t>
        </is>
      </c>
      <c r="E531" t="inlineStr">
        <is>
          <t>ÅNGE</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137-2025</t>
        </is>
      </c>
      <c r="B532" s="1" t="n">
        <v>45659.57684027778</v>
      </c>
      <c r="C532" s="1" t="n">
        <v>45890</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34750-2023</t>
        </is>
      </c>
      <c r="B533" s="1" t="n">
        <v>45139</v>
      </c>
      <c r="C533" s="1" t="n">
        <v>45890</v>
      </c>
      <c r="D533" t="inlineStr">
        <is>
          <t>VÄSTERNORRLANDS LÄN</t>
        </is>
      </c>
      <c r="E533" t="inlineStr">
        <is>
          <t>ÅNGE</t>
        </is>
      </c>
      <c r="G533" t="n">
        <v>2.9</v>
      </c>
      <c r="H533" t="n">
        <v>0</v>
      </c>
      <c r="I533" t="n">
        <v>0</v>
      </c>
      <c r="J533" t="n">
        <v>0</v>
      </c>
      <c r="K533" t="n">
        <v>0</v>
      </c>
      <c r="L533" t="n">
        <v>0</v>
      </c>
      <c r="M533" t="n">
        <v>0</v>
      </c>
      <c r="N533" t="n">
        <v>0</v>
      </c>
      <c r="O533" t="n">
        <v>0</v>
      </c>
      <c r="P533" t="n">
        <v>0</v>
      </c>
      <c r="Q533" t="n">
        <v>0</v>
      </c>
      <c r="R533" s="2" t="inlineStr"/>
    </row>
    <row r="534" ht="15" customHeight="1">
      <c r="A534" t="inlineStr">
        <is>
          <t>A 24232-2024</t>
        </is>
      </c>
      <c r="B534" s="1" t="n">
        <v>45457.34686342593</v>
      </c>
      <c r="C534" s="1" t="n">
        <v>45890</v>
      </c>
      <c r="D534" t="inlineStr">
        <is>
          <t>VÄSTERNORRLANDS LÄN</t>
        </is>
      </c>
      <c r="E534" t="inlineStr">
        <is>
          <t>ÅNGE</t>
        </is>
      </c>
      <c r="F534" t="inlineStr">
        <is>
          <t>Sveaskog</t>
        </is>
      </c>
      <c r="G534" t="n">
        <v>3.1</v>
      </c>
      <c r="H534" t="n">
        <v>0</v>
      </c>
      <c r="I534" t="n">
        <v>0</v>
      </c>
      <c r="J534" t="n">
        <v>0</v>
      </c>
      <c r="K534" t="n">
        <v>0</v>
      </c>
      <c r="L534" t="n">
        <v>0</v>
      </c>
      <c r="M534" t="n">
        <v>0</v>
      </c>
      <c r="N534" t="n">
        <v>0</v>
      </c>
      <c r="O534" t="n">
        <v>0</v>
      </c>
      <c r="P534" t="n">
        <v>0</v>
      </c>
      <c r="Q534" t="n">
        <v>0</v>
      </c>
      <c r="R534" s="2" t="inlineStr"/>
    </row>
    <row r="535" ht="15" customHeight="1">
      <c r="A535" t="inlineStr">
        <is>
          <t>A 55380-2024</t>
        </is>
      </c>
      <c r="B535" s="1" t="n">
        <v>45622.28810185185</v>
      </c>
      <c r="C535" s="1" t="n">
        <v>45890</v>
      </c>
      <c r="D535" t="inlineStr">
        <is>
          <t>VÄSTERNORRLANDS LÄN</t>
        </is>
      </c>
      <c r="E535" t="inlineStr">
        <is>
          <t>ÅNGE</t>
        </is>
      </c>
      <c r="G535" t="n">
        <v>1.1</v>
      </c>
      <c r="H535" t="n">
        <v>0</v>
      </c>
      <c r="I535" t="n">
        <v>0</v>
      </c>
      <c r="J535" t="n">
        <v>0</v>
      </c>
      <c r="K535" t="n">
        <v>0</v>
      </c>
      <c r="L535" t="n">
        <v>0</v>
      </c>
      <c r="M535" t="n">
        <v>0</v>
      </c>
      <c r="N535" t="n">
        <v>0</v>
      </c>
      <c r="O535" t="n">
        <v>0</v>
      </c>
      <c r="P535" t="n">
        <v>0</v>
      </c>
      <c r="Q535" t="n">
        <v>0</v>
      </c>
      <c r="R535" s="2" t="inlineStr"/>
    </row>
    <row r="536" ht="15" customHeight="1">
      <c r="A536" t="inlineStr">
        <is>
          <t>A 56615-2023</t>
        </is>
      </c>
      <c r="B536" s="1" t="n">
        <v>45243</v>
      </c>
      <c r="C536" s="1" t="n">
        <v>45890</v>
      </c>
      <c r="D536" t="inlineStr">
        <is>
          <t>VÄSTERNORRLANDS LÄN</t>
        </is>
      </c>
      <c r="E536" t="inlineStr">
        <is>
          <t>ÅNGE</t>
        </is>
      </c>
      <c r="G536" t="n">
        <v>7.4</v>
      </c>
      <c r="H536" t="n">
        <v>0</v>
      </c>
      <c r="I536" t="n">
        <v>0</v>
      </c>
      <c r="J536" t="n">
        <v>0</v>
      </c>
      <c r="K536" t="n">
        <v>0</v>
      </c>
      <c r="L536" t="n">
        <v>0</v>
      </c>
      <c r="M536" t="n">
        <v>0</v>
      </c>
      <c r="N536" t="n">
        <v>0</v>
      </c>
      <c r="O536" t="n">
        <v>0</v>
      </c>
      <c r="P536" t="n">
        <v>0</v>
      </c>
      <c r="Q536" t="n">
        <v>0</v>
      </c>
      <c r="R536" s="2" t="inlineStr"/>
    </row>
    <row r="537" ht="15" customHeight="1">
      <c r="A537" t="inlineStr">
        <is>
          <t>A 31325-2022</t>
        </is>
      </c>
      <c r="B537" s="1" t="n">
        <v>44774.41421296296</v>
      </c>
      <c r="C537" s="1" t="n">
        <v>45890</v>
      </c>
      <c r="D537" t="inlineStr">
        <is>
          <t>VÄSTERNORRLANDS LÄN</t>
        </is>
      </c>
      <c r="E537" t="inlineStr">
        <is>
          <t>ÅNGE</t>
        </is>
      </c>
      <c r="G537" t="n">
        <v>6.3</v>
      </c>
      <c r="H537" t="n">
        <v>0</v>
      </c>
      <c r="I537" t="n">
        <v>0</v>
      </c>
      <c r="J537" t="n">
        <v>0</v>
      </c>
      <c r="K537" t="n">
        <v>0</v>
      </c>
      <c r="L537" t="n">
        <v>0</v>
      </c>
      <c r="M537" t="n">
        <v>0</v>
      </c>
      <c r="N537" t="n">
        <v>0</v>
      </c>
      <c r="O537" t="n">
        <v>0</v>
      </c>
      <c r="P537" t="n">
        <v>0</v>
      </c>
      <c r="Q537" t="n">
        <v>0</v>
      </c>
      <c r="R537" s="2" t="inlineStr"/>
    </row>
    <row r="538" ht="15" customHeight="1">
      <c r="A538" t="inlineStr">
        <is>
          <t>A 57601-2022</t>
        </is>
      </c>
      <c r="B538" s="1" t="n">
        <v>44896</v>
      </c>
      <c r="C538" s="1" t="n">
        <v>45890</v>
      </c>
      <c r="D538" t="inlineStr">
        <is>
          <t>VÄSTERNORRLANDS LÄN</t>
        </is>
      </c>
      <c r="E538" t="inlineStr">
        <is>
          <t>ÅNGE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22678-2024</t>
        </is>
      </c>
      <c r="B539" s="1" t="n">
        <v>45447.94533564815</v>
      </c>
      <c r="C539" s="1" t="n">
        <v>45890</v>
      </c>
      <c r="D539" t="inlineStr">
        <is>
          <t>VÄSTERNORRLANDS LÄN</t>
        </is>
      </c>
      <c r="E539" t="inlineStr">
        <is>
          <t>ÅNGE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51054-2024</t>
        </is>
      </c>
      <c r="B540" s="1" t="n">
        <v>45603</v>
      </c>
      <c r="C540" s="1" t="n">
        <v>45890</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44180-2023</t>
        </is>
      </c>
      <c r="B541" s="1" t="n">
        <v>45183</v>
      </c>
      <c r="C541" s="1" t="n">
        <v>45890</v>
      </c>
      <c r="D541" t="inlineStr">
        <is>
          <t>VÄSTERNORRLANDS LÄN</t>
        </is>
      </c>
      <c r="E541" t="inlineStr">
        <is>
          <t>ÅNGE</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64121-2021</t>
        </is>
      </c>
      <c r="B542" s="1" t="n">
        <v>44510.4730787037</v>
      </c>
      <c r="C542" s="1" t="n">
        <v>45890</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71965-2021</t>
        </is>
      </c>
      <c r="B543" s="1" t="n">
        <v>44544.32483796297</v>
      </c>
      <c r="C543" s="1" t="n">
        <v>45890</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14888-2022</t>
        </is>
      </c>
      <c r="B544" s="1" t="n">
        <v>44656</v>
      </c>
      <c r="C544" s="1" t="n">
        <v>45890</v>
      </c>
      <c r="D544" t="inlineStr">
        <is>
          <t>VÄSTERNORRLANDS LÄN</t>
        </is>
      </c>
      <c r="E544" t="inlineStr">
        <is>
          <t>ÅNGE</t>
        </is>
      </c>
      <c r="G544" t="n">
        <v>6.2</v>
      </c>
      <c r="H544" t="n">
        <v>0</v>
      </c>
      <c r="I544" t="n">
        <v>0</v>
      </c>
      <c r="J544" t="n">
        <v>0</v>
      </c>
      <c r="K544" t="n">
        <v>0</v>
      </c>
      <c r="L544" t="n">
        <v>0</v>
      </c>
      <c r="M544" t="n">
        <v>0</v>
      </c>
      <c r="N544" t="n">
        <v>0</v>
      </c>
      <c r="O544" t="n">
        <v>0</v>
      </c>
      <c r="P544" t="n">
        <v>0</v>
      </c>
      <c r="Q544" t="n">
        <v>0</v>
      </c>
      <c r="R544" s="2" t="inlineStr"/>
    </row>
    <row r="545" ht="15" customHeight="1">
      <c r="A545" t="inlineStr">
        <is>
          <t>A 62834-2021</t>
        </is>
      </c>
      <c r="B545" s="1" t="n">
        <v>44503</v>
      </c>
      <c r="C545" s="1" t="n">
        <v>45890</v>
      </c>
      <c r="D545" t="inlineStr">
        <is>
          <t>VÄSTERNORRLANDS LÄN</t>
        </is>
      </c>
      <c r="E545" t="inlineStr">
        <is>
          <t>ÅNGE</t>
        </is>
      </c>
      <c r="F545" t="inlineStr">
        <is>
          <t>Övriga statliga verk och myndigheter</t>
        </is>
      </c>
      <c r="G545" t="n">
        <v>2.6</v>
      </c>
      <c r="H545" t="n">
        <v>0</v>
      </c>
      <c r="I545" t="n">
        <v>0</v>
      </c>
      <c r="J545" t="n">
        <v>0</v>
      </c>
      <c r="K545" t="n">
        <v>0</v>
      </c>
      <c r="L545" t="n">
        <v>0</v>
      </c>
      <c r="M545" t="n">
        <v>0</v>
      </c>
      <c r="N545" t="n">
        <v>0</v>
      </c>
      <c r="O545" t="n">
        <v>0</v>
      </c>
      <c r="P545" t="n">
        <v>0</v>
      </c>
      <c r="Q545" t="n">
        <v>0</v>
      </c>
      <c r="R545" s="2" t="inlineStr"/>
    </row>
    <row r="546" ht="15" customHeight="1">
      <c r="A546" t="inlineStr">
        <is>
          <t>A 22990-2024</t>
        </is>
      </c>
      <c r="B546" s="1" t="n">
        <v>45449.94548611111</v>
      </c>
      <c r="C546" s="1" t="n">
        <v>45890</v>
      </c>
      <c r="D546" t="inlineStr">
        <is>
          <t>VÄSTERNORRLANDS LÄN</t>
        </is>
      </c>
      <c r="E546" t="inlineStr">
        <is>
          <t>ÅNGE</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27260-2023</t>
        </is>
      </c>
      <c r="B547" s="1" t="n">
        <v>45092</v>
      </c>
      <c r="C547" s="1" t="n">
        <v>45890</v>
      </c>
      <c r="D547" t="inlineStr">
        <is>
          <t>VÄSTERNORRLANDS LÄN</t>
        </is>
      </c>
      <c r="E547" t="inlineStr">
        <is>
          <t>ÅNGE</t>
        </is>
      </c>
      <c r="G547" t="n">
        <v>2.7</v>
      </c>
      <c r="H547" t="n">
        <v>0</v>
      </c>
      <c r="I547" t="n">
        <v>0</v>
      </c>
      <c r="J547" t="n">
        <v>0</v>
      </c>
      <c r="K547" t="n">
        <v>0</v>
      </c>
      <c r="L547" t="n">
        <v>0</v>
      </c>
      <c r="M547" t="n">
        <v>0</v>
      </c>
      <c r="N547" t="n">
        <v>0</v>
      </c>
      <c r="O547" t="n">
        <v>0</v>
      </c>
      <c r="P547" t="n">
        <v>0</v>
      </c>
      <c r="Q547" t="n">
        <v>0</v>
      </c>
      <c r="R547" s="2" t="inlineStr"/>
    </row>
    <row r="548" ht="15" customHeight="1">
      <c r="A548" t="inlineStr">
        <is>
          <t>A 58637-2023</t>
        </is>
      </c>
      <c r="B548" s="1" t="n">
        <v>45251</v>
      </c>
      <c r="C548" s="1" t="n">
        <v>45890</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7535-2023</t>
        </is>
      </c>
      <c r="B549" s="1" t="n">
        <v>44971</v>
      </c>
      <c r="C549" s="1" t="n">
        <v>45890</v>
      </c>
      <c r="D549" t="inlineStr">
        <is>
          <t>VÄSTERNORRLANDS LÄN</t>
        </is>
      </c>
      <c r="E549" t="inlineStr">
        <is>
          <t>ÅNGE</t>
        </is>
      </c>
      <c r="F549" t="inlineStr">
        <is>
          <t>SCA</t>
        </is>
      </c>
      <c r="G549" t="n">
        <v>14.6</v>
      </c>
      <c r="H549" t="n">
        <v>0</v>
      </c>
      <c r="I549" t="n">
        <v>0</v>
      </c>
      <c r="J549" t="n">
        <v>0</v>
      </c>
      <c r="K549" t="n">
        <v>0</v>
      </c>
      <c r="L549" t="n">
        <v>0</v>
      </c>
      <c r="M549" t="n">
        <v>0</v>
      </c>
      <c r="N549" t="n">
        <v>0</v>
      </c>
      <c r="O549" t="n">
        <v>0</v>
      </c>
      <c r="P549" t="n">
        <v>0</v>
      </c>
      <c r="Q549" t="n">
        <v>0</v>
      </c>
      <c r="R549" s="2" t="inlineStr"/>
    </row>
    <row r="550" ht="15" customHeight="1">
      <c r="A550" t="inlineStr">
        <is>
          <t>A 41586-2024</t>
        </is>
      </c>
      <c r="B550" s="1" t="n">
        <v>45560.56089120371</v>
      </c>
      <c r="C550" s="1" t="n">
        <v>45890</v>
      </c>
      <c r="D550" t="inlineStr">
        <is>
          <t>VÄSTERNORRLANDS LÄN</t>
        </is>
      </c>
      <c r="E550" t="inlineStr">
        <is>
          <t>ÅNGE</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30753-2024</t>
        </is>
      </c>
      <c r="B551" s="1" t="n">
        <v>45496</v>
      </c>
      <c r="C551" s="1" t="n">
        <v>45890</v>
      </c>
      <c r="D551" t="inlineStr">
        <is>
          <t>VÄSTERNORRLANDS LÄN</t>
        </is>
      </c>
      <c r="E551" t="inlineStr">
        <is>
          <t>ÅNGE</t>
        </is>
      </c>
      <c r="G551" t="n">
        <v>1.4</v>
      </c>
      <c r="H551" t="n">
        <v>0</v>
      </c>
      <c r="I551" t="n">
        <v>0</v>
      </c>
      <c r="J551" t="n">
        <v>0</v>
      </c>
      <c r="K551" t="n">
        <v>0</v>
      </c>
      <c r="L551" t="n">
        <v>0</v>
      </c>
      <c r="M551" t="n">
        <v>0</v>
      </c>
      <c r="N551" t="n">
        <v>0</v>
      </c>
      <c r="O551" t="n">
        <v>0</v>
      </c>
      <c r="P551" t="n">
        <v>0</v>
      </c>
      <c r="Q551" t="n">
        <v>0</v>
      </c>
      <c r="R551" s="2" t="inlineStr"/>
    </row>
    <row r="552" ht="15" customHeight="1">
      <c r="A552" t="inlineStr">
        <is>
          <t>A 30754-2024</t>
        </is>
      </c>
      <c r="B552" s="1" t="n">
        <v>45496</v>
      </c>
      <c r="C552" s="1" t="n">
        <v>45890</v>
      </c>
      <c r="D552" t="inlineStr">
        <is>
          <t>VÄSTERNORRLANDS LÄN</t>
        </is>
      </c>
      <c r="E552" t="inlineStr">
        <is>
          <t>ÅNGE</t>
        </is>
      </c>
      <c r="G552" t="n">
        <v>3.8</v>
      </c>
      <c r="H552" t="n">
        <v>0</v>
      </c>
      <c r="I552" t="n">
        <v>0</v>
      </c>
      <c r="J552" t="n">
        <v>0</v>
      </c>
      <c r="K552" t="n">
        <v>0</v>
      </c>
      <c r="L552" t="n">
        <v>0</v>
      </c>
      <c r="M552" t="n">
        <v>0</v>
      </c>
      <c r="N552" t="n">
        <v>0</v>
      </c>
      <c r="O552" t="n">
        <v>0</v>
      </c>
      <c r="P552" t="n">
        <v>0</v>
      </c>
      <c r="Q552" t="n">
        <v>0</v>
      </c>
      <c r="R552" s="2" t="inlineStr"/>
    </row>
    <row r="553" ht="15" customHeight="1">
      <c r="A553" t="inlineStr">
        <is>
          <t>A 48946-2024</t>
        </is>
      </c>
      <c r="B553" s="1" t="n">
        <v>45594.42736111111</v>
      </c>
      <c r="C553" s="1" t="n">
        <v>45890</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22411-2023</t>
        </is>
      </c>
      <c r="B554" s="1" t="n">
        <v>45070</v>
      </c>
      <c r="C554" s="1" t="n">
        <v>45890</v>
      </c>
      <c r="D554" t="inlineStr">
        <is>
          <t>VÄSTERNORRLANDS LÄN</t>
        </is>
      </c>
      <c r="E554" t="inlineStr">
        <is>
          <t>ÅNGE</t>
        </is>
      </c>
      <c r="G554" t="n">
        <v>2.8</v>
      </c>
      <c r="H554" t="n">
        <v>0</v>
      </c>
      <c r="I554" t="n">
        <v>0</v>
      </c>
      <c r="J554" t="n">
        <v>0</v>
      </c>
      <c r="K554" t="n">
        <v>0</v>
      </c>
      <c r="L554" t="n">
        <v>0</v>
      </c>
      <c r="M554" t="n">
        <v>0</v>
      </c>
      <c r="N554" t="n">
        <v>0</v>
      </c>
      <c r="O554" t="n">
        <v>0</v>
      </c>
      <c r="P554" t="n">
        <v>0</v>
      </c>
      <c r="Q554" t="n">
        <v>0</v>
      </c>
      <c r="R554" s="2" t="inlineStr"/>
    </row>
    <row r="555" ht="15" customHeight="1">
      <c r="A555" t="inlineStr">
        <is>
          <t>A 33429-2023</t>
        </is>
      </c>
      <c r="B555" s="1" t="n">
        <v>45128.94983796297</v>
      </c>
      <c r="C555" s="1" t="n">
        <v>45890</v>
      </c>
      <c r="D555" t="inlineStr">
        <is>
          <t>VÄSTERNORRLANDS LÄN</t>
        </is>
      </c>
      <c r="E555" t="inlineStr">
        <is>
          <t>ÅNGE</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16606-2023</t>
        </is>
      </c>
      <c r="B556" s="1" t="n">
        <v>45030.3990625</v>
      </c>
      <c r="C556" s="1" t="n">
        <v>45890</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22597-2021</t>
        </is>
      </c>
      <c r="B557" s="1" t="n">
        <v>44326</v>
      </c>
      <c r="C557" s="1" t="n">
        <v>45890</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60368-2024</t>
        </is>
      </c>
      <c r="B558" s="1" t="n">
        <v>45643</v>
      </c>
      <c r="C558" s="1" t="n">
        <v>45890</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20255-2023</t>
        </is>
      </c>
      <c r="B559" s="1" t="n">
        <v>45055</v>
      </c>
      <c r="C559" s="1" t="n">
        <v>45890</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57271-2024</t>
        </is>
      </c>
      <c r="B560" s="1" t="n">
        <v>45629.57364583333</v>
      </c>
      <c r="C560" s="1" t="n">
        <v>45890</v>
      </c>
      <c r="D560" t="inlineStr">
        <is>
          <t>VÄSTERNORRLANDS LÄN</t>
        </is>
      </c>
      <c r="E560" t="inlineStr">
        <is>
          <t>ÅNGE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9480-2022</t>
        </is>
      </c>
      <c r="B561" s="1" t="n">
        <v>44616</v>
      </c>
      <c r="C561" s="1" t="n">
        <v>45890</v>
      </c>
      <c r="D561" t="inlineStr">
        <is>
          <t>VÄSTERNORRLANDS LÄN</t>
        </is>
      </c>
      <c r="E561" t="inlineStr">
        <is>
          <t>ÅNGE</t>
        </is>
      </c>
      <c r="G561" t="n">
        <v>0.3</v>
      </c>
      <c r="H561" t="n">
        <v>0</v>
      </c>
      <c r="I561" t="n">
        <v>0</v>
      </c>
      <c r="J561" t="n">
        <v>0</v>
      </c>
      <c r="K561" t="n">
        <v>0</v>
      </c>
      <c r="L561" t="n">
        <v>0</v>
      </c>
      <c r="M561" t="n">
        <v>0</v>
      </c>
      <c r="N561" t="n">
        <v>0</v>
      </c>
      <c r="O561" t="n">
        <v>0</v>
      </c>
      <c r="P561" t="n">
        <v>0</v>
      </c>
      <c r="Q561" t="n">
        <v>0</v>
      </c>
      <c r="R561" s="2" t="inlineStr"/>
    </row>
    <row r="562" ht="15" customHeight="1">
      <c r="A562" t="inlineStr">
        <is>
          <t>A 37503-2023</t>
        </is>
      </c>
      <c r="B562" s="1" t="n">
        <v>45157.5796875</v>
      </c>
      <c r="C562" s="1" t="n">
        <v>45890</v>
      </c>
      <c r="D562" t="inlineStr">
        <is>
          <t>VÄSTERNORRLANDS LÄN</t>
        </is>
      </c>
      <c r="E562" t="inlineStr">
        <is>
          <t>ÅNGE</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11871-2025</t>
        </is>
      </c>
      <c r="B563" s="1" t="n">
        <v>45728.42740740741</v>
      </c>
      <c r="C563" s="1" t="n">
        <v>45890</v>
      </c>
      <c r="D563" t="inlineStr">
        <is>
          <t>VÄSTERNORRLANDS LÄN</t>
        </is>
      </c>
      <c r="E563" t="inlineStr">
        <is>
          <t>ÅNGE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51124-2024</t>
        </is>
      </c>
      <c r="B564" s="1" t="n">
        <v>45603.50716435185</v>
      </c>
      <c r="C564" s="1" t="n">
        <v>45890</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9382-2025</t>
        </is>
      </c>
      <c r="B565" s="1" t="n">
        <v>45715.34425925926</v>
      </c>
      <c r="C565" s="1" t="n">
        <v>45890</v>
      </c>
      <c r="D565" t="inlineStr">
        <is>
          <t>VÄSTERNORRLANDS LÄN</t>
        </is>
      </c>
      <c r="E565" t="inlineStr">
        <is>
          <t>ÅNGE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56434-2021</t>
        </is>
      </c>
      <c r="B566" s="1" t="n">
        <v>44477</v>
      </c>
      <c r="C566" s="1" t="n">
        <v>45890</v>
      </c>
      <c r="D566" t="inlineStr">
        <is>
          <t>VÄSTERNORRLANDS LÄN</t>
        </is>
      </c>
      <c r="E566" t="inlineStr">
        <is>
          <t>ÅNGE</t>
        </is>
      </c>
      <c r="G566" t="n">
        <v>2.7</v>
      </c>
      <c r="H566" t="n">
        <v>0</v>
      </c>
      <c r="I566" t="n">
        <v>0</v>
      </c>
      <c r="J566" t="n">
        <v>0</v>
      </c>
      <c r="K566" t="n">
        <v>0</v>
      </c>
      <c r="L566" t="n">
        <v>0</v>
      </c>
      <c r="M566" t="n">
        <v>0</v>
      </c>
      <c r="N566" t="n">
        <v>0</v>
      </c>
      <c r="O566" t="n">
        <v>0</v>
      </c>
      <c r="P566" t="n">
        <v>0</v>
      </c>
      <c r="Q566" t="n">
        <v>0</v>
      </c>
      <c r="R566" s="2" t="inlineStr"/>
    </row>
    <row r="567" ht="15" customHeight="1">
      <c r="A567" t="inlineStr">
        <is>
          <t>A 15868-2025</t>
        </is>
      </c>
      <c r="B567" s="1" t="n">
        <v>45749.36928240741</v>
      </c>
      <c r="C567" s="1" t="n">
        <v>45890</v>
      </c>
      <c r="D567" t="inlineStr">
        <is>
          <t>VÄSTERNORRLANDS LÄN</t>
        </is>
      </c>
      <c r="E567" t="inlineStr">
        <is>
          <t>ÅNGE</t>
        </is>
      </c>
      <c r="F567" t="inlineStr">
        <is>
          <t>SCA</t>
        </is>
      </c>
      <c r="G567" t="n">
        <v>6.3</v>
      </c>
      <c r="H567" t="n">
        <v>0</v>
      </c>
      <c r="I567" t="n">
        <v>0</v>
      </c>
      <c r="J567" t="n">
        <v>0</v>
      </c>
      <c r="K567" t="n">
        <v>0</v>
      </c>
      <c r="L567" t="n">
        <v>0</v>
      </c>
      <c r="M567" t="n">
        <v>0</v>
      </c>
      <c r="N567" t="n">
        <v>0</v>
      </c>
      <c r="O567" t="n">
        <v>0</v>
      </c>
      <c r="P567" t="n">
        <v>0</v>
      </c>
      <c r="Q567" t="n">
        <v>0</v>
      </c>
      <c r="R567" s="2" t="inlineStr"/>
    </row>
    <row r="568" ht="15" customHeight="1">
      <c r="A568" t="inlineStr">
        <is>
          <t>A 18067-2025</t>
        </is>
      </c>
      <c r="B568" s="1" t="n">
        <v>45761.49016203704</v>
      </c>
      <c r="C568" s="1" t="n">
        <v>45890</v>
      </c>
      <c r="D568" t="inlineStr">
        <is>
          <t>VÄSTERNORRLANDS LÄN</t>
        </is>
      </c>
      <c r="E568" t="inlineStr">
        <is>
          <t>ÅNGE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11396-2024</t>
        </is>
      </c>
      <c r="B569" s="1" t="n">
        <v>45372</v>
      </c>
      <c r="C569" s="1" t="n">
        <v>45890</v>
      </c>
      <c r="D569" t="inlineStr">
        <is>
          <t>VÄSTERNORRLANDS LÄN</t>
        </is>
      </c>
      <c r="E569" t="inlineStr">
        <is>
          <t>ÅNGE</t>
        </is>
      </c>
      <c r="G569" t="n">
        <v>2.2</v>
      </c>
      <c r="H569" t="n">
        <v>0</v>
      </c>
      <c r="I569" t="n">
        <v>0</v>
      </c>
      <c r="J569" t="n">
        <v>0</v>
      </c>
      <c r="K569" t="n">
        <v>0</v>
      </c>
      <c r="L569" t="n">
        <v>0</v>
      </c>
      <c r="M569" t="n">
        <v>0</v>
      </c>
      <c r="N569" t="n">
        <v>0</v>
      </c>
      <c r="O569" t="n">
        <v>0</v>
      </c>
      <c r="P569" t="n">
        <v>0</v>
      </c>
      <c r="Q569" t="n">
        <v>0</v>
      </c>
      <c r="R569" s="2" t="inlineStr"/>
    </row>
    <row r="570" ht="15" customHeight="1">
      <c r="A570" t="inlineStr">
        <is>
          <t>A 16934-2025</t>
        </is>
      </c>
      <c r="B570" s="1" t="n">
        <v>45755.40671296296</v>
      </c>
      <c r="C570" s="1" t="n">
        <v>45890</v>
      </c>
      <c r="D570" t="inlineStr">
        <is>
          <t>VÄSTERNORRLANDS LÄN</t>
        </is>
      </c>
      <c r="E570" t="inlineStr">
        <is>
          <t>ÅNGE</t>
        </is>
      </c>
      <c r="G570" t="n">
        <v>3.9</v>
      </c>
      <c r="H570" t="n">
        <v>0</v>
      </c>
      <c r="I570" t="n">
        <v>0</v>
      </c>
      <c r="J570" t="n">
        <v>0</v>
      </c>
      <c r="K570" t="n">
        <v>0</v>
      </c>
      <c r="L570" t="n">
        <v>0</v>
      </c>
      <c r="M570" t="n">
        <v>0</v>
      </c>
      <c r="N570" t="n">
        <v>0</v>
      </c>
      <c r="O570" t="n">
        <v>0</v>
      </c>
      <c r="P570" t="n">
        <v>0</v>
      </c>
      <c r="Q570" t="n">
        <v>0</v>
      </c>
      <c r="R570" s="2" t="inlineStr"/>
    </row>
    <row r="571" ht="15" customHeight="1">
      <c r="A571" t="inlineStr">
        <is>
          <t>A 16281-2023</t>
        </is>
      </c>
      <c r="B571" s="1" t="n">
        <v>45028</v>
      </c>
      <c r="C571" s="1" t="n">
        <v>45890</v>
      </c>
      <c r="D571" t="inlineStr">
        <is>
          <t>VÄSTERNORRLANDS LÄN</t>
        </is>
      </c>
      <c r="E571" t="inlineStr">
        <is>
          <t>ÅNGE</t>
        </is>
      </c>
      <c r="G571" t="n">
        <v>1.6</v>
      </c>
      <c r="H571" t="n">
        <v>0</v>
      </c>
      <c r="I571" t="n">
        <v>0</v>
      </c>
      <c r="J571" t="n">
        <v>0</v>
      </c>
      <c r="K571" t="n">
        <v>0</v>
      </c>
      <c r="L571" t="n">
        <v>0</v>
      </c>
      <c r="M571" t="n">
        <v>0</v>
      </c>
      <c r="N571" t="n">
        <v>0</v>
      </c>
      <c r="O571" t="n">
        <v>0</v>
      </c>
      <c r="P571" t="n">
        <v>0</v>
      </c>
      <c r="Q571" t="n">
        <v>0</v>
      </c>
      <c r="R571" s="2" t="inlineStr"/>
    </row>
    <row r="572" ht="15" customHeight="1">
      <c r="A572" t="inlineStr">
        <is>
          <t>A 26012-2024</t>
        </is>
      </c>
      <c r="B572" s="1" t="n">
        <v>45467</v>
      </c>
      <c r="C572" s="1" t="n">
        <v>45890</v>
      </c>
      <c r="D572" t="inlineStr">
        <is>
          <t>VÄSTERNORRLANDS LÄN</t>
        </is>
      </c>
      <c r="E572" t="inlineStr">
        <is>
          <t>ÅNGE</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26015-2024</t>
        </is>
      </c>
      <c r="B573" s="1" t="n">
        <v>45467.95872685185</v>
      </c>
      <c r="C573" s="1" t="n">
        <v>45890</v>
      </c>
      <c r="D573" t="inlineStr">
        <is>
          <t>VÄSTERNORRLANDS LÄN</t>
        </is>
      </c>
      <c r="E573" t="inlineStr">
        <is>
          <t>ÅNGE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51377-2024</t>
        </is>
      </c>
      <c r="B574" s="1" t="n">
        <v>45604.38142361111</v>
      </c>
      <c r="C574" s="1" t="n">
        <v>45890</v>
      </c>
      <c r="D574" t="inlineStr">
        <is>
          <t>VÄSTERNORRLANDS LÄN</t>
        </is>
      </c>
      <c r="E574" t="inlineStr">
        <is>
          <t>ÅNGE</t>
        </is>
      </c>
      <c r="G574" t="n">
        <v>0.6</v>
      </c>
      <c r="H574" t="n">
        <v>0</v>
      </c>
      <c r="I574" t="n">
        <v>0</v>
      </c>
      <c r="J574" t="n">
        <v>0</v>
      </c>
      <c r="K574" t="n">
        <v>0</v>
      </c>
      <c r="L574" t="n">
        <v>0</v>
      </c>
      <c r="M574" t="n">
        <v>0</v>
      </c>
      <c r="N574" t="n">
        <v>0</v>
      </c>
      <c r="O574" t="n">
        <v>0</v>
      </c>
      <c r="P574" t="n">
        <v>0</v>
      </c>
      <c r="Q574" t="n">
        <v>0</v>
      </c>
      <c r="R574" s="2" t="inlineStr"/>
    </row>
    <row r="575" ht="15" customHeight="1">
      <c r="A575" t="inlineStr">
        <is>
          <t>A 44876-2024</t>
        </is>
      </c>
      <c r="B575" s="1" t="n">
        <v>45575.34474537037</v>
      </c>
      <c r="C575" s="1" t="n">
        <v>45890</v>
      </c>
      <c r="D575" t="inlineStr">
        <is>
          <t>VÄSTERNORRLANDS LÄN</t>
        </is>
      </c>
      <c r="E575" t="inlineStr">
        <is>
          <t>ÅNGE</t>
        </is>
      </c>
      <c r="F575" t="inlineStr">
        <is>
          <t>SCA</t>
        </is>
      </c>
      <c r="G575" t="n">
        <v>12.4</v>
      </c>
      <c r="H575" t="n">
        <v>0</v>
      </c>
      <c r="I575" t="n">
        <v>0</v>
      </c>
      <c r="J575" t="n">
        <v>0</v>
      </c>
      <c r="K575" t="n">
        <v>0</v>
      </c>
      <c r="L575" t="n">
        <v>0</v>
      </c>
      <c r="M575" t="n">
        <v>0</v>
      </c>
      <c r="N575" t="n">
        <v>0</v>
      </c>
      <c r="O575" t="n">
        <v>0</v>
      </c>
      <c r="P575" t="n">
        <v>0</v>
      </c>
      <c r="Q575" t="n">
        <v>0</v>
      </c>
      <c r="R575" s="2" t="inlineStr"/>
    </row>
    <row r="576" ht="15" customHeight="1">
      <c r="A576" t="inlineStr">
        <is>
          <t>A 15778-2025</t>
        </is>
      </c>
      <c r="B576" s="1" t="n">
        <v>45748.60030092593</v>
      </c>
      <c r="C576" s="1" t="n">
        <v>45890</v>
      </c>
      <c r="D576" t="inlineStr">
        <is>
          <t>VÄSTERNORRLANDS LÄN</t>
        </is>
      </c>
      <c r="E576" t="inlineStr">
        <is>
          <t>ÅNGE</t>
        </is>
      </c>
      <c r="F576" t="inlineStr">
        <is>
          <t>SCA</t>
        </is>
      </c>
      <c r="G576" t="n">
        <v>13.6</v>
      </c>
      <c r="H576" t="n">
        <v>0</v>
      </c>
      <c r="I576" t="n">
        <v>0</v>
      </c>
      <c r="J576" t="n">
        <v>0</v>
      </c>
      <c r="K576" t="n">
        <v>0</v>
      </c>
      <c r="L576" t="n">
        <v>0</v>
      </c>
      <c r="M576" t="n">
        <v>0</v>
      </c>
      <c r="N576" t="n">
        <v>0</v>
      </c>
      <c r="O576" t="n">
        <v>0</v>
      </c>
      <c r="P576" t="n">
        <v>0</v>
      </c>
      <c r="Q576" t="n">
        <v>0</v>
      </c>
      <c r="R576" s="2" t="inlineStr"/>
    </row>
    <row r="577" ht="15" customHeight="1">
      <c r="A577" t="inlineStr">
        <is>
          <t>A 20229-2022</t>
        </is>
      </c>
      <c r="B577" s="1" t="n">
        <v>44698.61150462963</v>
      </c>
      <c r="C577" s="1" t="n">
        <v>45890</v>
      </c>
      <c r="D577" t="inlineStr">
        <is>
          <t>VÄSTERNORRLANDS LÄN</t>
        </is>
      </c>
      <c r="E577" t="inlineStr">
        <is>
          <t>ÅNGE</t>
        </is>
      </c>
      <c r="G577" t="n">
        <v>1.1</v>
      </c>
      <c r="H577" t="n">
        <v>0</v>
      </c>
      <c r="I577" t="n">
        <v>0</v>
      </c>
      <c r="J577" t="n">
        <v>0</v>
      </c>
      <c r="K577" t="n">
        <v>0</v>
      </c>
      <c r="L577" t="n">
        <v>0</v>
      </c>
      <c r="M577" t="n">
        <v>0</v>
      </c>
      <c r="N577" t="n">
        <v>0</v>
      </c>
      <c r="O577" t="n">
        <v>0</v>
      </c>
      <c r="P577" t="n">
        <v>0</v>
      </c>
      <c r="Q577" t="n">
        <v>0</v>
      </c>
      <c r="R577" s="2" t="inlineStr"/>
    </row>
    <row r="578" ht="15" customHeight="1">
      <c r="A578" t="inlineStr">
        <is>
          <t>A 14097-2022</t>
        </is>
      </c>
      <c r="B578" s="1" t="n">
        <v>44651</v>
      </c>
      <c r="C578" s="1" t="n">
        <v>45890</v>
      </c>
      <c r="D578" t="inlineStr">
        <is>
          <t>VÄSTERNORRLANDS LÄN</t>
        </is>
      </c>
      <c r="E578" t="inlineStr">
        <is>
          <t>ÅNGE</t>
        </is>
      </c>
      <c r="G578" t="n">
        <v>1.4</v>
      </c>
      <c r="H578" t="n">
        <v>0</v>
      </c>
      <c r="I578" t="n">
        <v>0</v>
      </c>
      <c r="J578" t="n">
        <v>0</v>
      </c>
      <c r="K578" t="n">
        <v>0</v>
      </c>
      <c r="L578" t="n">
        <v>0</v>
      </c>
      <c r="M578" t="n">
        <v>0</v>
      </c>
      <c r="N578" t="n">
        <v>0</v>
      </c>
      <c r="O578" t="n">
        <v>0</v>
      </c>
      <c r="P578" t="n">
        <v>0</v>
      </c>
      <c r="Q578" t="n">
        <v>0</v>
      </c>
      <c r="R578" s="2" t="inlineStr"/>
    </row>
    <row r="579" ht="15" customHeight="1">
      <c r="A579" t="inlineStr">
        <is>
          <t>A 48697-2024</t>
        </is>
      </c>
      <c r="B579" s="1" t="n">
        <v>45593.51136574074</v>
      </c>
      <c r="C579" s="1" t="n">
        <v>45890</v>
      </c>
      <c r="D579" t="inlineStr">
        <is>
          <t>VÄSTERNORRLANDS LÄN</t>
        </is>
      </c>
      <c r="E579" t="inlineStr">
        <is>
          <t>ÅNGE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39764-2024</t>
        </is>
      </c>
      <c r="B580" s="1" t="n">
        <v>45552.7190162037</v>
      </c>
      <c r="C580" s="1" t="n">
        <v>45890</v>
      </c>
      <c r="D580" t="inlineStr">
        <is>
          <t>VÄSTERNORRLANDS LÄN</t>
        </is>
      </c>
      <c r="E580" t="inlineStr">
        <is>
          <t>ÅNGE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1095-2023</t>
        </is>
      </c>
      <c r="B581" s="1" t="n">
        <v>44929</v>
      </c>
      <c r="C581" s="1" t="n">
        <v>45890</v>
      </c>
      <c r="D581" t="inlineStr">
        <is>
          <t>VÄSTERNORRLANDS LÄN</t>
        </is>
      </c>
      <c r="E581" t="inlineStr">
        <is>
          <t>ÅNGE</t>
        </is>
      </c>
      <c r="G581" t="n">
        <v>3.2</v>
      </c>
      <c r="H581" t="n">
        <v>0</v>
      </c>
      <c r="I581" t="n">
        <v>0</v>
      </c>
      <c r="J581" t="n">
        <v>0</v>
      </c>
      <c r="K581" t="n">
        <v>0</v>
      </c>
      <c r="L581" t="n">
        <v>0</v>
      </c>
      <c r="M581" t="n">
        <v>0</v>
      </c>
      <c r="N581" t="n">
        <v>0</v>
      </c>
      <c r="O581" t="n">
        <v>0</v>
      </c>
      <c r="P581" t="n">
        <v>0</v>
      </c>
      <c r="Q581" t="n">
        <v>0</v>
      </c>
      <c r="R581" s="2" t="inlineStr"/>
    </row>
    <row r="582" ht="15" customHeight="1">
      <c r="A582" t="inlineStr">
        <is>
          <t>A 32901-2023</t>
        </is>
      </c>
      <c r="B582" s="1" t="n">
        <v>45124.95063657407</v>
      </c>
      <c r="C582" s="1" t="n">
        <v>45890</v>
      </c>
      <c r="D582" t="inlineStr">
        <is>
          <t>VÄSTERNORRLANDS LÄN</t>
        </is>
      </c>
      <c r="E582" t="inlineStr">
        <is>
          <t>ÅNGE</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30683-2024</t>
        </is>
      </c>
      <c r="B583" s="1" t="n">
        <v>45495</v>
      </c>
      <c r="C583" s="1" t="n">
        <v>45890</v>
      </c>
      <c r="D583" t="inlineStr">
        <is>
          <t>VÄSTERNORRLANDS LÄN</t>
        </is>
      </c>
      <c r="E583" t="inlineStr">
        <is>
          <t>ÅNGE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46795-2023</t>
        </is>
      </c>
      <c r="B584" s="1" t="n">
        <v>45198</v>
      </c>
      <c r="C584" s="1" t="n">
        <v>45890</v>
      </c>
      <c r="D584" t="inlineStr">
        <is>
          <t>VÄSTERNORRLANDS LÄN</t>
        </is>
      </c>
      <c r="E584" t="inlineStr">
        <is>
          <t>ÅNGE</t>
        </is>
      </c>
      <c r="F584" t="inlineStr">
        <is>
          <t>Holmen skog AB</t>
        </is>
      </c>
      <c r="G584" t="n">
        <v>2.5</v>
      </c>
      <c r="H584" t="n">
        <v>0</v>
      </c>
      <c r="I584" t="n">
        <v>0</v>
      </c>
      <c r="J584" t="n">
        <v>0</v>
      </c>
      <c r="K584" t="n">
        <v>0</v>
      </c>
      <c r="L584" t="n">
        <v>0</v>
      </c>
      <c r="M584" t="n">
        <v>0</v>
      </c>
      <c r="N584" t="n">
        <v>0</v>
      </c>
      <c r="O584" t="n">
        <v>0</v>
      </c>
      <c r="P584" t="n">
        <v>0</v>
      </c>
      <c r="Q584" t="n">
        <v>0</v>
      </c>
      <c r="R584" s="2" t="inlineStr"/>
    </row>
    <row r="585" ht="15" customHeight="1">
      <c r="A585" t="inlineStr">
        <is>
          <t>A 15603-2024</t>
        </is>
      </c>
      <c r="B585" s="1" t="n">
        <v>45401.92501157407</v>
      </c>
      <c r="C585" s="1" t="n">
        <v>45890</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16657-2025</t>
        </is>
      </c>
      <c r="B586" s="1" t="n">
        <v>45754.40700231482</v>
      </c>
      <c r="C586" s="1" t="n">
        <v>45890</v>
      </c>
      <c r="D586" t="inlineStr">
        <is>
          <t>VÄSTERNORRLANDS LÄN</t>
        </is>
      </c>
      <c r="E586" t="inlineStr">
        <is>
          <t>ÅNGE</t>
        </is>
      </c>
      <c r="F586" t="inlineStr">
        <is>
          <t>SCA</t>
        </is>
      </c>
      <c r="G586" t="n">
        <v>5.1</v>
      </c>
      <c r="H586" t="n">
        <v>0</v>
      </c>
      <c r="I586" t="n">
        <v>0</v>
      </c>
      <c r="J586" t="n">
        <v>0</v>
      </c>
      <c r="K586" t="n">
        <v>0</v>
      </c>
      <c r="L586" t="n">
        <v>0</v>
      </c>
      <c r="M586" t="n">
        <v>0</v>
      </c>
      <c r="N586" t="n">
        <v>0</v>
      </c>
      <c r="O586" t="n">
        <v>0</v>
      </c>
      <c r="P586" t="n">
        <v>0</v>
      </c>
      <c r="Q586" t="n">
        <v>0</v>
      </c>
      <c r="R586" s="2" t="inlineStr"/>
    </row>
    <row r="587" ht="15" customHeight="1">
      <c r="A587" t="inlineStr">
        <is>
          <t>A 63709-2023</t>
        </is>
      </c>
      <c r="B587" s="1" t="n">
        <v>45275.95069444444</v>
      </c>
      <c r="C587" s="1" t="n">
        <v>45890</v>
      </c>
      <c r="D587" t="inlineStr">
        <is>
          <t>VÄSTERNORRLANDS LÄN</t>
        </is>
      </c>
      <c r="E587" t="inlineStr">
        <is>
          <t>ÅNGE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30353-2024</t>
        </is>
      </c>
      <c r="B588" s="1" t="n">
        <v>45490.95567129629</v>
      </c>
      <c r="C588" s="1" t="n">
        <v>45890</v>
      </c>
      <c r="D588" t="inlineStr">
        <is>
          <t>VÄSTERNORRLANDS LÄN</t>
        </is>
      </c>
      <c r="E588" t="inlineStr">
        <is>
          <t>ÅNGE</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4187-2025</t>
        </is>
      </c>
      <c r="B589" s="1" t="n">
        <v>45685.44842592593</v>
      </c>
      <c r="C589" s="1" t="n">
        <v>45890</v>
      </c>
      <c r="D589" t="inlineStr">
        <is>
          <t>VÄSTERNORRLANDS LÄN</t>
        </is>
      </c>
      <c r="E589" t="inlineStr">
        <is>
          <t>ÅNGE</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58929-2024</t>
        </is>
      </c>
      <c r="B590" s="1" t="n">
        <v>45636.51090277778</v>
      </c>
      <c r="C590" s="1" t="n">
        <v>45890</v>
      </c>
      <c r="D590" t="inlineStr">
        <is>
          <t>VÄSTERNORRLANDS LÄN</t>
        </is>
      </c>
      <c r="E590" t="inlineStr">
        <is>
          <t>ÅNGE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42100-2023</t>
        </is>
      </c>
      <c r="B591" s="1" t="n">
        <v>45174</v>
      </c>
      <c r="C591" s="1" t="n">
        <v>45890</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2365-2024</t>
        </is>
      </c>
      <c r="B592" s="1" t="n">
        <v>45310.59778935185</v>
      </c>
      <c r="C592" s="1" t="n">
        <v>45890</v>
      </c>
      <c r="D592" t="inlineStr">
        <is>
          <t>VÄSTERNORRLANDS LÄN</t>
        </is>
      </c>
      <c r="E592" t="inlineStr">
        <is>
          <t>ÅNGE</t>
        </is>
      </c>
      <c r="G592" t="n">
        <v>0.5</v>
      </c>
      <c r="H592" t="n">
        <v>0</v>
      </c>
      <c r="I592" t="n">
        <v>0</v>
      </c>
      <c r="J592" t="n">
        <v>0</v>
      </c>
      <c r="K592" t="n">
        <v>0</v>
      </c>
      <c r="L592" t="n">
        <v>0</v>
      </c>
      <c r="M592" t="n">
        <v>0</v>
      </c>
      <c r="N592" t="n">
        <v>0</v>
      </c>
      <c r="O592" t="n">
        <v>0</v>
      </c>
      <c r="P592" t="n">
        <v>0</v>
      </c>
      <c r="Q592" t="n">
        <v>0</v>
      </c>
      <c r="R592" s="2" t="inlineStr"/>
    </row>
    <row r="593" ht="15" customHeight="1">
      <c r="A593" t="inlineStr">
        <is>
          <t>A 2372-2024</t>
        </is>
      </c>
      <c r="B593" s="1" t="n">
        <v>45310.6115625</v>
      </c>
      <c r="C593" s="1" t="n">
        <v>45890</v>
      </c>
      <c r="D593" t="inlineStr">
        <is>
          <t>VÄSTERNORRLANDS LÄN</t>
        </is>
      </c>
      <c r="E593" t="inlineStr">
        <is>
          <t>ÅNGE</t>
        </is>
      </c>
      <c r="G593" t="n">
        <v>5.6</v>
      </c>
      <c r="H593" t="n">
        <v>0</v>
      </c>
      <c r="I593" t="n">
        <v>0</v>
      </c>
      <c r="J593" t="n">
        <v>0</v>
      </c>
      <c r="K593" t="n">
        <v>0</v>
      </c>
      <c r="L593" t="n">
        <v>0</v>
      </c>
      <c r="M593" t="n">
        <v>0</v>
      </c>
      <c r="N593" t="n">
        <v>0</v>
      </c>
      <c r="O593" t="n">
        <v>0</v>
      </c>
      <c r="P593" t="n">
        <v>0</v>
      </c>
      <c r="Q593" t="n">
        <v>0</v>
      </c>
      <c r="R593" s="2" t="inlineStr"/>
    </row>
    <row r="594" ht="15" customHeight="1">
      <c r="A594" t="inlineStr">
        <is>
          <t>A 11310-2023</t>
        </is>
      </c>
      <c r="B594" s="1" t="n">
        <v>44993.01190972222</v>
      </c>
      <c r="C594" s="1" t="n">
        <v>45890</v>
      </c>
      <c r="D594" t="inlineStr">
        <is>
          <t>VÄSTERNORRLANDS LÄN</t>
        </is>
      </c>
      <c r="E594" t="inlineStr">
        <is>
          <t>ÅNGE</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46775-2024</t>
        </is>
      </c>
      <c r="B595" s="1" t="n">
        <v>45583.49711805556</v>
      </c>
      <c r="C595" s="1" t="n">
        <v>45890</v>
      </c>
      <c r="D595" t="inlineStr">
        <is>
          <t>VÄSTERNORRLANDS LÄN</t>
        </is>
      </c>
      <c r="E595" t="inlineStr">
        <is>
          <t>ÅNGE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46780-2024</t>
        </is>
      </c>
      <c r="B596" s="1" t="n">
        <v>45583.51076388889</v>
      </c>
      <c r="C596" s="1" t="n">
        <v>45890</v>
      </c>
      <c r="D596" t="inlineStr">
        <is>
          <t>VÄSTERNORRLANDS LÄN</t>
        </is>
      </c>
      <c r="E596" t="inlineStr">
        <is>
          <t>ÅNGE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21409-2022</t>
        </is>
      </c>
      <c r="B597" s="1" t="n">
        <v>44705.9406712963</v>
      </c>
      <c r="C597" s="1" t="n">
        <v>45890</v>
      </c>
      <c r="D597" t="inlineStr">
        <is>
          <t>VÄSTERNORRLANDS LÄN</t>
        </is>
      </c>
      <c r="E597" t="inlineStr">
        <is>
          <t>ÅNGE</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22997-2023</t>
        </is>
      </c>
      <c r="B598" s="1" t="n">
        <v>45072.94211805556</v>
      </c>
      <c r="C598" s="1" t="n">
        <v>45890</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48632-2023</t>
        </is>
      </c>
      <c r="B599" s="1" t="n">
        <v>45208.57944444445</v>
      </c>
      <c r="C599" s="1" t="n">
        <v>45890</v>
      </c>
      <c r="D599" t="inlineStr">
        <is>
          <t>VÄSTERNORRLANDS LÄN</t>
        </is>
      </c>
      <c r="E599" t="inlineStr">
        <is>
          <t>ÅNGE</t>
        </is>
      </c>
      <c r="G599" t="n">
        <v>2.2</v>
      </c>
      <c r="H599" t="n">
        <v>0</v>
      </c>
      <c r="I599" t="n">
        <v>0</v>
      </c>
      <c r="J599" t="n">
        <v>0</v>
      </c>
      <c r="K599" t="n">
        <v>0</v>
      </c>
      <c r="L599" t="n">
        <v>0</v>
      </c>
      <c r="M599" t="n">
        <v>0</v>
      </c>
      <c r="N599" t="n">
        <v>0</v>
      </c>
      <c r="O599" t="n">
        <v>0</v>
      </c>
      <c r="P599" t="n">
        <v>0</v>
      </c>
      <c r="Q599" t="n">
        <v>0</v>
      </c>
      <c r="R599" s="2" t="inlineStr"/>
    </row>
    <row r="600" ht="15" customHeight="1">
      <c r="A600" t="inlineStr">
        <is>
          <t>A 20696-2025</t>
        </is>
      </c>
      <c r="B600" s="1" t="n">
        <v>45776.46969907408</v>
      </c>
      <c r="C600" s="1" t="n">
        <v>45890</v>
      </c>
      <c r="D600" t="inlineStr">
        <is>
          <t>VÄSTERNORRLANDS LÄN</t>
        </is>
      </c>
      <c r="E600" t="inlineStr">
        <is>
          <t>ÅNGE</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20717-2025</t>
        </is>
      </c>
      <c r="B601" s="1" t="n">
        <v>45776.49040509259</v>
      </c>
      <c r="C601" s="1" t="n">
        <v>45890</v>
      </c>
      <c r="D601" t="inlineStr">
        <is>
          <t>VÄSTERNORRLANDS LÄN</t>
        </is>
      </c>
      <c r="E601" t="inlineStr">
        <is>
          <t>ÅNGE</t>
        </is>
      </c>
      <c r="F601" t="inlineStr">
        <is>
          <t>SCA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21068-2025</t>
        </is>
      </c>
      <c r="B602" s="1" t="n">
        <v>45777.59413194445</v>
      </c>
      <c r="C602" s="1" t="n">
        <v>45890</v>
      </c>
      <c r="D602" t="inlineStr">
        <is>
          <t>VÄSTERNORRLANDS LÄN</t>
        </is>
      </c>
      <c r="E602" t="inlineStr">
        <is>
          <t>ÅNGE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20761-2024</t>
        </is>
      </c>
      <c r="B603" s="1" t="n">
        <v>45436</v>
      </c>
      <c r="C603" s="1" t="n">
        <v>45890</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6619-2025</t>
        </is>
      </c>
      <c r="B604" s="1" t="n">
        <v>45700.36541666667</v>
      </c>
      <c r="C604" s="1" t="n">
        <v>45890</v>
      </c>
      <c r="D604" t="inlineStr">
        <is>
          <t>VÄSTERNORRLANDS LÄN</t>
        </is>
      </c>
      <c r="E604" t="inlineStr">
        <is>
          <t>ÅNGE</t>
        </is>
      </c>
      <c r="F604" t="inlineStr">
        <is>
          <t>SCA</t>
        </is>
      </c>
      <c r="G604" t="n">
        <v>10.3</v>
      </c>
      <c r="H604" t="n">
        <v>0</v>
      </c>
      <c r="I604" t="n">
        <v>0</v>
      </c>
      <c r="J604" t="n">
        <v>0</v>
      </c>
      <c r="K604" t="n">
        <v>0</v>
      </c>
      <c r="L604" t="n">
        <v>0</v>
      </c>
      <c r="M604" t="n">
        <v>0</v>
      </c>
      <c r="N604" t="n">
        <v>0</v>
      </c>
      <c r="O604" t="n">
        <v>0</v>
      </c>
      <c r="P604" t="n">
        <v>0</v>
      </c>
      <c r="Q604" t="n">
        <v>0</v>
      </c>
      <c r="R604" s="2" t="inlineStr"/>
    </row>
    <row r="605" ht="15" customHeight="1">
      <c r="A605" t="inlineStr">
        <is>
          <t>A 41355-2024</t>
        </is>
      </c>
      <c r="B605" s="1" t="n">
        <v>45559.69833333333</v>
      </c>
      <c r="C605" s="1" t="n">
        <v>45890</v>
      </c>
      <c r="D605" t="inlineStr">
        <is>
          <t>VÄSTERNORRLANDS LÄN</t>
        </is>
      </c>
      <c r="E605" t="inlineStr">
        <is>
          <t>ÅNGE</t>
        </is>
      </c>
      <c r="F605" t="inlineStr">
        <is>
          <t>SCA</t>
        </is>
      </c>
      <c r="G605" t="n">
        <v>6.1</v>
      </c>
      <c r="H605" t="n">
        <v>0</v>
      </c>
      <c r="I605" t="n">
        <v>0</v>
      </c>
      <c r="J605" t="n">
        <v>0</v>
      </c>
      <c r="K605" t="n">
        <v>0</v>
      </c>
      <c r="L605" t="n">
        <v>0</v>
      </c>
      <c r="M605" t="n">
        <v>0</v>
      </c>
      <c r="N605" t="n">
        <v>0</v>
      </c>
      <c r="O605" t="n">
        <v>0</v>
      </c>
      <c r="P605" t="n">
        <v>0</v>
      </c>
      <c r="Q605" t="n">
        <v>0</v>
      </c>
      <c r="R605" s="2" t="inlineStr"/>
    </row>
    <row r="606" ht="15" customHeight="1">
      <c r="A606" t="inlineStr">
        <is>
          <t>A 20864-2025</t>
        </is>
      </c>
      <c r="B606" s="1" t="n">
        <v>45777.34417824074</v>
      </c>
      <c r="C606" s="1" t="n">
        <v>45890</v>
      </c>
      <c r="D606" t="inlineStr">
        <is>
          <t>VÄSTERNORRLANDS LÄN</t>
        </is>
      </c>
      <c r="E606" t="inlineStr">
        <is>
          <t>ÅNGE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10339-2025</t>
        </is>
      </c>
      <c r="B607" s="1" t="n">
        <v>45720</v>
      </c>
      <c r="C607" s="1" t="n">
        <v>45890</v>
      </c>
      <c r="D607" t="inlineStr">
        <is>
          <t>VÄSTERNORRLANDS LÄN</t>
        </is>
      </c>
      <c r="E607" t="inlineStr">
        <is>
          <t>ÅNGE</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20868-2025</t>
        </is>
      </c>
      <c r="B608" s="1" t="n">
        <v>45777.34483796296</v>
      </c>
      <c r="C608" s="1" t="n">
        <v>45890</v>
      </c>
      <c r="D608" t="inlineStr">
        <is>
          <t>VÄSTERNORRLANDS LÄN</t>
        </is>
      </c>
      <c r="E608" t="inlineStr">
        <is>
          <t>ÅNGE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20718-2025</t>
        </is>
      </c>
      <c r="B609" s="1" t="n">
        <v>45776.49047453704</v>
      </c>
      <c r="C609" s="1" t="n">
        <v>45890</v>
      </c>
      <c r="D609" t="inlineStr">
        <is>
          <t>VÄSTERNORRLANDS LÄN</t>
        </is>
      </c>
      <c r="E609" t="inlineStr">
        <is>
          <t>ÅNGE</t>
        </is>
      </c>
      <c r="G609" t="n">
        <v>4.7</v>
      </c>
      <c r="H609" t="n">
        <v>0</v>
      </c>
      <c r="I609" t="n">
        <v>0</v>
      </c>
      <c r="J609" t="n">
        <v>0</v>
      </c>
      <c r="K609" t="n">
        <v>0</v>
      </c>
      <c r="L609" t="n">
        <v>0</v>
      </c>
      <c r="M609" t="n">
        <v>0</v>
      </c>
      <c r="N609" t="n">
        <v>0</v>
      </c>
      <c r="O609" t="n">
        <v>0</v>
      </c>
      <c r="P609" t="n">
        <v>0</v>
      </c>
      <c r="Q609" t="n">
        <v>0</v>
      </c>
      <c r="R609" s="2" t="inlineStr"/>
    </row>
    <row r="610" ht="15" customHeight="1">
      <c r="A610" t="inlineStr">
        <is>
          <t>A 732-2023</t>
        </is>
      </c>
      <c r="B610" s="1" t="n">
        <v>44931.29981481482</v>
      </c>
      <c r="C610" s="1" t="n">
        <v>45890</v>
      </c>
      <c r="D610" t="inlineStr">
        <is>
          <t>VÄSTERNORRLANDS LÄN</t>
        </is>
      </c>
      <c r="E610" t="inlineStr">
        <is>
          <t>ÅNGE</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20776-2025</t>
        </is>
      </c>
      <c r="B611" s="1" t="n">
        <v>45776.59410879629</v>
      </c>
      <c r="C611" s="1" t="n">
        <v>45890</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12581-2024</t>
        </is>
      </c>
      <c r="B612" s="1" t="n">
        <v>45379</v>
      </c>
      <c r="C612" s="1" t="n">
        <v>45890</v>
      </c>
      <c r="D612" t="inlineStr">
        <is>
          <t>VÄSTERNORRLANDS LÄN</t>
        </is>
      </c>
      <c r="E612" t="inlineStr">
        <is>
          <t>ÅNGE</t>
        </is>
      </c>
      <c r="G612" t="n">
        <v>1.7</v>
      </c>
      <c r="H612" t="n">
        <v>0</v>
      </c>
      <c r="I612" t="n">
        <v>0</v>
      </c>
      <c r="J612" t="n">
        <v>0</v>
      </c>
      <c r="K612" t="n">
        <v>0</v>
      </c>
      <c r="L612" t="n">
        <v>0</v>
      </c>
      <c r="M612" t="n">
        <v>0</v>
      </c>
      <c r="N612" t="n">
        <v>0</v>
      </c>
      <c r="O612" t="n">
        <v>0</v>
      </c>
      <c r="P612" t="n">
        <v>0</v>
      </c>
      <c r="Q612" t="n">
        <v>0</v>
      </c>
      <c r="R612" s="2" t="inlineStr"/>
    </row>
    <row r="613" ht="15" customHeight="1">
      <c r="A613" t="inlineStr">
        <is>
          <t>A 20716-2025</t>
        </is>
      </c>
      <c r="B613" s="1" t="n">
        <v>45776.49026620371</v>
      </c>
      <c r="C613" s="1" t="n">
        <v>45890</v>
      </c>
      <c r="D613" t="inlineStr">
        <is>
          <t>VÄSTERNORRLANDS LÄN</t>
        </is>
      </c>
      <c r="E613" t="inlineStr">
        <is>
          <t>ÅNGE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21174-2025</t>
        </is>
      </c>
      <c r="B614" s="1" t="n">
        <v>45779.42746527777</v>
      </c>
      <c r="C614" s="1" t="n">
        <v>45890</v>
      </c>
      <c r="D614" t="inlineStr">
        <is>
          <t>VÄSTERNORRLANDS LÄN</t>
        </is>
      </c>
      <c r="E614" t="inlineStr">
        <is>
          <t>ÅNGE</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21197-2025</t>
        </is>
      </c>
      <c r="B615" s="1" t="n">
        <v>45779.46949074074</v>
      </c>
      <c r="C615" s="1" t="n">
        <v>45890</v>
      </c>
      <c r="D615" t="inlineStr">
        <is>
          <t>VÄSTERNORRLANDS LÄN</t>
        </is>
      </c>
      <c r="E615" t="inlineStr">
        <is>
          <t>ÅNGE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45030-2024</t>
        </is>
      </c>
      <c r="B616" s="1" t="n">
        <v>45575.52089120371</v>
      </c>
      <c r="C616" s="1" t="n">
        <v>45890</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58943-2022</t>
        </is>
      </c>
      <c r="B617" s="1" t="n">
        <v>44903.64400462963</v>
      </c>
      <c r="C617" s="1" t="n">
        <v>45890</v>
      </c>
      <c r="D617" t="inlineStr">
        <is>
          <t>VÄSTERNORRLANDS LÄN</t>
        </is>
      </c>
      <c r="E617" t="inlineStr">
        <is>
          <t>ÅNGE</t>
        </is>
      </c>
      <c r="G617" t="n">
        <v>5.6</v>
      </c>
      <c r="H617" t="n">
        <v>0</v>
      </c>
      <c r="I617" t="n">
        <v>0</v>
      </c>
      <c r="J617" t="n">
        <v>0</v>
      </c>
      <c r="K617" t="n">
        <v>0</v>
      </c>
      <c r="L617" t="n">
        <v>0</v>
      </c>
      <c r="M617" t="n">
        <v>0</v>
      </c>
      <c r="N617" t="n">
        <v>0</v>
      </c>
      <c r="O617" t="n">
        <v>0</v>
      </c>
      <c r="P617" t="n">
        <v>0</v>
      </c>
      <c r="Q617" t="n">
        <v>0</v>
      </c>
      <c r="R617" s="2" t="inlineStr"/>
    </row>
    <row r="618" ht="15" customHeight="1">
      <c r="A618" t="inlineStr">
        <is>
          <t>A 21263-2025</t>
        </is>
      </c>
      <c r="B618" s="1" t="n">
        <v>45779.61233796296</v>
      </c>
      <c r="C618" s="1" t="n">
        <v>45890</v>
      </c>
      <c r="D618" t="inlineStr">
        <is>
          <t>VÄSTERNORRLANDS LÄN</t>
        </is>
      </c>
      <c r="E618" t="inlineStr">
        <is>
          <t>ÅNGE</t>
        </is>
      </c>
      <c r="F618" t="inlineStr">
        <is>
          <t>Sveaskog</t>
        </is>
      </c>
      <c r="G618" t="n">
        <v>14.9</v>
      </c>
      <c r="H618" t="n">
        <v>0</v>
      </c>
      <c r="I618" t="n">
        <v>0</v>
      </c>
      <c r="J618" t="n">
        <v>0</v>
      </c>
      <c r="K618" t="n">
        <v>0</v>
      </c>
      <c r="L618" t="n">
        <v>0</v>
      </c>
      <c r="M618" t="n">
        <v>0</v>
      </c>
      <c r="N618" t="n">
        <v>0</v>
      </c>
      <c r="O618" t="n">
        <v>0</v>
      </c>
      <c r="P618" t="n">
        <v>0</v>
      </c>
      <c r="Q618" t="n">
        <v>0</v>
      </c>
      <c r="R618" s="2" t="inlineStr"/>
    </row>
    <row r="619" ht="15" customHeight="1">
      <c r="A619" t="inlineStr">
        <is>
          <t>A 21251-2025</t>
        </is>
      </c>
      <c r="B619" s="1" t="n">
        <v>45779.57417824074</v>
      </c>
      <c r="C619" s="1" t="n">
        <v>45890</v>
      </c>
      <c r="D619" t="inlineStr">
        <is>
          <t>VÄSTERNORRLANDS LÄN</t>
        </is>
      </c>
      <c r="E619" t="inlineStr">
        <is>
          <t>ÅNGE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21176-2025</t>
        </is>
      </c>
      <c r="B620" s="1" t="n">
        <v>45779.42798611111</v>
      </c>
      <c r="C620" s="1" t="n">
        <v>45890</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29462-2024</t>
        </is>
      </c>
      <c r="B621" s="1" t="n">
        <v>45483.96979166667</v>
      </c>
      <c r="C621" s="1" t="n">
        <v>45890</v>
      </c>
      <c r="D621" t="inlineStr">
        <is>
          <t>VÄSTERNORRLANDS LÄN</t>
        </is>
      </c>
      <c r="E621" t="inlineStr">
        <is>
          <t>ÅNGE</t>
        </is>
      </c>
      <c r="F621" t="inlineStr">
        <is>
          <t>SCA</t>
        </is>
      </c>
      <c r="G621" t="n">
        <v>8.4</v>
      </c>
      <c r="H621" t="n">
        <v>0</v>
      </c>
      <c r="I621" t="n">
        <v>0</v>
      </c>
      <c r="J621" t="n">
        <v>0</v>
      </c>
      <c r="K621" t="n">
        <v>0</v>
      </c>
      <c r="L621" t="n">
        <v>0</v>
      </c>
      <c r="M621" t="n">
        <v>0</v>
      </c>
      <c r="N621" t="n">
        <v>0</v>
      </c>
      <c r="O621" t="n">
        <v>0</v>
      </c>
      <c r="P621" t="n">
        <v>0</v>
      </c>
      <c r="Q621" t="n">
        <v>0</v>
      </c>
      <c r="R621" s="2" t="inlineStr"/>
    </row>
    <row r="622" ht="15" customHeight="1">
      <c r="A622" t="inlineStr">
        <is>
          <t>A 21741-2025</t>
        </is>
      </c>
      <c r="B622" s="1" t="n">
        <v>45783.59415509259</v>
      </c>
      <c r="C622" s="1" t="n">
        <v>45890</v>
      </c>
      <c r="D622" t="inlineStr">
        <is>
          <t>VÄSTERNORRLANDS LÄN</t>
        </is>
      </c>
      <c r="E622" t="inlineStr">
        <is>
          <t>ÅNGE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21792-2025</t>
        </is>
      </c>
      <c r="B623" s="1" t="n">
        <v>45783.6778587963</v>
      </c>
      <c r="C623" s="1" t="n">
        <v>45890</v>
      </c>
      <c r="D623" t="inlineStr">
        <is>
          <t>VÄSTERNORRLANDS LÄN</t>
        </is>
      </c>
      <c r="E623" t="inlineStr">
        <is>
          <t>ÅNGE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21685-2025</t>
        </is>
      </c>
      <c r="B624" s="1" t="n">
        <v>45783.49050925926</v>
      </c>
      <c r="C624" s="1" t="n">
        <v>45890</v>
      </c>
      <c r="D624" t="inlineStr">
        <is>
          <t>VÄSTERNORRLANDS LÄN</t>
        </is>
      </c>
      <c r="E624" t="inlineStr">
        <is>
          <t>ÅNGE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55558-2024</t>
        </is>
      </c>
      <c r="B625" s="1" t="n">
        <v>45622.52586805556</v>
      </c>
      <c r="C625" s="1" t="n">
        <v>45890</v>
      </c>
      <c r="D625" t="inlineStr">
        <is>
          <t>VÄSTERNORRLANDS LÄN</t>
        </is>
      </c>
      <c r="E625" t="inlineStr">
        <is>
          <t>ÅNGE</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55177-2024</t>
        </is>
      </c>
      <c r="B626" s="1" t="n">
        <v>45621.53179398148</v>
      </c>
      <c r="C626" s="1" t="n">
        <v>45890</v>
      </c>
      <c r="D626" t="inlineStr">
        <is>
          <t>VÄSTERNORRLANDS LÄN</t>
        </is>
      </c>
      <c r="E626" t="inlineStr">
        <is>
          <t>ÅNGE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21597-2025</t>
        </is>
      </c>
      <c r="B627" s="1" t="n">
        <v>45783.34493055556</v>
      </c>
      <c r="C627" s="1" t="n">
        <v>45890</v>
      </c>
      <c r="D627" t="inlineStr">
        <is>
          <t>VÄSTERNORRLANDS LÄN</t>
        </is>
      </c>
      <c r="E627" t="inlineStr">
        <is>
          <t>ÅNGE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17669-2023</t>
        </is>
      </c>
      <c r="B628" s="1" t="n">
        <v>45036.94457175926</v>
      </c>
      <c r="C628" s="1" t="n">
        <v>45890</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21791-2025</t>
        </is>
      </c>
      <c r="B629" s="1" t="n">
        <v>45783.67771990741</v>
      </c>
      <c r="C629" s="1" t="n">
        <v>45890</v>
      </c>
      <c r="D629" t="inlineStr">
        <is>
          <t>VÄSTERNORRLANDS LÄN</t>
        </is>
      </c>
      <c r="E629" t="inlineStr">
        <is>
          <t>ÅNGE</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52665-2024</t>
        </is>
      </c>
      <c r="B630" s="1" t="n">
        <v>45610.36549768518</v>
      </c>
      <c r="C630" s="1" t="n">
        <v>45890</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20338-2025</t>
        </is>
      </c>
      <c r="B631" s="1" t="n">
        <v>45775</v>
      </c>
      <c r="C631" s="1" t="n">
        <v>45890</v>
      </c>
      <c r="D631" t="inlineStr">
        <is>
          <t>VÄSTERNORRLANDS LÄN</t>
        </is>
      </c>
      <c r="E631" t="inlineStr">
        <is>
          <t>ÅNGE</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25867-2024</t>
        </is>
      </c>
      <c r="B632" s="1" t="n">
        <v>45463</v>
      </c>
      <c r="C632" s="1" t="n">
        <v>45890</v>
      </c>
      <c r="D632" t="inlineStr">
        <is>
          <t>VÄSTERNORRLANDS LÄN</t>
        </is>
      </c>
      <c r="E632" t="inlineStr">
        <is>
          <t>ÅNGE</t>
        </is>
      </c>
      <c r="G632" t="n">
        <v>2.7</v>
      </c>
      <c r="H632" t="n">
        <v>0</v>
      </c>
      <c r="I632" t="n">
        <v>0</v>
      </c>
      <c r="J632" t="n">
        <v>0</v>
      </c>
      <c r="K632" t="n">
        <v>0</v>
      </c>
      <c r="L632" t="n">
        <v>0</v>
      </c>
      <c r="M632" t="n">
        <v>0</v>
      </c>
      <c r="N632" t="n">
        <v>0</v>
      </c>
      <c r="O632" t="n">
        <v>0</v>
      </c>
      <c r="P632" t="n">
        <v>0</v>
      </c>
      <c r="Q632" t="n">
        <v>0</v>
      </c>
      <c r="R632" s="2" t="inlineStr"/>
    </row>
    <row r="633" ht="15" customHeight="1">
      <c r="A633" t="inlineStr">
        <is>
          <t>A 2539-2025</t>
        </is>
      </c>
      <c r="B633" s="1" t="n">
        <v>45674.61581018518</v>
      </c>
      <c r="C633" s="1" t="n">
        <v>45890</v>
      </c>
      <c r="D633" t="inlineStr">
        <is>
          <t>VÄSTERNORRLANDS LÄN</t>
        </is>
      </c>
      <c r="E633" t="inlineStr">
        <is>
          <t>ÅNGE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21454-2025</t>
        </is>
      </c>
      <c r="B634" s="1" t="n">
        <v>45782.55322916667</v>
      </c>
      <c r="C634" s="1" t="n">
        <v>45890</v>
      </c>
      <c r="D634" t="inlineStr">
        <is>
          <t>VÄSTERNORRLANDS LÄN</t>
        </is>
      </c>
      <c r="E634" t="inlineStr">
        <is>
          <t>ÅNGE</t>
        </is>
      </c>
      <c r="F634" t="inlineStr">
        <is>
          <t>SCA</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33305-2024</t>
        </is>
      </c>
      <c r="B635" s="1" t="n">
        <v>45518</v>
      </c>
      <c r="C635" s="1" t="n">
        <v>45890</v>
      </c>
      <c r="D635" t="inlineStr">
        <is>
          <t>VÄSTERNORRLANDS LÄN</t>
        </is>
      </c>
      <c r="E635" t="inlineStr">
        <is>
          <t>ÅNGE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33306-2024</t>
        </is>
      </c>
      <c r="B636" s="1" t="n">
        <v>45518</v>
      </c>
      <c r="C636" s="1" t="n">
        <v>45890</v>
      </c>
      <c r="D636" t="inlineStr">
        <is>
          <t>VÄSTERNORRLANDS LÄN</t>
        </is>
      </c>
      <c r="E636" t="inlineStr">
        <is>
          <t>ÅNGE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14751-2025</t>
        </is>
      </c>
      <c r="B637" s="1" t="n">
        <v>45742.65863425926</v>
      </c>
      <c r="C637" s="1" t="n">
        <v>45890</v>
      </c>
      <c r="D637" t="inlineStr">
        <is>
          <t>VÄSTERNORRLANDS LÄN</t>
        </is>
      </c>
      <c r="E637" t="inlineStr">
        <is>
          <t>ÅNGE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21686-2025</t>
        </is>
      </c>
      <c r="B638" s="1" t="n">
        <v>45783.490625</v>
      </c>
      <c r="C638" s="1" t="n">
        <v>45890</v>
      </c>
      <c r="D638" t="inlineStr">
        <is>
          <t>VÄSTERNORRLANDS LÄN</t>
        </is>
      </c>
      <c r="E638" t="inlineStr">
        <is>
          <t>ÅNGE</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54295-2024</t>
        </is>
      </c>
      <c r="B639" s="1" t="n">
        <v>45617</v>
      </c>
      <c r="C639" s="1" t="n">
        <v>45890</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54342-2023</t>
        </is>
      </c>
      <c r="B640" s="1" t="n">
        <v>45232</v>
      </c>
      <c r="C640" s="1" t="n">
        <v>45890</v>
      </c>
      <c r="D640" t="inlineStr">
        <is>
          <t>VÄSTERNORRLANDS LÄN</t>
        </is>
      </c>
      <c r="E640" t="inlineStr">
        <is>
          <t>ÅNGE</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34091-2022</t>
        </is>
      </c>
      <c r="B641" s="1" t="n">
        <v>44791</v>
      </c>
      <c r="C641" s="1" t="n">
        <v>45890</v>
      </c>
      <c r="D641" t="inlineStr">
        <is>
          <t>VÄSTERNORRLANDS LÄN</t>
        </is>
      </c>
      <c r="E641" t="inlineStr">
        <is>
          <t>ÅNGE</t>
        </is>
      </c>
      <c r="G641" t="n">
        <v>10.1</v>
      </c>
      <c r="H641" t="n">
        <v>0</v>
      </c>
      <c r="I641" t="n">
        <v>0</v>
      </c>
      <c r="J641" t="n">
        <v>0</v>
      </c>
      <c r="K641" t="n">
        <v>0</v>
      </c>
      <c r="L641" t="n">
        <v>0</v>
      </c>
      <c r="M641" t="n">
        <v>0</v>
      </c>
      <c r="N641" t="n">
        <v>0</v>
      </c>
      <c r="O641" t="n">
        <v>0</v>
      </c>
      <c r="P641" t="n">
        <v>0</v>
      </c>
      <c r="Q641" t="n">
        <v>0</v>
      </c>
      <c r="R641" s="2" t="inlineStr"/>
    </row>
    <row r="642" ht="15" customHeight="1">
      <c r="A642" t="inlineStr">
        <is>
          <t>A 29270-2024</t>
        </is>
      </c>
      <c r="B642" s="1" t="n">
        <v>45482.94979166667</v>
      </c>
      <c r="C642" s="1" t="n">
        <v>45890</v>
      </c>
      <c r="D642" t="inlineStr">
        <is>
          <t>VÄSTERNORRLANDS LÄN</t>
        </is>
      </c>
      <c r="E642" t="inlineStr">
        <is>
          <t>ÅNGE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28506-2024</t>
        </is>
      </c>
      <c r="B643" s="1" t="n">
        <v>45477.9475</v>
      </c>
      <c r="C643" s="1" t="n">
        <v>45890</v>
      </c>
      <c r="D643" t="inlineStr">
        <is>
          <t>VÄSTERNORRLANDS LÄN</t>
        </is>
      </c>
      <c r="E643" t="inlineStr">
        <is>
          <t>ÅNGE</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21563-2025</t>
        </is>
      </c>
      <c r="B644" s="1" t="n">
        <v>45782.69822916666</v>
      </c>
      <c r="C644" s="1" t="n">
        <v>45890</v>
      </c>
      <c r="D644" t="inlineStr">
        <is>
          <t>VÄSTERNORRLANDS LÄN</t>
        </is>
      </c>
      <c r="E644" t="inlineStr">
        <is>
          <t>ÅNGE</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21456-2025</t>
        </is>
      </c>
      <c r="B645" s="1" t="n">
        <v>45782.55342592593</v>
      </c>
      <c r="C645" s="1" t="n">
        <v>45890</v>
      </c>
      <c r="D645" t="inlineStr">
        <is>
          <t>VÄSTERNORRLANDS LÄN</t>
        </is>
      </c>
      <c r="E645" t="inlineStr">
        <is>
          <t>ÅNGE</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21712-2025</t>
        </is>
      </c>
      <c r="B646" s="1" t="n">
        <v>45783.53210648148</v>
      </c>
      <c r="C646" s="1" t="n">
        <v>45890</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26640-2024</t>
        </is>
      </c>
      <c r="B647" s="1" t="n">
        <v>45469.92831018518</v>
      </c>
      <c r="C647" s="1" t="n">
        <v>45890</v>
      </c>
      <c r="D647" t="inlineStr">
        <is>
          <t>VÄSTERNORRLANDS LÄN</t>
        </is>
      </c>
      <c r="E647" t="inlineStr">
        <is>
          <t>ÅNGE</t>
        </is>
      </c>
      <c r="G647" t="n">
        <v>9.9</v>
      </c>
      <c r="H647" t="n">
        <v>0</v>
      </c>
      <c r="I647" t="n">
        <v>0</v>
      </c>
      <c r="J647" t="n">
        <v>0</v>
      </c>
      <c r="K647" t="n">
        <v>0</v>
      </c>
      <c r="L647" t="n">
        <v>0</v>
      </c>
      <c r="M647" t="n">
        <v>0</v>
      </c>
      <c r="N647" t="n">
        <v>0</v>
      </c>
      <c r="O647" t="n">
        <v>0</v>
      </c>
      <c r="P647" t="n">
        <v>0</v>
      </c>
      <c r="Q647" t="n">
        <v>0</v>
      </c>
      <c r="R647" s="2" t="inlineStr"/>
    </row>
    <row r="648" ht="15" customHeight="1">
      <c r="A648" t="inlineStr">
        <is>
          <t>A 19066-2024</t>
        </is>
      </c>
      <c r="B648" s="1" t="n">
        <v>45427</v>
      </c>
      <c r="C648" s="1" t="n">
        <v>45890</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14976-2025</t>
        </is>
      </c>
      <c r="B649" s="1" t="n">
        <v>45743</v>
      </c>
      <c r="C649" s="1" t="n">
        <v>45890</v>
      </c>
      <c r="D649" t="inlineStr">
        <is>
          <t>VÄSTERNORRLANDS LÄN</t>
        </is>
      </c>
      <c r="E649" t="inlineStr">
        <is>
          <t>ÅNGE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34861-2024</t>
        </is>
      </c>
      <c r="B650" s="1" t="n">
        <v>45527.339375</v>
      </c>
      <c r="C650" s="1" t="n">
        <v>45890</v>
      </c>
      <c r="D650" t="inlineStr">
        <is>
          <t>VÄSTERNORRLANDS LÄN</t>
        </is>
      </c>
      <c r="E650" t="inlineStr">
        <is>
          <t>ÅNGE</t>
        </is>
      </c>
      <c r="F650" t="inlineStr">
        <is>
          <t>SCA</t>
        </is>
      </c>
      <c r="G650" t="n">
        <v>9.1</v>
      </c>
      <c r="H650" t="n">
        <v>0</v>
      </c>
      <c r="I650" t="n">
        <v>0</v>
      </c>
      <c r="J650" t="n">
        <v>0</v>
      </c>
      <c r="K650" t="n">
        <v>0</v>
      </c>
      <c r="L650" t="n">
        <v>0</v>
      </c>
      <c r="M650" t="n">
        <v>0</v>
      </c>
      <c r="N650" t="n">
        <v>0</v>
      </c>
      <c r="O650" t="n">
        <v>0</v>
      </c>
      <c r="P650" t="n">
        <v>0</v>
      </c>
      <c r="Q650" t="n">
        <v>0</v>
      </c>
      <c r="R650" s="2" t="inlineStr"/>
    </row>
    <row r="651" ht="15" customHeight="1">
      <c r="A651" t="inlineStr">
        <is>
          <t>A 8070-2022</t>
        </is>
      </c>
      <c r="B651" s="1" t="n">
        <v>44609.48665509259</v>
      </c>
      <c r="C651" s="1" t="n">
        <v>45890</v>
      </c>
      <c r="D651" t="inlineStr">
        <is>
          <t>VÄSTERNORRLANDS LÄN</t>
        </is>
      </c>
      <c r="E651" t="inlineStr">
        <is>
          <t>ÅNGE</t>
        </is>
      </c>
      <c r="G651" t="n">
        <v>3.5</v>
      </c>
      <c r="H651" t="n">
        <v>0</v>
      </c>
      <c r="I651" t="n">
        <v>0</v>
      </c>
      <c r="J651" t="n">
        <v>0</v>
      </c>
      <c r="K651" t="n">
        <v>0</v>
      </c>
      <c r="L651" t="n">
        <v>0</v>
      </c>
      <c r="M651" t="n">
        <v>0</v>
      </c>
      <c r="N651" t="n">
        <v>0</v>
      </c>
      <c r="O651" t="n">
        <v>0</v>
      </c>
      <c r="P651" t="n">
        <v>0</v>
      </c>
      <c r="Q651" t="n">
        <v>0</v>
      </c>
      <c r="R651" s="2" t="inlineStr"/>
    </row>
    <row r="652" ht="15" customHeight="1">
      <c r="A652" t="inlineStr">
        <is>
          <t>A 39119-2024</t>
        </is>
      </c>
      <c r="B652" s="1" t="n">
        <v>45548.58939814815</v>
      </c>
      <c r="C652" s="1" t="n">
        <v>45890</v>
      </c>
      <c r="D652" t="inlineStr">
        <is>
          <t>VÄSTERNORRLANDS LÄN</t>
        </is>
      </c>
      <c r="E652" t="inlineStr">
        <is>
          <t>ÅNGE</t>
        </is>
      </c>
      <c r="G652" t="n">
        <v>8</v>
      </c>
      <c r="H652" t="n">
        <v>0</v>
      </c>
      <c r="I652" t="n">
        <v>0</v>
      </c>
      <c r="J652" t="n">
        <v>0</v>
      </c>
      <c r="K652" t="n">
        <v>0</v>
      </c>
      <c r="L652" t="n">
        <v>0</v>
      </c>
      <c r="M652" t="n">
        <v>0</v>
      </c>
      <c r="N652" t="n">
        <v>0</v>
      </c>
      <c r="O652" t="n">
        <v>0</v>
      </c>
      <c r="P652" t="n">
        <v>0</v>
      </c>
      <c r="Q652" t="n">
        <v>0</v>
      </c>
      <c r="R652" s="2" t="inlineStr"/>
    </row>
    <row r="653" ht="15" customHeight="1">
      <c r="A653" t="inlineStr">
        <is>
          <t>A 32257-2024</t>
        </is>
      </c>
      <c r="B653" s="1" t="n">
        <v>45511</v>
      </c>
      <c r="C653" s="1" t="n">
        <v>45890</v>
      </c>
      <c r="D653" t="inlineStr">
        <is>
          <t>VÄSTERNORRLANDS LÄN</t>
        </is>
      </c>
      <c r="E653" t="inlineStr">
        <is>
          <t>ÅNGE</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52805-2024</t>
        </is>
      </c>
      <c r="B654" s="1" t="n">
        <v>45610.57344907407</v>
      </c>
      <c r="C654" s="1" t="n">
        <v>45890</v>
      </c>
      <c r="D654" t="inlineStr">
        <is>
          <t>VÄSTERNORRLANDS LÄN</t>
        </is>
      </c>
      <c r="E654" t="inlineStr">
        <is>
          <t>ÅNGE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20880-2025</t>
        </is>
      </c>
      <c r="B655" s="1" t="n">
        <v>45777</v>
      </c>
      <c r="C655" s="1" t="n">
        <v>45890</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22219-2025</t>
        </is>
      </c>
      <c r="B656" s="1" t="n">
        <v>45785.65849537037</v>
      </c>
      <c r="C656" s="1" t="n">
        <v>45890</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21862-2025</t>
        </is>
      </c>
      <c r="B657" s="1" t="n">
        <v>45784.36519675926</v>
      </c>
      <c r="C657" s="1" t="n">
        <v>45890</v>
      </c>
      <c r="D657" t="inlineStr">
        <is>
          <t>VÄSTERNORRLANDS LÄN</t>
        </is>
      </c>
      <c r="E657" t="inlineStr">
        <is>
          <t>ÅNGE</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4651-2022</t>
        </is>
      </c>
      <c r="B658" s="1" t="n">
        <v>44592</v>
      </c>
      <c r="C658" s="1" t="n">
        <v>45890</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19342-2024</t>
        </is>
      </c>
      <c r="B659" s="1" t="n">
        <v>45428</v>
      </c>
      <c r="C659" s="1" t="n">
        <v>45890</v>
      </c>
      <c r="D659" t="inlineStr">
        <is>
          <t>VÄSTERNORRLANDS LÄN</t>
        </is>
      </c>
      <c r="E659" t="inlineStr">
        <is>
          <t>ÅNGE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22206-2025</t>
        </is>
      </c>
      <c r="B660" s="1" t="n">
        <v>45785.65699074074</v>
      </c>
      <c r="C660" s="1" t="n">
        <v>45890</v>
      </c>
      <c r="D660" t="inlineStr">
        <is>
          <t>VÄSTERNORRLANDS LÄN</t>
        </is>
      </c>
      <c r="E660" t="inlineStr">
        <is>
          <t>ÅNGE</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61461-2023</t>
        </is>
      </c>
      <c r="B661" s="1" t="n">
        <v>45264.9261574074</v>
      </c>
      <c r="C661" s="1" t="n">
        <v>45890</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39005-2024</t>
        </is>
      </c>
      <c r="B662" s="1" t="n">
        <v>45548.42743055556</v>
      </c>
      <c r="C662" s="1" t="n">
        <v>45890</v>
      </c>
      <c r="D662" t="inlineStr">
        <is>
          <t>VÄSTERNORRLANDS LÄN</t>
        </is>
      </c>
      <c r="E662" t="inlineStr">
        <is>
          <t>ÅNGE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29395-2023</t>
        </is>
      </c>
      <c r="B663" s="1" t="n">
        <v>45106.4359837963</v>
      </c>
      <c r="C663" s="1" t="n">
        <v>45890</v>
      </c>
      <c r="D663" t="inlineStr">
        <is>
          <t>VÄSTERNORRLANDS LÄN</t>
        </is>
      </c>
      <c r="E663" t="inlineStr">
        <is>
          <t>ÅNGE</t>
        </is>
      </c>
      <c r="G663" t="n">
        <v>3.5</v>
      </c>
      <c r="H663" t="n">
        <v>0</v>
      </c>
      <c r="I663" t="n">
        <v>0</v>
      </c>
      <c r="J663" t="n">
        <v>0</v>
      </c>
      <c r="K663" t="n">
        <v>0</v>
      </c>
      <c r="L663" t="n">
        <v>0</v>
      </c>
      <c r="M663" t="n">
        <v>0</v>
      </c>
      <c r="N663" t="n">
        <v>0</v>
      </c>
      <c r="O663" t="n">
        <v>0</v>
      </c>
      <c r="P663" t="n">
        <v>0</v>
      </c>
      <c r="Q663" t="n">
        <v>0</v>
      </c>
      <c r="R663" s="2" t="inlineStr"/>
    </row>
    <row r="664" ht="15" customHeight="1">
      <c r="A664" t="inlineStr">
        <is>
          <t>A 38800-2024</t>
        </is>
      </c>
      <c r="B664" s="1" t="n">
        <v>45547</v>
      </c>
      <c r="C664" s="1" t="n">
        <v>45890</v>
      </c>
      <c r="D664" t="inlineStr">
        <is>
          <t>VÄSTERNORRLANDS LÄN</t>
        </is>
      </c>
      <c r="E664" t="inlineStr">
        <is>
          <t>ÅNGE</t>
        </is>
      </c>
      <c r="G664" t="n">
        <v>2.6</v>
      </c>
      <c r="H664" t="n">
        <v>0</v>
      </c>
      <c r="I664" t="n">
        <v>0</v>
      </c>
      <c r="J664" t="n">
        <v>0</v>
      </c>
      <c r="K664" t="n">
        <v>0</v>
      </c>
      <c r="L664" t="n">
        <v>0</v>
      </c>
      <c r="M664" t="n">
        <v>0</v>
      </c>
      <c r="N664" t="n">
        <v>0</v>
      </c>
      <c r="O664" t="n">
        <v>0</v>
      </c>
      <c r="P664" t="n">
        <v>0</v>
      </c>
      <c r="Q664" t="n">
        <v>0</v>
      </c>
      <c r="R664" s="2" t="inlineStr"/>
    </row>
    <row r="665" ht="15" customHeight="1">
      <c r="A665" t="inlineStr">
        <is>
          <t>A 24977-2021</t>
        </is>
      </c>
      <c r="B665" s="1" t="n">
        <v>44341.51386574074</v>
      </c>
      <c r="C665" s="1" t="n">
        <v>45890</v>
      </c>
      <c r="D665" t="inlineStr">
        <is>
          <t>VÄSTERNORRLANDS LÄN</t>
        </is>
      </c>
      <c r="E665" t="inlineStr">
        <is>
          <t>ÅNGE</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21883-2025</t>
        </is>
      </c>
      <c r="B666" s="1" t="n">
        <v>45784.41361111111</v>
      </c>
      <c r="C666" s="1" t="n">
        <v>45890</v>
      </c>
      <c r="D666" t="inlineStr">
        <is>
          <t>VÄSTERNORRLANDS LÄN</t>
        </is>
      </c>
      <c r="E666" t="inlineStr">
        <is>
          <t>ÅNGE</t>
        </is>
      </c>
      <c r="G666" t="n">
        <v>1.7</v>
      </c>
      <c r="H666" t="n">
        <v>0</v>
      </c>
      <c r="I666" t="n">
        <v>0</v>
      </c>
      <c r="J666" t="n">
        <v>0</v>
      </c>
      <c r="K666" t="n">
        <v>0</v>
      </c>
      <c r="L666" t="n">
        <v>0</v>
      </c>
      <c r="M666" t="n">
        <v>0</v>
      </c>
      <c r="N666" t="n">
        <v>0</v>
      </c>
      <c r="O666" t="n">
        <v>0</v>
      </c>
      <c r="P666" t="n">
        <v>0</v>
      </c>
      <c r="Q666" t="n">
        <v>0</v>
      </c>
      <c r="R666" s="2" t="inlineStr"/>
    </row>
    <row r="667" ht="15" customHeight="1">
      <c r="A667" t="inlineStr">
        <is>
          <t>A 5246-2025</t>
        </is>
      </c>
      <c r="B667" s="1" t="n">
        <v>45692.34427083333</v>
      </c>
      <c r="C667" s="1" t="n">
        <v>45890</v>
      </c>
      <c r="D667" t="inlineStr">
        <is>
          <t>VÄSTERNORRLANDS LÄN</t>
        </is>
      </c>
      <c r="E667" t="inlineStr">
        <is>
          <t>ÅNGE</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31492-2024</t>
        </is>
      </c>
      <c r="B668" s="1" t="n">
        <v>45505</v>
      </c>
      <c r="C668" s="1" t="n">
        <v>45890</v>
      </c>
      <c r="D668" t="inlineStr">
        <is>
          <t>VÄSTERNORRLANDS LÄN</t>
        </is>
      </c>
      <c r="E668" t="inlineStr">
        <is>
          <t>ÅNGE</t>
        </is>
      </c>
      <c r="F668" t="inlineStr">
        <is>
          <t>SCA</t>
        </is>
      </c>
      <c r="G668" t="n">
        <v>5.5</v>
      </c>
      <c r="H668" t="n">
        <v>0</v>
      </c>
      <c r="I668" t="n">
        <v>0</v>
      </c>
      <c r="J668" t="n">
        <v>0</v>
      </c>
      <c r="K668" t="n">
        <v>0</v>
      </c>
      <c r="L668" t="n">
        <v>0</v>
      </c>
      <c r="M668" t="n">
        <v>0</v>
      </c>
      <c r="N668" t="n">
        <v>0</v>
      </c>
      <c r="O668" t="n">
        <v>0</v>
      </c>
      <c r="P668" t="n">
        <v>0</v>
      </c>
      <c r="Q668" t="n">
        <v>0</v>
      </c>
      <c r="R668" s="2" t="inlineStr"/>
    </row>
    <row r="669" ht="15" customHeight="1">
      <c r="A669" t="inlineStr">
        <is>
          <t>A 16973-2025</t>
        </is>
      </c>
      <c r="B669" s="1" t="n">
        <v>45755.46967592592</v>
      </c>
      <c r="C669" s="1" t="n">
        <v>45890</v>
      </c>
      <c r="D669" t="inlineStr">
        <is>
          <t>VÄSTERNORRLANDS LÄN</t>
        </is>
      </c>
      <c r="E669" t="inlineStr">
        <is>
          <t>ÅNGE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21982-2025</t>
        </is>
      </c>
      <c r="B670" s="1" t="n">
        <v>45784.65660879629</v>
      </c>
      <c r="C670" s="1" t="n">
        <v>45890</v>
      </c>
      <c r="D670" t="inlineStr">
        <is>
          <t>VÄSTERNORRLANDS LÄN</t>
        </is>
      </c>
      <c r="E670" t="inlineStr">
        <is>
          <t>ÅNGE</t>
        </is>
      </c>
      <c r="F670" t="inlineStr">
        <is>
          <t>SCA</t>
        </is>
      </c>
      <c r="G670" t="n">
        <v>7.6</v>
      </c>
      <c r="H670" t="n">
        <v>0</v>
      </c>
      <c r="I670" t="n">
        <v>0</v>
      </c>
      <c r="J670" t="n">
        <v>0</v>
      </c>
      <c r="K670" t="n">
        <v>0</v>
      </c>
      <c r="L670" t="n">
        <v>0</v>
      </c>
      <c r="M670" t="n">
        <v>0</v>
      </c>
      <c r="N670" t="n">
        <v>0</v>
      </c>
      <c r="O670" t="n">
        <v>0</v>
      </c>
      <c r="P670" t="n">
        <v>0</v>
      </c>
      <c r="Q670" t="n">
        <v>0</v>
      </c>
      <c r="R670" s="2" t="inlineStr"/>
    </row>
    <row r="671" ht="15" customHeight="1">
      <c r="A671" t="inlineStr">
        <is>
          <t>A 22187-2024</t>
        </is>
      </c>
      <c r="B671" s="1" t="n">
        <v>45446.35222222222</v>
      </c>
      <c r="C671" s="1" t="n">
        <v>45890</v>
      </c>
      <c r="D671" t="inlineStr">
        <is>
          <t>VÄSTERNORRLANDS LÄN</t>
        </is>
      </c>
      <c r="E671" t="inlineStr">
        <is>
          <t>ÅNGE</t>
        </is>
      </c>
      <c r="G671" t="n">
        <v>2.3</v>
      </c>
      <c r="H671" t="n">
        <v>0</v>
      </c>
      <c r="I671" t="n">
        <v>0</v>
      </c>
      <c r="J671" t="n">
        <v>0</v>
      </c>
      <c r="K671" t="n">
        <v>0</v>
      </c>
      <c r="L671" t="n">
        <v>0</v>
      </c>
      <c r="M671" t="n">
        <v>0</v>
      </c>
      <c r="N671" t="n">
        <v>0</v>
      </c>
      <c r="O671" t="n">
        <v>0</v>
      </c>
      <c r="P671" t="n">
        <v>0</v>
      </c>
      <c r="Q671" t="n">
        <v>0</v>
      </c>
      <c r="R671" s="2" t="inlineStr"/>
    </row>
    <row r="672" ht="15" customHeight="1">
      <c r="A672" t="inlineStr">
        <is>
          <t>A 34679-2024</t>
        </is>
      </c>
      <c r="B672" s="1" t="n">
        <v>45526</v>
      </c>
      <c r="C672" s="1" t="n">
        <v>45890</v>
      </c>
      <c r="D672" t="inlineStr">
        <is>
          <t>VÄSTERNORRLANDS LÄN</t>
        </is>
      </c>
      <c r="E672" t="inlineStr">
        <is>
          <t>ÅNGE</t>
        </is>
      </c>
      <c r="G672" t="n">
        <v>1.4</v>
      </c>
      <c r="H672" t="n">
        <v>0</v>
      </c>
      <c r="I672" t="n">
        <v>0</v>
      </c>
      <c r="J672" t="n">
        <v>0</v>
      </c>
      <c r="K672" t="n">
        <v>0</v>
      </c>
      <c r="L672" t="n">
        <v>0</v>
      </c>
      <c r="M672" t="n">
        <v>0</v>
      </c>
      <c r="N672" t="n">
        <v>0</v>
      </c>
      <c r="O672" t="n">
        <v>0</v>
      </c>
      <c r="P672" t="n">
        <v>0</v>
      </c>
      <c r="Q672" t="n">
        <v>0</v>
      </c>
      <c r="R672" s="2" t="inlineStr"/>
    </row>
    <row r="673" ht="15" customHeight="1">
      <c r="A673" t="inlineStr">
        <is>
          <t>A 18081-2025</t>
        </is>
      </c>
      <c r="B673" s="1" t="n">
        <v>45761.51086805556</v>
      </c>
      <c r="C673" s="1" t="n">
        <v>45890</v>
      </c>
      <c r="D673" t="inlineStr">
        <is>
          <t>VÄSTERNORRLANDS LÄN</t>
        </is>
      </c>
      <c r="E673" t="inlineStr">
        <is>
          <t>ÅNGE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57593-2022</t>
        </is>
      </c>
      <c r="B674" s="1" t="n">
        <v>44896.97847222222</v>
      </c>
      <c r="C674" s="1" t="n">
        <v>45890</v>
      </c>
      <c r="D674" t="inlineStr">
        <is>
          <t>VÄSTERNORRLANDS LÄN</t>
        </is>
      </c>
      <c r="E674" t="inlineStr">
        <is>
          <t>ÅNGE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57596-2022</t>
        </is>
      </c>
      <c r="B675" s="1" t="n">
        <v>44896.97871527778</v>
      </c>
      <c r="C675" s="1" t="n">
        <v>45890</v>
      </c>
      <c r="D675" t="inlineStr">
        <is>
          <t>VÄSTERNORRLANDS LÄN</t>
        </is>
      </c>
      <c r="E675" t="inlineStr">
        <is>
          <t>ÅNGE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57598-2022</t>
        </is>
      </c>
      <c r="B676" s="1" t="n">
        <v>44896</v>
      </c>
      <c r="C676" s="1" t="n">
        <v>45890</v>
      </c>
      <c r="D676" t="inlineStr">
        <is>
          <t>VÄSTERNORRLANDS LÄN</t>
        </is>
      </c>
      <c r="E676" t="inlineStr">
        <is>
          <t>ÅNGE</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43096-2023</t>
        </is>
      </c>
      <c r="B677" s="1" t="n">
        <v>45182</v>
      </c>
      <c r="C677" s="1" t="n">
        <v>45890</v>
      </c>
      <c r="D677" t="inlineStr">
        <is>
          <t>VÄSTERNORRLANDS LÄN</t>
        </is>
      </c>
      <c r="E677" t="inlineStr">
        <is>
          <t>ÅNGE</t>
        </is>
      </c>
      <c r="G677" t="n">
        <v>0.4</v>
      </c>
      <c r="H677" t="n">
        <v>0</v>
      </c>
      <c r="I677" t="n">
        <v>0</v>
      </c>
      <c r="J677" t="n">
        <v>0</v>
      </c>
      <c r="K677" t="n">
        <v>0</v>
      </c>
      <c r="L677" t="n">
        <v>0</v>
      </c>
      <c r="M677" t="n">
        <v>0</v>
      </c>
      <c r="N677" t="n">
        <v>0</v>
      </c>
      <c r="O677" t="n">
        <v>0</v>
      </c>
      <c r="P677" t="n">
        <v>0</v>
      </c>
      <c r="Q677" t="n">
        <v>0</v>
      </c>
      <c r="R677" s="2" t="inlineStr"/>
    </row>
    <row r="678" ht="15" customHeight="1">
      <c r="A678" t="inlineStr">
        <is>
          <t>A 60296-2021</t>
        </is>
      </c>
      <c r="B678" s="1" t="n">
        <v>44495</v>
      </c>
      <c r="C678" s="1" t="n">
        <v>45890</v>
      </c>
      <c r="D678" t="inlineStr">
        <is>
          <t>VÄSTERNORRLANDS LÄN</t>
        </is>
      </c>
      <c r="E678" t="inlineStr">
        <is>
          <t>ÅNGE</t>
        </is>
      </c>
      <c r="G678" t="n">
        <v>0.4</v>
      </c>
      <c r="H678" t="n">
        <v>0</v>
      </c>
      <c r="I678" t="n">
        <v>0</v>
      </c>
      <c r="J678" t="n">
        <v>0</v>
      </c>
      <c r="K678" t="n">
        <v>0</v>
      </c>
      <c r="L678" t="n">
        <v>0</v>
      </c>
      <c r="M678" t="n">
        <v>0</v>
      </c>
      <c r="N678" t="n">
        <v>0</v>
      </c>
      <c r="O678" t="n">
        <v>0</v>
      </c>
      <c r="P678" t="n">
        <v>0</v>
      </c>
      <c r="Q678" t="n">
        <v>0</v>
      </c>
      <c r="R678" s="2" t="inlineStr"/>
    </row>
    <row r="679" ht="15" customHeight="1">
      <c r="A679" t="inlineStr">
        <is>
          <t>A 23063-2024</t>
        </is>
      </c>
      <c r="B679" s="1" t="n">
        <v>45450.44278935185</v>
      </c>
      <c r="C679" s="1" t="n">
        <v>45890</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10558-2023</t>
        </is>
      </c>
      <c r="B680" s="1" t="n">
        <v>44987.94438657408</v>
      </c>
      <c r="C680" s="1" t="n">
        <v>45890</v>
      </c>
      <c r="D680" t="inlineStr">
        <is>
          <t>VÄSTERNORRLANDS LÄN</t>
        </is>
      </c>
      <c r="E680" t="inlineStr">
        <is>
          <t>ÅNGE</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25023-2022</t>
        </is>
      </c>
      <c r="B681" s="1" t="n">
        <v>44728</v>
      </c>
      <c r="C681" s="1" t="n">
        <v>45890</v>
      </c>
      <c r="D681" t="inlineStr">
        <is>
          <t>VÄSTERNORRLANDS LÄN</t>
        </is>
      </c>
      <c r="E681" t="inlineStr">
        <is>
          <t>ÅNGE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31545-2024</t>
        </is>
      </c>
      <c r="B682" s="1" t="n">
        <v>45505</v>
      </c>
      <c r="C682" s="1" t="n">
        <v>45890</v>
      </c>
      <c r="D682" t="inlineStr">
        <is>
          <t>VÄSTERNORRLANDS LÄN</t>
        </is>
      </c>
      <c r="E682" t="inlineStr">
        <is>
          <t>ÅNGE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44158-2024</t>
        </is>
      </c>
      <c r="B683" s="1" t="n">
        <v>45572</v>
      </c>
      <c r="C683" s="1" t="n">
        <v>45890</v>
      </c>
      <c r="D683" t="inlineStr">
        <is>
          <t>VÄSTERNORRLANDS LÄN</t>
        </is>
      </c>
      <c r="E683" t="inlineStr">
        <is>
          <t>ÅNGE</t>
        </is>
      </c>
      <c r="G683" t="n">
        <v>2.6</v>
      </c>
      <c r="H683" t="n">
        <v>0</v>
      </c>
      <c r="I683" t="n">
        <v>0</v>
      </c>
      <c r="J683" t="n">
        <v>0</v>
      </c>
      <c r="K683" t="n">
        <v>0</v>
      </c>
      <c r="L683" t="n">
        <v>0</v>
      </c>
      <c r="M683" t="n">
        <v>0</v>
      </c>
      <c r="N683" t="n">
        <v>0</v>
      </c>
      <c r="O683" t="n">
        <v>0</v>
      </c>
      <c r="P683" t="n">
        <v>0</v>
      </c>
      <c r="Q683" t="n">
        <v>0</v>
      </c>
      <c r="R683" s="2" t="inlineStr"/>
    </row>
    <row r="684" ht="15" customHeight="1">
      <c r="A684" t="inlineStr">
        <is>
          <t>A 27951-2021</t>
        </is>
      </c>
      <c r="B684" s="1" t="n">
        <v>44354</v>
      </c>
      <c r="C684" s="1" t="n">
        <v>45890</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5197-2025</t>
        </is>
      </c>
      <c r="B685" s="1" t="n">
        <v>45691.65701388889</v>
      </c>
      <c r="C685" s="1" t="n">
        <v>45890</v>
      </c>
      <c r="D685" t="inlineStr">
        <is>
          <t>VÄSTERNORRLANDS LÄN</t>
        </is>
      </c>
      <c r="E685" t="inlineStr">
        <is>
          <t>ÅNGE</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44425.92202546296</v>
      </c>
      <c r="C686" s="1" t="n">
        <v>45890</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50179-2024</t>
        </is>
      </c>
      <c r="B687" s="1" t="n">
        <v>45600</v>
      </c>
      <c r="C687" s="1" t="n">
        <v>45890</v>
      </c>
      <c r="D687" t="inlineStr">
        <is>
          <t>VÄSTERNORRLANDS LÄN</t>
        </is>
      </c>
      <c r="E687" t="inlineStr">
        <is>
          <t>ÅNGE</t>
        </is>
      </c>
      <c r="G687" t="n">
        <v>3.6</v>
      </c>
      <c r="H687" t="n">
        <v>0</v>
      </c>
      <c r="I687" t="n">
        <v>0</v>
      </c>
      <c r="J687" t="n">
        <v>0</v>
      </c>
      <c r="K687" t="n">
        <v>0</v>
      </c>
      <c r="L687" t="n">
        <v>0</v>
      </c>
      <c r="M687" t="n">
        <v>0</v>
      </c>
      <c r="N687" t="n">
        <v>0</v>
      </c>
      <c r="O687" t="n">
        <v>0</v>
      </c>
      <c r="P687" t="n">
        <v>0</v>
      </c>
      <c r="Q687" t="n">
        <v>0</v>
      </c>
      <c r="R687" s="2" t="inlineStr"/>
    </row>
    <row r="688" ht="15" customHeight="1">
      <c r="A688" t="inlineStr">
        <is>
          <t>A 25903-2022</t>
        </is>
      </c>
      <c r="B688" s="1" t="n">
        <v>44733</v>
      </c>
      <c r="C688" s="1" t="n">
        <v>45890</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1103-2023</t>
        </is>
      </c>
      <c r="B689" s="1" t="n">
        <v>44929</v>
      </c>
      <c r="C689" s="1" t="n">
        <v>45890</v>
      </c>
      <c r="D689" t="inlineStr">
        <is>
          <t>VÄSTERNORRLANDS LÄN</t>
        </is>
      </c>
      <c r="E689" t="inlineStr">
        <is>
          <t>ÅNGE</t>
        </is>
      </c>
      <c r="G689" t="n">
        <v>7.3</v>
      </c>
      <c r="H689" t="n">
        <v>0</v>
      </c>
      <c r="I689" t="n">
        <v>0</v>
      </c>
      <c r="J689" t="n">
        <v>0</v>
      </c>
      <c r="K689" t="n">
        <v>0</v>
      </c>
      <c r="L689" t="n">
        <v>0</v>
      </c>
      <c r="M689" t="n">
        <v>0</v>
      </c>
      <c r="N689" t="n">
        <v>0</v>
      </c>
      <c r="O689" t="n">
        <v>0</v>
      </c>
      <c r="P689" t="n">
        <v>0</v>
      </c>
      <c r="Q689" t="n">
        <v>0</v>
      </c>
      <c r="R689" s="2" t="inlineStr"/>
    </row>
    <row r="690" ht="15" customHeight="1">
      <c r="A690" t="inlineStr">
        <is>
          <t>A 44565-2024</t>
        </is>
      </c>
      <c r="B690" s="1" t="n">
        <v>45574.47518518518</v>
      </c>
      <c r="C690" s="1" t="n">
        <v>45890</v>
      </c>
      <c r="D690" t="inlineStr">
        <is>
          <t>VÄSTERNORRLANDS LÄN</t>
        </is>
      </c>
      <c r="E690" t="inlineStr">
        <is>
          <t>ÅNGE</t>
        </is>
      </c>
      <c r="G690" t="n">
        <v>1.8</v>
      </c>
      <c r="H690" t="n">
        <v>0</v>
      </c>
      <c r="I690" t="n">
        <v>0</v>
      </c>
      <c r="J690" t="n">
        <v>0</v>
      </c>
      <c r="K690" t="n">
        <v>0</v>
      </c>
      <c r="L690" t="n">
        <v>0</v>
      </c>
      <c r="M690" t="n">
        <v>0</v>
      </c>
      <c r="N690" t="n">
        <v>0</v>
      </c>
      <c r="O690" t="n">
        <v>0</v>
      </c>
      <c r="P690" t="n">
        <v>0</v>
      </c>
      <c r="Q690" t="n">
        <v>0</v>
      </c>
      <c r="R690" s="2" t="inlineStr"/>
    </row>
    <row r="691" ht="15" customHeight="1">
      <c r="A691" t="inlineStr">
        <is>
          <t>A 47041-2020</t>
        </is>
      </c>
      <c r="B691" s="1" t="n">
        <v>44091</v>
      </c>
      <c r="C691" s="1" t="n">
        <v>45890</v>
      </c>
      <c r="D691" t="inlineStr">
        <is>
          <t>VÄSTERNORRLANDS LÄN</t>
        </is>
      </c>
      <c r="E691" t="inlineStr">
        <is>
          <t>ÅNGE</t>
        </is>
      </c>
      <c r="G691" t="n">
        <v>2.2</v>
      </c>
      <c r="H691" t="n">
        <v>0</v>
      </c>
      <c r="I691" t="n">
        <v>0</v>
      </c>
      <c r="J691" t="n">
        <v>0</v>
      </c>
      <c r="K691" t="n">
        <v>0</v>
      </c>
      <c r="L691" t="n">
        <v>0</v>
      </c>
      <c r="M691" t="n">
        <v>0</v>
      </c>
      <c r="N691" t="n">
        <v>0</v>
      </c>
      <c r="O691" t="n">
        <v>0</v>
      </c>
      <c r="P691" t="n">
        <v>0</v>
      </c>
      <c r="Q691" t="n">
        <v>0</v>
      </c>
      <c r="R691" s="2" t="inlineStr"/>
    </row>
    <row r="692" ht="15" customHeight="1">
      <c r="A692" t="inlineStr">
        <is>
          <t>A 40755-2023</t>
        </is>
      </c>
      <c r="B692" s="1" t="n">
        <v>45170</v>
      </c>
      <c r="C692" s="1" t="n">
        <v>45890</v>
      </c>
      <c r="D692" t="inlineStr">
        <is>
          <t>VÄSTERNORRLANDS LÄN</t>
        </is>
      </c>
      <c r="E692" t="inlineStr">
        <is>
          <t>ÅNGE</t>
        </is>
      </c>
      <c r="G692" t="n">
        <v>3.6</v>
      </c>
      <c r="H692" t="n">
        <v>0</v>
      </c>
      <c r="I692" t="n">
        <v>0</v>
      </c>
      <c r="J692" t="n">
        <v>0</v>
      </c>
      <c r="K692" t="n">
        <v>0</v>
      </c>
      <c r="L692" t="n">
        <v>0</v>
      </c>
      <c r="M692" t="n">
        <v>0</v>
      </c>
      <c r="N692" t="n">
        <v>0</v>
      </c>
      <c r="O692" t="n">
        <v>0</v>
      </c>
      <c r="P692" t="n">
        <v>0</v>
      </c>
      <c r="Q692" t="n">
        <v>0</v>
      </c>
      <c r="R692" s="2" t="inlineStr"/>
    </row>
    <row r="693" ht="15" customHeight="1">
      <c r="A693" t="inlineStr">
        <is>
          <t>A 31696-2022</t>
        </is>
      </c>
      <c r="B693" s="1" t="n">
        <v>44776</v>
      </c>
      <c r="C693" s="1" t="n">
        <v>45890</v>
      </c>
      <c r="D693" t="inlineStr">
        <is>
          <t>VÄSTERNORRLANDS LÄN</t>
        </is>
      </c>
      <c r="E693" t="inlineStr">
        <is>
          <t>ÅNGE</t>
        </is>
      </c>
      <c r="G693" t="n">
        <v>1.8</v>
      </c>
      <c r="H693" t="n">
        <v>0</v>
      </c>
      <c r="I693" t="n">
        <v>0</v>
      </c>
      <c r="J693" t="n">
        <v>0</v>
      </c>
      <c r="K693" t="n">
        <v>0</v>
      </c>
      <c r="L693" t="n">
        <v>0</v>
      </c>
      <c r="M693" t="n">
        <v>0</v>
      </c>
      <c r="N693" t="n">
        <v>0</v>
      </c>
      <c r="O693" t="n">
        <v>0</v>
      </c>
      <c r="P693" t="n">
        <v>0</v>
      </c>
      <c r="Q693" t="n">
        <v>0</v>
      </c>
      <c r="R693" s="2" t="inlineStr"/>
    </row>
    <row r="694" ht="15" customHeight="1">
      <c r="A694" t="inlineStr">
        <is>
          <t>A 2140-2023</t>
        </is>
      </c>
      <c r="B694" s="1" t="n">
        <v>44940</v>
      </c>
      <c r="C694" s="1" t="n">
        <v>45890</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10084-2023</t>
        </is>
      </c>
      <c r="B695" s="1" t="n">
        <v>44985.94465277778</v>
      </c>
      <c r="C695" s="1" t="n">
        <v>45890</v>
      </c>
      <c r="D695" t="inlineStr">
        <is>
          <t>VÄSTERNORRLANDS LÄN</t>
        </is>
      </c>
      <c r="E695" t="inlineStr">
        <is>
          <t>ÅNGE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22489-2025</t>
        </is>
      </c>
      <c r="B696" s="1" t="n">
        <v>45786.64946759259</v>
      </c>
      <c r="C696" s="1" t="n">
        <v>45890</v>
      </c>
      <c r="D696" t="inlineStr">
        <is>
          <t>VÄSTERNORRLANDS LÄN</t>
        </is>
      </c>
      <c r="E696" t="inlineStr">
        <is>
          <t>ÅNGE</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37038-2024</t>
        </is>
      </c>
      <c r="B697" s="1" t="n">
        <v>45539.40881944444</v>
      </c>
      <c r="C697" s="1" t="n">
        <v>45890</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47488-2023</t>
        </is>
      </c>
      <c r="B698" s="1" t="n">
        <v>45202.94168981481</v>
      </c>
      <c r="C698" s="1" t="n">
        <v>45890</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34754-2024</t>
        </is>
      </c>
      <c r="B699" s="1" t="n">
        <v>45526</v>
      </c>
      <c r="C699" s="1" t="n">
        <v>45890</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3362-2023</t>
        </is>
      </c>
      <c r="B700" s="1" t="n">
        <v>44945</v>
      </c>
      <c r="C700" s="1" t="n">
        <v>45890</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59600-2024</t>
        </is>
      </c>
      <c r="B701" s="1" t="n">
        <v>45638.71763888889</v>
      </c>
      <c r="C701" s="1" t="n">
        <v>45890</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22791-2025</t>
        </is>
      </c>
      <c r="B702" s="1" t="n">
        <v>45789.65663194445</v>
      </c>
      <c r="C702" s="1" t="n">
        <v>45890</v>
      </c>
      <c r="D702" t="inlineStr">
        <is>
          <t>VÄSTERNORRLANDS LÄN</t>
        </is>
      </c>
      <c r="E702" t="inlineStr">
        <is>
          <t>ÅNGE</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52685-2024</t>
        </is>
      </c>
      <c r="B703" s="1" t="n">
        <v>45610</v>
      </c>
      <c r="C703" s="1" t="n">
        <v>45890</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16450-2025</t>
        </is>
      </c>
      <c r="B704" s="1" t="n">
        <v>45751.51081018519</v>
      </c>
      <c r="C704" s="1" t="n">
        <v>45890</v>
      </c>
      <c r="D704" t="inlineStr">
        <is>
          <t>VÄSTERNORRLANDS LÄN</t>
        </is>
      </c>
      <c r="E704" t="inlineStr">
        <is>
          <t>ÅNGE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22549-2025</t>
        </is>
      </c>
      <c r="B705" s="1" t="n">
        <v>45788.48113425926</v>
      </c>
      <c r="C705" s="1" t="n">
        <v>45890</v>
      </c>
      <c r="D705" t="inlineStr">
        <is>
          <t>VÄSTERNORRLANDS LÄN</t>
        </is>
      </c>
      <c r="E705" t="inlineStr">
        <is>
          <t>ÅNGE</t>
        </is>
      </c>
      <c r="G705" t="n">
        <v>2.6</v>
      </c>
      <c r="H705" t="n">
        <v>0</v>
      </c>
      <c r="I705" t="n">
        <v>0</v>
      </c>
      <c r="J705" t="n">
        <v>0</v>
      </c>
      <c r="K705" t="n">
        <v>0</v>
      </c>
      <c r="L705" t="n">
        <v>0</v>
      </c>
      <c r="M705" t="n">
        <v>0</v>
      </c>
      <c r="N705" t="n">
        <v>0</v>
      </c>
      <c r="O705" t="n">
        <v>0</v>
      </c>
      <c r="P705" t="n">
        <v>0</v>
      </c>
      <c r="Q705" t="n">
        <v>0</v>
      </c>
      <c r="R705" s="2" t="inlineStr"/>
    </row>
    <row r="706" ht="15" customHeight="1">
      <c r="A706" t="inlineStr">
        <is>
          <t>A 60860-2022</t>
        </is>
      </c>
      <c r="B706" s="1" t="n">
        <v>44914</v>
      </c>
      <c r="C706" s="1" t="n">
        <v>45890</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23091-2025</t>
        </is>
      </c>
      <c r="B707" s="1" t="n">
        <v>45791.34456018519</v>
      </c>
      <c r="C707" s="1" t="n">
        <v>45890</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17668-2023</t>
        </is>
      </c>
      <c r="B708" s="1" t="n">
        <v>45036</v>
      </c>
      <c r="C708" s="1" t="n">
        <v>45890</v>
      </c>
      <c r="D708" t="inlineStr">
        <is>
          <t>VÄSTERNORRLANDS LÄN</t>
        </is>
      </c>
      <c r="E708" t="inlineStr">
        <is>
          <t>ÅNGE</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36466-2024</t>
        </is>
      </c>
      <c r="B709" s="1" t="n">
        <v>45537.35872685185</v>
      </c>
      <c r="C709" s="1" t="n">
        <v>45890</v>
      </c>
      <c r="D709" t="inlineStr">
        <is>
          <t>VÄSTERNORRLANDS LÄN</t>
        </is>
      </c>
      <c r="E709" t="inlineStr">
        <is>
          <t>ÅNGE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54720-2024</t>
        </is>
      </c>
      <c r="B710" s="1" t="n">
        <v>45618.43715277778</v>
      </c>
      <c r="C710" s="1" t="n">
        <v>45890</v>
      </c>
      <c r="D710" t="inlineStr">
        <is>
          <t>VÄSTERNORRLANDS LÄN</t>
        </is>
      </c>
      <c r="E710" t="inlineStr">
        <is>
          <t>ÅNGE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35650-2024</t>
        </is>
      </c>
      <c r="B711" s="1" t="n">
        <v>45532.34123842593</v>
      </c>
      <c r="C711" s="1" t="n">
        <v>45890</v>
      </c>
      <c r="D711" t="inlineStr">
        <is>
          <t>VÄSTERNORRLANDS LÄN</t>
        </is>
      </c>
      <c r="E711" t="inlineStr">
        <is>
          <t>ÅNGE</t>
        </is>
      </c>
      <c r="G711" t="n">
        <v>3.8</v>
      </c>
      <c r="H711" t="n">
        <v>0</v>
      </c>
      <c r="I711" t="n">
        <v>0</v>
      </c>
      <c r="J711" t="n">
        <v>0</v>
      </c>
      <c r="K711" t="n">
        <v>0</v>
      </c>
      <c r="L711" t="n">
        <v>0</v>
      </c>
      <c r="M711" t="n">
        <v>0</v>
      </c>
      <c r="N711" t="n">
        <v>0</v>
      </c>
      <c r="O711" t="n">
        <v>0</v>
      </c>
      <c r="P711" t="n">
        <v>0</v>
      </c>
      <c r="Q711" t="n">
        <v>0</v>
      </c>
      <c r="R711" s="2" t="inlineStr"/>
    </row>
    <row r="712" ht="15" customHeight="1">
      <c r="A712" t="inlineStr">
        <is>
          <t>A 19709-2025</t>
        </is>
      </c>
      <c r="B712" s="1" t="n">
        <v>45771.34263888889</v>
      </c>
      <c r="C712" s="1" t="n">
        <v>45890</v>
      </c>
      <c r="D712" t="inlineStr">
        <is>
          <t>VÄSTERNORRLANDS LÄN</t>
        </is>
      </c>
      <c r="E712" t="inlineStr">
        <is>
          <t>ÅNGE</t>
        </is>
      </c>
      <c r="G712" t="n">
        <v>3.8</v>
      </c>
      <c r="H712" t="n">
        <v>0</v>
      </c>
      <c r="I712" t="n">
        <v>0</v>
      </c>
      <c r="J712" t="n">
        <v>0</v>
      </c>
      <c r="K712" t="n">
        <v>0</v>
      </c>
      <c r="L712" t="n">
        <v>0</v>
      </c>
      <c r="M712" t="n">
        <v>0</v>
      </c>
      <c r="N712" t="n">
        <v>0</v>
      </c>
      <c r="O712" t="n">
        <v>0</v>
      </c>
      <c r="P712" t="n">
        <v>0</v>
      </c>
      <c r="Q712" t="n">
        <v>0</v>
      </c>
      <c r="R712" s="2" t="inlineStr"/>
    </row>
    <row r="713" ht="15" customHeight="1">
      <c r="A713" t="inlineStr">
        <is>
          <t>A 41284-2024</t>
        </is>
      </c>
      <c r="B713" s="1" t="n">
        <v>45559.59520833333</v>
      </c>
      <c r="C713" s="1" t="n">
        <v>45890</v>
      </c>
      <c r="D713" t="inlineStr">
        <is>
          <t>VÄSTERNORRLANDS LÄN</t>
        </is>
      </c>
      <c r="E713" t="inlineStr">
        <is>
          <t>ÅNGE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23343-2025</t>
        </is>
      </c>
      <c r="B714" s="1" t="n">
        <v>45791.65702546296</v>
      </c>
      <c r="C714" s="1" t="n">
        <v>45890</v>
      </c>
      <c r="D714" t="inlineStr">
        <is>
          <t>VÄSTERNORRLANDS LÄN</t>
        </is>
      </c>
      <c r="E714" t="inlineStr">
        <is>
          <t>ÅNGE</t>
        </is>
      </c>
      <c r="F714" t="inlineStr">
        <is>
          <t>SCA</t>
        </is>
      </c>
      <c r="G714" t="n">
        <v>12.6</v>
      </c>
      <c r="H714" t="n">
        <v>0</v>
      </c>
      <c r="I714" t="n">
        <v>0</v>
      </c>
      <c r="J714" t="n">
        <v>0</v>
      </c>
      <c r="K714" t="n">
        <v>0</v>
      </c>
      <c r="L714" t="n">
        <v>0</v>
      </c>
      <c r="M714" t="n">
        <v>0</v>
      </c>
      <c r="N714" t="n">
        <v>0</v>
      </c>
      <c r="O714" t="n">
        <v>0</v>
      </c>
      <c r="P714" t="n">
        <v>0</v>
      </c>
      <c r="Q714" t="n">
        <v>0</v>
      </c>
      <c r="R714" s="2" t="inlineStr"/>
    </row>
    <row r="715" ht="15" customHeight="1">
      <c r="A715" t="inlineStr">
        <is>
          <t>A 39682-2024</t>
        </is>
      </c>
      <c r="B715" s="1" t="n">
        <v>45552</v>
      </c>
      <c r="C715" s="1" t="n">
        <v>45890</v>
      </c>
      <c r="D715" t="inlineStr">
        <is>
          <t>VÄSTERNORRLANDS LÄN</t>
        </is>
      </c>
      <c r="E715" t="inlineStr">
        <is>
          <t>ÅNGE</t>
        </is>
      </c>
      <c r="G715" t="n">
        <v>35.4</v>
      </c>
      <c r="H715" t="n">
        <v>0</v>
      </c>
      <c r="I715" t="n">
        <v>0</v>
      </c>
      <c r="J715" t="n">
        <v>0</v>
      </c>
      <c r="K715" t="n">
        <v>0</v>
      </c>
      <c r="L715" t="n">
        <v>0</v>
      </c>
      <c r="M715" t="n">
        <v>0</v>
      </c>
      <c r="N715" t="n">
        <v>0</v>
      </c>
      <c r="O715" t="n">
        <v>0</v>
      </c>
      <c r="P715" t="n">
        <v>0</v>
      </c>
      <c r="Q715" t="n">
        <v>0</v>
      </c>
      <c r="R715" s="2" t="inlineStr"/>
    </row>
    <row r="716" ht="15" customHeight="1">
      <c r="A716" t="inlineStr">
        <is>
          <t>A 11531-2023</t>
        </is>
      </c>
      <c r="B716" s="1" t="n">
        <v>44993.77038194444</v>
      </c>
      <c r="C716" s="1" t="n">
        <v>45890</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11532-2023</t>
        </is>
      </c>
      <c r="B717" s="1" t="n">
        <v>44993.77212962963</v>
      </c>
      <c r="C717" s="1" t="n">
        <v>45890</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10025-2025</t>
        </is>
      </c>
      <c r="B718" s="1" t="n">
        <v>45719.49002314815</v>
      </c>
      <c r="C718" s="1" t="n">
        <v>45890</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19798-2025</t>
        </is>
      </c>
      <c r="B719" s="1" t="n">
        <v>45771.44824074074</v>
      </c>
      <c r="C719" s="1" t="n">
        <v>45890</v>
      </c>
      <c r="D719" t="inlineStr">
        <is>
          <t>VÄSTERNORRLANDS LÄN</t>
        </is>
      </c>
      <c r="E719" t="inlineStr">
        <is>
          <t>ÅNGE</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45459-2022</t>
        </is>
      </c>
      <c r="B720" s="1" t="n">
        <v>44845</v>
      </c>
      <c r="C720" s="1" t="n">
        <v>45890</v>
      </c>
      <c r="D720" t="inlineStr">
        <is>
          <t>VÄSTERNORRLANDS LÄN</t>
        </is>
      </c>
      <c r="E720" t="inlineStr">
        <is>
          <t>ÅNGE</t>
        </is>
      </c>
      <c r="G720" t="n">
        <v>0.9</v>
      </c>
      <c r="H720" t="n">
        <v>0</v>
      </c>
      <c r="I720" t="n">
        <v>0</v>
      </c>
      <c r="J720" t="n">
        <v>0</v>
      </c>
      <c r="K720" t="n">
        <v>0</v>
      </c>
      <c r="L720" t="n">
        <v>0</v>
      </c>
      <c r="M720" t="n">
        <v>0</v>
      </c>
      <c r="N720" t="n">
        <v>0</v>
      </c>
      <c r="O720" t="n">
        <v>0</v>
      </c>
      <c r="P720" t="n">
        <v>0</v>
      </c>
      <c r="Q720" t="n">
        <v>0</v>
      </c>
      <c r="R720" s="2" t="inlineStr"/>
    </row>
    <row r="721" ht="15" customHeight="1">
      <c r="A721" t="inlineStr">
        <is>
          <t>A 41758-2024</t>
        </is>
      </c>
      <c r="B721" s="1" t="n">
        <v>45561.34478009259</v>
      </c>
      <c r="C721" s="1" t="n">
        <v>45890</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9759-2024</t>
        </is>
      </c>
      <c r="B722" s="1" t="n">
        <v>45362</v>
      </c>
      <c r="C722" s="1" t="n">
        <v>45890</v>
      </c>
      <c r="D722" t="inlineStr">
        <is>
          <t>VÄSTERNORRLANDS LÄN</t>
        </is>
      </c>
      <c r="E722" t="inlineStr">
        <is>
          <t>ÅNGE</t>
        </is>
      </c>
      <c r="G722" t="n">
        <v>2.5</v>
      </c>
      <c r="H722" t="n">
        <v>0</v>
      </c>
      <c r="I722" t="n">
        <v>0</v>
      </c>
      <c r="J722" t="n">
        <v>0</v>
      </c>
      <c r="K722" t="n">
        <v>0</v>
      </c>
      <c r="L722" t="n">
        <v>0</v>
      </c>
      <c r="M722" t="n">
        <v>0</v>
      </c>
      <c r="N722" t="n">
        <v>0</v>
      </c>
      <c r="O722" t="n">
        <v>0</v>
      </c>
      <c r="P722" t="n">
        <v>0</v>
      </c>
      <c r="Q722" t="n">
        <v>0</v>
      </c>
      <c r="R722" s="2" t="inlineStr"/>
    </row>
    <row r="723" ht="15" customHeight="1">
      <c r="A723" t="inlineStr">
        <is>
          <t>A 2984-2025</t>
        </is>
      </c>
      <c r="B723" s="1" t="n">
        <v>45678.51094907407</v>
      </c>
      <c r="C723" s="1" t="n">
        <v>45890</v>
      </c>
      <c r="D723" t="inlineStr">
        <is>
          <t>VÄSTERNORRLANDS LÄN</t>
        </is>
      </c>
      <c r="E723" t="inlineStr">
        <is>
          <t>ÅNGE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55328-2023</t>
        </is>
      </c>
      <c r="B724" s="1" t="n">
        <v>45237</v>
      </c>
      <c r="C724" s="1" t="n">
        <v>45890</v>
      </c>
      <c r="D724" t="inlineStr">
        <is>
          <t>VÄSTERNORRLANDS LÄN</t>
        </is>
      </c>
      <c r="E724" t="inlineStr">
        <is>
          <t>ÅNGE</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3133-2024</t>
        </is>
      </c>
      <c r="B725" s="1" t="n">
        <v>45316.55885416667</v>
      </c>
      <c r="C725" s="1" t="n">
        <v>45890</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5369-2022</t>
        </is>
      </c>
      <c r="B726" s="1" t="n">
        <v>44594.92113425926</v>
      </c>
      <c r="C726" s="1" t="n">
        <v>45890</v>
      </c>
      <c r="D726" t="inlineStr">
        <is>
          <t>VÄSTERNORRLANDS LÄN</t>
        </is>
      </c>
      <c r="E726" t="inlineStr">
        <is>
          <t>ÅNGE</t>
        </is>
      </c>
      <c r="G726" t="n">
        <v>1.3</v>
      </c>
      <c r="H726" t="n">
        <v>0</v>
      </c>
      <c r="I726" t="n">
        <v>0</v>
      </c>
      <c r="J726" t="n">
        <v>0</v>
      </c>
      <c r="K726" t="n">
        <v>0</v>
      </c>
      <c r="L726" t="n">
        <v>0</v>
      </c>
      <c r="M726" t="n">
        <v>0</v>
      </c>
      <c r="N726" t="n">
        <v>0</v>
      </c>
      <c r="O726" t="n">
        <v>0</v>
      </c>
      <c r="P726" t="n">
        <v>0</v>
      </c>
      <c r="Q726" t="n">
        <v>0</v>
      </c>
      <c r="R726" s="2" t="inlineStr"/>
    </row>
    <row r="727" ht="15" customHeight="1">
      <c r="A727" t="inlineStr">
        <is>
          <t>A 213-2024</t>
        </is>
      </c>
      <c r="B727" s="1" t="n">
        <v>45293</v>
      </c>
      <c r="C727" s="1" t="n">
        <v>45890</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56569-2024</t>
        </is>
      </c>
      <c r="B728" s="1" t="n">
        <v>45625</v>
      </c>
      <c r="C728" s="1" t="n">
        <v>45890</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4872-2025</t>
        </is>
      </c>
      <c r="B729" s="1" t="n">
        <v>45688.67619212963</v>
      </c>
      <c r="C729" s="1" t="n">
        <v>45890</v>
      </c>
      <c r="D729" t="inlineStr">
        <is>
          <t>VÄSTERNORRLANDS LÄN</t>
        </is>
      </c>
      <c r="E729" t="inlineStr">
        <is>
          <t>ÅNGE</t>
        </is>
      </c>
      <c r="F729" t="inlineStr">
        <is>
          <t>SCA</t>
        </is>
      </c>
      <c r="G729" t="n">
        <v>31.3</v>
      </c>
      <c r="H729" t="n">
        <v>0</v>
      </c>
      <c r="I729" t="n">
        <v>0</v>
      </c>
      <c r="J729" t="n">
        <v>0</v>
      </c>
      <c r="K729" t="n">
        <v>0</v>
      </c>
      <c r="L729" t="n">
        <v>0</v>
      </c>
      <c r="M729" t="n">
        <v>0</v>
      </c>
      <c r="N729" t="n">
        <v>0</v>
      </c>
      <c r="O729" t="n">
        <v>0</v>
      </c>
      <c r="P729" t="n">
        <v>0</v>
      </c>
      <c r="Q729" t="n">
        <v>0</v>
      </c>
      <c r="R729" s="2" t="inlineStr"/>
    </row>
    <row r="730" ht="15" customHeight="1">
      <c r="A730" t="inlineStr">
        <is>
          <t>A 35426-2024</t>
        </is>
      </c>
      <c r="B730" s="1" t="n">
        <v>45531</v>
      </c>
      <c r="C730" s="1" t="n">
        <v>45890</v>
      </c>
      <c r="D730" t="inlineStr">
        <is>
          <t>VÄSTERNORRLANDS LÄN</t>
        </is>
      </c>
      <c r="E730" t="inlineStr">
        <is>
          <t>ÅNGE</t>
        </is>
      </c>
      <c r="F730" t="inlineStr">
        <is>
          <t>SCA</t>
        </is>
      </c>
      <c r="G730" t="n">
        <v>10.9</v>
      </c>
      <c r="H730" t="n">
        <v>0</v>
      </c>
      <c r="I730" t="n">
        <v>0</v>
      </c>
      <c r="J730" t="n">
        <v>0</v>
      </c>
      <c r="K730" t="n">
        <v>0</v>
      </c>
      <c r="L730" t="n">
        <v>0</v>
      </c>
      <c r="M730" t="n">
        <v>0</v>
      </c>
      <c r="N730" t="n">
        <v>0</v>
      </c>
      <c r="O730" t="n">
        <v>0</v>
      </c>
      <c r="P730" t="n">
        <v>0</v>
      </c>
      <c r="Q730" t="n">
        <v>0</v>
      </c>
      <c r="R730" s="2" t="inlineStr"/>
    </row>
    <row r="731" ht="15" customHeight="1">
      <c r="A731" t="inlineStr">
        <is>
          <t>A 35488-2024</t>
        </is>
      </c>
      <c r="B731" s="1" t="n">
        <v>45531</v>
      </c>
      <c r="C731" s="1" t="n">
        <v>45890</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3347-2024</t>
        </is>
      </c>
      <c r="B732" s="1" t="n">
        <v>45317</v>
      </c>
      <c r="C732" s="1" t="n">
        <v>45890</v>
      </c>
      <c r="D732" t="inlineStr">
        <is>
          <t>VÄSTERNORRLANDS LÄN</t>
        </is>
      </c>
      <c r="E732" t="inlineStr">
        <is>
          <t>ÅNGE</t>
        </is>
      </c>
      <c r="G732" t="n">
        <v>0.5</v>
      </c>
      <c r="H732" t="n">
        <v>0</v>
      </c>
      <c r="I732" t="n">
        <v>0</v>
      </c>
      <c r="J732" t="n">
        <v>0</v>
      </c>
      <c r="K732" t="n">
        <v>0</v>
      </c>
      <c r="L732" t="n">
        <v>0</v>
      </c>
      <c r="M732" t="n">
        <v>0</v>
      </c>
      <c r="N732" t="n">
        <v>0</v>
      </c>
      <c r="O732" t="n">
        <v>0</v>
      </c>
      <c r="P732" t="n">
        <v>0</v>
      </c>
      <c r="Q732" t="n">
        <v>0</v>
      </c>
      <c r="R732" s="2" t="inlineStr"/>
    </row>
    <row r="733" ht="15" customHeight="1">
      <c r="A733" t="inlineStr">
        <is>
          <t>A 31563-2024</t>
        </is>
      </c>
      <c r="B733" s="1" t="n">
        <v>45505</v>
      </c>
      <c r="C733" s="1" t="n">
        <v>45890</v>
      </c>
      <c r="D733" t="inlineStr">
        <is>
          <t>VÄSTERNORRLANDS LÄN</t>
        </is>
      </c>
      <c r="E733" t="inlineStr">
        <is>
          <t>ÅNGE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23252-2025</t>
        </is>
      </c>
      <c r="B734" s="1" t="n">
        <v>45791.53157407408</v>
      </c>
      <c r="C734" s="1" t="n">
        <v>45890</v>
      </c>
      <c r="D734" t="inlineStr">
        <is>
          <t>VÄSTERNORRLANDS LÄN</t>
        </is>
      </c>
      <c r="E734" t="inlineStr">
        <is>
          <t>ÅNGE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23048-2025</t>
        </is>
      </c>
      <c r="B735" s="1" t="n">
        <v>45790.69825231482</v>
      </c>
      <c r="C735" s="1" t="n">
        <v>45890</v>
      </c>
      <c r="D735" t="inlineStr">
        <is>
          <t>VÄSTERNORRLANDS LÄN</t>
        </is>
      </c>
      <c r="E735" t="inlineStr">
        <is>
          <t>ÅNGE</t>
        </is>
      </c>
      <c r="F735" t="inlineStr">
        <is>
          <t>SCA</t>
        </is>
      </c>
      <c r="G735" t="n">
        <v>7.5</v>
      </c>
      <c r="H735" t="n">
        <v>0</v>
      </c>
      <c r="I735" t="n">
        <v>0</v>
      </c>
      <c r="J735" t="n">
        <v>0</v>
      </c>
      <c r="K735" t="n">
        <v>0</v>
      </c>
      <c r="L735" t="n">
        <v>0</v>
      </c>
      <c r="M735" t="n">
        <v>0</v>
      </c>
      <c r="N735" t="n">
        <v>0</v>
      </c>
      <c r="O735" t="n">
        <v>0</v>
      </c>
      <c r="P735" t="n">
        <v>0</v>
      </c>
      <c r="Q735" t="n">
        <v>0</v>
      </c>
      <c r="R735" s="2" t="inlineStr"/>
    </row>
    <row r="736" ht="15" customHeight="1">
      <c r="A736" t="inlineStr">
        <is>
          <t>A 53663-2022</t>
        </is>
      </c>
      <c r="B736" s="1" t="n">
        <v>44879</v>
      </c>
      <c r="C736" s="1" t="n">
        <v>45890</v>
      </c>
      <c r="D736" t="inlineStr">
        <is>
          <t>VÄSTERNORRLANDS LÄN</t>
        </is>
      </c>
      <c r="E736" t="inlineStr">
        <is>
          <t>ÅNGE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32458-2024</t>
        </is>
      </c>
      <c r="B737" s="1" t="n">
        <v>45512</v>
      </c>
      <c r="C737" s="1" t="n">
        <v>45890</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10089-2023</t>
        </is>
      </c>
      <c r="B738" s="1" t="n">
        <v>44985</v>
      </c>
      <c r="C738" s="1" t="n">
        <v>45890</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10090-2023</t>
        </is>
      </c>
      <c r="B739" s="1" t="n">
        <v>44985.94511574074</v>
      </c>
      <c r="C739" s="1" t="n">
        <v>45890</v>
      </c>
      <c r="D739" t="inlineStr">
        <is>
          <t>VÄSTERNORRLANDS LÄN</t>
        </is>
      </c>
      <c r="E739" t="inlineStr">
        <is>
          <t>ÅNGE</t>
        </is>
      </c>
      <c r="F739" t="inlineStr">
        <is>
          <t>SCA</t>
        </is>
      </c>
      <c r="G739" t="n">
        <v>8.4</v>
      </c>
      <c r="H739" t="n">
        <v>0</v>
      </c>
      <c r="I739" t="n">
        <v>0</v>
      </c>
      <c r="J739" t="n">
        <v>0</v>
      </c>
      <c r="K739" t="n">
        <v>0</v>
      </c>
      <c r="L739" t="n">
        <v>0</v>
      </c>
      <c r="M739" t="n">
        <v>0</v>
      </c>
      <c r="N739" t="n">
        <v>0</v>
      </c>
      <c r="O739" t="n">
        <v>0</v>
      </c>
      <c r="P739" t="n">
        <v>0</v>
      </c>
      <c r="Q739" t="n">
        <v>0</v>
      </c>
      <c r="R739" s="2" t="inlineStr"/>
    </row>
    <row r="740" ht="15" customHeight="1">
      <c r="A740" t="inlineStr">
        <is>
          <t>A 22926-2025</t>
        </is>
      </c>
      <c r="B740" s="1" t="n">
        <v>45790</v>
      </c>
      <c r="C740" s="1" t="n">
        <v>45890</v>
      </c>
      <c r="D740" t="inlineStr">
        <is>
          <t>VÄSTERNORRLANDS LÄN</t>
        </is>
      </c>
      <c r="E740" t="inlineStr">
        <is>
          <t>ÅNGE</t>
        </is>
      </c>
      <c r="G740" t="n">
        <v>1.3</v>
      </c>
      <c r="H740" t="n">
        <v>0</v>
      </c>
      <c r="I740" t="n">
        <v>0</v>
      </c>
      <c r="J740" t="n">
        <v>0</v>
      </c>
      <c r="K740" t="n">
        <v>0</v>
      </c>
      <c r="L740" t="n">
        <v>0</v>
      </c>
      <c r="M740" t="n">
        <v>0</v>
      </c>
      <c r="N740" t="n">
        <v>0</v>
      </c>
      <c r="O740" t="n">
        <v>0</v>
      </c>
      <c r="P740" t="n">
        <v>0</v>
      </c>
      <c r="Q740" t="n">
        <v>0</v>
      </c>
      <c r="R740" s="2" t="inlineStr"/>
    </row>
    <row r="741" ht="15" customHeight="1">
      <c r="A741" t="inlineStr">
        <is>
          <t>A 22928-2025</t>
        </is>
      </c>
      <c r="B741" s="1" t="n">
        <v>45790.44825231482</v>
      </c>
      <c r="C741" s="1" t="n">
        <v>45890</v>
      </c>
      <c r="D741" t="inlineStr">
        <is>
          <t>VÄSTERNORRLANDS LÄN</t>
        </is>
      </c>
      <c r="E741" t="inlineStr">
        <is>
          <t>ÅNGE</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741-2024</t>
        </is>
      </c>
      <c r="B742" s="1" t="n">
        <v>45300.46591435185</v>
      </c>
      <c r="C742" s="1" t="n">
        <v>45890</v>
      </c>
      <c r="D742" t="inlineStr">
        <is>
          <t>VÄSTERNORRLANDS LÄN</t>
        </is>
      </c>
      <c r="E742" t="inlineStr">
        <is>
          <t>ÅNGE</t>
        </is>
      </c>
      <c r="G742" t="n">
        <v>8</v>
      </c>
      <c r="H742" t="n">
        <v>0</v>
      </c>
      <c r="I742" t="n">
        <v>0</v>
      </c>
      <c r="J742" t="n">
        <v>0</v>
      </c>
      <c r="K742" t="n">
        <v>0</v>
      </c>
      <c r="L742" t="n">
        <v>0</v>
      </c>
      <c r="M742" t="n">
        <v>0</v>
      </c>
      <c r="N742" t="n">
        <v>0</v>
      </c>
      <c r="O742" t="n">
        <v>0</v>
      </c>
      <c r="P742" t="n">
        <v>0</v>
      </c>
      <c r="Q742" t="n">
        <v>0</v>
      </c>
      <c r="R742" s="2" t="inlineStr"/>
    </row>
    <row r="743" ht="15" customHeight="1">
      <c r="A743" t="inlineStr">
        <is>
          <t>A 48369-2024</t>
        </is>
      </c>
      <c r="B743" s="1" t="n">
        <v>45590.57960648148</v>
      </c>
      <c r="C743" s="1" t="n">
        <v>45890</v>
      </c>
      <c r="D743" t="inlineStr">
        <is>
          <t>VÄSTERNORRLANDS LÄN</t>
        </is>
      </c>
      <c r="E743" t="inlineStr">
        <is>
          <t>ÅNGE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23748-2025</t>
        </is>
      </c>
      <c r="B744" s="1" t="n">
        <v>45793.44755787037</v>
      </c>
      <c r="C744" s="1" t="n">
        <v>45890</v>
      </c>
      <c r="D744" t="inlineStr">
        <is>
          <t>VÄSTERNORRLANDS LÄN</t>
        </is>
      </c>
      <c r="E744" t="inlineStr">
        <is>
          <t>ÅNGE</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23589-2025</t>
        </is>
      </c>
      <c r="B745" s="1" t="n">
        <v>45792.63618055556</v>
      </c>
      <c r="C745" s="1" t="n">
        <v>45890</v>
      </c>
      <c r="D745" t="inlineStr">
        <is>
          <t>VÄSTERNORRLANDS LÄN</t>
        </is>
      </c>
      <c r="E745" t="inlineStr">
        <is>
          <t>ÅNGE</t>
        </is>
      </c>
      <c r="F745" t="inlineStr">
        <is>
          <t>SCA</t>
        </is>
      </c>
      <c r="G745" t="n">
        <v>10.7</v>
      </c>
      <c r="H745" t="n">
        <v>0</v>
      </c>
      <c r="I745" t="n">
        <v>0</v>
      </c>
      <c r="J745" t="n">
        <v>0</v>
      </c>
      <c r="K745" t="n">
        <v>0</v>
      </c>
      <c r="L745" t="n">
        <v>0</v>
      </c>
      <c r="M745" t="n">
        <v>0</v>
      </c>
      <c r="N745" t="n">
        <v>0</v>
      </c>
      <c r="O745" t="n">
        <v>0</v>
      </c>
      <c r="P745" t="n">
        <v>0</v>
      </c>
      <c r="Q745" t="n">
        <v>0</v>
      </c>
      <c r="R745" s="2" t="inlineStr"/>
    </row>
    <row r="746" ht="15" customHeight="1">
      <c r="A746" t="inlineStr">
        <is>
          <t>A 23490-2025</t>
        </is>
      </c>
      <c r="B746" s="1" t="n">
        <v>45792.46907407408</v>
      </c>
      <c r="C746" s="1" t="n">
        <v>45890</v>
      </c>
      <c r="D746" t="inlineStr">
        <is>
          <t>VÄSTERNORRLANDS LÄN</t>
        </is>
      </c>
      <c r="E746" t="inlineStr">
        <is>
          <t>ÅNGE</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23495-2025</t>
        </is>
      </c>
      <c r="B747" s="1" t="n">
        <v>45792.46967592592</v>
      </c>
      <c r="C747" s="1" t="n">
        <v>45890</v>
      </c>
      <c r="D747" t="inlineStr">
        <is>
          <t>VÄSTERNORRLANDS LÄN</t>
        </is>
      </c>
      <c r="E747" t="inlineStr">
        <is>
          <t>ÅNGE</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16524-2025</t>
        </is>
      </c>
      <c r="B748" s="1" t="n">
        <v>45751.64310185185</v>
      </c>
      <c r="C748" s="1" t="n">
        <v>45890</v>
      </c>
      <c r="D748" t="inlineStr">
        <is>
          <t>VÄSTERNORRLANDS LÄN</t>
        </is>
      </c>
      <c r="E748" t="inlineStr">
        <is>
          <t>ÅNGE</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23580-2025</t>
        </is>
      </c>
      <c r="B749" s="1" t="n">
        <v>45792.62555555555</v>
      </c>
      <c r="C749" s="1" t="n">
        <v>45890</v>
      </c>
      <c r="D749" t="inlineStr">
        <is>
          <t>VÄSTERNORRLANDS LÄN</t>
        </is>
      </c>
      <c r="E749" t="inlineStr">
        <is>
          <t>ÅNGE</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23590-2025</t>
        </is>
      </c>
      <c r="B750" s="1" t="n">
        <v>45792.63627314815</v>
      </c>
      <c r="C750" s="1" t="n">
        <v>45890</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52683-2024</t>
        </is>
      </c>
      <c r="B751" s="1" t="n">
        <v>45610</v>
      </c>
      <c r="C751" s="1" t="n">
        <v>45890</v>
      </c>
      <c r="D751" t="inlineStr">
        <is>
          <t>VÄSTERNORRLANDS LÄN</t>
        </is>
      </c>
      <c r="E751" t="inlineStr">
        <is>
          <t>ÅNGE</t>
        </is>
      </c>
      <c r="G751" t="n">
        <v>1.8</v>
      </c>
      <c r="H751" t="n">
        <v>0</v>
      </c>
      <c r="I751" t="n">
        <v>0</v>
      </c>
      <c r="J751" t="n">
        <v>0</v>
      </c>
      <c r="K751" t="n">
        <v>0</v>
      </c>
      <c r="L751" t="n">
        <v>0</v>
      </c>
      <c r="M751" t="n">
        <v>0</v>
      </c>
      <c r="N751" t="n">
        <v>0</v>
      </c>
      <c r="O751" t="n">
        <v>0</v>
      </c>
      <c r="P751" t="n">
        <v>0</v>
      </c>
      <c r="Q751" t="n">
        <v>0</v>
      </c>
      <c r="R751" s="2" t="inlineStr"/>
    </row>
    <row r="752" ht="15" customHeight="1">
      <c r="A752" t="inlineStr">
        <is>
          <t>A 19997-2023</t>
        </is>
      </c>
      <c r="B752" s="1" t="n">
        <v>45054</v>
      </c>
      <c r="C752" s="1" t="n">
        <v>45890</v>
      </c>
      <c r="D752" t="inlineStr">
        <is>
          <t>VÄSTERNORRLANDS LÄN</t>
        </is>
      </c>
      <c r="E752" t="inlineStr">
        <is>
          <t>ÅNGE</t>
        </is>
      </c>
      <c r="G752" t="n">
        <v>0.3</v>
      </c>
      <c r="H752" t="n">
        <v>0</v>
      </c>
      <c r="I752" t="n">
        <v>0</v>
      </c>
      <c r="J752" t="n">
        <v>0</v>
      </c>
      <c r="K752" t="n">
        <v>0</v>
      </c>
      <c r="L752" t="n">
        <v>0</v>
      </c>
      <c r="M752" t="n">
        <v>0</v>
      </c>
      <c r="N752" t="n">
        <v>0</v>
      </c>
      <c r="O752" t="n">
        <v>0</v>
      </c>
      <c r="P752" t="n">
        <v>0</v>
      </c>
      <c r="Q752" t="n">
        <v>0</v>
      </c>
      <c r="R752" s="2" t="inlineStr"/>
    </row>
    <row r="753" ht="15" customHeight="1">
      <c r="A753" t="inlineStr">
        <is>
          <t>A 40790-2023</t>
        </is>
      </c>
      <c r="B753" s="1" t="n">
        <v>45170.95814814815</v>
      </c>
      <c r="C753" s="1" t="n">
        <v>45890</v>
      </c>
      <c r="D753" t="inlineStr">
        <is>
          <t>VÄSTERNORRLANDS LÄN</t>
        </is>
      </c>
      <c r="E753" t="inlineStr">
        <is>
          <t>ÅNGE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23573-2025</t>
        </is>
      </c>
      <c r="B754" s="1" t="n">
        <v>45792.61497685185</v>
      </c>
      <c r="C754" s="1" t="n">
        <v>45890</v>
      </c>
      <c r="D754" t="inlineStr">
        <is>
          <t>VÄSTERNORRLANDS LÄN</t>
        </is>
      </c>
      <c r="E754" t="inlineStr">
        <is>
          <t>ÅNGE</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38002-2024</t>
        </is>
      </c>
      <c r="B755" s="1" t="n">
        <v>45544.61484953704</v>
      </c>
      <c r="C755" s="1" t="n">
        <v>45890</v>
      </c>
      <c r="D755" t="inlineStr">
        <is>
          <t>VÄSTERNORRLANDS LÄN</t>
        </is>
      </c>
      <c r="E755" t="inlineStr">
        <is>
          <t>ÅNGE</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38284-2022</t>
        </is>
      </c>
      <c r="B756" s="1" t="n">
        <v>44812.55149305556</v>
      </c>
      <c r="C756" s="1" t="n">
        <v>45890</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60514-2024</t>
        </is>
      </c>
      <c r="B757" s="1" t="n">
        <v>45643.67474537037</v>
      </c>
      <c r="C757" s="1" t="n">
        <v>45890</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23552-2025</t>
        </is>
      </c>
      <c r="B758" s="1" t="n">
        <v>45792.5738425926</v>
      </c>
      <c r="C758" s="1" t="n">
        <v>45890</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6684-2024</t>
        </is>
      </c>
      <c r="B759" s="1" t="n">
        <v>45341.92555555556</v>
      </c>
      <c r="C759" s="1" t="n">
        <v>45890</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6691-2024</t>
        </is>
      </c>
      <c r="B760" s="1" t="n">
        <v>45341</v>
      </c>
      <c r="C760" s="1" t="n">
        <v>45890</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23550-2025</t>
        </is>
      </c>
      <c r="B761" s="1" t="n">
        <v>45792.57361111111</v>
      </c>
      <c r="C761" s="1" t="n">
        <v>45890</v>
      </c>
      <c r="D761" t="inlineStr">
        <is>
          <t>VÄSTERNORRLANDS LÄN</t>
        </is>
      </c>
      <c r="E761" t="inlineStr">
        <is>
          <t>ÅNGE</t>
        </is>
      </c>
      <c r="F761" t="inlineStr">
        <is>
          <t>SCA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23407-2025</t>
        </is>
      </c>
      <c r="B762" s="1" t="n">
        <v>45792.34549768519</v>
      </c>
      <c r="C762" s="1" t="n">
        <v>45890</v>
      </c>
      <c r="D762" t="inlineStr">
        <is>
          <t>VÄSTERNORRLANDS LÄN</t>
        </is>
      </c>
      <c r="E762" t="inlineStr">
        <is>
          <t>ÅNGE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5393-2025</t>
        </is>
      </c>
      <c r="B763" s="1" t="n">
        <v>45692.63574074074</v>
      </c>
      <c r="C763" s="1" t="n">
        <v>45890</v>
      </c>
      <c r="D763" t="inlineStr">
        <is>
          <t>VÄSTERNORRLANDS LÄN</t>
        </is>
      </c>
      <c r="E763" t="inlineStr">
        <is>
          <t>ÅNGE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43184-2024</t>
        </is>
      </c>
      <c r="B764" s="1" t="n">
        <v>45567</v>
      </c>
      <c r="C764" s="1" t="n">
        <v>45890</v>
      </c>
      <c r="D764" t="inlineStr">
        <is>
          <t>VÄSTERNORRLANDS LÄN</t>
        </is>
      </c>
      <c r="E764" t="inlineStr">
        <is>
          <t>ÅNGE</t>
        </is>
      </c>
      <c r="G764" t="n">
        <v>15.3</v>
      </c>
      <c r="H764" t="n">
        <v>0</v>
      </c>
      <c r="I764" t="n">
        <v>0</v>
      </c>
      <c r="J764" t="n">
        <v>0</v>
      </c>
      <c r="K764" t="n">
        <v>0</v>
      </c>
      <c r="L764" t="n">
        <v>0</v>
      </c>
      <c r="M764" t="n">
        <v>0</v>
      </c>
      <c r="N764" t="n">
        <v>0</v>
      </c>
      <c r="O764" t="n">
        <v>0</v>
      </c>
      <c r="P764" t="n">
        <v>0</v>
      </c>
      <c r="Q764" t="n">
        <v>0</v>
      </c>
      <c r="R764" s="2" t="inlineStr"/>
    </row>
    <row r="765" ht="15" customHeight="1">
      <c r="A765" t="inlineStr">
        <is>
          <t>A 57529-2024</t>
        </is>
      </c>
      <c r="B765" s="1" t="n">
        <v>45630</v>
      </c>
      <c r="C765" s="1" t="n">
        <v>45890</v>
      </c>
      <c r="D765" t="inlineStr">
        <is>
          <t>VÄSTERNORRLANDS LÄN</t>
        </is>
      </c>
      <c r="E765" t="inlineStr">
        <is>
          <t>ÅNGE</t>
        </is>
      </c>
      <c r="G765" t="n">
        <v>1.4</v>
      </c>
      <c r="H765" t="n">
        <v>0</v>
      </c>
      <c r="I765" t="n">
        <v>0</v>
      </c>
      <c r="J765" t="n">
        <v>0</v>
      </c>
      <c r="K765" t="n">
        <v>0</v>
      </c>
      <c r="L765" t="n">
        <v>0</v>
      </c>
      <c r="M765" t="n">
        <v>0</v>
      </c>
      <c r="N765" t="n">
        <v>0</v>
      </c>
      <c r="O765" t="n">
        <v>0</v>
      </c>
      <c r="P765" t="n">
        <v>0</v>
      </c>
      <c r="Q765" t="n">
        <v>0</v>
      </c>
      <c r="R765" s="2" t="inlineStr"/>
    </row>
    <row r="766" ht="15" customHeight="1">
      <c r="A766" t="inlineStr">
        <is>
          <t>A 23529-2025</t>
        </is>
      </c>
      <c r="B766" s="1" t="n">
        <v>45792.53158564815</v>
      </c>
      <c r="C766" s="1" t="n">
        <v>45890</v>
      </c>
      <c r="D766" t="inlineStr">
        <is>
          <t>VÄSTERNORRLANDS LÄN</t>
        </is>
      </c>
      <c r="E766" t="inlineStr">
        <is>
          <t>ÅNGE</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60004-2023</t>
        </is>
      </c>
      <c r="B767" s="1" t="n">
        <v>45257</v>
      </c>
      <c r="C767" s="1" t="n">
        <v>45890</v>
      </c>
      <c r="D767" t="inlineStr">
        <is>
          <t>VÄSTERNORRLANDS LÄN</t>
        </is>
      </c>
      <c r="E767" t="inlineStr">
        <is>
          <t>ÅNGE</t>
        </is>
      </c>
      <c r="F767" t="inlineStr">
        <is>
          <t>SCA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4142-2024</t>
        </is>
      </c>
      <c r="B768" s="1" t="n">
        <v>45323</v>
      </c>
      <c r="C768" s="1" t="n">
        <v>45890</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39843-2023</t>
        </is>
      </c>
      <c r="B769" s="1" t="n">
        <v>45168</v>
      </c>
      <c r="C769" s="1" t="n">
        <v>45890</v>
      </c>
      <c r="D769" t="inlineStr">
        <is>
          <t>VÄSTERNORRLANDS LÄN</t>
        </is>
      </c>
      <c r="E769" t="inlineStr">
        <is>
          <t>ÅNGE</t>
        </is>
      </c>
      <c r="G769" t="n">
        <v>2.1</v>
      </c>
      <c r="H769" t="n">
        <v>0</v>
      </c>
      <c r="I769" t="n">
        <v>0</v>
      </c>
      <c r="J769" t="n">
        <v>0</v>
      </c>
      <c r="K769" t="n">
        <v>0</v>
      </c>
      <c r="L769" t="n">
        <v>0</v>
      </c>
      <c r="M769" t="n">
        <v>0</v>
      </c>
      <c r="N769" t="n">
        <v>0</v>
      </c>
      <c r="O769" t="n">
        <v>0</v>
      </c>
      <c r="P769" t="n">
        <v>0</v>
      </c>
      <c r="Q769" t="n">
        <v>0</v>
      </c>
      <c r="R769" s="2" t="inlineStr"/>
    </row>
    <row r="770" ht="15" customHeight="1">
      <c r="A770" t="inlineStr">
        <is>
          <t>A 56874-2024</t>
        </is>
      </c>
      <c r="B770" s="1" t="n">
        <v>45628</v>
      </c>
      <c r="C770" s="1" t="n">
        <v>45890</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58087-2024</t>
        </is>
      </c>
      <c r="B771" s="1" t="n">
        <v>45632.34502314815</v>
      </c>
      <c r="C771" s="1" t="n">
        <v>45890</v>
      </c>
      <c r="D771" t="inlineStr">
        <is>
          <t>VÄSTERNORRLANDS LÄN</t>
        </is>
      </c>
      <c r="E771" t="inlineStr">
        <is>
          <t>ÅNGE</t>
        </is>
      </c>
      <c r="G771" t="n">
        <v>2.6</v>
      </c>
      <c r="H771" t="n">
        <v>0</v>
      </c>
      <c r="I771" t="n">
        <v>0</v>
      </c>
      <c r="J771" t="n">
        <v>0</v>
      </c>
      <c r="K771" t="n">
        <v>0</v>
      </c>
      <c r="L771" t="n">
        <v>0</v>
      </c>
      <c r="M771" t="n">
        <v>0</v>
      </c>
      <c r="N771" t="n">
        <v>0</v>
      </c>
      <c r="O771" t="n">
        <v>0</v>
      </c>
      <c r="P771" t="n">
        <v>0</v>
      </c>
      <c r="Q771" t="n">
        <v>0</v>
      </c>
      <c r="R771" s="2" t="inlineStr"/>
    </row>
    <row r="772" ht="15" customHeight="1">
      <c r="A772" t="inlineStr">
        <is>
          <t>A 34726-2024</t>
        </is>
      </c>
      <c r="B772" s="1" t="n">
        <v>45526.5733912037</v>
      </c>
      <c r="C772" s="1" t="n">
        <v>45890</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1769-2023</t>
        </is>
      </c>
      <c r="B773" s="1" t="n">
        <v>44938.58025462963</v>
      </c>
      <c r="C773" s="1" t="n">
        <v>45890</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23899-2025</t>
        </is>
      </c>
      <c r="B774" s="1" t="n">
        <v>45794.34414351852</v>
      </c>
      <c r="C774" s="1" t="n">
        <v>45890</v>
      </c>
      <c r="D774" t="inlineStr">
        <is>
          <t>VÄSTERNORRLANDS LÄN</t>
        </is>
      </c>
      <c r="E774" t="inlineStr">
        <is>
          <t>ÅNGE</t>
        </is>
      </c>
      <c r="F774" t="inlineStr">
        <is>
          <t>SCA</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54079-2023</t>
        </is>
      </c>
      <c r="B775" s="1" t="n">
        <v>45231</v>
      </c>
      <c r="C775" s="1" t="n">
        <v>45890</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24357-2025</t>
        </is>
      </c>
      <c r="B776" s="1" t="n">
        <v>45797.59467592592</v>
      </c>
      <c r="C776" s="1" t="n">
        <v>45890</v>
      </c>
      <c r="D776" t="inlineStr">
        <is>
          <t>VÄSTERNORRLANDS LÄN</t>
        </is>
      </c>
      <c r="E776" t="inlineStr">
        <is>
          <t>ÅNGE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32776-2022</t>
        </is>
      </c>
      <c r="B777" s="1" t="n">
        <v>44783.94607638889</v>
      </c>
      <c r="C777" s="1" t="n">
        <v>45890</v>
      </c>
      <c r="D777" t="inlineStr">
        <is>
          <t>VÄSTERNORRLANDS LÄN</t>
        </is>
      </c>
      <c r="E777" t="inlineStr">
        <is>
          <t>ÅNGE</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24292-2025</t>
        </is>
      </c>
      <c r="B778" s="1" t="n">
        <v>45797.46657407407</v>
      </c>
      <c r="C778" s="1" t="n">
        <v>45890</v>
      </c>
      <c r="D778" t="inlineStr">
        <is>
          <t>VÄSTERNORRLANDS LÄN</t>
        </is>
      </c>
      <c r="E778" t="inlineStr">
        <is>
          <t>ÅNGE</t>
        </is>
      </c>
      <c r="G778" t="n">
        <v>2.8</v>
      </c>
      <c r="H778" t="n">
        <v>0</v>
      </c>
      <c r="I778" t="n">
        <v>0</v>
      </c>
      <c r="J778" t="n">
        <v>0</v>
      </c>
      <c r="K778" t="n">
        <v>0</v>
      </c>
      <c r="L778" t="n">
        <v>0</v>
      </c>
      <c r="M778" t="n">
        <v>0</v>
      </c>
      <c r="N778" t="n">
        <v>0</v>
      </c>
      <c r="O778" t="n">
        <v>0</v>
      </c>
      <c r="P778" t="n">
        <v>0</v>
      </c>
      <c r="Q778" t="n">
        <v>0</v>
      </c>
      <c r="R778" s="2" t="inlineStr"/>
    </row>
    <row r="779" ht="15" customHeight="1">
      <c r="A779" t="inlineStr">
        <is>
          <t>A 24008-2025</t>
        </is>
      </c>
      <c r="B779" s="1" t="n">
        <v>45796.43841435185</v>
      </c>
      <c r="C779" s="1" t="n">
        <v>45890</v>
      </c>
      <c r="D779" t="inlineStr">
        <is>
          <t>VÄSTERNORRLANDS LÄN</t>
        </is>
      </c>
      <c r="E779" t="inlineStr">
        <is>
          <t>ÅNGE</t>
        </is>
      </c>
      <c r="G779" t="n">
        <v>8.300000000000001</v>
      </c>
      <c r="H779" t="n">
        <v>0</v>
      </c>
      <c r="I779" t="n">
        <v>0</v>
      </c>
      <c r="J779" t="n">
        <v>0</v>
      </c>
      <c r="K779" t="n">
        <v>0</v>
      </c>
      <c r="L779" t="n">
        <v>0</v>
      </c>
      <c r="M779" t="n">
        <v>0</v>
      </c>
      <c r="N779" t="n">
        <v>0</v>
      </c>
      <c r="O779" t="n">
        <v>0</v>
      </c>
      <c r="P779" t="n">
        <v>0</v>
      </c>
      <c r="Q779" t="n">
        <v>0</v>
      </c>
      <c r="R779" s="2" t="inlineStr"/>
    </row>
    <row r="780" ht="15" customHeight="1">
      <c r="A780" t="inlineStr">
        <is>
          <t>A 25779-2023</t>
        </is>
      </c>
      <c r="B780" s="1" t="n">
        <v>45090.47439814815</v>
      </c>
      <c r="C780" s="1" t="n">
        <v>45890</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23225-2024</t>
        </is>
      </c>
      <c r="B781" s="1" t="n">
        <v>45452.9490162037</v>
      </c>
      <c r="C781" s="1" t="n">
        <v>45890</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29696-2024</t>
        </is>
      </c>
      <c r="B782" s="1" t="n">
        <v>45484.94524305555</v>
      </c>
      <c r="C782" s="1" t="n">
        <v>45890</v>
      </c>
      <c r="D782" t="inlineStr">
        <is>
          <t>VÄSTERNORRLANDS LÄN</t>
        </is>
      </c>
      <c r="E782" t="inlineStr">
        <is>
          <t>ÅNGE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21200-2024</t>
        </is>
      </c>
      <c r="B783" s="1" t="n">
        <v>45440</v>
      </c>
      <c r="C783" s="1" t="n">
        <v>45890</v>
      </c>
      <c r="D783" t="inlineStr">
        <is>
          <t>VÄSTERNORRLANDS LÄN</t>
        </is>
      </c>
      <c r="E783" t="inlineStr">
        <is>
          <t>ÅNGE</t>
        </is>
      </c>
      <c r="G783" t="n">
        <v>1.1</v>
      </c>
      <c r="H783" t="n">
        <v>0</v>
      </c>
      <c r="I783" t="n">
        <v>0</v>
      </c>
      <c r="J783" t="n">
        <v>0</v>
      </c>
      <c r="K783" t="n">
        <v>0</v>
      </c>
      <c r="L783" t="n">
        <v>0</v>
      </c>
      <c r="M783" t="n">
        <v>0</v>
      </c>
      <c r="N783" t="n">
        <v>0</v>
      </c>
      <c r="O783" t="n">
        <v>0</v>
      </c>
      <c r="P783" t="n">
        <v>0</v>
      </c>
      <c r="Q783" t="n">
        <v>0</v>
      </c>
      <c r="R783" s="2" t="inlineStr"/>
    </row>
    <row r="784" ht="15" customHeight="1">
      <c r="A784" t="inlineStr">
        <is>
          <t>A 10017-2025</t>
        </is>
      </c>
      <c r="B784" s="1" t="n">
        <v>45719.46957175926</v>
      </c>
      <c r="C784" s="1" t="n">
        <v>45890</v>
      </c>
      <c r="D784" t="inlineStr">
        <is>
          <t>VÄSTERNORRLANDS LÄN</t>
        </is>
      </c>
      <c r="E784" t="inlineStr">
        <is>
          <t>ÅNGE</t>
        </is>
      </c>
      <c r="F784" t="inlineStr">
        <is>
          <t>SCA</t>
        </is>
      </c>
      <c r="G784" t="n">
        <v>9.9</v>
      </c>
      <c r="H784" t="n">
        <v>0</v>
      </c>
      <c r="I784" t="n">
        <v>0</v>
      </c>
      <c r="J784" t="n">
        <v>0</v>
      </c>
      <c r="K784" t="n">
        <v>0</v>
      </c>
      <c r="L784" t="n">
        <v>0</v>
      </c>
      <c r="M784" t="n">
        <v>0</v>
      </c>
      <c r="N784" t="n">
        <v>0</v>
      </c>
      <c r="O784" t="n">
        <v>0</v>
      </c>
      <c r="P784" t="n">
        <v>0</v>
      </c>
      <c r="Q784" t="n">
        <v>0</v>
      </c>
      <c r="R784" s="2" t="inlineStr"/>
    </row>
    <row r="785" ht="15" customHeight="1">
      <c r="A785" t="inlineStr">
        <is>
          <t>A 6462-2024</t>
        </is>
      </c>
      <c r="B785" s="1" t="n">
        <v>45338</v>
      </c>
      <c r="C785" s="1" t="n">
        <v>45890</v>
      </c>
      <c r="D785" t="inlineStr">
        <is>
          <t>VÄSTERNORRLANDS LÄN</t>
        </is>
      </c>
      <c r="E785" t="inlineStr">
        <is>
          <t>ÅNGE</t>
        </is>
      </c>
      <c r="F785" t="inlineStr">
        <is>
          <t>Kyrkan</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1127-2023</t>
        </is>
      </c>
      <c r="B786" s="1" t="n">
        <v>44929</v>
      </c>
      <c r="C786" s="1" t="n">
        <v>45890</v>
      </c>
      <c r="D786" t="inlineStr">
        <is>
          <t>VÄSTERNORRLANDS LÄN</t>
        </is>
      </c>
      <c r="E786" t="inlineStr">
        <is>
          <t>ÅNGE</t>
        </is>
      </c>
      <c r="G786" t="n">
        <v>10.5</v>
      </c>
      <c r="H786" t="n">
        <v>0</v>
      </c>
      <c r="I786" t="n">
        <v>0</v>
      </c>
      <c r="J786" t="n">
        <v>0</v>
      </c>
      <c r="K786" t="n">
        <v>0</v>
      </c>
      <c r="L786" t="n">
        <v>0</v>
      </c>
      <c r="M786" t="n">
        <v>0</v>
      </c>
      <c r="N786" t="n">
        <v>0</v>
      </c>
      <c r="O786" t="n">
        <v>0</v>
      </c>
      <c r="P786" t="n">
        <v>0</v>
      </c>
      <c r="Q786" t="n">
        <v>0</v>
      </c>
      <c r="R786" s="2" t="inlineStr"/>
    </row>
    <row r="787" ht="15" customHeight="1">
      <c r="A787" t="inlineStr">
        <is>
          <t>A 41575-2024</t>
        </is>
      </c>
      <c r="B787" s="1" t="n">
        <v>45560.55106481481</v>
      </c>
      <c r="C787" s="1" t="n">
        <v>45890</v>
      </c>
      <c r="D787" t="inlineStr">
        <is>
          <t>VÄSTERNORRLANDS LÄN</t>
        </is>
      </c>
      <c r="E787" t="inlineStr">
        <is>
          <t>ÅNGE</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22755-2023</t>
        </is>
      </c>
      <c r="B788" s="1" t="n">
        <v>45071.94127314815</v>
      </c>
      <c r="C788" s="1" t="n">
        <v>45890</v>
      </c>
      <c r="D788" t="inlineStr">
        <is>
          <t>VÄSTERNORRLANDS LÄN</t>
        </is>
      </c>
      <c r="E788" t="inlineStr">
        <is>
          <t>ÅNGE</t>
        </is>
      </c>
      <c r="F788" t="inlineStr">
        <is>
          <t>SCA</t>
        </is>
      </c>
      <c r="G788" t="n">
        <v>12.6</v>
      </c>
      <c r="H788" t="n">
        <v>0</v>
      </c>
      <c r="I788" t="n">
        <v>0</v>
      </c>
      <c r="J788" t="n">
        <v>0</v>
      </c>
      <c r="K788" t="n">
        <v>0</v>
      </c>
      <c r="L788" t="n">
        <v>0</v>
      </c>
      <c r="M788" t="n">
        <v>0</v>
      </c>
      <c r="N788" t="n">
        <v>0</v>
      </c>
      <c r="O788" t="n">
        <v>0</v>
      </c>
      <c r="P788" t="n">
        <v>0</v>
      </c>
      <c r="Q788" t="n">
        <v>0</v>
      </c>
      <c r="R788" s="2" t="inlineStr"/>
    </row>
    <row r="789" ht="15" customHeight="1">
      <c r="A789" t="inlineStr">
        <is>
          <t>A 19007-2025</t>
        </is>
      </c>
      <c r="B789" s="1" t="n">
        <v>45764.58515046296</v>
      </c>
      <c r="C789" s="1" t="n">
        <v>45890</v>
      </c>
      <c r="D789" t="inlineStr">
        <is>
          <t>VÄSTERNORRLANDS LÄN</t>
        </is>
      </c>
      <c r="E789" t="inlineStr">
        <is>
          <t>ÅNGE</t>
        </is>
      </c>
      <c r="G789" t="n">
        <v>3.7</v>
      </c>
      <c r="H789" t="n">
        <v>0</v>
      </c>
      <c r="I789" t="n">
        <v>0</v>
      </c>
      <c r="J789" t="n">
        <v>0</v>
      </c>
      <c r="K789" t="n">
        <v>0</v>
      </c>
      <c r="L789" t="n">
        <v>0</v>
      </c>
      <c r="M789" t="n">
        <v>0</v>
      </c>
      <c r="N789" t="n">
        <v>0</v>
      </c>
      <c r="O789" t="n">
        <v>0</v>
      </c>
      <c r="P789" t="n">
        <v>0</v>
      </c>
      <c r="Q789" t="n">
        <v>0</v>
      </c>
      <c r="R789" s="2" t="inlineStr"/>
    </row>
    <row r="790" ht="15" customHeight="1">
      <c r="A790" t="inlineStr">
        <is>
          <t>A 41741-2023</t>
        </is>
      </c>
      <c r="B790" s="1" t="n">
        <v>45176.42164351852</v>
      </c>
      <c r="C790" s="1" t="n">
        <v>45890</v>
      </c>
      <c r="D790" t="inlineStr">
        <is>
          <t>VÄSTERNORRLANDS LÄN</t>
        </is>
      </c>
      <c r="E790" t="inlineStr">
        <is>
          <t>ÅNGE</t>
        </is>
      </c>
      <c r="G790" t="n">
        <v>7.8</v>
      </c>
      <c r="H790" t="n">
        <v>0</v>
      </c>
      <c r="I790" t="n">
        <v>0</v>
      </c>
      <c r="J790" t="n">
        <v>0</v>
      </c>
      <c r="K790" t="n">
        <v>0</v>
      </c>
      <c r="L790" t="n">
        <v>0</v>
      </c>
      <c r="M790" t="n">
        <v>0</v>
      </c>
      <c r="N790" t="n">
        <v>0</v>
      </c>
      <c r="O790" t="n">
        <v>0</v>
      </c>
      <c r="P790" t="n">
        <v>0</v>
      </c>
      <c r="Q790" t="n">
        <v>0</v>
      </c>
      <c r="R790" s="2" t="inlineStr"/>
    </row>
    <row r="791" ht="15" customHeight="1">
      <c r="A791" t="inlineStr">
        <is>
          <t>A 29702-2024</t>
        </is>
      </c>
      <c r="B791" s="1" t="n">
        <v>45485.31525462963</v>
      </c>
      <c r="C791" s="1" t="n">
        <v>45890</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23069-2024</t>
        </is>
      </c>
      <c r="B792" s="1" t="n">
        <v>45450</v>
      </c>
      <c r="C792" s="1" t="n">
        <v>45890</v>
      </c>
      <c r="D792" t="inlineStr">
        <is>
          <t>VÄSTERNORRLANDS LÄN</t>
        </is>
      </c>
      <c r="E792" t="inlineStr">
        <is>
          <t>ÅNGE</t>
        </is>
      </c>
      <c r="G792" t="n">
        <v>1.5</v>
      </c>
      <c r="H792" t="n">
        <v>0</v>
      </c>
      <c r="I792" t="n">
        <v>0</v>
      </c>
      <c r="J792" t="n">
        <v>0</v>
      </c>
      <c r="K792" t="n">
        <v>0</v>
      </c>
      <c r="L792" t="n">
        <v>0</v>
      </c>
      <c r="M792" t="n">
        <v>0</v>
      </c>
      <c r="N792" t="n">
        <v>0</v>
      </c>
      <c r="O792" t="n">
        <v>0</v>
      </c>
      <c r="P792" t="n">
        <v>0</v>
      </c>
      <c r="Q792" t="n">
        <v>0</v>
      </c>
      <c r="R792" s="2" t="inlineStr"/>
    </row>
    <row r="793" ht="15" customHeight="1">
      <c r="A793" t="inlineStr">
        <is>
          <t>A 4727-2023</t>
        </is>
      </c>
      <c r="B793" s="1" t="n">
        <v>44953</v>
      </c>
      <c r="C793" s="1" t="n">
        <v>45890</v>
      </c>
      <c r="D793" t="inlineStr">
        <is>
          <t>VÄSTERNORRLANDS LÄN</t>
        </is>
      </c>
      <c r="E793" t="inlineStr">
        <is>
          <t>ÅNGE</t>
        </is>
      </c>
      <c r="G793" t="n">
        <v>0.4</v>
      </c>
      <c r="H793" t="n">
        <v>0</v>
      </c>
      <c r="I793" t="n">
        <v>0</v>
      </c>
      <c r="J793" t="n">
        <v>0</v>
      </c>
      <c r="K793" t="n">
        <v>0</v>
      </c>
      <c r="L793" t="n">
        <v>0</v>
      </c>
      <c r="M793" t="n">
        <v>0</v>
      </c>
      <c r="N793" t="n">
        <v>0</v>
      </c>
      <c r="O793" t="n">
        <v>0</v>
      </c>
      <c r="P793" t="n">
        <v>0</v>
      </c>
      <c r="Q793" t="n">
        <v>0</v>
      </c>
      <c r="R793" s="2" t="inlineStr"/>
    </row>
    <row r="794" ht="15" customHeight="1">
      <c r="A794" t="inlineStr">
        <is>
          <t>A 24209-2025</t>
        </is>
      </c>
      <c r="B794" s="1" t="n">
        <v>45797.3446875</v>
      </c>
      <c r="C794" s="1" t="n">
        <v>45890</v>
      </c>
      <c r="D794" t="inlineStr">
        <is>
          <t>VÄSTERNORRLANDS LÄN</t>
        </is>
      </c>
      <c r="E794" t="inlineStr">
        <is>
          <t>ÅNGE</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59222-2020</t>
        </is>
      </c>
      <c r="B795" s="1" t="n">
        <v>44147</v>
      </c>
      <c r="C795" s="1" t="n">
        <v>45890</v>
      </c>
      <c r="D795" t="inlineStr">
        <is>
          <t>VÄSTERNORRLANDS LÄN</t>
        </is>
      </c>
      <c r="E795" t="inlineStr">
        <is>
          <t>ÅNGE</t>
        </is>
      </c>
      <c r="G795" t="n">
        <v>7.6</v>
      </c>
      <c r="H795" t="n">
        <v>0</v>
      </c>
      <c r="I795" t="n">
        <v>0</v>
      </c>
      <c r="J795" t="n">
        <v>0</v>
      </c>
      <c r="K795" t="n">
        <v>0</v>
      </c>
      <c r="L795" t="n">
        <v>0</v>
      </c>
      <c r="M795" t="n">
        <v>0</v>
      </c>
      <c r="N795" t="n">
        <v>0</v>
      </c>
      <c r="O795" t="n">
        <v>0</v>
      </c>
      <c r="P795" t="n">
        <v>0</v>
      </c>
      <c r="Q795" t="n">
        <v>0</v>
      </c>
      <c r="R795" s="2" t="inlineStr"/>
    </row>
    <row r="796" ht="15" customHeight="1">
      <c r="A796" t="inlineStr">
        <is>
          <t>A 10781-2024</t>
        </is>
      </c>
      <c r="B796" s="1" t="n">
        <v>45369.59635416666</v>
      </c>
      <c r="C796" s="1" t="n">
        <v>45890</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26018-2024</t>
        </is>
      </c>
      <c r="B797" s="1" t="n">
        <v>45467.95998842592</v>
      </c>
      <c r="C797" s="1" t="n">
        <v>45890</v>
      </c>
      <c r="D797" t="inlineStr">
        <is>
          <t>VÄSTERNORRLANDS LÄN</t>
        </is>
      </c>
      <c r="E797" t="inlineStr">
        <is>
          <t>ÅNGE</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26021-2024</t>
        </is>
      </c>
      <c r="B798" s="1" t="n">
        <v>45467</v>
      </c>
      <c r="C798" s="1" t="n">
        <v>45890</v>
      </c>
      <c r="D798" t="inlineStr">
        <is>
          <t>VÄSTERNORRLANDS LÄN</t>
        </is>
      </c>
      <c r="E798" t="inlineStr">
        <is>
          <t>ÅNGE</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23975-2025</t>
        </is>
      </c>
      <c r="B799" s="1" t="n">
        <v>45796.38614583333</v>
      </c>
      <c r="C799" s="1" t="n">
        <v>45890</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23976-2025</t>
        </is>
      </c>
      <c r="B800" s="1" t="n">
        <v>45796.38625</v>
      </c>
      <c r="C800" s="1" t="n">
        <v>45890</v>
      </c>
      <c r="D800" t="inlineStr">
        <is>
          <t>VÄSTERNORRLANDS LÄN</t>
        </is>
      </c>
      <c r="E800" t="inlineStr">
        <is>
          <t>ÅNGE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29673-2024</t>
        </is>
      </c>
      <c r="B801" s="1" t="n">
        <v>45484.94210648148</v>
      </c>
      <c r="C801" s="1" t="n">
        <v>45890</v>
      </c>
      <c r="D801" t="inlineStr">
        <is>
          <t>VÄSTERNORRLANDS LÄN</t>
        </is>
      </c>
      <c r="E801" t="inlineStr">
        <is>
          <t>ÅNGE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57516-2023</t>
        </is>
      </c>
      <c r="B802" s="1" t="n">
        <v>45246.44665509259</v>
      </c>
      <c r="C802" s="1" t="n">
        <v>45890</v>
      </c>
      <c r="D802" t="inlineStr">
        <is>
          <t>VÄSTERNORRLANDS LÄN</t>
        </is>
      </c>
      <c r="E802" t="inlineStr">
        <is>
          <t>ÅNGE</t>
        </is>
      </c>
      <c r="G802" t="n">
        <v>2.2</v>
      </c>
      <c r="H802" t="n">
        <v>0</v>
      </c>
      <c r="I802" t="n">
        <v>0</v>
      </c>
      <c r="J802" t="n">
        <v>0</v>
      </c>
      <c r="K802" t="n">
        <v>0</v>
      </c>
      <c r="L802" t="n">
        <v>0</v>
      </c>
      <c r="M802" t="n">
        <v>0</v>
      </c>
      <c r="N802" t="n">
        <v>0</v>
      </c>
      <c r="O802" t="n">
        <v>0</v>
      </c>
      <c r="P802" t="n">
        <v>0</v>
      </c>
      <c r="Q802" t="n">
        <v>0</v>
      </c>
      <c r="R802" s="2" t="inlineStr"/>
    </row>
    <row r="803" ht="15" customHeight="1">
      <c r="A803" t="inlineStr">
        <is>
          <t>A 48690-2024</t>
        </is>
      </c>
      <c r="B803" s="1" t="n">
        <v>45593.50704861111</v>
      </c>
      <c r="C803" s="1" t="n">
        <v>45890</v>
      </c>
      <c r="D803" t="inlineStr">
        <is>
          <t>VÄSTERNORRLANDS LÄN</t>
        </is>
      </c>
      <c r="E803" t="inlineStr">
        <is>
          <t>ÅNGE</t>
        </is>
      </c>
      <c r="G803" t="n">
        <v>5</v>
      </c>
      <c r="H803" t="n">
        <v>0</v>
      </c>
      <c r="I803" t="n">
        <v>0</v>
      </c>
      <c r="J803" t="n">
        <v>0</v>
      </c>
      <c r="K803" t="n">
        <v>0</v>
      </c>
      <c r="L803" t="n">
        <v>0</v>
      </c>
      <c r="M803" t="n">
        <v>0</v>
      </c>
      <c r="N803" t="n">
        <v>0</v>
      </c>
      <c r="O803" t="n">
        <v>0</v>
      </c>
      <c r="P803" t="n">
        <v>0</v>
      </c>
      <c r="Q803" t="n">
        <v>0</v>
      </c>
      <c r="R803" s="2" t="inlineStr"/>
    </row>
    <row r="804" ht="15" customHeight="1">
      <c r="A804" t="inlineStr">
        <is>
          <t>A 26641-2024</t>
        </is>
      </c>
      <c r="B804" s="1" t="n">
        <v>45469.92836805555</v>
      </c>
      <c r="C804" s="1" t="n">
        <v>45890</v>
      </c>
      <c r="D804" t="inlineStr">
        <is>
          <t>VÄSTERNORRLANDS LÄN</t>
        </is>
      </c>
      <c r="E804" t="inlineStr">
        <is>
          <t>ÅNGE</t>
        </is>
      </c>
      <c r="G804" t="n">
        <v>4.5</v>
      </c>
      <c r="H804" t="n">
        <v>0</v>
      </c>
      <c r="I804" t="n">
        <v>0</v>
      </c>
      <c r="J804" t="n">
        <v>0</v>
      </c>
      <c r="K804" t="n">
        <v>0</v>
      </c>
      <c r="L804" t="n">
        <v>0</v>
      </c>
      <c r="M804" t="n">
        <v>0</v>
      </c>
      <c r="N804" t="n">
        <v>0</v>
      </c>
      <c r="O804" t="n">
        <v>0</v>
      </c>
      <c r="P804" t="n">
        <v>0</v>
      </c>
      <c r="Q804" t="n">
        <v>0</v>
      </c>
      <c r="R804" s="2" t="inlineStr"/>
    </row>
    <row r="805" ht="15" customHeight="1">
      <c r="A805" t="inlineStr">
        <is>
          <t>A 37992-2024</t>
        </is>
      </c>
      <c r="B805" s="1" t="n">
        <v>45544.59524305556</v>
      </c>
      <c r="C805" s="1" t="n">
        <v>45890</v>
      </c>
      <c r="D805" t="inlineStr">
        <is>
          <t>VÄSTERNORRLANDS LÄN</t>
        </is>
      </c>
      <c r="E805" t="inlineStr">
        <is>
          <t>ÅNGE</t>
        </is>
      </c>
      <c r="G805" t="n">
        <v>3.9</v>
      </c>
      <c r="H805" t="n">
        <v>0</v>
      </c>
      <c r="I805" t="n">
        <v>0</v>
      </c>
      <c r="J805" t="n">
        <v>0</v>
      </c>
      <c r="K805" t="n">
        <v>0</v>
      </c>
      <c r="L805" t="n">
        <v>0</v>
      </c>
      <c r="M805" t="n">
        <v>0</v>
      </c>
      <c r="N805" t="n">
        <v>0</v>
      </c>
      <c r="O805" t="n">
        <v>0</v>
      </c>
      <c r="P805" t="n">
        <v>0</v>
      </c>
      <c r="Q805" t="n">
        <v>0</v>
      </c>
      <c r="R805" s="2" t="inlineStr"/>
    </row>
    <row r="806" ht="15" customHeight="1">
      <c r="A806" t="inlineStr">
        <is>
          <t>A 11399-2025</t>
        </is>
      </c>
      <c r="B806" s="1" t="n">
        <v>45726.57364583333</v>
      </c>
      <c r="C806" s="1" t="n">
        <v>45890</v>
      </c>
      <c r="D806" t="inlineStr">
        <is>
          <t>VÄSTERNORRLANDS LÄN</t>
        </is>
      </c>
      <c r="E806" t="inlineStr">
        <is>
          <t>ÅNGE</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39021-2024</t>
        </is>
      </c>
      <c r="B807" s="1" t="n">
        <v>45548</v>
      </c>
      <c r="C807" s="1" t="n">
        <v>45890</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27915-2024</t>
        </is>
      </c>
      <c r="B808" s="1" t="n">
        <v>45475</v>
      </c>
      <c r="C808" s="1" t="n">
        <v>45890</v>
      </c>
      <c r="D808" t="inlineStr">
        <is>
          <t>VÄSTERNORRLANDS LÄN</t>
        </is>
      </c>
      <c r="E808" t="inlineStr">
        <is>
          <t>ÅNGE</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24014-2025</t>
        </is>
      </c>
      <c r="B809" s="1" t="n">
        <v>45796</v>
      </c>
      <c r="C809" s="1" t="n">
        <v>45890</v>
      </c>
      <c r="D809" t="inlineStr">
        <is>
          <t>VÄSTERNORRLANDS LÄN</t>
        </is>
      </c>
      <c r="E809" t="inlineStr">
        <is>
          <t>ÅNGE</t>
        </is>
      </c>
      <c r="G809" t="n">
        <v>1.5</v>
      </c>
      <c r="H809" t="n">
        <v>0</v>
      </c>
      <c r="I809" t="n">
        <v>0</v>
      </c>
      <c r="J809" t="n">
        <v>0</v>
      </c>
      <c r="K809" t="n">
        <v>0</v>
      </c>
      <c r="L809" t="n">
        <v>0</v>
      </c>
      <c r="M809" t="n">
        <v>0</v>
      </c>
      <c r="N809" t="n">
        <v>0</v>
      </c>
      <c r="O809" t="n">
        <v>0</v>
      </c>
      <c r="P809" t="n">
        <v>0</v>
      </c>
      <c r="Q809" t="n">
        <v>0</v>
      </c>
      <c r="R809" s="2" t="inlineStr"/>
    </row>
    <row r="810" ht="15" customHeight="1">
      <c r="A810" t="inlineStr">
        <is>
          <t>A 2433-2024</t>
        </is>
      </c>
      <c r="B810" s="1" t="n">
        <v>45310</v>
      </c>
      <c r="C810" s="1" t="n">
        <v>45890</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42881-2023</t>
        </is>
      </c>
      <c r="B811" s="1" t="n">
        <v>45182.45256944445</v>
      </c>
      <c r="C811" s="1" t="n">
        <v>45890</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24207-2025</t>
        </is>
      </c>
      <c r="B812" s="1" t="n">
        <v>45797.34439814815</v>
      </c>
      <c r="C812" s="1" t="n">
        <v>45890</v>
      </c>
      <c r="D812" t="inlineStr">
        <is>
          <t>VÄSTERNORRLANDS LÄN</t>
        </is>
      </c>
      <c r="E812" t="inlineStr">
        <is>
          <t>ÅNGE</t>
        </is>
      </c>
      <c r="F812" t="inlineStr">
        <is>
          <t>SCA</t>
        </is>
      </c>
      <c r="G812" t="n">
        <v>10.3</v>
      </c>
      <c r="H812" t="n">
        <v>0</v>
      </c>
      <c r="I812" t="n">
        <v>0</v>
      </c>
      <c r="J812" t="n">
        <v>0</v>
      </c>
      <c r="K812" t="n">
        <v>0</v>
      </c>
      <c r="L812" t="n">
        <v>0</v>
      </c>
      <c r="M812" t="n">
        <v>0</v>
      </c>
      <c r="N812" t="n">
        <v>0</v>
      </c>
      <c r="O812" t="n">
        <v>0</v>
      </c>
      <c r="P812" t="n">
        <v>0</v>
      </c>
      <c r="Q812" t="n">
        <v>0</v>
      </c>
      <c r="R812" s="2" t="inlineStr"/>
    </row>
    <row r="813" ht="15" customHeight="1">
      <c r="A813" t="inlineStr">
        <is>
          <t>A 30474-2024</t>
        </is>
      </c>
      <c r="B813" s="1" t="n">
        <v>45491</v>
      </c>
      <c r="C813" s="1" t="n">
        <v>45890</v>
      </c>
      <c r="D813" t="inlineStr">
        <is>
          <t>VÄSTERNORRLANDS LÄN</t>
        </is>
      </c>
      <c r="E813" t="inlineStr">
        <is>
          <t>ÅNGE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30475-2024</t>
        </is>
      </c>
      <c r="B814" s="1" t="n">
        <v>45491</v>
      </c>
      <c r="C814" s="1" t="n">
        <v>45890</v>
      </c>
      <c r="D814" t="inlineStr">
        <is>
          <t>VÄSTERNORRLANDS LÄN</t>
        </is>
      </c>
      <c r="E814" t="inlineStr">
        <is>
          <t>ÅNGE</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47243-2024</t>
        </is>
      </c>
      <c r="B815" s="1" t="n">
        <v>45586.6987962963</v>
      </c>
      <c r="C815" s="1" t="n">
        <v>45890</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57846-2022</t>
        </is>
      </c>
      <c r="B816" s="1" t="n">
        <v>44897.95008101852</v>
      </c>
      <c r="C816" s="1" t="n">
        <v>45890</v>
      </c>
      <c r="D816" t="inlineStr">
        <is>
          <t>VÄSTERNORRLANDS LÄN</t>
        </is>
      </c>
      <c r="E816" t="inlineStr">
        <is>
          <t>ÅNGE</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46249-2024</t>
        </is>
      </c>
      <c r="B817" s="1" t="n">
        <v>45581.59409722222</v>
      </c>
      <c r="C817" s="1" t="n">
        <v>45890</v>
      </c>
      <c r="D817" t="inlineStr">
        <is>
          <t>VÄSTERNORRLANDS LÄN</t>
        </is>
      </c>
      <c r="E817" t="inlineStr">
        <is>
          <t>ÅNGE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42043-2024</t>
        </is>
      </c>
      <c r="B818" s="1" t="n">
        <v>45561</v>
      </c>
      <c r="C818" s="1" t="n">
        <v>45890</v>
      </c>
      <c r="D818" t="inlineStr">
        <is>
          <t>VÄSTERNORRLANDS LÄN</t>
        </is>
      </c>
      <c r="E818" t="inlineStr">
        <is>
          <t>ÅNGE</t>
        </is>
      </c>
      <c r="G818" t="n">
        <v>3.1</v>
      </c>
      <c r="H818" t="n">
        <v>0</v>
      </c>
      <c r="I818" t="n">
        <v>0</v>
      </c>
      <c r="J818" t="n">
        <v>0</v>
      </c>
      <c r="K818" t="n">
        <v>0</v>
      </c>
      <c r="L818" t="n">
        <v>0</v>
      </c>
      <c r="M818" t="n">
        <v>0</v>
      </c>
      <c r="N818" t="n">
        <v>0</v>
      </c>
      <c r="O818" t="n">
        <v>0</v>
      </c>
      <c r="P818" t="n">
        <v>0</v>
      </c>
      <c r="Q818" t="n">
        <v>0</v>
      </c>
      <c r="R818" s="2" t="inlineStr"/>
    </row>
    <row r="819" ht="15" customHeight="1">
      <c r="A819" t="inlineStr">
        <is>
          <t>A 42046-2024</t>
        </is>
      </c>
      <c r="B819" s="1" t="n">
        <v>45561.83422453704</v>
      </c>
      <c r="C819" s="1" t="n">
        <v>45890</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8868-2023</t>
        </is>
      </c>
      <c r="B820" s="1" t="n">
        <v>44978</v>
      </c>
      <c r="C820" s="1" t="n">
        <v>45890</v>
      </c>
      <c r="D820" t="inlineStr">
        <is>
          <t>VÄSTERNORRLANDS LÄN</t>
        </is>
      </c>
      <c r="E820" t="inlineStr">
        <is>
          <t>ÅNGE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43145-2024</t>
        </is>
      </c>
      <c r="B821" s="1" t="n">
        <v>45567.63030092593</v>
      </c>
      <c r="C821" s="1" t="n">
        <v>45890</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23917-2025</t>
        </is>
      </c>
      <c r="B822" s="1" t="n">
        <v>45795.34481481482</v>
      </c>
      <c r="C822" s="1" t="n">
        <v>45890</v>
      </c>
      <c r="D822" t="inlineStr">
        <is>
          <t>VÄSTERNORRLANDS LÄN</t>
        </is>
      </c>
      <c r="E822" t="inlineStr">
        <is>
          <t>ÅNGE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23921-2025</t>
        </is>
      </c>
      <c r="B823" s="1" t="n">
        <v>45795.34513888889</v>
      </c>
      <c r="C823" s="1" t="n">
        <v>45890</v>
      </c>
      <c r="D823" t="inlineStr">
        <is>
          <t>VÄSTERNORRLANDS LÄN</t>
        </is>
      </c>
      <c r="E823" t="inlineStr">
        <is>
          <t>ÅNGE</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5606-2025</t>
        </is>
      </c>
      <c r="B824" s="1" t="n">
        <v>45693.59403935185</v>
      </c>
      <c r="C824" s="1" t="n">
        <v>45890</v>
      </c>
      <c r="D824" t="inlineStr">
        <is>
          <t>VÄSTERNORRLANDS LÄN</t>
        </is>
      </c>
      <c r="E824" t="inlineStr">
        <is>
          <t>ÅNGE</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24116-2025</t>
        </is>
      </c>
      <c r="B825" s="1" t="n">
        <v>45796.61498842593</v>
      </c>
      <c r="C825" s="1" t="n">
        <v>45890</v>
      </c>
      <c r="D825" t="inlineStr">
        <is>
          <t>VÄSTERNORRLANDS LÄN</t>
        </is>
      </c>
      <c r="E825" t="inlineStr">
        <is>
          <t>ÅNGE</t>
        </is>
      </c>
      <c r="F825" t="inlineStr">
        <is>
          <t>SCA</t>
        </is>
      </c>
      <c r="G825" t="n">
        <v>14.4</v>
      </c>
      <c r="H825" t="n">
        <v>0</v>
      </c>
      <c r="I825" t="n">
        <v>0</v>
      </c>
      <c r="J825" t="n">
        <v>0</v>
      </c>
      <c r="K825" t="n">
        <v>0</v>
      </c>
      <c r="L825" t="n">
        <v>0</v>
      </c>
      <c r="M825" t="n">
        <v>0</v>
      </c>
      <c r="N825" t="n">
        <v>0</v>
      </c>
      <c r="O825" t="n">
        <v>0</v>
      </c>
      <c r="P825" t="n">
        <v>0</v>
      </c>
      <c r="Q825" t="n">
        <v>0</v>
      </c>
      <c r="R825" s="2" t="inlineStr"/>
    </row>
    <row r="826" ht="15" customHeight="1">
      <c r="A826" t="inlineStr">
        <is>
          <t>A 24232-2025</t>
        </is>
      </c>
      <c r="B826" s="1" t="n">
        <v>45797.37846064815</v>
      </c>
      <c r="C826" s="1" t="n">
        <v>45890</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65229-2021</t>
        </is>
      </c>
      <c r="B827" s="1" t="n">
        <v>44515</v>
      </c>
      <c r="C827" s="1" t="n">
        <v>45890</v>
      </c>
      <c r="D827" t="inlineStr">
        <is>
          <t>VÄSTERNORRLANDS LÄN</t>
        </is>
      </c>
      <c r="E827" t="inlineStr">
        <is>
          <t>ÅNGE</t>
        </is>
      </c>
      <c r="G827" t="n">
        <v>12.1</v>
      </c>
      <c r="H827" t="n">
        <v>0</v>
      </c>
      <c r="I827" t="n">
        <v>0</v>
      </c>
      <c r="J827" t="n">
        <v>0</v>
      </c>
      <c r="K827" t="n">
        <v>0</v>
      </c>
      <c r="L827" t="n">
        <v>0</v>
      </c>
      <c r="M827" t="n">
        <v>0</v>
      </c>
      <c r="N827" t="n">
        <v>0</v>
      </c>
      <c r="O827" t="n">
        <v>0</v>
      </c>
      <c r="P827" t="n">
        <v>0</v>
      </c>
      <c r="Q827" t="n">
        <v>0</v>
      </c>
      <c r="R827" s="2" t="inlineStr"/>
    </row>
    <row r="828" ht="15" customHeight="1">
      <c r="A828" t="inlineStr">
        <is>
          <t>A 56188-2024</t>
        </is>
      </c>
      <c r="B828" s="1" t="n">
        <v>45624.57800925926</v>
      </c>
      <c r="C828" s="1" t="n">
        <v>45890</v>
      </c>
      <c r="D828" t="inlineStr">
        <is>
          <t>VÄSTERNORRLANDS LÄN</t>
        </is>
      </c>
      <c r="E828" t="inlineStr">
        <is>
          <t>ÅNGE</t>
        </is>
      </c>
      <c r="G828" t="n">
        <v>0.9</v>
      </c>
      <c r="H828" t="n">
        <v>0</v>
      </c>
      <c r="I828" t="n">
        <v>0</v>
      </c>
      <c r="J828" t="n">
        <v>0</v>
      </c>
      <c r="K828" t="n">
        <v>0</v>
      </c>
      <c r="L828" t="n">
        <v>0</v>
      </c>
      <c r="M828" t="n">
        <v>0</v>
      </c>
      <c r="N828" t="n">
        <v>0</v>
      </c>
      <c r="O828" t="n">
        <v>0</v>
      </c>
      <c r="P828" t="n">
        <v>0</v>
      </c>
      <c r="Q828" t="n">
        <v>0</v>
      </c>
      <c r="R828" s="2" t="inlineStr"/>
    </row>
    <row r="829" ht="15" customHeight="1">
      <c r="A829" t="inlineStr">
        <is>
          <t>A 23958-2025</t>
        </is>
      </c>
      <c r="B829" s="1" t="n">
        <v>45796</v>
      </c>
      <c r="C829" s="1" t="n">
        <v>45890</v>
      </c>
      <c r="D829" t="inlineStr">
        <is>
          <t>VÄSTERNORRLANDS LÄN</t>
        </is>
      </c>
      <c r="E829" t="inlineStr">
        <is>
          <t>ÅNGE</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55664-2023</t>
        </is>
      </c>
      <c r="B830" s="1" t="n">
        <v>45238.96748842593</v>
      </c>
      <c r="C830" s="1" t="n">
        <v>45890</v>
      </c>
      <c r="D830" t="inlineStr">
        <is>
          <t>VÄSTERNORRLANDS LÄN</t>
        </is>
      </c>
      <c r="E830" t="inlineStr">
        <is>
          <t>ÅNGE</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57595-2022</t>
        </is>
      </c>
      <c r="B831" s="1" t="n">
        <v>44896.97862268519</v>
      </c>
      <c r="C831" s="1" t="n">
        <v>45890</v>
      </c>
      <c r="D831" t="inlineStr">
        <is>
          <t>VÄSTERNORRLANDS LÄN</t>
        </is>
      </c>
      <c r="E831" t="inlineStr">
        <is>
          <t>ÅNGE</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30747-2024</t>
        </is>
      </c>
      <c r="B832" s="1" t="n">
        <v>45496</v>
      </c>
      <c r="C832" s="1" t="n">
        <v>45890</v>
      </c>
      <c r="D832" t="inlineStr">
        <is>
          <t>VÄSTERNORRLANDS LÄN</t>
        </is>
      </c>
      <c r="E832" t="inlineStr">
        <is>
          <t>ÅNGE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24458-2025</t>
        </is>
      </c>
      <c r="B833" s="1" t="n">
        <v>45798.34476851852</v>
      </c>
      <c r="C833" s="1" t="n">
        <v>45890</v>
      </c>
      <c r="D833" t="inlineStr">
        <is>
          <t>VÄSTERNORRLANDS LÄN</t>
        </is>
      </c>
      <c r="E833" t="inlineStr">
        <is>
          <t>ÅNGE</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24627-2025</t>
        </is>
      </c>
      <c r="B834" s="1" t="n">
        <v>45798.59471064815</v>
      </c>
      <c r="C834" s="1" t="n">
        <v>45890</v>
      </c>
      <c r="D834" t="inlineStr">
        <is>
          <t>VÄSTERNORRLANDS LÄN</t>
        </is>
      </c>
      <c r="E834" t="inlineStr">
        <is>
          <t>ÅNGE</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4-2025</t>
        </is>
      </c>
      <c r="B835" s="1" t="n">
        <v>45658.50107638889</v>
      </c>
      <c r="C835" s="1" t="n">
        <v>45890</v>
      </c>
      <c r="D835" t="inlineStr">
        <is>
          <t>VÄSTERNORRLANDS LÄN</t>
        </is>
      </c>
      <c r="E835" t="inlineStr">
        <is>
          <t>ÅNGE</t>
        </is>
      </c>
      <c r="G835" t="n">
        <v>10.1</v>
      </c>
      <c r="H835" t="n">
        <v>0</v>
      </c>
      <c r="I835" t="n">
        <v>0</v>
      </c>
      <c r="J835" t="n">
        <v>0</v>
      </c>
      <c r="K835" t="n">
        <v>0</v>
      </c>
      <c r="L835" t="n">
        <v>0</v>
      </c>
      <c r="M835" t="n">
        <v>0</v>
      </c>
      <c r="N835" t="n">
        <v>0</v>
      </c>
      <c r="O835" t="n">
        <v>0</v>
      </c>
      <c r="P835" t="n">
        <v>0</v>
      </c>
      <c r="Q835" t="n">
        <v>0</v>
      </c>
      <c r="R835" s="2" t="inlineStr"/>
    </row>
    <row r="836" ht="15" customHeight="1">
      <c r="A836" t="inlineStr">
        <is>
          <t>A 57291-2022</t>
        </is>
      </c>
      <c r="B836" s="1" t="n">
        <v>44895</v>
      </c>
      <c r="C836" s="1" t="n">
        <v>45890</v>
      </c>
      <c r="D836" t="inlineStr">
        <is>
          <t>VÄSTERNORRLANDS LÄN</t>
        </is>
      </c>
      <c r="E836" t="inlineStr">
        <is>
          <t>ÅNGE</t>
        </is>
      </c>
      <c r="F836" t="inlineStr">
        <is>
          <t>SCA</t>
        </is>
      </c>
      <c r="G836" t="n">
        <v>4</v>
      </c>
      <c r="H836" t="n">
        <v>0</v>
      </c>
      <c r="I836" t="n">
        <v>0</v>
      </c>
      <c r="J836" t="n">
        <v>0</v>
      </c>
      <c r="K836" t="n">
        <v>0</v>
      </c>
      <c r="L836" t="n">
        <v>0</v>
      </c>
      <c r="M836" t="n">
        <v>0</v>
      </c>
      <c r="N836" t="n">
        <v>0</v>
      </c>
      <c r="O836" t="n">
        <v>0</v>
      </c>
      <c r="P836" t="n">
        <v>0</v>
      </c>
      <c r="Q836" t="n">
        <v>0</v>
      </c>
      <c r="R836" s="2" t="inlineStr"/>
    </row>
    <row r="837" ht="15" customHeight="1">
      <c r="A837" t="inlineStr">
        <is>
          <t>A 4883-2023</t>
        </is>
      </c>
      <c r="B837" s="1" t="n">
        <v>44957</v>
      </c>
      <c r="C837" s="1" t="n">
        <v>45890</v>
      </c>
      <c r="D837" t="inlineStr">
        <is>
          <t>VÄSTERNORRLANDS LÄN</t>
        </is>
      </c>
      <c r="E837" t="inlineStr">
        <is>
          <t>ÅNGE</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58613-2023</t>
        </is>
      </c>
      <c r="B838" s="1" t="n">
        <v>45251.50709490741</v>
      </c>
      <c r="C838" s="1" t="n">
        <v>45890</v>
      </c>
      <c r="D838" t="inlineStr">
        <is>
          <t>VÄSTERNORRLANDS LÄN</t>
        </is>
      </c>
      <c r="E838" t="inlineStr">
        <is>
          <t>ÅNGE</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64945-2023</t>
        </is>
      </c>
      <c r="B839" s="1" t="n">
        <v>45282.94668981482</v>
      </c>
      <c r="C839" s="1" t="n">
        <v>45890</v>
      </c>
      <c r="D839" t="inlineStr">
        <is>
          <t>VÄSTERNORRLANDS LÄN</t>
        </is>
      </c>
      <c r="E839" t="inlineStr">
        <is>
          <t>ÅNGE</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58939-2021</t>
        </is>
      </c>
      <c r="B840" s="1" t="n">
        <v>44489</v>
      </c>
      <c r="C840" s="1" t="n">
        <v>45890</v>
      </c>
      <c r="D840" t="inlineStr">
        <is>
          <t>VÄSTERNORRLANDS LÄN</t>
        </is>
      </c>
      <c r="E840" t="inlineStr">
        <is>
          <t>ÅNGE</t>
        </is>
      </c>
      <c r="G840" t="n">
        <v>2.5</v>
      </c>
      <c r="H840" t="n">
        <v>0</v>
      </c>
      <c r="I840" t="n">
        <v>0</v>
      </c>
      <c r="J840" t="n">
        <v>0</v>
      </c>
      <c r="K840" t="n">
        <v>0</v>
      </c>
      <c r="L840" t="n">
        <v>0</v>
      </c>
      <c r="M840" t="n">
        <v>0</v>
      </c>
      <c r="N840" t="n">
        <v>0</v>
      </c>
      <c r="O840" t="n">
        <v>0</v>
      </c>
      <c r="P840" t="n">
        <v>0</v>
      </c>
      <c r="Q840" t="n">
        <v>0</v>
      </c>
      <c r="R840" s="2" t="inlineStr"/>
    </row>
    <row r="841" ht="15" customHeight="1">
      <c r="A841" t="inlineStr">
        <is>
          <t>A 27853-2024</t>
        </is>
      </c>
      <c r="B841" s="1" t="n">
        <v>45475</v>
      </c>
      <c r="C841" s="1" t="n">
        <v>45890</v>
      </c>
      <c r="D841" t="inlineStr">
        <is>
          <t>VÄSTERNORRLANDS LÄN</t>
        </is>
      </c>
      <c r="E841" t="inlineStr">
        <is>
          <t>ÅNGE</t>
        </is>
      </c>
      <c r="G841" t="n">
        <v>3.7</v>
      </c>
      <c r="H841" t="n">
        <v>0</v>
      </c>
      <c r="I841" t="n">
        <v>0</v>
      </c>
      <c r="J841" t="n">
        <v>0</v>
      </c>
      <c r="K841" t="n">
        <v>0</v>
      </c>
      <c r="L841" t="n">
        <v>0</v>
      </c>
      <c r="M841" t="n">
        <v>0</v>
      </c>
      <c r="N841" t="n">
        <v>0</v>
      </c>
      <c r="O841" t="n">
        <v>0</v>
      </c>
      <c r="P841" t="n">
        <v>0</v>
      </c>
      <c r="Q841" t="n">
        <v>0</v>
      </c>
      <c r="R841" s="2" t="inlineStr"/>
    </row>
    <row r="842" ht="15" customHeight="1">
      <c r="A842" t="inlineStr">
        <is>
          <t>A 26951-2024</t>
        </is>
      </c>
      <c r="B842" s="1" t="n">
        <v>45470.96991898148</v>
      </c>
      <c r="C842" s="1" t="n">
        <v>45890</v>
      </c>
      <c r="D842" t="inlineStr">
        <is>
          <t>VÄSTERNORRLANDS LÄN</t>
        </is>
      </c>
      <c r="E842" t="inlineStr">
        <is>
          <t>ÅNGE</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26952-2024</t>
        </is>
      </c>
      <c r="B843" s="1" t="n">
        <v>45470</v>
      </c>
      <c r="C843" s="1" t="n">
        <v>45890</v>
      </c>
      <c r="D843" t="inlineStr">
        <is>
          <t>VÄSTERNORRLANDS LÄN</t>
        </is>
      </c>
      <c r="E843" t="inlineStr">
        <is>
          <t>ÅNGE</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24847-2025</t>
        </is>
      </c>
      <c r="B844" s="1" t="n">
        <v>45799.46907407408</v>
      </c>
      <c r="C844" s="1" t="n">
        <v>45890</v>
      </c>
      <c r="D844" t="inlineStr">
        <is>
          <t>VÄSTERNORRLANDS LÄN</t>
        </is>
      </c>
      <c r="E844" t="inlineStr">
        <is>
          <t>ÅNGE</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25017-2025</t>
        </is>
      </c>
      <c r="B845" s="1" t="n">
        <v>45799.63791666667</v>
      </c>
      <c r="C845" s="1" t="n">
        <v>45890</v>
      </c>
      <c r="D845" t="inlineStr">
        <is>
          <t>VÄSTERNORRLANDS LÄN</t>
        </is>
      </c>
      <c r="E845" t="inlineStr">
        <is>
          <t>ÅNGE</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56399-2022</t>
        </is>
      </c>
      <c r="B846" s="1" t="n">
        <v>44890</v>
      </c>
      <c r="C846" s="1" t="n">
        <v>45890</v>
      </c>
      <c r="D846" t="inlineStr">
        <is>
          <t>VÄSTERNORRLANDS LÄN</t>
        </is>
      </c>
      <c r="E846" t="inlineStr">
        <is>
          <t>ÅNGE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58639-2023</t>
        </is>
      </c>
      <c r="B847" s="1" t="n">
        <v>45251</v>
      </c>
      <c r="C847" s="1" t="n">
        <v>45890</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23058-2024</t>
        </is>
      </c>
      <c r="B848" s="1" t="n">
        <v>45450.44020833333</v>
      </c>
      <c r="C848" s="1" t="n">
        <v>45890</v>
      </c>
      <c r="D848" t="inlineStr">
        <is>
          <t>VÄSTERNORRLANDS LÄN</t>
        </is>
      </c>
      <c r="E848" t="inlineStr">
        <is>
          <t>ÅNGE</t>
        </is>
      </c>
      <c r="G848" t="n">
        <v>3.9</v>
      </c>
      <c r="H848" t="n">
        <v>0</v>
      </c>
      <c r="I848" t="n">
        <v>0</v>
      </c>
      <c r="J848" t="n">
        <v>0</v>
      </c>
      <c r="K848" t="n">
        <v>0</v>
      </c>
      <c r="L848" t="n">
        <v>0</v>
      </c>
      <c r="M848" t="n">
        <v>0</v>
      </c>
      <c r="N848" t="n">
        <v>0</v>
      </c>
      <c r="O848" t="n">
        <v>0</v>
      </c>
      <c r="P848" t="n">
        <v>0</v>
      </c>
      <c r="Q848" t="n">
        <v>0</v>
      </c>
      <c r="R848" s="2" t="inlineStr"/>
    </row>
    <row r="849" ht="15" customHeight="1">
      <c r="A849" t="inlineStr">
        <is>
          <t>A 30054-2024</t>
        </is>
      </c>
      <c r="B849" s="1" t="n">
        <v>45488.94758101852</v>
      </c>
      <c r="C849" s="1" t="n">
        <v>45890</v>
      </c>
      <c r="D849" t="inlineStr">
        <is>
          <t>VÄSTERNORRLANDS LÄN</t>
        </is>
      </c>
      <c r="E849" t="inlineStr">
        <is>
          <t>ÅNGE</t>
        </is>
      </c>
      <c r="F849" t="inlineStr">
        <is>
          <t>SCA</t>
        </is>
      </c>
      <c r="G849" t="n">
        <v>11.7</v>
      </c>
      <c r="H849" t="n">
        <v>0</v>
      </c>
      <c r="I849" t="n">
        <v>0</v>
      </c>
      <c r="J849" t="n">
        <v>0</v>
      </c>
      <c r="K849" t="n">
        <v>0</v>
      </c>
      <c r="L849" t="n">
        <v>0</v>
      </c>
      <c r="M849" t="n">
        <v>0</v>
      </c>
      <c r="N849" t="n">
        <v>0</v>
      </c>
      <c r="O849" t="n">
        <v>0</v>
      </c>
      <c r="P849" t="n">
        <v>0</v>
      </c>
      <c r="Q849" t="n">
        <v>0</v>
      </c>
      <c r="R849" s="2" t="inlineStr"/>
    </row>
    <row r="850" ht="15" customHeight="1">
      <c r="A850" t="inlineStr">
        <is>
          <t>A 24852-2025</t>
        </is>
      </c>
      <c r="B850" s="1" t="n">
        <v>45799.46975694445</v>
      </c>
      <c r="C850" s="1" t="n">
        <v>45890</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43622-2023</t>
        </is>
      </c>
      <c r="B851" s="1" t="n">
        <v>45184.70777777778</v>
      </c>
      <c r="C851" s="1" t="n">
        <v>45890</v>
      </c>
      <c r="D851" t="inlineStr">
        <is>
          <t>VÄSTERNORRLANDS LÄN</t>
        </is>
      </c>
      <c r="E851" t="inlineStr">
        <is>
          <t>ÅNGE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44635-2024</t>
        </is>
      </c>
      <c r="B852" s="1" t="n">
        <v>45574.51488425926</v>
      </c>
      <c r="C852" s="1" t="n">
        <v>45890</v>
      </c>
      <c r="D852" t="inlineStr">
        <is>
          <t>VÄSTERNORRLANDS LÄN</t>
        </is>
      </c>
      <c r="E852" t="inlineStr">
        <is>
          <t>ÅNGE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25067-2025</t>
        </is>
      </c>
      <c r="B853" s="1" t="n">
        <v>45799.71908564815</v>
      </c>
      <c r="C853" s="1" t="n">
        <v>45890</v>
      </c>
      <c r="D853" t="inlineStr">
        <is>
          <t>VÄSTERNORRLANDS LÄN</t>
        </is>
      </c>
      <c r="E853" t="inlineStr">
        <is>
          <t>ÅNGE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35979-2023</t>
        </is>
      </c>
      <c r="B854" s="1" t="n">
        <v>45148</v>
      </c>
      <c r="C854" s="1" t="n">
        <v>45890</v>
      </c>
      <c r="D854" t="inlineStr">
        <is>
          <t>VÄSTERNORRLANDS LÄN</t>
        </is>
      </c>
      <c r="E854" t="inlineStr">
        <is>
          <t>ÅNGE</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29390-2021</t>
        </is>
      </c>
      <c r="B855" s="1" t="n">
        <v>44361</v>
      </c>
      <c r="C855" s="1" t="n">
        <v>45890</v>
      </c>
      <c r="D855" t="inlineStr">
        <is>
          <t>VÄSTERNORRLANDS LÄN</t>
        </is>
      </c>
      <c r="E855" t="inlineStr">
        <is>
          <t>ÅNGE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3986-2025</t>
        </is>
      </c>
      <c r="B856" s="1" t="n">
        <v>45684.55262731481</v>
      </c>
      <c r="C856" s="1" t="n">
        <v>45890</v>
      </c>
      <c r="D856" t="inlineStr">
        <is>
          <t>VÄSTERNORRLANDS LÄN</t>
        </is>
      </c>
      <c r="E856" t="inlineStr">
        <is>
          <t>ÅNGE</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50674-2024</t>
        </is>
      </c>
      <c r="B857" s="1" t="n">
        <v>45601.85402777778</v>
      </c>
      <c r="C857" s="1" t="n">
        <v>45890</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36877-2024</t>
        </is>
      </c>
      <c r="B858" s="1" t="n">
        <v>45538.59418981482</v>
      </c>
      <c r="C858" s="1" t="n">
        <v>45890</v>
      </c>
      <c r="D858" t="inlineStr">
        <is>
          <t>VÄSTERNORRLANDS LÄN</t>
        </is>
      </c>
      <c r="E858" t="inlineStr">
        <is>
          <t>ÅNGE</t>
        </is>
      </c>
      <c r="G858" t="n">
        <v>3.3</v>
      </c>
      <c r="H858" t="n">
        <v>0</v>
      </c>
      <c r="I858" t="n">
        <v>0</v>
      </c>
      <c r="J858" t="n">
        <v>0</v>
      </c>
      <c r="K858" t="n">
        <v>0</v>
      </c>
      <c r="L858" t="n">
        <v>0</v>
      </c>
      <c r="M858" t="n">
        <v>0</v>
      </c>
      <c r="N858" t="n">
        <v>0</v>
      </c>
      <c r="O858" t="n">
        <v>0</v>
      </c>
      <c r="P858" t="n">
        <v>0</v>
      </c>
      <c r="Q858" t="n">
        <v>0</v>
      </c>
      <c r="R858" s="2" t="inlineStr"/>
    </row>
    <row r="859" ht="15" customHeight="1">
      <c r="A859" t="inlineStr">
        <is>
          <t>A 25352-2025</t>
        </is>
      </c>
      <c r="B859" s="1" t="n">
        <v>45800.61552083334</v>
      </c>
      <c r="C859" s="1" t="n">
        <v>45890</v>
      </c>
      <c r="D859" t="inlineStr">
        <is>
          <t>VÄSTERNORRLANDS LÄN</t>
        </is>
      </c>
      <c r="E859" t="inlineStr">
        <is>
          <t>ÅNGE</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43066-2022</t>
        </is>
      </c>
      <c r="B860" s="1" t="n">
        <v>44833</v>
      </c>
      <c r="C860" s="1" t="n">
        <v>45890</v>
      </c>
      <c r="D860" t="inlineStr">
        <is>
          <t>VÄSTERNORRLANDS LÄN</t>
        </is>
      </c>
      <c r="E860" t="inlineStr">
        <is>
          <t>ÅNGE</t>
        </is>
      </c>
      <c r="G860" t="n">
        <v>1.2</v>
      </c>
      <c r="H860" t="n">
        <v>0</v>
      </c>
      <c r="I860" t="n">
        <v>0</v>
      </c>
      <c r="J860" t="n">
        <v>0</v>
      </c>
      <c r="K860" t="n">
        <v>0</v>
      </c>
      <c r="L860" t="n">
        <v>0</v>
      </c>
      <c r="M860" t="n">
        <v>0</v>
      </c>
      <c r="N860" t="n">
        <v>0</v>
      </c>
      <c r="O860" t="n">
        <v>0</v>
      </c>
      <c r="P860" t="n">
        <v>0</v>
      </c>
      <c r="Q860" t="n">
        <v>0</v>
      </c>
      <c r="R860" s="2" t="inlineStr"/>
    </row>
    <row r="861" ht="15" customHeight="1">
      <c r="A861" t="inlineStr">
        <is>
          <t>A 53651-2023</t>
        </is>
      </c>
      <c r="B861" s="1" t="n">
        <v>45230.60815972222</v>
      </c>
      <c r="C861" s="1" t="n">
        <v>45890</v>
      </c>
      <c r="D861" t="inlineStr">
        <is>
          <t>VÄSTERNORRLANDS LÄN</t>
        </is>
      </c>
      <c r="E861" t="inlineStr">
        <is>
          <t>ÅNGE</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25340-2025</t>
        </is>
      </c>
      <c r="B862" s="1" t="n">
        <v>45800.60074074074</v>
      </c>
      <c r="C862" s="1" t="n">
        <v>45890</v>
      </c>
      <c r="D862" t="inlineStr">
        <is>
          <t>VÄSTERNORRLANDS LÄN</t>
        </is>
      </c>
      <c r="E862" t="inlineStr">
        <is>
          <t>ÅNGE</t>
        </is>
      </c>
      <c r="G862" t="n">
        <v>2.7</v>
      </c>
      <c r="H862" t="n">
        <v>0</v>
      </c>
      <c r="I862" t="n">
        <v>0</v>
      </c>
      <c r="J862" t="n">
        <v>0</v>
      </c>
      <c r="K862" t="n">
        <v>0</v>
      </c>
      <c r="L862" t="n">
        <v>0</v>
      </c>
      <c r="M862" t="n">
        <v>0</v>
      </c>
      <c r="N862" t="n">
        <v>0</v>
      </c>
      <c r="O862" t="n">
        <v>0</v>
      </c>
      <c r="P862" t="n">
        <v>0</v>
      </c>
      <c r="Q862" t="n">
        <v>0</v>
      </c>
      <c r="R862" s="2" t="inlineStr"/>
    </row>
    <row r="863" ht="15" customHeight="1">
      <c r="A863" t="inlineStr">
        <is>
          <t>A 25532-2025</t>
        </is>
      </c>
      <c r="B863" s="1" t="n">
        <v>45803.4065162037</v>
      </c>
      <c r="C863" s="1" t="n">
        <v>45890</v>
      </c>
      <c r="D863" t="inlineStr">
        <is>
          <t>VÄSTERNORRLANDS LÄN</t>
        </is>
      </c>
      <c r="E863" t="inlineStr">
        <is>
          <t>ÅNGE</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25717-2025</t>
        </is>
      </c>
      <c r="B864" s="1" t="n">
        <v>45803.6985300926</v>
      </c>
      <c r="C864" s="1" t="n">
        <v>45890</v>
      </c>
      <c r="D864" t="inlineStr">
        <is>
          <t>VÄSTERNORRLANDS LÄN</t>
        </is>
      </c>
      <c r="E864" t="inlineStr">
        <is>
          <t>ÅNGE</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25499-2025</t>
        </is>
      </c>
      <c r="B865" s="1" t="n">
        <v>45803.344375</v>
      </c>
      <c r="C865" s="1" t="n">
        <v>45890</v>
      </c>
      <c r="D865" t="inlineStr">
        <is>
          <t>VÄSTERNORRLANDS LÄN</t>
        </is>
      </c>
      <c r="E865" t="inlineStr">
        <is>
          <t>ÅNGE</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25274-2025</t>
        </is>
      </c>
      <c r="B866" s="1" t="n">
        <v>45800.55276620371</v>
      </c>
      <c r="C866" s="1" t="n">
        <v>45890</v>
      </c>
      <c r="D866" t="inlineStr">
        <is>
          <t>VÄSTERNORRLANDS LÄN</t>
        </is>
      </c>
      <c r="E866" t="inlineStr">
        <is>
          <t>ÅNGE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54346-2023</t>
        </is>
      </c>
      <c r="B867" s="1" t="n">
        <v>45232.96087962963</v>
      </c>
      <c r="C867" s="1" t="n">
        <v>45890</v>
      </c>
      <c r="D867" t="inlineStr">
        <is>
          <t>VÄSTERNORRLANDS LÄN</t>
        </is>
      </c>
      <c r="E867" t="inlineStr">
        <is>
          <t>ÅNGE</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25706-2025</t>
        </is>
      </c>
      <c r="B868" s="1" t="n">
        <v>45803.67788194444</v>
      </c>
      <c r="C868" s="1" t="n">
        <v>45890</v>
      </c>
      <c r="D868" t="inlineStr">
        <is>
          <t>VÄSTERNORRLANDS LÄN</t>
        </is>
      </c>
      <c r="E868" t="inlineStr">
        <is>
          <t>ÅNGE</t>
        </is>
      </c>
      <c r="F868" t="inlineStr">
        <is>
          <t>SCA</t>
        </is>
      </c>
      <c r="G868" t="n">
        <v>13.1</v>
      </c>
      <c r="H868" t="n">
        <v>0</v>
      </c>
      <c r="I868" t="n">
        <v>0</v>
      </c>
      <c r="J868" t="n">
        <v>0</v>
      </c>
      <c r="K868" t="n">
        <v>0</v>
      </c>
      <c r="L868" t="n">
        <v>0</v>
      </c>
      <c r="M868" t="n">
        <v>0</v>
      </c>
      <c r="N868" t="n">
        <v>0</v>
      </c>
      <c r="O868" t="n">
        <v>0</v>
      </c>
      <c r="P868" t="n">
        <v>0</v>
      </c>
      <c r="Q868" t="n">
        <v>0</v>
      </c>
      <c r="R868" s="2" t="inlineStr"/>
    </row>
    <row r="869" ht="15" customHeight="1">
      <c r="A869" t="inlineStr">
        <is>
          <t>A 63530-2023</t>
        </is>
      </c>
      <c r="B869" s="1" t="n">
        <v>45274</v>
      </c>
      <c r="C869" s="1" t="n">
        <v>45890</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25241-2025</t>
        </is>
      </c>
      <c r="B870" s="1" t="n">
        <v>45800.49053240741</v>
      </c>
      <c r="C870" s="1" t="n">
        <v>45890</v>
      </c>
      <c r="D870" t="inlineStr">
        <is>
          <t>VÄSTERNORRLANDS LÄN</t>
        </is>
      </c>
      <c r="E870" t="inlineStr">
        <is>
          <t>ÅNGE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3322-2025</t>
        </is>
      </c>
      <c r="B871" s="1" t="n">
        <v>45679.6989699074</v>
      </c>
      <c r="C871" s="1" t="n">
        <v>45890</v>
      </c>
      <c r="D871" t="inlineStr">
        <is>
          <t>VÄSTERNORRLANDS LÄN</t>
        </is>
      </c>
      <c r="E871" t="inlineStr">
        <is>
          <t>ÅNGE</t>
        </is>
      </c>
      <c r="F871" t="inlineStr">
        <is>
          <t>SCA</t>
        </is>
      </c>
      <c r="G871" t="n">
        <v>11.1</v>
      </c>
      <c r="H871" t="n">
        <v>0</v>
      </c>
      <c r="I871" t="n">
        <v>0</v>
      </c>
      <c r="J871" t="n">
        <v>0</v>
      </c>
      <c r="K871" t="n">
        <v>0</v>
      </c>
      <c r="L871" t="n">
        <v>0</v>
      </c>
      <c r="M871" t="n">
        <v>0</v>
      </c>
      <c r="N871" t="n">
        <v>0</v>
      </c>
      <c r="O871" t="n">
        <v>0</v>
      </c>
      <c r="P871" t="n">
        <v>0</v>
      </c>
      <c r="Q871" t="n">
        <v>0</v>
      </c>
      <c r="R871" s="2" t="inlineStr"/>
    </row>
    <row r="872" ht="15" customHeight="1">
      <c r="A872" t="inlineStr">
        <is>
          <t>A 3327-2025</t>
        </is>
      </c>
      <c r="B872" s="1" t="n">
        <v>45679.69967592593</v>
      </c>
      <c r="C872" s="1" t="n">
        <v>45890</v>
      </c>
      <c r="D872" t="inlineStr">
        <is>
          <t>VÄSTERNORRLANDS LÄN</t>
        </is>
      </c>
      <c r="E872" t="inlineStr">
        <is>
          <t>ÅNGE</t>
        </is>
      </c>
      <c r="F872" t="inlineStr">
        <is>
          <t>SCA</t>
        </is>
      </c>
      <c r="G872" t="n">
        <v>12.9</v>
      </c>
      <c r="H872" t="n">
        <v>0</v>
      </c>
      <c r="I872" t="n">
        <v>0</v>
      </c>
      <c r="J872" t="n">
        <v>0</v>
      </c>
      <c r="K872" t="n">
        <v>0</v>
      </c>
      <c r="L872" t="n">
        <v>0</v>
      </c>
      <c r="M872" t="n">
        <v>0</v>
      </c>
      <c r="N872" t="n">
        <v>0</v>
      </c>
      <c r="O872" t="n">
        <v>0</v>
      </c>
      <c r="P872" t="n">
        <v>0</v>
      </c>
      <c r="Q872" t="n">
        <v>0</v>
      </c>
      <c r="R872" s="2" t="inlineStr"/>
    </row>
    <row r="873" ht="15" customHeight="1">
      <c r="A873" t="inlineStr">
        <is>
          <t>A 31863-2024</t>
        </is>
      </c>
      <c r="B873" s="1" t="n">
        <v>45509.74121527778</v>
      </c>
      <c r="C873" s="1" t="n">
        <v>45890</v>
      </c>
      <c r="D873" t="inlineStr">
        <is>
          <t>VÄSTERNORRLANDS LÄN</t>
        </is>
      </c>
      <c r="E873" t="inlineStr">
        <is>
          <t>ÅNGE</t>
        </is>
      </c>
      <c r="G873" t="n">
        <v>4.5</v>
      </c>
      <c r="H873" t="n">
        <v>0</v>
      </c>
      <c r="I873" t="n">
        <v>0</v>
      </c>
      <c r="J873" t="n">
        <v>0</v>
      </c>
      <c r="K873" t="n">
        <v>0</v>
      </c>
      <c r="L873" t="n">
        <v>0</v>
      </c>
      <c r="M873" t="n">
        <v>0</v>
      </c>
      <c r="N873" t="n">
        <v>0</v>
      </c>
      <c r="O873" t="n">
        <v>0</v>
      </c>
      <c r="P873" t="n">
        <v>0</v>
      </c>
      <c r="Q873" t="n">
        <v>0</v>
      </c>
      <c r="R873" s="2" t="inlineStr"/>
    </row>
    <row r="874" ht="15" customHeight="1">
      <c r="A874" t="inlineStr">
        <is>
          <t>A 25273-2025</t>
        </is>
      </c>
      <c r="B874" s="1" t="n">
        <v>45800.55253472222</v>
      </c>
      <c r="C874" s="1" t="n">
        <v>45890</v>
      </c>
      <c r="D874" t="inlineStr">
        <is>
          <t>VÄSTERNORRLANDS LÄN</t>
        </is>
      </c>
      <c r="E874" t="inlineStr">
        <is>
          <t>ÅNGE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25332-2025</t>
        </is>
      </c>
      <c r="B875" s="1" t="n">
        <v>45800.59418981482</v>
      </c>
      <c r="C875" s="1" t="n">
        <v>45890</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31729-2024</t>
        </is>
      </c>
      <c r="B876" s="1" t="n">
        <v>45509.35844907408</v>
      </c>
      <c r="C876" s="1" t="n">
        <v>45890</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60401-2020</t>
        </is>
      </c>
      <c r="B877" s="1" t="n">
        <v>44152</v>
      </c>
      <c r="C877" s="1" t="n">
        <v>45890</v>
      </c>
      <c r="D877" t="inlineStr">
        <is>
          <t>VÄSTERNORRLANDS LÄN</t>
        </is>
      </c>
      <c r="E877" t="inlineStr">
        <is>
          <t>ÅNGE</t>
        </is>
      </c>
      <c r="G877" t="n">
        <v>0.8</v>
      </c>
      <c r="H877" t="n">
        <v>0</v>
      </c>
      <c r="I877" t="n">
        <v>0</v>
      </c>
      <c r="J877" t="n">
        <v>0</v>
      </c>
      <c r="K877" t="n">
        <v>0</v>
      </c>
      <c r="L877" t="n">
        <v>0</v>
      </c>
      <c r="M877" t="n">
        <v>0</v>
      </c>
      <c r="N877" t="n">
        <v>0</v>
      </c>
      <c r="O877" t="n">
        <v>0</v>
      </c>
      <c r="P877" t="n">
        <v>0</v>
      </c>
      <c r="Q877" t="n">
        <v>0</v>
      </c>
      <c r="R877" s="2" t="inlineStr"/>
    </row>
    <row r="878" ht="15" customHeight="1">
      <c r="A878" t="inlineStr">
        <is>
          <t>A 25772-2025</t>
        </is>
      </c>
      <c r="B878" s="1" t="n">
        <v>45804.34520833333</v>
      </c>
      <c r="C878" s="1" t="n">
        <v>45890</v>
      </c>
      <c r="D878" t="inlineStr">
        <is>
          <t>VÄSTERNORRLANDS LÄN</t>
        </is>
      </c>
      <c r="E878" t="inlineStr">
        <is>
          <t>ÅNGE</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21262-2025</t>
        </is>
      </c>
      <c r="B879" s="1" t="n">
        <v>45779</v>
      </c>
      <c r="C879" s="1" t="n">
        <v>45890</v>
      </c>
      <c r="D879" t="inlineStr">
        <is>
          <t>VÄSTERNORRLANDS LÄN</t>
        </is>
      </c>
      <c r="E879" t="inlineStr">
        <is>
          <t>ÅNGE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3249-2024</t>
        </is>
      </c>
      <c r="B880" s="1" t="n">
        <v>45316</v>
      </c>
      <c r="C880" s="1" t="n">
        <v>45890</v>
      </c>
      <c r="D880" t="inlineStr">
        <is>
          <t>VÄSTERNORRLANDS LÄN</t>
        </is>
      </c>
      <c r="E880" t="inlineStr">
        <is>
          <t>ÅNGE</t>
        </is>
      </c>
      <c r="G880" t="n">
        <v>0.3</v>
      </c>
      <c r="H880" t="n">
        <v>0</v>
      </c>
      <c r="I880" t="n">
        <v>0</v>
      </c>
      <c r="J880" t="n">
        <v>0</v>
      </c>
      <c r="K880" t="n">
        <v>0</v>
      </c>
      <c r="L880" t="n">
        <v>0</v>
      </c>
      <c r="M880" t="n">
        <v>0</v>
      </c>
      <c r="N880" t="n">
        <v>0</v>
      </c>
      <c r="O880" t="n">
        <v>0</v>
      </c>
      <c r="P880" t="n">
        <v>0</v>
      </c>
      <c r="Q880" t="n">
        <v>0</v>
      </c>
      <c r="R880" s="2" t="inlineStr"/>
    </row>
    <row r="881" ht="15" customHeight="1">
      <c r="A881" t="inlineStr">
        <is>
          <t>A 4071-2025</t>
        </is>
      </c>
      <c r="B881" s="1" t="n">
        <v>45684.63579861111</v>
      </c>
      <c r="C881" s="1" t="n">
        <v>45890</v>
      </c>
      <c r="D881" t="inlineStr">
        <is>
          <t>VÄSTERNORRLANDS LÄN</t>
        </is>
      </c>
      <c r="E881" t="inlineStr">
        <is>
          <t>ÅNGE</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44606-2024</t>
        </is>
      </c>
      <c r="B882" s="1" t="n">
        <v>45574.51195601852</v>
      </c>
      <c r="C882" s="1" t="n">
        <v>45890</v>
      </c>
      <c r="D882" t="inlineStr">
        <is>
          <t>VÄSTERNORRLANDS LÄN</t>
        </is>
      </c>
      <c r="E882" t="inlineStr">
        <is>
          <t>ÅNGE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44626-2024</t>
        </is>
      </c>
      <c r="B883" s="1" t="n">
        <v>45574.51378472222</v>
      </c>
      <c r="C883" s="1" t="n">
        <v>45890</v>
      </c>
      <c r="D883" t="inlineStr">
        <is>
          <t>VÄSTERNORRLANDS LÄN</t>
        </is>
      </c>
      <c r="E883" t="inlineStr">
        <is>
          <t>ÅNGE</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58275-2022</t>
        </is>
      </c>
      <c r="B884" s="1" t="n">
        <v>44901.47865740741</v>
      </c>
      <c r="C884" s="1" t="n">
        <v>45890</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42948-2024</t>
        </is>
      </c>
      <c r="B885" s="1" t="n">
        <v>45567.36628472222</v>
      </c>
      <c r="C885" s="1" t="n">
        <v>45890</v>
      </c>
      <c r="D885" t="inlineStr">
        <is>
          <t>VÄSTERNORRLANDS LÄN</t>
        </is>
      </c>
      <c r="E885" t="inlineStr">
        <is>
          <t>ÅNGE</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42953-2024</t>
        </is>
      </c>
      <c r="B886" s="1" t="n">
        <v>45567</v>
      </c>
      <c r="C886" s="1" t="n">
        <v>45890</v>
      </c>
      <c r="D886" t="inlineStr">
        <is>
          <t>VÄSTERNORRLANDS LÄN</t>
        </is>
      </c>
      <c r="E886" t="inlineStr">
        <is>
          <t>ÅNGE</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42968-2024</t>
        </is>
      </c>
      <c r="B887" s="1" t="n">
        <v>45567</v>
      </c>
      <c r="C887" s="1" t="n">
        <v>45890</v>
      </c>
      <c r="D887" t="inlineStr">
        <is>
          <t>VÄSTERNORRLANDS LÄN</t>
        </is>
      </c>
      <c r="E887" t="inlineStr">
        <is>
          <t>ÅNGE</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18668-2023</t>
        </is>
      </c>
      <c r="B888" s="1" t="n">
        <v>45043.57108796296</v>
      </c>
      <c r="C888" s="1" t="n">
        <v>45890</v>
      </c>
      <c r="D888" t="inlineStr">
        <is>
          <t>VÄSTERNORRLANDS LÄN</t>
        </is>
      </c>
      <c r="E888" t="inlineStr">
        <is>
          <t>ÅNGE</t>
        </is>
      </c>
      <c r="G888" t="n">
        <v>3.4</v>
      </c>
      <c r="H888" t="n">
        <v>0</v>
      </c>
      <c r="I888" t="n">
        <v>0</v>
      </c>
      <c r="J888" t="n">
        <v>0</v>
      </c>
      <c r="K888" t="n">
        <v>0</v>
      </c>
      <c r="L888" t="n">
        <v>0</v>
      </c>
      <c r="M888" t="n">
        <v>0</v>
      </c>
      <c r="N888" t="n">
        <v>0</v>
      </c>
      <c r="O888" t="n">
        <v>0</v>
      </c>
      <c r="P888" t="n">
        <v>0</v>
      </c>
      <c r="Q888" t="n">
        <v>0</v>
      </c>
      <c r="R888" s="2" t="inlineStr"/>
    </row>
    <row r="889" ht="15" customHeight="1">
      <c r="A889" t="inlineStr">
        <is>
          <t>A 15863-2022</t>
        </is>
      </c>
      <c r="B889" s="1" t="n">
        <v>44664</v>
      </c>
      <c r="C889" s="1" t="n">
        <v>45890</v>
      </c>
      <c r="D889" t="inlineStr">
        <is>
          <t>VÄSTERNORRLANDS LÄN</t>
        </is>
      </c>
      <c r="E889" t="inlineStr">
        <is>
          <t>ÅNGE</t>
        </is>
      </c>
      <c r="G889" t="n">
        <v>3.6</v>
      </c>
      <c r="H889" t="n">
        <v>0</v>
      </c>
      <c r="I889" t="n">
        <v>0</v>
      </c>
      <c r="J889" t="n">
        <v>0</v>
      </c>
      <c r="K889" t="n">
        <v>0</v>
      </c>
      <c r="L889" t="n">
        <v>0</v>
      </c>
      <c r="M889" t="n">
        <v>0</v>
      </c>
      <c r="N889" t="n">
        <v>0</v>
      </c>
      <c r="O889" t="n">
        <v>0</v>
      </c>
      <c r="P889" t="n">
        <v>0</v>
      </c>
      <c r="Q889" t="n">
        <v>0</v>
      </c>
      <c r="R889" s="2" t="inlineStr"/>
    </row>
    <row r="890" ht="15" customHeight="1">
      <c r="A890" t="inlineStr">
        <is>
          <t>A 1964-2022</t>
        </is>
      </c>
      <c r="B890" s="1" t="n">
        <v>44575.5050462963</v>
      </c>
      <c r="C890" s="1" t="n">
        <v>45890</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18880-2024</t>
        </is>
      </c>
      <c r="B891" s="1" t="n">
        <v>45426</v>
      </c>
      <c r="C891" s="1" t="n">
        <v>45890</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25810-2025</t>
        </is>
      </c>
      <c r="B892" s="1" t="n">
        <v>45804.42083333333</v>
      </c>
      <c r="C892" s="1" t="n">
        <v>45890</v>
      </c>
      <c r="D892" t="inlineStr">
        <is>
          <t>VÄSTERNORRLANDS LÄN</t>
        </is>
      </c>
      <c r="E892" t="inlineStr">
        <is>
          <t>ÅNGE</t>
        </is>
      </c>
      <c r="G892" t="n">
        <v>6.2</v>
      </c>
      <c r="H892" t="n">
        <v>0</v>
      </c>
      <c r="I892" t="n">
        <v>0</v>
      </c>
      <c r="J892" t="n">
        <v>0</v>
      </c>
      <c r="K892" t="n">
        <v>0</v>
      </c>
      <c r="L892" t="n">
        <v>0</v>
      </c>
      <c r="M892" t="n">
        <v>0</v>
      </c>
      <c r="N892" t="n">
        <v>0</v>
      </c>
      <c r="O892" t="n">
        <v>0</v>
      </c>
      <c r="P892" t="n">
        <v>0</v>
      </c>
      <c r="Q892" t="n">
        <v>0</v>
      </c>
      <c r="R892" s="2" t="inlineStr"/>
    </row>
    <row r="893" ht="15" customHeight="1">
      <c r="A893" t="inlineStr">
        <is>
          <t>A 48787-2024</t>
        </is>
      </c>
      <c r="B893" s="1" t="n">
        <v>45593.63888888889</v>
      </c>
      <c r="C893" s="1" t="n">
        <v>45890</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1886-2024</t>
        </is>
      </c>
      <c r="B894" s="1" t="n">
        <v>45307.96335648148</v>
      </c>
      <c r="C894" s="1" t="n">
        <v>45890</v>
      </c>
      <c r="D894" t="inlineStr">
        <is>
          <t>VÄSTERNORRLANDS LÄN</t>
        </is>
      </c>
      <c r="E894" t="inlineStr">
        <is>
          <t>ÅNGE</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41370-2023</t>
        </is>
      </c>
      <c r="B895" s="1" t="n">
        <v>45174.85951388889</v>
      </c>
      <c r="C895" s="1" t="n">
        <v>45890</v>
      </c>
      <c r="D895" t="inlineStr">
        <is>
          <t>VÄSTERNORRLANDS LÄN</t>
        </is>
      </c>
      <c r="E895" t="inlineStr">
        <is>
          <t>ÅNGE</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19723-2025</t>
        </is>
      </c>
      <c r="B896" s="1" t="n">
        <v>45771.36490740741</v>
      </c>
      <c r="C896" s="1" t="n">
        <v>45890</v>
      </c>
      <c r="D896" t="inlineStr">
        <is>
          <t>VÄSTERNORRLANDS LÄN</t>
        </is>
      </c>
      <c r="E896" t="inlineStr">
        <is>
          <t>ÅNGE</t>
        </is>
      </c>
      <c r="F896" t="inlineStr">
        <is>
          <t>SCA</t>
        </is>
      </c>
      <c r="G896" t="n">
        <v>5</v>
      </c>
      <c r="H896" t="n">
        <v>0</v>
      </c>
      <c r="I896" t="n">
        <v>0</v>
      </c>
      <c r="J896" t="n">
        <v>0</v>
      </c>
      <c r="K896" t="n">
        <v>0</v>
      </c>
      <c r="L896" t="n">
        <v>0</v>
      </c>
      <c r="M896" t="n">
        <v>0</v>
      </c>
      <c r="N896" t="n">
        <v>0</v>
      </c>
      <c r="O896" t="n">
        <v>0</v>
      </c>
      <c r="P896" t="n">
        <v>0</v>
      </c>
      <c r="Q896" t="n">
        <v>0</v>
      </c>
      <c r="R896" s="2" t="inlineStr"/>
    </row>
    <row r="897" ht="15" customHeight="1">
      <c r="A897" t="inlineStr">
        <is>
          <t>A 14673-2025</t>
        </is>
      </c>
      <c r="B897" s="1" t="n">
        <v>45742.55309027778</v>
      </c>
      <c r="C897" s="1" t="n">
        <v>45890</v>
      </c>
      <c r="D897" t="inlineStr">
        <is>
          <t>VÄSTERNORRLANDS LÄN</t>
        </is>
      </c>
      <c r="E897" t="inlineStr">
        <is>
          <t>ÅNGE</t>
        </is>
      </c>
      <c r="G897" t="n">
        <v>2.5</v>
      </c>
      <c r="H897" t="n">
        <v>0</v>
      </c>
      <c r="I897" t="n">
        <v>0</v>
      </c>
      <c r="J897" t="n">
        <v>0</v>
      </c>
      <c r="K897" t="n">
        <v>0</v>
      </c>
      <c r="L897" t="n">
        <v>0</v>
      </c>
      <c r="M897" t="n">
        <v>0</v>
      </c>
      <c r="N897" t="n">
        <v>0</v>
      </c>
      <c r="O897" t="n">
        <v>0</v>
      </c>
      <c r="P897" t="n">
        <v>0</v>
      </c>
      <c r="Q897" t="n">
        <v>0</v>
      </c>
      <c r="R897" s="2" t="inlineStr"/>
    </row>
    <row r="898" ht="15" customHeight="1">
      <c r="A898" t="inlineStr">
        <is>
          <t>A 16191-2023</t>
        </is>
      </c>
      <c r="B898" s="1" t="n">
        <v>45027.94111111111</v>
      </c>
      <c r="C898" s="1" t="n">
        <v>45890</v>
      </c>
      <c r="D898" t="inlineStr">
        <is>
          <t>VÄSTERNORRLANDS LÄN</t>
        </is>
      </c>
      <c r="E898" t="inlineStr">
        <is>
          <t>ÅNGE</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30235-2024</t>
        </is>
      </c>
      <c r="B899" s="1" t="n">
        <v>45490.49040509259</v>
      </c>
      <c r="C899" s="1" t="n">
        <v>45890</v>
      </c>
      <c r="D899" t="inlineStr">
        <is>
          <t>VÄSTERNORRLANDS LÄN</t>
        </is>
      </c>
      <c r="E899" t="inlineStr">
        <is>
          <t>ÅNGE</t>
        </is>
      </c>
      <c r="G899" t="n">
        <v>3.7</v>
      </c>
      <c r="H899" t="n">
        <v>0</v>
      </c>
      <c r="I899" t="n">
        <v>0</v>
      </c>
      <c r="J899" t="n">
        <v>0</v>
      </c>
      <c r="K899" t="n">
        <v>0</v>
      </c>
      <c r="L899" t="n">
        <v>0</v>
      </c>
      <c r="M899" t="n">
        <v>0</v>
      </c>
      <c r="N899" t="n">
        <v>0</v>
      </c>
      <c r="O899" t="n">
        <v>0</v>
      </c>
      <c r="P899" t="n">
        <v>0</v>
      </c>
      <c r="Q899" t="n">
        <v>0</v>
      </c>
      <c r="R899" s="2" t="inlineStr"/>
    </row>
    <row r="900" ht="15" customHeight="1">
      <c r="A900" t="inlineStr">
        <is>
          <t>A 26193-2025</t>
        </is>
      </c>
      <c r="B900" s="1" t="n">
        <v>45805.48922453704</v>
      </c>
      <c r="C900" s="1" t="n">
        <v>45890</v>
      </c>
      <c r="D900" t="inlineStr">
        <is>
          <t>VÄSTERNORRLANDS LÄN</t>
        </is>
      </c>
      <c r="E900" t="inlineStr">
        <is>
          <t>ÅNGE</t>
        </is>
      </c>
      <c r="G900" t="n">
        <v>2.3</v>
      </c>
      <c r="H900" t="n">
        <v>0</v>
      </c>
      <c r="I900" t="n">
        <v>0</v>
      </c>
      <c r="J900" t="n">
        <v>0</v>
      </c>
      <c r="K900" t="n">
        <v>0</v>
      </c>
      <c r="L900" t="n">
        <v>0</v>
      </c>
      <c r="M900" t="n">
        <v>0</v>
      </c>
      <c r="N900" t="n">
        <v>0</v>
      </c>
      <c r="O900" t="n">
        <v>0</v>
      </c>
      <c r="P900" t="n">
        <v>0</v>
      </c>
      <c r="Q900" t="n">
        <v>0</v>
      </c>
      <c r="R900" s="2" t="inlineStr"/>
    </row>
    <row r="901" ht="15" customHeight="1">
      <c r="A901" t="inlineStr">
        <is>
          <t>A 53171-2020</t>
        </is>
      </c>
      <c r="B901" s="1" t="n">
        <v>44120</v>
      </c>
      <c r="C901" s="1" t="n">
        <v>45890</v>
      </c>
      <c r="D901" t="inlineStr">
        <is>
          <t>VÄSTERNORRLANDS LÄN</t>
        </is>
      </c>
      <c r="E901" t="inlineStr">
        <is>
          <t>ÅNGE</t>
        </is>
      </c>
      <c r="F901" t="inlineStr">
        <is>
          <t>SCA</t>
        </is>
      </c>
      <c r="G901" t="n">
        <v>6.9</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44798.94810185185</v>
      </c>
      <c r="C902" s="1" t="n">
        <v>45890</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53856-2024</t>
        </is>
      </c>
      <c r="B903" s="1" t="n">
        <v>45615</v>
      </c>
      <c r="C903" s="1" t="n">
        <v>45890</v>
      </c>
      <c r="D903" t="inlineStr">
        <is>
          <t>VÄSTERNORRLANDS LÄN</t>
        </is>
      </c>
      <c r="E903" t="inlineStr">
        <is>
          <t>ÅNGE</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53858-2024</t>
        </is>
      </c>
      <c r="B904" s="1" t="n">
        <v>45615</v>
      </c>
      <c r="C904" s="1" t="n">
        <v>45890</v>
      </c>
      <c r="D904" t="inlineStr">
        <is>
          <t>VÄSTERNORRLANDS LÄN</t>
        </is>
      </c>
      <c r="E904" t="inlineStr">
        <is>
          <t>ÅNGE</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60817-2024</t>
        </is>
      </c>
      <c r="B905" s="1" t="n">
        <v>45644</v>
      </c>
      <c r="C905" s="1" t="n">
        <v>45890</v>
      </c>
      <c r="D905" t="inlineStr">
        <is>
          <t>VÄSTERNORRLANDS LÄN</t>
        </is>
      </c>
      <c r="E905" t="inlineStr">
        <is>
          <t>ÅNGE</t>
        </is>
      </c>
      <c r="G905" t="n">
        <v>3.2</v>
      </c>
      <c r="H905" t="n">
        <v>0</v>
      </c>
      <c r="I905" t="n">
        <v>0</v>
      </c>
      <c r="J905" t="n">
        <v>0</v>
      </c>
      <c r="K905" t="n">
        <v>0</v>
      </c>
      <c r="L905" t="n">
        <v>0</v>
      </c>
      <c r="M905" t="n">
        <v>0</v>
      </c>
      <c r="N905" t="n">
        <v>0</v>
      </c>
      <c r="O905" t="n">
        <v>0</v>
      </c>
      <c r="P905" t="n">
        <v>0</v>
      </c>
      <c r="Q905" t="n">
        <v>0</v>
      </c>
      <c r="R905" s="2" t="inlineStr"/>
    </row>
    <row r="906" ht="15" customHeight="1">
      <c r="A906" t="inlineStr">
        <is>
          <t>A 18456-2024</t>
        </is>
      </c>
      <c r="B906" s="1" t="n">
        <v>45425.46831018518</v>
      </c>
      <c r="C906" s="1" t="n">
        <v>45890</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26365-2025</t>
        </is>
      </c>
      <c r="B907" s="1" t="n">
        <v>45806.34412037037</v>
      </c>
      <c r="C907" s="1" t="n">
        <v>45890</v>
      </c>
      <c r="D907" t="inlineStr">
        <is>
          <t>VÄSTERNORRLANDS LÄN</t>
        </is>
      </c>
      <c r="E907" t="inlineStr">
        <is>
          <t>ÅNGE</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2299-2025</t>
        </is>
      </c>
      <c r="B908" s="1" t="n">
        <v>45673.59516203704</v>
      </c>
      <c r="C908" s="1" t="n">
        <v>45890</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25047-2023</t>
        </is>
      </c>
      <c r="B909" s="1" t="n">
        <v>45085.94569444445</v>
      </c>
      <c r="C909" s="1" t="n">
        <v>45890</v>
      </c>
      <c r="D909" t="inlineStr">
        <is>
          <t>VÄSTERNORRLANDS LÄN</t>
        </is>
      </c>
      <c r="E909" t="inlineStr">
        <is>
          <t>ÅNGE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26389-2025</t>
        </is>
      </c>
      <c r="B910" s="1" t="n">
        <v>45806.51078703703</v>
      </c>
      <c r="C910" s="1" t="n">
        <v>45890</v>
      </c>
      <c r="D910" t="inlineStr">
        <is>
          <t>VÄSTERNORRLANDS LÄN</t>
        </is>
      </c>
      <c r="E910" t="inlineStr">
        <is>
          <t>ÅNGE</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31457-2024</t>
        </is>
      </c>
      <c r="B911" s="1" t="n">
        <v>45505</v>
      </c>
      <c r="C911" s="1" t="n">
        <v>45890</v>
      </c>
      <c r="D911" t="inlineStr">
        <is>
          <t>VÄSTERNORRLANDS LÄN</t>
        </is>
      </c>
      <c r="E911" t="inlineStr">
        <is>
          <t>ÅNGE</t>
        </is>
      </c>
      <c r="F911" t="inlineStr">
        <is>
          <t>SCA</t>
        </is>
      </c>
      <c r="G911" t="n">
        <v>5.2</v>
      </c>
      <c r="H911" t="n">
        <v>0</v>
      </c>
      <c r="I911" t="n">
        <v>0</v>
      </c>
      <c r="J911" t="n">
        <v>0</v>
      </c>
      <c r="K911" t="n">
        <v>0</v>
      </c>
      <c r="L911" t="n">
        <v>0</v>
      </c>
      <c r="M911" t="n">
        <v>0</v>
      </c>
      <c r="N911" t="n">
        <v>0</v>
      </c>
      <c r="O911" t="n">
        <v>0</v>
      </c>
      <c r="P911" t="n">
        <v>0</v>
      </c>
      <c r="Q911" t="n">
        <v>0</v>
      </c>
      <c r="R911" s="2" t="inlineStr"/>
    </row>
    <row r="912" ht="15" customHeight="1">
      <c r="A912" t="inlineStr">
        <is>
          <t>A 26388-2025</t>
        </is>
      </c>
      <c r="B912" s="1" t="n">
        <v>45806.51069444444</v>
      </c>
      <c r="C912" s="1" t="n">
        <v>45890</v>
      </c>
      <c r="D912" t="inlineStr">
        <is>
          <t>VÄSTERNORRLANDS LÄN</t>
        </is>
      </c>
      <c r="E912" t="inlineStr">
        <is>
          <t>ÅNGE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57815-2024</t>
        </is>
      </c>
      <c r="B913" s="1" t="n">
        <v>45631.37068287037</v>
      </c>
      <c r="C913" s="1" t="n">
        <v>45890</v>
      </c>
      <c r="D913" t="inlineStr">
        <is>
          <t>VÄSTERNORRLANDS LÄN</t>
        </is>
      </c>
      <c r="E913" t="inlineStr">
        <is>
          <t>ÅNGE</t>
        </is>
      </c>
      <c r="G913" t="n">
        <v>2.6</v>
      </c>
      <c r="H913" t="n">
        <v>0</v>
      </c>
      <c r="I913" t="n">
        <v>0</v>
      </c>
      <c r="J913" t="n">
        <v>0</v>
      </c>
      <c r="K913" t="n">
        <v>0</v>
      </c>
      <c r="L913" t="n">
        <v>0</v>
      </c>
      <c r="M913" t="n">
        <v>0</v>
      </c>
      <c r="N913" t="n">
        <v>0</v>
      </c>
      <c r="O913" t="n">
        <v>0</v>
      </c>
      <c r="P913" t="n">
        <v>0</v>
      </c>
      <c r="Q913" t="n">
        <v>0</v>
      </c>
      <c r="R913" s="2" t="inlineStr"/>
    </row>
    <row r="914" ht="15" customHeight="1">
      <c r="A914" t="inlineStr">
        <is>
          <t>A 54771-2023</t>
        </is>
      </c>
      <c r="B914" s="1" t="n">
        <v>45229</v>
      </c>
      <c r="C914" s="1" t="n">
        <v>45890</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34785-2025</t>
        </is>
      </c>
      <c r="B915" s="1" t="n">
        <v>45848.67771990741</v>
      </c>
      <c r="C915" s="1" t="n">
        <v>45890</v>
      </c>
      <c r="D915" t="inlineStr">
        <is>
          <t>VÄSTERNORRLANDS LÄN</t>
        </is>
      </c>
      <c r="E915" t="inlineStr">
        <is>
          <t>ÅNGE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26366-2025</t>
        </is>
      </c>
      <c r="B916" s="1" t="n">
        <v>45806.34424768519</v>
      </c>
      <c r="C916" s="1" t="n">
        <v>45890</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35143-2025</t>
        </is>
      </c>
      <c r="B917" s="1" t="n">
        <v>45852.65660879629</v>
      </c>
      <c r="C917" s="1" t="n">
        <v>45890</v>
      </c>
      <c r="D917" t="inlineStr">
        <is>
          <t>VÄSTERNORRLANDS LÄN</t>
        </is>
      </c>
      <c r="E917" t="inlineStr">
        <is>
          <t>ÅNGE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26734-2025</t>
        </is>
      </c>
      <c r="B918" s="1" t="n">
        <v>45810.51087962963</v>
      </c>
      <c r="C918" s="1" t="n">
        <v>45890</v>
      </c>
      <c r="D918" t="inlineStr">
        <is>
          <t>VÄSTERNORRLANDS LÄN</t>
        </is>
      </c>
      <c r="E918" t="inlineStr">
        <is>
          <t>ÅNGE</t>
        </is>
      </c>
      <c r="G918" t="n">
        <v>1.5</v>
      </c>
      <c r="H918" t="n">
        <v>0</v>
      </c>
      <c r="I918" t="n">
        <v>0</v>
      </c>
      <c r="J918" t="n">
        <v>0</v>
      </c>
      <c r="K918" t="n">
        <v>0</v>
      </c>
      <c r="L918" t="n">
        <v>0</v>
      </c>
      <c r="M918" t="n">
        <v>0</v>
      </c>
      <c r="N918" t="n">
        <v>0</v>
      </c>
      <c r="O918" t="n">
        <v>0</v>
      </c>
      <c r="P918" t="n">
        <v>0</v>
      </c>
      <c r="Q918" t="n">
        <v>0</v>
      </c>
      <c r="R918" s="2" t="inlineStr"/>
    </row>
    <row r="919" ht="15" customHeight="1">
      <c r="A919" t="inlineStr">
        <is>
          <t>A 26011-2024</t>
        </is>
      </c>
      <c r="B919" s="1" t="n">
        <v>45467.95828703704</v>
      </c>
      <c r="C919" s="1" t="n">
        <v>45890</v>
      </c>
      <c r="D919" t="inlineStr">
        <is>
          <t>VÄSTERNORRLANDS LÄN</t>
        </is>
      </c>
      <c r="E919" t="inlineStr">
        <is>
          <t>ÅNGE</t>
        </is>
      </c>
      <c r="F919" t="inlineStr">
        <is>
          <t>SCA</t>
        </is>
      </c>
      <c r="G919" t="n">
        <v>4.5</v>
      </c>
      <c r="H919" t="n">
        <v>0</v>
      </c>
      <c r="I919" t="n">
        <v>0</v>
      </c>
      <c r="J919" t="n">
        <v>0</v>
      </c>
      <c r="K919" t="n">
        <v>0</v>
      </c>
      <c r="L919" t="n">
        <v>0</v>
      </c>
      <c r="M919" t="n">
        <v>0</v>
      </c>
      <c r="N919" t="n">
        <v>0</v>
      </c>
      <c r="O919" t="n">
        <v>0</v>
      </c>
      <c r="P919" t="n">
        <v>0</v>
      </c>
      <c r="Q919" t="n">
        <v>0</v>
      </c>
      <c r="R919" s="2" t="inlineStr"/>
    </row>
    <row r="920" ht="15" customHeight="1">
      <c r="A920" t="inlineStr">
        <is>
          <t>A 26014-2024</t>
        </is>
      </c>
      <c r="B920" s="1" t="n">
        <v>45467.95862268518</v>
      </c>
      <c r="C920" s="1" t="n">
        <v>45890</v>
      </c>
      <c r="D920" t="inlineStr">
        <is>
          <t>VÄSTERNORRLANDS LÄN</t>
        </is>
      </c>
      <c r="E920" t="inlineStr">
        <is>
          <t>ÅNGE</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42044-2024</t>
        </is>
      </c>
      <c r="B921" s="1" t="n">
        <v>45561</v>
      </c>
      <c r="C921" s="1" t="n">
        <v>45890</v>
      </c>
      <c r="D921" t="inlineStr">
        <is>
          <t>VÄSTERNORRLANDS LÄN</t>
        </is>
      </c>
      <c r="E921" t="inlineStr">
        <is>
          <t>ÅNGE</t>
        </is>
      </c>
      <c r="G921" t="n">
        <v>0.9</v>
      </c>
      <c r="H921" t="n">
        <v>0</v>
      </c>
      <c r="I921" t="n">
        <v>0</v>
      </c>
      <c r="J921" t="n">
        <v>0</v>
      </c>
      <c r="K921" t="n">
        <v>0</v>
      </c>
      <c r="L921" t="n">
        <v>0</v>
      </c>
      <c r="M921" t="n">
        <v>0</v>
      </c>
      <c r="N921" t="n">
        <v>0</v>
      </c>
      <c r="O921" t="n">
        <v>0</v>
      </c>
      <c r="P921" t="n">
        <v>0</v>
      </c>
      <c r="Q921" t="n">
        <v>0</v>
      </c>
      <c r="R921" s="2" t="inlineStr"/>
    </row>
    <row r="922" ht="15" customHeight="1">
      <c r="A922" t="inlineStr">
        <is>
          <t>A 42090-2024</t>
        </is>
      </c>
      <c r="B922" s="1" t="n">
        <v>45562</v>
      </c>
      <c r="C922" s="1" t="n">
        <v>45890</v>
      </c>
      <c r="D922" t="inlineStr">
        <is>
          <t>VÄSTERNORRLANDS LÄN</t>
        </is>
      </c>
      <c r="E922" t="inlineStr">
        <is>
          <t>ÅNGE</t>
        </is>
      </c>
      <c r="F922" t="inlineStr">
        <is>
          <t>SCA</t>
        </is>
      </c>
      <c r="G922" t="n">
        <v>20.2</v>
      </c>
      <c r="H922" t="n">
        <v>0</v>
      </c>
      <c r="I922" t="n">
        <v>0</v>
      </c>
      <c r="J922" t="n">
        <v>0</v>
      </c>
      <c r="K922" t="n">
        <v>0</v>
      </c>
      <c r="L922" t="n">
        <v>0</v>
      </c>
      <c r="M922" t="n">
        <v>0</v>
      </c>
      <c r="N922" t="n">
        <v>0</v>
      </c>
      <c r="O922" t="n">
        <v>0</v>
      </c>
      <c r="P922" t="n">
        <v>0</v>
      </c>
      <c r="Q922" t="n">
        <v>0</v>
      </c>
      <c r="R922" s="2" t="inlineStr"/>
    </row>
    <row r="923" ht="15" customHeight="1">
      <c r="A923" t="inlineStr">
        <is>
          <t>A 3629-2023</t>
        </is>
      </c>
      <c r="B923" s="1" t="n">
        <v>44950</v>
      </c>
      <c r="C923" s="1" t="n">
        <v>45890</v>
      </c>
      <c r="D923" t="inlineStr">
        <is>
          <t>VÄSTERNORRLANDS LÄN</t>
        </is>
      </c>
      <c r="E923" t="inlineStr">
        <is>
          <t>ÅNGE</t>
        </is>
      </c>
      <c r="G923" t="n">
        <v>2.5</v>
      </c>
      <c r="H923" t="n">
        <v>0</v>
      </c>
      <c r="I923" t="n">
        <v>0</v>
      </c>
      <c r="J923" t="n">
        <v>0</v>
      </c>
      <c r="K923" t="n">
        <v>0</v>
      </c>
      <c r="L923" t="n">
        <v>0</v>
      </c>
      <c r="M923" t="n">
        <v>0</v>
      </c>
      <c r="N923" t="n">
        <v>0</v>
      </c>
      <c r="O923" t="n">
        <v>0</v>
      </c>
      <c r="P923" t="n">
        <v>0</v>
      </c>
      <c r="Q923" t="n">
        <v>0</v>
      </c>
      <c r="R923" s="2" t="inlineStr"/>
    </row>
    <row r="924" ht="15" customHeight="1">
      <c r="A924" t="inlineStr">
        <is>
          <t>A 3631-2023</t>
        </is>
      </c>
      <c r="B924" s="1" t="n">
        <v>44950</v>
      </c>
      <c r="C924" s="1" t="n">
        <v>45890</v>
      </c>
      <c r="D924" t="inlineStr">
        <is>
          <t>VÄSTERNORRLANDS LÄN</t>
        </is>
      </c>
      <c r="E924" t="inlineStr">
        <is>
          <t>ÅNGE</t>
        </is>
      </c>
      <c r="G924" t="n">
        <v>0.8</v>
      </c>
      <c r="H924" t="n">
        <v>0</v>
      </c>
      <c r="I924" t="n">
        <v>0</v>
      </c>
      <c r="J924" t="n">
        <v>0</v>
      </c>
      <c r="K924" t="n">
        <v>0</v>
      </c>
      <c r="L924" t="n">
        <v>0</v>
      </c>
      <c r="M924" t="n">
        <v>0</v>
      </c>
      <c r="N924" t="n">
        <v>0</v>
      </c>
      <c r="O924" t="n">
        <v>0</v>
      </c>
      <c r="P924" t="n">
        <v>0</v>
      </c>
      <c r="Q924" t="n">
        <v>0</v>
      </c>
      <c r="R924" s="2" t="inlineStr"/>
    </row>
    <row r="925" ht="15" customHeight="1">
      <c r="A925" t="inlineStr">
        <is>
          <t>A 18112-2025</t>
        </is>
      </c>
      <c r="B925" s="1" t="n">
        <v>45761.57350694444</v>
      </c>
      <c r="C925" s="1" t="n">
        <v>45890</v>
      </c>
      <c r="D925" t="inlineStr">
        <is>
          <t>VÄSTERNORRLANDS LÄN</t>
        </is>
      </c>
      <c r="E925" t="inlineStr">
        <is>
          <t>ÅNGE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26901-2025</t>
        </is>
      </c>
      <c r="B926" s="1" t="n">
        <v>45811.34457175926</v>
      </c>
      <c r="C926" s="1" t="n">
        <v>45890</v>
      </c>
      <c r="D926" t="inlineStr">
        <is>
          <t>VÄSTERNORRLANDS LÄN</t>
        </is>
      </c>
      <c r="E926" t="inlineStr">
        <is>
          <t>ÅNGE</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17703-2025</t>
        </is>
      </c>
      <c r="B927" s="1" t="n">
        <v>45758.4275462963</v>
      </c>
      <c r="C927" s="1" t="n">
        <v>45890</v>
      </c>
      <c r="D927" t="inlineStr">
        <is>
          <t>VÄSTERNORRLANDS LÄN</t>
        </is>
      </c>
      <c r="E927" t="inlineStr">
        <is>
          <t>ÅNGE</t>
        </is>
      </c>
      <c r="G927" t="n">
        <v>2.5</v>
      </c>
      <c r="H927" t="n">
        <v>0</v>
      </c>
      <c r="I927" t="n">
        <v>0</v>
      </c>
      <c r="J927" t="n">
        <v>0</v>
      </c>
      <c r="K927" t="n">
        <v>0</v>
      </c>
      <c r="L927" t="n">
        <v>0</v>
      </c>
      <c r="M927" t="n">
        <v>0</v>
      </c>
      <c r="N927" t="n">
        <v>0</v>
      </c>
      <c r="O927" t="n">
        <v>0</v>
      </c>
      <c r="P927" t="n">
        <v>0</v>
      </c>
      <c r="Q927" t="n">
        <v>0</v>
      </c>
      <c r="R927" s="2" t="inlineStr"/>
    </row>
    <row r="928" ht="15" customHeight="1">
      <c r="A928" t="inlineStr">
        <is>
          <t>A 28779-2023</t>
        </is>
      </c>
      <c r="B928" s="1" t="n">
        <v>45104.34314814815</v>
      </c>
      <c r="C928" s="1" t="n">
        <v>45890</v>
      </c>
      <c r="D928" t="inlineStr">
        <is>
          <t>VÄSTERNORRLANDS LÄN</t>
        </is>
      </c>
      <c r="E928" t="inlineStr">
        <is>
          <t>ÅNGE</t>
        </is>
      </c>
      <c r="G928" t="n">
        <v>1.3</v>
      </c>
      <c r="H928" t="n">
        <v>0</v>
      </c>
      <c r="I928" t="n">
        <v>0</v>
      </c>
      <c r="J928" t="n">
        <v>0</v>
      </c>
      <c r="K928" t="n">
        <v>0</v>
      </c>
      <c r="L928" t="n">
        <v>0</v>
      </c>
      <c r="M928" t="n">
        <v>0</v>
      </c>
      <c r="N928" t="n">
        <v>0</v>
      </c>
      <c r="O928" t="n">
        <v>0</v>
      </c>
      <c r="P928" t="n">
        <v>0</v>
      </c>
      <c r="Q928" t="n">
        <v>0</v>
      </c>
      <c r="R928" s="2" t="inlineStr"/>
    </row>
    <row r="929" ht="15" customHeight="1">
      <c r="A929" t="inlineStr">
        <is>
          <t>A 26655-2025</t>
        </is>
      </c>
      <c r="B929" s="1" t="n">
        <v>45810.39047453704</v>
      </c>
      <c r="C929" s="1" t="n">
        <v>45890</v>
      </c>
      <c r="D929" t="inlineStr">
        <is>
          <t>VÄSTERNORRLANDS LÄN</t>
        </is>
      </c>
      <c r="E929" t="inlineStr">
        <is>
          <t>ÅNGE</t>
        </is>
      </c>
      <c r="G929" t="n">
        <v>0.6</v>
      </c>
      <c r="H929" t="n">
        <v>0</v>
      </c>
      <c r="I929" t="n">
        <v>0</v>
      </c>
      <c r="J929" t="n">
        <v>0</v>
      </c>
      <c r="K929" t="n">
        <v>0</v>
      </c>
      <c r="L929" t="n">
        <v>0</v>
      </c>
      <c r="M929" t="n">
        <v>0</v>
      </c>
      <c r="N929" t="n">
        <v>0</v>
      </c>
      <c r="O929" t="n">
        <v>0</v>
      </c>
      <c r="P929" t="n">
        <v>0</v>
      </c>
      <c r="Q929" t="n">
        <v>0</v>
      </c>
      <c r="R929" s="2" t="inlineStr"/>
    </row>
    <row r="930" ht="15" customHeight="1">
      <c r="A930" t="inlineStr">
        <is>
          <t>A 25311-2023</t>
        </is>
      </c>
      <c r="B930" s="1" t="n">
        <v>45086.93869212963</v>
      </c>
      <c r="C930" s="1" t="n">
        <v>45890</v>
      </c>
      <c r="D930" t="inlineStr">
        <is>
          <t>VÄSTERNORRLANDS LÄN</t>
        </is>
      </c>
      <c r="E930" t="inlineStr">
        <is>
          <t>ÅNGE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5931-2025</t>
        </is>
      </c>
      <c r="B931" s="1" t="n">
        <v>45695.44827546296</v>
      </c>
      <c r="C931" s="1" t="n">
        <v>45890</v>
      </c>
      <c r="D931" t="inlineStr">
        <is>
          <t>VÄSTERNORRLANDS LÄN</t>
        </is>
      </c>
      <c r="E931" t="inlineStr">
        <is>
          <t>ÅNGE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35061-2025</t>
        </is>
      </c>
      <c r="B932" s="1" t="n">
        <v>45852</v>
      </c>
      <c r="C932" s="1" t="n">
        <v>45890</v>
      </c>
      <c r="D932" t="inlineStr">
        <is>
          <t>VÄSTERNORRLANDS LÄN</t>
        </is>
      </c>
      <c r="E932" t="inlineStr">
        <is>
          <t>ÅNGE</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28873-2024</t>
        </is>
      </c>
      <c r="B933" s="1" t="n">
        <v>45478.94766203704</v>
      </c>
      <c r="C933" s="1" t="n">
        <v>45890</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27682-2023</t>
        </is>
      </c>
      <c r="B934" s="1" t="n">
        <v>45097.93758101852</v>
      </c>
      <c r="C934" s="1" t="n">
        <v>45890</v>
      </c>
      <c r="D934" t="inlineStr">
        <is>
          <t>VÄSTERNORRLANDS LÄN</t>
        </is>
      </c>
      <c r="E934" t="inlineStr">
        <is>
          <t>ÅNGE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50612-2024</t>
        </is>
      </c>
      <c r="B935" s="1" t="n">
        <v>45601</v>
      </c>
      <c r="C935" s="1" t="n">
        <v>45890</v>
      </c>
      <c r="D935" t="inlineStr">
        <is>
          <t>VÄSTERNORRLANDS LÄN</t>
        </is>
      </c>
      <c r="E935" t="inlineStr">
        <is>
          <t>ÅNGE</t>
        </is>
      </c>
      <c r="G935" t="n">
        <v>1.9</v>
      </c>
      <c r="H935" t="n">
        <v>0</v>
      </c>
      <c r="I935" t="n">
        <v>0</v>
      </c>
      <c r="J935" t="n">
        <v>0</v>
      </c>
      <c r="K935" t="n">
        <v>0</v>
      </c>
      <c r="L935" t="n">
        <v>0</v>
      </c>
      <c r="M935" t="n">
        <v>0</v>
      </c>
      <c r="N935" t="n">
        <v>0</v>
      </c>
      <c r="O935" t="n">
        <v>0</v>
      </c>
      <c r="P935" t="n">
        <v>0</v>
      </c>
      <c r="Q935" t="n">
        <v>0</v>
      </c>
      <c r="R935" s="2" t="inlineStr"/>
    </row>
    <row r="936" ht="15" customHeight="1">
      <c r="A936" t="inlineStr">
        <is>
          <t>A 11764-2024</t>
        </is>
      </c>
      <c r="B936" s="1" t="n">
        <v>45373.94837962963</v>
      </c>
      <c r="C936" s="1" t="n">
        <v>45890</v>
      </c>
      <c r="D936" t="inlineStr">
        <is>
          <t>VÄSTERNORRLANDS LÄN</t>
        </is>
      </c>
      <c r="E936" t="inlineStr">
        <is>
          <t>ÅNGE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26608-2025</t>
        </is>
      </c>
      <c r="B937" s="1" t="n">
        <v>45809.98600694445</v>
      </c>
      <c r="C937" s="1" t="n">
        <v>45890</v>
      </c>
      <c r="D937" t="inlineStr">
        <is>
          <t>VÄSTERNORRLANDS LÄN</t>
        </is>
      </c>
      <c r="E937" t="inlineStr">
        <is>
          <t>ÅNGE</t>
        </is>
      </c>
      <c r="G937" t="n">
        <v>4.5</v>
      </c>
      <c r="H937" t="n">
        <v>0</v>
      </c>
      <c r="I937" t="n">
        <v>0</v>
      </c>
      <c r="J937" t="n">
        <v>0</v>
      </c>
      <c r="K937" t="n">
        <v>0</v>
      </c>
      <c r="L937" t="n">
        <v>0</v>
      </c>
      <c r="M937" t="n">
        <v>0</v>
      </c>
      <c r="N937" t="n">
        <v>0</v>
      </c>
      <c r="O937" t="n">
        <v>0</v>
      </c>
      <c r="P937" t="n">
        <v>0</v>
      </c>
      <c r="Q937" t="n">
        <v>0</v>
      </c>
      <c r="R937" s="2" t="inlineStr"/>
    </row>
    <row r="938" ht="15" customHeight="1">
      <c r="A938" t="inlineStr">
        <is>
          <t>A 25035-2023</t>
        </is>
      </c>
      <c r="B938" s="1" t="n">
        <v>45085</v>
      </c>
      <c r="C938" s="1" t="n">
        <v>45890</v>
      </c>
      <c r="D938" t="inlineStr">
        <is>
          <t>VÄSTERNORRLANDS LÄN</t>
        </is>
      </c>
      <c r="E938" t="inlineStr">
        <is>
          <t>ÅNGE</t>
        </is>
      </c>
      <c r="G938" t="n">
        <v>0.3</v>
      </c>
      <c r="H938" t="n">
        <v>0</v>
      </c>
      <c r="I938" t="n">
        <v>0</v>
      </c>
      <c r="J938" t="n">
        <v>0</v>
      </c>
      <c r="K938" t="n">
        <v>0</v>
      </c>
      <c r="L938" t="n">
        <v>0</v>
      </c>
      <c r="M938" t="n">
        <v>0</v>
      </c>
      <c r="N938" t="n">
        <v>0</v>
      </c>
      <c r="O938" t="n">
        <v>0</v>
      </c>
      <c r="P938" t="n">
        <v>0</v>
      </c>
      <c r="Q938" t="n">
        <v>0</v>
      </c>
      <c r="R938" s="2" t="inlineStr"/>
    </row>
    <row r="939" ht="15" customHeight="1">
      <c r="A939" t="inlineStr">
        <is>
          <t>A 10195-2024</t>
        </is>
      </c>
      <c r="B939" s="1" t="n">
        <v>45364</v>
      </c>
      <c r="C939" s="1" t="n">
        <v>45890</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27023-2025</t>
        </is>
      </c>
      <c r="B940" s="1" t="n">
        <v>45811.57342592593</v>
      </c>
      <c r="C940" s="1" t="n">
        <v>45890</v>
      </c>
      <c r="D940" t="inlineStr">
        <is>
          <t>VÄSTERNORRLANDS LÄN</t>
        </is>
      </c>
      <c r="E940" t="inlineStr">
        <is>
          <t>ÅNGE</t>
        </is>
      </c>
      <c r="G940" t="n">
        <v>0.3</v>
      </c>
      <c r="H940" t="n">
        <v>0</v>
      </c>
      <c r="I940" t="n">
        <v>0</v>
      </c>
      <c r="J940" t="n">
        <v>0</v>
      </c>
      <c r="K940" t="n">
        <v>0</v>
      </c>
      <c r="L940" t="n">
        <v>0</v>
      </c>
      <c r="M940" t="n">
        <v>0</v>
      </c>
      <c r="N940" t="n">
        <v>0</v>
      </c>
      <c r="O940" t="n">
        <v>0</v>
      </c>
      <c r="P940" t="n">
        <v>0</v>
      </c>
      <c r="Q940" t="n">
        <v>0</v>
      </c>
      <c r="R940" s="2" t="inlineStr"/>
    </row>
    <row r="941" ht="15" customHeight="1">
      <c r="A941" t="inlineStr">
        <is>
          <t>A 36790-2023</t>
        </is>
      </c>
      <c r="B941" s="1" t="n">
        <v>45154.36418981481</v>
      </c>
      <c r="C941" s="1" t="n">
        <v>45890</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56699-2023</t>
        </is>
      </c>
      <c r="B942" s="1" t="n">
        <v>45243</v>
      </c>
      <c r="C942" s="1" t="n">
        <v>45890</v>
      </c>
      <c r="D942" t="inlineStr">
        <is>
          <t>VÄSTERNORRLANDS LÄN</t>
        </is>
      </c>
      <c r="E942" t="inlineStr">
        <is>
          <t>ÅNGE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42242-2023</t>
        </is>
      </c>
      <c r="B943" s="1" t="n">
        <v>45180.35025462963</v>
      </c>
      <c r="C943" s="1" t="n">
        <v>45890</v>
      </c>
      <c r="D943" t="inlineStr">
        <is>
          <t>VÄSTERNORRLANDS LÄN</t>
        </is>
      </c>
      <c r="E943" t="inlineStr">
        <is>
          <t>ÅNGE</t>
        </is>
      </c>
      <c r="G943" t="n">
        <v>5.7</v>
      </c>
      <c r="H943" t="n">
        <v>0</v>
      </c>
      <c r="I943" t="n">
        <v>0</v>
      </c>
      <c r="J943" t="n">
        <v>0</v>
      </c>
      <c r="K943" t="n">
        <v>0</v>
      </c>
      <c r="L943" t="n">
        <v>0</v>
      </c>
      <c r="M943" t="n">
        <v>0</v>
      </c>
      <c r="N943" t="n">
        <v>0</v>
      </c>
      <c r="O943" t="n">
        <v>0</v>
      </c>
      <c r="P943" t="n">
        <v>0</v>
      </c>
      <c r="Q943" t="n">
        <v>0</v>
      </c>
      <c r="R943" s="2" t="inlineStr"/>
    </row>
    <row r="944" ht="15" customHeight="1">
      <c r="A944" t="inlineStr">
        <is>
          <t>A 42488-2024</t>
        </is>
      </c>
      <c r="B944" s="1" t="n">
        <v>45565.49420138889</v>
      </c>
      <c r="C944" s="1" t="n">
        <v>45890</v>
      </c>
      <c r="D944" t="inlineStr">
        <is>
          <t>VÄSTERNORRLANDS LÄN</t>
        </is>
      </c>
      <c r="E944" t="inlineStr">
        <is>
          <t>ÅNGE</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42529-2024</t>
        </is>
      </c>
      <c r="B945" s="1" t="n">
        <v>45565.57324074074</v>
      </c>
      <c r="C945" s="1" t="n">
        <v>45890</v>
      </c>
      <c r="D945" t="inlineStr">
        <is>
          <t>VÄSTERNORRLANDS LÄN</t>
        </is>
      </c>
      <c r="E945" t="inlineStr">
        <is>
          <t>ÅNGE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9211-2023</t>
        </is>
      </c>
      <c r="B946" s="1" t="n">
        <v>44980</v>
      </c>
      <c r="C946" s="1" t="n">
        <v>45890</v>
      </c>
      <c r="D946" t="inlineStr">
        <is>
          <t>VÄSTERNORRLANDS LÄN</t>
        </is>
      </c>
      <c r="E946" t="inlineStr">
        <is>
          <t>ÅNGE</t>
        </is>
      </c>
      <c r="G946" t="n">
        <v>2.3</v>
      </c>
      <c r="H946" t="n">
        <v>0</v>
      </c>
      <c r="I946" t="n">
        <v>0</v>
      </c>
      <c r="J946" t="n">
        <v>0</v>
      </c>
      <c r="K946" t="n">
        <v>0</v>
      </c>
      <c r="L946" t="n">
        <v>0</v>
      </c>
      <c r="M946" t="n">
        <v>0</v>
      </c>
      <c r="N946" t="n">
        <v>0</v>
      </c>
      <c r="O946" t="n">
        <v>0</v>
      </c>
      <c r="P946" t="n">
        <v>0</v>
      </c>
      <c r="Q946" t="n">
        <v>0</v>
      </c>
      <c r="R946" s="2" t="inlineStr"/>
    </row>
    <row r="947" ht="15" customHeight="1">
      <c r="A947" t="inlineStr">
        <is>
          <t>A 30751-2024</t>
        </is>
      </c>
      <c r="B947" s="1" t="n">
        <v>45496.69339120371</v>
      </c>
      <c r="C947" s="1" t="n">
        <v>45890</v>
      </c>
      <c r="D947" t="inlineStr">
        <is>
          <t>VÄSTERNORRLANDS LÄN</t>
        </is>
      </c>
      <c r="E947" t="inlineStr">
        <is>
          <t>ÅNGE</t>
        </is>
      </c>
      <c r="G947" t="n">
        <v>0.3</v>
      </c>
      <c r="H947" t="n">
        <v>0</v>
      </c>
      <c r="I947" t="n">
        <v>0</v>
      </c>
      <c r="J947" t="n">
        <v>0</v>
      </c>
      <c r="K947" t="n">
        <v>0</v>
      </c>
      <c r="L947" t="n">
        <v>0</v>
      </c>
      <c r="M947" t="n">
        <v>0</v>
      </c>
      <c r="N947" t="n">
        <v>0</v>
      </c>
      <c r="O947" t="n">
        <v>0</v>
      </c>
      <c r="P947" t="n">
        <v>0</v>
      </c>
      <c r="Q947" t="n">
        <v>0</v>
      </c>
      <c r="R947" s="2" t="inlineStr"/>
    </row>
    <row r="948" ht="15" customHeight="1">
      <c r="A948" t="inlineStr">
        <is>
          <t>A 29193-2024</t>
        </is>
      </c>
      <c r="B948" s="1" t="n">
        <v>45482.56510416666</v>
      </c>
      <c r="C948" s="1" t="n">
        <v>45890</v>
      </c>
      <c r="D948" t="inlineStr">
        <is>
          <t>VÄSTERNORRLANDS LÄN</t>
        </is>
      </c>
      <c r="E948" t="inlineStr">
        <is>
          <t>ÅNGE</t>
        </is>
      </c>
      <c r="G948" t="n">
        <v>5.6</v>
      </c>
      <c r="H948" t="n">
        <v>0</v>
      </c>
      <c r="I948" t="n">
        <v>0</v>
      </c>
      <c r="J948" t="n">
        <v>0</v>
      </c>
      <c r="K948" t="n">
        <v>0</v>
      </c>
      <c r="L948" t="n">
        <v>0</v>
      </c>
      <c r="M948" t="n">
        <v>0</v>
      </c>
      <c r="N948" t="n">
        <v>0</v>
      </c>
      <c r="O948" t="n">
        <v>0</v>
      </c>
      <c r="P948" t="n">
        <v>0</v>
      </c>
      <c r="Q948" t="n">
        <v>0</v>
      </c>
      <c r="R948" s="2" t="inlineStr"/>
    </row>
    <row r="949" ht="15" customHeight="1">
      <c r="A949" t="inlineStr">
        <is>
          <t>A 25973-2022</t>
        </is>
      </c>
      <c r="B949" s="1" t="n">
        <v>44734</v>
      </c>
      <c r="C949" s="1" t="n">
        <v>45890</v>
      </c>
      <c r="D949" t="inlineStr">
        <is>
          <t>VÄSTERNORRLANDS LÄN</t>
        </is>
      </c>
      <c r="E949" t="inlineStr">
        <is>
          <t>ÅNGE</t>
        </is>
      </c>
      <c r="G949" t="n">
        <v>4.1</v>
      </c>
      <c r="H949" t="n">
        <v>0</v>
      </c>
      <c r="I949" t="n">
        <v>0</v>
      </c>
      <c r="J949" t="n">
        <v>0</v>
      </c>
      <c r="K949" t="n">
        <v>0</v>
      </c>
      <c r="L949" t="n">
        <v>0</v>
      </c>
      <c r="M949" t="n">
        <v>0</v>
      </c>
      <c r="N949" t="n">
        <v>0</v>
      </c>
      <c r="O949" t="n">
        <v>0</v>
      </c>
      <c r="P949" t="n">
        <v>0</v>
      </c>
      <c r="Q949" t="n">
        <v>0</v>
      </c>
      <c r="R949" s="2" t="inlineStr"/>
    </row>
    <row r="950" ht="15" customHeight="1">
      <c r="A950" t="inlineStr">
        <is>
          <t>A 55324-2023</t>
        </is>
      </c>
      <c r="B950" s="1" t="n">
        <v>45237.9734837963</v>
      </c>
      <c r="C950" s="1" t="n">
        <v>45890</v>
      </c>
      <c r="D950" t="inlineStr">
        <is>
          <t>VÄSTERNORRLANDS LÄN</t>
        </is>
      </c>
      <c r="E950" t="inlineStr">
        <is>
          <t>ÅNGE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27164-2025</t>
        </is>
      </c>
      <c r="B951" s="1" t="n">
        <v>45812.34430555555</v>
      </c>
      <c r="C951" s="1" t="n">
        <v>45890</v>
      </c>
      <c r="D951" t="inlineStr">
        <is>
          <t>VÄSTERNORRLANDS LÄN</t>
        </is>
      </c>
      <c r="E951" t="inlineStr">
        <is>
          <t>ÅNGE</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27606-2025</t>
        </is>
      </c>
      <c r="B952" s="1" t="n">
        <v>45813.53200231482</v>
      </c>
      <c r="C952" s="1" t="n">
        <v>45890</v>
      </c>
      <c r="D952" t="inlineStr">
        <is>
          <t>VÄSTERNORRLANDS LÄN</t>
        </is>
      </c>
      <c r="E952" t="inlineStr">
        <is>
          <t>ÅNGE</t>
        </is>
      </c>
      <c r="F952" t="inlineStr">
        <is>
          <t>SCA</t>
        </is>
      </c>
      <c r="G952" t="n">
        <v>6.3</v>
      </c>
      <c r="H952" t="n">
        <v>0</v>
      </c>
      <c r="I952" t="n">
        <v>0</v>
      </c>
      <c r="J952" t="n">
        <v>0</v>
      </c>
      <c r="K952" t="n">
        <v>0</v>
      </c>
      <c r="L952" t="n">
        <v>0</v>
      </c>
      <c r="M952" t="n">
        <v>0</v>
      </c>
      <c r="N952" t="n">
        <v>0</v>
      </c>
      <c r="O952" t="n">
        <v>0</v>
      </c>
      <c r="P952" t="n">
        <v>0</v>
      </c>
      <c r="Q952" t="n">
        <v>0</v>
      </c>
      <c r="R952" s="2" t="inlineStr"/>
    </row>
    <row r="953" ht="15" customHeight="1">
      <c r="A953" t="inlineStr">
        <is>
          <t>A 35432-2025</t>
        </is>
      </c>
      <c r="B953" s="1" t="n">
        <v>45855.44831018519</v>
      </c>
      <c r="C953" s="1" t="n">
        <v>45890</v>
      </c>
      <c r="D953" t="inlineStr">
        <is>
          <t>VÄSTERNORRLANDS LÄN</t>
        </is>
      </c>
      <c r="E953" t="inlineStr">
        <is>
          <t>ÅNGE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3023-2023</t>
        </is>
      </c>
      <c r="B954" s="1" t="n">
        <v>44945</v>
      </c>
      <c r="C954" s="1" t="n">
        <v>45890</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3025-2023</t>
        </is>
      </c>
      <c r="B955" s="1" t="n">
        <v>44945</v>
      </c>
      <c r="C955" s="1" t="n">
        <v>45890</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33750-2024</t>
        </is>
      </c>
      <c r="B956" s="1" t="n">
        <v>45520.56475694444</v>
      </c>
      <c r="C956" s="1" t="n">
        <v>45890</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56232-2024</t>
        </is>
      </c>
      <c r="B957" s="1" t="n">
        <v>45624</v>
      </c>
      <c r="C957" s="1" t="n">
        <v>45890</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58445-2022</t>
        </is>
      </c>
      <c r="B958" s="1" t="n">
        <v>44901.95453703704</v>
      </c>
      <c r="C958" s="1" t="n">
        <v>45890</v>
      </c>
      <c r="D958" t="inlineStr">
        <is>
          <t>VÄSTERNORRLANDS LÄN</t>
        </is>
      </c>
      <c r="E958" t="inlineStr">
        <is>
          <t>ÅNGE</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16853-2023</t>
        </is>
      </c>
      <c r="B959" s="1" t="n">
        <v>45033</v>
      </c>
      <c r="C959" s="1" t="n">
        <v>45890</v>
      </c>
      <c r="D959" t="inlineStr">
        <is>
          <t>VÄSTERNORRLANDS LÄN</t>
        </is>
      </c>
      <c r="E959" t="inlineStr">
        <is>
          <t>ÅNGE</t>
        </is>
      </c>
      <c r="G959" t="n">
        <v>0.7</v>
      </c>
      <c r="H959" t="n">
        <v>0</v>
      </c>
      <c r="I959" t="n">
        <v>0</v>
      </c>
      <c r="J959" t="n">
        <v>0</v>
      </c>
      <c r="K959" t="n">
        <v>0</v>
      </c>
      <c r="L959" t="n">
        <v>0</v>
      </c>
      <c r="M959" t="n">
        <v>0</v>
      </c>
      <c r="N959" t="n">
        <v>0</v>
      </c>
      <c r="O959" t="n">
        <v>0</v>
      </c>
      <c r="P959" t="n">
        <v>0</v>
      </c>
      <c r="Q959" t="n">
        <v>0</v>
      </c>
      <c r="R959" s="2" t="inlineStr"/>
    </row>
    <row r="960" ht="15" customHeight="1">
      <c r="A960" t="inlineStr">
        <is>
          <t>A 27639-2025</t>
        </is>
      </c>
      <c r="B960" s="1" t="n">
        <v>45813</v>
      </c>
      <c r="C960" s="1" t="n">
        <v>45890</v>
      </c>
      <c r="D960" t="inlineStr">
        <is>
          <t>VÄSTERNORRLANDS LÄN</t>
        </is>
      </c>
      <c r="E960" t="inlineStr">
        <is>
          <t>ÅNGE</t>
        </is>
      </c>
      <c r="G960" t="n">
        <v>22.9</v>
      </c>
      <c r="H960" t="n">
        <v>0</v>
      </c>
      <c r="I960" t="n">
        <v>0</v>
      </c>
      <c r="J960" t="n">
        <v>0</v>
      </c>
      <c r="K960" t="n">
        <v>0</v>
      </c>
      <c r="L960" t="n">
        <v>0</v>
      </c>
      <c r="M960" t="n">
        <v>0</v>
      </c>
      <c r="N960" t="n">
        <v>0</v>
      </c>
      <c r="O960" t="n">
        <v>0</v>
      </c>
      <c r="P960" t="n">
        <v>0</v>
      </c>
      <c r="Q960" t="n">
        <v>0</v>
      </c>
      <c r="R960" s="2" t="inlineStr"/>
    </row>
    <row r="961" ht="15" customHeight="1">
      <c r="A961" t="inlineStr">
        <is>
          <t>A 27572-2025</t>
        </is>
      </c>
      <c r="B961" s="1" t="n">
        <v>45813.49049768518</v>
      </c>
      <c r="C961" s="1" t="n">
        <v>45890</v>
      </c>
      <c r="D961" t="inlineStr">
        <is>
          <t>VÄSTERNORRLANDS LÄN</t>
        </is>
      </c>
      <c r="E961" t="inlineStr">
        <is>
          <t>ÅNGE</t>
        </is>
      </c>
      <c r="F961" t="inlineStr">
        <is>
          <t>SCA</t>
        </is>
      </c>
      <c r="G961" t="n">
        <v>14.3</v>
      </c>
      <c r="H961" t="n">
        <v>0</v>
      </c>
      <c r="I961" t="n">
        <v>0</v>
      </c>
      <c r="J961" t="n">
        <v>0</v>
      </c>
      <c r="K961" t="n">
        <v>0</v>
      </c>
      <c r="L961" t="n">
        <v>0</v>
      </c>
      <c r="M961" t="n">
        <v>0</v>
      </c>
      <c r="N961" t="n">
        <v>0</v>
      </c>
      <c r="O961" t="n">
        <v>0</v>
      </c>
      <c r="P961" t="n">
        <v>0</v>
      </c>
      <c r="Q961" t="n">
        <v>0</v>
      </c>
      <c r="R961" s="2" t="inlineStr"/>
    </row>
    <row r="962" ht="15" customHeight="1">
      <c r="A962" t="inlineStr">
        <is>
          <t>A 27165-2025</t>
        </is>
      </c>
      <c r="B962" s="1" t="n">
        <v>45812.34440972222</v>
      </c>
      <c r="C962" s="1" t="n">
        <v>45890</v>
      </c>
      <c r="D962" t="inlineStr">
        <is>
          <t>VÄSTERNORRLANDS LÄN</t>
        </is>
      </c>
      <c r="E962" t="inlineStr">
        <is>
          <t>ÅNGE</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7528-2023</t>
        </is>
      </c>
      <c r="B963" s="1" t="n">
        <v>44971.97662037037</v>
      </c>
      <c r="C963" s="1" t="n">
        <v>45890</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53988-2024</t>
        </is>
      </c>
      <c r="B964" s="1" t="n">
        <v>45616.34408564815</v>
      </c>
      <c r="C964" s="1" t="n">
        <v>45890</v>
      </c>
      <c r="D964" t="inlineStr">
        <is>
          <t>VÄSTERNORRLANDS LÄN</t>
        </is>
      </c>
      <c r="E964" t="inlineStr">
        <is>
          <t>ÅNGE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54002-2024</t>
        </is>
      </c>
      <c r="B965" s="1" t="n">
        <v>45616.36491898148</v>
      </c>
      <c r="C965" s="1" t="n">
        <v>45890</v>
      </c>
      <c r="D965" t="inlineStr">
        <is>
          <t>VÄSTERNORRLANDS LÄN</t>
        </is>
      </c>
      <c r="E965" t="inlineStr">
        <is>
          <t>ÅNGE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54059-2024</t>
        </is>
      </c>
      <c r="B966" s="1" t="n">
        <v>45616.46943287037</v>
      </c>
      <c r="C966" s="1" t="n">
        <v>45890</v>
      </c>
      <c r="D966" t="inlineStr">
        <is>
          <t>VÄSTERNORRLANDS LÄN</t>
        </is>
      </c>
      <c r="E966" t="inlineStr">
        <is>
          <t>ÅNGE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27545-2025</t>
        </is>
      </c>
      <c r="B967" s="1" t="n">
        <v>45813.46942129629</v>
      </c>
      <c r="C967" s="1" t="n">
        <v>45890</v>
      </c>
      <c r="D967" t="inlineStr">
        <is>
          <t>VÄSTERNORRLANDS LÄN</t>
        </is>
      </c>
      <c r="E967" t="inlineStr">
        <is>
          <t>ÅNGE</t>
        </is>
      </c>
      <c r="F967" t="inlineStr">
        <is>
          <t>SCA</t>
        </is>
      </c>
      <c r="G967" t="n">
        <v>14.3</v>
      </c>
      <c r="H967" t="n">
        <v>0</v>
      </c>
      <c r="I967" t="n">
        <v>0</v>
      </c>
      <c r="J967" t="n">
        <v>0</v>
      </c>
      <c r="K967" t="n">
        <v>0</v>
      </c>
      <c r="L967" t="n">
        <v>0</v>
      </c>
      <c r="M967" t="n">
        <v>0</v>
      </c>
      <c r="N967" t="n">
        <v>0</v>
      </c>
      <c r="O967" t="n">
        <v>0</v>
      </c>
      <c r="P967" t="n">
        <v>0</v>
      </c>
      <c r="Q967" t="n">
        <v>0</v>
      </c>
      <c r="R967" s="2" t="inlineStr"/>
    </row>
    <row r="968" ht="15" customHeight="1">
      <c r="A968" t="inlineStr">
        <is>
          <t>A 25680-2023</t>
        </is>
      </c>
      <c r="B968" s="1" t="n">
        <v>45089</v>
      </c>
      <c r="C968" s="1" t="n">
        <v>45890</v>
      </c>
      <c r="D968" t="inlineStr">
        <is>
          <t>VÄSTERNORRLANDS LÄN</t>
        </is>
      </c>
      <c r="E968" t="inlineStr">
        <is>
          <t>ÅNGE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50235-2021</t>
        </is>
      </c>
      <c r="B969" s="1" t="n">
        <v>44457</v>
      </c>
      <c r="C969" s="1" t="n">
        <v>45890</v>
      </c>
      <c r="D969" t="inlineStr">
        <is>
          <t>VÄSTERNORRLANDS LÄN</t>
        </is>
      </c>
      <c r="E969" t="inlineStr">
        <is>
          <t>ÅNGE</t>
        </is>
      </c>
      <c r="G969" t="n">
        <v>3.8</v>
      </c>
      <c r="H969" t="n">
        <v>0</v>
      </c>
      <c r="I969" t="n">
        <v>0</v>
      </c>
      <c r="J969" t="n">
        <v>0</v>
      </c>
      <c r="K969" t="n">
        <v>0</v>
      </c>
      <c r="L969" t="n">
        <v>0</v>
      </c>
      <c r="M969" t="n">
        <v>0</v>
      </c>
      <c r="N969" t="n">
        <v>0</v>
      </c>
      <c r="O969" t="n">
        <v>0</v>
      </c>
      <c r="P969" t="n">
        <v>0</v>
      </c>
      <c r="Q969" t="n">
        <v>0</v>
      </c>
      <c r="R969" s="2" t="inlineStr"/>
    </row>
    <row r="970" ht="15" customHeight="1">
      <c r="A970" t="inlineStr">
        <is>
          <t>A 44600-2024</t>
        </is>
      </c>
      <c r="B970" s="1" t="n">
        <v>45574.51113425926</v>
      </c>
      <c r="C970" s="1" t="n">
        <v>45890</v>
      </c>
      <c r="D970" t="inlineStr">
        <is>
          <t>VÄSTERNORRLANDS LÄN</t>
        </is>
      </c>
      <c r="E970" t="inlineStr">
        <is>
          <t>ÅNGE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18542-2022</t>
        </is>
      </c>
      <c r="B971" s="1" t="n">
        <v>44686</v>
      </c>
      <c r="C971" s="1" t="n">
        <v>45890</v>
      </c>
      <c r="D971" t="inlineStr">
        <is>
          <t>VÄSTERNORRLANDS LÄN</t>
        </is>
      </c>
      <c r="E971" t="inlineStr">
        <is>
          <t>ÅNGE</t>
        </is>
      </c>
      <c r="G971" t="n">
        <v>0.2</v>
      </c>
      <c r="H971" t="n">
        <v>0</v>
      </c>
      <c r="I971" t="n">
        <v>0</v>
      </c>
      <c r="J971" t="n">
        <v>0</v>
      </c>
      <c r="K971" t="n">
        <v>0</v>
      </c>
      <c r="L971" t="n">
        <v>0</v>
      </c>
      <c r="M971" t="n">
        <v>0</v>
      </c>
      <c r="N971" t="n">
        <v>0</v>
      </c>
      <c r="O971" t="n">
        <v>0</v>
      </c>
      <c r="P971" t="n">
        <v>0</v>
      </c>
      <c r="Q971" t="n">
        <v>0</v>
      </c>
      <c r="R971" s="2" t="inlineStr"/>
    </row>
    <row r="972" ht="15" customHeight="1">
      <c r="A972" t="inlineStr">
        <is>
          <t>A 55007-2022</t>
        </is>
      </c>
      <c r="B972" s="1" t="n">
        <v>44881</v>
      </c>
      <c r="C972" s="1" t="n">
        <v>45890</v>
      </c>
      <c r="D972" t="inlineStr">
        <is>
          <t>VÄSTERNORRLANDS LÄN</t>
        </is>
      </c>
      <c r="E972" t="inlineStr">
        <is>
          <t>ÅNGE</t>
        </is>
      </c>
      <c r="G972" t="n">
        <v>2</v>
      </c>
      <c r="H972" t="n">
        <v>0</v>
      </c>
      <c r="I972" t="n">
        <v>0</v>
      </c>
      <c r="J972" t="n">
        <v>0</v>
      </c>
      <c r="K972" t="n">
        <v>0</v>
      </c>
      <c r="L972" t="n">
        <v>0</v>
      </c>
      <c r="M972" t="n">
        <v>0</v>
      </c>
      <c r="N972" t="n">
        <v>0</v>
      </c>
      <c r="O972" t="n">
        <v>0</v>
      </c>
      <c r="P972" t="n">
        <v>0</v>
      </c>
      <c r="Q972" t="n">
        <v>0</v>
      </c>
      <c r="R972" s="2" t="inlineStr"/>
    </row>
    <row r="973" ht="15" customHeight="1">
      <c r="A973" t="inlineStr">
        <is>
          <t>A 63607-2021</t>
        </is>
      </c>
      <c r="B973" s="1" t="n">
        <v>44508.94650462963</v>
      </c>
      <c r="C973" s="1" t="n">
        <v>45890</v>
      </c>
      <c r="D973" t="inlineStr">
        <is>
          <t>VÄSTERNORRLANDS LÄN</t>
        </is>
      </c>
      <c r="E973" t="inlineStr">
        <is>
          <t>ÅNGE</t>
        </is>
      </c>
      <c r="F973" t="inlineStr">
        <is>
          <t>SCA</t>
        </is>
      </c>
      <c r="G973" t="n">
        <v>6.7</v>
      </c>
      <c r="H973" t="n">
        <v>0</v>
      </c>
      <c r="I973" t="n">
        <v>0</v>
      </c>
      <c r="J973" t="n">
        <v>0</v>
      </c>
      <c r="K973" t="n">
        <v>0</v>
      </c>
      <c r="L973" t="n">
        <v>0</v>
      </c>
      <c r="M973" t="n">
        <v>0</v>
      </c>
      <c r="N973" t="n">
        <v>0</v>
      </c>
      <c r="O973" t="n">
        <v>0</v>
      </c>
      <c r="P973" t="n">
        <v>0</v>
      </c>
      <c r="Q973" t="n">
        <v>0</v>
      </c>
      <c r="R973" s="2" t="inlineStr"/>
    </row>
    <row r="974" ht="15" customHeight="1">
      <c r="A974" t="inlineStr">
        <is>
          <t>A 34629-2025</t>
        </is>
      </c>
      <c r="B974" s="1" t="n">
        <v>45847.93006944445</v>
      </c>
      <c r="C974" s="1" t="n">
        <v>45890</v>
      </c>
      <c r="D974" t="inlineStr">
        <is>
          <t>VÄSTERNORRLANDS LÄN</t>
        </is>
      </c>
      <c r="E974" t="inlineStr">
        <is>
          <t>ÅNGE</t>
        </is>
      </c>
      <c r="G974" t="n">
        <v>0.2</v>
      </c>
      <c r="H974" t="n">
        <v>0</v>
      </c>
      <c r="I974" t="n">
        <v>0</v>
      </c>
      <c r="J974" t="n">
        <v>0</v>
      </c>
      <c r="K974" t="n">
        <v>0</v>
      </c>
      <c r="L974" t="n">
        <v>0</v>
      </c>
      <c r="M974" t="n">
        <v>0</v>
      </c>
      <c r="N974" t="n">
        <v>0</v>
      </c>
      <c r="O974" t="n">
        <v>0</v>
      </c>
      <c r="P974" t="n">
        <v>0</v>
      </c>
      <c r="Q974" t="n">
        <v>0</v>
      </c>
      <c r="R974" s="2" t="inlineStr"/>
    </row>
    <row r="975" ht="15" customHeight="1">
      <c r="A975" t="inlineStr">
        <is>
          <t>A 41222-2024</t>
        </is>
      </c>
      <c r="B975" s="1" t="n">
        <v>45559.55306712963</v>
      </c>
      <c r="C975" s="1" t="n">
        <v>45890</v>
      </c>
      <c r="D975" t="inlineStr">
        <is>
          <t>VÄSTERNORRLANDS LÄN</t>
        </is>
      </c>
      <c r="E975" t="inlineStr">
        <is>
          <t>ÅNGE</t>
        </is>
      </c>
      <c r="G975" t="n">
        <v>0.4</v>
      </c>
      <c r="H975" t="n">
        <v>0</v>
      </c>
      <c r="I975" t="n">
        <v>0</v>
      </c>
      <c r="J975" t="n">
        <v>0</v>
      </c>
      <c r="K975" t="n">
        <v>0</v>
      </c>
      <c r="L975" t="n">
        <v>0</v>
      </c>
      <c r="M975" t="n">
        <v>0</v>
      </c>
      <c r="N975" t="n">
        <v>0</v>
      </c>
      <c r="O975" t="n">
        <v>0</v>
      </c>
      <c r="P975" t="n">
        <v>0</v>
      </c>
      <c r="Q975" t="n">
        <v>0</v>
      </c>
      <c r="R975" s="2" t="inlineStr"/>
    </row>
    <row r="976" ht="15" customHeight="1">
      <c r="A976" t="inlineStr">
        <is>
          <t>A 13706-2023</t>
        </is>
      </c>
      <c r="B976" s="1" t="n">
        <v>45006</v>
      </c>
      <c r="C976" s="1" t="n">
        <v>45890</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12806-2025</t>
        </is>
      </c>
      <c r="B977" s="1" t="n">
        <v>45733.61518518518</v>
      </c>
      <c r="C977" s="1" t="n">
        <v>45890</v>
      </c>
      <c r="D977" t="inlineStr">
        <is>
          <t>VÄSTERNORRLANDS LÄN</t>
        </is>
      </c>
      <c r="E977" t="inlineStr">
        <is>
          <t>ÅNGE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36342-2024</t>
        </is>
      </c>
      <c r="B978" s="1" t="n">
        <v>45534.64315972223</v>
      </c>
      <c r="C978" s="1" t="n">
        <v>45890</v>
      </c>
      <c r="D978" t="inlineStr">
        <is>
          <t>VÄSTERNORRLANDS LÄN</t>
        </is>
      </c>
      <c r="E978" t="inlineStr">
        <is>
          <t>ÅNGE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45890-2021</t>
        </is>
      </c>
      <c r="B979" s="1" t="n">
        <v>44441</v>
      </c>
      <c r="C979" s="1" t="n">
        <v>45890</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1869-2022</t>
        </is>
      </c>
      <c r="B980" s="1" t="n">
        <v>44574</v>
      </c>
      <c r="C980" s="1" t="n">
        <v>45890</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35497-2025</t>
        </is>
      </c>
      <c r="B981" s="1" t="n">
        <v>45856.29752314815</v>
      </c>
      <c r="C981" s="1" t="n">
        <v>45890</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35577-2025</t>
        </is>
      </c>
      <c r="B982" s="1" t="n">
        <v>45856.67762731481</v>
      </c>
      <c r="C982" s="1" t="n">
        <v>45890</v>
      </c>
      <c r="D982" t="inlineStr">
        <is>
          <t>VÄSTERNORRLANDS LÄN</t>
        </is>
      </c>
      <c r="E982" t="inlineStr">
        <is>
          <t>ÅNGE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35578-2025</t>
        </is>
      </c>
      <c r="B983" s="1" t="n">
        <v>45856.67797453704</v>
      </c>
      <c r="C983" s="1" t="n">
        <v>45890</v>
      </c>
      <c r="D983" t="inlineStr">
        <is>
          <t>VÄSTERNORRLANDS LÄN</t>
        </is>
      </c>
      <c r="E983" t="inlineStr">
        <is>
          <t>ÅNGE</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28085-2025</t>
        </is>
      </c>
      <c r="B984" s="1" t="n">
        <v>45817.71924768519</v>
      </c>
      <c r="C984" s="1" t="n">
        <v>45890</v>
      </c>
      <c r="D984" t="inlineStr">
        <is>
          <t>VÄSTERNORRLANDS LÄN</t>
        </is>
      </c>
      <c r="E984" t="inlineStr">
        <is>
          <t>ÅNGE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48988-2021</t>
        </is>
      </c>
      <c r="B985" s="1" t="n">
        <v>44453.43</v>
      </c>
      <c r="C985" s="1" t="n">
        <v>45890</v>
      </c>
      <c r="D985" t="inlineStr">
        <is>
          <t>VÄSTERNORRLANDS LÄN</t>
        </is>
      </c>
      <c r="E985" t="inlineStr">
        <is>
          <t>ÅNGE</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35540-2025</t>
        </is>
      </c>
      <c r="B986" s="1" t="n">
        <v>45856.46912037037</v>
      </c>
      <c r="C986" s="1" t="n">
        <v>45890</v>
      </c>
      <c r="D986" t="inlineStr">
        <is>
          <t>VÄSTERNORRLANDS LÄN</t>
        </is>
      </c>
      <c r="E986" t="inlineStr">
        <is>
          <t>ÅNGE</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28070-2025</t>
        </is>
      </c>
      <c r="B987" s="1" t="n">
        <v>45817.67739583334</v>
      </c>
      <c r="C987" s="1" t="n">
        <v>45890</v>
      </c>
      <c r="D987" t="inlineStr">
        <is>
          <t>VÄSTERNORRLANDS LÄN</t>
        </is>
      </c>
      <c r="E987" t="inlineStr">
        <is>
          <t>ÅNGE</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60812-2024</t>
        </is>
      </c>
      <c r="B988" s="1" t="n">
        <v>45644</v>
      </c>
      <c r="C988" s="1" t="n">
        <v>45890</v>
      </c>
      <c r="D988" t="inlineStr">
        <is>
          <t>VÄSTERNORRLANDS LÄN</t>
        </is>
      </c>
      <c r="E988" t="inlineStr">
        <is>
          <t>ÅNGE</t>
        </is>
      </c>
      <c r="G988" t="n">
        <v>3.6</v>
      </c>
      <c r="H988" t="n">
        <v>0</v>
      </c>
      <c r="I988" t="n">
        <v>0</v>
      </c>
      <c r="J988" t="n">
        <v>0</v>
      </c>
      <c r="K988" t="n">
        <v>0</v>
      </c>
      <c r="L988" t="n">
        <v>0</v>
      </c>
      <c r="M988" t="n">
        <v>0</v>
      </c>
      <c r="N988" t="n">
        <v>0</v>
      </c>
      <c r="O988" t="n">
        <v>0</v>
      </c>
      <c r="P988" t="n">
        <v>0</v>
      </c>
      <c r="Q988" t="n">
        <v>0</v>
      </c>
      <c r="R988" s="2" t="inlineStr"/>
    </row>
    <row r="989" ht="15" customHeight="1">
      <c r="A989" t="inlineStr">
        <is>
          <t>A 54611-2023</t>
        </is>
      </c>
      <c r="B989" s="1" t="n">
        <v>45233</v>
      </c>
      <c r="C989" s="1" t="n">
        <v>45890</v>
      </c>
      <c r="D989" t="inlineStr">
        <is>
          <t>VÄSTERNORRLANDS LÄN</t>
        </is>
      </c>
      <c r="E989" t="inlineStr">
        <is>
          <t>ÅNGE</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17749-2025</t>
        </is>
      </c>
      <c r="B990" s="1" t="n">
        <v>45758.48380787037</v>
      </c>
      <c r="C990" s="1" t="n">
        <v>45890</v>
      </c>
      <c r="D990" t="inlineStr">
        <is>
          <t>VÄSTERNORRLANDS LÄN</t>
        </is>
      </c>
      <c r="E990" t="inlineStr">
        <is>
          <t>ÅNGE</t>
        </is>
      </c>
      <c r="G990" t="n">
        <v>7.3</v>
      </c>
      <c r="H990" t="n">
        <v>0</v>
      </c>
      <c r="I990" t="n">
        <v>0</v>
      </c>
      <c r="J990" t="n">
        <v>0</v>
      </c>
      <c r="K990" t="n">
        <v>0</v>
      </c>
      <c r="L990" t="n">
        <v>0</v>
      </c>
      <c r="M990" t="n">
        <v>0</v>
      </c>
      <c r="N990" t="n">
        <v>0</v>
      </c>
      <c r="O990" t="n">
        <v>0</v>
      </c>
      <c r="P990" t="n">
        <v>0</v>
      </c>
      <c r="Q990" t="n">
        <v>0</v>
      </c>
      <c r="R990" s="2" t="inlineStr"/>
    </row>
    <row r="991" ht="15" customHeight="1">
      <c r="A991" t="inlineStr">
        <is>
          <t>A 49187-2024</t>
        </is>
      </c>
      <c r="B991" s="1" t="n">
        <v>45595.34490740741</v>
      </c>
      <c r="C991" s="1" t="n">
        <v>45890</v>
      </c>
      <c r="D991" t="inlineStr">
        <is>
          <t>VÄSTERNORRLANDS LÄN</t>
        </is>
      </c>
      <c r="E991" t="inlineStr">
        <is>
          <t>ÅNGE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35575-2025</t>
        </is>
      </c>
      <c r="B992" s="1" t="n">
        <v>45856.63591435185</v>
      </c>
      <c r="C992" s="1" t="n">
        <v>45890</v>
      </c>
      <c r="D992" t="inlineStr">
        <is>
          <t>VÄSTERNORRLANDS LÄN</t>
        </is>
      </c>
      <c r="E992" t="inlineStr">
        <is>
          <t>ÅNGE</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51810-2023</t>
        </is>
      </c>
      <c r="B993" s="1" t="n">
        <v>45222.96583333334</v>
      </c>
      <c r="C993" s="1" t="n">
        <v>45890</v>
      </c>
      <c r="D993" t="inlineStr">
        <is>
          <t>VÄSTERNORRLANDS LÄN</t>
        </is>
      </c>
      <c r="E993" t="inlineStr">
        <is>
          <t>ÅNGE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5520-2022</t>
        </is>
      </c>
      <c r="B994" s="1" t="n">
        <v>44595</v>
      </c>
      <c r="C994" s="1" t="n">
        <v>45890</v>
      </c>
      <c r="D994" t="inlineStr">
        <is>
          <t>VÄSTERNORRLANDS LÄN</t>
        </is>
      </c>
      <c r="E994" t="inlineStr">
        <is>
          <t>ÅNGE</t>
        </is>
      </c>
      <c r="G994" t="n">
        <v>4.9</v>
      </c>
      <c r="H994" t="n">
        <v>0</v>
      </c>
      <c r="I994" t="n">
        <v>0</v>
      </c>
      <c r="J994" t="n">
        <v>0</v>
      </c>
      <c r="K994" t="n">
        <v>0</v>
      </c>
      <c r="L994" t="n">
        <v>0</v>
      </c>
      <c r="M994" t="n">
        <v>0</v>
      </c>
      <c r="N994" t="n">
        <v>0</v>
      </c>
      <c r="O994" t="n">
        <v>0</v>
      </c>
      <c r="P994" t="n">
        <v>0</v>
      </c>
      <c r="Q994" t="n">
        <v>0</v>
      </c>
      <c r="R994" s="2" t="inlineStr"/>
    </row>
    <row r="995" ht="15" customHeight="1">
      <c r="A995" t="inlineStr">
        <is>
          <t>A 35548-2025</t>
        </is>
      </c>
      <c r="B995" s="1" t="n">
        <v>45856.48995370371</v>
      </c>
      <c r="C995" s="1" t="n">
        <v>45890</v>
      </c>
      <c r="D995" t="inlineStr">
        <is>
          <t>VÄSTERNORRLANDS LÄN</t>
        </is>
      </c>
      <c r="E995" t="inlineStr">
        <is>
          <t>ÅNGE</t>
        </is>
      </c>
      <c r="F995" t="inlineStr">
        <is>
          <t>SCA</t>
        </is>
      </c>
      <c r="G995" t="n">
        <v>14.6</v>
      </c>
      <c r="H995" t="n">
        <v>0</v>
      </c>
      <c r="I995" t="n">
        <v>0</v>
      </c>
      <c r="J995" t="n">
        <v>0</v>
      </c>
      <c r="K995" t="n">
        <v>0</v>
      </c>
      <c r="L995" t="n">
        <v>0</v>
      </c>
      <c r="M995" t="n">
        <v>0</v>
      </c>
      <c r="N995" t="n">
        <v>0</v>
      </c>
      <c r="O995" t="n">
        <v>0</v>
      </c>
      <c r="P995" t="n">
        <v>0</v>
      </c>
      <c r="Q995" t="n">
        <v>0</v>
      </c>
      <c r="R995" s="2" t="inlineStr"/>
    </row>
    <row r="996" ht="15" customHeight="1">
      <c r="A996" t="inlineStr">
        <is>
          <t>A 58469-2023</t>
        </is>
      </c>
      <c r="B996" s="1" t="n">
        <v>45250</v>
      </c>
      <c r="C996" s="1" t="n">
        <v>45890</v>
      </c>
      <c r="D996" t="inlineStr">
        <is>
          <t>VÄSTERNORRLANDS LÄN</t>
        </is>
      </c>
      <c r="E996" t="inlineStr">
        <is>
          <t>ÅNGE</t>
        </is>
      </c>
      <c r="F996" t="inlineStr">
        <is>
          <t>SCA</t>
        </is>
      </c>
      <c r="G996" t="n">
        <v>4.3</v>
      </c>
      <c r="H996" t="n">
        <v>0</v>
      </c>
      <c r="I996" t="n">
        <v>0</v>
      </c>
      <c r="J996" t="n">
        <v>0</v>
      </c>
      <c r="K996" t="n">
        <v>0</v>
      </c>
      <c r="L996" t="n">
        <v>0</v>
      </c>
      <c r="M996" t="n">
        <v>0</v>
      </c>
      <c r="N996" t="n">
        <v>0</v>
      </c>
      <c r="O996" t="n">
        <v>0</v>
      </c>
      <c r="P996" t="n">
        <v>0</v>
      </c>
      <c r="Q996" t="n">
        <v>0</v>
      </c>
      <c r="R996" s="2" t="inlineStr"/>
    </row>
    <row r="997" ht="15" customHeight="1">
      <c r="A997" t="inlineStr">
        <is>
          <t>A 35690-2025</t>
        </is>
      </c>
      <c r="B997" s="1" t="n">
        <v>45860.34421296296</v>
      </c>
      <c r="C997" s="1" t="n">
        <v>45890</v>
      </c>
      <c r="D997" t="inlineStr">
        <is>
          <t>VÄSTERNORRLANDS LÄN</t>
        </is>
      </c>
      <c r="E997" t="inlineStr">
        <is>
          <t>ÅNGE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35781-2025</t>
        </is>
      </c>
      <c r="B998" s="1" t="n">
        <v>45860.70613425926</v>
      </c>
      <c r="C998" s="1" t="n">
        <v>45890</v>
      </c>
      <c r="D998" t="inlineStr">
        <is>
          <t>VÄSTERNORRLANDS LÄN</t>
        </is>
      </c>
      <c r="E998" t="inlineStr">
        <is>
          <t>ÅNGE</t>
        </is>
      </c>
      <c r="G998" t="n">
        <v>2.2</v>
      </c>
      <c r="H998" t="n">
        <v>0</v>
      </c>
      <c r="I998" t="n">
        <v>0</v>
      </c>
      <c r="J998" t="n">
        <v>0</v>
      </c>
      <c r="K998" t="n">
        <v>0</v>
      </c>
      <c r="L998" t="n">
        <v>0</v>
      </c>
      <c r="M998" t="n">
        <v>0</v>
      </c>
      <c r="N998" t="n">
        <v>0</v>
      </c>
      <c r="O998" t="n">
        <v>0</v>
      </c>
      <c r="P998" t="n">
        <v>0</v>
      </c>
      <c r="Q998" t="n">
        <v>0</v>
      </c>
      <c r="R998" s="2" t="inlineStr"/>
    </row>
    <row r="999" ht="15" customHeight="1">
      <c r="A999" t="inlineStr">
        <is>
          <t>A 41781-2024</t>
        </is>
      </c>
      <c r="B999" s="1" t="n">
        <v>45561.34938657407</v>
      </c>
      <c r="C999" s="1" t="n">
        <v>45890</v>
      </c>
      <c r="D999" t="inlineStr">
        <is>
          <t>VÄSTERNORRLANDS LÄN</t>
        </is>
      </c>
      <c r="E999" t="inlineStr">
        <is>
          <t>ÅNGE</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31177-2024</t>
        </is>
      </c>
      <c r="B1000" s="1" t="n">
        <v>45503</v>
      </c>
      <c r="C1000" s="1" t="n">
        <v>45890</v>
      </c>
      <c r="D1000" t="inlineStr">
        <is>
          <t>VÄSTERNORRLANDS LÄN</t>
        </is>
      </c>
      <c r="E1000" t="inlineStr">
        <is>
          <t>ÅNGE</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35827-2025</t>
        </is>
      </c>
      <c r="B1001" s="1" t="n">
        <v>45861.49017361111</v>
      </c>
      <c r="C1001" s="1" t="n">
        <v>45890</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3330-2025</t>
        </is>
      </c>
      <c r="B1002" s="1" t="n">
        <v>45679.70041666667</v>
      </c>
      <c r="C1002" s="1" t="n">
        <v>45890</v>
      </c>
      <c r="D1002" t="inlineStr">
        <is>
          <t>VÄSTERNORRLANDS LÄN</t>
        </is>
      </c>
      <c r="E1002" t="inlineStr">
        <is>
          <t>ÅNGE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38272-2024</t>
        </is>
      </c>
      <c r="B1003" s="1" t="n">
        <v>45545.60392361111</v>
      </c>
      <c r="C1003" s="1" t="n">
        <v>45890</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29063-2023</t>
        </is>
      </c>
      <c r="B1004" s="1" t="n">
        <v>45104.94068287037</v>
      </c>
      <c r="C1004" s="1" t="n">
        <v>45890</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59412-2024</t>
        </is>
      </c>
      <c r="B1005" s="1" t="n">
        <v>45638</v>
      </c>
      <c r="C1005" s="1" t="n">
        <v>45890</v>
      </c>
      <c r="D1005" t="inlineStr">
        <is>
          <t>VÄSTERNORRLANDS LÄN</t>
        </is>
      </c>
      <c r="E1005" t="inlineStr">
        <is>
          <t>ÅNGE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35826-2025</t>
        </is>
      </c>
      <c r="B1006" s="1" t="n">
        <v>45861.48997685185</v>
      </c>
      <c r="C1006" s="1" t="n">
        <v>45890</v>
      </c>
      <c r="D1006" t="inlineStr">
        <is>
          <t>VÄSTERNORRLANDS LÄN</t>
        </is>
      </c>
      <c r="E1006" t="inlineStr">
        <is>
          <t>ÅNGE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22165-2025</t>
        </is>
      </c>
      <c r="B1007" s="1" t="n">
        <v>45785.59451388889</v>
      </c>
      <c r="C1007" s="1" t="n">
        <v>45890</v>
      </c>
      <c r="D1007" t="inlineStr">
        <is>
          <t>VÄSTERNORRLANDS LÄN</t>
        </is>
      </c>
      <c r="E1007" t="inlineStr">
        <is>
          <t>ÅNGE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28143-2025</t>
        </is>
      </c>
      <c r="B1008" s="1" t="n">
        <v>45818.34546296296</v>
      </c>
      <c r="C1008" s="1" t="n">
        <v>45890</v>
      </c>
      <c r="D1008" t="inlineStr">
        <is>
          <t>VÄSTERNORRLANDS LÄN</t>
        </is>
      </c>
      <c r="E1008" t="inlineStr">
        <is>
          <t>ÅNGE</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28404-2025</t>
        </is>
      </c>
      <c r="B1009" s="1" t="n">
        <v>45819.34532407407</v>
      </c>
      <c r="C1009" s="1" t="n">
        <v>45890</v>
      </c>
      <c r="D1009" t="inlineStr">
        <is>
          <t>VÄSTERNORRLANDS LÄN</t>
        </is>
      </c>
      <c r="E1009" t="inlineStr">
        <is>
          <t>ÅNGE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35766-2025</t>
        </is>
      </c>
      <c r="B1010" s="1" t="n">
        <v>45860.63077546296</v>
      </c>
      <c r="C1010" s="1" t="n">
        <v>45890</v>
      </c>
      <c r="D1010" t="inlineStr">
        <is>
          <t>VÄSTERNORRLANDS LÄN</t>
        </is>
      </c>
      <c r="E1010" t="inlineStr">
        <is>
          <t>ÅNGE</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35838-2025</t>
        </is>
      </c>
      <c r="B1011" s="1" t="n">
        <v>45861.53829861111</v>
      </c>
      <c r="C1011" s="1" t="n">
        <v>45890</v>
      </c>
      <c r="D1011" t="inlineStr">
        <is>
          <t>VÄSTERNORRLANDS LÄN</t>
        </is>
      </c>
      <c r="E1011" t="inlineStr">
        <is>
          <t>ÅNGE</t>
        </is>
      </c>
      <c r="F1011" t="inlineStr">
        <is>
          <t>Sveaskog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9567-2024</t>
        </is>
      </c>
      <c r="B1012" s="1" t="n">
        <v>45360.03635416667</v>
      </c>
      <c r="C1012" s="1" t="n">
        <v>45890</v>
      </c>
      <c r="D1012" t="inlineStr">
        <is>
          <t>VÄSTERNORRLANDS LÄN</t>
        </is>
      </c>
      <c r="E1012" t="inlineStr">
        <is>
          <t>ÅNGE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22988-2024</t>
        </is>
      </c>
      <c r="B1013" s="1" t="n">
        <v>45449.94530092592</v>
      </c>
      <c r="C1013" s="1" t="n">
        <v>45890</v>
      </c>
      <c r="D1013" t="inlineStr">
        <is>
          <t>VÄSTERNORRLANDS LÄN</t>
        </is>
      </c>
      <c r="E1013" t="inlineStr">
        <is>
          <t>ÅNGE</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41831-2021</t>
        </is>
      </c>
      <c r="B1014" s="1" t="n">
        <v>44425.92212962963</v>
      </c>
      <c r="C1014" s="1" t="n">
        <v>45890</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29153-2025</t>
        </is>
      </c>
      <c r="B1015" s="1" t="n">
        <v>45821.63574074074</v>
      </c>
      <c r="C1015" s="1" t="n">
        <v>45890</v>
      </c>
      <c r="D1015" t="inlineStr">
        <is>
          <t>VÄSTERNORRLANDS LÄN</t>
        </is>
      </c>
      <c r="E1015" t="inlineStr">
        <is>
          <t>ÅNGE</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32922-2024</t>
        </is>
      </c>
      <c r="B1016" s="1" t="n">
        <v>45516.95263888889</v>
      </c>
      <c r="C1016" s="1" t="n">
        <v>45890</v>
      </c>
      <c r="D1016" t="inlineStr">
        <is>
          <t>VÄSTERNORRLANDS LÄN</t>
        </is>
      </c>
      <c r="E1016" t="inlineStr">
        <is>
          <t>ÅNGE</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56908-2021</t>
        </is>
      </c>
      <c r="B1017" s="1" t="n">
        <v>44481.93844907408</v>
      </c>
      <c r="C1017" s="1" t="n">
        <v>45890</v>
      </c>
      <c r="D1017" t="inlineStr">
        <is>
          <t>VÄSTERNORRLANDS LÄN</t>
        </is>
      </c>
      <c r="E1017" t="inlineStr">
        <is>
          <t>ÅNGE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28895-2025</t>
        </is>
      </c>
      <c r="B1018" s="1" t="n">
        <v>45820.63572916666</v>
      </c>
      <c r="C1018" s="1" t="n">
        <v>45890</v>
      </c>
      <c r="D1018" t="inlineStr">
        <is>
          <t>VÄSTERNORRLANDS LÄN</t>
        </is>
      </c>
      <c r="E1018" t="inlineStr">
        <is>
          <t>ÅNGE</t>
        </is>
      </c>
      <c r="F1018" t="inlineStr">
        <is>
          <t>SCA</t>
        </is>
      </c>
      <c r="G1018" t="n">
        <v>25.5</v>
      </c>
      <c r="H1018" t="n">
        <v>0</v>
      </c>
      <c r="I1018" t="n">
        <v>0</v>
      </c>
      <c r="J1018" t="n">
        <v>0</v>
      </c>
      <c r="K1018" t="n">
        <v>0</v>
      </c>
      <c r="L1018" t="n">
        <v>0</v>
      </c>
      <c r="M1018" t="n">
        <v>0</v>
      </c>
      <c r="N1018" t="n">
        <v>0</v>
      </c>
      <c r="O1018" t="n">
        <v>0</v>
      </c>
      <c r="P1018" t="n">
        <v>0</v>
      </c>
      <c r="Q1018" t="n">
        <v>0</v>
      </c>
      <c r="R1018" s="2" t="inlineStr"/>
    </row>
    <row r="1019" ht="15" customHeight="1">
      <c r="A1019" t="inlineStr">
        <is>
          <t>A 28896-2025</t>
        </is>
      </c>
      <c r="B1019" s="1" t="n">
        <v>45820.63584490741</v>
      </c>
      <c r="C1019" s="1" t="n">
        <v>45890</v>
      </c>
      <c r="D1019" t="inlineStr">
        <is>
          <t>VÄSTERNORRLANDS LÄN</t>
        </is>
      </c>
      <c r="E1019" t="inlineStr">
        <is>
          <t>ÅNGE</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28814-2025</t>
        </is>
      </c>
      <c r="B1020" s="1" t="n">
        <v>45820.52846064815</v>
      </c>
      <c r="C1020" s="1" t="n">
        <v>45890</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10282-2025</t>
        </is>
      </c>
      <c r="B1021" s="1" t="n">
        <v>45720.40659722222</v>
      </c>
      <c r="C1021" s="1" t="n">
        <v>45890</v>
      </c>
      <c r="D1021" t="inlineStr">
        <is>
          <t>VÄSTERNORRLANDS LÄN</t>
        </is>
      </c>
      <c r="E1021" t="inlineStr">
        <is>
          <t>ÅNGE</t>
        </is>
      </c>
      <c r="F1021" t="inlineStr">
        <is>
          <t>SCA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51055-2023</t>
        </is>
      </c>
      <c r="B1022" s="1" t="n">
        <v>45218</v>
      </c>
      <c r="C1022" s="1" t="n">
        <v>45890</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28717-2025</t>
        </is>
      </c>
      <c r="B1023" s="1" t="n">
        <v>45820</v>
      </c>
      <c r="C1023" s="1" t="n">
        <v>45890</v>
      </c>
      <c r="D1023" t="inlineStr">
        <is>
          <t>VÄSTERNORRLANDS LÄN</t>
        </is>
      </c>
      <c r="E1023" t="inlineStr">
        <is>
          <t>ÅNGE</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5455-2023</t>
        </is>
      </c>
      <c r="B1024" s="1" t="n">
        <v>44959.93983796296</v>
      </c>
      <c r="C1024" s="1" t="n">
        <v>45890</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17210-2022</t>
        </is>
      </c>
      <c r="B1025" s="1" t="n">
        <v>44677.92701388889</v>
      </c>
      <c r="C1025" s="1" t="n">
        <v>45890</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43775-2022</t>
        </is>
      </c>
      <c r="B1026" s="1" t="n">
        <v>44837.95053240741</v>
      </c>
      <c r="C1026" s="1" t="n">
        <v>45890</v>
      </c>
      <c r="D1026" t="inlineStr">
        <is>
          <t>VÄSTERNORRLANDS LÄN</t>
        </is>
      </c>
      <c r="E1026" t="inlineStr">
        <is>
          <t>ÅNGE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56574-2024</t>
        </is>
      </c>
      <c r="B1027" s="1" t="n">
        <v>45625.59616898148</v>
      </c>
      <c r="C1027" s="1" t="n">
        <v>45890</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31568-2024</t>
        </is>
      </c>
      <c r="B1028" s="1" t="n">
        <v>45505.96721064814</v>
      </c>
      <c r="C1028" s="1" t="n">
        <v>45890</v>
      </c>
      <c r="D1028" t="inlineStr">
        <is>
          <t>VÄSTERNORRLANDS LÄN</t>
        </is>
      </c>
      <c r="E1028" t="inlineStr">
        <is>
          <t>ÅNGE</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28819-2025</t>
        </is>
      </c>
      <c r="B1029" s="1" t="n">
        <v>45820.53758101852</v>
      </c>
      <c r="C1029" s="1" t="n">
        <v>45890</v>
      </c>
      <c r="D1029" t="inlineStr">
        <is>
          <t>VÄSTERNORRLANDS LÄN</t>
        </is>
      </c>
      <c r="E1029" t="inlineStr">
        <is>
          <t>ÅNGE</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28845-2025</t>
        </is>
      </c>
      <c r="B1030" s="1" t="n">
        <v>45820.57324074074</v>
      </c>
      <c r="C1030" s="1" t="n">
        <v>45890</v>
      </c>
      <c r="D1030" t="inlineStr">
        <is>
          <t>VÄSTERNORRLANDS LÄN</t>
        </is>
      </c>
      <c r="E1030" t="inlineStr">
        <is>
          <t>ÅNGE</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27468-2024</t>
        </is>
      </c>
      <c r="B1031" s="1" t="n">
        <v>45474</v>
      </c>
      <c r="C1031" s="1" t="n">
        <v>45890</v>
      </c>
      <c r="D1031" t="inlineStr">
        <is>
          <t>VÄSTERNORRLANDS LÄN</t>
        </is>
      </c>
      <c r="E1031" t="inlineStr">
        <is>
          <t>ÅNGE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15862-2025</t>
        </is>
      </c>
      <c r="B1032" s="1" t="n">
        <v>45749.35247685185</v>
      </c>
      <c r="C1032" s="1" t="n">
        <v>45890</v>
      </c>
      <c r="D1032" t="inlineStr">
        <is>
          <t>VÄSTERNORRLANDS LÄN</t>
        </is>
      </c>
      <c r="E1032" t="inlineStr">
        <is>
          <t>ÅNGE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29786-2025</t>
        </is>
      </c>
      <c r="B1033" s="1" t="n">
        <v>45825.65663194445</v>
      </c>
      <c r="C1033" s="1" t="n">
        <v>45890</v>
      </c>
      <c r="D1033" t="inlineStr">
        <is>
          <t>VÄSTERNORRLANDS LÄN</t>
        </is>
      </c>
      <c r="E1033" t="inlineStr">
        <is>
          <t>ÅNGE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16915-2024</t>
        </is>
      </c>
      <c r="B1034" s="1" t="n">
        <v>45411.65185185185</v>
      </c>
      <c r="C1034" s="1" t="n">
        <v>45890</v>
      </c>
      <c r="D1034" t="inlineStr">
        <is>
          <t>VÄSTERNORRLANDS LÄN</t>
        </is>
      </c>
      <c r="E1034" t="inlineStr">
        <is>
          <t>ÅNGE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57560-2023</t>
        </is>
      </c>
      <c r="B1035" s="1" t="n">
        <v>45243</v>
      </c>
      <c r="C1035" s="1" t="n">
        <v>45890</v>
      </c>
      <c r="D1035" t="inlineStr">
        <is>
          <t>VÄSTERNORRLANDS LÄN</t>
        </is>
      </c>
      <c r="E1035" t="inlineStr">
        <is>
          <t>ÅNGE</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57568-2023</t>
        </is>
      </c>
      <c r="B1036" s="1" t="n">
        <v>45246.50484953704</v>
      </c>
      <c r="C1036" s="1" t="n">
        <v>45890</v>
      </c>
      <c r="D1036" t="inlineStr">
        <is>
          <t>VÄSTERNORRLANDS LÄN</t>
        </is>
      </c>
      <c r="E1036" t="inlineStr">
        <is>
          <t>ÅNGE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16576-2023</t>
        </is>
      </c>
      <c r="B1037" s="1" t="n">
        <v>45029.94251157407</v>
      </c>
      <c r="C1037" s="1" t="n">
        <v>45890</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12123-2024</t>
        </is>
      </c>
      <c r="B1038" s="1" t="n">
        <v>45377</v>
      </c>
      <c r="C1038" s="1" t="n">
        <v>45890</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11299-2023</t>
        </is>
      </c>
      <c r="B1039" s="1" t="n">
        <v>44993.01074074074</v>
      </c>
      <c r="C1039" s="1" t="n">
        <v>45890</v>
      </c>
      <c r="D1039" t="inlineStr">
        <is>
          <t>VÄSTERNORRLANDS LÄN</t>
        </is>
      </c>
      <c r="E1039" t="inlineStr">
        <is>
          <t>ÅNGE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11309-2023</t>
        </is>
      </c>
      <c r="B1040" s="1" t="n">
        <v>44993.0118287037</v>
      </c>
      <c r="C1040" s="1" t="n">
        <v>45890</v>
      </c>
      <c r="D1040" t="inlineStr">
        <is>
          <t>VÄSTERNORRLANDS LÄN</t>
        </is>
      </c>
      <c r="E1040" t="inlineStr">
        <is>
          <t>ÅNGE</t>
        </is>
      </c>
      <c r="F1040" t="inlineStr">
        <is>
          <t>SCA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45932-2023</t>
        </is>
      </c>
      <c r="B1041" s="1" t="n">
        <v>45195</v>
      </c>
      <c r="C1041" s="1" t="n">
        <v>45890</v>
      </c>
      <c r="D1041" t="inlineStr">
        <is>
          <t>VÄSTERNORRLANDS LÄN</t>
        </is>
      </c>
      <c r="E1041" t="inlineStr">
        <is>
          <t>ÅNGE</t>
        </is>
      </c>
      <c r="F1041" t="inlineStr">
        <is>
          <t>SCA</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29350-2025</t>
        </is>
      </c>
      <c r="B1042" s="1" t="n">
        <v>45824.53206018519</v>
      </c>
      <c r="C1042" s="1" t="n">
        <v>45890</v>
      </c>
      <c r="D1042" t="inlineStr">
        <is>
          <t>VÄSTERNORRLANDS LÄN</t>
        </is>
      </c>
      <c r="E1042" t="inlineStr">
        <is>
          <t>ÅNGE</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8648-2025</t>
        </is>
      </c>
      <c r="B1043" s="1" t="n">
        <v>45712.34501157407</v>
      </c>
      <c r="C1043" s="1" t="n">
        <v>45890</v>
      </c>
      <c r="D1043" t="inlineStr">
        <is>
          <t>VÄSTERNORRLANDS LÄN</t>
        </is>
      </c>
      <c r="E1043" t="inlineStr">
        <is>
          <t>ÅNGE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24541-2023</t>
        </is>
      </c>
      <c r="B1044" s="1" t="n">
        <v>45082.94135416667</v>
      </c>
      <c r="C1044" s="1" t="n">
        <v>45890</v>
      </c>
      <c r="D1044" t="inlineStr">
        <is>
          <t>VÄSTERNORRLANDS LÄN</t>
        </is>
      </c>
      <c r="E1044" t="inlineStr">
        <is>
          <t>ÅNGE</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4359-2025</t>
        </is>
      </c>
      <c r="B1045" s="1" t="n">
        <v>45686.33072916666</v>
      </c>
      <c r="C1045" s="1" t="n">
        <v>45890</v>
      </c>
      <c r="D1045" t="inlineStr">
        <is>
          <t>VÄSTERNORRLANDS LÄN</t>
        </is>
      </c>
      <c r="E1045" t="inlineStr">
        <is>
          <t>ÅNGE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24552-2023</t>
        </is>
      </c>
      <c r="B1046" s="1" t="n">
        <v>45082.94226851852</v>
      </c>
      <c r="C1046" s="1" t="n">
        <v>45890</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36248-2025</t>
        </is>
      </c>
      <c r="B1047" s="1" t="n">
        <v>45867.57326388889</v>
      </c>
      <c r="C1047" s="1" t="n">
        <v>45890</v>
      </c>
      <c r="D1047" t="inlineStr">
        <is>
          <t>VÄSTERNORRLANDS LÄN</t>
        </is>
      </c>
      <c r="E1047" t="inlineStr">
        <is>
          <t>ÅNGE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24797-2024</t>
        </is>
      </c>
      <c r="B1048" s="1" t="n">
        <v>45460.95269675926</v>
      </c>
      <c r="C1048" s="1" t="n">
        <v>45890</v>
      </c>
      <c r="D1048" t="inlineStr">
        <is>
          <t>VÄSTERNORRLANDS LÄN</t>
        </is>
      </c>
      <c r="E1048" t="inlineStr">
        <is>
          <t>ÅNGE</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24798-2024</t>
        </is>
      </c>
      <c r="B1049" s="1" t="n">
        <v>45460.95277777778</v>
      </c>
      <c r="C1049" s="1" t="n">
        <v>45890</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36205-2025</t>
        </is>
      </c>
      <c r="B1050" s="1" t="n">
        <v>45867.44855324074</v>
      </c>
      <c r="C1050" s="1" t="n">
        <v>45890</v>
      </c>
      <c r="D1050" t="inlineStr">
        <is>
          <t>VÄSTERNORRLANDS LÄN</t>
        </is>
      </c>
      <c r="E1050" t="inlineStr">
        <is>
          <t>ÅNGE</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36210-2025</t>
        </is>
      </c>
      <c r="B1051" s="1" t="n">
        <v>45867.46930555555</v>
      </c>
      <c r="C1051" s="1" t="n">
        <v>45890</v>
      </c>
      <c r="D1051" t="inlineStr">
        <is>
          <t>VÄSTERNORRLANDS LÄN</t>
        </is>
      </c>
      <c r="E1051" t="inlineStr">
        <is>
          <t>ÅNGE</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36237-2025</t>
        </is>
      </c>
      <c r="B1052" s="1" t="n">
        <v>45867.55263888889</v>
      </c>
      <c r="C1052" s="1" t="n">
        <v>45890</v>
      </c>
      <c r="D1052" t="inlineStr">
        <is>
          <t>VÄSTERNORRLANDS LÄN</t>
        </is>
      </c>
      <c r="E1052" t="inlineStr">
        <is>
          <t>ÅNGE</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36240-2025</t>
        </is>
      </c>
      <c r="B1053" s="1" t="n">
        <v>45867.55298611111</v>
      </c>
      <c r="C1053" s="1" t="n">
        <v>45890</v>
      </c>
      <c r="D1053" t="inlineStr">
        <is>
          <t>VÄSTERNORRLANDS LÄN</t>
        </is>
      </c>
      <c r="E1053" t="inlineStr">
        <is>
          <t>ÅNGE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51131-2022</t>
        </is>
      </c>
      <c r="B1054" s="1" t="n">
        <v>44868</v>
      </c>
      <c r="C1054" s="1" t="n">
        <v>45890</v>
      </c>
      <c r="D1054" t="inlineStr">
        <is>
          <t>VÄSTERNORRLANDS LÄN</t>
        </is>
      </c>
      <c r="E1054" t="inlineStr">
        <is>
          <t>ÅNGE</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33631-2024</t>
        </is>
      </c>
      <c r="B1055" s="1" t="n">
        <v>45520</v>
      </c>
      <c r="C1055" s="1" t="n">
        <v>45890</v>
      </c>
      <c r="D1055" t="inlineStr">
        <is>
          <t>VÄSTERNORRLANDS LÄN</t>
        </is>
      </c>
      <c r="E1055" t="inlineStr">
        <is>
          <t>ÅNGE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36236-2025</t>
        </is>
      </c>
      <c r="B1056" s="1" t="n">
        <v>45867.55245370371</v>
      </c>
      <c r="C1056" s="1" t="n">
        <v>45890</v>
      </c>
      <c r="D1056" t="inlineStr">
        <is>
          <t>VÄSTERNORRLANDS LÄN</t>
        </is>
      </c>
      <c r="E1056" t="inlineStr">
        <is>
          <t>ÅNGE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63522-2021</t>
        </is>
      </c>
      <c r="B1057" s="1" t="n">
        <v>44508</v>
      </c>
      <c r="C1057" s="1" t="n">
        <v>45890</v>
      </c>
      <c r="D1057" t="inlineStr">
        <is>
          <t>VÄSTERNORRLANDS LÄN</t>
        </is>
      </c>
      <c r="E1057" t="inlineStr">
        <is>
          <t>ÅNGE</t>
        </is>
      </c>
      <c r="F1057" t="inlineStr">
        <is>
          <t>Övriga Aktiebolag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51411-2023</t>
        </is>
      </c>
      <c r="B1058" s="1" t="n">
        <v>45219</v>
      </c>
      <c r="C1058" s="1" t="n">
        <v>45890</v>
      </c>
      <c r="D1058" t="inlineStr">
        <is>
          <t>VÄSTERNORRLANDS LÄN</t>
        </is>
      </c>
      <c r="E1058" t="inlineStr">
        <is>
          <t>ÅNGE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31229-2023</t>
        </is>
      </c>
      <c r="B1059" s="1" t="n">
        <v>45114</v>
      </c>
      <c r="C1059" s="1" t="n">
        <v>45890</v>
      </c>
      <c r="D1059" t="inlineStr">
        <is>
          <t>VÄSTERNORRLANDS LÄN</t>
        </is>
      </c>
      <c r="E1059" t="inlineStr">
        <is>
          <t>ÅNGE</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36193-2025</t>
        </is>
      </c>
      <c r="B1060" s="1" t="n">
        <v>45867.42741898148</v>
      </c>
      <c r="C1060" s="1" t="n">
        <v>45890</v>
      </c>
      <c r="D1060" t="inlineStr">
        <is>
          <t>VÄSTERNORRLANDS LÄN</t>
        </is>
      </c>
      <c r="E1060" t="inlineStr">
        <is>
          <t>ÅNGE</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56189-2024</t>
        </is>
      </c>
      <c r="B1061" s="1" t="n">
        <v>45624.57805555555</v>
      </c>
      <c r="C1061" s="1" t="n">
        <v>45890</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56191-2024</t>
        </is>
      </c>
      <c r="B1062" s="1" t="n">
        <v>45624.57814814815</v>
      </c>
      <c r="C1062" s="1" t="n">
        <v>45890</v>
      </c>
      <c r="D1062" t="inlineStr">
        <is>
          <t>VÄSTERNORRLANDS LÄN</t>
        </is>
      </c>
      <c r="E1062" t="inlineStr">
        <is>
          <t>ÅNGE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32069-2023</t>
        </is>
      </c>
      <c r="B1063" s="1" t="n">
        <v>45107</v>
      </c>
      <c r="C1063" s="1" t="n">
        <v>45890</v>
      </c>
      <c r="D1063" t="inlineStr">
        <is>
          <t>VÄSTERNORRLANDS LÄN</t>
        </is>
      </c>
      <c r="E1063" t="inlineStr">
        <is>
          <t>ÅNGE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26013-2024</t>
        </is>
      </c>
      <c r="B1064" s="1" t="n">
        <v>45467</v>
      </c>
      <c r="C1064" s="1" t="n">
        <v>45890</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29377-2025</t>
        </is>
      </c>
      <c r="B1065" s="1" t="n">
        <v>45824.58719907407</v>
      </c>
      <c r="C1065" s="1" t="n">
        <v>45890</v>
      </c>
      <c r="D1065" t="inlineStr">
        <is>
          <t>VÄSTERNORRLANDS LÄN</t>
        </is>
      </c>
      <c r="E1065" t="inlineStr">
        <is>
          <t>ÅNGE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53336-2024</t>
        </is>
      </c>
      <c r="B1066" s="1" t="n">
        <v>45614.42753472222</v>
      </c>
      <c r="C1066" s="1" t="n">
        <v>45890</v>
      </c>
      <c r="D1066" t="inlineStr">
        <is>
          <t>VÄSTERNORRLANDS LÄN</t>
        </is>
      </c>
      <c r="E1066" t="inlineStr">
        <is>
          <t>ÅNGE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29560-2025</t>
        </is>
      </c>
      <c r="B1067" s="1" t="n">
        <v>45825.36497685185</v>
      </c>
      <c r="C1067" s="1" t="n">
        <v>45890</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36336-2025</t>
        </is>
      </c>
      <c r="B1068" s="1" t="n">
        <v>45868.44751157407</v>
      </c>
      <c r="C1068" s="1" t="n">
        <v>45890</v>
      </c>
      <c r="D1068" t="inlineStr">
        <is>
          <t>VÄSTERNORRLANDS LÄN</t>
        </is>
      </c>
      <c r="E1068" t="inlineStr">
        <is>
          <t>ÅNGE</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7692-2024</t>
        </is>
      </c>
      <c r="B1069" s="1" t="n">
        <v>45349</v>
      </c>
      <c r="C1069" s="1" t="n">
        <v>45890</v>
      </c>
      <c r="D1069" t="inlineStr">
        <is>
          <t>VÄSTERNORRLANDS LÄN</t>
        </is>
      </c>
      <c r="E1069" t="inlineStr">
        <is>
          <t>ÅNGE</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47950-2024</t>
        </is>
      </c>
      <c r="B1070" s="1" t="n">
        <v>45589.36511574074</v>
      </c>
      <c r="C1070" s="1" t="n">
        <v>45890</v>
      </c>
      <c r="D1070" t="inlineStr">
        <is>
          <t>VÄSTERNORRLANDS LÄN</t>
        </is>
      </c>
      <c r="E1070" t="inlineStr">
        <is>
          <t>ÅNGE</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39589-2022</t>
        </is>
      </c>
      <c r="B1071" s="1" t="n">
        <v>44818</v>
      </c>
      <c r="C1071" s="1" t="n">
        <v>45890</v>
      </c>
      <c r="D1071" t="inlineStr">
        <is>
          <t>VÄSTERNORRLANDS LÄN</t>
        </is>
      </c>
      <c r="E1071" t="inlineStr">
        <is>
          <t>ÅNGE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42098-2024</t>
        </is>
      </c>
      <c r="B1072" s="1" t="n">
        <v>45562.34532407407</v>
      </c>
      <c r="C1072" s="1" t="n">
        <v>45890</v>
      </c>
      <c r="D1072" t="inlineStr">
        <is>
          <t>VÄSTERNORRLANDS LÄN</t>
        </is>
      </c>
      <c r="E1072" t="inlineStr">
        <is>
          <t>ÅNGE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36457-2025</t>
        </is>
      </c>
      <c r="B1073" s="1" t="n">
        <v>45869.44842592593</v>
      </c>
      <c r="C1073" s="1" t="n">
        <v>45890</v>
      </c>
      <c r="D1073" t="inlineStr">
        <is>
          <t>VÄSTERNORRLANDS LÄN</t>
        </is>
      </c>
      <c r="E1073" t="inlineStr">
        <is>
          <t>ÅNGE</t>
        </is>
      </c>
      <c r="F1073" t="inlineStr">
        <is>
          <t>SCA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36456-2025</t>
        </is>
      </c>
      <c r="B1074" s="1" t="n">
        <v>45869.44827546296</v>
      </c>
      <c r="C1074" s="1" t="n">
        <v>45890</v>
      </c>
      <c r="D1074" t="inlineStr">
        <is>
          <t>VÄSTERNORRLANDS LÄN</t>
        </is>
      </c>
      <c r="E1074" t="inlineStr">
        <is>
          <t>ÅNGE</t>
        </is>
      </c>
      <c r="F1074" t="inlineStr">
        <is>
          <t>SCA</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10071-2023</t>
        </is>
      </c>
      <c r="B1075" s="1" t="n">
        <v>44985.92418981482</v>
      </c>
      <c r="C1075" s="1" t="n">
        <v>45890</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44518-2024</t>
        </is>
      </c>
      <c r="B1076" s="1" t="n">
        <v>45574.43376157407</v>
      </c>
      <c r="C1076" s="1" t="n">
        <v>45890</v>
      </c>
      <c r="D1076" t="inlineStr">
        <is>
          <t>VÄSTERNORRLANDS LÄN</t>
        </is>
      </c>
      <c r="E1076" t="inlineStr">
        <is>
          <t>ÅNGE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15822-2025</t>
        </is>
      </c>
      <c r="B1077" s="1" t="n">
        <v>45748.70172453704</v>
      </c>
      <c r="C1077" s="1" t="n">
        <v>45890</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41083-2024</t>
        </is>
      </c>
      <c r="B1078" s="1" t="n">
        <v>45559.40684027778</v>
      </c>
      <c r="C1078" s="1" t="n">
        <v>45890</v>
      </c>
      <c r="D1078" t="inlineStr">
        <is>
          <t>VÄSTERNORRLANDS LÄN</t>
        </is>
      </c>
      <c r="E1078" t="inlineStr">
        <is>
          <t>ÅNGE</t>
        </is>
      </c>
      <c r="F1078" t="inlineStr">
        <is>
          <t>SCA</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16903-2024</t>
        </is>
      </c>
      <c r="B1079" s="1" t="n">
        <v>45411.63106481481</v>
      </c>
      <c r="C1079" s="1" t="n">
        <v>45890</v>
      </c>
      <c r="D1079" t="inlineStr">
        <is>
          <t>VÄSTERNORRLANDS LÄN</t>
        </is>
      </c>
      <c r="E1079" t="inlineStr">
        <is>
          <t>ÅNGE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32439-2024</t>
        </is>
      </c>
      <c r="B1080" s="1" t="n">
        <v>45512</v>
      </c>
      <c r="C1080" s="1" t="n">
        <v>45890</v>
      </c>
      <c r="D1080" t="inlineStr">
        <is>
          <t>VÄSTERNORRLANDS LÄN</t>
        </is>
      </c>
      <c r="E1080" t="inlineStr">
        <is>
          <t>ÅNGE</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16572-2023</t>
        </is>
      </c>
      <c r="B1081" s="1" t="n">
        <v>45029.94224537037</v>
      </c>
      <c r="C1081" s="1" t="n">
        <v>45890</v>
      </c>
      <c r="D1081" t="inlineStr">
        <is>
          <t>VÄSTERNORRLANDS LÄN</t>
        </is>
      </c>
      <c r="E1081" t="inlineStr">
        <is>
          <t>ÅNGE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29862-2025</t>
        </is>
      </c>
      <c r="B1082" s="1" t="n">
        <v>45826.3465625</v>
      </c>
      <c r="C1082" s="1" t="n">
        <v>45890</v>
      </c>
      <c r="D1082" t="inlineStr">
        <is>
          <t>VÄSTERNORRLANDS LÄN</t>
        </is>
      </c>
      <c r="E1082" t="inlineStr">
        <is>
          <t>ÅNGE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29880-2025</t>
        </is>
      </c>
      <c r="B1083" s="1" t="n">
        <v>45826.36510416667</v>
      </c>
      <c r="C1083" s="1" t="n">
        <v>45890</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29882-2025</t>
        </is>
      </c>
      <c r="B1084" s="1" t="n">
        <v>45826.36548611111</v>
      </c>
      <c r="C1084" s="1" t="n">
        <v>45890</v>
      </c>
      <c r="D1084" t="inlineStr">
        <is>
          <t>VÄSTERNORRLANDS LÄN</t>
        </is>
      </c>
      <c r="E1084" t="inlineStr">
        <is>
          <t>ÅNGE</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29916-2025</t>
        </is>
      </c>
      <c r="B1085" s="1" t="n">
        <v>45826.41822916667</v>
      </c>
      <c r="C1085" s="1" t="n">
        <v>45890</v>
      </c>
      <c r="D1085" t="inlineStr">
        <is>
          <t>VÄSTERNORRLANDS LÄN</t>
        </is>
      </c>
      <c r="E1085" t="inlineStr">
        <is>
          <t>ÅNGE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36491-2025</t>
        </is>
      </c>
      <c r="B1086" s="1" t="n">
        <v>45869.53173611111</v>
      </c>
      <c r="C1086" s="1" t="n">
        <v>45890</v>
      </c>
      <c r="D1086" t="inlineStr">
        <is>
          <t>VÄSTERNORRLANDS LÄN</t>
        </is>
      </c>
      <c r="E1086" t="inlineStr">
        <is>
          <t>ÅNGE</t>
        </is>
      </c>
      <c r="F1086" t="inlineStr">
        <is>
          <t>SCA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4094-2025</t>
        </is>
      </c>
      <c r="B1087" s="1" t="n">
        <v>45684.6778125</v>
      </c>
      <c r="C1087" s="1" t="n">
        <v>45890</v>
      </c>
      <c r="D1087" t="inlineStr">
        <is>
          <t>VÄSTERNORRLANDS LÄN</t>
        </is>
      </c>
      <c r="E1087" t="inlineStr">
        <is>
          <t>ÅNGE</t>
        </is>
      </c>
      <c r="F1087" t="inlineStr">
        <is>
          <t>SCA</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3256-2024</t>
        </is>
      </c>
      <c r="B1088" s="1" t="n">
        <v>45316</v>
      </c>
      <c r="C1088" s="1" t="n">
        <v>45890</v>
      </c>
      <c r="D1088" t="inlineStr">
        <is>
          <t>VÄSTERNORRLANDS LÄN</t>
        </is>
      </c>
      <c r="E1088" t="inlineStr">
        <is>
          <t>ÅNGE</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49487-2024</t>
        </is>
      </c>
      <c r="B1089" s="1" t="n">
        <v>45596.35813657408</v>
      </c>
      <c r="C1089" s="1" t="n">
        <v>45890</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36735-2025</t>
        </is>
      </c>
      <c r="B1090" s="1" t="n">
        <v>45873.52310185185</v>
      </c>
      <c r="C1090" s="1" t="n">
        <v>45890</v>
      </c>
      <c r="D1090" t="inlineStr">
        <is>
          <t>VÄSTERNORRLANDS LÄN</t>
        </is>
      </c>
      <c r="E1090" t="inlineStr">
        <is>
          <t>ÅNGE</t>
        </is>
      </c>
      <c r="F1090" t="inlineStr">
        <is>
          <t>Övriga Aktiebolag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30475-2025</t>
        </is>
      </c>
      <c r="B1091" s="1" t="n">
        <v>45828.34444444445</v>
      </c>
      <c r="C1091" s="1" t="n">
        <v>45890</v>
      </c>
      <c r="D1091" t="inlineStr">
        <is>
          <t>VÄSTERNORRLANDS LÄN</t>
        </is>
      </c>
      <c r="E1091" t="inlineStr">
        <is>
          <t>ÅNGE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41507-2024</t>
        </is>
      </c>
      <c r="B1092" s="1" t="n">
        <v>45560</v>
      </c>
      <c r="C1092" s="1" t="n">
        <v>45890</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26019-2024</t>
        </is>
      </c>
      <c r="B1093" s="1" t="n">
        <v>45467.96015046296</v>
      </c>
      <c r="C1093" s="1" t="n">
        <v>45890</v>
      </c>
      <c r="D1093" t="inlineStr">
        <is>
          <t>VÄSTERNORRLANDS LÄN</t>
        </is>
      </c>
      <c r="E1093" t="inlineStr">
        <is>
          <t>ÅNGE</t>
        </is>
      </c>
      <c r="F1093" t="inlineStr">
        <is>
          <t>SCA</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8747-2022</t>
        </is>
      </c>
      <c r="B1094" s="1" t="n">
        <v>44614.33912037037</v>
      </c>
      <c r="C1094" s="1" t="n">
        <v>45890</v>
      </c>
      <c r="D1094" t="inlineStr">
        <is>
          <t>VÄSTERNORRLANDS LÄN</t>
        </is>
      </c>
      <c r="E1094" t="inlineStr">
        <is>
          <t>ÅNGE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8755-2022</t>
        </is>
      </c>
      <c r="B1095" s="1" t="n">
        <v>44614</v>
      </c>
      <c r="C1095" s="1" t="n">
        <v>45890</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36674-2025</t>
        </is>
      </c>
      <c r="B1096" s="1" t="n">
        <v>45873.3930787037</v>
      </c>
      <c r="C1096" s="1" t="n">
        <v>45890</v>
      </c>
      <c r="D1096" t="inlineStr">
        <is>
          <t>VÄSTERNORRLANDS LÄN</t>
        </is>
      </c>
      <c r="E1096" t="inlineStr">
        <is>
          <t>ÅNGE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36723-2025</t>
        </is>
      </c>
      <c r="B1097" s="1" t="n">
        <v>45873.47770833333</v>
      </c>
      <c r="C1097" s="1" t="n">
        <v>45890</v>
      </c>
      <c r="D1097" t="inlineStr">
        <is>
          <t>VÄSTERNORRLANDS LÄN</t>
        </is>
      </c>
      <c r="E1097" t="inlineStr">
        <is>
          <t>ÅNGE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30618-2025</t>
        </is>
      </c>
      <c r="B1098" s="1" t="n">
        <v>45831.46909722222</v>
      </c>
      <c r="C1098" s="1" t="n">
        <v>45890</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30598-2025</t>
        </is>
      </c>
      <c r="B1099" s="1" t="n">
        <v>45831.44834490741</v>
      </c>
      <c r="C1099" s="1" t="n">
        <v>45890</v>
      </c>
      <c r="D1099" t="inlineStr">
        <is>
          <t>VÄSTERNORRLANDS LÄN</t>
        </is>
      </c>
      <c r="E1099" t="inlineStr">
        <is>
          <t>ÅNGE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36740-2025</t>
        </is>
      </c>
      <c r="B1100" s="1" t="n">
        <v>45873.53237268519</v>
      </c>
      <c r="C1100" s="1" t="n">
        <v>45890</v>
      </c>
      <c r="D1100" t="inlineStr">
        <is>
          <t>VÄSTERNORRLANDS LÄN</t>
        </is>
      </c>
      <c r="E1100" t="inlineStr">
        <is>
          <t>ÅNGE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57287-2022</t>
        </is>
      </c>
      <c r="B1101" s="1" t="n">
        <v>44895.95</v>
      </c>
      <c r="C1101" s="1" t="n">
        <v>45890</v>
      </c>
      <c r="D1101" t="inlineStr">
        <is>
          <t>VÄSTERNORRLANDS LÄN</t>
        </is>
      </c>
      <c r="E1101" t="inlineStr">
        <is>
          <t>ÅNGE</t>
        </is>
      </c>
      <c r="F1101" t="inlineStr">
        <is>
          <t>SCA</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20576-2021</t>
        </is>
      </c>
      <c r="B1102" s="1" t="n">
        <v>44316.3290162037</v>
      </c>
      <c r="C1102" s="1" t="n">
        <v>45890</v>
      </c>
      <c r="D1102" t="inlineStr">
        <is>
          <t>VÄSTERNORRLANDS LÄN</t>
        </is>
      </c>
      <c r="E1102" t="inlineStr">
        <is>
          <t>ÅNGE</t>
        </is>
      </c>
      <c r="F1102" t="inlineStr">
        <is>
          <t>Holmen skog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6690-2024</t>
        </is>
      </c>
      <c r="B1103" s="1" t="n">
        <v>45341</v>
      </c>
      <c r="C1103" s="1" t="n">
        <v>45890</v>
      </c>
      <c r="D1103" t="inlineStr">
        <is>
          <t>VÄSTERNORRLANDS LÄN</t>
        </is>
      </c>
      <c r="E1103" t="inlineStr">
        <is>
          <t>ÅNGE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30892-2025</t>
        </is>
      </c>
      <c r="B1104" s="1" t="n">
        <v>45832.34663194444</v>
      </c>
      <c r="C1104" s="1" t="n">
        <v>45890</v>
      </c>
      <c r="D1104" t="inlineStr">
        <is>
          <t>VÄSTERNORRLANDS LÄN</t>
        </is>
      </c>
      <c r="E1104" t="inlineStr">
        <is>
          <t>ÅNGE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64375-2023</t>
        </is>
      </c>
      <c r="B1105" s="1" t="n">
        <v>45280</v>
      </c>
      <c r="C1105" s="1" t="n">
        <v>45890</v>
      </c>
      <c r="D1105" t="inlineStr">
        <is>
          <t>VÄSTERNORRLANDS LÄN</t>
        </is>
      </c>
      <c r="E1105" t="inlineStr">
        <is>
          <t>ÅNGE</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1235-2023</t>
        </is>
      </c>
      <c r="B1106" s="1" t="n">
        <v>44935</v>
      </c>
      <c r="C1106" s="1" t="n">
        <v>45890</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37047-2025</t>
        </is>
      </c>
      <c r="B1107" s="1" t="n">
        <v>45875.34489583333</v>
      </c>
      <c r="C1107" s="1" t="n">
        <v>45890</v>
      </c>
      <c r="D1107" t="inlineStr">
        <is>
          <t>VÄSTERNORRLANDS LÄN</t>
        </is>
      </c>
      <c r="E1107" t="inlineStr">
        <is>
          <t>ÅNGE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31188-2025</t>
        </is>
      </c>
      <c r="B1108" s="1" t="n">
        <v>45832.67842592593</v>
      </c>
      <c r="C1108" s="1" t="n">
        <v>45890</v>
      </c>
      <c r="D1108" t="inlineStr">
        <is>
          <t>VÄSTERNORRLANDS LÄN</t>
        </is>
      </c>
      <c r="E1108" t="inlineStr">
        <is>
          <t>ÅNGE</t>
        </is>
      </c>
      <c r="F1108" t="inlineStr">
        <is>
          <t>SCA</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1090-2023</t>
        </is>
      </c>
      <c r="B1109" s="1" t="n">
        <v>44929</v>
      </c>
      <c r="C1109" s="1" t="n">
        <v>45890</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1116-2023</t>
        </is>
      </c>
      <c r="B1110" s="1" t="n">
        <v>44929</v>
      </c>
      <c r="C1110" s="1" t="n">
        <v>45890</v>
      </c>
      <c r="D1110" t="inlineStr">
        <is>
          <t>VÄSTERNORRLANDS LÄN</t>
        </is>
      </c>
      <c r="E1110" t="inlineStr">
        <is>
          <t>ÅNGE</t>
        </is>
      </c>
      <c r="G1110" t="n">
        <v>17.2</v>
      </c>
      <c r="H1110" t="n">
        <v>0</v>
      </c>
      <c r="I1110" t="n">
        <v>0</v>
      </c>
      <c r="J1110" t="n">
        <v>0</v>
      </c>
      <c r="K1110" t="n">
        <v>0</v>
      </c>
      <c r="L1110" t="n">
        <v>0</v>
      </c>
      <c r="M1110" t="n">
        <v>0</v>
      </c>
      <c r="N1110" t="n">
        <v>0</v>
      </c>
      <c r="O1110" t="n">
        <v>0</v>
      </c>
      <c r="P1110" t="n">
        <v>0</v>
      </c>
      <c r="Q1110" t="n">
        <v>0</v>
      </c>
      <c r="R1110" s="2" t="inlineStr"/>
    </row>
    <row r="1111" ht="15" customHeight="1">
      <c r="A1111" t="inlineStr">
        <is>
          <t>A 62261-2022</t>
        </is>
      </c>
      <c r="B1111" s="1" t="n">
        <v>44922.94378472222</v>
      </c>
      <c r="C1111" s="1" t="n">
        <v>45890</v>
      </c>
      <c r="D1111" t="inlineStr">
        <is>
          <t>VÄSTERNORRLANDS LÄN</t>
        </is>
      </c>
      <c r="E1111" t="inlineStr">
        <is>
          <t>ÅNGE</t>
        </is>
      </c>
      <c r="F1111" t="inlineStr">
        <is>
          <t>SCA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41302-2024</t>
        </is>
      </c>
      <c r="B1112" s="1" t="n">
        <v>45559.62077546296</v>
      </c>
      <c r="C1112" s="1" t="n">
        <v>45890</v>
      </c>
      <c r="D1112" t="inlineStr">
        <is>
          <t>VÄSTERNORRLANDS LÄN</t>
        </is>
      </c>
      <c r="E1112" t="inlineStr">
        <is>
          <t>ÅNGE</t>
        </is>
      </c>
      <c r="F1112" t="inlineStr">
        <is>
          <t>Holmen skog AB</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51609-2023</t>
        </is>
      </c>
      <c r="B1113" s="1" t="n">
        <v>45215</v>
      </c>
      <c r="C1113" s="1" t="n">
        <v>45890</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27661-2024</t>
        </is>
      </c>
      <c r="B1114" s="1" t="n">
        <v>45474.95365740741</v>
      </c>
      <c r="C1114" s="1" t="n">
        <v>45890</v>
      </c>
      <c r="D1114" t="inlineStr">
        <is>
          <t>VÄSTERNORRLANDS LÄN</t>
        </is>
      </c>
      <c r="E1114" t="inlineStr">
        <is>
          <t>ÅNGE</t>
        </is>
      </c>
      <c r="F1114" t="inlineStr">
        <is>
          <t>SCA</t>
        </is>
      </c>
      <c r="G1114" t="n">
        <v>19.1</v>
      </c>
      <c r="H1114" t="n">
        <v>0</v>
      </c>
      <c r="I1114" t="n">
        <v>0</v>
      </c>
      <c r="J1114" t="n">
        <v>0</v>
      </c>
      <c r="K1114" t="n">
        <v>0</v>
      </c>
      <c r="L1114" t="n">
        <v>0</v>
      </c>
      <c r="M1114" t="n">
        <v>0</v>
      </c>
      <c r="N1114" t="n">
        <v>0</v>
      </c>
      <c r="O1114" t="n">
        <v>0</v>
      </c>
      <c r="P1114" t="n">
        <v>0</v>
      </c>
      <c r="Q1114" t="n">
        <v>0</v>
      </c>
      <c r="R1114" s="2" t="inlineStr"/>
    </row>
    <row r="1115" ht="15" customHeight="1">
      <c r="A1115" t="inlineStr">
        <is>
          <t>A 27668-2024</t>
        </is>
      </c>
      <c r="B1115" s="1" t="n">
        <v>45474.95435185185</v>
      </c>
      <c r="C1115" s="1" t="n">
        <v>45890</v>
      </c>
      <c r="D1115" t="inlineStr">
        <is>
          <t>VÄSTERNORRLANDS LÄN</t>
        </is>
      </c>
      <c r="E1115" t="inlineStr">
        <is>
          <t>ÅNGE</t>
        </is>
      </c>
      <c r="F1115" t="inlineStr">
        <is>
          <t>SCA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31452-2025</t>
        </is>
      </c>
      <c r="B1116" s="1" t="n">
        <v>45833.53179398148</v>
      </c>
      <c r="C1116" s="1" t="n">
        <v>45890</v>
      </c>
      <c r="D1116" t="inlineStr">
        <is>
          <t>VÄSTERNORRLANDS LÄN</t>
        </is>
      </c>
      <c r="E1116" t="inlineStr">
        <is>
          <t>ÅNGE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12021-2022</t>
        </is>
      </c>
      <c r="B1117" s="1" t="n">
        <v>44635</v>
      </c>
      <c r="C1117" s="1" t="n">
        <v>45890</v>
      </c>
      <c r="D1117" t="inlineStr">
        <is>
          <t>VÄSTERNORRLANDS LÄN</t>
        </is>
      </c>
      <c r="E1117" t="inlineStr">
        <is>
          <t>ÅNGE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31544-2025</t>
        </is>
      </c>
      <c r="B1118" s="1" t="n">
        <v>45833.63597222222</v>
      </c>
      <c r="C1118" s="1" t="n">
        <v>45890</v>
      </c>
      <c r="D1118" t="inlineStr">
        <is>
          <t>VÄSTERNORRLANDS LÄN</t>
        </is>
      </c>
      <c r="E1118" t="inlineStr">
        <is>
          <t>ÅNGE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31042-2025</t>
        </is>
      </c>
      <c r="B1119" s="1" t="n">
        <v>45832.55267361111</v>
      </c>
      <c r="C1119" s="1" t="n">
        <v>45890</v>
      </c>
      <c r="D1119" t="inlineStr">
        <is>
          <t>VÄSTERNORRLANDS LÄN</t>
        </is>
      </c>
      <c r="E1119" t="inlineStr">
        <is>
          <t>ÅNGE</t>
        </is>
      </c>
      <c r="F1119" t="inlineStr">
        <is>
          <t>SCA</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5249-2025</t>
        </is>
      </c>
      <c r="B1120" s="1" t="n">
        <v>45692.34465277778</v>
      </c>
      <c r="C1120" s="1" t="n">
        <v>45890</v>
      </c>
      <c r="D1120" t="inlineStr">
        <is>
          <t>VÄSTERNORRLANDS LÄN</t>
        </is>
      </c>
      <c r="E1120" t="inlineStr">
        <is>
          <t>ÅNGE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31275-2025</t>
        </is>
      </c>
      <c r="B1121" s="1" t="n">
        <v>45833.34459490741</v>
      </c>
      <c r="C1121" s="1" t="n">
        <v>45890</v>
      </c>
      <c r="D1121" t="inlineStr">
        <is>
          <t>VÄSTERNORRLANDS LÄN</t>
        </is>
      </c>
      <c r="E1121" t="inlineStr">
        <is>
          <t>ÅNGE</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31135-2025</t>
        </is>
      </c>
      <c r="B1122" s="1" t="n">
        <v>45832.63581018519</v>
      </c>
      <c r="C1122" s="1" t="n">
        <v>45890</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43366-2024</t>
        </is>
      </c>
      <c r="B1123" s="1" t="n">
        <v>45568</v>
      </c>
      <c r="C1123" s="1" t="n">
        <v>45890</v>
      </c>
      <c r="D1123" t="inlineStr">
        <is>
          <t>VÄSTERNORRLANDS LÄN</t>
        </is>
      </c>
      <c r="E1123" t="inlineStr">
        <is>
          <t>ÅNGE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30888-2025</t>
        </is>
      </c>
      <c r="B1124" s="1" t="n">
        <v>45832.34606481482</v>
      </c>
      <c r="C1124" s="1" t="n">
        <v>45890</v>
      </c>
      <c r="D1124" t="inlineStr">
        <is>
          <t>VÄSTERNORRLANDS LÄN</t>
        </is>
      </c>
      <c r="E1124" t="inlineStr">
        <is>
          <t>ÅNGE</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35577-2024</t>
        </is>
      </c>
      <c r="B1125" s="1" t="n">
        <v>45531</v>
      </c>
      <c r="C1125" s="1" t="n">
        <v>45890</v>
      </c>
      <c r="D1125" t="inlineStr">
        <is>
          <t>VÄSTERNORRLANDS LÄN</t>
        </is>
      </c>
      <c r="E1125" t="inlineStr">
        <is>
          <t>ÅNGE</t>
        </is>
      </c>
      <c r="F1125" t="inlineStr">
        <is>
          <t>SCA</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35580-2024</t>
        </is>
      </c>
      <c r="B1126" s="1" t="n">
        <v>45531</v>
      </c>
      <c r="C1126" s="1" t="n">
        <v>45890</v>
      </c>
      <c r="D1126" t="inlineStr">
        <is>
          <t>VÄSTERNORRLANDS LÄN</t>
        </is>
      </c>
      <c r="E1126" t="inlineStr">
        <is>
          <t>ÅNGE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28428-2023</t>
        </is>
      </c>
      <c r="B1127" s="1" t="n">
        <v>45102</v>
      </c>
      <c r="C1127" s="1" t="n">
        <v>45890</v>
      </c>
      <c r="D1127" t="inlineStr">
        <is>
          <t>VÄSTERNORRLANDS LÄN</t>
        </is>
      </c>
      <c r="E1127" t="inlineStr">
        <is>
          <t>ÅNGE</t>
        </is>
      </c>
      <c r="F1127" t="inlineStr">
        <is>
          <t>Kyrkan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35399-2024</t>
        </is>
      </c>
      <c r="B1128" s="1" t="n">
        <v>45531.40438657408</v>
      </c>
      <c r="C1128" s="1" t="n">
        <v>45890</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72239-2021</t>
        </is>
      </c>
      <c r="B1129" s="1" t="n">
        <v>44544.9203587963</v>
      </c>
      <c r="C1129" s="1" t="n">
        <v>45890</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30875-2025</t>
        </is>
      </c>
      <c r="B1130" s="1" t="n">
        <v>45832.34447916667</v>
      </c>
      <c r="C1130" s="1" t="n">
        <v>45890</v>
      </c>
      <c r="D1130" t="inlineStr">
        <is>
          <t>VÄSTERNORRLANDS LÄN</t>
        </is>
      </c>
      <c r="E1130" t="inlineStr">
        <is>
          <t>ÅNGE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37045-2025</t>
        </is>
      </c>
      <c r="B1131" s="1" t="n">
        <v>45875.34451388889</v>
      </c>
      <c r="C1131" s="1" t="n">
        <v>45890</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31211-2025</t>
        </is>
      </c>
      <c r="B1132" s="1" t="n">
        <v>45832.71938657408</v>
      </c>
      <c r="C1132" s="1" t="n">
        <v>45890</v>
      </c>
      <c r="D1132" t="inlineStr">
        <is>
          <t>VÄSTERNORRLANDS LÄN</t>
        </is>
      </c>
      <c r="E1132" t="inlineStr">
        <is>
          <t>ÅNGE</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36873-2025</t>
        </is>
      </c>
      <c r="B1133" s="1" t="n">
        <v>45874.42935185185</v>
      </c>
      <c r="C1133" s="1" t="n">
        <v>45890</v>
      </c>
      <c r="D1133" t="inlineStr">
        <is>
          <t>VÄSTERNORRLANDS LÄN</t>
        </is>
      </c>
      <c r="E1133" t="inlineStr">
        <is>
          <t>ÅNGE</t>
        </is>
      </c>
      <c r="F1133" t="inlineStr">
        <is>
          <t>SCA</t>
        </is>
      </c>
      <c r="G1133" t="n">
        <v>16.9</v>
      </c>
      <c r="H1133" t="n">
        <v>0</v>
      </c>
      <c r="I1133" t="n">
        <v>0</v>
      </c>
      <c r="J1133" t="n">
        <v>0</v>
      </c>
      <c r="K1133" t="n">
        <v>0</v>
      </c>
      <c r="L1133" t="n">
        <v>0</v>
      </c>
      <c r="M1133" t="n">
        <v>0</v>
      </c>
      <c r="N1133" t="n">
        <v>0</v>
      </c>
      <c r="O1133" t="n">
        <v>0</v>
      </c>
      <c r="P1133" t="n">
        <v>0</v>
      </c>
      <c r="Q1133" t="n">
        <v>0</v>
      </c>
      <c r="R1133" s="2" t="inlineStr"/>
    </row>
    <row r="1134" ht="15" customHeight="1">
      <c r="A1134" t="inlineStr">
        <is>
          <t>A 59986-2021</t>
        </is>
      </c>
      <c r="B1134" s="1" t="n">
        <v>44494</v>
      </c>
      <c r="C1134" s="1" t="n">
        <v>45890</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37108-2025</t>
        </is>
      </c>
      <c r="B1135" s="1" t="n">
        <v>45875.48835648148</v>
      </c>
      <c r="C1135" s="1" t="n">
        <v>45890</v>
      </c>
      <c r="D1135" t="inlineStr">
        <is>
          <t>VÄSTERNORRLANDS LÄN</t>
        </is>
      </c>
      <c r="E1135" t="inlineStr">
        <is>
          <t>ÅNGE</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37177-2025</t>
        </is>
      </c>
      <c r="B1136" s="1" t="n">
        <v>45875.61539351852</v>
      </c>
      <c r="C1136" s="1" t="n">
        <v>45890</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30556-2023</t>
        </is>
      </c>
      <c r="B1137" s="1" t="n">
        <v>45111.87935185185</v>
      </c>
      <c r="C1137" s="1" t="n">
        <v>45890</v>
      </c>
      <c r="D1137" t="inlineStr">
        <is>
          <t>VÄSTERNORRLANDS LÄN</t>
        </is>
      </c>
      <c r="E1137" t="inlineStr">
        <is>
          <t>ÅNGE</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31484-2025</t>
        </is>
      </c>
      <c r="B1138" s="1" t="n">
        <v>45833.57418981481</v>
      </c>
      <c r="C1138" s="1" t="n">
        <v>45890</v>
      </c>
      <c r="D1138" t="inlineStr">
        <is>
          <t>VÄSTERNORRLANDS LÄN</t>
        </is>
      </c>
      <c r="E1138" t="inlineStr">
        <is>
          <t>ÅNGE</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30877-2025</t>
        </is>
      </c>
      <c r="B1139" s="1" t="n">
        <v>45832.34478009259</v>
      </c>
      <c r="C1139" s="1" t="n">
        <v>45890</v>
      </c>
      <c r="D1139" t="inlineStr">
        <is>
          <t>VÄSTERNORRLANDS LÄN</t>
        </is>
      </c>
      <c r="E1139" t="inlineStr">
        <is>
          <t>ÅNGE</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31139-2025</t>
        </is>
      </c>
      <c r="B1140" s="1" t="n">
        <v>45832.63633101852</v>
      </c>
      <c r="C1140" s="1" t="n">
        <v>45890</v>
      </c>
      <c r="D1140" t="inlineStr">
        <is>
          <t>VÄSTERNORRLANDS LÄN</t>
        </is>
      </c>
      <c r="E1140" t="inlineStr">
        <is>
          <t>ÅNGE</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31041-2025</t>
        </is>
      </c>
      <c r="B1141" s="1" t="n">
        <v>45832.55247685185</v>
      </c>
      <c r="C1141" s="1" t="n">
        <v>45890</v>
      </c>
      <c r="D1141" t="inlineStr">
        <is>
          <t>VÄSTERNORRLANDS LÄN</t>
        </is>
      </c>
      <c r="E1141" t="inlineStr">
        <is>
          <t>ÅNGE</t>
        </is>
      </c>
      <c r="F1141" t="inlineStr">
        <is>
          <t>SCA</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53549-2023</t>
        </is>
      </c>
      <c r="B1142" s="1" t="n">
        <v>45230</v>
      </c>
      <c r="C1142" s="1" t="n">
        <v>45890</v>
      </c>
      <c r="D1142" t="inlineStr">
        <is>
          <t>VÄSTERNORRLANDS LÄN</t>
        </is>
      </c>
      <c r="E1142" t="inlineStr">
        <is>
          <t>ÅNGE</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37384-2025</t>
        </is>
      </c>
      <c r="B1143" s="1" t="n">
        <v>45877.3859837963</v>
      </c>
      <c r="C1143" s="1" t="n">
        <v>45890</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34705-2023</t>
        </is>
      </c>
      <c r="B1144" s="1" t="n">
        <v>45140.96452546296</v>
      </c>
      <c r="C1144" s="1" t="n">
        <v>45890</v>
      </c>
      <c r="D1144" t="inlineStr">
        <is>
          <t>VÄSTERNORRLANDS LÄN</t>
        </is>
      </c>
      <c r="E1144" t="inlineStr">
        <is>
          <t>ÅNGE</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50186-2021</t>
        </is>
      </c>
      <c r="B1145" s="1" t="n">
        <v>44456</v>
      </c>
      <c r="C1145" s="1" t="n">
        <v>45890</v>
      </c>
      <c r="D1145" t="inlineStr">
        <is>
          <t>VÄSTERNORRLANDS LÄN</t>
        </is>
      </c>
      <c r="E1145" t="inlineStr">
        <is>
          <t>ÅNGE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31646-2025</t>
        </is>
      </c>
      <c r="B1146" s="1" t="n">
        <v>45834.34563657407</v>
      </c>
      <c r="C1146" s="1" t="n">
        <v>45890</v>
      </c>
      <c r="D1146" t="inlineStr">
        <is>
          <t>VÄSTERNORRLANDS LÄN</t>
        </is>
      </c>
      <c r="E1146" t="inlineStr">
        <is>
          <t>ÅNGE</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31642-2025</t>
        </is>
      </c>
      <c r="B1147" s="1" t="n">
        <v>45834.34474537037</v>
      </c>
      <c r="C1147" s="1" t="n">
        <v>45890</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32025-2025</t>
        </is>
      </c>
      <c r="B1148" s="1" t="n">
        <v>45835.40721064815</v>
      </c>
      <c r="C1148" s="1" t="n">
        <v>45890</v>
      </c>
      <c r="D1148" t="inlineStr">
        <is>
          <t>VÄSTERNORRLANDS LÄN</t>
        </is>
      </c>
      <c r="E1148" t="inlineStr">
        <is>
          <t>ÅNGE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34815-2024</t>
        </is>
      </c>
      <c r="B1149" s="1" t="n">
        <v>45526.70732638889</v>
      </c>
      <c r="C1149" s="1" t="n">
        <v>45890</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32024-2025</t>
        </is>
      </c>
      <c r="B1150" s="1" t="n">
        <v>45835.40706018519</v>
      </c>
      <c r="C1150" s="1" t="n">
        <v>45890</v>
      </c>
      <c r="D1150" t="inlineStr">
        <is>
          <t>VÄSTERNORRLANDS LÄN</t>
        </is>
      </c>
      <c r="E1150" t="inlineStr">
        <is>
          <t>ÅNGE</t>
        </is>
      </c>
      <c r="F1150" t="inlineStr">
        <is>
          <t>SCA</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26092-2025</t>
        </is>
      </c>
      <c r="B1151" s="1" t="n">
        <v>45805</v>
      </c>
      <c r="C1151" s="1" t="n">
        <v>45890</v>
      </c>
      <c r="D1151" t="inlineStr">
        <is>
          <t>VÄSTERNORRLANDS LÄN</t>
        </is>
      </c>
      <c r="E1151" t="inlineStr">
        <is>
          <t>ÅNGE</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35392-2024</t>
        </is>
      </c>
      <c r="B1152" s="1" t="n">
        <v>45531.4025462963</v>
      </c>
      <c r="C1152" s="1" t="n">
        <v>45890</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37371-2025</t>
        </is>
      </c>
      <c r="B1153" s="1" t="n">
        <v>45877.34472222222</v>
      </c>
      <c r="C1153" s="1" t="n">
        <v>45890</v>
      </c>
      <c r="D1153" t="inlineStr">
        <is>
          <t>VÄSTERNORRLANDS LÄN</t>
        </is>
      </c>
      <c r="E1153" t="inlineStr">
        <is>
          <t>ÅNGE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37383-2025</t>
        </is>
      </c>
      <c r="B1154" s="1" t="n">
        <v>45877.38581018519</v>
      </c>
      <c r="C1154" s="1" t="n">
        <v>45890</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31666-2025</t>
        </is>
      </c>
      <c r="B1155" s="1" t="n">
        <v>45834.36519675926</v>
      </c>
      <c r="C1155" s="1" t="n">
        <v>45890</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3977-2025</t>
        </is>
      </c>
      <c r="B1156" s="1" t="n">
        <v>45684</v>
      </c>
      <c r="C1156" s="1" t="n">
        <v>45890</v>
      </c>
      <c r="D1156" t="inlineStr">
        <is>
          <t>VÄSTERNORRLANDS LÄN</t>
        </is>
      </c>
      <c r="E1156" t="inlineStr">
        <is>
          <t>ÅNGE</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27952-2024</t>
        </is>
      </c>
      <c r="B1157" s="1" t="n">
        <v>45476.33063657407</v>
      </c>
      <c r="C1157" s="1" t="n">
        <v>45890</v>
      </c>
      <c r="D1157" t="inlineStr">
        <is>
          <t>VÄSTERNORRLANDS LÄN</t>
        </is>
      </c>
      <c r="E1157" t="inlineStr">
        <is>
          <t>ÅNGE</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37303-2025</t>
        </is>
      </c>
      <c r="B1158" s="1" t="n">
        <v>45876.59445601852</v>
      </c>
      <c r="C1158" s="1" t="n">
        <v>45890</v>
      </c>
      <c r="D1158" t="inlineStr">
        <is>
          <t>VÄSTERNORRLANDS LÄN</t>
        </is>
      </c>
      <c r="E1158" t="inlineStr">
        <is>
          <t>ÅNGE</t>
        </is>
      </c>
      <c r="F1158" t="inlineStr">
        <is>
          <t>SCA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37275-2025</t>
        </is>
      </c>
      <c r="B1159" s="1" t="n">
        <v>45876.49003472222</v>
      </c>
      <c r="C1159" s="1" t="n">
        <v>45890</v>
      </c>
      <c r="D1159" t="inlineStr">
        <is>
          <t>VÄSTERNORRLANDS LÄN</t>
        </is>
      </c>
      <c r="E1159" t="inlineStr">
        <is>
          <t>ÅNGE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37233-2025</t>
        </is>
      </c>
      <c r="B1160" s="1" t="n">
        <v>45876.34474537037</v>
      </c>
      <c r="C1160" s="1" t="n">
        <v>45890</v>
      </c>
      <c r="D1160" t="inlineStr">
        <is>
          <t>VÄSTERNORRLANDS LÄN</t>
        </is>
      </c>
      <c r="E1160" t="inlineStr">
        <is>
          <t>ÅNGE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37450-2025</t>
        </is>
      </c>
      <c r="B1161" s="1" t="n">
        <v>45877.55261574074</v>
      </c>
      <c r="C1161" s="1" t="n">
        <v>45890</v>
      </c>
      <c r="D1161" t="inlineStr">
        <is>
          <t>VÄSTERNORRLANDS LÄN</t>
        </is>
      </c>
      <c r="E1161" t="inlineStr">
        <is>
          <t>ÅNGE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58634-2023</t>
        </is>
      </c>
      <c r="B1162" s="1" t="n">
        <v>45251</v>
      </c>
      <c r="C1162" s="1" t="n">
        <v>45890</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32051-2025</t>
        </is>
      </c>
      <c r="B1163" s="1" t="n">
        <v>45835.44185185185</v>
      </c>
      <c r="C1163" s="1" t="n">
        <v>45890</v>
      </c>
      <c r="D1163" t="inlineStr">
        <is>
          <t>VÄSTERNORRLANDS LÄN</t>
        </is>
      </c>
      <c r="E1163" t="inlineStr">
        <is>
          <t>ÅNGE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41825-2022</t>
        </is>
      </c>
      <c r="B1164" s="1" t="n">
        <v>44827</v>
      </c>
      <c r="C1164" s="1" t="n">
        <v>45890</v>
      </c>
      <c r="D1164" t="inlineStr">
        <is>
          <t>VÄSTERNORRLANDS LÄN</t>
        </is>
      </c>
      <c r="E1164" t="inlineStr">
        <is>
          <t>ÅNGE</t>
        </is>
      </c>
      <c r="F1164" t="inlineStr">
        <is>
          <t>SCA</t>
        </is>
      </c>
      <c r="G1164" t="n">
        <v>3.3</v>
      </c>
      <c r="H1164" t="n">
        <v>0</v>
      </c>
      <c r="I1164" t="n">
        <v>0</v>
      </c>
      <c r="J1164" t="n">
        <v>0</v>
      </c>
      <c r="K1164" t="n">
        <v>0</v>
      </c>
      <c r="L1164" t="n">
        <v>0</v>
      </c>
      <c r="M1164" t="n">
        <v>0</v>
      </c>
      <c r="N1164" t="n">
        <v>0</v>
      </c>
      <c r="O1164" t="n">
        <v>0</v>
      </c>
      <c r="P1164" t="n">
        <v>0</v>
      </c>
      <c r="Q1164" t="n">
        <v>0</v>
      </c>
      <c r="R1164" s="2" t="inlineStr"/>
      <c r="U1164">
        <f>HYPERLINK("https://klasma.github.io/Logging_2260/knärot/A 41825-2022 karta knärot.png", "A 41825-2022")</f>
        <v/>
      </c>
      <c r="V1164">
        <f>HYPERLINK("https://klasma.github.io/Logging_2260/klagomål/A 41825-2022 FSC-klagomål.docx", "A 41825-2022")</f>
        <v/>
      </c>
      <c r="W1164">
        <f>HYPERLINK("https://klasma.github.io/Logging_2260/klagomålsmail/A 41825-2022 FSC-klagomål mail.docx", "A 41825-2022")</f>
        <v/>
      </c>
      <c r="X1164">
        <f>HYPERLINK("https://klasma.github.io/Logging_2260/tillsyn/A 41825-2022 tillsynsbegäran.docx", "A 41825-2022")</f>
        <v/>
      </c>
      <c r="Y1164">
        <f>HYPERLINK("https://klasma.github.io/Logging_2260/tillsynsmail/A 41825-2022 tillsynsbegäran mail.docx", "A 41825-2022")</f>
        <v/>
      </c>
    </row>
    <row r="1165" ht="15" customHeight="1">
      <c r="A1165" t="inlineStr">
        <is>
          <t>A 35581-2024</t>
        </is>
      </c>
      <c r="B1165" s="1" t="n">
        <v>45531</v>
      </c>
      <c r="C1165" s="1" t="n">
        <v>45890</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35582-2024</t>
        </is>
      </c>
      <c r="B1166" s="1" t="n">
        <v>45531.64800925926</v>
      </c>
      <c r="C1166" s="1" t="n">
        <v>45890</v>
      </c>
      <c r="D1166" t="inlineStr">
        <is>
          <t>VÄSTERNORRLANDS LÄN</t>
        </is>
      </c>
      <c r="E1166" t="inlineStr">
        <is>
          <t>ÅNGE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31864-2024</t>
        </is>
      </c>
      <c r="B1167" s="1" t="n">
        <v>45509.74791666667</v>
      </c>
      <c r="C1167" s="1" t="n">
        <v>45890</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4904-2024</t>
        </is>
      </c>
      <c r="B1168" s="1" t="n">
        <v>45329.47856481482</v>
      </c>
      <c r="C1168" s="1" t="n">
        <v>45890</v>
      </c>
      <c r="D1168" t="inlineStr">
        <is>
          <t>VÄSTERNORRLANDS LÄN</t>
        </is>
      </c>
      <c r="E1168" t="inlineStr">
        <is>
          <t>ÅNGE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37919-2025</t>
        </is>
      </c>
      <c r="B1169" s="1" t="n">
        <v>45881.57478009259</v>
      </c>
      <c r="C1169" s="1" t="n">
        <v>45890</v>
      </c>
      <c r="D1169" t="inlineStr">
        <is>
          <t>VÄSTERNORRLANDS LÄN</t>
        </is>
      </c>
      <c r="E1169" t="inlineStr">
        <is>
          <t>ÅNGE</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53512-2023</t>
        </is>
      </c>
      <c r="B1170" s="1" t="n">
        <v>45230</v>
      </c>
      <c r="C1170" s="1" t="n">
        <v>45890</v>
      </c>
      <c r="D1170" t="inlineStr">
        <is>
          <t>VÄSTERNORRLANDS LÄN</t>
        </is>
      </c>
      <c r="E1170" t="inlineStr">
        <is>
          <t>ÅNGE</t>
        </is>
      </c>
      <c r="F1170" t="inlineStr">
        <is>
          <t>Holmen skog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37558-2023</t>
        </is>
      </c>
      <c r="B1171" s="1" t="n">
        <v>45159.34511574074</v>
      </c>
      <c r="C1171" s="1" t="n">
        <v>45890</v>
      </c>
      <c r="D1171" t="inlineStr">
        <is>
          <t>VÄSTERNORRLANDS LÄN</t>
        </is>
      </c>
      <c r="E1171" t="inlineStr">
        <is>
          <t>ÅNGE</t>
        </is>
      </c>
      <c r="F1171" t="inlineStr">
        <is>
          <t>Kyrkan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57592-2022</t>
        </is>
      </c>
      <c r="B1172" s="1" t="n">
        <v>44896.97841435186</v>
      </c>
      <c r="C1172" s="1" t="n">
        <v>45890</v>
      </c>
      <c r="D1172" t="inlineStr">
        <is>
          <t>VÄSTERNORRLANDS LÄN</t>
        </is>
      </c>
      <c r="E1172" t="inlineStr">
        <is>
          <t>ÅNGE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57602-2022</t>
        </is>
      </c>
      <c r="B1173" s="1" t="n">
        <v>44896</v>
      </c>
      <c r="C1173" s="1" t="n">
        <v>45890</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37663-2025</t>
        </is>
      </c>
      <c r="B1174" s="1" t="n">
        <v>45880.51079861111</v>
      </c>
      <c r="C1174" s="1" t="n">
        <v>45890</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37719-2025</t>
        </is>
      </c>
      <c r="B1175" s="1" t="n">
        <v>45880.61505787037</v>
      </c>
      <c r="C1175" s="1" t="n">
        <v>45890</v>
      </c>
      <c r="D1175" t="inlineStr">
        <is>
          <t>VÄSTERNORRLANDS LÄN</t>
        </is>
      </c>
      <c r="E1175" t="inlineStr">
        <is>
          <t>ÅNGE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37723-2025</t>
        </is>
      </c>
      <c r="B1176" s="1" t="n">
        <v>45880.61528935185</v>
      </c>
      <c r="C1176" s="1" t="n">
        <v>45890</v>
      </c>
      <c r="D1176" t="inlineStr">
        <is>
          <t>VÄSTERNORRLANDS LÄN</t>
        </is>
      </c>
      <c r="E1176" t="inlineStr">
        <is>
          <t>ÅNGE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58774-2023</t>
        </is>
      </c>
      <c r="B1177" s="1" t="n">
        <v>45251</v>
      </c>
      <c r="C1177" s="1" t="n">
        <v>45890</v>
      </c>
      <c r="D1177" t="inlineStr">
        <is>
          <t>VÄSTERNORRLANDS LÄN</t>
        </is>
      </c>
      <c r="E1177" t="inlineStr">
        <is>
          <t>ÅNGE</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21089-2024</t>
        </is>
      </c>
      <c r="B1178" s="1" t="n">
        <v>45439.94987268518</v>
      </c>
      <c r="C1178" s="1" t="n">
        <v>45890</v>
      </c>
      <c r="D1178" t="inlineStr">
        <is>
          <t>VÄSTERNORRLANDS LÄN</t>
        </is>
      </c>
      <c r="E1178" t="inlineStr">
        <is>
          <t>ÅNGE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21151-2024</t>
        </is>
      </c>
      <c r="B1179" s="1" t="n">
        <v>45440</v>
      </c>
      <c r="C1179" s="1" t="n">
        <v>45890</v>
      </c>
      <c r="D1179" t="inlineStr">
        <is>
          <t>VÄSTERNORRLANDS LÄN</t>
        </is>
      </c>
      <c r="E1179" t="inlineStr">
        <is>
          <t>ÅNGE</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37802-2025</t>
        </is>
      </c>
      <c r="B1180" s="1" t="n">
        <v>45881.34447916667</v>
      </c>
      <c r="C1180" s="1" t="n">
        <v>45890</v>
      </c>
      <c r="D1180" t="inlineStr">
        <is>
          <t>VÄSTERNORRLANDS LÄN</t>
        </is>
      </c>
      <c r="E1180" t="inlineStr">
        <is>
          <t>ÅNGE</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17923-2025</t>
        </is>
      </c>
      <c r="B1181" s="1" t="n">
        <v>45759.34415509259</v>
      </c>
      <c r="C1181" s="1" t="n">
        <v>45890</v>
      </c>
      <c r="D1181" t="inlineStr">
        <is>
          <t>VÄSTERNORRLANDS LÄN</t>
        </is>
      </c>
      <c r="E1181" t="inlineStr">
        <is>
          <t>ÅNGE</t>
        </is>
      </c>
      <c r="F1181" t="inlineStr">
        <is>
          <t>SCA</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13164-2022</t>
        </is>
      </c>
      <c r="B1182" s="1" t="n">
        <v>44644</v>
      </c>
      <c r="C1182" s="1" t="n">
        <v>45890</v>
      </c>
      <c r="D1182" t="inlineStr">
        <is>
          <t>VÄSTERNORRLANDS LÄN</t>
        </is>
      </c>
      <c r="E1182" t="inlineStr">
        <is>
          <t>ÅNGE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20110-2023</t>
        </is>
      </c>
      <c r="B1183" s="1" t="n">
        <v>45051</v>
      </c>
      <c r="C1183" s="1" t="n">
        <v>45890</v>
      </c>
      <c r="D1183" t="inlineStr">
        <is>
          <t>VÄSTERNORRLANDS LÄN</t>
        </is>
      </c>
      <c r="E1183" t="inlineStr">
        <is>
          <t>ÅNGE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22680-2024</t>
        </is>
      </c>
      <c r="B1184" s="1" t="n">
        <v>45447.94548611111</v>
      </c>
      <c r="C1184" s="1" t="n">
        <v>45890</v>
      </c>
      <c r="D1184" t="inlineStr">
        <is>
          <t>VÄSTERNORRLANDS LÄN</t>
        </is>
      </c>
      <c r="E1184" t="inlineStr">
        <is>
          <t>ÅNGE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18430-2025</t>
        </is>
      </c>
      <c r="B1185" s="1" t="n">
        <v>45762.63576388889</v>
      </c>
      <c r="C1185" s="1" t="n">
        <v>45890</v>
      </c>
      <c r="D1185" t="inlineStr">
        <is>
          <t>VÄSTERNORRLANDS LÄN</t>
        </is>
      </c>
      <c r="E1185" t="inlineStr">
        <is>
          <t>ÅNGE</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32847-2025</t>
        </is>
      </c>
      <c r="B1186" s="1" t="n">
        <v>45839.57354166666</v>
      </c>
      <c r="C1186" s="1" t="n">
        <v>45890</v>
      </c>
      <c r="D1186" t="inlineStr">
        <is>
          <t>VÄSTERNORRLANDS LÄN</t>
        </is>
      </c>
      <c r="E1186" t="inlineStr">
        <is>
          <t>ÅNGE</t>
        </is>
      </c>
      <c r="F1186" t="inlineStr">
        <is>
          <t>SCA</t>
        </is>
      </c>
      <c r="G1186" t="n">
        <v>9.4</v>
      </c>
      <c r="H1186" t="n">
        <v>0</v>
      </c>
      <c r="I1186" t="n">
        <v>0</v>
      </c>
      <c r="J1186" t="n">
        <v>0</v>
      </c>
      <c r="K1186" t="n">
        <v>0</v>
      </c>
      <c r="L1186" t="n">
        <v>0</v>
      </c>
      <c r="M1186" t="n">
        <v>0</v>
      </c>
      <c r="N1186" t="n">
        <v>0</v>
      </c>
      <c r="O1186" t="n">
        <v>0</v>
      </c>
      <c r="P1186" t="n">
        <v>0</v>
      </c>
      <c r="Q1186" t="n">
        <v>0</v>
      </c>
      <c r="R1186" s="2" t="inlineStr"/>
    </row>
    <row r="1187" ht="15" customHeight="1">
      <c r="A1187" t="inlineStr">
        <is>
          <t>A 13501-2021</t>
        </is>
      </c>
      <c r="B1187" s="1" t="n">
        <v>44273</v>
      </c>
      <c r="C1187" s="1" t="n">
        <v>45890</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20231-2022</t>
        </is>
      </c>
      <c r="B1188" s="1" t="n">
        <v>44698</v>
      </c>
      <c r="C1188" s="1" t="n">
        <v>45890</v>
      </c>
      <c r="D1188" t="inlineStr">
        <is>
          <t>VÄSTERNORRLANDS LÄN</t>
        </is>
      </c>
      <c r="E1188" t="inlineStr">
        <is>
          <t>ÅNGE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38078-2025</t>
        </is>
      </c>
      <c r="B1189" s="1" t="n">
        <v>45882.46918981482</v>
      </c>
      <c r="C1189" s="1" t="n">
        <v>45890</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38273-2025</t>
        </is>
      </c>
      <c r="B1190" s="1" t="n">
        <v>45883.40740740741</v>
      </c>
      <c r="C1190" s="1" t="n">
        <v>45890</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60363-2024</t>
        </is>
      </c>
      <c r="B1191" s="1" t="n">
        <v>45643</v>
      </c>
      <c r="C1191" s="1" t="n">
        <v>45890</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15369-2024</t>
        </is>
      </c>
      <c r="B1192" s="1" t="n">
        <v>45400.92290509259</v>
      </c>
      <c r="C1192" s="1" t="n">
        <v>45890</v>
      </c>
      <c r="D1192" t="inlineStr">
        <is>
          <t>VÄSTERNORRLANDS LÄN</t>
        </is>
      </c>
      <c r="E1192" t="inlineStr">
        <is>
          <t>ÅNGE</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38386-2025</t>
        </is>
      </c>
      <c r="B1193" s="1" t="n">
        <v>45883.57430555556</v>
      </c>
      <c r="C1193" s="1" t="n">
        <v>45890</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3624-2024</t>
        </is>
      </c>
      <c r="B1194" s="1" t="n">
        <v>45320.95305555555</v>
      </c>
      <c r="C1194" s="1" t="n">
        <v>45890</v>
      </c>
      <c r="D1194" t="inlineStr">
        <is>
          <t>VÄSTERNORRLANDS LÄN</t>
        </is>
      </c>
      <c r="E1194" t="inlineStr">
        <is>
          <t>ÅNGE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26010-2024</t>
        </is>
      </c>
      <c r="B1195" s="1" t="n">
        <v>45467.95819444444</v>
      </c>
      <c r="C1195" s="1" t="n">
        <v>45890</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38283-2025</t>
        </is>
      </c>
      <c r="B1196" s="1" t="n">
        <v>45883.42740740741</v>
      </c>
      <c r="C1196" s="1" t="n">
        <v>45890</v>
      </c>
      <c r="D1196" t="inlineStr">
        <is>
          <t>VÄSTERNORRLANDS LÄN</t>
        </is>
      </c>
      <c r="E1196" t="inlineStr">
        <is>
          <t>ÅNGE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10922-2024</t>
        </is>
      </c>
      <c r="B1197" s="1" t="n">
        <v>45370</v>
      </c>
      <c r="C1197" s="1" t="n">
        <v>45890</v>
      </c>
      <c r="D1197" t="inlineStr">
        <is>
          <t>VÄSTERNORRLANDS LÄN</t>
        </is>
      </c>
      <c r="E1197" t="inlineStr">
        <is>
          <t>ÅNGE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52785-2024</t>
        </is>
      </c>
      <c r="B1198" s="1" t="n">
        <v>45610.55273148148</v>
      </c>
      <c r="C1198" s="1" t="n">
        <v>45890</v>
      </c>
      <c r="D1198" t="inlineStr">
        <is>
          <t>VÄSTERNORRLANDS LÄN</t>
        </is>
      </c>
      <c r="E1198" t="inlineStr">
        <is>
          <t>ÅNGE</t>
        </is>
      </c>
      <c r="F1198" t="inlineStr">
        <is>
          <t>SCA</t>
        </is>
      </c>
      <c r="G1198" t="n">
        <v>9.300000000000001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52786-2024</t>
        </is>
      </c>
      <c r="B1199" s="1" t="n">
        <v>45610.55283564814</v>
      </c>
      <c r="C1199" s="1" t="n">
        <v>45890</v>
      </c>
      <c r="D1199" t="inlineStr">
        <is>
          <t>VÄSTERNORRLANDS LÄN</t>
        </is>
      </c>
      <c r="E1199" t="inlineStr">
        <is>
          <t>ÅNGE</t>
        </is>
      </c>
      <c r="F1199" t="inlineStr">
        <is>
          <t>SCA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46254-2023</t>
        </is>
      </c>
      <c r="B1200" s="1" t="n">
        <v>45196</v>
      </c>
      <c r="C1200" s="1" t="n">
        <v>45890</v>
      </c>
      <c r="D1200" t="inlineStr">
        <is>
          <t>VÄSTERNORRLANDS LÄN</t>
        </is>
      </c>
      <c r="E1200" t="inlineStr">
        <is>
          <t>ÅNGE</t>
        </is>
      </c>
      <c r="F1200" t="inlineStr">
        <is>
          <t>SCA</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46262-2023</t>
        </is>
      </c>
      <c r="B1201" s="1" t="n">
        <v>45196.93855324074</v>
      </c>
      <c r="C1201" s="1" t="n">
        <v>45890</v>
      </c>
      <c r="D1201" t="inlineStr">
        <is>
          <t>VÄSTERNORRLANDS LÄN</t>
        </is>
      </c>
      <c r="E1201" t="inlineStr">
        <is>
          <t>ÅNGE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46681-2023</t>
        </is>
      </c>
      <c r="B1202" s="1" t="n">
        <v>45198</v>
      </c>
      <c r="C1202" s="1" t="n">
        <v>45890</v>
      </c>
      <c r="D1202" t="inlineStr">
        <is>
          <t>VÄSTERNORRLANDS LÄN</t>
        </is>
      </c>
      <c r="E1202" t="inlineStr">
        <is>
          <t>ÅNGE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38332-2025</t>
        </is>
      </c>
      <c r="B1203" s="1" t="n">
        <v>45883.49151620371</v>
      </c>
      <c r="C1203" s="1" t="n">
        <v>45890</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46255-2023</t>
        </is>
      </c>
      <c r="B1204" s="1" t="n">
        <v>45196</v>
      </c>
      <c r="C1204" s="1" t="n">
        <v>45890</v>
      </c>
      <c r="D1204" t="inlineStr">
        <is>
          <t>VÄSTERNORRLANDS LÄN</t>
        </is>
      </c>
      <c r="E1204" t="inlineStr">
        <is>
          <t>ÅNGE</t>
        </is>
      </c>
      <c r="F1204" t="inlineStr">
        <is>
          <t>SCA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48725-2024</t>
        </is>
      </c>
      <c r="B1205" s="1" t="n">
        <v>45593.55793981482</v>
      </c>
      <c r="C1205" s="1" t="n">
        <v>45890</v>
      </c>
      <c r="D1205" t="inlineStr">
        <is>
          <t>VÄSTERNORRLANDS LÄN</t>
        </is>
      </c>
      <c r="E1205" t="inlineStr">
        <is>
          <t>ÅNGE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55197-2022</t>
        </is>
      </c>
      <c r="B1206" s="1" t="n">
        <v>44886.93714120371</v>
      </c>
      <c r="C1206" s="1" t="n">
        <v>45890</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18617-2024</t>
        </is>
      </c>
      <c r="B1207" s="1" t="n">
        <v>45425</v>
      </c>
      <c r="C1207" s="1" t="n">
        <v>45890</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18869-2024</t>
        </is>
      </c>
      <c r="B1208" s="1" t="n">
        <v>45426</v>
      </c>
      <c r="C1208" s="1" t="n">
        <v>45890</v>
      </c>
      <c r="D1208" t="inlineStr">
        <is>
          <t>VÄSTERNORRLANDS LÄN</t>
        </is>
      </c>
      <c r="E1208" t="inlineStr">
        <is>
          <t>ÅNGE</t>
        </is>
      </c>
      <c r="F1208" t="inlineStr">
        <is>
          <t>SCA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37540-2024</t>
        </is>
      </c>
      <c r="B1209" s="1" t="n">
        <v>45541.42111111111</v>
      </c>
      <c r="C1209" s="1" t="n">
        <v>45890</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42958-2024</t>
        </is>
      </c>
      <c r="B1210" s="1" t="n">
        <v>45567.37131944444</v>
      </c>
      <c r="C1210" s="1" t="n">
        <v>45890</v>
      </c>
      <c r="D1210" t="inlineStr">
        <is>
          <t>VÄSTERNORRLANDS LÄN</t>
        </is>
      </c>
      <c r="E1210" t="inlineStr">
        <is>
          <t>ÅNGE</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42969-2024</t>
        </is>
      </c>
      <c r="B1211" s="1" t="n">
        <v>45567.37300925926</v>
      </c>
      <c r="C1211" s="1" t="n">
        <v>45890</v>
      </c>
      <c r="D1211" t="inlineStr">
        <is>
          <t>VÄSTERNORRLANDS LÄN</t>
        </is>
      </c>
      <c r="E1211" t="inlineStr">
        <is>
          <t>ÅNGE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39619-2024</t>
        </is>
      </c>
      <c r="B1212" s="1" t="n">
        <v>45552</v>
      </c>
      <c r="C1212" s="1" t="n">
        <v>45890</v>
      </c>
      <c r="D1212" t="inlineStr">
        <is>
          <t>VÄSTERNORRLANDS LÄN</t>
        </is>
      </c>
      <c r="E1212" t="inlineStr">
        <is>
          <t>ÅNGE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37051-2021</t>
        </is>
      </c>
      <c r="B1213" s="1" t="n">
        <v>44393</v>
      </c>
      <c r="C1213" s="1" t="n">
        <v>45890</v>
      </c>
      <c r="D1213" t="inlineStr">
        <is>
          <t>VÄSTERNORRLANDS LÄN</t>
        </is>
      </c>
      <c r="E1213" t="inlineStr">
        <is>
          <t>ÅNGE</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5613-2024</t>
        </is>
      </c>
      <c r="B1214" s="1" t="n">
        <v>45334</v>
      </c>
      <c r="C1214" s="1" t="n">
        <v>45890</v>
      </c>
      <c r="D1214" t="inlineStr">
        <is>
          <t>VÄSTERNORRLANDS LÄN</t>
        </is>
      </c>
      <c r="E1214" t="inlineStr">
        <is>
          <t>ÅNGE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49502-2022</t>
        </is>
      </c>
      <c r="B1215" s="1" t="n">
        <v>44861.92613425926</v>
      </c>
      <c r="C1215" s="1" t="n">
        <v>45890</v>
      </c>
      <c r="D1215" t="inlineStr">
        <is>
          <t>VÄSTERNORRLANDS LÄN</t>
        </is>
      </c>
      <c r="E1215" t="inlineStr">
        <is>
          <t>ÅNGE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61928-2021</t>
        </is>
      </c>
      <c r="B1216" s="1" t="n">
        <v>44502.38475694445</v>
      </c>
      <c r="C1216" s="1" t="n">
        <v>45890</v>
      </c>
      <c r="D1216" t="inlineStr">
        <is>
          <t>VÄSTERNORRLANDS LÄN</t>
        </is>
      </c>
      <c r="E1216" t="inlineStr">
        <is>
          <t>ÅNGE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5367-2022</t>
        </is>
      </c>
      <c r="B1217" s="1" t="n">
        <v>44594.92111111111</v>
      </c>
      <c r="C1217" s="1" t="n">
        <v>45890</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54429-2024</t>
        </is>
      </c>
      <c r="B1218" s="1" t="n">
        <v>45617.49087962963</v>
      </c>
      <c r="C1218" s="1" t="n">
        <v>45890</v>
      </c>
      <c r="D1218" t="inlineStr">
        <is>
          <t>VÄSTERNORRLANDS LÄN</t>
        </is>
      </c>
      <c r="E1218" t="inlineStr">
        <is>
          <t>ÅNGE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24293-2023</t>
        </is>
      </c>
      <c r="B1219" s="1" t="n">
        <v>45079.92756944444</v>
      </c>
      <c r="C1219" s="1" t="n">
        <v>45890</v>
      </c>
      <c r="D1219" t="inlineStr">
        <is>
          <t>VÄSTERNORRLANDS LÄN</t>
        </is>
      </c>
      <c r="E1219" t="inlineStr">
        <is>
          <t>ÅNGE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361-2025</t>
        </is>
      </c>
      <c r="B1220" s="1" t="n">
        <v>45660</v>
      </c>
      <c r="C1220" s="1" t="n">
        <v>45890</v>
      </c>
      <c r="D1220" t="inlineStr">
        <is>
          <t>VÄSTERNORRLANDS LÄN</t>
        </is>
      </c>
      <c r="E1220" t="inlineStr">
        <is>
          <t>ÅNGE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38795-2023</t>
        </is>
      </c>
      <c r="B1221" s="1" t="n">
        <v>45162</v>
      </c>
      <c r="C1221" s="1" t="n">
        <v>45890</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39985-2023</t>
        </is>
      </c>
      <c r="B1222" s="1" t="n">
        <v>45168</v>
      </c>
      <c r="C1222" s="1" t="n">
        <v>45890</v>
      </c>
      <c r="D1222" t="inlineStr">
        <is>
          <t>VÄSTERNORRLANDS LÄN</t>
        </is>
      </c>
      <c r="E1222" t="inlineStr">
        <is>
          <t>ÅNGE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34228-2025</t>
        </is>
      </c>
      <c r="B1223" s="1" t="n">
        <v>45845.65704861111</v>
      </c>
      <c r="C1223" s="1" t="n">
        <v>45890</v>
      </c>
      <c r="D1223" t="inlineStr">
        <is>
          <t>VÄSTERNORRLANDS LÄN</t>
        </is>
      </c>
      <c r="E1223" t="inlineStr">
        <is>
          <t>ÅNGE</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34031-2025</t>
        </is>
      </c>
      <c r="B1224" s="1" t="n">
        <v>45845.36508101852</v>
      </c>
      <c r="C1224" s="1" t="n">
        <v>45890</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17601-2024</t>
        </is>
      </c>
      <c r="B1225" s="1" t="n">
        <v>45415</v>
      </c>
      <c r="C1225" s="1" t="n">
        <v>45890</v>
      </c>
      <c r="D1225" t="inlineStr">
        <is>
          <t>VÄSTERNORRLANDS LÄN</t>
        </is>
      </c>
      <c r="E1225" t="inlineStr">
        <is>
          <t>ÅNGE</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38715-2025</t>
        </is>
      </c>
      <c r="B1226" s="1" t="n">
        <v>45886.34501157407</v>
      </c>
      <c r="C1226" s="1" t="n">
        <v>45890</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34649-2024</t>
        </is>
      </c>
      <c r="B1227" s="1" t="n">
        <v>45526.48325231481</v>
      </c>
      <c r="C1227" s="1" t="n">
        <v>45890</v>
      </c>
      <c r="D1227" t="inlineStr">
        <is>
          <t>VÄSTERNORRLANDS LÄN</t>
        </is>
      </c>
      <c r="E1227" t="inlineStr">
        <is>
          <t>ÅNGE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13091-2024</t>
        </is>
      </c>
      <c r="B1228" s="1" t="n">
        <v>45385</v>
      </c>
      <c r="C1228" s="1" t="n">
        <v>45890</v>
      </c>
      <c r="D1228" t="inlineStr">
        <is>
          <t>VÄSTERNORRLANDS LÄN</t>
        </is>
      </c>
      <c r="E1228" t="inlineStr">
        <is>
          <t>ÅNGE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20108-2025</t>
        </is>
      </c>
      <c r="B1229" s="1" t="n">
        <v>45772.47006944445</v>
      </c>
      <c r="C1229" s="1" t="n">
        <v>45890</v>
      </c>
      <c r="D1229" t="inlineStr">
        <is>
          <t>VÄSTERNORRLANDS LÄN</t>
        </is>
      </c>
      <c r="E1229" t="inlineStr">
        <is>
          <t>ÅNGE</t>
        </is>
      </c>
      <c r="F1229" t="inlineStr">
        <is>
          <t>Naturvårdsverket</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38711-2025</t>
        </is>
      </c>
      <c r="B1230" s="1" t="n">
        <v>45886.34450231482</v>
      </c>
      <c r="C1230" s="1" t="n">
        <v>45890</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50419-2022</t>
        </is>
      </c>
      <c r="B1231" s="1" t="n">
        <v>44861</v>
      </c>
      <c r="C1231" s="1" t="n">
        <v>45890</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38693-2025</t>
        </is>
      </c>
      <c r="B1232" s="1" t="n">
        <v>45884.69829861111</v>
      </c>
      <c r="C1232" s="1" t="n">
        <v>45890</v>
      </c>
      <c r="D1232" t="inlineStr">
        <is>
          <t>VÄSTERNORRLANDS LÄN</t>
        </is>
      </c>
      <c r="E1232" t="inlineStr">
        <is>
          <t>ÅNGE</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8627-2023</t>
        </is>
      </c>
      <c r="B1233" s="1" t="n">
        <v>44977</v>
      </c>
      <c r="C1233" s="1" t="n">
        <v>45890</v>
      </c>
      <c r="D1233" t="inlineStr">
        <is>
          <t>VÄSTERNORRLANDS LÄN</t>
        </is>
      </c>
      <c r="E1233" t="inlineStr">
        <is>
          <t>ÅNGE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33719-2025</t>
        </is>
      </c>
      <c r="B1234" s="1" t="n">
        <v>45841.90143518519</v>
      </c>
      <c r="C1234" s="1" t="n">
        <v>45890</v>
      </c>
      <c r="D1234" t="inlineStr">
        <is>
          <t>VÄSTERNORRLANDS LÄN</t>
        </is>
      </c>
      <c r="E1234" t="inlineStr">
        <is>
          <t>ÅNGE</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33720-2025</t>
        </is>
      </c>
      <c r="B1235" s="1" t="n">
        <v>45841.90605324074</v>
      </c>
      <c r="C1235" s="1" t="n">
        <v>45890</v>
      </c>
      <c r="D1235" t="inlineStr">
        <is>
          <t>VÄSTERNORRLANDS LÄN</t>
        </is>
      </c>
      <c r="E1235" t="inlineStr">
        <is>
          <t>ÅNGE</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33738-2025</t>
        </is>
      </c>
      <c r="B1236" s="1" t="n">
        <v>45842.33795138889</v>
      </c>
      <c r="C1236" s="1" t="n">
        <v>45890</v>
      </c>
      <c r="D1236" t="inlineStr">
        <is>
          <t>VÄSTERNORRLANDS LÄN</t>
        </is>
      </c>
      <c r="E1236" t="inlineStr">
        <is>
          <t>ÅNGE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49945-2023</t>
        </is>
      </c>
      <c r="B1237" s="1" t="n">
        <v>45215.3625462963</v>
      </c>
      <c r="C1237" s="1" t="n">
        <v>45890</v>
      </c>
      <c r="D1237" t="inlineStr">
        <is>
          <t>VÄSTERNORRLANDS LÄN</t>
        </is>
      </c>
      <c r="E1237" t="inlineStr">
        <is>
          <t>ÅNGE</t>
        </is>
      </c>
      <c r="F1237" t="inlineStr">
        <is>
          <t>Holmen skog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1420-2023</t>
        </is>
      </c>
      <c r="B1238" s="1" t="n">
        <v>44936.92762731481</v>
      </c>
      <c r="C1238" s="1" t="n">
        <v>45890</v>
      </c>
      <c r="D1238" t="inlineStr">
        <is>
          <t>VÄSTERNORRLANDS LÄN</t>
        </is>
      </c>
      <c r="E1238" t="inlineStr">
        <is>
          <t>ÅNGE</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49532-2024</t>
        </is>
      </c>
      <c r="B1239" s="1" t="n">
        <v>45596.41797453703</v>
      </c>
      <c r="C1239" s="1" t="n">
        <v>45890</v>
      </c>
      <c r="D1239" t="inlineStr">
        <is>
          <t>VÄSTERNORRLANDS LÄN</t>
        </is>
      </c>
      <c r="E1239" t="inlineStr">
        <is>
          <t>ÅNGE</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33806-2025</t>
        </is>
      </c>
      <c r="B1240" s="1" t="n">
        <v>45842.44865740741</v>
      </c>
      <c r="C1240" s="1" t="n">
        <v>45890</v>
      </c>
      <c r="D1240" t="inlineStr">
        <is>
          <t>VÄSTERNORRLANDS LÄN</t>
        </is>
      </c>
      <c r="E1240" t="inlineStr">
        <is>
          <t>ÅNGE</t>
        </is>
      </c>
      <c r="F1240" t="inlineStr">
        <is>
          <t>SCA</t>
        </is>
      </c>
      <c r="G1240" t="n">
        <v>24.6</v>
      </c>
      <c r="H1240" t="n">
        <v>0</v>
      </c>
      <c r="I1240" t="n">
        <v>0</v>
      </c>
      <c r="J1240" t="n">
        <v>0</v>
      </c>
      <c r="K1240" t="n">
        <v>0</v>
      </c>
      <c r="L1240" t="n">
        <v>0</v>
      </c>
      <c r="M1240" t="n">
        <v>0</v>
      </c>
      <c r="N1240" t="n">
        <v>0</v>
      </c>
      <c r="O1240" t="n">
        <v>0</v>
      </c>
      <c r="P1240" t="n">
        <v>0</v>
      </c>
      <c r="Q1240" t="n">
        <v>0</v>
      </c>
      <c r="R1240" s="2" t="inlineStr"/>
    </row>
    <row r="1241" ht="15" customHeight="1">
      <c r="A1241" t="inlineStr">
        <is>
          <t>A 34691-2024</t>
        </is>
      </c>
      <c r="B1241" s="1" t="n">
        <v>45526.54516203704</v>
      </c>
      <c r="C1241" s="1" t="n">
        <v>45890</v>
      </c>
      <c r="D1241" t="inlineStr">
        <is>
          <t>VÄSTERNORRLANDS LÄN</t>
        </is>
      </c>
      <c r="E1241" t="inlineStr">
        <is>
          <t>ÅNGE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11088-2024</t>
        </is>
      </c>
      <c r="B1242" s="1" t="n">
        <v>45370</v>
      </c>
      <c r="C1242" s="1" t="n">
        <v>45890</v>
      </c>
      <c r="D1242" t="inlineStr">
        <is>
          <t>VÄSTERNORRLANDS LÄN</t>
        </is>
      </c>
      <c r="E1242" t="inlineStr">
        <is>
          <t>ÅNGE</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13773-2024</t>
        </is>
      </c>
      <c r="B1243" s="1" t="n">
        <v>45390.95297453704</v>
      </c>
      <c r="C1243" s="1" t="n">
        <v>45890</v>
      </c>
      <c r="D1243" t="inlineStr">
        <is>
          <t>VÄSTERNORRLANDS LÄN</t>
        </is>
      </c>
      <c r="E1243" t="inlineStr">
        <is>
          <t>ÅNGE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33782-2025</t>
        </is>
      </c>
      <c r="B1244" s="1" t="n">
        <v>45842.40678240741</v>
      </c>
      <c r="C1244" s="1" t="n">
        <v>45890</v>
      </c>
      <c r="D1244" t="inlineStr">
        <is>
          <t>VÄSTERNORRLANDS LÄN</t>
        </is>
      </c>
      <c r="E1244" t="inlineStr">
        <is>
          <t>ÅNGE</t>
        </is>
      </c>
      <c r="F1244" t="inlineStr">
        <is>
          <t>SCA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15791-2025</t>
        </is>
      </c>
      <c r="B1245" s="1" t="n">
        <v>45748.631875</v>
      </c>
      <c r="C1245" s="1" t="n">
        <v>45890</v>
      </c>
      <c r="D1245" t="inlineStr">
        <is>
          <t>VÄSTERNORRLANDS LÄN</t>
        </is>
      </c>
      <c r="E1245" t="inlineStr">
        <is>
          <t>ÅNGE</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30348-2024</t>
        </is>
      </c>
      <c r="B1246" s="1" t="n">
        <v>45490.95524305556</v>
      </c>
      <c r="C1246" s="1" t="n">
        <v>45890</v>
      </c>
      <c r="D1246" t="inlineStr">
        <is>
          <t>VÄSTERNORRLANDS LÄN</t>
        </is>
      </c>
      <c r="E1246" t="inlineStr">
        <is>
          <t>ÅNGE</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35503-2025</t>
        </is>
      </c>
      <c r="B1247" s="1" t="n">
        <v>45856</v>
      </c>
      <c r="C1247" s="1" t="n">
        <v>45890</v>
      </c>
      <c r="D1247" t="inlineStr">
        <is>
          <t>VÄSTERNORRLANDS LÄN</t>
        </is>
      </c>
      <c r="E1247" t="inlineStr">
        <is>
          <t>ÅNGE</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54585-2024</t>
        </is>
      </c>
      <c r="B1248" s="1" t="n">
        <v>45617.65762731482</v>
      </c>
      <c r="C1248" s="1" t="n">
        <v>45890</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17452-2025</t>
        </is>
      </c>
      <c r="B1249" s="1" t="n">
        <v>45757.44842592593</v>
      </c>
      <c r="C1249" s="1" t="n">
        <v>45890</v>
      </c>
      <c r="D1249" t="inlineStr">
        <is>
          <t>VÄSTERNORRLANDS LÄN</t>
        </is>
      </c>
      <c r="E1249" t="inlineStr">
        <is>
          <t>ÅNGE</t>
        </is>
      </c>
      <c r="F1249" t="inlineStr">
        <is>
          <t>SCA</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41366-2020</t>
        </is>
      </c>
      <c r="B1250" s="1" t="n">
        <v>44071</v>
      </c>
      <c r="C1250" s="1" t="n">
        <v>45890</v>
      </c>
      <c r="D1250" t="inlineStr">
        <is>
          <t>VÄSTERNORRLANDS LÄN</t>
        </is>
      </c>
      <c r="E1250" t="inlineStr">
        <is>
          <t>ÅNGE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34019-2025</t>
        </is>
      </c>
      <c r="B1251" s="1" t="n">
        <v>45845.34416666667</v>
      </c>
      <c r="C1251" s="1" t="n">
        <v>45890</v>
      </c>
      <c r="D1251" t="inlineStr">
        <is>
          <t>VÄSTERNORRLANDS LÄN</t>
        </is>
      </c>
      <c r="E1251" t="inlineStr">
        <is>
          <t>ÅNGE</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54210-2024</t>
        </is>
      </c>
      <c r="B1252" s="1" t="n">
        <v>45616.65662037037</v>
      </c>
      <c r="C1252" s="1" t="n">
        <v>45890</v>
      </c>
      <c r="D1252" t="inlineStr">
        <is>
          <t>VÄSTERNORRLANDS LÄN</t>
        </is>
      </c>
      <c r="E1252" t="inlineStr">
        <is>
          <t>ÅNGE</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38703-2025</t>
        </is>
      </c>
      <c r="B1253" s="1" t="n">
        <v>45885.34440972222</v>
      </c>
      <c r="C1253" s="1" t="n">
        <v>45890</v>
      </c>
      <c r="D1253" t="inlineStr">
        <is>
          <t>VÄSTERNORRLANDS LÄN</t>
        </is>
      </c>
      <c r="E1253" t="inlineStr">
        <is>
          <t>ÅNGE</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33717-2025</t>
        </is>
      </c>
      <c r="B1254" s="1" t="n">
        <v>45841.89357638889</v>
      </c>
      <c r="C1254" s="1" t="n">
        <v>45890</v>
      </c>
      <c r="D1254" t="inlineStr">
        <is>
          <t>VÄSTERNORRLANDS LÄN</t>
        </is>
      </c>
      <c r="E1254" t="inlineStr">
        <is>
          <t>ÅNGE</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12807-2025</t>
        </is>
      </c>
      <c r="B1255" s="1" t="n">
        <v>45733.61537037037</v>
      </c>
      <c r="C1255" s="1" t="n">
        <v>45890</v>
      </c>
      <c r="D1255" t="inlineStr">
        <is>
          <t>VÄSTERNORRLANDS LÄN</t>
        </is>
      </c>
      <c r="E1255" t="inlineStr">
        <is>
          <t>ÅNGE</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5035-2025</t>
        </is>
      </c>
      <c r="B1256" s="1" t="n">
        <v>45691</v>
      </c>
      <c r="C1256" s="1" t="n">
        <v>45890</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3966-2025</t>
        </is>
      </c>
      <c r="B1257" s="1" t="n">
        <v>45684.51072916666</v>
      </c>
      <c r="C1257" s="1" t="n">
        <v>45890</v>
      </c>
      <c r="D1257" t="inlineStr">
        <is>
          <t>VÄSTERNORRLANDS LÄN</t>
        </is>
      </c>
      <c r="E1257" t="inlineStr">
        <is>
          <t>ÅNGE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38686-2025</t>
        </is>
      </c>
      <c r="B1258" s="1" t="n">
        <v>45884.65658564815</v>
      </c>
      <c r="C1258" s="1" t="n">
        <v>45890</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5602-2025</t>
        </is>
      </c>
      <c r="B1259" s="1" t="n">
        <v>45693</v>
      </c>
      <c r="C1259" s="1" t="n">
        <v>45890</v>
      </c>
      <c r="D1259" t="inlineStr">
        <is>
          <t>VÄSTERNORRLANDS LÄN</t>
        </is>
      </c>
      <c r="E1259" t="inlineStr">
        <is>
          <t>ÅNGE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57526-2024</t>
        </is>
      </c>
      <c r="B1260" s="1" t="n">
        <v>45630</v>
      </c>
      <c r="C1260" s="1" t="n">
        <v>45890</v>
      </c>
      <c r="D1260" t="inlineStr">
        <is>
          <t>VÄSTERNORRLANDS LÄN</t>
        </is>
      </c>
      <c r="E1260" t="inlineStr">
        <is>
          <t>ÅNGE</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60578-2024</t>
        </is>
      </c>
      <c r="B1261" s="1" t="n">
        <v>45644.34434027778</v>
      </c>
      <c r="C1261" s="1" t="n">
        <v>45890</v>
      </c>
      <c r="D1261" t="inlineStr">
        <is>
          <t>VÄSTERNORRLANDS LÄN</t>
        </is>
      </c>
      <c r="E1261" t="inlineStr">
        <is>
          <t>ÅNGE</t>
        </is>
      </c>
      <c r="F1261" t="inlineStr">
        <is>
          <t>SCA</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5999-2025</t>
        </is>
      </c>
      <c r="B1262" s="1" t="n">
        <v>45695</v>
      </c>
      <c r="C1262" s="1" t="n">
        <v>45890</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39434-2025</t>
        </is>
      </c>
      <c r="B1263" s="1" t="n">
        <v>45889.67811342593</v>
      </c>
      <c r="C1263" s="1" t="n">
        <v>45890</v>
      </c>
      <c r="D1263" t="inlineStr">
        <is>
          <t>VÄSTERNORRLANDS LÄN</t>
        </is>
      </c>
      <c r="E1263" t="inlineStr">
        <is>
          <t>ÅNGE</t>
        </is>
      </c>
      <c r="F1263" t="inlineStr">
        <is>
          <t>SCA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33302-2024</t>
        </is>
      </c>
      <c r="B1264" s="1" t="n">
        <v>45518.96967592592</v>
      </c>
      <c r="C1264" s="1" t="n">
        <v>45890</v>
      </c>
      <c r="D1264" t="inlineStr">
        <is>
          <t>VÄSTERNORRLANDS LÄN</t>
        </is>
      </c>
      <c r="E1264" t="inlineStr">
        <is>
          <t>ÅNGE</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35593-2024</t>
        </is>
      </c>
      <c r="B1265" s="1" t="n">
        <v>45531</v>
      </c>
      <c r="C1265" s="1" t="n">
        <v>45890</v>
      </c>
      <c r="D1265" t="inlineStr">
        <is>
          <t>VÄSTERNORRLANDS LÄN</t>
        </is>
      </c>
      <c r="E1265" t="inlineStr">
        <is>
          <t>ÅNGE</t>
        </is>
      </c>
      <c r="G1265" t="n">
        <v>17.6</v>
      </c>
      <c r="H1265" t="n">
        <v>0</v>
      </c>
      <c r="I1265" t="n">
        <v>0</v>
      </c>
      <c r="J1265" t="n">
        <v>0</v>
      </c>
      <c r="K1265" t="n">
        <v>0</v>
      </c>
      <c r="L1265" t="n">
        <v>0</v>
      </c>
      <c r="M1265" t="n">
        <v>0</v>
      </c>
      <c r="N1265" t="n">
        <v>0</v>
      </c>
      <c r="O1265" t="n">
        <v>0</v>
      </c>
      <c r="P1265" t="n">
        <v>0</v>
      </c>
      <c r="Q1265" t="n">
        <v>0</v>
      </c>
      <c r="R1265" s="2" t="inlineStr"/>
    </row>
    <row r="1266" ht="15" customHeight="1">
      <c r="A1266" t="inlineStr">
        <is>
          <t>A 16593-2023</t>
        </is>
      </c>
      <c r="B1266" s="1" t="n">
        <v>45030</v>
      </c>
      <c r="C1266" s="1" t="n">
        <v>45890</v>
      </c>
      <c r="D1266" t="inlineStr">
        <is>
          <t>VÄSTERNORRLANDS LÄN</t>
        </is>
      </c>
      <c r="E1266" t="inlineStr">
        <is>
          <t>ÅNGE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16600-2023</t>
        </is>
      </c>
      <c r="B1267" s="1" t="n">
        <v>45030</v>
      </c>
      <c r="C1267" s="1" t="n">
        <v>45890</v>
      </c>
      <c r="D1267" t="inlineStr">
        <is>
          <t>VÄSTERNORRLANDS LÄN</t>
        </is>
      </c>
      <c r="E1267" t="inlineStr">
        <is>
          <t>ÅNGE</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36249-2025</t>
        </is>
      </c>
      <c r="B1268" s="1" t="n">
        <v>45867</v>
      </c>
      <c r="C1268" s="1" t="n">
        <v>45890</v>
      </c>
      <c r="D1268" t="inlineStr">
        <is>
          <t>VÄSTERNORRLANDS LÄN</t>
        </is>
      </c>
      <c r="E1268" t="inlineStr">
        <is>
          <t>ÅNGE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10917-2024</t>
        </is>
      </c>
      <c r="B1269" s="1" t="n">
        <v>45370</v>
      </c>
      <c r="C1269" s="1" t="n">
        <v>45890</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39444-2025</t>
        </is>
      </c>
      <c r="B1270" s="1" t="n">
        <v>45889.69826388889</v>
      </c>
      <c r="C1270" s="1" t="n">
        <v>45890</v>
      </c>
      <c r="D1270" t="inlineStr">
        <is>
          <t>VÄSTERNORRLANDS LÄN</t>
        </is>
      </c>
      <c r="E1270" t="inlineStr">
        <is>
          <t>ÅNGE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34591-2025</t>
        </is>
      </c>
      <c r="B1271" s="1" t="n">
        <v>45847.62920138889</v>
      </c>
      <c r="C1271" s="1" t="n">
        <v>45890</v>
      </c>
      <c r="D1271" t="inlineStr">
        <is>
          <t>VÄSTERNORRLANDS LÄN</t>
        </is>
      </c>
      <c r="E1271" t="inlineStr">
        <is>
          <t>ÅNGE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34593-2025</t>
        </is>
      </c>
      <c r="B1272" s="1" t="n">
        <v>45847.6316087963</v>
      </c>
      <c r="C1272" s="1" t="n">
        <v>45890</v>
      </c>
      <c r="D1272" t="inlineStr">
        <is>
          <t>VÄSTERNORRLANDS LÄN</t>
        </is>
      </c>
      <c r="E1272" t="inlineStr">
        <is>
          <t>ÅNGE</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36786-2024</t>
        </is>
      </c>
      <c r="B1273" s="1" t="n">
        <v>45538</v>
      </c>
      <c r="C1273" s="1" t="n">
        <v>45890</v>
      </c>
      <c r="D1273" t="inlineStr">
        <is>
          <t>VÄSTERNORRLANDS LÄN</t>
        </is>
      </c>
      <c r="E1273" t="inlineStr">
        <is>
          <t>ÅNGE</t>
        </is>
      </c>
      <c r="F1273" t="inlineStr">
        <is>
          <t>SCA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26957-2024</t>
        </is>
      </c>
      <c r="B1274" s="1" t="n">
        <v>45470</v>
      </c>
      <c r="C1274" s="1" t="n">
        <v>45890</v>
      </c>
      <c r="D1274" t="inlineStr">
        <is>
          <t>VÄSTERNORRLANDS LÄN</t>
        </is>
      </c>
      <c r="E1274" t="inlineStr">
        <is>
          <t>ÅNGE</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3022-2023</t>
        </is>
      </c>
      <c r="B1275" s="1" t="n">
        <v>44945</v>
      </c>
      <c r="C1275" s="1" t="n">
        <v>45890</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34491-2023</t>
        </is>
      </c>
      <c r="B1276" s="1" t="n">
        <v>45139.94775462963</v>
      </c>
      <c r="C1276" s="1" t="n">
        <v>45890</v>
      </c>
      <c r="D1276" t="inlineStr">
        <is>
          <t>VÄSTERNORRLANDS LÄN</t>
        </is>
      </c>
      <c r="E1276" t="inlineStr">
        <is>
          <t>ÅNGE</t>
        </is>
      </c>
      <c r="F1276" t="inlineStr">
        <is>
          <t>SCA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3947-2025</t>
        </is>
      </c>
      <c r="B1277" s="1" t="n">
        <v>45684.49001157407</v>
      </c>
      <c r="C1277" s="1" t="n">
        <v>45890</v>
      </c>
      <c r="D1277" t="inlineStr">
        <is>
          <t>VÄSTERNORRLANDS LÄN</t>
        </is>
      </c>
      <c r="E1277" t="inlineStr">
        <is>
          <t>ÅNGE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6487-2021</t>
        </is>
      </c>
      <c r="B1278" s="1" t="n">
        <v>44235</v>
      </c>
      <c r="C1278" s="1" t="n">
        <v>45890</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65633-2021</t>
        </is>
      </c>
      <c r="B1279" s="1" t="n">
        <v>44516.56181712963</v>
      </c>
      <c r="C1279" s="1" t="n">
        <v>45890</v>
      </c>
      <c r="D1279" t="inlineStr">
        <is>
          <t>VÄSTERNORRLANDS LÄN</t>
        </is>
      </c>
      <c r="E1279" t="inlineStr">
        <is>
          <t>ÅNGE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54908-2021</t>
        </is>
      </c>
      <c r="B1280" s="1" t="n">
        <v>44474.39769675926</v>
      </c>
      <c r="C1280" s="1" t="n">
        <v>45890</v>
      </c>
      <c r="D1280" t="inlineStr">
        <is>
          <t>VÄSTERNORRLANDS LÄN</t>
        </is>
      </c>
      <c r="E1280" t="inlineStr">
        <is>
          <t>ÅNGE</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36457-2021</t>
        </is>
      </c>
      <c r="B1281" s="1" t="n">
        <v>44390.93858796296</v>
      </c>
      <c r="C1281" s="1" t="n">
        <v>45890</v>
      </c>
      <c r="D1281" t="inlineStr">
        <is>
          <t>VÄSTERNORRLANDS LÄN</t>
        </is>
      </c>
      <c r="E1281" t="inlineStr">
        <is>
          <t>ÅNGE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14927-2025</t>
        </is>
      </c>
      <c r="B1282" s="1" t="n">
        <v>45743</v>
      </c>
      <c r="C1282" s="1" t="n">
        <v>45890</v>
      </c>
      <c r="D1282" t="inlineStr">
        <is>
          <t>VÄSTERNORRLANDS LÄN</t>
        </is>
      </c>
      <c r="E1282" t="inlineStr">
        <is>
          <t>ÅNGE</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14933-2025</t>
        </is>
      </c>
      <c r="B1283" s="1" t="n">
        <v>45743.55380787037</v>
      </c>
      <c r="C1283" s="1" t="n">
        <v>45890</v>
      </c>
      <c r="D1283" t="inlineStr">
        <is>
          <t>VÄSTERNORRLANDS LÄN</t>
        </is>
      </c>
      <c r="E1283" t="inlineStr">
        <is>
          <t>ÅNGE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15167-2025</t>
        </is>
      </c>
      <c r="B1284" s="1" t="n">
        <v>45744.49009259259</v>
      </c>
      <c r="C1284" s="1" t="n">
        <v>45890</v>
      </c>
      <c r="D1284" t="inlineStr">
        <is>
          <t>VÄSTERNORRLANDS LÄN</t>
        </is>
      </c>
      <c r="E1284" t="inlineStr">
        <is>
          <t>ÅNGE</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45933-2023</t>
        </is>
      </c>
      <c r="B1285" s="1" t="n">
        <v>45195</v>
      </c>
      <c r="C1285" s="1" t="n">
        <v>45890</v>
      </c>
      <c r="D1285" t="inlineStr">
        <is>
          <t>VÄSTERNORRLANDS LÄN</t>
        </is>
      </c>
      <c r="E1285" t="inlineStr">
        <is>
          <t>ÅNGE</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64950-2023</t>
        </is>
      </c>
      <c r="B1286" s="1" t="n">
        <v>45282</v>
      </c>
      <c r="C1286" s="1" t="n">
        <v>45890</v>
      </c>
      <c r="D1286" t="inlineStr">
        <is>
          <t>VÄSTERNORRLANDS LÄN</t>
        </is>
      </c>
      <c r="E1286" t="inlineStr">
        <is>
          <t>ÅNGE</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24063-2023</t>
        </is>
      </c>
      <c r="B1287" s="1" t="n">
        <v>45078.94140046297</v>
      </c>
      <c r="C1287" s="1" t="n">
        <v>45890</v>
      </c>
      <c r="D1287" t="inlineStr">
        <is>
          <t>VÄSTERNORRLANDS LÄN</t>
        </is>
      </c>
      <c r="E1287" t="inlineStr">
        <is>
          <t>ÅNGE</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46015-2024</t>
        </is>
      </c>
      <c r="B1288" s="1" t="n">
        <v>45580.67760416667</v>
      </c>
      <c r="C1288" s="1" t="n">
        <v>45890</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44636-2024</t>
        </is>
      </c>
      <c r="B1289" s="1" t="n">
        <v>45574.51491898148</v>
      </c>
      <c r="C1289" s="1" t="n">
        <v>45890</v>
      </c>
      <c r="D1289" t="inlineStr">
        <is>
          <t>VÄSTERNORRLANDS LÄN</t>
        </is>
      </c>
      <c r="E1289" t="inlineStr">
        <is>
          <t>ÅNGE</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44979-2023</t>
        </is>
      </c>
      <c r="B1290" s="1" t="n">
        <v>45190.95752314815</v>
      </c>
      <c r="C1290" s="1" t="n">
        <v>45890</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49711-2024</t>
        </is>
      </c>
      <c r="B1291" s="1" t="n">
        <v>45596.69891203703</v>
      </c>
      <c r="C1291" s="1" t="n">
        <v>45890</v>
      </c>
      <c r="D1291" t="inlineStr">
        <is>
          <t>VÄSTERNORRLANDS LÄN</t>
        </is>
      </c>
      <c r="E1291" t="inlineStr">
        <is>
          <t>ÅNGE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1582-2025</t>
        </is>
      </c>
      <c r="B1292" s="1" t="n">
        <v>45670</v>
      </c>
      <c r="C1292" s="1" t="n">
        <v>45890</v>
      </c>
      <c r="D1292" t="inlineStr">
        <is>
          <t>VÄSTERNORRLANDS LÄN</t>
        </is>
      </c>
      <c r="E1292" t="inlineStr">
        <is>
          <t>ÅNGE</t>
        </is>
      </c>
      <c r="G1292" t="n">
        <v>7.3</v>
      </c>
      <c r="H1292" t="n">
        <v>0</v>
      </c>
      <c r="I1292" t="n">
        <v>0</v>
      </c>
      <c r="J1292" t="n">
        <v>0</v>
      </c>
      <c r="K1292" t="n">
        <v>0</v>
      </c>
      <c r="L1292" t="n">
        <v>0</v>
      </c>
      <c r="M1292" t="n">
        <v>0</v>
      </c>
      <c r="N1292" t="n">
        <v>0</v>
      </c>
      <c r="O1292" t="n">
        <v>0</v>
      </c>
      <c r="P1292" t="n">
        <v>0</v>
      </c>
      <c r="Q1292" t="n">
        <v>0</v>
      </c>
      <c r="R1292" s="2" t="inlineStr"/>
      <c r="U1292">
        <f>HYPERLINK("https://klasma.github.io/Logging_2260/knärot/A 1582-2025 karta knärot.png", "A 1582-2025")</f>
        <v/>
      </c>
      <c r="V1292">
        <f>HYPERLINK("https://klasma.github.io/Logging_2260/klagomål/A 1582-2025 FSC-klagomål.docx", "A 1582-2025")</f>
        <v/>
      </c>
      <c r="W1292">
        <f>HYPERLINK("https://klasma.github.io/Logging_2260/klagomålsmail/A 1582-2025 FSC-klagomål mail.docx", "A 1582-2025")</f>
        <v/>
      </c>
      <c r="X1292">
        <f>HYPERLINK("https://klasma.github.io/Logging_2260/tillsyn/A 1582-2025 tillsynsbegäran.docx", "A 1582-2025")</f>
        <v/>
      </c>
      <c r="Y1292">
        <f>HYPERLINK("https://klasma.github.io/Logging_2260/tillsynsmail/A 1582-2025 tillsynsbegäran mail.docx", "A 1582-2025")</f>
        <v/>
      </c>
    </row>
    <row r="1293" ht="15" customHeight="1">
      <c r="A1293" t="inlineStr">
        <is>
          <t>A 25377-2024</t>
        </is>
      </c>
      <c r="B1293" s="1" t="n">
        <v>45462.96211805556</v>
      </c>
      <c r="C1293" s="1" t="n">
        <v>45890</v>
      </c>
      <c r="D1293" t="inlineStr">
        <is>
          <t>VÄSTERNORRLANDS LÄN</t>
        </is>
      </c>
      <c r="E1293" t="inlineStr">
        <is>
          <t>ÅNGE</t>
        </is>
      </c>
      <c r="F1293" t="inlineStr">
        <is>
          <t>SCA</t>
        </is>
      </c>
      <c r="G1293" t="n">
        <v>20.7</v>
      </c>
      <c r="H1293" t="n">
        <v>0</v>
      </c>
      <c r="I1293" t="n">
        <v>0</v>
      </c>
      <c r="J1293" t="n">
        <v>0</v>
      </c>
      <c r="K1293" t="n">
        <v>0</v>
      </c>
      <c r="L1293" t="n">
        <v>0</v>
      </c>
      <c r="M1293" t="n">
        <v>0</v>
      </c>
      <c r="N1293" t="n">
        <v>0</v>
      </c>
      <c r="O1293" t="n">
        <v>0</v>
      </c>
      <c r="P1293" t="n">
        <v>0</v>
      </c>
      <c r="Q1293" t="n">
        <v>0</v>
      </c>
      <c r="R1293" s="2" t="inlineStr"/>
    </row>
    <row r="1294" ht="15" customHeight="1">
      <c r="A1294" t="inlineStr">
        <is>
          <t>A 3323-2023</t>
        </is>
      </c>
      <c r="B1294" s="1" t="n">
        <v>44945</v>
      </c>
      <c r="C1294" s="1" t="n">
        <v>45890</v>
      </c>
      <c r="D1294" t="inlineStr">
        <is>
          <t>VÄSTERNORRLANDS LÄN</t>
        </is>
      </c>
      <c r="E1294" t="inlineStr">
        <is>
          <t>ÅNGE</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1711-2025</t>
        </is>
      </c>
      <c r="B1295" s="1" t="n">
        <v>45671.31184027778</v>
      </c>
      <c r="C1295" s="1" t="n">
        <v>45890</v>
      </c>
      <c r="D1295" t="inlineStr">
        <is>
          <t>VÄSTERNORRLANDS LÄN</t>
        </is>
      </c>
      <c r="E1295" t="inlineStr">
        <is>
          <t>ÅNGE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1714-2025</t>
        </is>
      </c>
      <c r="B1296" s="1" t="n">
        <v>45671.32474537037</v>
      </c>
      <c r="C1296" s="1" t="n">
        <v>45890</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52637-2020</t>
        </is>
      </c>
      <c r="B1297" s="1" t="n">
        <v>44118</v>
      </c>
      <c r="C1297" s="1" t="n">
        <v>45890</v>
      </c>
      <c r="D1297" t="inlineStr">
        <is>
          <t>VÄSTERNORRLANDS LÄN</t>
        </is>
      </c>
      <c r="E1297" t="inlineStr">
        <is>
          <t>ÅNGE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31866-2024</t>
        </is>
      </c>
      <c r="B1298" s="1" t="n">
        <v>45509</v>
      </c>
      <c r="C1298" s="1" t="n">
        <v>45890</v>
      </c>
      <c r="D1298" t="inlineStr">
        <is>
          <t>VÄSTERNORRLANDS LÄN</t>
        </is>
      </c>
      <c r="E1298" t="inlineStr">
        <is>
          <t>ÅNGE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31867-2024</t>
        </is>
      </c>
      <c r="B1299" s="1" t="n">
        <v>45509</v>
      </c>
      <c r="C1299" s="1" t="n">
        <v>45890</v>
      </c>
      <c r="D1299" t="inlineStr">
        <is>
          <t>VÄSTERNORRLANDS LÄN</t>
        </is>
      </c>
      <c r="E1299" t="inlineStr">
        <is>
          <t>ÅNGE</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33428-2023</t>
        </is>
      </c>
      <c r="B1300" s="1" t="n">
        <v>45128.94976851852</v>
      </c>
      <c r="C1300" s="1" t="n">
        <v>45890</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10557-2023</t>
        </is>
      </c>
      <c r="B1301" s="1" t="n">
        <v>44987</v>
      </c>
      <c r="C1301" s="1" t="n">
        <v>45890</v>
      </c>
      <c r="D1301" t="inlineStr">
        <is>
          <t>VÄSTERNORRLANDS LÄN</t>
        </is>
      </c>
      <c r="E1301" t="inlineStr">
        <is>
          <t>ÅNGE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19926-2025</t>
        </is>
      </c>
      <c r="B1302" s="1" t="n">
        <v>45771.6357175926</v>
      </c>
      <c r="C1302" s="1" t="n">
        <v>45890</v>
      </c>
      <c r="D1302" t="inlineStr">
        <is>
          <t>VÄSTERNORRLANDS LÄN</t>
        </is>
      </c>
      <c r="E1302" t="inlineStr">
        <is>
          <t>ÅNGE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39975-2023</t>
        </is>
      </c>
      <c r="B1303" s="1" t="n">
        <v>45168.58844907407</v>
      </c>
      <c r="C1303" s="1" t="n">
        <v>45890</v>
      </c>
      <c r="D1303" t="inlineStr">
        <is>
          <t>VÄSTERNORRLANDS LÄN</t>
        </is>
      </c>
      <c r="E1303" t="inlineStr">
        <is>
          <t>ÅNGE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6610-2025</t>
        </is>
      </c>
      <c r="B1304" s="1" t="n">
        <v>45700</v>
      </c>
      <c r="C1304" s="1" t="n">
        <v>45890</v>
      </c>
      <c r="D1304" t="inlineStr">
        <is>
          <t>VÄSTERNORRLANDS LÄN</t>
        </is>
      </c>
      <c r="E1304" t="inlineStr">
        <is>
          <t>ÅNGE</t>
        </is>
      </c>
      <c r="F1304" t="inlineStr">
        <is>
          <t>SCA</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53970-2021</t>
        </is>
      </c>
      <c r="B1305" s="1" t="n">
        <v>44469</v>
      </c>
      <c r="C1305" s="1" t="n">
        <v>45890</v>
      </c>
      <c r="D1305" t="inlineStr">
        <is>
          <t>VÄSTERNORRLANDS LÄN</t>
        </is>
      </c>
      <c r="E1305" t="inlineStr">
        <is>
          <t>ÅNGE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40208-2023</t>
        </is>
      </c>
      <c r="B1306" s="1" t="n">
        <v>45168</v>
      </c>
      <c r="C1306" s="1" t="n">
        <v>45890</v>
      </c>
      <c r="D1306" t="inlineStr">
        <is>
          <t>VÄSTERNORRLANDS LÄN</t>
        </is>
      </c>
      <c r="E1306" t="inlineStr">
        <is>
          <t>ÅNGE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58997-2023</t>
        </is>
      </c>
      <c r="B1307" s="1" t="n">
        <v>45252.6352662037</v>
      </c>
      <c r="C1307" s="1" t="n">
        <v>45890</v>
      </c>
      <c r="D1307" t="inlineStr">
        <is>
          <t>VÄSTERNORRLANDS LÄN</t>
        </is>
      </c>
      <c r="E1307" t="inlineStr">
        <is>
          <t>ÅNGE</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44639-2023</t>
        </is>
      </c>
      <c r="B1308" s="1" t="n">
        <v>45184</v>
      </c>
      <c r="C1308" s="1" t="n">
        <v>45890</v>
      </c>
      <c r="D1308" t="inlineStr">
        <is>
          <t>VÄSTERNORRLANDS LÄN</t>
        </is>
      </c>
      <c r="E1308" t="inlineStr">
        <is>
          <t>ÅNGE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43552-2023</t>
        </is>
      </c>
      <c r="B1309" s="1" t="n">
        <v>45181</v>
      </c>
      <c r="C1309" s="1" t="n">
        <v>45890</v>
      </c>
      <c r="D1309" t="inlineStr">
        <is>
          <t>VÄSTERNORRLANDS LÄN</t>
        </is>
      </c>
      <c r="E1309" t="inlineStr">
        <is>
          <t>ÅNGE</t>
        </is>
      </c>
      <c r="F1309" t="inlineStr">
        <is>
          <t>SCA</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1735-2025</t>
        </is>
      </c>
      <c r="B1310" s="1" t="n">
        <v>45671.38594907407</v>
      </c>
      <c r="C1310" s="1" t="n">
        <v>45890</v>
      </c>
      <c r="D1310" t="inlineStr">
        <is>
          <t>VÄSTERNORRLANDS LÄN</t>
        </is>
      </c>
      <c r="E1310" t="inlineStr">
        <is>
          <t>ÅNGE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13491-2023</t>
        </is>
      </c>
      <c r="B1311" s="1" t="n">
        <v>45005.93929398148</v>
      </c>
      <c r="C1311" s="1" t="n">
        <v>45890</v>
      </c>
      <c r="D1311" t="inlineStr">
        <is>
          <t>VÄSTERNORRLANDS LÄN</t>
        </is>
      </c>
      <c r="E1311" t="inlineStr">
        <is>
          <t>ÅNGE</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33062-2022</t>
        </is>
      </c>
      <c r="B1312" s="1" t="n">
        <v>44785</v>
      </c>
      <c r="C1312" s="1" t="n">
        <v>45890</v>
      </c>
      <c r="D1312" t="inlineStr">
        <is>
          <t>VÄSTERNORRLANDS LÄN</t>
        </is>
      </c>
      <c r="E1312" t="inlineStr">
        <is>
          <t>ÅNGE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23018-2021</t>
        </is>
      </c>
      <c r="B1313" s="1" t="n">
        <v>44328</v>
      </c>
      <c r="C1313" s="1" t="n">
        <v>45890</v>
      </c>
      <c r="D1313" t="inlineStr">
        <is>
          <t>VÄSTERNORRLANDS LÄN</t>
        </is>
      </c>
      <c r="E1313" t="inlineStr">
        <is>
          <t>ÅNGE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30347-2024</t>
        </is>
      </c>
      <c r="B1314" s="1" t="n">
        <v>45490.95515046296</v>
      </c>
      <c r="C1314" s="1" t="n">
        <v>45890</v>
      </c>
      <c r="D1314" t="inlineStr">
        <is>
          <t>VÄSTERNORRLANDS LÄN</t>
        </is>
      </c>
      <c r="E1314" t="inlineStr">
        <is>
          <t>ÅNGE</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50231-2024</t>
        </is>
      </c>
      <c r="B1315" s="1" t="n">
        <v>45600.55251157407</v>
      </c>
      <c r="C1315" s="1" t="n">
        <v>45890</v>
      </c>
      <c r="D1315" t="inlineStr">
        <is>
          <t>VÄSTERNORRLANDS LÄN</t>
        </is>
      </c>
      <c r="E1315" t="inlineStr">
        <is>
          <t>ÅNGE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45128-2022</t>
        </is>
      </c>
      <c r="B1316" s="1" t="n">
        <v>44844.3146412037</v>
      </c>
      <c r="C1316" s="1" t="n">
        <v>45890</v>
      </c>
      <c r="D1316" t="inlineStr">
        <is>
          <t>VÄSTERNORRLANDS LÄN</t>
        </is>
      </c>
      <c r="E1316" t="inlineStr">
        <is>
          <t>ÅNGE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42040-2024</t>
        </is>
      </c>
      <c r="B1317" s="1" t="n">
        <v>45561.80983796297</v>
      </c>
      <c r="C1317" s="1" t="n">
        <v>45890</v>
      </c>
      <c r="D1317" t="inlineStr">
        <is>
          <t>VÄSTERNORRLANDS LÄN</t>
        </is>
      </c>
      <c r="E1317" t="inlineStr">
        <is>
          <t>ÅNGE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60205-2023</t>
        </is>
      </c>
      <c r="B1318" s="1" t="n">
        <v>45257</v>
      </c>
      <c r="C1318" s="1" t="n">
        <v>45890</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15287-2025</t>
        </is>
      </c>
      <c r="B1319" s="1" t="n">
        <v>45745</v>
      </c>
      <c r="C1319" s="1" t="n">
        <v>45890</v>
      </c>
      <c r="D1319" t="inlineStr">
        <is>
          <t>VÄSTERNORRLANDS LÄN</t>
        </is>
      </c>
      <c r="E1319" t="inlineStr">
        <is>
          <t>ÅNGE</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5433-2024</t>
        </is>
      </c>
      <c r="B1320" s="1" t="n">
        <v>45331</v>
      </c>
      <c r="C1320" s="1" t="n">
        <v>45890</v>
      </c>
      <c r="D1320" t="inlineStr">
        <is>
          <t>VÄSTERNORRLANDS LÄN</t>
        </is>
      </c>
      <c r="E1320" t="inlineStr">
        <is>
          <t>ÅNGE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5456-2024</t>
        </is>
      </c>
      <c r="B1321" s="1" t="n">
        <v>45331</v>
      </c>
      <c r="C1321" s="1" t="n">
        <v>45890</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3357-2024</t>
        </is>
      </c>
      <c r="B1322" s="1" t="n">
        <v>45317</v>
      </c>
      <c r="C1322" s="1" t="n">
        <v>45890</v>
      </c>
      <c r="D1322" t="inlineStr">
        <is>
          <t>VÄSTERNORRLANDS LÄN</t>
        </is>
      </c>
      <c r="E1322" t="inlineStr">
        <is>
          <t>ÅNGE</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4095-2023</t>
        </is>
      </c>
      <c r="B1323" s="1" t="n">
        <v>44952</v>
      </c>
      <c r="C1323" s="1" t="n">
        <v>45890</v>
      </c>
      <c r="D1323" t="inlineStr">
        <is>
          <t>VÄSTERNORRLANDS LÄN</t>
        </is>
      </c>
      <c r="E1323" t="inlineStr">
        <is>
          <t>ÅNGE</t>
        </is>
      </c>
      <c r="G1323" t="n">
        <v>13.4</v>
      </c>
      <c r="H1323" t="n">
        <v>0</v>
      </c>
      <c r="I1323" t="n">
        <v>0</v>
      </c>
      <c r="J1323" t="n">
        <v>0</v>
      </c>
      <c r="K1323" t="n">
        <v>0</v>
      </c>
      <c r="L1323" t="n">
        <v>0</v>
      </c>
      <c r="M1323" t="n">
        <v>0</v>
      </c>
      <c r="N1323" t="n">
        <v>0</v>
      </c>
      <c r="O1323" t="n">
        <v>0</v>
      </c>
      <c r="P1323" t="n">
        <v>0</v>
      </c>
      <c r="Q1323" t="n">
        <v>0</v>
      </c>
      <c r="R1323" s="2" t="inlineStr"/>
    </row>
    <row r="1324" ht="15" customHeight="1">
      <c r="A1324" t="inlineStr">
        <is>
          <t>A 22752-2023</t>
        </is>
      </c>
      <c r="B1324" s="1" t="n">
        <v>45071.94104166667</v>
      </c>
      <c r="C1324" s="1" t="n">
        <v>45890</v>
      </c>
      <c r="D1324" t="inlineStr">
        <is>
          <t>VÄSTERNORRLANDS LÄN</t>
        </is>
      </c>
      <c r="E1324" t="inlineStr">
        <is>
          <t>ÅNGE</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11032-2025</t>
        </is>
      </c>
      <c r="B1325" s="1" t="n">
        <v>45723.47601851852</v>
      </c>
      <c r="C1325" s="1" t="n">
        <v>45890</v>
      </c>
      <c r="D1325" t="inlineStr">
        <is>
          <t>VÄSTERNORRLANDS LÄN</t>
        </is>
      </c>
      <c r="E1325" t="inlineStr">
        <is>
          <t>ÅNGE</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60779-2024</t>
        </is>
      </c>
      <c r="B1326" s="1" t="n">
        <v>45644</v>
      </c>
      <c r="C1326" s="1" t="n">
        <v>45890</v>
      </c>
      <c r="D1326" t="inlineStr">
        <is>
          <t>VÄSTERNORRLANDS LÄN</t>
        </is>
      </c>
      <c r="E1326" t="inlineStr">
        <is>
          <t>ÅNGE</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50651-2021</t>
        </is>
      </c>
      <c r="B1327" s="1" t="n">
        <v>44459</v>
      </c>
      <c r="C1327" s="1" t="n">
        <v>45890</v>
      </c>
      <c r="D1327" t="inlineStr">
        <is>
          <t>VÄSTERNORRLANDS LÄN</t>
        </is>
      </c>
      <c r="E1327" t="inlineStr">
        <is>
          <t>ÅNGE</t>
        </is>
      </c>
      <c r="G1327" t="n">
        <v>20.6</v>
      </c>
      <c r="H1327" t="n">
        <v>0</v>
      </c>
      <c r="I1327" t="n">
        <v>0</v>
      </c>
      <c r="J1327" t="n">
        <v>0</v>
      </c>
      <c r="K1327" t="n">
        <v>0</v>
      </c>
      <c r="L1327" t="n">
        <v>0</v>
      </c>
      <c r="M1327" t="n">
        <v>0</v>
      </c>
      <c r="N1327" t="n">
        <v>0</v>
      </c>
      <c r="O1327" t="n">
        <v>0</v>
      </c>
      <c r="P1327" t="n">
        <v>0</v>
      </c>
      <c r="Q1327" t="n">
        <v>0</v>
      </c>
      <c r="R1327" s="2" t="inlineStr"/>
    </row>
    <row r="1328" ht="15" customHeight="1">
      <c r="A1328" t="inlineStr">
        <is>
          <t>A 60003-2023</t>
        </is>
      </c>
      <c r="B1328" s="1" t="n">
        <v>45257</v>
      </c>
      <c r="C1328" s="1" t="n">
        <v>45890</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4876-2023</t>
        </is>
      </c>
      <c r="B1329" s="1" t="n">
        <v>44957.94023148148</v>
      </c>
      <c r="C1329" s="1" t="n">
        <v>45890</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55751-2024</t>
        </is>
      </c>
      <c r="B1330" s="1" t="n">
        <v>45623.34409722222</v>
      </c>
      <c r="C1330" s="1" t="n">
        <v>45890</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57591-2022</t>
        </is>
      </c>
      <c r="B1331" s="1" t="n">
        <v>44896.97834490741</v>
      </c>
      <c r="C1331" s="1" t="n">
        <v>45890</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45890</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13875-2022</t>
        </is>
      </c>
      <c r="B1333" s="1" t="n">
        <v>44649</v>
      </c>
      <c r="C1333" s="1" t="n">
        <v>45890</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9605-2025</t>
        </is>
      </c>
      <c r="B1334" s="1" t="n">
        <v>45715.65657407408</v>
      </c>
      <c r="C1334" s="1" t="n">
        <v>45890</v>
      </c>
      <c r="D1334" t="inlineStr">
        <is>
          <t>VÄSTERNORRLANDS LÄN</t>
        </is>
      </c>
      <c r="E1334" t="inlineStr">
        <is>
          <t>ÅNGE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16563-2025</t>
        </is>
      </c>
      <c r="B1335" s="1" t="n">
        <v>45752.34430555555</v>
      </c>
      <c r="C1335" s="1" t="n">
        <v>45890</v>
      </c>
      <c r="D1335" t="inlineStr">
        <is>
          <t>VÄSTERNORRLANDS LÄN</t>
        </is>
      </c>
      <c r="E1335" t="inlineStr">
        <is>
          <t>ÅNGE</t>
        </is>
      </c>
      <c r="F1335" t="inlineStr">
        <is>
          <t>SCA</t>
        </is>
      </c>
      <c r="G1335" t="n">
        <v>24.7</v>
      </c>
      <c r="H1335" t="n">
        <v>0</v>
      </c>
      <c r="I1335" t="n">
        <v>0</v>
      </c>
      <c r="J1335" t="n">
        <v>0</v>
      </c>
      <c r="K1335" t="n">
        <v>0</v>
      </c>
      <c r="L1335" t="n">
        <v>0</v>
      </c>
      <c r="M1335" t="n">
        <v>0</v>
      </c>
      <c r="N1335" t="n">
        <v>0</v>
      </c>
      <c r="O1335" t="n">
        <v>0</v>
      </c>
      <c r="P1335" t="n">
        <v>0</v>
      </c>
      <c r="Q1335" t="n">
        <v>0</v>
      </c>
      <c r="R1335" s="2" t="inlineStr"/>
    </row>
    <row r="1336" ht="15" customHeight="1">
      <c r="A1336" t="inlineStr">
        <is>
          <t>A 42881-2024</t>
        </is>
      </c>
      <c r="B1336" s="1" t="n">
        <v>45566.70916666667</v>
      </c>
      <c r="C1336" s="1" t="n">
        <v>45890</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54316-2024</t>
        </is>
      </c>
      <c r="B1337" s="1" t="n">
        <v>45617.34443287037</v>
      </c>
      <c r="C1337" s="1" t="n">
        <v>45890</v>
      </c>
      <c r="D1337" t="inlineStr">
        <is>
          <t>VÄSTERNORRLANDS LÄN</t>
        </is>
      </c>
      <c r="E1337" t="inlineStr">
        <is>
          <t>ÅNGE</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17718-2025</t>
        </is>
      </c>
      <c r="B1338" s="1" t="n">
        <v>45758.44815972223</v>
      </c>
      <c r="C1338" s="1" t="n">
        <v>45890</v>
      </c>
      <c r="D1338" t="inlineStr">
        <is>
          <t>VÄSTERNORRLANDS LÄN</t>
        </is>
      </c>
      <c r="E1338" t="inlineStr">
        <is>
          <t>ÅNGE</t>
        </is>
      </c>
      <c r="G1338" t="n">
        <v>5.1</v>
      </c>
      <c r="H1338" t="n">
        <v>0</v>
      </c>
      <c r="I1338" t="n">
        <v>0</v>
      </c>
      <c r="J1338" t="n">
        <v>0</v>
      </c>
      <c r="K1338" t="n">
        <v>0</v>
      </c>
      <c r="L1338" t="n">
        <v>0</v>
      </c>
      <c r="M1338" t="n">
        <v>0</v>
      </c>
      <c r="N1338" t="n">
        <v>0</v>
      </c>
      <c r="O1338" t="n">
        <v>0</v>
      </c>
      <c r="P1338" t="n">
        <v>0</v>
      </c>
      <c r="Q1338" t="n">
        <v>0</v>
      </c>
      <c r="R1338" s="2" t="inlineStr"/>
    </row>
    <row r="1339">
      <c r="A1339" t="inlineStr">
        <is>
          <t>A 8650-2024</t>
        </is>
      </c>
      <c r="B1339" s="1" t="n">
        <v>45356</v>
      </c>
      <c r="C1339" s="1" t="n">
        <v>45890</v>
      </c>
      <c r="D1339" t="inlineStr">
        <is>
          <t>VÄSTERNORRLANDS LÄN</t>
        </is>
      </c>
      <c r="E1339" t="inlineStr">
        <is>
          <t>ÅNGE</t>
        </is>
      </c>
      <c r="F1339" t="inlineStr">
        <is>
          <t>SCA</t>
        </is>
      </c>
      <c r="G1339" t="n">
        <v>1.5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2025-08-21T08:29:22Z</dcterms:created>
  <dcterms:modified xmlns:dcterms="http://purl.org/dc/terms/" xmlns:xsi="http://www.w3.org/2001/XMLSchema-instance" xsi:type="dcterms:W3CDTF">2025-08-21T08:29:23Z</dcterms:modified>
</cp:coreProperties>
</file>