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46127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46127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46127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46127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46127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46127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46127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46127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46127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46127</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46127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46127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46127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46127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46127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46127</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46127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46127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46127</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46127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46127</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46127</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46127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46127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46127</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46127</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46127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46127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46127</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46127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46127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46127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46127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46127</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46127</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8324-2025</t>
        </is>
      </c>
      <c r="B39" s="1" t="n">
        <v>45708.63621527778</v>
      </c>
      <c r="C39" s="1" t="n">
        <v>46127</v>
      </c>
      <c r="D39" t="inlineStr">
        <is>
          <t>VÄSTERNORRLANDS LÄN</t>
        </is>
      </c>
      <c r="E39" t="inlineStr">
        <is>
          <t>ÅNGE</t>
        </is>
      </c>
      <c r="F39" t="inlineStr">
        <is>
          <t>SCA</t>
        </is>
      </c>
      <c r="G39" t="n">
        <v>7.8</v>
      </c>
      <c r="H39" t="n">
        <v>0</v>
      </c>
      <c r="I39" t="n">
        <v>5</v>
      </c>
      <c r="J39" t="n">
        <v>6</v>
      </c>
      <c r="K39" t="n">
        <v>0</v>
      </c>
      <c r="L39" t="n">
        <v>0</v>
      </c>
      <c r="M39" t="n">
        <v>0</v>
      </c>
      <c r="N39" t="n">
        <v>0</v>
      </c>
      <c r="O39" t="n">
        <v>6</v>
      </c>
      <c r="P39" t="n">
        <v>0</v>
      </c>
      <c r="Q39" t="n">
        <v>11</v>
      </c>
      <c r="R39" s="2" t="inlineStr">
        <is>
          <t>Gammelgransskål
Granticka
Harticka
Lunglav
Ullticka
Vitgrynig nållav
Bollvitmossa
Skinnlav
Trådticka
Vedticka
Vågbandad barkbock</t>
        </is>
      </c>
      <c r="S39">
        <f>HYPERLINK("https://klasma.github.io/Logging_2260/artfynd/A 8324-2025 artfynd.xlsx", "A 8324-2025")</f>
        <v/>
      </c>
      <c r="T39">
        <f>HYPERLINK("https://klasma.github.io/Logging_2260/kartor/A 8324-2025 karta.png", "A 8324-2025")</f>
        <v/>
      </c>
      <c r="V39">
        <f>HYPERLINK("https://klasma.github.io/Logging_2260/klagomål/A 8324-2025 FSC-klagomål.docx", "A 8324-2025")</f>
        <v/>
      </c>
      <c r="W39">
        <f>HYPERLINK("https://klasma.github.io/Logging_2260/klagomålsmail/A 8324-2025 FSC-klagomål mail.docx", "A 8324-2025")</f>
        <v/>
      </c>
      <c r="X39">
        <f>HYPERLINK("https://klasma.github.io/Logging_2260/tillsyn/A 8324-2025 tillsynsbegäran.docx", "A 8324-2025")</f>
        <v/>
      </c>
      <c r="Y39">
        <f>HYPERLINK("https://klasma.github.io/Logging_2260/tillsynsmail/A 8324-2025 tillsynsbegäran mail.docx", "A 8324-2025")</f>
        <v/>
      </c>
    </row>
    <row r="40" ht="15" customHeight="1">
      <c r="A40" t="inlineStr">
        <is>
          <t>A 6429-2022</t>
        </is>
      </c>
      <c r="B40" s="1" t="n">
        <v>44600</v>
      </c>
      <c r="C40" s="1" t="n">
        <v>46127</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46127</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30474-2025</t>
        </is>
      </c>
      <c r="B42" s="1" t="n">
        <v>45828.34430555555</v>
      </c>
      <c r="C42" s="1" t="n">
        <v>46127</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46127</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46127</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46127</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46127</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46127</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25323-2023</t>
        </is>
      </c>
      <c r="B48" s="1" t="n">
        <v>45086</v>
      </c>
      <c r="C48" s="1" t="n">
        <v>46127</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34786-2021</t>
        </is>
      </c>
      <c r="B49" s="1" t="n">
        <v>44382</v>
      </c>
      <c r="C49" s="1" t="n">
        <v>46127</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20694-2022</t>
        </is>
      </c>
      <c r="B50" s="1" t="n">
        <v>44700</v>
      </c>
      <c r="C50" s="1" t="n">
        <v>46127</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26473-2025</t>
        </is>
      </c>
      <c r="B51" s="1" t="n">
        <v>45807</v>
      </c>
      <c r="C51" s="1" t="n">
        <v>46127</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40545-2024</t>
        </is>
      </c>
      <c r="B52" s="1" t="n">
        <v>45555</v>
      </c>
      <c r="C52" s="1" t="n">
        <v>46127</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46127</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46127</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46127</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46127</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31113-2025</t>
        </is>
      </c>
      <c r="B57" s="1" t="n">
        <v>45832.61501157407</v>
      </c>
      <c r="C57" s="1" t="n">
        <v>46127</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46127</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37450-2025</t>
        </is>
      </c>
      <c r="B59" s="1" t="n">
        <v>45877.55261574074</v>
      </c>
      <c r="C59" s="1" t="n">
        <v>46127</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64945-2023</t>
        </is>
      </c>
      <c r="B60" s="1" t="n">
        <v>45282.94668981482</v>
      </c>
      <c r="C60" s="1" t="n">
        <v>46127</v>
      </c>
      <c r="D60" t="inlineStr">
        <is>
          <t>VÄSTERNORRLANDS LÄN</t>
        </is>
      </c>
      <c r="E60" t="inlineStr">
        <is>
          <t>ÅNGE</t>
        </is>
      </c>
      <c r="F60" t="inlineStr">
        <is>
          <t>SCA</t>
        </is>
      </c>
      <c r="G60" t="n">
        <v>4.6</v>
      </c>
      <c r="H60" t="n">
        <v>1</v>
      </c>
      <c r="I60" t="n">
        <v>1</v>
      </c>
      <c r="J60" t="n">
        <v>5</v>
      </c>
      <c r="K60" t="n">
        <v>2</v>
      </c>
      <c r="L60" t="n">
        <v>0</v>
      </c>
      <c r="M60" t="n">
        <v>0</v>
      </c>
      <c r="N60" t="n">
        <v>0</v>
      </c>
      <c r="O60" t="n">
        <v>7</v>
      </c>
      <c r="P60" t="n">
        <v>2</v>
      </c>
      <c r="Q60" t="n">
        <v>8</v>
      </c>
      <c r="R60" s="2" t="inlineStr">
        <is>
          <t>Rynkskinn
Vågticka
Garnlav
Granticka
Harticka
Tretåig hackspett
Ullticka
Trådticka</t>
        </is>
      </c>
      <c r="S60">
        <f>HYPERLINK("https://klasma.github.io/Logging_2260/artfynd/A 64945-2023 artfynd.xlsx", "A 64945-2023")</f>
        <v/>
      </c>
      <c r="T60">
        <f>HYPERLINK("https://klasma.github.io/Logging_2260/kartor/A 64945-2023 karta.png", "A 64945-2023")</f>
        <v/>
      </c>
      <c r="V60">
        <f>HYPERLINK("https://klasma.github.io/Logging_2260/klagomål/A 64945-2023 FSC-klagomål.docx", "A 64945-2023")</f>
        <v/>
      </c>
      <c r="W60">
        <f>HYPERLINK("https://klasma.github.io/Logging_2260/klagomålsmail/A 64945-2023 FSC-klagomål mail.docx", "A 64945-2023")</f>
        <v/>
      </c>
      <c r="X60">
        <f>HYPERLINK("https://klasma.github.io/Logging_2260/tillsyn/A 64945-2023 tillsynsbegäran.docx", "A 64945-2023")</f>
        <v/>
      </c>
      <c r="Y60">
        <f>HYPERLINK("https://klasma.github.io/Logging_2260/tillsynsmail/A 64945-2023 tillsynsbegäran mail.docx", "A 64945-2023")</f>
        <v/>
      </c>
      <c r="Z60">
        <f>HYPERLINK("https://klasma.github.io/Logging_2260/fåglar/A 64945-2023 prioriterade fågelarter.docx", "A 64945-2023")</f>
        <v/>
      </c>
    </row>
    <row r="61" ht="15" customHeight="1">
      <c r="A61" t="inlineStr">
        <is>
          <t>A 57843-2024</t>
        </is>
      </c>
      <c r="B61" s="1" t="n">
        <v>45631</v>
      </c>
      <c r="C61" s="1" t="n">
        <v>46127</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46127</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46127</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46127</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46127</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46127</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46127</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60116-2025</t>
        </is>
      </c>
      <c r="B68" s="1" t="n">
        <v>45994.318125</v>
      </c>
      <c r="C68" s="1" t="n">
        <v>46127</v>
      </c>
      <c r="D68" t="inlineStr">
        <is>
          <t>VÄSTERNORRLANDS LÄN</t>
        </is>
      </c>
      <c r="E68" t="inlineStr">
        <is>
          <t>ÅNGE</t>
        </is>
      </c>
      <c r="G68" t="n">
        <v>4.1</v>
      </c>
      <c r="H68" t="n">
        <v>1</v>
      </c>
      <c r="I68" t="n">
        <v>1</v>
      </c>
      <c r="J68" t="n">
        <v>5</v>
      </c>
      <c r="K68" t="n">
        <v>1</v>
      </c>
      <c r="L68" t="n">
        <v>0</v>
      </c>
      <c r="M68" t="n">
        <v>0</v>
      </c>
      <c r="N68" t="n">
        <v>0</v>
      </c>
      <c r="O68" t="n">
        <v>6</v>
      </c>
      <c r="P68" t="n">
        <v>1</v>
      </c>
      <c r="Q68" t="n">
        <v>7</v>
      </c>
      <c r="R68" s="2" t="inlineStr">
        <is>
          <t>Rynkskinn
Garnlav
Lunglav
Rosenticka
Tretåig hackspett
Ullticka
Luddlav</t>
        </is>
      </c>
      <c r="S68">
        <f>HYPERLINK("https://klasma.github.io/Logging_2260/artfynd/A 60116-2025 artfynd.xlsx", "A 60116-2025")</f>
        <v/>
      </c>
      <c r="T68">
        <f>HYPERLINK("https://klasma.github.io/Logging_2260/kartor/A 60116-2025 karta.png", "A 60116-2025")</f>
        <v/>
      </c>
      <c r="V68">
        <f>HYPERLINK("https://klasma.github.io/Logging_2260/klagomål/A 60116-2025 FSC-klagomål.docx", "A 60116-2025")</f>
        <v/>
      </c>
      <c r="W68">
        <f>HYPERLINK("https://klasma.github.io/Logging_2260/klagomålsmail/A 60116-2025 FSC-klagomål mail.docx", "A 60116-2025")</f>
        <v/>
      </c>
      <c r="X68">
        <f>HYPERLINK("https://klasma.github.io/Logging_2260/tillsyn/A 60116-2025 tillsynsbegäran.docx", "A 60116-2025")</f>
        <v/>
      </c>
      <c r="Y68">
        <f>HYPERLINK("https://klasma.github.io/Logging_2260/tillsynsmail/A 60116-2025 tillsynsbegäran mail.docx", "A 60116-2025")</f>
        <v/>
      </c>
      <c r="Z68">
        <f>HYPERLINK("https://klasma.github.io/Logging_2260/fåglar/A 60116-2025 prioriterade fågelarter.docx", "A 60116-2025")</f>
        <v/>
      </c>
    </row>
    <row r="69" ht="15" customHeight="1">
      <c r="A69" t="inlineStr">
        <is>
          <t>A 60240-2025</t>
        </is>
      </c>
      <c r="B69" s="1" t="n">
        <v>45994.57857638889</v>
      </c>
      <c r="C69" s="1" t="n">
        <v>46127</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21682-2023</t>
        </is>
      </c>
      <c r="B70" s="1" t="n">
        <v>45063.94219907407</v>
      </c>
      <c r="C70" s="1" t="n">
        <v>46127</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38246-2024</t>
        </is>
      </c>
      <c r="B71" s="1" t="n">
        <v>45545.57327546296</v>
      </c>
      <c r="C71" s="1" t="n">
        <v>46127</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55176-2024</t>
        </is>
      </c>
      <c r="B72" s="1" t="n">
        <v>45621</v>
      </c>
      <c r="C72" s="1" t="n">
        <v>46127</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46127</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39570-2025</t>
        </is>
      </c>
      <c r="B74" s="1" t="n">
        <v>45890.49009259259</v>
      </c>
      <c r="C74" s="1" t="n">
        <v>46127</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53456-2023</t>
        </is>
      </c>
      <c r="B75" s="1" t="n">
        <v>45229</v>
      </c>
      <c r="C75" s="1" t="n">
        <v>46127</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45402-2025</t>
        </is>
      </c>
      <c r="B76" s="1" t="n">
        <v>45922.4278587963</v>
      </c>
      <c r="C76" s="1" t="n">
        <v>46127</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31509-2024</t>
        </is>
      </c>
      <c r="B77" s="1" t="n">
        <v>45505</v>
      </c>
      <c r="C77" s="1" t="n">
        <v>46127</v>
      </c>
      <c r="D77" t="inlineStr">
        <is>
          <t>VÄSTERNORRLANDS LÄN</t>
        </is>
      </c>
      <c r="E77" t="inlineStr">
        <is>
          <t>ÅNGE</t>
        </is>
      </c>
      <c r="F77" t="inlineStr">
        <is>
          <t>SCA</t>
        </is>
      </c>
      <c r="G77" t="n">
        <v>21.3</v>
      </c>
      <c r="H77" t="n">
        <v>0</v>
      </c>
      <c r="I77" t="n">
        <v>2</v>
      </c>
      <c r="J77" t="n">
        <v>4</v>
      </c>
      <c r="K77" t="n">
        <v>0</v>
      </c>
      <c r="L77" t="n">
        <v>0</v>
      </c>
      <c r="M77" t="n">
        <v>0</v>
      </c>
      <c r="N77" t="n">
        <v>0</v>
      </c>
      <c r="O77" t="n">
        <v>4</v>
      </c>
      <c r="P77" t="n">
        <v>0</v>
      </c>
      <c r="Q77" t="n">
        <v>6</v>
      </c>
      <c r="R77" s="2" t="inlineStr">
        <is>
          <t>Doftskinn
Granticka
Rosenticka
Ullticka
Bollvitmossa
Trådticka</t>
        </is>
      </c>
      <c r="S77">
        <f>HYPERLINK("https://klasma.github.io/Logging_2260/artfynd/A 31509-2024 artfynd.xlsx", "A 31509-2024")</f>
        <v/>
      </c>
      <c r="T77">
        <f>HYPERLINK("https://klasma.github.io/Logging_2260/kartor/A 31509-2024 karta.png", "A 31509-2024")</f>
        <v/>
      </c>
      <c r="V77">
        <f>HYPERLINK("https://klasma.github.io/Logging_2260/klagomål/A 31509-2024 FSC-klagomål.docx", "A 31509-2024")</f>
        <v/>
      </c>
      <c r="W77">
        <f>HYPERLINK("https://klasma.github.io/Logging_2260/klagomålsmail/A 31509-2024 FSC-klagomål mail.docx", "A 31509-2024")</f>
        <v/>
      </c>
      <c r="X77">
        <f>HYPERLINK("https://klasma.github.io/Logging_2260/tillsyn/A 31509-2024 tillsynsbegäran.docx", "A 31509-2024")</f>
        <v/>
      </c>
      <c r="Y77">
        <f>HYPERLINK("https://klasma.github.io/Logging_2260/tillsynsmail/A 31509-2024 tillsynsbegäran mail.docx", "A 31509-2024")</f>
        <v/>
      </c>
    </row>
    <row r="78" ht="15" customHeight="1">
      <c r="A78" t="inlineStr">
        <is>
          <t>A 48191-2025</t>
        </is>
      </c>
      <c r="B78" s="1" t="n">
        <v>45933.46956018519</v>
      </c>
      <c r="C78" s="1" t="n">
        <v>46127</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46127</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46127</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4130-2023</t>
        </is>
      </c>
      <c r="B81" s="1" t="n">
        <v>44952</v>
      </c>
      <c r="C81" s="1" t="n">
        <v>46127</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49528-2025</t>
        </is>
      </c>
      <c r="B82" s="1" t="n">
        <v>45939.40664351852</v>
      </c>
      <c r="C82" s="1" t="n">
        <v>46127</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5637-2026</t>
        </is>
      </c>
      <c r="B83" s="1" t="n">
        <v>46051</v>
      </c>
      <c r="C83" s="1" t="n">
        <v>46127</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46127</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46127</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46127</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46127</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46127</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23601-2025</t>
        </is>
      </c>
      <c r="B89" s="1" t="n">
        <v>45792</v>
      </c>
      <c r="C89" s="1" t="n">
        <v>46127</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13696-2023</t>
        </is>
      </c>
      <c r="B90" s="1" t="n">
        <v>45006</v>
      </c>
      <c r="C90" s="1" t="n">
        <v>46127</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43520-2025</t>
        </is>
      </c>
      <c r="B91" s="1" t="n">
        <v>45911.57364583333</v>
      </c>
      <c r="C91" s="1" t="n">
        <v>46127</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46127</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46375-2025</t>
        </is>
      </c>
      <c r="B93" s="1" t="n">
        <v>45925.51097222222</v>
      </c>
      <c r="C93" s="1" t="n">
        <v>46127</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47102-2025</t>
        </is>
      </c>
      <c r="B94" s="1" t="n">
        <v>45929</v>
      </c>
      <c r="C94" s="1" t="n">
        <v>46127</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59971-2025</t>
        </is>
      </c>
      <c r="B95" s="1" t="n">
        <v>45993.49002314815</v>
      </c>
      <c r="C95" s="1" t="n">
        <v>46127</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26958-2024</t>
        </is>
      </c>
      <c r="B96" s="1" t="n">
        <v>45470</v>
      </c>
      <c r="C96" s="1" t="n">
        <v>46127</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52392-2025</t>
        </is>
      </c>
      <c r="B97" s="1" t="n">
        <v>45954.34424768519</v>
      </c>
      <c r="C97" s="1" t="n">
        <v>46127</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38322-2025</t>
        </is>
      </c>
      <c r="B98" s="1" t="n">
        <v>45883.49003472222</v>
      </c>
      <c r="C98" s="1" t="n">
        <v>46127</v>
      </c>
      <c r="D98" t="inlineStr">
        <is>
          <t>VÄSTERNORRLANDS LÄN</t>
        </is>
      </c>
      <c r="E98" t="inlineStr">
        <is>
          <t>ÅNGE</t>
        </is>
      </c>
      <c r="F98" t="inlineStr">
        <is>
          <t>SCA</t>
        </is>
      </c>
      <c r="G98" t="n">
        <v>5.4</v>
      </c>
      <c r="H98" t="n">
        <v>1</v>
      </c>
      <c r="I98" t="n">
        <v>0</v>
      </c>
      <c r="J98" t="n">
        <v>4</v>
      </c>
      <c r="K98" t="n">
        <v>0</v>
      </c>
      <c r="L98" t="n">
        <v>0</v>
      </c>
      <c r="M98" t="n">
        <v>0</v>
      </c>
      <c r="N98" t="n">
        <v>0</v>
      </c>
      <c r="O98" t="n">
        <v>4</v>
      </c>
      <c r="P98" t="n">
        <v>0</v>
      </c>
      <c r="Q98" t="n">
        <v>5</v>
      </c>
      <c r="R98" s="2" t="inlineStr">
        <is>
          <t>Gammelgransskål
Garnlav
Skrovellav
Violettgrå tagellav
Revlummer</t>
        </is>
      </c>
      <c r="S98">
        <f>HYPERLINK("https://klasma.github.io/Logging_2260/artfynd/A 38322-2025 artfynd.xlsx", "A 38322-2025")</f>
        <v/>
      </c>
      <c r="T98">
        <f>HYPERLINK("https://klasma.github.io/Logging_2260/kartor/A 38322-2025 karta.png", "A 38322-2025")</f>
        <v/>
      </c>
      <c r="V98">
        <f>HYPERLINK("https://klasma.github.io/Logging_2260/klagomål/A 38322-2025 FSC-klagomål.docx", "A 38322-2025")</f>
        <v/>
      </c>
      <c r="W98">
        <f>HYPERLINK("https://klasma.github.io/Logging_2260/klagomålsmail/A 38322-2025 FSC-klagomål mail.docx", "A 38322-2025")</f>
        <v/>
      </c>
      <c r="X98">
        <f>HYPERLINK("https://klasma.github.io/Logging_2260/tillsyn/A 38322-2025 tillsynsbegäran.docx", "A 38322-2025")</f>
        <v/>
      </c>
      <c r="Y98">
        <f>HYPERLINK("https://klasma.github.io/Logging_2260/tillsynsmail/A 38322-2025 tillsynsbegäran mail.docx", "A 38322-2025")</f>
        <v/>
      </c>
    </row>
    <row r="99" ht="15" customHeight="1">
      <c r="A99" t="inlineStr">
        <is>
          <t>A 38327-2025</t>
        </is>
      </c>
      <c r="B99" s="1" t="n">
        <v>45883.49084490741</v>
      </c>
      <c r="C99" s="1" t="n">
        <v>46127</v>
      </c>
      <c r="D99" t="inlineStr">
        <is>
          <t>VÄSTERNORRLANDS LÄN</t>
        </is>
      </c>
      <c r="E99" t="inlineStr">
        <is>
          <t>ÅNGE</t>
        </is>
      </c>
      <c r="F99" t="inlineStr">
        <is>
          <t>SCA</t>
        </is>
      </c>
      <c r="G99" t="n">
        <v>2.1</v>
      </c>
      <c r="H99" t="n">
        <v>1</v>
      </c>
      <c r="I99" t="n">
        <v>0</v>
      </c>
      <c r="J99" t="n">
        <v>4</v>
      </c>
      <c r="K99" t="n">
        <v>0</v>
      </c>
      <c r="L99" t="n">
        <v>0</v>
      </c>
      <c r="M99" t="n">
        <v>0</v>
      </c>
      <c r="N99" t="n">
        <v>0</v>
      </c>
      <c r="O99" t="n">
        <v>4</v>
      </c>
      <c r="P99" t="n">
        <v>0</v>
      </c>
      <c r="Q99" t="n">
        <v>5</v>
      </c>
      <c r="R99" s="2" t="inlineStr">
        <is>
          <t>Gammelgransskål
Garnlav
Ullticka
Violettgrå tagellav
Revlummer</t>
        </is>
      </c>
      <c r="S99">
        <f>HYPERLINK("https://klasma.github.io/Logging_2260/artfynd/A 38327-2025 artfynd.xlsx", "A 38327-2025")</f>
        <v/>
      </c>
      <c r="T99">
        <f>HYPERLINK("https://klasma.github.io/Logging_2260/kartor/A 38327-2025 karta.png", "A 38327-2025")</f>
        <v/>
      </c>
      <c r="V99">
        <f>HYPERLINK("https://klasma.github.io/Logging_2260/klagomål/A 38327-2025 FSC-klagomål.docx", "A 38327-2025")</f>
        <v/>
      </c>
      <c r="W99">
        <f>HYPERLINK("https://klasma.github.io/Logging_2260/klagomålsmail/A 38327-2025 FSC-klagomål mail.docx", "A 38327-2025")</f>
        <v/>
      </c>
      <c r="X99">
        <f>HYPERLINK("https://klasma.github.io/Logging_2260/tillsyn/A 38327-2025 tillsynsbegäran.docx", "A 38327-2025")</f>
        <v/>
      </c>
      <c r="Y99">
        <f>HYPERLINK("https://klasma.github.io/Logging_2260/tillsynsmail/A 38327-2025 tillsynsbegäran mail.docx", "A 38327-2025")</f>
        <v/>
      </c>
    </row>
    <row r="100" ht="15" customHeight="1">
      <c r="A100" t="inlineStr">
        <is>
          <t>A 26012-2024</t>
        </is>
      </c>
      <c r="B100" s="1" t="n">
        <v>45467</v>
      </c>
      <c r="C100" s="1" t="n">
        <v>46127</v>
      </c>
      <c r="D100" t="inlineStr">
        <is>
          <t>VÄSTERNORRLANDS LÄN</t>
        </is>
      </c>
      <c r="E100" t="inlineStr">
        <is>
          <t>ÅNGE</t>
        </is>
      </c>
      <c r="F100" t="inlineStr">
        <is>
          <t>SCA</t>
        </is>
      </c>
      <c r="G100" t="n">
        <v>7.5</v>
      </c>
      <c r="H100" t="n">
        <v>1</v>
      </c>
      <c r="I100" t="n">
        <v>0</v>
      </c>
      <c r="J100" t="n">
        <v>4</v>
      </c>
      <c r="K100" t="n">
        <v>1</v>
      </c>
      <c r="L100" t="n">
        <v>0</v>
      </c>
      <c r="M100" t="n">
        <v>0</v>
      </c>
      <c r="N100" t="n">
        <v>0</v>
      </c>
      <c r="O100" t="n">
        <v>5</v>
      </c>
      <c r="P100" t="n">
        <v>1</v>
      </c>
      <c r="Q100" t="n">
        <v>5</v>
      </c>
      <c r="R100" s="2" t="inlineStr">
        <is>
          <t>Rynkskinn
Garnlav
Granticka
Rosenticka
Tretåig hackspett</t>
        </is>
      </c>
      <c r="S100">
        <f>HYPERLINK("https://klasma.github.io/Logging_2260/artfynd/A 26012-2024 artfynd.xlsx", "A 26012-2024")</f>
        <v/>
      </c>
      <c r="T100">
        <f>HYPERLINK("https://klasma.github.io/Logging_2260/kartor/A 26012-2024 karta.png", "A 26012-2024")</f>
        <v/>
      </c>
      <c r="V100">
        <f>HYPERLINK("https://klasma.github.io/Logging_2260/klagomål/A 26012-2024 FSC-klagomål.docx", "A 26012-2024")</f>
        <v/>
      </c>
      <c r="W100">
        <f>HYPERLINK("https://klasma.github.io/Logging_2260/klagomålsmail/A 26012-2024 FSC-klagomål mail.docx", "A 26012-2024")</f>
        <v/>
      </c>
      <c r="X100">
        <f>HYPERLINK("https://klasma.github.io/Logging_2260/tillsyn/A 26012-2024 tillsynsbegäran.docx", "A 26012-2024")</f>
        <v/>
      </c>
      <c r="Y100">
        <f>HYPERLINK("https://klasma.github.io/Logging_2260/tillsynsmail/A 26012-2024 tillsynsbegäran mail.docx", "A 26012-2024")</f>
        <v/>
      </c>
      <c r="Z100">
        <f>HYPERLINK("https://klasma.github.io/Logging_2260/fåglar/A 26012-2024 prioriterade fågelarter.docx", "A 26012-2024")</f>
        <v/>
      </c>
    </row>
    <row r="101" ht="15" customHeight="1">
      <c r="A101" t="inlineStr">
        <is>
          <t>A 15784-2026</t>
        </is>
      </c>
      <c r="B101" s="1" t="n">
        <v>46107.46947916667</v>
      </c>
      <c r="C101" s="1" t="n">
        <v>46127</v>
      </c>
      <c r="D101" t="inlineStr">
        <is>
          <t>VÄSTERNORRLANDS LÄN</t>
        </is>
      </c>
      <c r="E101" t="inlineStr">
        <is>
          <t>ÅNGE</t>
        </is>
      </c>
      <c r="F101" t="inlineStr">
        <is>
          <t>SCA</t>
        </is>
      </c>
      <c r="G101" t="n">
        <v>10.4</v>
      </c>
      <c r="H101" t="n">
        <v>1</v>
      </c>
      <c r="I101" t="n">
        <v>2</v>
      </c>
      <c r="J101" t="n">
        <v>2</v>
      </c>
      <c r="K101" t="n">
        <v>0</v>
      </c>
      <c r="L101" t="n">
        <v>0</v>
      </c>
      <c r="M101" t="n">
        <v>0</v>
      </c>
      <c r="N101" t="n">
        <v>0</v>
      </c>
      <c r="O101" t="n">
        <v>2</v>
      </c>
      <c r="P101" t="n">
        <v>0</v>
      </c>
      <c r="Q101" t="n">
        <v>5</v>
      </c>
      <c r="R101" s="2" t="inlineStr">
        <is>
          <t>Lunglav
Ullticka
Bollvitmossa
Kransrams
Nattviol</t>
        </is>
      </c>
      <c r="S101">
        <f>HYPERLINK("https://klasma.github.io/Logging_2260/artfynd/A 15784-2026 artfynd.xlsx", "A 15784-2026")</f>
        <v/>
      </c>
      <c r="T101">
        <f>HYPERLINK("https://klasma.github.io/Logging_2260/kartor/A 15784-2026 karta.png", "A 15784-2026")</f>
        <v/>
      </c>
      <c r="V101">
        <f>HYPERLINK("https://klasma.github.io/Logging_2260/klagomål/A 15784-2026 FSC-klagomål.docx", "A 15784-2026")</f>
        <v/>
      </c>
      <c r="W101">
        <f>HYPERLINK("https://klasma.github.io/Logging_2260/klagomålsmail/A 15784-2026 FSC-klagomål mail.docx", "A 15784-2026")</f>
        <v/>
      </c>
      <c r="X101">
        <f>HYPERLINK("https://klasma.github.io/Logging_2260/tillsyn/A 15784-2026 tillsynsbegäran.docx", "A 15784-2026")</f>
        <v/>
      </c>
      <c r="Y101">
        <f>HYPERLINK("https://klasma.github.io/Logging_2260/tillsynsmail/A 15784-2026 tillsynsbegäran mail.docx", "A 15784-2026")</f>
        <v/>
      </c>
    </row>
    <row r="102" ht="15" customHeight="1">
      <c r="A102" t="inlineStr">
        <is>
          <t>A 64950-2023</t>
        </is>
      </c>
      <c r="B102" s="1" t="n">
        <v>45282</v>
      </c>
      <c r="C102" s="1" t="n">
        <v>46127</v>
      </c>
      <c r="D102" t="inlineStr">
        <is>
          <t>VÄSTERNORRLANDS LÄN</t>
        </is>
      </c>
      <c r="E102" t="inlineStr">
        <is>
          <t>ÅNGE</t>
        </is>
      </c>
      <c r="F102" t="inlineStr">
        <is>
          <t>SCA</t>
        </is>
      </c>
      <c r="G102" t="n">
        <v>5.2</v>
      </c>
      <c r="H102" t="n">
        <v>1</v>
      </c>
      <c r="I102" t="n">
        <v>1</v>
      </c>
      <c r="J102" t="n">
        <v>4</v>
      </c>
      <c r="K102" t="n">
        <v>0</v>
      </c>
      <c r="L102" t="n">
        <v>0</v>
      </c>
      <c r="M102" t="n">
        <v>0</v>
      </c>
      <c r="N102" t="n">
        <v>0</v>
      </c>
      <c r="O102" t="n">
        <v>4</v>
      </c>
      <c r="P102" t="n">
        <v>0</v>
      </c>
      <c r="Q102" t="n">
        <v>5</v>
      </c>
      <c r="R102" s="2" t="inlineStr">
        <is>
          <t>Garnlav
Granticka
Tretåig hackspett
Ullticka
Trådticka</t>
        </is>
      </c>
      <c r="S102">
        <f>HYPERLINK("https://klasma.github.io/Logging_2260/artfynd/A 64950-2023 artfynd.xlsx", "A 64950-2023")</f>
        <v/>
      </c>
      <c r="T102">
        <f>HYPERLINK("https://klasma.github.io/Logging_2260/kartor/A 64950-2023 karta.png", "A 64950-2023")</f>
        <v/>
      </c>
      <c r="V102">
        <f>HYPERLINK("https://klasma.github.io/Logging_2260/klagomål/A 64950-2023 FSC-klagomål.docx", "A 64950-2023")</f>
        <v/>
      </c>
      <c r="W102">
        <f>HYPERLINK("https://klasma.github.io/Logging_2260/klagomålsmail/A 64950-2023 FSC-klagomål mail.docx", "A 64950-2023")</f>
        <v/>
      </c>
      <c r="X102">
        <f>HYPERLINK("https://klasma.github.io/Logging_2260/tillsyn/A 64950-2023 tillsynsbegäran.docx", "A 64950-2023")</f>
        <v/>
      </c>
      <c r="Y102">
        <f>HYPERLINK("https://klasma.github.io/Logging_2260/tillsynsmail/A 64950-2023 tillsynsbegäran mail.docx", "A 64950-2023")</f>
        <v/>
      </c>
      <c r="Z102">
        <f>HYPERLINK("https://klasma.github.io/Logging_2260/fåglar/A 64950-2023 prioriterade fågelarter.docx", "A 64950-2023")</f>
        <v/>
      </c>
    </row>
    <row r="103" ht="15" customHeight="1">
      <c r="A103" t="inlineStr">
        <is>
          <t>A 27914-2024</t>
        </is>
      </c>
      <c r="B103" s="1" t="n">
        <v>45475</v>
      </c>
      <c r="C103" s="1" t="n">
        <v>46127</v>
      </c>
      <c r="D103" t="inlineStr">
        <is>
          <t>VÄSTERNORRLANDS LÄN</t>
        </is>
      </c>
      <c r="E103" t="inlineStr">
        <is>
          <t>ÅNGE</t>
        </is>
      </c>
      <c r="F103" t="inlineStr">
        <is>
          <t>SCA</t>
        </is>
      </c>
      <c r="G103" t="n">
        <v>1.4</v>
      </c>
      <c r="H103" t="n">
        <v>0</v>
      </c>
      <c r="I103" t="n">
        <v>2</v>
      </c>
      <c r="J103" t="n">
        <v>3</v>
      </c>
      <c r="K103" t="n">
        <v>0</v>
      </c>
      <c r="L103" t="n">
        <v>0</v>
      </c>
      <c r="M103" t="n">
        <v>0</v>
      </c>
      <c r="N103" t="n">
        <v>0</v>
      </c>
      <c r="O103" t="n">
        <v>3</v>
      </c>
      <c r="P103" t="n">
        <v>0</v>
      </c>
      <c r="Q103" t="n">
        <v>5</v>
      </c>
      <c r="R103" s="2" t="inlineStr">
        <is>
          <t>Granticka
Lunglav
Vedtrappmossa
Korallblylav
Stuplav</t>
        </is>
      </c>
      <c r="S103">
        <f>HYPERLINK("https://klasma.github.io/Logging_2260/artfynd/A 27914-2024 artfynd.xlsx", "A 27914-2024")</f>
        <v/>
      </c>
      <c r="T103">
        <f>HYPERLINK("https://klasma.github.io/Logging_2260/kartor/A 27914-2024 karta.png", "A 27914-2024")</f>
        <v/>
      </c>
      <c r="V103">
        <f>HYPERLINK("https://klasma.github.io/Logging_2260/klagomål/A 27914-2024 FSC-klagomål.docx", "A 27914-2024")</f>
        <v/>
      </c>
      <c r="W103">
        <f>HYPERLINK("https://klasma.github.io/Logging_2260/klagomålsmail/A 27914-2024 FSC-klagomål mail.docx", "A 27914-2024")</f>
        <v/>
      </c>
      <c r="X103">
        <f>HYPERLINK("https://klasma.github.io/Logging_2260/tillsyn/A 27914-2024 tillsynsbegäran.docx", "A 27914-2024")</f>
        <v/>
      </c>
      <c r="Y103">
        <f>HYPERLINK("https://klasma.github.io/Logging_2260/tillsynsmail/A 27914-2024 tillsynsbegäran mail.docx", "A 27914-2024")</f>
        <v/>
      </c>
    </row>
    <row r="104" ht="15" customHeight="1">
      <c r="A104" t="inlineStr">
        <is>
          <t>A 42090-2024</t>
        </is>
      </c>
      <c r="B104" s="1" t="n">
        <v>45562</v>
      </c>
      <c r="C104" s="1" t="n">
        <v>46127</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55004-2023</t>
        </is>
      </c>
      <c r="B105" s="1" t="n">
        <v>45236</v>
      </c>
      <c r="C105" s="1" t="n">
        <v>46127</v>
      </c>
      <c r="D105" t="inlineStr">
        <is>
          <t>VÄSTERNORRLANDS LÄN</t>
        </is>
      </c>
      <c r="E105" t="inlineStr">
        <is>
          <t>ÅNGE</t>
        </is>
      </c>
      <c r="F105" t="inlineStr">
        <is>
          <t>SCA</t>
        </is>
      </c>
      <c r="G105" t="n">
        <v>3.7</v>
      </c>
      <c r="H105" t="n">
        <v>2</v>
      </c>
      <c r="I105" t="n">
        <v>3</v>
      </c>
      <c r="J105" t="n">
        <v>1</v>
      </c>
      <c r="K105" t="n">
        <v>0</v>
      </c>
      <c r="L105" t="n">
        <v>0</v>
      </c>
      <c r="M105" t="n">
        <v>0</v>
      </c>
      <c r="N105" t="n">
        <v>0</v>
      </c>
      <c r="O105" t="n">
        <v>1</v>
      </c>
      <c r="P105" t="n">
        <v>0</v>
      </c>
      <c r="Q105" t="n">
        <v>5</v>
      </c>
      <c r="R105" s="2" t="inlineStr">
        <is>
          <t>Storgröe
Kransrams
Spädstarr
Tvåblad
Fläcknycklar</t>
        </is>
      </c>
      <c r="S105">
        <f>HYPERLINK("https://klasma.github.io/Logging_2260/artfynd/A 55004-2023 artfynd.xlsx", "A 55004-2023")</f>
        <v/>
      </c>
      <c r="T105">
        <f>HYPERLINK("https://klasma.github.io/Logging_2260/kartor/A 55004-2023 karta.png", "A 55004-2023")</f>
        <v/>
      </c>
      <c r="V105">
        <f>HYPERLINK("https://klasma.github.io/Logging_2260/klagomål/A 55004-2023 FSC-klagomål.docx", "A 55004-2023")</f>
        <v/>
      </c>
      <c r="W105">
        <f>HYPERLINK("https://klasma.github.io/Logging_2260/klagomålsmail/A 55004-2023 FSC-klagomål mail.docx", "A 55004-2023")</f>
        <v/>
      </c>
      <c r="X105">
        <f>HYPERLINK("https://klasma.github.io/Logging_2260/tillsyn/A 55004-2023 tillsynsbegäran.docx", "A 55004-2023")</f>
        <v/>
      </c>
      <c r="Y105">
        <f>HYPERLINK("https://klasma.github.io/Logging_2260/tillsynsmail/A 55004-2023 tillsynsbegäran mail.docx", "A 55004-2023")</f>
        <v/>
      </c>
    </row>
    <row r="106" ht="15" customHeight="1">
      <c r="A106" t="inlineStr">
        <is>
          <t>A 32911-2024</t>
        </is>
      </c>
      <c r="B106" s="1" t="n">
        <v>45516</v>
      </c>
      <c r="C106" s="1" t="n">
        <v>46127</v>
      </c>
      <c r="D106" t="inlineStr">
        <is>
          <t>VÄSTERNORRLANDS LÄN</t>
        </is>
      </c>
      <c r="E106" t="inlineStr">
        <is>
          <t>ÅNGE</t>
        </is>
      </c>
      <c r="F106" t="inlineStr">
        <is>
          <t>SCA</t>
        </is>
      </c>
      <c r="G106" t="n">
        <v>1</v>
      </c>
      <c r="H106" t="n">
        <v>3</v>
      </c>
      <c r="I106" t="n">
        <v>0</v>
      </c>
      <c r="J106" t="n">
        <v>2</v>
      </c>
      <c r="K106" t="n">
        <v>2</v>
      </c>
      <c r="L106" t="n">
        <v>0</v>
      </c>
      <c r="M106" t="n">
        <v>0</v>
      </c>
      <c r="N106" t="n">
        <v>0</v>
      </c>
      <c r="O106" t="n">
        <v>4</v>
      </c>
      <c r="P106" t="n">
        <v>2</v>
      </c>
      <c r="Q106" t="n">
        <v>5</v>
      </c>
      <c r="R106" s="2" t="inlineStr">
        <is>
          <t>Doftticka
Knärot
Garnlav
Lunglav
Revlummer</t>
        </is>
      </c>
      <c r="S106">
        <f>HYPERLINK("https://klasma.github.io/Logging_2260/artfynd/A 32911-2024 artfynd.xlsx", "A 32911-2024")</f>
        <v/>
      </c>
      <c r="T106">
        <f>HYPERLINK("https://klasma.github.io/Logging_2260/kartor/A 32911-2024 karta.png", "A 32911-2024")</f>
        <v/>
      </c>
      <c r="U106">
        <f>HYPERLINK("https://klasma.github.io/Logging_2260/knärot/A 32911-2024 karta knärot.png", "A 32911-2024")</f>
        <v/>
      </c>
      <c r="V106">
        <f>HYPERLINK("https://klasma.github.io/Logging_2260/klagomål/A 32911-2024 FSC-klagomål.docx", "A 32911-2024")</f>
        <v/>
      </c>
      <c r="W106">
        <f>HYPERLINK("https://klasma.github.io/Logging_2260/klagomålsmail/A 32911-2024 FSC-klagomål mail.docx", "A 32911-2024")</f>
        <v/>
      </c>
      <c r="X106">
        <f>HYPERLINK("https://klasma.github.io/Logging_2260/tillsyn/A 32911-2024 tillsynsbegäran.docx", "A 32911-2024")</f>
        <v/>
      </c>
      <c r="Y106">
        <f>HYPERLINK("https://klasma.github.io/Logging_2260/tillsynsmail/A 32911-2024 tillsynsbegäran mail.docx", "A 32911-2024")</f>
        <v/>
      </c>
    </row>
    <row r="107" ht="15" customHeight="1">
      <c r="A107" t="inlineStr">
        <is>
          <t>A 2451-2024</t>
        </is>
      </c>
      <c r="B107" s="1" t="n">
        <v>45312.58627314815</v>
      </c>
      <c r="C107" s="1" t="n">
        <v>46127</v>
      </c>
      <c r="D107" t="inlineStr">
        <is>
          <t>VÄSTERNORRLANDS LÄN</t>
        </is>
      </c>
      <c r="E107" t="inlineStr">
        <is>
          <t>ÅNGE</t>
        </is>
      </c>
      <c r="G107" t="n">
        <v>3.5</v>
      </c>
      <c r="H107" t="n">
        <v>0</v>
      </c>
      <c r="I107" t="n">
        <v>1</v>
      </c>
      <c r="J107" t="n">
        <v>4</v>
      </c>
      <c r="K107" t="n">
        <v>0</v>
      </c>
      <c r="L107" t="n">
        <v>0</v>
      </c>
      <c r="M107" t="n">
        <v>0</v>
      </c>
      <c r="N107" t="n">
        <v>0</v>
      </c>
      <c r="O107" t="n">
        <v>4</v>
      </c>
      <c r="P107" t="n">
        <v>0</v>
      </c>
      <c r="Q107" t="n">
        <v>5</v>
      </c>
      <c r="R107" s="2" t="inlineStr">
        <is>
          <t>Garnlav
Mörk kolflarnlav
Rosenticka
Ullticka
Dropptaggsvamp</t>
        </is>
      </c>
      <c r="S107">
        <f>HYPERLINK("https://klasma.github.io/Logging_2260/artfynd/A 2451-2024 artfynd.xlsx", "A 2451-2024")</f>
        <v/>
      </c>
      <c r="T107">
        <f>HYPERLINK("https://klasma.github.io/Logging_2260/kartor/A 2451-2024 karta.png", "A 2451-2024")</f>
        <v/>
      </c>
      <c r="V107">
        <f>HYPERLINK("https://klasma.github.io/Logging_2260/klagomål/A 2451-2024 FSC-klagomål.docx", "A 2451-2024")</f>
        <v/>
      </c>
      <c r="W107">
        <f>HYPERLINK("https://klasma.github.io/Logging_2260/klagomålsmail/A 2451-2024 FSC-klagomål mail.docx", "A 2451-2024")</f>
        <v/>
      </c>
      <c r="X107">
        <f>HYPERLINK("https://klasma.github.io/Logging_2260/tillsyn/A 2451-2024 tillsynsbegäran.docx", "A 2451-2024")</f>
        <v/>
      </c>
      <c r="Y107">
        <f>HYPERLINK("https://klasma.github.io/Logging_2260/tillsynsmail/A 2451-2024 tillsynsbegäran mail.docx", "A 2451-2024")</f>
        <v/>
      </c>
    </row>
    <row r="108" ht="15" customHeight="1">
      <c r="A108" t="inlineStr">
        <is>
          <t>A 24796-2024</t>
        </is>
      </c>
      <c r="B108" s="1" t="n">
        <v>45460</v>
      </c>
      <c r="C108" s="1" t="n">
        <v>46127</v>
      </c>
      <c r="D108" t="inlineStr">
        <is>
          <t>VÄSTERNORRLANDS LÄN</t>
        </is>
      </c>
      <c r="E108" t="inlineStr">
        <is>
          <t>ÅNGE</t>
        </is>
      </c>
      <c r="F108" t="inlineStr">
        <is>
          <t>SCA</t>
        </is>
      </c>
      <c r="G108" t="n">
        <v>6.7</v>
      </c>
      <c r="H108" t="n">
        <v>2</v>
      </c>
      <c r="I108" t="n">
        <v>2</v>
      </c>
      <c r="J108" t="n">
        <v>1</v>
      </c>
      <c r="K108" t="n">
        <v>0</v>
      </c>
      <c r="L108" t="n">
        <v>0</v>
      </c>
      <c r="M108" t="n">
        <v>0</v>
      </c>
      <c r="N108" t="n">
        <v>0</v>
      </c>
      <c r="O108" t="n">
        <v>1</v>
      </c>
      <c r="P108" t="n">
        <v>0</v>
      </c>
      <c r="Q108" t="n">
        <v>4</v>
      </c>
      <c r="R108" s="2" t="inlineStr">
        <is>
          <t>Doftskinn
Korallrot
Skinnlav
Kungsfågel</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c r="Z108">
        <f>HYPERLINK("https://klasma.github.io/Logging_2260/fåglar/A 24796-2024 prioriterade fågelarter.docx", "A 24796-2024")</f>
        <v/>
      </c>
    </row>
    <row r="109" ht="15" customHeight="1">
      <c r="A109" t="inlineStr">
        <is>
          <t>A 46548-2023</t>
        </is>
      </c>
      <c r="B109" s="1" t="n">
        <v>45197</v>
      </c>
      <c r="C109" s="1" t="n">
        <v>46127</v>
      </c>
      <c r="D109" t="inlineStr">
        <is>
          <t>VÄSTERNORRLANDS LÄN</t>
        </is>
      </c>
      <c r="E109" t="inlineStr">
        <is>
          <t>ÅNGE</t>
        </is>
      </c>
      <c r="F109" t="inlineStr">
        <is>
          <t>SCA</t>
        </is>
      </c>
      <c r="G109" t="n">
        <v>4.1</v>
      </c>
      <c r="H109" t="n">
        <v>3</v>
      </c>
      <c r="I109" t="n">
        <v>2</v>
      </c>
      <c r="J109" t="n">
        <v>0</v>
      </c>
      <c r="K109" t="n">
        <v>1</v>
      </c>
      <c r="L109" t="n">
        <v>0</v>
      </c>
      <c r="M109" t="n">
        <v>0</v>
      </c>
      <c r="N109" t="n">
        <v>0</v>
      </c>
      <c r="O109" t="n">
        <v>1</v>
      </c>
      <c r="P109" t="n">
        <v>1</v>
      </c>
      <c r="Q109" t="n">
        <v>4</v>
      </c>
      <c r="R109" s="2" t="inlineStr">
        <is>
          <t>Knärot
Spindelblomster
Svavelriska
Fläcknycklar</t>
        </is>
      </c>
      <c r="S109">
        <f>HYPERLINK("https://klasma.github.io/Logging_2260/artfynd/A 46548-2023 artfynd.xlsx", "A 46548-2023")</f>
        <v/>
      </c>
      <c r="T109">
        <f>HYPERLINK("https://klasma.github.io/Logging_2260/kartor/A 46548-2023 karta.png", "A 46548-2023")</f>
        <v/>
      </c>
      <c r="U109">
        <f>HYPERLINK("https://klasma.github.io/Logging_2260/knärot/A 46548-2023 karta knärot.png", "A 46548-2023")</f>
        <v/>
      </c>
      <c r="V109">
        <f>HYPERLINK("https://klasma.github.io/Logging_2260/klagomål/A 46548-2023 FSC-klagomål.docx", "A 46548-2023")</f>
        <v/>
      </c>
      <c r="W109">
        <f>HYPERLINK("https://klasma.github.io/Logging_2260/klagomålsmail/A 46548-2023 FSC-klagomål mail.docx", "A 46548-2023")</f>
        <v/>
      </c>
      <c r="X109">
        <f>HYPERLINK("https://klasma.github.io/Logging_2260/tillsyn/A 46548-2023 tillsynsbegäran.docx", "A 46548-2023")</f>
        <v/>
      </c>
      <c r="Y109">
        <f>HYPERLINK("https://klasma.github.io/Logging_2260/tillsynsmail/A 46548-2023 tillsynsbegäran mail.docx", "A 46548-2023")</f>
        <v/>
      </c>
    </row>
    <row r="110" ht="15" customHeight="1">
      <c r="A110" t="inlineStr">
        <is>
          <t>A 38326-2024</t>
        </is>
      </c>
      <c r="B110" s="1" t="n">
        <v>45545.67741898148</v>
      </c>
      <c r="C110" s="1" t="n">
        <v>46127</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54095-2025</t>
        </is>
      </c>
      <c r="B111" s="1" t="n">
        <v>45964.40685185185</v>
      </c>
      <c r="C111" s="1" t="n">
        <v>46127</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26953-2024</t>
        </is>
      </c>
      <c r="B112" s="1" t="n">
        <v>45470</v>
      </c>
      <c r="C112" s="1" t="n">
        <v>46127</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38713-2025</t>
        </is>
      </c>
      <c r="B113" s="1" t="n">
        <v>45886.34479166667</v>
      </c>
      <c r="C113" s="1" t="n">
        <v>46127</v>
      </c>
      <c r="D113" t="inlineStr">
        <is>
          <t>VÄSTERNORRLANDS LÄN</t>
        </is>
      </c>
      <c r="E113" t="inlineStr">
        <is>
          <t>ÅNGE</t>
        </is>
      </c>
      <c r="F113" t="inlineStr">
        <is>
          <t>SCA</t>
        </is>
      </c>
      <c r="G113" t="n">
        <v>2</v>
      </c>
      <c r="H113" t="n">
        <v>1</v>
      </c>
      <c r="I113" t="n">
        <v>1</v>
      </c>
      <c r="J113" t="n">
        <v>2</v>
      </c>
      <c r="K113" t="n">
        <v>1</v>
      </c>
      <c r="L113" t="n">
        <v>0</v>
      </c>
      <c r="M113" t="n">
        <v>0</v>
      </c>
      <c r="N113" t="n">
        <v>0</v>
      </c>
      <c r="O113" t="n">
        <v>3</v>
      </c>
      <c r="P113" t="n">
        <v>1</v>
      </c>
      <c r="Q113" t="n">
        <v>4</v>
      </c>
      <c r="R113" s="2" t="inlineStr">
        <is>
          <t>Knärot
Garnlav
Vedtrappmossa
Bollvitmossa</t>
        </is>
      </c>
      <c r="S113">
        <f>HYPERLINK("https://klasma.github.io/Logging_2260/artfynd/A 38713-2025 artfynd.xlsx", "A 38713-2025")</f>
        <v/>
      </c>
      <c r="T113">
        <f>HYPERLINK("https://klasma.github.io/Logging_2260/kartor/A 38713-2025 karta.png", "A 38713-2025")</f>
        <v/>
      </c>
      <c r="U113">
        <f>HYPERLINK("https://klasma.github.io/Logging_2260/knärot/A 38713-2025 karta knärot.png", "A 38713-2025")</f>
        <v/>
      </c>
      <c r="V113">
        <f>HYPERLINK("https://klasma.github.io/Logging_2260/klagomål/A 38713-2025 FSC-klagomål.docx", "A 38713-2025")</f>
        <v/>
      </c>
      <c r="W113">
        <f>HYPERLINK("https://klasma.github.io/Logging_2260/klagomålsmail/A 38713-2025 FSC-klagomål mail.docx", "A 38713-2025")</f>
        <v/>
      </c>
      <c r="X113">
        <f>HYPERLINK("https://klasma.github.io/Logging_2260/tillsyn/A 38713-2025 tillsynsbegäran.docx", "A 38713-2025")</f>
        <v/>
      </c>
      <c r="Y113">
        <f>HYPERLINK("https://klasma.github.io/Logging_2260/tillsynsmail/A 38713-2025 tillsynsbegäran mail.docx", "A 38713-2025")</f>
        <v/>
      </c>
    </row>
    <row r="114" ht="15" customHeight="1">
      <c r="A114" t="inlineStr">
        <is>
          <t>A 61007-2025</t>
        </is>
      </c>
      <c r="B114" s="1" t="n">
        <v>45998</v>
      </c>
      <c r="C114" s="1" t="n">
        <v>46127</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61487-2025</t>
        </is>
      </c>
      <c r="B115" s="1" t="n">
        <v>46001.63628472222</v>
      </c>
      <c r="C115" s="1" t="n">
        <v>46127</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44558-2024</t>
        </is>
      </c>
      <c r="B116" s="1" t="n">
        <v>45574.47001157407</v>
      </c>
      <c r="C116" s="1" t="n">
        <v>46127</v>
      </c>
      <c r="D116" t="inlineStr">
        <is>
          <t>VÄSTERNORRLANDS LÄN</t>
        </is>
      </c>
      <c r="E116" t="inlineStr">
        <is>
          <t>ÅNGE</t>
        </is>
      </c>
      <c r="F116" t="inlineStr">
        <is>
          <t>SCA</t>
        </is>
      </c>
      <c r="G116" t="n">
        <v>6.1</v>
      </c>
      <c r="H116" t="n">
        <v>0</v>
      </c>
      <c r="I116" t="n">
        <v>0</v>
      </c>
      <c r="J116" t="n">
        <v>3</v>
      </c>
      <c r="K116" t="n">
        <v>1</v>
      </c>
      <c r="L116" t="n">
        <v>0</v>
      </c>
      <c r="M116" t="n">
        <v>0</v>
      </c>
      <c r="N116" t="n">
        <v>0</v>
      </c>
      <c r="O116" t="n">
        <v>4</v>
      </c>
      <c r="P116" t="n">
        <v>1</v>
      </c>
      <c r="Q116" t="n">
        <v>4</v>
      </c>
      <c r="R116" s="2" t="inlineStr">
        <is>
          <t>Gräddporing
Kortskaftad ärgspik
Reliktbock
Ullticka</t>
        </is>
      </c>
      <c r="S116">
        <f>HYPERLINK("https://klasma.github.io/Logging_2260/artfynd/A 44558-2024 artfynd.xlsx", "A 44558-2024")</f>
        <v/>
      </c>
      <c r="T116">
        <f>HYPERLINK("https://klasma.github.io/Logging_2260/kartor/A 44558-2024 karta.png", "A 44558-2024")</f>
        <v/>
      </c>
      <c r="V116">
        <f>HYPERLINK("https://klasma.github.io/Logging_2260/klagomål/A 44558-2024 FSC-klagomål.docx", "A 44558-2024")</f>
        <v/>
      </c>
      <c r="W116">
        <f>HYPERLINK("https://klasma.github.io/Logging_2260/klagomålsmail/A 44558-2024 FSC-klagomål mail.docx", "A 44558-2024")</f>
        <v/>
      </c>
      <c r="X116">
        <f>HYPERLINK("https://klasma.github.io/Logging_2260/tillsyn/A 44558-2024 tillsynsbegäran.docx", "A 44558-2024")</f>
        <v/>
      </c>
      <c r="Y116">
        <f>HYPERLINK("https://klasma.github.io/Logging_2260/tillsynsmail/A 44558-2024 tillsynsbegäran mail.docx", "A 44558-2024")</f>
        <v/>
      </c>
    </row>
    <row r="117" ht="15" customHeight="1">
      <c r="A117" t="inlineStr">
        <is>
          <t>A 57299-2022</t>
        </is>
      </c>
      <c r="B117" s="1" t="n">
        <v>44895.95090277777</v>
      </c>
      <c r="C117" s="1" t="n">
        <v>46127</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55179-2024</t>
        </is>
      </c>
      <c r="B118" s="1" t="n">
        <v>45621.53204861111</v>
      </c>
      <c r="C118" s="1" t="n">
        <v>46127</v>
      </c>
      <c r="D118" t="inlineStr">
        <is>
          <t>VÄSTERNORRLANDS LÄN</t>
        </is>
      </c>
      <c r="E118" t="inlineStr">
        <is>
          <t>ÅNGE</t>
        </is>
      </c>
      <c r="F118" t="inlineStr">
        <is>
          <t>SCA</t>
        </is>
      </c>
      <c r="G118" t="n">
        <v>3</v>
      </c>
      <c r="H118" t="n">
        <v>2</v>
      </c>
      <c r="I118" t="n">
        <v>1</v>
      </c>
      <c r="J118" t="n">
        <v>1</v>
      </c>
      <c r="K118" t="n">
        <v>0</v>
      </c>
      <c r="L118" t="n">
        <v>0</v>
      </c>
      <c r="M118" t="n">
        <v>0</v>
      </c>
      <c r="N118" t="n">
        <v>0</v>
      </c>
      <c r="O118" t="n">
        <v>1</v>
      </c>
      <c r="P118" t="n">
        <v>0</v>
      </c>
      <c r="Q118" t="n">
        <v>4</v>
      </c>
      <c r="R118" s="2" t="inlineStr">
        <is>
          <t>Lunglav
Stuplav
Fläcknycklar
Blåsippa</t>
        </is>
      </c>
      <c r="S118">
        <f>HYPERLINK("https://klasma.github.io/Logging_2260/artfynd/A 55179-2024 artfynd.xlsx", "A 55179-2024")</f>
        <v/>
      </c>
      <c r="T118">
        <f>HYPERLINK("https://klasma.github.io/Logging_2260/kartor/A 55179-2024 karta.png", "A 55179-2024")</f>
        <v/>
      </c>
      <c r="V118">
        <f>HYPERLINK("https://klasma.github.io/Logging_2260/klagomål/A 55179-2024 FSC-klagomål.docx", "A 55179-2024")</f>
        <v/>
      </c>
      <c r="W118">
        <f>HYPERLINK("https://klasma.github.io/Logging_2260/klagomålsmail/A 55179-2024 FSC-klagomål mail.docx", "A 55179-2024")</f>
        <v/>
      </c>
      <c r="X118">
        <f>HYPERLINK("https://klasma.github.io/Logging_2260/tillsyn/A 55179-2024 tillsynsbegäran.docx", "A 55179-2024")</f>
        <v/>
      </c>
      <c r="Y118">
        <f>HYPERLINK("https://klasma.github.io/Logging_2260/tillsynsmail/A 55179-2024 tillsynsbegäran mail.docx", "A 55179-2024")</f>
        <v/>
      </c>
    </row>
    <row r="119" ht="15" customHeight="1">
      <c r="A119" t="inlineStr">
        <is>
          <t>A 39176-2024</t>
        </is>
      </c>
      <c r="B119" s="1" t="n">
        <v>45548</v>
      </c>
      <c r="C119" s="1" t="n">
        <v>46127</v>
      </c>
      <c r="D119" t="inlineStr">
        <is>
          <t>VÄSTERNORRLANDS LÄN</t>
        </is>
      </c>
      <c r="E119" t="inlineStr">
        <is>
          <t>ÅNGE</t>
        </is>
      </c>
      <c r="F119" t="inlineStr">
        <is>
          <t>SCA</t>
        </is>
      </c>
      <c r="G119" t="n">
        <v>6.9</v>
      </c>
      <c r="H119" t="n">
        <v>1</v>
      </c>
      <c r="I119" t="n">
        <v>0</v>
      </c>
      <c r="J119" t="n">
        <v>3</v>
      </c>
      <c r="K119" t="n">
        <v>1</v>
      </c>
      <c r="L119" t="n">
        <v>0</v>
      </c>
      <c r="M119" t="n">
        <v>0</v>
      </c>
      <c r="N119" t="n">
        <v>0</v>
      </c>
      <c r="O119" t="n">
        <v>4</v>
      </c>
      <c r="P119" t="n">
        <v>1</v>
      </c>
      <c r="Q119" t="n">
        <v>4</v>
      </c>
      <c r="R119" s="2" t="inlineStr">
        <is>
          <t>Knärot
Doftskinn
Skrovellav
Violettgrå tagellav</t>
        </is>
      </c>
      <c r="S119">
        <f>HYPERLINK("https://klasma.github.io/Logging_2260/artfynd/A 39176-2024 artfynd.xlsx", "A 39176-2024")</f>
        <v/>
      </c>
      <c r="T119">
        <f>HYPERLINK("https://klasma.github.io/Logging_2260/kartor/A 39176-2024 karta.png", "A 39176-2024")</f>
        <v/>
      </c>
      <c r="U119">
        <f>HYPERLINK("https://klasma.github.io/Logging_2260/knärot/A 39176-2024 karta knärot.png", "A 39176-2024")</f>
        <v/>
      </c>
      <c r="V119">
        <f>HYPERLINK("https://klasma.github.io/Logging_2260/klagomål/A 39176-2024 FSC-klagomål.docx", "A 39176-2024")</f>
        <v/>
      </c>
      <c r="W119">
        <f>HYPERLINK("https://klasma.github.io/Logging_2260/klagomålsmail/A 39176-2024 FSC-klagomål mail.docx", "A 39176-2024")</f>
        <v/>
      </c>
      <c r="X119">
        <f>HYPERLINK("https://klasma.github.io/Logging_2260/tillsyn/A 39176-2024 tillsynsbegäran.docx", "A 39176-2024")</f>
        <v/>
      </c>
      <c r="Y119">
        <f>HYPERLINK("https://klasma.github.io/Logging_2260/tillsynsmail/A 39176-2024 tillsynsbegäran mail.docx", "A 39176-2024")</f>
        <v/>
      </c>
    </row>
    <row r="120" ht="15" customHeight="1">
      <c r="A120" t="inlineStr">
        <is>
          <t>A 11029-2025</t>
        </is>
      </c>
      <c r="B120" s="1" t="n">
        <v>45723</v>
      </c>
      <c r="C120" s="1" t="n">
        <v>46127</v>
      </c>
      <c r="D120" t="inlineStr">
        <is>
          <t>VÄSTERNORRLANDS LÄN</t>
        </is>
      </c>
      <c r="E120" t="inlineStr">
        <is>
          <t>ÅNGE</t>
        </is>
      </c>
      <c r="G120" t="n">
        <v>1.3</v>
      </c>
      <c r="H120" t="n">
        <v>3</v>
      </c>
      <c r="I120" t="n">
        <v>0</v>
      </c>
      <c r="J120" t="n">
        <v>1</v>
      </c>
      <c r="K120" t="n">
        <v>1</v>
      </c>
      <c r="L120" t="n">
        <v>0</v>
      </c>
      <c r="M120" t="n">
        <v>0</v>
      </c>
      <c r="N120" t="n">
        <v>0</v>
      </c>
      <c r="O120" t="n">
        <v>2</v>
      </c>
      <c r="P120" t="n">
        <v>1</v>
      </c>
      <c r="Q120" t="n">
        <v>4</v>
      </c>
      <c r="R120" s="2" t="inlineStr">
        <is>
          <t>Knärot
Garnlav
Vanlig groda
Revlummer</t>
        </is>
      </c>
      <c r="S120">
        <f>HYPERLINK("https://klasma.github.io/Logging_2260/artfynd/A 11029-2025 artfynd.xlsx", "A 11029-2025")</f>
        <v/>
      </c>
      <c r="T120">
        <f>HYPERLINK("https://klasma.github.io/Logging_2260/kartor/A 11029-2025 karta.png", "A 11029-2025")</f>
        <v/>
      </c>
      <c r="U120">
        <f>HYPERLINK("https://klasma.github.io/Logging_2260/knärot/A 11029-2025 karta knärot.png", "A 11029-2025")</f>
        <v/>
      </c>
      <c r="V120">
        <f>HYPERLINK("https://klasma.github.io/Logging_2260/klagomål/A 11029-2025 FSC-klagomål.docx", "A 11029-2025")</f>
        <v/>
      </c>
      <c r="W120">
        <f>HYPERLINK("https://klasma.github.io/Logging_2260/klagomålsmail/A 11029-2025 FSC-klagomål mail.docx", "A 11029-2025")</f>
        <v/>
      </c>
      <c r="X120">
        <f>HYPERLINK("https://klasma.github.io/Logging_2260/tillsyn/A 11029-2025 tillsynsbegäran.docx", "A 11029-2025")</f>
        <v/>
      </c>
      <c r="Y120">
        <f>HYPERLINK("https://klasma.github.io/Logging_2260/tillsynsmail/A 11029-2025 tillsynsbegäran mail.docx", "A 11029-2025")</f>
        <v/>
      </c>
    </row>
    <row r="121" ht="15" customHeight="1">
      <c r="A121" t="inlineStr">
        <is>
          <t>A 723-2025</t>
        </is>
      </c>
      <c r="B121" s="1" t="n">
        <v>45665.38576388889</v>
      </c>
      <c r="C121" s="1" t="n">
        <v>46127</v>
      </c>
      <c r="D121" t="inlineStr">
        <is>
          <t>VÄSTERNORRLANDS LÄN</t>
        </is>
      </c>
      <c r="E121" t="inlineStr">
        <is>
          <t>ÅNGE</t>
        </is>
      </c>
      <c r="G121" t="n">
        <v>4.1</v>
      </c>
      <c r="H121" t="n">
        <v>2</v>
      </c>
      <c r="I121" t="n">
        <v>1</v>
      </c>
      <c r="J121" t="n">
        <v>1</v>
      </c>
      <c r="K121" t="n">
        <v>0</v>
      </c>
      <c r="L121" t="n">
        <v>0</v>
      </c>
      <c r="M121" t="n">
        <v>0</v>
      </c>
      <c r="N121" t="n">
        <v>0</v>
      </c>
      <c r="O121" t="n">
        <v>1</v>
      </c>
      <c r="P121" t="n">
        <v>0</v>
      </c>
      <c r="Q121" t="n">
        <v>4</v>
      </c>
      <c r="R121" s="2" t="inlineStr">
        <is>
          <t>Lunglav
Stuplav
Fläcknycklar
Revlummer</t>
        </is>
      </c>
      <c r="S121">
        <f>HYPERLINK("https://klasma.github.io/Logging_2260/artfynd/A 723-2025 artfynd.xlsx", "A 723-2025")</f>
        <v/>
      </c>
      <c r="T121">
        <f>HYPERLINK("https://klasma.github.io/Logging_2260/kartor/A 723-2025 karta.png", "A 723-2025")</f>
        <v/>
      </c>
      <c r="V121">
        <f>HYPERLINK("https://klasma.github.io/Logging_2260/klagomål/A 723-2025 FSC-klagomål.docx", "A 723-2025")</f>
        <v/>
      </c>
      <c r="W121">
        <f>HYPERLINK("https://klasma.github.io/Logging_2260/klagomålsmail/A 723-2025 FSC-klagomål mail.docx", "A 723-2025")</f>
        <v/>
      </c>
      <c r="X121">
        <f>HYPERLINK("https://klasma.github.io/Logging_2260/tillsyn/A 723-2025 tillsynsbegäran.docx", "A 723-2025")</f>
        <v/>
      </c>
      <c r="Y121">
        <f>HYPERLINK("https://klasma.github.io/Logging_2260/tillsynsmail/A 723-2025 tillsynsbegäran mail.docx", "A 723-2025")</f>
        <v/>
      </c>
    </row>
    <row r="122" ht="15" customHeight="1">
      <c r="A122" t="inlineStr">
        <is>
          <t>A 27956-2021</t>
        </is>
      </c>
      <c r="B122" s="1" t="n">
        <v>44354</v>
      </c>
      <c r="C122" s="1" t="n">
        <v>46127</v>
      </c>
      <c r="D122" t="inlineStr">
        <is>
          <t>VÄSTERNORRLANDS LÄN</t>
        </is>
      </c>
      <c r="E122" t="inlineStr">
        <is>
          <t>ÅNGE</t>
        </is>
      </c>
      <c r="G122" t="n">
        <v>1.4</v>
      </c>
      <c r="H122" t="n">
        <v>0</v>
      </c>
      <c r="I122" t="n">
        <v>0</v>
      </c>
      <c r="J122" t="n">
        <v>3</v>
      </c>
      <c r="K122" t="n">
        <v>0</v>
      </c>
      <c r="L122" t="n">
        <v>0</v>
      </c>
      <c r="M122" t="n">
        <v>0</v>
      </c>
      <c r="N122" t="n">
        <v>0</v>
      </c>
      <c r="O122" t="n">
        <v>3</v>
      </c>
      <c r="P122" t="n">
        <v>0</v>
      </c>
      <c r="Q122" t="n">
        <v>3</v>
      </c>
      <c r="R122" s="2" t="inlineStr">
        <is>
          <t>Garnlav
Lunglav
Ullticka</t>
        </is>
      </c>
      <c r="S122">
        <f>HYPERLINK("https://klasma.github.io/Logging_2260/artfynd/A 27956-2021 artfynd.xlsx", "A 27956-2021")</f>
        <v/>
      </c>
      <c r="T122">
        <f>HYPERLINK("https://klasma.github.io/Logging_2260/kartor/A 27956-2021 karta.png", "A 27956-2021")</f>
        <v/>
      </c>
      <c r="V122">
        <f>HYPERLINK("https://klasma.github.io/Logging_2260/klagomål/A 27956-2021 FSC-klagomål.docx", "A 27956-2021")</f>
        <v/>
      </c>
      <c r="W122">
        <f>HYPERLINK("https://klasma.github.io/Logging_2260/klagomålsmail/A 27956-2021 FSC-klagomål mail.docx", "A 27956-2021")</f>
        <v/>
      </c>
      <c r="X122">
        <f>HYPERLINK("https://klasma.github.io/Logging_2260/tillsyn/A 27956-2021 tillsynsbegäran.docx", "A 27956-2021")</f>
        <v/>
      </c>
      <c r="Y122">
        <f>HYPERLINK("https://klasma.github.io/Logging_2260/tillsynsmail/A 27956-2021 tillsynsbegäran mail.docx", "A 27956-2021")</f>
        <v/>
      </c>
    </row>
    <row r="123" ht="15" customHeight="1">
      <c r="A123" t="inlineStr">
        <is>
          <t>A 10317-2022</t>
        </is>
      </c>
      <c r="B123" s="1" t="n">
        <v>44622</v>
      </c>
      <c r="C123" s="1" t="n">
        <v>46127</v>
      </c>
      <c r="D123" t="inlineStr">
        <is>
          <t>VÄSTERNORRLANDS LÄN</t>
        </is>
      </c>
      <c r="E123" t="inlineStr">
        <is>
          <t>ÅNGE</t>
        </is>
      </c>
      <c r="F123" t="inlineStr">
        <is>
          <t>SCA</t>
        </is>
      </c>
      <c r="G123" t="n">
        <v>3</v>
      </c>
      <c r="H123" t="n">
        <v>2</v>
      </c>
      <c r="I123" t="n">
        <v>1</v>
      </c>
      <c r="J123" t="n">
        <v>1</v>
      </c>
      <c r="K123" t="n">
        <v>1</v>
      </c>
      <c r="L123" t="n">
        <v>0</v>
      </c>
      <c r="M123" t="n">
        <v>0</v>
      </c>
      <c r="N123" t="n">
        <v>0</v>
      </c>
      <c r="O123" t="n">
        <v>2</v>
      </c>
      <c r="P123" t="n">
        <v>1</v>
      </c>
      <c r="Q123" t="n">
        <v>3</v>
      </c>
      <c r="R123" s="2" t="inlineStr">
        <is>
          <t>Knärot
Granticka
Tvåblad</t>
        </is>
      </c>
      <c r="S123">
        <f>HYPERLINK("https://klasma.github.io/Logging_2260/artfynd/A 10317-2022 artfynd.xlsx", "A 10317-2022")</f>
        <v/>
      </c>
      <c r="T123">
        <f>HYPERLINK("https://klasma.github.io/Logging_2260/kartor/A 10317-2022 karta.png", "A 10317-2022")</f>
        <v/>
      </c>
      <c r="U123">
        <f>HYPERLINK("https://klasma.github.io/Logging_2260/knärot/A 10317-2022 karta knärot.png", "A 10317-2022")</f>
        <v/>
      </c>
      <c r="V123">
        <f>HYPERLINK("https://klasma.github.io/Logging_2260/klagomål/A 10317-2022 FSC-klagomål.docx", "A 10317-2022")</f>
        <v/>
      </c>
      <c r="W123">
        <f>HYPERLINK("https://klasma.github.io/Logging_2260/klagomålsmail/A 10317-2022 FSC-klagomål mail.docx", "A 10317-2022")</f>
        <v/>
      </c>
      <c r="X123">
        <f>HYPERLINK("https://klasma.github.io/Logging_2260/tillsyn/A 10317-2022 tillsynsbegäran.docx", "A 10317-2022")</f>
        <v/>
      </c>
      <c r="Y123">
        <f>HYPERLINK("https://klasma.github.io/Logging_2260/tillsynsmail/A 10317-2022 tillsynsbegäran mail.docx", "A 10317-2022")</f>
        <v/>
      </c>
    </row>
    <row r="124" ht="15" customHeight="1">
      <c r="A124" t="inlineStr">
        <is>
          <t>A 38664-2025</t>
        </is>
      </c>
      <c r="B124" s="1" t="n">
        <v>45884.61503472222</v>
      </c>
      <c r="C124" s="1" t="n">
        <v>46127</v>
      </c>
      <c r="D124" t="inlineStr">
        <is>
          <t>VÄSTERNORRLANDS LÄN</t>
        </is>
      </c>
      <c r="E124" t="inlineStr">
        <is>
          <t>ÅNGE</t>
        </is>
      </c>
      <c r="F124" t="inlineStr">
        <is>
          <t>SCA</t>
        </is>
      </c>
      <c r="G124" t="n">
        <v>6.4</v>
      </c>
      <c r="H124" t="n">
        <v>1</v>
      </c>
      <c r="I124" t="n">
        <v>0</v>
      </c>
      <c r="J124" t="n">
        <v>2</v>
      </c>
      <c r="K124" t="n">
        <v>1</v>
      </c>
      <c r="L124" t="n">
        <v>0</v>
      </c>
      <c r="M124" t="n">
        <v>0</v>
      </c>
      <c r="N124" t="n">
        <v>0</v>
      </c>
      <c r="O124" t="n">
        <v>3</v>
      </c>
      <c r="P124" t="n">
        <v>1</v>
      </c>
      <c r="Q124" t="n">
        <v>3</v>
      </c>
      <c r="R124" s="2" t="inlineStr">
        <is>
          <t>Knärot
Kolflarnlav
Mörk kolflarnlav</t>
        </is>
      </c>
      <c r="S124">
        <f>HYPERLINK("https://klasma.github.io/Logging_2260/artfynd/A 38664-2025 artfynd.xlsx", "A 38664-2025")</f>
        <v/>
      </c>
      <c r="T124">
        <f>HYPERLINK("https://klasma.github.io/Logging_2260/kartor/A 38664-2025 karta.png", "A 38664-2025")</f>
        <v/>
      </c>
      <c r="U124">
        <f>HYPERLINK("https://klasma.github.io/Logging_2260/knärot/A 38664-2025 karta knärot.png", "A 38664-2025")</f>
        <v/>
      </c>
      <c r="V124">
        <f>HYPERLINK("https://klasma.github.io/Logging_2260/klagomål/A 38664-2025 FSC-klagomål.docx", "A 38664-2025")</f>
        <v/>
      </c>
      <c r="W124">
        <f>HYPERLINK("https://klasma.github.io/Logging_2260/klagomålsmail/A 38664-2025 FSC-klagomål mail.docx", "A 38664-2025")</f>
        <v/>
      </c>
      <c r="X124">
        <f>HYPERLINK("https://klasma.github.io/Logging_2260/tillsyn/A 38664-2025 tillsynsbegäran.docx", "A 38664-2025")</f>
        <v/>
      </c>
      <c r="Y124">
        <f>HYPERLINK("https://klasma.github.io/Logging_2260/tillsynsmail/A 38664-2025 tillsynsbegäran mail.docx", "A 38664-2025")</f>
        <v/>
      </c>
    </row>
    <row r="125" ht="15" customHeight="1">
      <c r="A125" t="inlineStr">
        <is>
          <t>A 23754-2025</t>
        </is>
      </c>
      <c r="B125" s="1" t="n">
        <v>45793.45782407407</v>
      </c>
      <c r="C125" s="1" t="n">
        <v>46127</v>
      </c>
      <c r="D125" t="inlineStr">
        <is>
          <t>VÄSTERNORRLANDS LÄN</t>
        </is>
      </c>
      <c r="E125" t="inlineStr">
        <is>
          <t>ÅNGE</t>
        </is>
      </c>
      <c r="F125" t="inlineStr">
        <is>
          <t>Sveaskog</t>
        </is>
      </c>
      <c r="G125" t="n">
        <v>4.3</v>
      </c>
      <c r="H125" t="n">
        <v>3</v>
      </c>
      <c r="I125" t="n">
        <v>0</v>
      </c>
      <c r="J125" t="n">
        <v>1</v>
      </c>
      <c r="K125" t="n">
        <v>0</v>
      </c>
      <c r="L125" t="n">
        <v>0</v>
      </c>
      <c r="M125" t="n">
        <v>0</v>
      </c>
      <c r="N125" t="n">
        <v>0</v>
      </c>
      <c r="O125" t="n">
        <v>1</v>
      </c>
      <c r="P125" t="n">
        <v>0</v>
      </c>
      <c r="Q125" t="n">
        <v>3</v>
      </c>
      <c r="R125" s="2" t="inlineStr">
        <is>
          <t>Spillkråka
Tjäder
Blåsippa</t>
        </is>
      </c>
      <c r="S125">
        <f>HYPERLINK("https://klasma.github.io/Logging_2260/artfynd/A 23754-2025 artfynd.xlsx", "A 23754-2025")</f>
        <v/>
      </c>
      <c r="T125">
        <f>HYPERLINK("https://klasma.github.io/Logging_2260/kartor/A 23754-2025 karta.png", "A 23754-2025")</f>
        <v/>
      </c>
      <c r="U125">
        <f>HYPERLINK("https://klasma.github.io/Logging_2260/knärot/A 23754-2025 karta knärot.png", "A 23754-2025")</f>
        <v/>
      </c>
      <c r="V125">
        <f>HYPERLINK("https://klasma.github.io/Logging_2260/klagomål/A 23754-2025 FSC-klagomål.docx", "A 23754-2025")</f>
        <v/>
      </c>
      <c r="W125">
        <f>HYPERLINK("https://klasma.github.io/Logging_2260/klagomålsmail/A 23754-2025 FSC-klagomål mail.docx", "A 23754-2025")</f>
        <v/>
      </c>
      <c r="X125">
        <f>HYPERLINK("https://klasma.github.io/Logging_2260/tillsyn/A 23754-2025 tillsynsbegäran.docx", "A 23754-2025")</f>
        <v/>
      </c>
      <c r="Y125">
        <f>HYPERLINK("https://klasma.github.io/Logging_2260/tillsynsmail/A 23754-2025 tillsynsbegäran mail.docx", "A 23754-2025")</f>
        <v/>
      </c>
      <c r="Z125">
        <f>HYPERLINK("https://klasma.github.io/Logging_2260/fåglar/A 23754-2025 prioriterade fågelarter.docx", "A 23754-2025")</f>
        <v/>
      </c>
    </row>
    <row r="126" ht="15" customHeight="1">
      <c r="A126" t="inlineStr">
        <is>
          <t>A 23759-2025</t>
        </is>
      </c>
      <c r="B126" s="1" t="n">
        <v>45793.46409722222</v>
      </c>
      <c r="C126" s="1" t="n">
        <v>46127</v>
      </c>
      <c r="D126" t="inlineStr">
        <is>
          <t>VÄSTERNORRLANDS LÄN</t>
        </is>
      </c>
      <c r="E126" t="inlineStr">
        <is>
          <t>ÅNGE</t>
        </is>
      </c>
      <c r="F126" t="inlineStr">
        <is>
          <t>Sveaskog</t>
        </is>
      </c>
      <c r="G126" t="n">
        <v>5.2</v>
      </c>
      <c r="H126" t="n">
        <v>0</v>
      </c>
      <c r="I126" t="n">
        <v>1</v>
      </c>
      <c r="J126" t="n">
        <v>2</v>
      </c>
      <c r="K126" t="n">
        <v>0</v>
      </c>
      <c r="L126" t="n">
        <v>0</v>
      </c>
      <c r="M126" t="n">
        <v>0</v>
      </c>
      <c r="N126" t="n">
        <v>0</v>
      </c>
      <c r="O126" t="n">
        <v>2</v>
      </c>
      <c r="P126" t="n">
        <v>0</v>
      </c>
      <c r="Q126" t="n">
        <v>3</v>
      </c>
      <c r="R126" s="2" t="inlineStr">
        <is>
          <t>Lunglav
Skrovellav
Korallblylav</t>
        </is>
      </c>
      <c r="S126">
        <f>HYPERLINK("https://klasma.github.io/Logging_2260/artfynd/A 23759-2025 artfynd.xlsx", "A 23759-2025")</f>
        <v/>
      </c>
      <c r="T126">
        <f>HYPERLINK("https://klasma.github.io/Logging_2260/kartor/A 23759-2025 karta.png", "A 23759-2025")</f>
        <v/>
      </c>
      <c r="V126">
        <f>HYPERLINK("https://klasma.github.io/Logging_2260/klagomål/A 23759-2025 FSC-klagomål.docx", "A 23759-2025")</f>
        <v/>
      </c>
      <c r="W126">
        <f>HYPERLINK("https://klasma.github.io/Logging_2260/klagomålsmail/A 23759-2025 FSC-klagomål mail.docx", "A 23759-2025")</f>
        <v/>
      </c>
      <c r="X126">
        <f>HYPERLINK("https://klasma.github.io/Logging_2260/tillsyn/A 23759-2025 tillsynsbegäran.docx", "A 23759-2025")</f>
        <v/>
      </c>
      <c r="Y126">
        <f>HYPERLINK("https://klasma.github.io/Logging_2260/tillsynsmail/A 23759-2025 tillsynsbegäran mail.docx", "A 23759-2025")</f>
        <v/>
      </c>
    </row>
    <row r="127" ht="15" customHeight="1">
      <c r="A127" t="inlineStr">
        <is>
          <t>A 39029-2025</t>
        </is>
      </c>
      <c r="B127" s="1" t="n">
        <v>45888.40684027778</v>
      </c>
      <c r="C127" s="1" t="n">
        <v>46127</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29665-2024</t>
        </is>
      </c>
      <c r="B128" s="1" t="n">
        <v>45484</v>
      </c>
      <c r="C128" s="1" t="n">
        <v>46127</v>
      </c>
      <c r="D128" t="inlineStr">
        <is>
          <t>VÄSTERNORRLANDS LÄN</t>
        </is>
      </c>
      <c r="E128" t="inlineStr">
        <is>
          <t>ÅNGE</t>
        </is>
      </c>
      <c r="F128" t="inlineStr">
        <is>
          <t>SCA</t>
        </is>
      </c>
      <c r="G128" t="n">
        <v>3.3</v>
      </c>
      <c r="H128" t="n">
        <v>1</v>
      </c>
      <c r="I128" t="n">
        <v>0</v>
      </c>
      <c r="J128" t="n">
        <v>3</v>
      </c>
      <c r="K128" t="n">
        <v>0</v>
      </c>
      <c r="L128" t="n">
        <v>0</v>
      </c>
      <c r="M128" t="n">
        <v>0</v>
      </c>
      <c r="N128" t="n">
        <v>0</v>
      </c>
      <c r="O128" t="n">
        <v>3</v>
      </c>
      <c r="P128" t="n">
        <v>0</v>
      </c>
      <c r="Q128" t="n">
        <v>3</v>
      </c>
      <c r="R128" s="2" t="inlineStr">
        <is>
          <t>Garnlav
Granticka
Utter</t>
        </is>
      </c>
      <c r="S128">
        <f>HYPERLINK("https://klasma.github.io/Logging_2260/artfynd/A 29665-2024 artfynd.xlsx", "A 29665-2024")</f>
        <v/>
      </c>
      <c r="T128">
        <f>HYPERLINK("https://klasma.github.io/Logging_2260/kartor/A 29665-2024 karta.png", "A 29665-2024")</f>
        <v/>
      </c>
      <c r="V128">
        <f>HYPERLINK("https://klasma.github.io/Logging_2260/klagomål/A 29665-2024 FSC-klagomål.docx", "A 29665-2024")</f>
        <v/>
      </c>
      <c r="W128">
        <f>HYPERLINK("https://klasma.github.io/Logging_2260/klagomålsmail/A 29665-2024 FSC-klagomål mail.docx", "A 29665-2024")</f>
        <v/>
      </c>
      <c r="X128">
        <f>HYPERLINK("https://klasma.github.io/Logging_2260/tillsyn/A 29665-2024 tillsynsbegäran.docx", "A 29665-2024")</f>
        <v/>
      </c>
      <c r="Y128">
        <f>HYPERLINK("https://klasma.github.io/Logging_2260/tillsynsmail/A 29665-2024 tillsynsbegäran mail.docx", "A 29665-2024")</f>
        <v/>
      </c>
    </row>
    <row r="129" ht="15" customHeight="1">
      <c r="A129" t="inlineStr">
        <is>
          <t>A 39179-2024</t>
        </is>
      </c>
      <c r="B129" s="1" t="n">
        <v>45548.65703703704</v>
      </c>
      <c r="C129" s="1" t="n">
        <v>46127</v>
      </c>
      <c r="D129" t="inlineStr">
        <is>
          <t>VÄSTERNORRLANDS LÄN</t>
        </is>
      </c>
      <c r="E129" t="inlineStr">
        <is>
          <t>ÅNGE</t>
        </is>
      </c>
      <c r="F129" t="inlineStr">
        <is>
          <t>SCA</t>
        </is>
      </c>
      <c r="G129" t="n">
        <v>4.2</v>
      </c>
      <c r="H129" t="n">
        <v>1</v>
      </c>
      <c r="I129" t="n">
        <v>2</v>
      </c>
      <c r="J129" t="n">
        <v>1</v>
      </c>
      <c r="K129" t="n">
        <v>0</v>
      </c>
      <c r="L129" t="n">
        <v>0</v>
      </c>
      <c r="M129" t="n">
        <v>0</v>
      </c>
      <c r="N129" t="n">
        <v>0</v>
      </c>
      <c r="O129" t="n">
        <v>1</v>
      </c>
      <c r="P129" t="n">
        <v>0</v>
      </c>
      <c r="Q129" t="n">
        <v>3</v>
      </c>
      <c r="R129" s="2" t="inlineStr">
        <is>
          <t>Rosenticka
Fjällig taggsvamp s.str.
Spindelblomster</t>
        </is>
      </c>
      <c r="S129">
        <f>HYPERLINK("https://klasma.github.io/Logging_2260/artfynd/A 39179-2024 artfynd.xlsx", "A 39179-2024")</f>
        <v/>
      </c>
      <c r="T129">
        <f>HYPERLINK("https://klasma.github.io/Logging_2260/kartor/A 39179-2024 karta.png", "A 39179-2024")</f>
        <v/>
      </c>
      <c r="V129">
        <f>HYPERLINK("https://klasma.github.io/Logging_2260/klagomål/A 39179-2024 FSC-klagomål.docx", "A 39179-2024")</f>
        <v/>
      </c>
      <c r="W129">
        <f>HYPERLINK("https://klasma.github.io/Logging_2260/klagomålsmail/A 39179-2024 FSC-klagomål mail.docx", "A 39179-2024")</f>
        <v/>
      </c>
      <c r="X129">
        <f>HYPERLINK("https://klasma.github.io/Logging_2260/tillsyn/A 39179-2024 tillsynsbegäran.docx", "A 39179-2024")</f>
        <v/>
      </c>
      <c r="Y129">
        <f>HYPERLINK("https://klasma.github.io/Logging_2260/tillsynsmail/A 39179-2024 tillsynsbegäran mail.docx", "A 39179-2024")</f>
        <v/>
      </c>
    </row>
    <row r="130" ht="15" customHeight="1">
      <c r="A130" t="inlineStr">
        <is>
          <t>A 22996-2023</t>
        </is>
      </c>
      <c r="B130" s="1" t="n">
        <v>45072</v>
      </c>
      <c r="C130" s="1" t="n">
        <v>46127</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41868-2025</t>
        </is>
      </c>
      <c r="B131" s="1" t="n">
        <v>45903.34429398148</v>
      </c>
      <c r="C131" s="1" t="n">
        <v>46127</v>
      </c>
      <c r="D131" t="inlineStr">
        <is>
          <t>VÄSTERNORRLANDS LÄN</t>
        </is>
      </c>
      <c r="E131" t="inlineStr">
        <is>
          <t>ÅNGE</t>
        </is>
      </c>
      <c r="F131" t="inlineStr">
        <is>
          <t>SCA</t>
        </is>
      </c>
      <c r="G131" t="n">
        <v>5.4</v>
      </c>
      <c r="H131" t="n">
        <v>2</v>
      </c>
      <c r="I131" t="n">
        <v>1</v>
      </c>
      <c r="J131" t="n">
        <v>1</v>
      </c>
      <c r="K131" t="n">
        <v>0</v>
      </c>
      <c r="L131" t="n">
        <v>0</v>
      </c>
      <c r="M131" t="n">
        <v>0</v>
      </c>
      <c r="N131" t="n">
        <v>0</v>
      </c>
      <c r="O131" t="n">
        <v>1</v>
      </c>
      <c r="P131" t="n">
        <v>0</v>
      </c>
      <c r="Q131" t="n">
        <v>3</v>
      </c>
      <c r="R131" s="2" t="inlineStr">
        <is>
          <t>Garnlav
Spindelblomster
Revlummer</t>
        </is>
      </c>
      <c r="S131">
        <f>HYPERLINK("https://klasma.github.io/Logging_2260/artfynd/A 41868-2025 artfynd.xlsx", "A 41868-2025")</f>
        <v/>
      </c>
      <c r="T131">
        <f>HYPERLINK("https://klasma.github.io/Logging_2260/kartor/A 41868-2025 karta.png", "A 41868-2025")</f>
        <v/>
      </c>
      <c r="V131">
        <f>HYPERLINK("https://klasma.github.io/Logging_2260/klagomål/A 41868-2025 FSC-klagomål.docx", "A 41868-2025")</f>
        <v/>
      </c>
      <c r="W131">
        <f>HYPERLINK("https://klasma.github.io/Logging_2260/klagomålsmail/A 41868-2025 FSC-klagomål mail.docx", "A 41868-2025")</f>
        <v/>
      </c>
      <c r="X131">
        <f>HYPERLINK("https://klasma.github.io/Logging_2260/tillsyn/A 41868-2025 tillsynsbegäran.docx", "A 41868-2025")</f>
        <v/>
      </c>
      <c r="Y131">
        <f>HYPERLINK("https://klasma.github.io/Logging_2260/tillsynsmail/A 41868-2025 tillsynsbegäran mail.docx", "A 41868-2025")</f>
        <v/>
      </c>
    </row>
    <row r="132" ht="15" customHeight="1">
      <c r="A132" t="inlineStr">
        <is>
          <t>A 26679-2025</t>
        </is>
      </c>
      <c r="B132" s="1" t="n">
        <v>45810</v>
      </c>
      <c r="C132" s="1" t="n">
        <v>46127</v>
      </c>
      <c r="D132" t="inlineStr">
        <is>
          <t>VÄSTERNORRLANDS LÄN</t>
        </is>
      </c>
      <c r="E132" t="inlineStr">
        <is>
          <t>ÅNGE</t>
        </is>
      </c>
      <c r="F132" t="inlineStr">
        <is>
          <t>SCA</t>
        </is>
      </c>
      <c r="G132" t="n">
        <v>5.9</v>
      </c>
      <c r="H132" t="n">
        <v>0</v>
      </c>
      <c r="I132" t="n">
        <v>1</v>
      </c>
      <c r="J132" t="n">
        <v>2</v>
      </c>
      <c r="K132" t="n">
        <v>0</v>
      </c>
      <c r="L132" t="n">
        <v>0</v>
      </c>
      <c r="M132" t="n">
        <v>0</v>
      </c>
      <c r="N132" t="n">
        <v>0</v>
      </c>
      <c r="O132" t="n">
        <v>2</v>
      </c>
      <c r="P132" t="n">
        <v>0</v>
      </c>
      <c r="Q132" t="n">
        <v>3</v>
      </c>
      <c r="R132" s="2" t="inlineStr">
        <is>
          <t>Garnlav
Lunglav
Rödgul trumpetsvamp</t>
        </is>
      </c>
      <c r="S132">
        <f>HYPERLINK("https://klasma.github.io/Logging_2260/artfynd/A 26679-2025 artfynd.xlsx", "A 26679-2025")</f>
        <v/>
      </c>
      <c r="T132">
        <f>HYPERLINK("https://klasma.github.io/Logging_2260/kartor/A 26679-2025 karta.png", "A 26679-2025")</f>
        <v/>
      </c>
      <c r="V132">
        <f>HYPERLINK("https://klasma.github.io/Logging_2260/klagomål/A 26679-2025 FSC-klagomål.docx", "A 26679-2025")</f>
        <v/>
      </c>
      <c r="W132">
        <f>HYPERLINK("https://klasma.github.io/Logging_2260/klagomålsmail/A 26679-2025 FSC-klagomål mail.docx", "A 26679-2025")</f>
        <v/>
      </c>
      <c r="X132">
        <f>HYPERLINK("https://klasma.github.io/Logging_2260/tillsyn/A 26679-2025 tillsynsbegäran.docx", "A 26679-2025")</f>
        <v/>
      </c>
      <c r="Y132">
        <f>HYPERLINK("https://klasma.github.io/Logging_2260/tillsynsmail/A 26679-2025 tillsynsbegäran mail.docx", "A 26679-2025")</f>
        <v/>
      </c>
    </row>
    <row r="133" ht="15" customHeight="1">
      <c r="A133" t="inlineStr">
        <is>
          <t>A 16307-2025</t>
        </is>
      </c>
      <c r="B133" s="1" t="n">
        <v>45751.34686342593</v>
      </c>
      <c r="C133" s="1" t="n">
        <v>46127</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43319-2025</t>
        </is>
      </c>
      <c r="B134" s="1" t="n">
        <v>45910.65681712963</v>
      </c>
      <c r="C134" s="1" t="n">
        <v>46127</v>
      </c>
      <c r="D134" t="inlineStr">
        <is>
          <t>VÄSTERNORRLANDS LÄN</t>
        </is>
      </c>
      <c r="E134" t="inlineStr">
        <is>
          <t>ÅNGE</t>
        </is>
      </c>
      <c r="F134" t="inlineStr">
        <is>
          <t>SCA</t>
        </is>
      </c>
      <c r="G134" t="n">
        <v>6.6</v>
      </c>
      <c r="H134" t="n">
        <v>0</v>
      </c>
      <c r="I134" t="n">
        <v>1</v>
      </c>
      <c r="J134" t="n">
        <v>2</v>
      </c>
      <c r="K134" t="n">
        <v>0</v>
      </c>
      <c r="L134" t="n">
        <v>0</v>
      </c>
      <c r="M134" t="n">
        <v>0</v>
      </c>
      <c r="N134" t="n">
        <v>0</v>
      </c>
      <c r="O134" t="n">
        <v>2</v>
      </c>
      <c r="P134" t="n">
        <v>0</v>
      </c>
      <c r="Q134" t="n">
        <v>3</v>
      </c>
      <c r="R134" s="2" t="inlineStr">
        <is>
          <t>Ullticka
Violettgrå tagellav
Korallblylav</t>
        </is>
      </c>
      <c r="S134">
        <f>HYPERLINK("https://klasma.github.io/Logging_2260/artfynd/A 43319-2025 artfynd.xlsx", "A 43319-2025")</f>
        <v/>
      </c>
      <c r="T134">
        <f>HYPERLINK("https://klasma.github.io/Logging_2260/kartor/A 43319-2025 karta.png", "A 43319-2025")</f>
        <v/>
      </c>
      <c r="V134">
        <f>HYPERLINK("https://klasma.github.io/Logging_2260/klagomål/A 43319-2025 FSC-klagomål.docx", "A 43319-2025")</f>
        <v/>
      </c>
      <c r="W134">
        <f>HYPERLINK("https://klasma.github.io/Logging_2260/klagomålsmail/A 43319-2025 FSC-klagomål mail.docx", "A 43319-2025")</f>
        <v/>
      </c>
      <c r="X134">
        <f>HYPERLINK("https://klasma.github.io/Logging_2260/tillsyn/A 43319-2025 tillsynsbegäran.docx", "A 43319-2025")</f>
        <v/>
      </c>
      <c r="Y134">
        <f>HYPERLINK("https://klasma.github.io/Logging_2260/tillsynsmail/A 43319-2025 tillsynsbegäran mail.docx", "A 43319-2025")</f>
        <v/>
      </c>
    </row>
    <row r="135" ht="15" customHeight="1">
      <c r="A135" t="inlineStr">
        <is>
          <t>A 43880-2025</t>
        </is>
      </c>
      <c r="B135" s="1" t="n">
        <v>45912</v>
      </c>
      <c r="C135" s="1" t="n">
        <v>46127</v>
      </c>
      <c r="D135" t="inlineStr">
        <is>
          <t>VÄSTERNORRLANDS LÄN</t>
        </is>
      </c>
      <c r="E135" t="inlineStr">
        <is>
          <t>ÅNGE</t>
        </is>
      </c>
      <c r="F135" t="inlineStr">
        <is>
          <t>SCA</t>
        </is>
      </c>
      <c r="G135" t="n">
        <v>3.5</v>
      </c>
      <c r="H135" t="n">
        <v>1</v>
      </c>
      <c r="I135" t="n">
        <v>0</v>
      </c>
      <c r="J135" t="n">
        <v>3</v>
      </c>
      <c r="K135" t="n">
        <v>0</v>
      </c>
      <c r="L135" t="n">
        <v>0</v>
      </c>
      <c r="M135" t="n">
        <v>0</v>
      </c>
      <c r="N135" t="n">
        <v>0</v>
      </c>
      <c r="O135" t="n">
        <v>3</v>
      </c>
      <c r="P135" t="n">
        <v>0</v>
      </c>
      <c r="Q135" t="n">
        <v>3</v>
      </c>
      <c r="R135" s="2" t="inlineStr">
        <is>
          <t>Granticka
Tretåig hackspett
Vitgrynig nållav</t>
        </is>
      </c>
      <c r="S135">
        <f>HYPERLINK("https://klasma.github.io/Logging_2260/artfynd/A 43880-2025 artfynd.xlsx", "A 43880-2025")</f>
        <v/>
      </c>
      <c r="T135">
        <f>HYPERLINK("https://klasma.github.io/Logging_2260/kartor/A 43880-2025 karta.png", "A 43880-2025")</f>
        <v/>
      </c>
      <c r="V135">
        <f>HYPERLINK("https://klasma.github.io/Logging_2260/klagomål/A 43880-2025 FSC-klagomål.docx", "A 43880-2025")</f>
        <v/>
      </c>
      <c r="W135">
        <f>HYPERLINK("https://klasma.github.io/Logging_2260/klagomålsmail/A 43880-2025 FSC-klagomål mail.docx", "A 43880-2025")</f>
        <v/>
      </c>
      <c r="X135">
        <f>HYPERLINK("https://klasma.github.io/Logging_2260/tillsyn/A 43880-2025 tillsynsbegäran.docx", "A 43880-2025")</f>
        <v/>
      </c>
      <c r="Y135">
        <f>HYPERLINK("https://klasma.github.io/Logging_2260/tillsynsmail/A 43880-2025 tillsynsbegäran mail.docx", "A 43880-2025")</f>
        <v/>
      </c>
      <c r="Z135">
        <f>HYPERLINK("https://klasma.github.io/Logging_2260/fåglar/A 43880-2025 prioriterade fågelarter.docx", "A 43880-2025")</f>
        <v/>
      </c>
    </row>
    <row r="136" ht="15" customHeight="1">
      <c r="A136" t="inlineStr">
        <is>
          <t>A 46417-2025</t>
        </is>
      </c>
      <c r="B136" s="1" t="n">
        <v>45925.59454861111</v>
      </c>
      <c r="C136" s="1" t="n">
        <v>46127</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31212-2025</t>
        </is>
      </c>
      <c r="B137" s="1" t="n">
        <v>45832.71978009259</v>
      </c>
      <c r="C137" s="1" t="n">
        <v>46127</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33806-2025</t>
        </is>
      </c>
      <c r="B138" s="1" t="n">
        <v>45842.44865740741</v>
      </c>
      <c r="C138" s="1" t="n">
        <v>46127</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50259-2025</t>
        </is>
      </c>
      <c r="B139" s="1" t="n">
        <v>45944.34498842592</v>
      </c>
      <c r="C139" s="1" t="n">
        <v>46127</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37184-2025</t>
        </is>
      </c>
      <c r="B140" s="1" t="n">
        <v>45875.63591435185</v>
      </c>
      <c r="C140" s="1" t="n">
        <v>46127</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53710-2025</t>
        </is>
      </c>
      <c r="B141" s="1" t="n">
        <v>45960.6153125</v>
      </c>
      <c r="C141" s="1" t="n">
        <v>46127</v>
      </c>
      <c r="D141" t="inlineStr">
        <is>
          <t>VÄSTERNORRLANDS LÄN</t>
        </is>
      </c>
      <c r="E141" t="inlineStr">
        <is>
          <t>ÅNGE</t>
        </is>
      </c>
      <c r="F141" t="inlineStr">
        <is>
          <t>SCA</t>
        </is>
      </c>
      <c r="G141" t="n">
        <v>7.9</v>
      </c>
      <c r="H141" t="n">
        <v>1</v>
      </c>
      <c r="I141" t="n">
        <v>0</v>
      </c>
      <c r="J141" t="n">
        <v>3</v>
      </c>
      <c r="K141" t="n">
        <v>0</v>
      </c>
      <c r="L141" t="n">
        <v>0</v>
      </c>
      <c r="M141" t="n">
        <v>0</v>
      </c>
      <c r="N141" t="n">
        <v>0</v>
      </c>
      <c r="O141" t="n">
        <v>3</v>
      </c>
      <c r="P141" t="n">
        <v>0</v>
      </c>
      <c r="Q141" t="n">
        <v>3</v>
      </c>
      <c r="R141" s="2" t="inlineStr">
        <is>
          <t>Kolflarnlav
Spillkråka
Vedskivlav</t>
        </is>
      </c>
      <c r="S141">
        <f>HYPERLINK("https://klasma.github.io/Logging_2260/artfynd/A 53710-2025 artfynd.xlsx", "A 53710-2025")</f>
        <v/>
      </c>
      <c r="T141">
        <f>HYPERLINK("https://klasma.github.io/Logging_2260/kartor/A 53710-2025 karta.png", "A 53710-2025")</f>
        <v/>
      </c>
      <c r="V141">
        <f>HYPERLINK("https://klasma.github.io/Logging_2260/klagomål/A 53710-2025 FSC-klagomål.docx", "A 53710-2025")</f>
        <v/>
      </c>
      <c r="W141">
        <f>HYPERLINK("https://klasma.github.io/Logging_2260/klagomålsmail/A 53710-2025 FSC-klagomål mail.docx", "A 53710-2025")</f>
        <v/>
      </c>
      <c r="X141">
        <f>HYPERLINK("https://klasma.github.io/Logging_2260/tillsyn/A 53710-2025 tillsynsbegäran.docx", "A 53710-2025")</f>
        <v/>
      </c>
      <c r="Y141">
        <f>HYPERLINK("https://klasma.github.io/Logging_2260/tillsynsmail/A 53710-2025 tillsynsbegäran mail.docx", "A 53710-2025")</f>
        <v/>
      </c>
      <c r="Z141">
        <f>HYPERLINK("https://klasma.github.io/Logging_2260/fåglar/A 53710-2025 prioriterade fågelarter.docx", "A 53710-2025")</f>
        <v/>
      </c>
    </row>
    <row r="142" ht="15" customHeight="1">
      <c r="A142" t="inlineStr">
        <is>
          <t>A 38238-2025</t>
        </is>
      </c>
      <c r="B142" s="1" t="n">
        <v>45883.36497685185</v>
      </c>
      <c r="C142" s="1" t="n">
        <v>46127</v>
      </c>
      <c r="D142" t="inlineStr">
        <is>
          <t>VÄSTERNORRLANDS LÄN</t>
        </is>
      </c>
      <c r="E142" t="inlineStr">
        <is>
          <t>ÅNGE</t>
        </is>
      </c>
      <c r="F142" t="inlineStr">
        <is>
          <t>SCA</t>
        </is>
      </c>
      <c r="G142" t="n">
        <v>5.6</v>
      </c>
      <c r="H142" t="n">
        <v>0</v>
      </c>
      <c r="I142" t="n">
        <v>1</v>
      </c>
      <c r="J142" t="n">
        <v>1</v>
      </c>
      <c r="K142" t="n">
        <v>1</v>
      </c>
      <c r="L142" t="n">
        <v>0</v>
      </c>
      <c r="M142" t="n">
        <v>0</v>
      </c>
      <c r="N142" t="n">
        <v>0</v>
      </c>
      <c r="O142" t="n">
        <v>2</v>
      </c>
      <c r="P142" t="n">
        <v>1</v>
      </c>
      <c r="Q142" t="n">
        <v>3</v>
      </c>
      <c r="R142" s="2" t="inlineStr">
        <is>
          <t>Tajgataggsvamp
Vitplätt
Grönpyrola</t>
        </is>
      </c>
      <c r="S142">
        <f>HYPERLINK("https://klasma.github.io/Logging_2260/artfynd/A 38238-2025 artfynd.xlsx", "A 38238-2025")</f>
        <v/>
      </c>
      <c r="T142">
        <f>HYPERLINK("https://klasma.github.io/Logging_2260/kartor/A 38238-2025 karta.png", "A 38238-2025")</f>
        <v/>
      </c>
      <c r="U142">
        <f>HYPERLINK("https://klasma.github.io/Logging_2260/knärot/A 38238-2025 karta knärot.png", "A 38238-2025")</f>
        <v/>
      </c>
      <c r="V142">
        <f>HYPERLINK("https://klasma.github.io/Logging_2260/klagomål/A 38238-2025 FSC-klagomål.docx", "A 38238-2025")</f>
        <v/>
      </c>
      <c r="W142">
        <f>HYPERLINK("https://klasma.github.io/Logging_2260/klagomålsmail/A 38238-2025 FSC-klagomål mail.docx", "A 38238-2025")</f>
        <v/>
      </c>
      <c r="X142">
        <f>HYPERLINK("https://klasma.github.io/Logging_2260/tillsyn/A 38238-2025 tillsynsbegäran.docx", "A 38238-2025")</f>
        <v/>
      </c>
      <c r="Y142">
        <f>HYPERLINK("https://klasma.github.io/Logging_2260/tillsynsmail/A 38238-2025 tillsynsbegäran mail.docx", "A 38238-2025")</f>
        <v/>
      </c>
    </row>
    <row r="143" ht="15" customHeight="1">
      <c r="A143" t="inlineStr">
        <is>
          <t>A 45122-2021</t>
        </is>
      </c>
      <c r="B143" s="1" t="n">
        <v>44439</v>
      </c>
      <c r="C143" s="1" t="n">
        <v>46127</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7533-2023</t>
        </is>
      </c>
      <c r="B144" s="1" t="n">
        <v>44971</v>
      </c>
      <c r="C144" s="1" t="n">
        <v>46127</v>
      </c>
      <c r="D144" t="inlineStr">
        <is>
          <t>VÄSTERNORRLANDS LÄN</t>
        </is>
      </c>
      <c r="E144" t="inlineStr">
        <is>
          <t>ÅNGE</t>
        </is>
      </c>
      <c r="F144" t="inlineStr">
        <is>
          <t>SCA</t>
        </is>
      </c>
      <c r="G144" t="n">
        <v>15.7</v>
      </c>
      <c r="H144" t="n">
        <v>2</v>
      </c>
      <c r="I144" t="n">
        <v>0</v>
      </c>
      <c r="J144" t="n">
        <v>1</v>
      </c>
      <c r="K144" t="n">
        <v>1</v>
      </c>
      <c r="L144" t="n">
        <v>0</v>
      </c>
      <c r="M144" t="n">
        <v>0</v>
      </c>
      <c r="N144" t="n">
        <v>0</v>
      </c>
      <c r="O144" t="n">
        <v>2</v>
      </c>
      <c r="P144" t="n">
        <v>1</v>
      </c>
      <c r="Q144" t="n">
        <v>3</v>
      </c>
      <c r="R144" s="2" t="inlineStr">
        <is>
          <t>Doftticka
Lunglav
Blåsippa</t>
        </is>
      </c>
      <c r="S144">
        <f>HYPERLINK("https://klasma.github.io/Logging_2260/artfynd/A 7533-2023 artfynd.xlsx", "A 7533-2023")</f>
        <v/>
      </c>
      <c r="T144">
        <f>HYPERLINK("https://klasma.github.io/Logging_2260/kartor/A 7533-2023 karta.png", "A 7533-2023")</f>
        <v/>
      </c>
      <c r="V144">
        <f>HYPERLINK("https://klasma.github.io/Logging_2260/klagomål/A 7533-2023 FSC-klagomål.docx", "A 7533-2023")</f>
        <v/>
      </c>
      <c r="W144">
        <f>HYPERLINK("https://klasma.github.io/Logging_2260/klagomålsmail/A 7533-2023 FSC-klagomål mail.docx", "A 7533-2023")</f>
        <v/>
      </c>
      <c r="X144">
        <f>HYPERLINK("https://klasma.github.io/Logging_2260/tillsyn/A 7533-2023 tillsynsbegäran.docx", "A 7533-2023")</f>
        <v/>
      </c>
      <c r="Y144">
        <f>HYPERLINK("https://klasma.github.io/Logging_2260/tillsynsmail/A 7533-2023 tillsynsbegäran mail.docx", "A 7533-2023")</f>
        <v/>
      </c>
    </row>
    <row r="145" ht="15" customHeight="1">
      <c r="A145" t="inlineStr">
        <is>
          <t>A 49530-2025</t>
        </is>
      </c>
      <c r="B145" s="1" t="n">
        <v>45939.40700231482</v>
      </c>
      <c r="C145" s="1" t="n">
        <v>46127</v>
      </c>
      <c r="D145" t="inlineStr">
        <is>
          <t>VÄSTERNORRLANDS LÄN</t>
        </is>
      </c>
      <c r="E145" t="inlineStr">
        <is>
          <t>ÅNGE</t>
        </is>
      </c>
      <c r="F145" t="inlineStr">
        <is>
          <t>SCA</t>
        </is>
      </c>
      <c r="G145" t="n">
        <v>5.1</v>
      </c>
      <c r="H145" t="n">
        <v>1</v>
      </c>
      <c r="I145" t="n">
        <v>1</v>
      </c>
      <c r="J145" t="n">
        <v>1</v>
      </c>
      <c r="K145" t="n">
        <v>0</v>
      </c>
      <c r="L145" t="n">
        <v>0</v>
      </c>
      <c r="M145" t="n">
        <v>0</v>
      </c>
      <c r="N145" t="n">
        <v>0</v>
      </c>
      <c r="O145" t="n">
        <v>1</v>
      </c>
      <c r="P145" t="n">
        <v>0</v>
      </c>
      <c r="Q145" t="n">
        <v>3</v>
      </c>
      <c r="R145" s="2" t="inlineStr">
        <is>
          <t>Lunglav
Strutbräken
Revlummer</t>
        </is>
      </c>
      <c r="S145">
        <f>HYPERLINK("https://klasma.github.io/Logging_2260/artfynd/A 49530-2025 artfynd.xlsx", "A 49530-2025")</f>
        <v/>
      </c>
      <c r="T145">
        <f>HYPERLINK("https://klasma.github.io/Logging_2260/kartor/A 49530-2025 karta.png", "A 49530-2025")</f>
        <v/>
      </c>
      <c r="V145">
        <f>HYPERLINK("https://klasma.github.io/Logging_2260/klagomål/A 49530-2025 FSC-klagomål.docx", "A 49530-2025")</f>
        <v/>
      </c>
      <c r="W145">
        <f>HYPERLINK("https://klasma.github.io/Logging_2260/klagomålsmail/A 49530-2025 FSC-klagomål mail.docx", "A 49530-2025")</f>
        <v/>
      </c>
      <c r="X145">
        <f>HYPERLINK("https://klasma.github.io/Logging_2260/tillsyn/A 49530-2025 tillsynsbegäran.docx", "A 49530-2025")</f>
        <v/>
      </c>
      <c r="Y145">
        <f>HYPERLINK("https://klasma.github.io/Logging_2260/tillsynsmail/A 49530-2025 tillsynsbegäran mail.docx", "A 49530-2025")</f>
        <v/>
      </c>
    </row>
    <row r="146" ht="15" customHeight="1">
      <c r="A146" t="inlineStr">
        <is>
          <t>A 63330-2025</t>
        </is>
      </c>
      <c r="B146" s="1" t="n">
        <v>46010</v>
      </c>
      <c r="C146" s="1" t="n">
        <v>46127</v>
      </c>
      <c r="D146" t="inlineStr">
        <is>
          <t>VÄSTERNORRLANDS LÄN</t>
        </is>
      </c>
      <c r="E146" t="inlineStr">
        <is>
          <t>ÅNGE</t>
        </is>
      </c>
      <c r="G146" t="n">
        <v>2.1</v>
      </c>
      <c r="H146" t="n">
        <v>0</v>
      </c>
      <c r="I146" t="n">
        <v>0</v>
      </c>
      <c r="J146" t="n">
        <v>3</v>
      </c>
      <c r="K146" t="n">
        <v>0</v>
      </c>
      <c r="L146" t="n">
        <v>0</v>
      </c>
      <c r="M146" t="n">
        <v>0</v>
      </c>
      <c r="N146" t="n">
        <v>0</v>
      </c>
      <c r="O146" t="n">
        <v>3</v>
      </c>
      <c r="P146" t="n">
        <v>0</v>
      </c>
      <c r="Q146" t="n">
        <v>3</v>
      </c>
      <c r="R146" s="2" t="inlineStr">
        <is>
          <t>Garnlav
Granticka
Lunglav</t>
        </is>
      </c>
      <c r="S146">
        <f>HYPERLINK("https://klasma.github.io/Logging_2260/artfynd/A 63330-2025 artfynd.xlsx", "A 63330-2025")</f>
        <v/>
      </c>
      <c r="T146">
        <f>HYPERLINK("https://klasma.github.io/Logging_2260/kartor/A 63330-2025 karta.png", "A 63330-2025")</f>
        <v/>
      </c>
      <c r="V146">
        <f>HYPERLINK("https://klasma.github.io/Logging_2260/klagomål/A 63330-2025 FSC-klagomål.docx", "A 63330-2025")</f>
        <v/>
      </c>
      <c r="W146">
        <f>HYPERLINK("https://klasma.github.io/Logging_2260/klagomålsmail/A 63330-2025 FSC-klagomål mail.docx", "A 63330-2025")</f>
        <v/>
      </c>
      <c r="X146">
        <f>HYPERLINK("https://klasma.github.io/Logging_2260/tillsyn/A 63330-2025 tillsynsbegäran.docx", "A 63330-2025")</f>
        <v/>
      </c>
      <c r="Y146">
        <f>HYPERLINK("https://klasma.github.io/Logging_2260/tillsynsmail/A 63330-2025 tillsynsbegäran mail.docx", "A 63330-2025")</f>
        <v/>
      </c>
    </row>
    <row r="147" ht="15" customHeight="1">
      <c r="A147" t="inlineStr">
        <is>
          <t>A 39708-2024</t>
        </is>
      </c>
      <c r="B147" s="1" t="n">
        <v>45552.59408564815</v>
      </c>
      <c r="C147" s="1" t="n">
        <v>46127</v>
      </c>
      <c r="D147" t="inlineStr">
        <is>
          <t>VÄSTERNORRLANDS LÄN</t>
        </is>
      </c>
      <c r="E147" t="inlineStr">
        <is>
          <t>ÅNGE</t>
        </is>
      </c>
      <c r="F147" t="inlineStr">
        <is>
          <t>SCA</t>
        </is>
      </c>
      <c r="G147" t="n">
        <v>6.2</v>
      </c>
      <c r="H147" t="n">
        <v>0</v>
      </c>
      <c r="I147" t="n">
        <v>0</v>
      </c>
      <c r="J147" t="n">
        <v>3</v>
      </c>
      <c r="K147" t="n">
        <v>0</v>
      </c>
      <c r="L147" t="n">
        <v>0</v>
      </c>
      <c r="M147" t="n">
        <v>0</v>
      </c>
      <c r="N147" t="n">
        <v>0</v>
      </c>
      <c r="O147" t="n">
        <v>3</v>
      </c>
      <c r="P147" t="n">
        <v>0</v>
      </c>
      <c r="Q147" t="n">
        <v>3</v>
      </c>
      <c r="R147" s="2" t="inlineStr">
        <is>
          <t>Granticka
Ullticka
Vitgrynig nållav</t>
        </is>
      </c>
      <c r="S147">
        <f>HYPERLINK("https://klasma.github.io/Logging_2260/artfynd/A 39708-2024 artfynd.xlsx", "A 39708-2024")</f>
        <v/>
      </c>
      <c r="T147">
        <f>HYPERLINK("https://klasma.github.io/Logging_2260/kartor/A 39708-2024 karta.png", "A 39708-2024")</f>
        <v/>
      </c>
      <c r="V147">
        <f>HYPERLINK("https://klasma.github.io/Logging_2260/klagomål/A 39708-2024 FSC-klagomål.docx", "A 39708-2024")</f>
        <v/>
      </c>
      <c r="W147">
        <f>HYPERLINK("https://klasma.github.io/Logging_2260/klagomålsmail/A 39708-2024 FSC-klagomål mail.docx", "A 39708-2024")</f>
        <v/>
      </c>
      <c r="X147">
        <f>HYPERLINK("https://klasma.github.io/Logging_2260/tillsyn/A 39708-2024 tillsynsbegäran.docx", "A 39708-2024")</f>
        <v/>
      </c>
      <c r="Y147">
        <f>HYPERLINK("https://klasma.github.io/Logging_2260/tillsynsmail/A 39708-2024 tillsynsbegäran mail.docx", "A 39708-2024")</f>
        <v/>
      </c>
    </row>
    <row r="148" ht="15" customHeight="1">
      <c r="A148" t="inlineStr">
        <is>
          <t>A 29691-2024</t>
        </is>
      </c>
      <c r="B148" s="1" t="n">
        <v>45484.9446875</v>
      </c>
      <c r="C148" s="1" t="n">
        <v>46127</v>
      </c>
      <c r="D148" t="inlineStr">
        <is>
          <t>VÄSTERNORRLANDS LÄN</t>
        </is>
      </c>
      <c r="E148" t="inlineStr">
        <is>
          <t>ÅNGE</t>
        </is>
      </c>
      <c r="F148" t="inlineStr">
        <is>
          <t>SCA</t>
        </is>
      </c>
      <c r="G148" t="n">
        <v>6.8</v>
      </c>
      <c r="H148" t="n">
        <v>0</v>
      </c>
      <c r="I148" t="n">
        <v>1</v>
      </c>
      <c r="J148" t="n">
        <v>2</v>
      </c>
      <c r="K148" t="n">
        <v>0</v>
      </c>
      <c r="L148" t="n">
        <v>0</v>
      </c>
      <c r="M148" t="n">
        <v>0</v>
      </c>
      <c r="N148" t="n">
        <v>0</v>
      </c>
      <c r="O148" t="n">
        <v>2</v>
      </c>
      <c r="P148" t="n">
        <v>0</v>
      </c>
      <c r="Q148" t="n">
        <v>3</v>
      </c>
      <c r="R148" s="2" t="inlineStr">
        <is>
          <t>Lunglav
Rosenticka
Vedticka</t>
        </is>
      </c>
      <c r="S148">
        <f>HYPERLINK("https://klasma.github.io/Logging_2260/artfynd/A 29691-2024 artfynd.xlsx", "A 29691-2024")</f>
        <v/>
      </c>
      <c r="T148">
        <f>HYPERLINK("https://klasma.github.io/Logging_2260/kartor/A 29691-2024 karta.png", "A 29691-2024")</f>
        <v/>
      </c>
      <c r="V148">
        <f>HYPERLINK("https://klasma.github.io/Logging_2260/klagomål/A 29691-2024 FSC-klagomål.docx", "A 29691-2024")</f>
        <v/>
      </c>
      <c r="W148">
        <f>HYPERLINK("https://klasma.github.io/Logging_2260/klagomålsmail/A 29691-2024 FSC-klagomål mail.docx", "A 29691-2024")</f>
        <v/>
      </c>
      <c r="X148">
        <f>HYPERLINK("https://klasma.github.io/Logging_2260/tillsyn/A 29691-2024 tillsynsbegäran.docx", "A 29691-2024")</f>
        <v/>
      </c>
      <c r="Y148">
        <f>HYPERLINK("https://klasma.github.io/Logging_2260/tillsynsmail/A 29691-2024 tillsynsbegäran mail.docx", "A 29691-2024")</f>
        <v/>
      </c>
    </row>
    <row r="149" ht="15" customHeight="1">
      <c r="A149" t="inlineStr">
        <is>
          <t>A 39181-2024</t>
        </is>
      </c>
      <c r="B149" s="1" t="n">
        <v>45548</v>
      </c>
      <c r="C149" s="1" t="n">
        <v>46127</v>
      </c>
      <c r="D149" t="inlineStr">
        <is>
          <t>VÄSTERNORRLANDS LÄN</t>
        </is>
      </c>
      <c r="E149" t="inlineStr">
        <is>
          <t>ÅNGE</t>
        </is>
      </c>
      <c r="F149" t="inlineStr">
        <is>
          <t>SCA</t>
        </is>
      </c>
      <c r="G149" t="n">
        <v>21.1</v>
      </c>
      <c r="H149" t="n">
        <v>1</v>
      </c>
      <c r="I149" t="n">
        <v>1</v>
      </c>
      <c r="J149" t="n">
        <v>1</v>
      </c>
      <c r="K149" t="n">
        <v>1</v>
      </c>
      <c r="L149" t="n">
        <v>0</v>
      </c>
      <c r="M149" t="n">
        <v>0</v>
      </c>
      <c r="N149" t="n">
        <v>0</v>
      </c>
      <c r="O149" t="n">
        <v>2</v>
      </c>
      <c r="P149" t="n">
        <v>1</v>
      </c>
      <c r="Q149" t="n">
        <v>3</v>
      </c>
      <c r="R149" s="2" t="inlineStr">
        <is>
          <t>Knärot
Granticka
Kransrams</t>
        </is>
      </c>
      <c r="S149">
        <f>HYPERLINK("https://klasma.github.io/Logging_2260/artfynd/A 39181-2024 artfynd.xlsx", "A 39181-2024")</f>
        <v/>
      </c>
      <c r="T149">
        <f>HYPERLINK("https://klasma.github.io/Logging_2260/kartor/A 39181-2024 karta.png", "A 39181-2024")</f>
        <v/>
      </c>
      <c r="U149">
        <f>HYPERLINK("https://klasma.github.io/Logging_2260/knärot/A 39181-2024 karta knärot.png", "A 39181-2024")</f>
        <v/>
      </c>
      <c r="V149">
        <f>HYPERLINK("https://klasma.github.io/Logging_2260/klagomål/A 39181-2024 FSC-klagomål.docx", "A 39181-2024")</f>
        <v/>
      </c>
      <c r="W149">
        <f>HYPERLINK("https://klasma.github.io/Logging_2260/klagomålsmail/A 39181-2024 FSC-klagomål mail.docx", "A 39181-2024")</f>
        <v/>
      </c>
      <c r="X149">
        <f>HYPERLINK("https://klasma.github.io/Logging_2260/tillsyn/A 39181-2024 tillsynsbegäran.docx", "A 39181-2024")</f>
        <v/>
      </c>
      <c r="Y149">
        <f>HYPERLINK("https://klasma.github.io/Logging_2260/tillsynsmail/A 39181-2024 tillsynsbegäran mail.docx", "A 39181-2024")</f>
        <v/>
      </c>
    </row>
    <row r="150" ht="15" customHeight="1">
      <c r="A150" t="inlineStr">
        <is>
          <t>A 24795-2024</t>
        </is>
      </c>
      <c r="B150" s="1" t="n">
        <v>45460.95252314815</v>
      </c>
      <c r="C150" s="1" t="n">
        <v>46127</v>
      </c>
      <c r="D150" t="inlineStr">
        <is>
          <t>VÄSTERNORRLANDS LÄN</t>
        </is>
      </c>
      <c r="E150" t="inlineStr">
        <is>
          <t>ÅNGE</t>
        </is>
      </c>
      <c r="F150" t="inlineStr">
        <is>
          <t>SCA</t>
        </is>
      </c>
      <c r="G150" t="n">
        <v>2.2</v>
      </c>
      <c r="H150" t="n">
        <v>1</v>
      </c>
      <c r="I150" t="n">
        <v>2</v>
      </c>
      <c r="J150" t="n">
        <v>1</v>
      </c>
      <c r="K150" t="n">
        <v>0</v>
      </c>
      <c r="L150" t="n">
        <v>0</v>
      </c>
      <c r="M150" t="n">
        <v>0</v>
      </c>
      <c r="N150" t="n">
        <v>0</v>
      </c>
      <c r="O150" t="n">
        <v>1</v>
      </c>
      <c r="P150" t="n">
        <v>0</v>
      </c>
      <c r="Q150" t="n">
        <v>3</v>
      </c>
      <c r="R150" s="2" t="inlineStr">
        <is>
          <t>Lunglav
Plattlummer
Skinnlav</t>
        </is>
      </c>
      <c r="S150">
        <f>HYPERLINK("https://klasma.github.io/Logging_2260/artfynd/A 24795-2024 artfynd.xlsx", "A 24795-2024")</f>
        <v/>
      </c>
      <c r="T150">
        <f>HYPERLINK("https://klasma.github.io/Logging_2260/kartor/A 24795-2024 karta.png", "A 24795-2024")</f>
        <v/>
      </c>
      <c r="V150">
        <f>HYPERLINK("https://klasma.github.io/Logging_2260/klagomål/A 24795-2024 FSC-klagomål.docx", "A 24795-2024")</f>
        <v/>
      </c>
      <c r="W150">
        <f>HYPERLINK("https://klasma.github.io/Logging_2260/klagomålsmail/A 24795-2024 FSC-klagomål mail.docx", "A 24795-2024")</f>
        <v/>
      </c>
      <c r="X150">
        <f>HYPERLINK("https://klasma.github.io/Logging_2260/tillsyn/A 24795-2024 tillsynsbegäran.docx", "A 24795-2024")</f>
        <v/>
      </c>
      <c r="Y150">
        <f>HYPERLINK("https://klasma.github.io/Logging_2260/tillsynsmail/A 24795-2024 tillsynsbegäran mail.docx", "A 24795-2024")</f>
        <v/>
      </c>
    </row>
    <row r="151" ht="15" customHeight="1">
      <c r="A151" t="inlineStr">
        <is>
          <t>A 28274-2023</t>
        </is>
      </c>
      <c r="B151" s="1" t="n">
        <v>45099</v>
      </c>
      <c r="C151" s="1" t="n">
        <v>46127</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21267-2025</t>
        </is>
      </c>
      <c r="B152" s="1" t="n">
        <v>45779</v>
      </c>
      <c r="C152" s="1" t="n">
        <v>46127</v>
      </c>
      <c r="D152" t="inlineStr">
        <is>
          <t>VÄSTERNORRLANDS LÄN</t>
        </is>
      </c>
      <c r="E152" t="inlineStr">
        <is>
          <t>ÅNGE</t>
        </is>
      </c>
      <c r="F152" t="inlineStr">
        <is>
          <t>Sveaskog</t>
        </is>
      </c>
      <c r="G152" t="n">
        <v>3.7</v>
      </c>
      <c r="H152" t="n">
        <v>2</v>
      </c>
      <c r="I152" t="n">
        <v>2</v>
      </c>
      <c r="J152" t="n">
        <v>1</v>
      </c>
      <c r="K152" t="n">
        <v>0</v>
      </c>
      <c r="L152" t="n">
        <v>0</v>
      </c>
      <c r="M152" t="n">
        <v>0</v>
      </c>
      <c r="N152" t="n">
        <v>0</v>
      </c>
      <c r="O152" t="n">
        <v>1</v>
      </c>
      <c r="P152" t="n">
        <v>0</v>
      </c>
      <c r="Q152" t="n">
        <v>3</v>
      </c>
      <c r="R152" s="2" t="inlineStr">
        <is>
          <t>Lunglav
Korallrot
Spindelblomster</t>
        </is>
      </c>
      <c r="S152">
        <f>HYPERLINK("https://klasma.github.io/Logging_2260/artfynd/A 21267-2025 artfynd.xlsx", "A 21267-2025")</f>
        <v/>
      </c>
      <c r="T152">
        <f>HYPERLINK("https://klasma.github.io/Logging_2260/kartor/A 21267-2025 karta.png", "A 21267-2025")</f>
        <v/>
      </c>
      <c r="V152">
        <f>HYPERLINK("https://klasma.github.io/Logging_2260/klagomål/A 21267-2025 FSC-klagomål.docx", "A 21267-2025")</f>
        <v/>
      </c>
      <c r="W152">
        <f>HYPERLINK("https://klasma.github.io/Logging_2260/klagomålsmail/A 21267-2025 FSC-klagomål mail.docx", "A 21267-2025")</f>
        <v/>
      </c>
      <c r="X152">
        <f>HYPERLINK("https://klasma.github.io/Logging_2260/tillsyn/A 21267-2025 tillsynsbegäran.docx", "A 21267-2025")</f>
        <v/>
      </c>
      <c r="Y152">
        <f>HYPERLINK("https://klasma.github.io/Logging_2260/tillsynsmail/A 21267-2025 tillsynsbegäran mail.docx", "A 21267-2025")</f>
        <v/>
      </c>
    </row>
    <row r="153" ht="15" customHeight="1">
      <c r="A153" t="inlineStr">
        <is>
          <t>A 36635-2021</t>
        </is>
      </c>
      <c r="B153" s="1" t="n">
        <v>44391</v>
      </c>
      <c r="C153" s="1" t="n">
        <v>46127</v>
      </c>
      <c r="D153" t="inlineStr">
        <is>
          <t>VÄSTERNORRLANDS LÄN</t>
        </is>
      </c>
      <c r="E153" t="inlineStr">
        <is>
          <t>ÅNGE</t>
        </is>
      </c>
      <c r="F153" t="inlineStr">
        <is>
          <t>SCA</t>
        </is>
      </c>
      <c r="G153" t="n">
        <v>3.7</v>
      </c>
      <c r="H153" t="n">
        <v>1</v>
      </c>
      <c r="I153" t="n">
        <v>0</v>
      </c>
      <c r="J153" t="n">
        <v>1</v>
      </c>
      <c r="K153" t="n">
        <v>1</v>
      </c>
      <c r="L153" t="n">
        <v>0</v>
      </c>
      <c r="M153" t="n">
        <v>0</v>
      </c>
      <c r="N153" t="n">
        <v>0</v>
      </c>
      <c r="O153" t="n">
        <v>2</v>
      </c>
      <c r="P153" t="n">
        <v>1</v>
      </c>
      <c r="Q153" t="n">
        <v>2</v>
      </c>
      <c r="R153" s="2" t="inlineStr">
        <is>
          <t>Knärot
Tallticka</t>
        </is>
      </c>
      <c r="S153">
        <f>HYPERLINK("https://klasma.github.io/Logging_2260/artfynd/A 36635-2021 artfynd.xlsx", "A 36635-2021")</f>
        <v/>
      </c>
      <c r="T153">
        <f>HYPERLINK("https://klasma.github.io/Logging_2260/kartor/A 36635-2021 karta.png", "A 36635-2021")</f>
        <v/>
      </c>
      <c r="U153">
        <f>HYPERLINK("https://klasma.github.io/Logging_2260/knärot/A 36635-2021 karta knärot.png", "A 36635-2021")</f>
        <v/>
      </c>
      <c r="V153">
        <f>HYPERLINK("https://klasma.github.io/Logging_2260/klagomål/A 36635-2021 FSC-klagomål.docx", "A 36635-2021")</f>
        <v/>
      </c>
      <c r="W153">
        <f>HYPERLINK("https://klasma.github.io/Logging_2260/klagomålsmail/A 36635-2021 FSC-klagomål mail.docx", "A 36635-2021")</f>
        <v/>
      </c>
      <c r="X153">
        <f>HYPERLINK("https://klasma.github.io/Logging_2260/tillsyn/A 36635-2021 tillsynsbegäran.docx", "A 36635-2021")</f>
        <v/>
      </c>
      <c r="Y153">
        <f>HYPERLINK("https://klasma.github.io/Logging_2260/tillsynsmail/A 36635-2021 tillsynsbegäran mail.docx", "A 36635-2021")</f>
        <v/>
      </c>
    </row>
    <row r="154" ht="15" customHeight="1">
      <c r="A154" t="inlineStr">
        <is>
          <t>A 1082-2022</t>
        </is>
      </c>
      <c r="B154" s="1" t="n">
        <v>44571</v>
      </c>
      <c r="C154" s="1" t="n">
        <v>46127</v>
      </c>
      <c r="D154" t="inlineStr">
        <is>
          <t>VÄSTERNORRLANDS LÄN</t>
        </is>
      </c>
      <c r="E154" t="inlineStr">
        <is>
          <t>ÅNGE</t>
        </is>
      </c>
      <c r="G154" t="n">
        <v>0.9</v>
      </c>
      <c r="H154" t="n">
        <v>1</v>
      </c>
      <c r="I154" t="n">
        <v>0</v>
      </c>
      <c r="J154" t="n">
        <v>2</v>
      </c>
      <c r="K154" t="n">
        <v>0</v>
      </c>
      <c r="L154" t="n">
        <v>0</v>
      </c>
      <c r="M154" t="n">
        <v>0</v>
      </c>
      <c r="N154" t="n">
        <v>0</v>
      </c>
      <c r="O154" t="n">
        <v>2</v>
      </c>
      <c r="P154" t="n">
        <v>0</v>
      </c>
      <c r="Q154" t="n">
        <v>2</v>
      </c>
      <c r="R154" s="2" t="inlineStr">
        <is>
          <t>Garnlav
Talltita</t>
        </is>
      </c>
      <c r="S154">
        <f>HYPERLINK("https://klasma.github.io/Logging_2260/artfynd/A 1082-2022 artfynd.xlsx", "A 1082-2022")</f>
        <v/>
      </c>
      <c r="T154">
        <f>HYPERLINK("https://klasma.github.io/Logging_2260/kartor/A 1082-2022 karta.png", "A 1082-2022")</f>
        <v/>
      </c>
      <c r="V154">
        <f>HYPERLINK("https://klasma.github.io/Logging_2260/klagomål/A 1082-2022 FSC-klagomål.docx", "A 1082-2022")</f>
        <v/>
      </c>
      <c r="W154">
        <f>HYPERLINK("https://klasma.github.io/Logging_2260/klagomålsmail/A 1082-2022 FSC-klagomål mail.docx", "A 1082-2022")</f>
        <v/>
      </c>
      <c r="X154">
        <f>HYPERLINK("https://klasma.github.io/Logging_2260/tillsyn/A 1082-2022 tillsynsbegäran.docx", "A 1082-2022")</f>
        <v/>
      </c>
      <c r="Y154">
        <f>HYPERLINK("https://klasma.github.io/Logging_2260/tillsynsmail/A 1082-2022 tillsynsbegäran mail.docx", "A 1082-2022")</f>
        <v/>
      </c>
      <c r="Z154">
        <f>HYPERLINK("https://klasma.github.io/Logging_2260/fåglar/A 1082-2022 prioriterade fågelarter.docx", "A 1082-2022")</f>
        <v/>
      </c>
    </row>
    <row r="155" ht="15" customHeight="1">
      <c r="A155" t="inlineStr">
        <is>
          <t>A 47798-2022</t>
        </is>
      </c>
      <c r="B155" s="1" t="n">
        <v>44854.95365740741</v>
      </c>
      <c r="C155" s="1" t="n">
        <v>46127</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48152-2022</t>
        </is>
      </c>
      <c r="B156" s="1" t="n">
        <v>44853</v>
      </c>
      <c r="C156" s="1" t="n">
        <v>46127</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Lunglav
Skrovellav</t>
        </is>
      </c>
      <c r="S156">
        <f>HYPERLINK("https://klasma.github.io/Logging_2260/artfynd/A 48152-2022 artfynd.xlsx", "A 48152-2022")</f>
        <v/>
      </c>
      <c r="T156">
        <f>HYPERLINK("https://klasma.github.io/Logging_2260/kartor/A 48152-2022 karta.png", "A 48152-2022")</f>
        <v/>
      </c>
      <c r="V156">
        <f>HYPERLINK("https://klasma.github.io/Logging_2260/klagomål/A 48152-2022 FSC-klagomål.docx", "A 48152-2022")</f>
        <v/>
      </c>
      <c r="W156">
        <f>HYPERLINK("https://klasma.github.io/Logging_2260/klagomålsmail/A 48152-2022 FSC-klagomål mail.docx", "A 48152-2022")</f>
        <v/>
      </c>
      <c r="X156">
        <f>HYPERLINK("https://klasma.github.io/Logging_2260/tillsyn/A 48152-2022 tillsynsbegäran.docx", "A 48152-2022")</f>
        <v/>
      </c>
      <c r="Y156">
        <f>HYPERLINK("https://klasma.github.io/Logging_2260/tillsynsmail/A 48152-2022 tillsynsbegäran mail.docx", "A 48152-2022")</f>
        <v/>
      </c>
    </row>
    <row r="157" ht="15" customHeight="1">
      <c r="A157" t="inlineStr">
        <is>
          <t>A 47799-2022</t>
        </is>
      </c>
      <c r="B157" s="1" t="n">
        <v>44854.95371527778</v>
      </c>
      <c r="C157" s="1" t="n">
        <v>46127</v>
      </c>
      <c r="D157" t="inlineStr">
        <is>
          <t>VÄSTERNORRLANDS LÄN</t>
        </is>
      </c>
      <c r="E157" t="inlineStr">
        <is>
          <t>ÅNGE</t>
        </is>
      </c>
      <c r="F157" t="inlineStr">
        <is>
          <t>SCA</t>
        </is>
      </c>
      <c r="G157" t="n">
        <v>5</v>
      </c>
      <c r="H157" t="n">
        <v>1</v>
      </c>
      <c r="I157" t="n">
        <v>0</v>
      </c>
      <c r="J157" t="n">
        <v>1</v>
      </c>
      <c r="K157" t="n">
        <v>0</v>
      </c>
      <c r="L157" t="n">
        <v>0</v>
      </c>
      <c r="M157" t="n">
        <v>0</v>
      </c>
      <c r="N157" t="n">
        <v>0</v>
      </c>
      <c r="O157" t="n">
        <v>1</v>
      </c>
      <c r="P157" t="n">
        <v>0</v>
      </c>
      <c r="Q157" t="n">
        <v>2</v>
      </c>
      <c r="R157" s="2" t="inlineStr">
        <is>
          <t>Lunglav
Fläcknycklar</t>
        </is>
      </c>
      <c r="S157">
        <f>HYPERLINK("https://klasma.github.io/Logging_2260/artfynd/A 47799-2022 artfynd.xlsx", "A 47799-2022")</f>
        <v/>
      </c>
      <c r="T157">
        <f>HYPERLINK("https://klasma.github.io/Logging_2260/kartor/A 47799-2022 karta.png", "A 47799-2022")</f>
        <v/>
      </c>
      <c r="V157">
        <f>HYPERLINK("https://klasma.github.io/Logging_2260/klagomål/A 47799-2022 FSC-klagomål.docx", "A 47799-2022")</f>
        <v/>
      </c>
      <c r="W157">
        <f>HYPERLINK("https://klasma.github.io/Logging_2260/klagomålsmail/A 47799-2022 FSC-klagomål mail.docx", "A 47799-2022")</f>
        <v/>
      </c>
      <c r="X157">
        <f>HYPERLINK("https://klasma.github.io/Logging_2260/tillsyn/A 47799-2022 tillsynsbegäran.docx", "A 47799-2022")</f>
        <v/>
      </c>
      <c r="Y157">
        <f>HYPERLINK("https://klasma.github.io/Logging_2260/tillsynsmail/A 47799-2022 tillsynsbegäran mail.docx", "A 47799-2022")</f>
        <v/>
      </c>
    </row>
    <row r="158" ht="15" customHeight="1">
      <c r="A158" t="inlineStr">
        <is>
          <t>A 40965-2021</t>
        </is>
      </c>
      <c r="B158" s="1" t="n">
        <v>44421.57918981482</v>
      </c>
      <c r="C158" s="1" t="n">
        <v>46127</v>
      </c>
      <c r="D158" t="inlineStr">
        <is>
          <t>VÄSTERNORRLANDS LÄN</t>
        </is>
      </c>
      <c r="E158" t="inlineStr">
        <is>
          <t>ÅNGE</t>
        </is>
      </c>
      <c r="F158" t="inlineStr">
        <is>
          <t>Sveaskog</t>
        </is>
      </c>
      <c r="G158" t="n">
        <v>5.4</v>
      </c>
      <c r="H158" t="n">
        <v>1</v>
      </c>
      <c r="I158" t="n">
        <v>1</v>
      </c>
      <c r="J158" t="n">
        <v>1</v>
      </c>
      <c r="K158" t="n">
        <v>0</v>
      </c>
      <c r="L158" t="n">
        <v>0</v>
      </c>
      <c r="M158" t="n">
        <v>0</v>
      </c>
      <c r="N158" t="n">
        <v>0</v>
      </c>
      <c r="O158" t="n">
        <v>1</v>
      </c>
      <c r="P158" t="n">
        <v>0</v>
      </c>
      <c r="Q158" t="n">
        <v>2</v>
      </c>
      <c r="R158" s="2" t="inlineStr">
        <is>
          <t>Skogsfru
Skogsbräsma</t>
        </is>
      </c>
      <c r="S158">
        <f>HYPERLINK("https://klasma.github.io/Logging_2260/artfynd/A 40965-2021 artfynd.xlsx", "A 40965-2021")</f>
        <v/>
      </c>
      <c r="T158">
        <f>HYPERLINK("https://klasma.github.io/Logging_2260/kartor/A 40965-2021 karta.png", "A 40965-2021")</f>
        <v/>
      </c>
      <c r="V158">
        <f>HYPERLINK("https://klasma.github.io/Logging_2260/klagomål/A 40965-2021 FSC-klagomål.docx", "A 40965-2021")</f>
        <v/>
      </c>
      <c r="W158">
        <f>HYPERLINK("https://klasma.github.io/Logging_2260/klagomålsmail/A 40965-2021 FSC-klagomål mail.docx", "A 40965-2021")</f>
        <v/>
      </c>
      <c r="X158">
        <f>HYPERLINK("https://klasma.github.io/Logging_2260/tillsyn/A 40965-2021 tillsynsbegäran.docx", "A 40965-2021")</f>
        <v/>
      </c>
      <c r="Y158">
        <f>HYPERLINK("https://klasma.github.io/Logging_2260/tillsynsmail/A 40965-2021 tillsynsbegäran mail.docx", "A 40965-2021")</f>
        <v/>
      </c>
    </row>
    <row r="159" ht="15" customHeight="1">
      <c r="A159" t="inlineStr">
        <is>
          <t>A 8234-2022</t>
        </is>
      </c>
      <c r="B159" s="1" t="n">
        <v>44609</v>
      </c>
      <c r="C159" s="1" t="n">
        <v>46127</v>
      </c>
      <c r="D159" t="inlineStr">
        <is>
          <t>VÄSTERNORRLANDS LÄN</t>
        </is>
      </c>
      <c r="E159" t="inlineStr">
        <is>
          <t>ÅNGE</t>
        </is>
      </c>
      <c r="F159" t="inlineStr">
        <is>
          <t>SCA</t>
        </is>
      </c>
      <c r="G159" t="n">
        <v>2.3</v>
      </c>
      <c r="H159" t="n">
        <v>1</v>
      </c>
      <c r="I159" t="n">
        <v>0</v>
      </c>
      <c r="J159" t="n">
        <v>1</v>
      </c>
      <c r="K159" t="n">
        <v>0</v>
      </c>
      <c r="L159" t="n">
        <v>0</v>
      </c>
      <c r="M159" t="n">
        <v>0</v>
      </c>
      <c r="N159" t="n">
        <v>0</v>
      </c>
      <c r="O159" t="n">
        <v>1</v>
      </c>
      <c r="P159" t="n">
        <v>0</v>
      </c>
      <c r="Q159" t="n">
        <v>2</v>
      </c>
      <c r="R159" s="2" t="inlineStr">
        <is>
          <t>Garnlav
Revlummer</t>
        </is>
      </c>
      <c r="S159">
        <f>HYPERLINK("https://klasma.github.io/Logging_2260/artfynd/A 8234-2022 artfynd.xlsx", "A 8234-2022")</f>
        <v/>
      </c>
      <c r="T159">
        <f>HYPERLINK("https://klasma.github.io/Logging_2260/kartor/A 8234-2022 karta.png", "A 8234-2022")</f>
        <v/>
      </c>
      <c r="V159">
        <f>HYPERLINK("https://klasma.github.io/Logging_2260/klagomål/A 8234-2022 FSC-klagomål.docx", "A 8234-2022")</f>
        <v/>
      </c>
      <c r="W159">
        <f>HYPERLINK("https://klasma.github.io/Logging_2260/klagomålsmail/A 8234-2022 FSC-klagomål mail.docx", "A 8234-2022")</f>
        <v/>
      </c>
      <c r="X159">
        <f>HYPERLINK("https://klasma.github.io/Logging_2260/tillsyn/A 8234-2022 tillsynsbegäran.docx", "A 8234-2022")</f>
        <v/>
      </c>
      <c r="Y159">
        <f>HYPERLINK("https://klasma.github.io/Logging_2260/tillsynsmail/A 8234-2022 tillsynsbegäran mail.docx", "A 8234-2022")</f>
        <v/>
      </c>
    </row>
    <row r="160" ht="15" customHeight="1">
      <c r="A160" t="inlineStr">
        <is>
          <t>A 55591-2021</t>
        </is>
      </c>
      <c r="B160" s="1" t="n">
        <v>44475</v>
      </c>
      <c r="C160" s="1" t="n">
        <v>46127</v>
      </c>
      <c r="D160" t="inlineStr">
        <is>
          <t>VÄSTERNORRLANDS LÄN</t>
        </is>
      </c>
      <c r="E160" t="inlineStr">
        <is>
          <t>ÅNGE</t>
        </is>
      </c>
      <c r="G160" t="n">
        <v>3.6</v>
      </c>
      <c r="H160" t="n">
        <v>0</v>
      </c>
      <c r="I160" t="n">
        <v>0</v>
      </c>
      <c r="J160" t="n">
        <v>2</v>
      </c>
      <c r="K160" t="n">
        <v>0</v>
      </c>
      <c r="L160" t="n">
        <v>0</v>
      </c>
      <c r="M160" t="n">
        <v>0</v>
      </c>
      <c r="N160" t="n">
        <v>0</v>
      </c>
      <c r="O160" t="n">
        <v>2</v>
      </c>
      <c r="P160" t="n">
        <v>0</v>
      </c>
      <c r="Q160" t="n">
        <v>2</v>
      </c>
      <c r="R160" s="2" t="inlineStr">
        <is>
          <t>Kolflarnlav
Skrovlig taggsvamp</t>
        </is>
      </c>
      <c r="S160">
        <f>HYPERLINK("https://klasma.github.io/Logging_2260/artfynd/A 55591-2021 artfynd.xlsx", "A 55591-2021")</f>
        <v/>
      </c>
      <c r="T160">
        <f>HYPERLINK("https://klasma.github.io/Logging_2260/kartor/A 55591-2021 karta.png", "A 55591-2021")</f>
        <v/>
      </c>
      <c r="V160">
        <f>HYPERLINK("https://klasma.github.io/Logging_2260/klagomål/A 55591-2021 FSC-klagomål.docx", "A 55591-2021")</f>
        <v/>
      </c>
      <c r="W160">
        <f>HYPERLINK("https://klasma.github.io/Logging_2260/klagomålsmail/A 55591-2021 FSC-klagomål mail.docx", "A 55591-2021")</f>
        <v/>
      </c>
      <c r="X160">
        <f>HYPERLINK("https://klasma.github.io/Logging_2260/tillsyn/A 55591-2021 tillsynsbegäran.docx", "A 55591-2021")</f>
        <v/>
      </c>
      <c r="Y160">
        <f>HYPERLINK("https://klasma.github.io/Logging_2260/tillsynsmail/A 55591-2021 tillsynsbegäran mail.docx", "A 55591-2021")</f>
        <v/>
      </c>
    </row>
    <row r="161" ht="15" customHeight="1">
      <c r="A161" t="inlineStr">
        <is>
          <t>A 24176-2025</t>
        </is>
      </c>
      <c r="B161" s="1" t="n">
        <v>45796.69832175926</v>
      </c>
      <c r="C161" s="1" t="n">
        <v>46127</v>
      </c>
      <c r="D161" t="inlineStr">
        <is>
          <t>VÄSTERNORRLANDS LÄN</t>
        </is>
      </c>
      <c r="E161" t="inlineStr">
        <is>
          <t>ÅNGE</t>
        </is>
      </c>
      <c r="F161" t="inlineStr">
        <is>
          <t>SCA</t>
        </is>
      </c>
      <c r="G161" t="n">
        <v>3.9</v>
      </c>
      <c r="H161" t="n">
        <v>0</v>
      </c>
      <c r="I161" t="n">
        <v>1</v>
      </c>
      <c r="J161" t="n">
        <v>1</v>
      </c>
      <c r="K161" t="n">
        <v>0</v>
      </c>
      <c r="L161" t="n">
        <v>0</v>
      </c>
      <c r="M161" t="n">
        <v>0</v>
      </c>
      <c r="N161" t="n">
        <v>0</v>
      </c>
      <c r="O161" t="n">
        <v>1</v>
      </c>
      <c r="P161" t="n">
        <v>0</v>
      </c>
      <c r="Q161" t="n">
        <v>2</v>
      </c>
      <c r="R161" s="2" t="inlineStr">
        <is>
          <t>Vitgrynig nållav
Vedticka</t>
        </is>
      </c>
      <c r="S161">
        <f>HYPERLINK("https://klasma.github.io/Logging_2260/artfynd/A 24176-2025 artfynd.xlsx", "A 24176-2025")</f>
        <v/>
      </c>
      <c r="T161">
        <f>HYPERLINK("https://klasma.github.io/Logging_2260/kartor/A 24176-2025 karta.png", "A 24176-2025")</f>
        <v/>
      </c>
      <c r="V161">
        <f>HYPERLINK("https://klasma.github.io/Logging_2260/klagomål/A 24176-2025 FSC-klagomål.docx", "A 24176-2025")</f>
        <v/>
      </c>
      <c r="W161">
        <f>HYPERLINK("https://klasma.github.io/Logging_2260/klagomålsmail/A 24176-2025 FSC-klagomål mail.docx", "A 24176-2025")</f>
        <v/>
      </c>
      <c r="X161">
        <f>HYPERLINK("https://klasma.github.io/Logging_2260/tillsyn/A 24176-2025 tillsynsbegäran.docx", "A 24176-2025")</f>
        <v/>
      </c>
      <c r="Y161">
        <f>HYPERLINK("https://klasma.github.io/Logging_2260/tillsynsmail/A 24176-2025 tillsynsbegäran mail.docx", "A 24176-2025")</f>
        <v/>
      </c>
    </row>
    <row r="162" ht="15" customHeight="1">
      <c r="A162" t="inlineStr">
        <is>
          <t>A 18081-2025</t>
        </is>
      </c>
      <c r="B162" s="1" t="n">
        <v>45761.51086805556</v>
      </c>
      <c r="C162" s="1" t="n">
        <v>46127</v>
      </c>
      <c r="D162" t="inlineStr">
        <is>
          <t>VÄSTERNORRLANDS LÄN</t>
        </is>
      </c>
      <c r="E162" t="inlineStr">
        <is>
          <t>ÅNGE</t>
        </is>
      </c>
      <c r="F162" t="inlineStr">
        <is>
          <t>SCA</t>
        </is>
      </c>
      <c r="G162" t="n">
        <v>2.6</v>
      </c>
      <c r="H162" t="n">
        <v>1</v>
      </c>
      <c r="I162" t="n">
        <v>1</v>
      </c>
      <c r="J162" t="n">
        <v>0</v>
      </c>
      <c r="K162" t="n">
        <v>1</v>
      </c>
      <c r="L162" t="n">
        <v>0</v>
      </c>
      <c r="M162" t="n">
        <v>0</v>
      </c>
      <c r="N162" t="n">
        <v>0</v>
      </c>
      <c r="O162" t="n">
        <v>1</v>
      </c>
      <c r="P162" t="n">
        <v>1</v>
      </c>
      <c r="Q162" t="n">
        <v>2</v>
      </c>
      <c r="R162" s="2" t="inlineStr">
        <is>
          <t>Knärot
Dropptaggsvamp</t>
        </is>
      </c>
      <c r="S162">
        <f>HYPERLINK("https://klasma.github.io/Logging_2260/artfynd/A 18081-2025 artfynd.xlsx", "A 18081-2025")</f>
        <v/>
      </c>
      <c r="T162">
        <f>HYPERLINK("https://klasma.github.io/Logging_2260/kartor/A 18081-2025 karta.png", "A 18081-2025")</f>
        <v/>
      </c>
      <c r="U162">
        <f>HYPERLINK("https://klasma.github.io/Logging_2260/knärot/A 18081-2025 karta knärot.png", "A 18081-2025")</f>
        <v/>
      </c>
      <c r="V162">
        <f>HYPERLINK("https://klasma.github.io/Logging_2260/klagomål/A 18081-2025 FSC-klagomål.docx", "A 18081-2025")</f>
        <v/>
      </c>
      <c r="W162">
        <f>HYPERLINK("https://klasma.github.io/Logging_2260/klagomålsmail/A 18081-2025 FSC-klagomål mail.docx", "A 18081-2025")</f>
        <v/>
      </c>
      <c r="X162">
        <f>HYPERLINK("https://klasma.github.io/Logging_2260/tillsyn/A 18081-2025 tillsynsbegäran.docx", "A 18081-2025")</f>
        <v/>
      </c>
      <c r="Y162">
        <f>HYPERLINK("https://klasma.github.io/Logging_2260/tillsynsmail/A 18081-2025 tillsynsbegäran mail.docx", "A 18081-2025")</f>
        <v/>
      </c>
    </row>
    <row r="163" ht="15" customHeight="1">
      <c r="A163" t="inlineStr">
        <is>
          <t>A 57597-2022</t>
        </is>
      </c>
      <c r="B163" s="1" t="n">
        <v>44896.97878472223</v>
      </c>
      <c r="C163" s="1" t="n">
        <v>46127</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62861-2021</t>
        </is>
      </c>
      <c r="B164" s="1" t="n">
        <v>44503</v>
      </c>
      <c r="C164" s="1" t="n">
        <v>46127</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26906-2025</t>
        </is>
      </c>
      <c r="B165" s="1" t="n">
        <v>45811.34552083333</v>
      </c>
      <c r="C165" s="1" t="n">
        <v>46127</v>
      </c>
      <c r="D165" t="inlineStr">
        <is>
          <t>VÄSTERNORRLANDS LÄN</t>
        </is>
      </c>
      <c r="E165" t="inlineStr">
        <is>
          <t>ÅNGE</t>
        </is>
      </c>
      <c r="F165" t="inlineStr">
        <is>
          <t>SCA</t>
        </is>
      </c>
      <c r="G165" t="n">
        <v>7</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26906-2025 artfynd.xlsx", "A 26906-2025")</f>
        <v/>
      </c>
      <c r="T165">
        <f>HYPERLINK("https://klasma.github.io/Logging_2260/kartor/A 26906-2025 karta.png", "A 26906-2025")</f>
        <v/>
      </c>
      <c r="V165">
        <f>HYPERLINK("https://klasma.github.io/Logging_2260/klagomål/A 26906-2025 FSC-klagomål.docx", "A 26906-2025")</f>
        <v/>
      </c>
      <c r="W165">
        <f>HYPERLINK("https://klasma.github.io/Logging_2260/klagomålsmail/A 26906-2025 FSC-klagomål mail.docx", "A 26906-2025")</f>
        <v/>
      </c>
      <c r="X165">
        <f>HYPERLINK("https://klasma.github.io/Logging_2260/tillsyn/A 26906-2025 tillsynsbegäran.docx", "A 26906-2025")</f>
        <v/>
      </c>
      <c r="Y165">
        <f>HYPERLINK("https://klasma.github.io/Logging_2260/tillsynsmail/A 26906-2025 tillsynsbegäran mail.docx", "A 26906-2025")</f>
        <v/>
      </c>
    </row>
    <row r="166" ht="15" customHeight="1">
      <c r="A166" t="inlineStr">
        <is>
          <t>A 42864-2025</t>
        </is>
      </c>
      <c r="B166" s="1" t="n">
        <v>45908</v>
      </c>
      <c r="C166" s="1" t="n">
        <v>46127</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25034-2024</t>
        </is>
      </c>
      <c r="B167" s="1" t="n">
        <v>45461.96458333333</v>
      </c>
      <c r="C167" s="1" t="n">
        <v>46127</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Rosenticka
Ullticka</t>
        </is>
      </c>
      <c r="S167">
        <f>HYPERLINK("https://klasma.github.io/Logging_2260/artfynd/A 25034-2024 artfynd.xlsx", "A 25034-2024")</f>
        <v/>
      </c>
      <c r="T167">
        <f>HYPERLINK("https://klasma.github.io/Logging_2260/kartor/A 25034-2024 karta.png", "A 25034-2024")</f>
        <v/>
      </c>
      <c r="V167">
        <f>HYPERLINK("https://klasma.github.io/Logging_2260/klagomål/A 25034-2024 FSC-klagomål.docx", "A 25034-2024")</f>
        <v/>
      </c>
      <c r="W167">
        <f>HYPERLINK("https://klasma.github.io/Logging_2260/klagomålsmail/A 25034-2024 FSC-klagomål mail.docx", "A 25034-2024")</f>
        <v/>
      </c>
      <c r="X167">
        <f>HYPERLINK("https://klasma.github.io/Logging_2260/tillsyn/A 25034-2024 tillsynsbegäran.docx", "A 25034-2024")</f>
        <v/>
      </c>
      <c r="Y167">
        <f>HYPERLINK("https://klasma.github.io/Logging_2260/tillsynsmail/A 25034-2024 tillsynsbegäran mail.docx", "A 25034-2024")</f>
        <v/>
      </c>
    </row>
    <row r="168" ht="15" customHeight="1">
      <c r="A168" t="inlineStr">
        <is>
          <t>A 48374-2024</t>
        </is>
      </c>
      <c r="B168" s="1" t="n">
        <v>45590.58028935185</v>
      </c>
      <c r="C168" s="1" t="n">
        <v>46127</v>
      </c>
      <c r="D168" t="inlineStr">
        <is>
          <t>VÄSTERNORRLANDS LÄN</t>
        </is>
      </c>
      <c r="E168" t="inlineStr">
        <is>
          <t>ÅNGE</t>
        </is>
      </c>
      <c r="G168" t="n">
        <v>6.6</v>
      </c>
      <c r="H168" t="n">
        <v>0</v>
      </c>
      <c r="I168" t="n">
        <v>1</v>
      </c>
      <c r="J168" t="n">
        <v>1</v>
      </c>
      <c r="K168" t="n">
        <v>0</v>
      </c>
      <c r="L168" t="n">
        <v>0</v>
      </c>
      <c r="M168" t="n">
        <v>0</v>
      </c>
      <c r="N168" t="n">
        <v>0</v>
      </c>
      <c r="O168" t="n">
        <v>1</v>
      </c>
      <c r="P168" t="n">
        <v>0</v>
      </c>
      <c r="Q168" t="n">
        <v>2</v>
      </c>
      <c r="R168" s="2" t="inlineStr">
        <is>
          <t>Kolflarnlav
Bollvitmossa</t>
        </is>
      </c>
      <c r="S168">
        <f>HYPERLINK("https://klasma.github.io/Logging_2260/artfynd/A 48374-2024 artfynd.xlsx", "A 48374-2024")</f>
        <v/>
      </c>
      <c r="T168">
        <f>HYPERLINK("https://klasma.github.io/Logging_2260/kartor/A 48374-2024 karta.png", "A 48374-2024")</f>
        <v/>
      </c>
      <c r="V168">
        <f>HYPERLINK("https://klasma.github.io/Logging_2260/klagomål/A 48374-2024 FSC-klagomål.docx", "A 48374-2024")</f>
        <v/>
      </c>
      <c r="W168">
        <f>HYPERLINK("https://klasma.github.io/Logging_2260/klagomålsmail/A 48374-2024 FSC-klagomål mail.docx", "A 48374-2024")</f>
        <v/>
      </c>
      <c r="X168">
        <f>HYPERLINK("https://klasma.github.io/Logging_2260/tillsyn/A 48374-2024 tillsynsbegäran.docx", "A 48374-2024")</f>
        <v/>
      </c>
      <c r="Y168">
        <f>HYPERLINK("https://klasma.github.io/Logging_2260/tillsynsmail/A 48374-2024 tillsynsbegäran mail.docx", "A 48374-2024")</f>
        <v/>
      </c>
    </row>
    <row r="169" ht="15" customHeight="1">
      <c r="A169" t="inlineStr">
        <is>
          <t>A 43721-2025</t>
        </is>
      </c>
      <c r="B169" s="1" t="n">
        <v>45912.42800925926</v>
      </c>
      <c r="C169" s="1" t="n">
        <v>46127</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55178-2024</t>
        </is>
      </c>
      <c r="B170" s="1" t="n">
        <v>45621</v>
      </c>
      <c r="C170" s="1" t="n">
        <v>46127</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49871-2024</t>
        </is>
      </c>
      <c r="B171" s="1" t="n">
        <v>45597.4903125</v>
      </c>
      <c r="C171" s="1" t="n">
        <v>46127</v>
      </c>
      <c r="D171" t="inlineStr">
        <is>
          <t>VÄSTERNORRLANDS LÄN</t>
        </is>
      </c>
      <c r="E171" t="inlineStr">
        <is>
          <t>ÅNGE</t>
        </is>
      </c>
      <c r="F171" t="inlineStr">
        <is>
          <t>SCA</t>
        </is>
      </c>
      <c r="G171" t="n">
        <v>6.3</v>
      </c>
      <c r="H171" t="n">
        <v>1</v>
      </c>
      <c r="I171" t="n">
        <v>0</v>
      </c>
      <c r="J171" t="n">
        <v>1</v>
      </c>
      <c r="K171" t="n">
        <v>1</v>
      </c>
      <c r="L171" t="n">
        <v>0</v>
      </c>
      <c r="M171" t="n">
        <v>0</v>
      </c>
      <c r="N171" t="n">
        <v>0</v>
      </c>
      <c r="O171" t="n">
        <v>2</v>
      </c>
      <c r="P171" t="n">
        <v>1</v>
      </c>
      <c r="Q171" t="n">
        <v>2</v>
      </c>
      <c r="R171" s="2" t="inlineStr">
        <is>
          <t>Knärot
Garnlav</t>
        </is>
      </c>
      <c r="S171">
        <f>HYPERLINK("https://klasma.github.io/Logging_2260/artfynd/A 49871-2024 artfynd.xlsx", "A 49871-2024")</f>
        <v/>
      </c>
      <c r="T171">
        <f>HYPERLINK("https://klasma.github.io/Logging_2260/kartor/A 49871-2024 karta.png", "A 49871-2024")</f>
        <v/>
      </c>
      <c r="U171">
        <f>HYPERLINK("https://klasma.github.io/Logging_2260/knärot/A 49871-2024 karta knärot.png", "A 49871-2024")</f>
        <v/>
      </c>
      <c r="V171">
        <f>HYPERLINK("https://klasma.github.io/Logging_2260/klagomål/A 49871-2024 FSC-klagomål.docx", "A 49871-2024")</f>
        <v/>
      </c>
      <c r="W171">
        <f>HYPERLINK("https://klasma.github.io/Logging_2260/klagomålsmail/A 49871-2024 FSC-klagomål mail.docx", "A 49871-2024")</f>
        <v/>
      </c>
      <c r="X171">
        <f>HYPERLINK("https://klasma.github.io/Logging_2260/tillsyn/A 49871-2024 tillsynsbegäran.docx", "A 49871-2024")</f>
        <v/>
      </c>
      <c r="Y171">
        <f>HYPERLINK("https://klasma.github.io/Logging_2260/tillsynsmail/A 49871-2024 tillsynsbegäran mail.docx", "A 49871-2024")</f>
        <v/>
      </c>
    </row>
    <row r="172" ht="15" customHeight="1">
      <c r="A172" t="inlineStr">
        <is>
          <t>A 26020-2024</t>
        </is>
      </c>
      <c r="B172" s="1" t="n">
        <v>45467.9603125</v>
      </c>
      <c r="C172" s="1" t="n">
        <v>46127</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36414-2025</t>
        </is>
      </c>
      <c r="B173" s="1" t="n">
        <v>45868.69246527777</v>
      </c>
      <c r="C173" s="1" t="n">
        <v>46127</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37800-2025</t>
        </is>
      </c>
      <c r="B174" s="1" t="n">
        <v>45881.34420138889</v>
      </c>
      <c r="C174" s="1" t="n">
        <v>46127</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53683-2025</t>
        </is>
      </c>
      <c r="B175" s="1" t="n">
        <v>45960</v>
      </c>
      <c r="C175" s="1" t="n">
        <v>46127</v>
      </c>
      <c r="D175" t="inlineStr">
        <is>
          <t>VÄSTERNORRLANDS LÄN</t>
        </is>
      </c>
      <c r="E175" t="inlineStr">
        <is>
          <t>ÅNGE</t>
        </is>
      </c>
      <c r="F175" t="inlineStr">
        <is>
          <t>SCA</t>
        </is>
      </c>
      <c r="G175" t="n">
        <v>3.6</v>
      </c>
      <c r="H175" t="n">
        <v>1</v>
      </c>
      <c r="I175" t="n">
        <v>1</v>
      </c>
      <c r="J175" t="n">
        <v>1</v>
      </c>
      <c r="K175" t="n">
        <v>0</v>
      </c>
      <c r="L175" t="n">
        <v>0</v>
      </c>
      <c r="M175" t="n">
        <v>0</v>
      </c>
      <c r="N175" t="n">
        <v>0</v>
      </c>
      <c r="O175" t="n">
        <v>1</v>
      </c>
      <c r="P175" t="n">
        <v>0</v>
      </c>
      <c r="Q175" t="n">
        <v>2</v>
      </c>
      <c r="R175" s="2" t="inlineStr">
        <is>
          <t>Talltita
Ögonpyrola</t>
        </is>
      </c>
      <c r="S175">
        <f>HYPERLINK("https://klasma.github.io/Logging_2260/artfynd/A 53683-2025 artfynd.xlsx", "A 53683-2025")</f>
        <v/>
      </c>
      <c r="T175">
        <f>HYPERLINK("https://klasma.github.io/Logging_2260/kartor/A 53683-2025 karta.png", "A 53683-2025")</f>
        <v/>
      </c>
      <c r="U175">
        <f>HYPERLINK("https://klasma.github.io/Logging_2260/knärot/A 53683-2025 karta knärot.png", "A 53683-2025")</f>
        <v/>
      </c>
      <c r="V175">
        <f>HYPERLINK("https://klasma.github.io/Logging_2260/klagomål/A 53683-2025 FSC-klagomål.docx", "A 53683-2025")</f>
        <v/>
      </c>
      <c r="W175">
        <f>HYPERLINK("https://klasma.github.io/Logging_2260/klagomålsmail/A 53683-2025 FSC-klagomål mail.docx", "A 53683-2025")</f>
        <v/>
      </c>
      <c r="X175">
        <f>HYPERLINK("https://klasma.github.io/Logging_2260/tillsyn/A 53683-2025 tillsynsbegäran.docx", "A 53683-2025")</f>
        <v/>
      </c>
      <c r="Y175">
        <f>HYPERLINK("https://klasma.github.io/Logging_2260/tillsynsmail/A 53683-2025 tillsynsbegäran mail.docx", "A 53683-2025")</f>
        <v/>
      </c>
      <c r="Z175">
        <f>HYPERLINK("https://klasma.github.io/Logging_2260/fåglar/A 53683-2025 prioriterade fågelarter.docx", "A 53683-2025")</f>
        <v/>
      </c>
    </row>
    <row r="176" ht="15" customHeight="1">
      <c r="A176" t="inlineStr">
        <is>
          <t>A 38298-2025</t>
        </is>
      </c>
      <c r="B176" s="1" t="n">
        <v>45883.4568287037</v>
      </c>
      <c r="C176" s="1" t="n">
        <v>46127</v>
      </c>
      <c r="D176" t="inlineStr">
        <is>
          <t>VÄSTERNORRLANDS LÄN</t>
        </is>
      </c>
      <c r="E176" t="inlineStr">
        <is>
          <t>ÅNGE</t>
        </is>
      </c>
      <c r="G176" t="n">
        <v>4.5</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38298-2025 artfynd.xlsx", "A 38298-2025")</f>
        <v/>
      </c>
      <c r="T176">
        <f>HYPERLINK("https://klasma.github.io/Logging_2260/kartor/A 38298-2025 karta.png", "A 38298-2025")</f>
        <v/>
      </c>
      <c r="V176">
        <f>HYPERLINK("https://klasma.github.io/Logging_2260/klagomål/A 38298-2025 FSC-klagomål.docx", "A 38298-2025")</f>
        <v/>
      </c>
      <c r="W176">
        <f>HYPERLINK("https://klasma.github.io/Logging_2260/klagomålsmail/A 38298-2025 FSC-klagomål mail.docx", "A 38298-2025")</f>
        <v/>
      </c>
      <c r="X176">
        <f>HYPERLINK("https://klasma.github.io/Logging_2260/tillsyn/A 38298-2025 tillsynsbegäran.docx", "A 38298-2025")</f>
        <v/>
      </c>
      <c r="Y176">
        <f>HYPERLINK("https://klasma.github.io/Logging_2260/tillsynsmail/A 38298-2025 tillsynsbegäran mail.docx", "A 38298-2025")</f>
        <v/>
      </c>
    </row>
    <row r="177" ht="15" customHeight="1">
      <c r="A177" t="inlineStr">
        <is>
          <t>A 54625-2025</t>
        </is>
      </c>
      <c r="B177" s="1" t="n">
        <v>45966.34552083333</v>
      </c>
      <c r="C177" s="1" t="n">
        <v>46127</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48695-2024</t>
        </is>
      </c>
      <c r="B178" s="1" t="n">
        <v>45593.5109837963</v>
      </c>
      <c r="C178" s="1" t="n">
        <v>46127</v>
      </c>
      <c r="D178" t="inlineStr">
        <is>
          <t>VÄSTERNORRLANDS LÄN</t>
        </is>
      </c>
      <c r="E178" t="inlineStr">
        <is>
          <t>ÅNGE</t>
        </is>
      </c>
      <c r="F178" t="inlineStr">
        <is>
          <t>SCA</t>
        </is>
      </c>
      <c r="G178" t="n">
        <v>1.2</v>
      </c>
      <c r="H178" t="n">
        <v>0</v>
      </c>
      <c r="I178" t="n">
        <v>0</v>
      </c>
      <c r="J178" t="n">
        <v>2</v>
      </c>
      <c r="K178" t="n">
        <v>0</v>
      </c>
      <c r="L178" t="n">
        <v>0</v>
      </c>
      <c r="M178" t="n">
        <v>0</v>
      </c>
      <c r="N178" t="n">
        <v>0</v>
      </c>
      <c r="O178" t="n">
        <v>2</v>
      </c>
      <c r="P178" t="n">
        <v>0</v>
      </c>
      <c r="Q178" t="n">
        <v>2</v>
      </c>
      <c r="R178" s="2" t="inlineStr">
        <is>
          <t>Lunglav
Ullticka</t>
        </is>
      </c>
      <c r="S178">
        <f>HYPERLINK("https://klasma.github.io/Logging_2260/artfynd/A 48695-2024 artfynd.xlsx", "A 48695-2024")</f>
        <v/>
      </c>
      <c r="T178">
        <f>HYPERLINK("https://klasma.github.io/Logging_2260/kartor/A 48695-2024 karta.png", "A 48695-2024")</f>
        <v/>
      </c>
      <c r="V178">
        <f>HYPERLINK("https://klasma.github.io/Logging_2260/klagomål/A 48695-2024 FSC-klagomål.docx", "A 48695-2024")</f>
        <v/>
      </c>
      <c r="W178">
        <f>HYPERLINK("https://klasma.github.io/Logging_2260/klagomålsmail/A 48695-2024 FSC-klagomål mail.docx", "A 48695-2024")</f>
        <v/>
      </c>
      <c r="X178">
        <f>HYPERLINK("https://klasma.github.io/Logging_2260/tillsyn/A 48695-2024 tillsynsbegäran.docx", "A 48695-2024")</f>
        <v/>
      </c>
      <c r="Y178">
        <f>HYPERLINK("https://klasma.github.io/Logging_2260/tillsynsmail/A 48695-2024 tillsynsbegäran mail.docx", "A 48695-2024")</f>
        <v/>
      </c>
    </row>
    <row r="179" ht="15" customHeight="1">
      <c r="A179" t="inlineStr">
        <is>
          <t>A 4873-2025</t>
        </is>
      </c>
      <c r="B179" s="1" t="n">
        <v>45688.67633101852</v>
      </c>
      <c r="C179" s="1" t="n">
        <v>46127</v>
      </c>
      <c r="D179" t="inlineStr">
        <is>
          <t>VÄSTERNORRLANDS LÄN</t>
        </is>
      </c>
      <c r="E179" t="inlineStr">
        <is>
          <t>ÅNGE</t>
        </is>
      </c>
      <c r="F179" t="inlineStr">
        <is>
          <t>SCA</t>
        </is>
      </c>
      <c r="G179" t="n">
        <v>3.3</v>
      </c>
      <c r="H179" t="n">
        <v>0</v>
      </c>
      <c r="I179" t="n">
        <v>0</v>
      </c>
      <c r="J179" t="n">
        <v>2</v>
      </c>
      <c r="K179" t="n">
        <v>0</v>
      </c>
      <c r="L179" t="n">
        <v>0</v>
      </c>
      <c r="M179" t="n">
        <v>0</v>
      </c>
      <c r="N179" t="n">
        <v>0</v>
      </c>
      <c r="O179" t="n">
        <v>2</v>
      </c>
      <c r="P179" t="n">
        <v>0</v>
      </c>
      <c r="Q179" t="n">
        <v>2</v>
      </c>
      <c r="R179" s="2" t="inlineStr">
        <is>
          <t>Garnlav
Vitgrynig nållav</t>
        </is>
      </c>
      <c r="S179">
        <f>HYPERLINK("https://klasma.github.io/Logging_2260/artfynd/A 4873-2025 artfynd.xlsx", "A 4873-2025")</f>
        <v/>
      </c>
      <c r="T179">
        <f>HYPERLINK("https://klasma.github.io/Logging_2260/kartor/A 4873-2025 karta.png", "A 4873-2025")</f>
        <v/>
      </c>
      <c r="V179">
        <f>HYPERLINK("https://klasma.github.io/Logging_2260/klagomål/A 4873-2025 FSC-klagomål.docx", "A 4873-2025")</f>
        <v/>
      </c>
      <c r="W179">
        <f>HYPERLINK("https://klasma.github.io/Logging_2260/klagomålsmail/A 4873-2025 FSC-klagomål mail.docx", "A 4873-2025")</f>
        <v/>
      </c>
      <c r="X179">
        <f>HYPERLINK("https://klasma.github.io/Logging_2260/tillsyn/A 4873-2025 tillsynsbegäran.docx", "A 4873-2025")</f>
        <v/>
      </c>
      <c r="Y179">
        <f>HYPERLINK("https://klasma.github.io/Logging_2260/tillsynsmail/A 4873-2025 tillsynsbegäran mail.docx", "A 4873-2025")</f>
        <v/>
      </c>
    </row>
    <row r="180" ht="15" customHeight="1">
      <c r="A180" t="inlineStr">
        <is>
          <t>A 57089-2024</t>
        </is>
      </c>
      <c r="B180" s="1" t="n">
        <v>45629.35665509259</v>
      </c>
      <c r="C180" s="1" t="n">
        <v>46127</v>
      </c>
      <c r="D180" t="inlineStr">
        <is>
          <t>VÄSTERNORRLANDS LÄN</t>
        </is>
      </c>
      <c r="E180" t="inlineStr">
        <is>
          <t>ÅNGE</t>
        </is>
      </c>
      <c r="F180" t="inlineStr">
        <is>
          <t>SCA</t>
        </is>
      </c>
      <c r="G180" t="n">
        <v>1.5</v>
      </c>
      <c r="H180" t="n">
        <v>0</v>
      </c>
      <c r="I180" t="n">
        <v>0</v>
      </c>
      <c r="J180" t="n">
        <v>2</v>
      </c>
      <c r="K180" t="n">
        <v>0</v>
      </c>
      <c r="L180" t="n">
        <v>0</v>
      </c>
      <c r="M180" t="n">
        <v>0</v>
      </c>
      <c r="N180" t="n">
        <v>0</v>
      </c>
      <c r="O180" t="n">
        <v>2</v>
      </c>
      <c r="P180" t="n">
        <v>0</v>
      </c>
      <c r="Q180" t="n">
        <v>2</v>
      </c>
      <c r="R180" s="2" t="inlineStr">
        <is>
          <t>Lunglav
Ullticka</t>
        </is>
      </c>
      <c r="S180">
        <f>HYPERLINK("https://klasma.github.io/Logging_2260/artfynd/A 57089-2024 artfynd.xlsx", "A 57089-2024")</f>
        <v/>
      </c>
      <c r="T180">
        <f>HYPERLINK("https://klasma.github.io/Logging_2260/kartor/A 57089-2024 karta.png", "A 57089-2024")</f>
        <v/>
      </c>
      <c r="V180">
        <f>HYPERLINK("https://klasma.github.io/Logging_2260/klagomål/A 57089-2024 FSC-klagomål.docx", "A 57089-2024")</f>
        <v/>
      </c>
      <c r="W180">
        <f>HYPERLINK("https://klasma.github.io/Logging_2260/klagomålsmail/A 57089-2024 FSC-klagomål mail.docx", "A 57089-2024")</f>
        <v/>
      </c>
      <c r="X180">
        <f>HYPERLINK("https://klasma.github.io/Logging_2260/tillsyn/A 57089-2024 tillsynsbegäran.docx", "A 57089-2024")</f>
        <v/>
      </c>
      <c r="Y180">
        <f>HYPERLINK("https://klasma.github.io/Logging_2260/tillsynsmail/A 57089-2024 tillsynsbegäran mail.docx", "A 57089-2024")</f>
        <v/>
      </c>
    </row>
    <row r="181" ht="15" customHeight="1">
      <c r="A181" t="inlineStr">
        <is>
          <t>A 47719-2024</t>
        </is>
      </c>
      <c r="B181" s="1" t="n">
        <v>45588.48996527777</v>
      </c>
      <c r="C181" s="1" t="n">
        <v>46127</v>
      </c>
      <c r="D181" t="inlineStr">
        <is>
          <t>VÄSTERNORRLANDS LÄN</t>
        </is>
      </c>
      <c r="E181" t="inlineStr">
        <is>
          <t>ÅNGE</t>
        </is>
      </c>
      <c r="F181" t="inlineStr">
        <is>
          <t>SCA</t>
        </is>
      </c>
      <c r="G181" t="n">
        <v>1.4</v>
      </c>
      <c r="H181" t="n">
        <v>0</v>
      </c>
      <c r="I181" t="n">
        <v>0</v>
      </c>
      <c r="J181" t="n">
        <v>2</v>
      </c>
      <c r="K181" t="n">
        <v>0</v>
      </c>
      <c r="L181" t="n">
        <v>0</v>
      </c>
      <c r="M181" t="n">
        <v>0</v>
      </c>
      <c r="N181" t="n">
        <v>0</v>
      </c>
      <c r="O181" t="n">
        <v>2</v>
      </c>
      <c r="P181" t="n">
        <v>0</v>
      </c>
      <c r="Q181" t="n">
        <v>2</v>
      </c>
      <c r="R181" s="2" t="inlineStr">
        <is>
          <t>Dvärgbägarlav
Vedskivlav</t>
        </is>
      </c>
      <c r="S181">
        <f>HYPERLINK("https://klasma.github.io/Logging_2260/artfynd/A 47719-2024 artfynd.xlsx", "A 47719-2024")</f>
        <v/>
      </c>
      <c r="T181">
        <f>HYPERLINK("https://klasma.github.io/Logging_2260/kartor/A 47719-2024 karta.png", "A 47719-2024")</f>
        <v/>
      </c>
      <c r="V181">
        <f>HYPERLINK("https://klasma.github.io/Logging_2260/klagomål/A 47719-2024 FSC-klagomål.docx", "A 47719-2024")</f>
        <v/>
      </c>
      <c r="W181">
        <f>HYPERLINK("https://klasma.github.io/Logging_2260/klagomålsmail/A 47719-2024 FSC-klagomål mail.docx", "A 47719-2024")</f>
        <v/>
      </c>
      <c r="X181">
        <f>HYPERLINK("https://klasma.github.io/Logging_2260/tillsyn/A 47719-2024 tillsynsbegäran.docx", "A 47719-2024")</f>
        <v/>
      </c>
      <c r="Y181">
        <f>HYPERLINK("https://klasma.github.io/Logging_2260/tillsynsmail/A 47719-2024 tillsynsbegäran mail.docx", "A 47719-2024")</f>
        <v/>
      </c>
    </row>
    <row r="182" ht="15" customHeight="1">
      <c r="A182" t="inlineStr">
        <is>
          <t>A 29325-2023</t>
        </is>
      </c>
      <c r="B182" s="1" t="n">
        <v>45105</v>
      </c>
      <c r="C182" s="1" t="n">
        <v>46127</v>
      </c>
      <c r="D182" t="inlineStr">
        <is>
          <t>VÄSTERNORRLANDS LÄN</t>
        </is>
      </c>
      <c r="E182" t="inlineStr">
        <is>
          <t>ÅNGE</t>
        </is>
      </c>
      <c r="G182" t="n">
        <v>12.4</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HYPERLINK("https://klasma.github.io/Logging_2260/artfynd/A 29325-2023 artfynd.xlsx", "A 29325-2023")</f>
        <v/>
      </c>
      <c r="T182">
        <f>HYPERLINK("https://klasma.github.io/Logging_2260/kartor/A 29325-2023 karta.png", "A 29325-2023")</f>
        <v/>
      </c>
      <c r="V182">
        <f>HYPERLINK("https://klasma.github.io/Logging_2260/klagomål/A 29325-2023 FSC-klagomål.docx", "A 29325-2023")</f>
        <v/>
      </c>
      <c r="W182">
        <f>HYPERLINK("https://klasma.github.io/Logging_2260/klagomålsmail/A 29325-2023 FSC-klagomål mail.docx", "A 29325-2023")</f>
        <v/>
      </c>
      <c r="X182">
        <f>HYPERLINK("https://klasma.github.io/Logging_2260/tillsyn/A 29325-2023 tillsynsbegäran.docx", "A 29325-2023")</f>
        <v/>
      </c>
      <c r="Y182">
        <f>HYPERLINK("https://klasma.github.io/Logging_2260/tillsynsmail/A 29325-2023 tillsynsbegäran mail.docx", "A 29325-2023")</f>
        <v/>
      </c>
    </row>
    <row r="183" ht="15" customHeight="1">
      <c r="A183" t="inlineStr">
        <is>
          <t>A 57594-2022</t>
        </is>
      </c>
      <c r="B183" s="1" t="n">
        <v>44896.97854166666</v>
      </c>
      <c r="C183" s="1" t="n">
        <v>46127</v>
      </c>
      <c r="D183" t="inlineStr">
        <is>
          <t>VÄSTERNORRLANDS LÄN</t>
        </is>
      </c>
      <c r="E183" t="inlineStr">
        <is>
          <t>ÅNGE</t>
        </is>
      </c>
      <c r="F183" t="inlineStr">
        <is>
          <t>SCA</t>
        </is>
      </c>
      <c r="G183" t="n">
        <v>5.3</v>
      </c>
      <c r="H183" t="n">
        <v>0</v>
      </c>
      <c r="I183" t="n">
        <v>0</v>
      </c>
      <c r="J183" t="n">
        <v>2</v>
      </c>
      <c r="K183" t="n">
        <v>0</v>
      </c>
      <c r="L183" t="n">
        <v>0</v>
      </c>
      <c r="M183" t="n">
        <v>0</v>
      </c>
      <c r="N183" t="n">
        <v>0</v>
      </c>
      <c r="O183" t="n">
        <v>2</v>
      </c>
      <c r="P183" t="n">
        <v>0</v>
      </c>
      <c r="Q183" t="n">
        <v>2</v>
      </c>
      <c r="R183" s="2" t="inlineStr">
        <is>
          <t>Granticka
Lunglav</t>
        </is>
      </c>
      <c r="S183">
        <f>HYPERLINK("https://klasma.github.io/Logging_2260/artfynd/A 57594-2022 artfynd.xlsx", "A 57594-2022")</f>
        <v/>
      </c>
      <c r="T183">
        <f>HYPERLINK("https://klasma.github.io/Logging_2260/kartor/A 57594-2022 karta.png", "A 57594-2022")</f>
        <v/>
      </c>
      <c r="V183">
        <f>HYPERLINK("https://klasma.github.io/Logging_2260/klagomål/A 57594-2022 FSC-klagomål.docx", "A 57594-2022")</f>
        <v/>
      </c>
      <c r="W183">
        <f>HYPERLINK("https://klasma.github.io/Logging_2260/klagomålsmail/A 57594-2022 FSC-klagomål mail.docx", "A 57594-2022")</f>
        <v/>
      </c>
      <c r="X183">
        <f>HYPERLINK("https://klasma.github.io/Logging_2260/tillsyn/A 57594-2022 tillsynsbegäran.docx", "A 57594-2022")</f>
        <v/>
      </c>
      <c r="Y183">
        <f>HYPERLINK("https://klasma.github.io/Logging_2260/tillsynsmail/A 57594-2022 tillsynsbegäran mail.docx", "A 57594-2022")</f>
        <v/>
      </c>
    </row>
    <row r="184" ht="15" customHeight="1">
      <c r="A184" t="inlineStr">
        <is>
          <t>A 4093-2025</t>
        </is>
      </c>
      <c r="B184" s="1" t="n">
        <v>45684.67762731481</v>
      </c>
      <c r="C184" s="1" t="n">
        <v>46127</v>
      </c>
      <c r="D184" t="inlineStr">
        <is>
          <t>VÄSTERNORRLANDS LÄN</t>
        </is>
      </c>
      <c r="E184" t="inlineStr">
        <is>
          <t>ÅNGE</t>
        </is>
      </c>
      <c r="F184" t="inlineStr">
        <is>
          <t>SCA</t>
        </is>
      </c>
      <c r="G184" t="n">
        <v>2.6</v>
      </c>
      <c r="H184" t="n">
        <v>1</v>
      </c>
      <c r="I184" t="n">
        <v>2</v>
      </c>
      <c r="J184" t="n">
        <v>0</v>
      </c>
      <c r="K184" t="n">
        <v>0</v>
      </c>
      <c r="L184" t="n">
        <v>0</v>
      </c>
      <c r="M184" t="n">
        <v>0</v>
      </c>
      <c r="N184" t="n">
        <v>0</v>
      </c>
      <c r="O184" t="n">
        <v>0</v>
      </c>
      <c r="P184" t="n">
        <v>0</v>
      </c>
      <c r="Q184" t="n">
        <v>2</v>
      </c>
      <c r="R184" s="2" t="inlineStr">
        <is>
          <t>Kransrams
Spindelblomster</t>
        </is>
      </c>
      <c r="S184">
        <f>HYPERLINK("https://klasma.github.io/Logging_2260/artfynd/A 4093-2025 artfynd.xlsx", "A 4093-2025")</f>
        <v/>
      </c>
      <c r="T184">
        <f>HYPERLINK("https://klasma.github.io/Logging_2260/kartor/A 4093-2025 karta.png", "A 4093-2025")</f>
        <v/>
      </c>
      <c r="V184">
        <f>HYPERLINK("https://klasma.github.io/Logging_2260/klagomål/A 4093-2025 FSC-klagomål.docx", "A 4093-2025")</f>
        <v/>
      </c>
      <c r="W184">
        <f>HYPERLINK("https://klasma.github.io/Logging_2260/klagomålsmail/A 4093-2025 FSC-klagomål mail.docx", "A 4093-2025")</f>
        <v/>
      </c>
      <c r="X184">
        <f>HYPERLINK("https://klasma.github.io/Logging_2260/tillsyn/A 4093-2025 tillsynsbegäran.docx", "A 4093-2025")</f>
        <v/>
      </c>
      <c r="Y184">
        <f>HYPERLINK("https://klasma.github.io/Logging_2260/tillsynsmail/A 4093-2025 tillsynsbegäran mail.docx", "A 4093-2025")</f>
        <v/>
      </c>
    </row>
    <row r="185" ht="15" customHeight="1">
      <c r="A185" t="inlineStr">
        <is>
          <t>A 31493-2024</t>
        </is>
      </c>
      <c r="B185" s="1" t="n">
        <v>45505</v>
      </c>
      <c r="C185" s="1" t="n">
        <v>46127</v>
      </c>
      <c r="D185" t="inlineStr">
        <is>
          <t>VÄSTERNORRLANDS LÄN</t>
        </is>
      </c>
      <c r="E185" t="inlineStr">
        <is>
          <t>ÅNGE</t>
        </is>
      </c>
      <c r="F185" t="inlineStr">
        <is>
          <t>SCA</t>
        </is>
      </c>
      <c r="G185" t="n">
        <v>4.4</v>
      </c>
      <c r="H185" t="n">
        <v>1</v>
      </c>
      <c r="I185" t="n">
        <v>1</v>
      </c>
      <c r="J185" t="n">
        <v>0</v>
      </c>
      <c r="K185" t="n">
        <v>1</v>
      </c>
      <c r="L185" t="n">
        <v>0</v>
      </c>
      <c r="M185" t="n">
        <v>0</v>
      </c>
      <c r="N185" t="n">
        <v>0</v>
      </c>
      <c r="O185" t="n">
        <v>1</v>
      </c>
      <c r="P185" t="n">
        <v>1</v>
      </c>
      <c r="Q185" t="n">
        <v>2</v>
      </c>
      <c r="R185" s="2" t="inlineStr">
        <is>
          <t>Knärot
Korallblylav</t>
        </is>
      </c>
      <c r="S185">
        <f>HYPERLINK("https://klasma.github.io/Logging_2260/artfynd/A 31493-2024 artfynd.xlsx", "A 31493-2024")</f>
        <v/>
      </c>
      <c r="T185">
        <f>HYPERLINK("https://klasma.github.io/Logging_2260/kartor/A 31493-2024 karta.png", "A 31493-2024")</f>
        <v/>
      </c>
      <c r="U185">
        <f>HYPERLINK("https://klasma.github.io/Logging_2260/knärot/A 31493-2024 karta knärot.png", "A 31493-2024")</f>
        <v/>
      </c>
      <c r="V185">
        <f>HYPERLINK("https://klasma.github.io/Logging_2260/klagomål/A 31493-2024 FSC-klagomål.docx", "A 31493-2024")</f>
        <v/>
      </c>
      <c r="W185">
        <f>HYPERLINK("https://klasma.github.io/Logging_2260/klagomålsmail/A 31493-2024 FSC-klagomål mail.docx", "A 31493-2024")</f>
        <v/>
      </c>
      <c r="X185">
        <f>HYPERLINK("https://klasma.github.io/Logging_2260/tillsyn/A 31493-2024 tillsynsbegäran.docx", "A 31493-2024")</f>
        <v/>
      </c>
      <c r="Y185">
        <f>HYPERLINK("https://klasma.github.io/Logging_2260/tillsynsmail/A 31493-2024 tillsynsbegäran mail.docx", "A 31493-2024")</f>
        <v/>
      </c>
    </row>
    <row r="186" ht="15" customHeight="1">
      <c r="A186" t="inlineStr">
        <is>
          <t>A 165-2025</t>
        </is>
      </c>
      <c r="B186" s="1" t="n">
        <v>45659</v>
      </c>
      <c r="C186" s="1" t="n">
        <v>46127</v>
      </c>
      <c r="D186" t="inlineStr">
        <is>
          <t>VÄSTERNORRLANDS LÄN</t>
        </is>
      </c>
      <c r="E186" t="inlineStr">
        <is>
          <t>ÅNGE</t>
        </is>
      </c>
      <c r="G186" t="n">
        <v>13.9</v>
      </c>
      <c r="H186" t="n">
        <v>1</v>
      </c>
      <c r="I186" t="n">
        <v>0</v>
      </c>
      <c r="J186" t="n">
        <v>2</v>
      </c>
      <c r="K186" t="n">
        <v>0</v>
      </c>
      <c r="L186" t="n">
        <v>0</v>
      </c>
      <c r="M186" t="n">
        <v>0</v>
      </c>
      <c r="N186" t="n">
        <v>0</v>
      </c>
      <c r="O186" t="n">
        <v>2</v>
      </c>
      <c r="P186" t="n">
        <v>0</v>
      </c>
      <c r="Q186" t="n">
        <v>2</v>
      </c>
      <c r="R186" s="2" t="inlineStr">
        <is>
          <t>Doftskinn
Tretåig hackspett</t>
        </is>
      </c>
      <c r="S186">
        <f>HYPERLINK("https://klasma.github.io/Logging_2260/artfynd/A 165-2025 artfynd.xlsx", "A 165-2025")</f>
        <v/>
      </c>
      <c r="T186">
        <f>HYPERLINK("https://klasma.github.io/Logging_2260/kartor/A 165-2025 karta.png", "A 165-2025")</f>
        <v/>
      </c>
      <c r="V186">
        <f>HYPERLINK("https://klasma.github.io/Logging_2260/klagomål/A 165-2025 FSC-klagomål.docx", "A 165-2025")</f>
        <v/>
      </c>
      <c r="W186">
        <f>HYPERLINK("https://klasma.github.io/Logging_2260/klagomålsmail/A 165-2025 FSC-klagomål mail.docx", "A 165-2025")</f>
        <v/>
      </c>
      <c r="X186">
        <f>HYPERLINK("https://klasma.github.io/Logging_2260/tillsyn/A 165-2025 tillsynsbegäran.docx", "A 165-2025")</f>
        <v/>
      </c>
      <c r="Y186">
        <f>HYPERLINK("https://klasma.github.io/Logging_2260/tillsynsmail/A 165-2025 tillsynsbegäran mail.docx", "A 165-2025")</f>
        <v/>
      </c>
      <c r="Z186">
        <f>HYPERLINK("https://klasma.github.io/Logging_2260/fåglar/A 165-2025 prioriterade fågelarter.docx", "A 165-2025")</f>
        <v/>
      </c>
    </row>
    <row r="187" ht="15" customHeight="1">
      <c r="A187" t="inlineStr">
        <is>
          <t>A 17861-2023</t>
        </is>
      </c>
      <c r="B187" s="1" t="n">
        <v>45037.94171296297</v>
      </c>
      <c r="C187" s="1" t="n">
        <v>46127</v>
      </c>
      <c r="D187" t="inlineStr">
        <is>
          <t>VÄSTERNORRLANDS LÄN</t>
        </is>
      </c>
      <c r="E187" t="inlineStr">
        <is>
          <t>ÅNGE</t>
        </is>
      </c>
      <c r="F187" t="inlineStr">
        <is>
          <t>SCA</t>
        </is>
      </c>
      <c r="G187" t="n">
        <v>1.1</v>
      </c>
      <c r="H187" t="n">
        <v>0</v>
      </c>
      <c r="I187" t="n">
        <v>1</v>
      </c>
      <c r="J187" t="n">
        <v>1</v>
      </c>
      <c r="K187" t="n">
        <v>0</v>
      </c>
      <c r="L187" t="n">
        <v>0</v>
      </c>
      <c r="M187" t="n">
        <v>0</v>
      </c>
      <c r="N187" t="n">
        <v>0</v>
      </c>
      <c r="O187" t="n">
        <v>1</v>
      </c>
      <c r="P187" t="n">
        <v>0</v>
      </c>
      <c r="Q187" t="n">
        <v>2</v>
      </c>
      <c r="R187" s="2" t="inlineStr">
        <is>
          <t>Skrovlig taggsvamp
Dropptaggsvamp</t>
        </is>
      </c>
      <c r="S187">
        <f>HYPERLINK("https://klasma.github.io/Logging_2260/artfynd/A 17861-2023 artfynd.xlsx", "A 17861-2023")</f>
        <v/>
      </c>
      <c r="T187">
        <f>HYPERLINK("https://klasma.github.io/Logging_2260/kartor/A 17861-2023 karta.png", "A 17861-2023")</f>
        <v/>
      </c>
      <c r="V187">
        <f>HYPERLINK("https://klasma.github.io/Logging_2260/klagomål/A 17861-2023 FSC-klagomål.docx", "A 17861-2023")</f>
        <v/>
      </c>
      <c r="W187">
        <f>HYPERLINK("https://klasma.github.io/Logging_2260/klagomålsmail/A 17861-2023 FSC-klagomål mail.docx", "A 17861-2023")</f>
        <v/>
      </c>
      <c r="X187">
        <f>HYPERLINK("https://klasma.github.io/Logging_2260/tillsyn/A 17861-2023 tillsynsbegäran.docx", "A 17861-2023")</f>
        <v/>
      </c>
      <c r="Y187">
        <f>HYPERLINK("https://klasma.github.io/Logging_2260/tillsynsmail/A 17861-2023 tillsynsbegäran mail.docx", "A 17861-2023")</f>
        <v/>
      </c>
    </row>
    <row r="188" ht="15" customHeight="1">
      <c r="A188" t="inlineStr">
        <is>
          <t>A 32659-2024</t>
        </is>
      </c>
      <c r="B188" s="1" t="n">
        <v>45513</v>
      </c>
      <c r="C188" s="1" t="n">
        <v>46127</v>
      </c>
      <c r="D188" t="inlineStr">
        <is>
          <t>VÄSTERNORRLANDS LÄN</t>
        </is>
      </c>
      <c r="E188" t="inlineStr">
        <is>
          <t>ÅNGE</t>
        </is>
      </c>
      <c r="F188" t="inlineStr">
        <is>
          <t>SCA</t>
        </is>
      </c>
      <c r="G188" t="n">
        <v>6.9</v>
      </c>
      <c r="H188" t="n">
        <v>0</v>
      </c>
      <c r="I188" t="n">
        <v>0</v>
      </c>
      <c r="J188" t="n">
        <v>2</v>
      </c>
      <c r="K188" t="n">
        <v>0</v>
      </c>
      <c r="L188" t="n">
        <v>0</v>
      </c>
      <c r="M188" t="n">
        <v>0</v>
      </c>
      <c r="N188" t="n">
        <v>0</v>
      </c>
      <c r="O188" t="n">
        <v>2</v>
      </c>
      <c r="P188" t="n">
        <v>0</v>
      </c>
      <c r="Q188" t="n">
        <v>2</v>
      </c>
      <c r="R188" s="2" t="inlineStr">
        <is>
          <t>Lunglav
Stjärntagging</t>
        </is>
      </c>
      <c r="S188">
        <f>HYPERLINK("https://klasma.github.io/Logging_2260/artfynd/A 32659-2024 artfynd.xlsx", "A 32659-2024")</f>
        <v/>
      </c>
      <c r="T188">
        <f>HYPERLINK("https://klasma.github.io/Logging_2260/kartor/A 32659-2024 karta.png", "A 32659-2024")</f>
        <v/>
      </c>
      <c r="V188">
        <f>HYPERLINK("https://klasma.github.io/Logging_2260/klagomål/A 32659-2024 FSC-klagomål.docx", "A 32659-2024")</f>
        <v/>
      </c>
      <c r="W188">
        <f>HYPERLINK("https://klasma.github.io/Logging_2260/klagomålsmail/A 32659-2024 FSC-klagomål mail.docx", "A 32659-2024")</f>
        <v/>
      </c>
      <c r="X188">
        <f>HYPERLINK("https://klasma.github.io/Logging_2260/tillsyn/A 32659-2024 tillsynsbegäran.docx", "A 32659-2024")</f>
        <v/>
      </c>
      <c r="Y188">
        <f>HYPERLINK("https://klasma.github.io/Logging_2260/tillsynsmail/A 32659-2024 tillsynsbegäran mail.docx", "A 32659-2024")</f>
        <v/>
      </c>
    </row>
    <row r="189" ht="15" customHeight="1">
      <c r="A189" t="inlineStr">
        <is>
          <t>A 21453-2025</t>
        </is>
      </c>
      <c r="B189" s="1" t="n">
        <v>45782.55311342593</v>
      </c>
      <c r="C189" s="1" t="n">
        <v>46127</v>
      </c>
      <c r="D189" t="inlineStr">
        <is>
          <t>VÄSTERNORRLANDS LÄN</t>
        </is>
      </c>
      <c r="E189" t="inlineStr">
        <is>
          <t>ÅNGE</t>
        </is>
      </c>
      <c r="F189" t="inlineStr">
        <is>
          <t>SCA</t>
        </is>
      </c>
      <c r="G189" t="n">
        <v>1</v>
      </c>
      <c r="H189" t="n">
        <v>0</v>
      </c>
      <c r="I189" t="n">
        <v>2</v>
      </c>
      <c r="J189" t="n">
        <v>0</v>
      </c>
      <c r="K189" t="n">
        <v>0</v>
      </c>
      <c r="L189" t="n">
        <v>0</v>
      </c>
      <c r="M189" t="n">
        <v>0</v>
      </c>
      <c r="N189" t="n">
        <v>0</v>
      </c>
      <c r="O189" t="n">
        <v>0</v>
      </c>
      <c r="P189" t="n">
        <v>0</v>
      </c>
      <c r="Q189" t="n">
        <v>2</v>
      </c>
      <c r="R189" s="2" t="inlineStr">
        <is>
          <t>Svart trolldruva
Tibast</t>
        </is>
      </c>
      <c r="S189">
        <f>HYPERLINK("https://klasma.github.io/Logging_2260/artfynd/A 21453-2025 artfynd.xlsx", "A 21453-2025")</f>
        <v/>
      </c>
      <c r="T189">
        <f>HYPERLINK("https://klasma.github.io/Logging_2260/kartor/A 21453-2025 karta.png", "A 21453-2025")</f>
        <v/>
      </c>
      <c r="V189">
        <f>HYPERLINK("https://klasma.github.io/Logging_2260/klagomål/A 21453-2025 FSC-klagomål.docx", "A 21453-2025")</f>
        <v/>
      </c>
      <c r="W189">
        <f>HYPERLINK("https://klasma.github.io/Logging_2260/klagomålsmail/A 21453-2025 FSC-klagomål mail.docx", "A 21453-2025")</f>
        <v/>
      </c>
      <c r="X189">
        <f>HYPERLINK("https://klasma.github.io/Logging_2260/tillsyn/A 21453-2025 tillsynsbegäran.docx", "A 21453-2025")</f>
        <v/>
      </c>
      <c r="Y189">
        <f>HYPERLINK("https://klasma.github.io/Logging_2260/tillsynsmail/A 21453-2025 tillsynsbegäran mail.docx", "A 21453-2025")</f>
        <v/>
      </c>
    </row>
    <row r="190" ht="15" customHeight="1">
      <c r="A190" t="inlineStr">
        <is>
          <t>A 20367-2022</t>
        </is>
      </c>
      <c r="B190" s="1" t="n">
        <v>44699</v>
      </c>
      <c r="C190" s="1" t="n">
        <v>46127</v>
      </c>
      <c r="D190" t="inlineStr">
        <is>
          <t>VÄSTERNORRLANDS LÄN</t>
        </is>
      </c>
      <c r="E190" t="inlineStr">
        <is>
          <t>ÅNGE</t>
        </is>
      </c>
      <c r="G190" t="n">
        <v>9.6</v>
      </c>
      <c r="H190" t="n">
        <v>1</v>
      </c>
      <c r="I190" t="n">
        <v>0</v>
      </c>
      <c r="J190" t="n">
        <v>0</v>
      </c>
      <c r="K190" t="n">
        <v>0</v>
      </c>
      <c r="L190" t="n">
        <v>0</v>
      </c>
      <c r="M190" t="n">
        <v>0</v>
      </c>
      <c r="N190" t="n">
        <v>0</v>
      </c>
      <c r="O190" t="n">
        <v>0</v>
      </c>
      <c r="P190" t="n">
        <v>0</v>
      </c>
      <c r="Q190" t="n">
        <v>1</v>
      </c>
      <c r="R190" s="2" t="inlineStr">
        <is>
          <t>Fläcknycklar</t>
        </is>
      </c>
      <c r="S190">
        <f>HYPERLINK("https://klasma.github.io/Logging_2260/artfynd/A 20367-2022 artfynd.xlsx", "A 20367-2022")</f>
        <v/>
      </c>
      <c r="T190">
        <f>HYPERLINK("https://klasma.github.io/Logging_2260/kartor/A 20367-2022 karta.png", "A 20367-2022")</f>
        <v/>
      </c>
      <c r="V190">
        <f>HYPERLINK("https://klasma.github.io/Logging_2260/klagomål/A 20367-2022 FSC-klagomål.docx", "A 20367-2022")</f>
        <v/>
      </c>
      <c r="W190">
        <f>HYPERLINK("https://klasma.github.io/Logging_2260/klagomålsmail/A 20367-2022 FSC-klagomål mail.docx", "A 20367-2022")</f>
        <v/>
      </c>
      <c r="X190">
        <f>HYPERLINK("https://klasma.github.io/Logging_2260/tillsyn/A 20367-2022 tillsynsbegäran.docx", "A 20367-2022")</f>
        <v/>
      </c>
      <c r="Y190">
        <f>HYPERLINK("https://klasma.github.io/Logging_2260/tillsynsmail/A 20367-2022 tillsynsbegäran mail.docx", "A 20367-2022")</f>
        <v/>
      </c>
    </row>
    <row r="191" ht="15" customHeight="1">
      <c r="A191" t="inlineStr">
        <is>
          <t>A 31136-2022</t>
        </is>
      </c>
      <c r="B191" s="1" t="n">
        <v>44770.40920138889</v>
      </c>
      <c r="C191" s="1" t="n">
        <v>46127</v>
      </c>
      <c r="D191" t="inlineStr">
        <is>
          <t>VÄSTERNORRLANDS LÄN</t>
        </is>
      </c>
      <c r="E191" t="inlineStr">
        <is>
          <t>ÅNGE</t>
        </is>
      </c>
      <c r="F191" t="inlineStr">
        <is>
          <t>Övriga Aktiebolag</t>
        </is>
      </c>
      <c r="G191" t="n">
        <v>4.4</v>
      </c>
      <c r="H191" t="n">
        <v>1</v>
      </c>
      <c r="I191" t="n">
        <v>0</v>
      </c>
      <c r="J191" t="n">
        <v>0</v>
      </c>
      <c r="K191" t="n">
        <v>0</v>
      </c>
      <c r="L191" t="n">
        <v>0</v>
      </c>
      <c r="M191" t="n">
        <v>0</v>
      </c>
      <c r="N191" t="n">
        <v>0</v>
      </c>
      <c r="O191" t="n">
        <v>0</v>
      </c>
      <c r="P191" t="n">
        <v>0</v>
      </c>
      <c r="Q191" t="n">
        <v>1</v>
      </c>
      <c r="R191" s="2" t="inlineStr">
        <is>
          <t>Tjäder</t>
        </is>
      </c>
      <c r="S191">
        <f>HYPERLINK("https://klasma.github.io/Logging_2260/artfynd/A 31136-2022 artfynd.xlsx", "A 31136-2022")</f>
        <v/>
      </c>
      <c r="T191">
        <f>HYPERLINK("https://klasma.github.io/Logging_2260/kartor/A 31136-2022 karta.png", "A 31136-2022")</f>
        <v/>
      </c>
      <c r="V191">
        <f>HYPERLINK("https://klasma.github.io/Logging_2260/klagomål/A 31136-2022 FSC-klagomål.docx", "A 31136-2022")</f>
        <v/>
      </c>
      <c r="W191">
        <f>HYPERLINK("https://klasma.github.io/Logging_2260/klagomålsmail/A 31136-2022 FSC-klagomål mail.docx", "A 31136-2022")</f>
        <v/>
      </c>
      <c r="X191">
        <f>HYPERLINK("https://klasma.github.io/Logging_2260/tillsyn/A 31136-2022 tillsynsbegäran.docx", "A 31136-2022")</f>
        <v/>
      </c>
      <c r="Y191">
        <f>HYPERLINK("https://klasma.github.io/Logging_2260/tillsynsmail/A 31136-2022 tillsynsbegäran mail.docx", "A 31136-2022")</f>
        <v/>
      </c>
      <c r="Z191">
        <f>HYPERLINK("https://klasma.github.io/Logging_2260/fåglar/A 31136-2022 prioriterade fågelarter.docx", "A 31136-2022")</f>
        <v/>
      </c>
    </row>
    <row r="192" ht="15" customHeight="1">
      <c r="A192" t="inlineStr">
        <is>
          <t>A 61479-2021</t>
        </is>
      </c>
      <c r="B192" s="1" t="n">
        <v>44500</v>
      </c>
      <c r="C192" s="1" t="n">
        <v>46127</v>
      </c>
      <c r="D192" t="inlineStr">
        <is>
          <t>VÄSTERNORRLANDS LÄN</t>
        </is>
      </c>
      <c r="E192" t="inlineStr">
        <is>
          <t>ÅNGE</t>
        </is>
      </c>
      <c r="F192" t="inlineStr">
        <is>
          <t>SCA</t>
        </is>
      </c>
      <c r="G192" t="n">
        <v>7.2</v>
      </c>
      <c r="H192" t="n">
        <v>1</v>
      </c>
      <c r="I192" t="n">
        <v>0</v>
      </c>
      <c r="J192" t="n">
        <v>0</v>
      </c>
      <c r="K192" t="n">
        <v>1</v>
      </c>
      <c r="L192" t="n">
        <v>0</v>
      </c>
      <c r="M192" t="n">
        <v>0</v>
      </c>
      <c r="N192" t="n">
        <v>0</v>
      </c>
      <c r="O192" t="n">
        <v>1</v>
      </c>
      <c r="P192" t="n">
        <v>1</v>
      </c>
      <c r="Q192" t="n">
        <v>1</v>
      </c>
      <c r="R192" s="2" t="inlineStr">
        <is>
          <t>Knärot</t>
        </is>
      </c>
      <c r="S192">
        <f>HYPERLINK("https://klasma.github.io/Logging_2260/artfynd/A 61479-2021 artfynd.xlsx", "A 61479-2021")</f>
        <v/>
      </c>
      <c r="T192">
        <f>HYPERLINK("https://klasma.github.io/Logging_2260/kartor/A 61479-2021 karta.png", "A 61479-2021")</f>
        <v/>
      </c>
      <c r="U192">
        <f>HYPERLINK("https://klasma.github.io/Logging_2260/knärot/A 61479-2021 karta knärot.png", "A 61479-2021")</f>
        <v/>
      </c>
      <c r="V192">
        <f>HYPERLINK("https://klasma.github.io/Logging_2260/klagomål/A 61479-2021 FSC-klagomål.docx", "A 61479-2021")</f>
        <v/>
      </c>
      <c r="W192">
        <f>HYPERLINK("https://klasma.github.io/Logging_2260/klagomålsmail/A 61479-2021 FSC-klagomål mail.docx", "A 61479-2021")</f>
        <v/>
      </c>
      <c r="X192">
        <f>HYPERLINK("https://klasma.github.io/Logging_2260/tillsyn/A 61479-2021 tillsynsbegäran.docx", "A 61479-2021")</f>
        <v/>
      </c>
      <c r="Y192">
        <f>HYPERLINK("https://klasma.github.io/Logging_2260/tillsynsmail/A 61479-2021 tillsynsbegäran mail.docx", "A 61479-2021")</f>
        <v/>
      </c>
    </row>
    <row r="193" ht="15" customHeight="1">
      <c r="A193" t="inlineStr">
        <is>
          <t>A 31578-2021</t>
        </is>
      </c>
      <c r="B193" s="1" t="n">
        <v>44369</v>
      </c>
      <c r="C193" s="1" t="n">
        <v>46127</v>
      </c>
      <c r="D193" t="inlineStr">
        <is>
          <t>VÄSTERNORRLANDS LÄN</t>
        </is>
      </c>
      <c r="E193" t="inlineStr">
        <is>
          <t>ÅNGE</t>
        </is>
      </c>
      <c r="G193" t="n">
        <v>25.8</v>
      </c>
      <c r="H193" t="n">
        <v>1</v>
      </c>
      <c r="I193" t="n">
        <v>0</v>
      </c>
      <c r="J193" t="n">
        <v>0</v>
      </c>
      <c r="K193" t="n">
        <v>1</v>
      </c>
      <c r="L193" t="n">
        <v>0</v>
      </c>
      <c r="M193" t="n">
        <v>0</v>
      </c>
      <c r="N193" t="n">
        <v>0</v>
      </c>
      <c r="O193" t="n">
        <v>1</v>
      </c>
      <c r="P193" t="n">
        <v>1</v>
      </c>
      <c r="Q193" t="n">
        <v>1</v>
      </c>
      <c r="R193" s="2" t="inlineStr">
        <is>
          <t>Knärot</t>
        </is>
      </c>
      <c r="S193">
        <f>HYPERLINK("https://klasma.github.io/Logging_2260/artfynd/A 31578-2021 artfynd.xlsx", "A 31578-2021")</f>
        <v/>
      </c>
      <c r="T193">
        <f>HYPERLINK("https://klasma.github.io/Logging_2260/kartor/A 31578-2021 karta.png", "A 31578-2021")</f>
        <v/>
      </c>
      <c r="U193">
        <f>HYPERLINK("https://klasma.github.io/Logging_2260/knärot/A 31578-2021 karta knärot.png", "A 31578-2021")</f>
        <v/>
      </c>
      <c r="V193">
        <f>HYPERLINK("https://klasma.github.io/Logging_2260/klagomål/A 31578-2021 FSC-klagomål.docx", "A 31578-2021")</f>
        <v/>
      </c>
      <c r="W193">
        <f>HYPERLINK("https://klasma.github.io/Logging_2260/klagomålsmail/A 31578-2021 FSC-klagomål mail.docx", "A 31578-2021")</f>
        <v/>
      </c>
      <c r="X193">
        <f>HYPERLINK("https://klasma.github.io/Logging_2260/tillsyn/A 31578-2021 tillsynsbegäran.docx", "A 31578-2021")</f>
        <v/>
      </c>
      <c r="Y193">
        <f>HYPERLINK("https://klasma.github.io/Logging_2260/tillsynsmail/A 31578-2021 tillsynsbegäran mail.docx", "A 31578-2021")</f>
        <v/>
      </c>
    </row>
    <row r="194" ht="15" customHeight="1">
      <c r="A194" t="inlineStr">
        <is>
          <t>A 35018-2021</t>
        </is>
      </c>
      <c r="B194" s="1" t="n">
        <v>44383.69549768518</v>
      </c>
      <c r="C194" s="1" t="n">
        <v>46127</v>
      </c>
      <c r="D194" t="inlineStr">
        <is>
          <t>VÄSTERNORRLANDS LÄN</t>
        </is>
      </c>
      <c r="E194" t="inlineStr">
        <is>
          <t>ÅNGE</t>
        </is>
      </c>
      <c r="F194" t="inlineStr">
        <is>
          <t>Sveaskog</t>
        </is>
      </c>
      <c r="G194" t="n">
        <v>9.5</v>
      </c>
      <c r="H194" t="n">
        <v>1</v>
      </c>
      <c r="I194" t="n">
        <v>0</v>
      </c>
      <c r="J194" t="n">
        <v>1</v>
      </c>
      <c r="K194" t="n">
        <v>0</v>
      </c>
      <c r="L194" t="n">
        <v>0</v>
      </c>
      <c r="M194" t="n">
        <v>0</v>
      </c>
      <c r="N194" t="n">
        <v>0</v>
      </c>
      <c r="O194" t="n">
        <v>1</v>
      </c>
      <c r="P194" t="n">
        <v>0</v>
      </c>
      <c r="Q194" t="n">
        <v>1</v>
      </c>
      <c r="R194" s="2" t="inlineStr">
        <is>
          <t>Utter</t>
        </is>
      </c>
      <c r="S194">
        <f>HYPERLINK("https://klasma.github.io/Logging_2260/artfynd/A 35018-2021 artfynd.xlsx", "A 35018-2021")</f>
        <v/>
      </c>
      <c r="T194">
        <f>HYPERLINK("https://klasma.github.io/Logging_2260/kartor/A 35018-2021 karta.png", "A 35018-2021")</f>
        <v/>
      </c>
      <c r="V194">
        <f>HYPERLINK("https://klasma.github.io/Logging_2260/klagomål/A 35018-2021 FSC-klagomål.docx", "A 35018-2021")</f>
        <v/>
      </c>
      <c r="W194">
        <f>HYPERLINK("https://klasma.github.io/Logging_2260/klagomålsmail/A 35018-2021 FSC-klagomål mail.docx", "A 35018-2021")</f>
        <v/>
      </c>
      <c r="X194">
        <f>HYPERLINK("https://klasma.github.io/Logging_2260/tillsyn/A 35018-2021 tillsynsbegäran.docx", "A 35018-2021")</f>
        <v/>
      </c>
      <c r="Y194">
        <f>HYPERLINK("https://klasma.github.io/Logging_2260/tillsynsmail/A 35018-2021 tillsynsbegäran mail.docx", "A 35018-2021")</f>
        <v/>
      </c>
    </row>
    <row r="195" ht="15" customHeight="1">
      <c r="A195" t="inlineStr">
        <is>
          <t>A 71366-2021</t>
        </is>
      </c>
      <c r="B195" s="1" t="n">
        <v>44539</v>
      </c>
      <c r="C195" s="1" t="n">
        <v>46127</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32457-2024</t>
        </is>
      </c>
      <c r="B196" s="1" t="n">
        <v>45512</v>
      </c>
      <c r="C196" s="1" t="n">
        <v>46127</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Ullticka</t>
        </is>
      </c>
      <c r="S196">
        <f>HYPERLINK("https://klasma.github.io/Logging_2260/artfynd/A 32457-2024 artfynd.xlsx", "A 32457-2024")</f>
        <v/>
      </c>
      <c r="T196">
        <f>HYPERLINK("https://klasma.github.io/Logging_2260/kartor/A 32457-2024 karta.png", "A 32457-2024")</f>
        <v/>
      </c>
      <c r="V196">
        <f>HYPERLINK("https://klasma.github.io/Logging_2260/klagomål/A 32457-2024 FSC-klagomål.docx", "A 32457-2024")</f>
        <v/>
      </c>
      <c r="W196">
        <f>HYPERLINK("https://klasma.github.io/Logging_2260/klagomålsmail/A 32457-2024 FSC-klagomål mail.docx", "A 32457-2024")</f>
        <v/>
      </c>
      <c r="X196">
        <f>HYPERLINK("https://klasma.github.io/Logging_2260/tillsyn/A 32457-2024 tillsynsbegäran.docx", "A 32457-2024")</f>
        <v/>
      </c>
      <c r="Y196">
        <f>HYPERLINK("https://klasma.github.io/Logging_2260/tillsynsmail/A 32457-2024 tillsynsbegäran mail.docx", "A 32457-2024")</f>
        <v/>
      </c>
    </row>
    <row r="197" ht="15" customHeight="1">
      <c r="A197" t="inlineStr">
        <is>
          <t>A 30774-2024</t>
        </is>
      </c>
      <c r="B197" s="1" t="n">
        <v>45496.949375</v>
      </c>
      <c r="C197" s="1" t="n">
        <v>46127</v>
      </c>
      <c r="D197" t="inlineStr">
        <is>
          <t>VÄSTERNORRLANDS LÄN</t>
        </is>
      </c>
      <c r="E197" t="inlineStr">
        <is>
          <t>ÅNGE</t>
        </is>
      </c>
      <c r="F197" t="inlineStr">
        <is>
          <t>SCA</t>
        </is>
      </c>
      <c r="G197" t="n">
        <v>2.2</v>
      </c>
      <c r="H197" t="n">
        <v>1</v>
      </c>
      <c r="I197" t="n">
        <v>0</v>
      </c>
      <c r="J197" t="n">
        <v>0</v>
      </c>
      <c r="K197" t="n">
        <v>0</v>
      </c>
      <c r="L197" t="n">
        <v>0</v>
      </c>
      <c r="M197" t="n">
        <v>0</v>
      </c>
      <c r="N197" t="n">
        <v>0</v>
      </c>
      <c r="O197" t="n">
        <v>0</v>
      </c>
      <c r="P197" t="n">
        <v>0</v>
      </c>
      <c r="Q197" t="n">
        <v>1</v>
      </c>
      <c r="R197" s="2" t="inlineStr">
        <is>
          <t>Tjäder</t>
        </is>
      </c>
      <c r="S197">
        <f>HYPERLINK("https://klasma.github.io/Logging_2260/artfynd/A 30774-2024 artfynd.xlsx", "A 30774-2024")</f>
        <v/>
      </c>
      <c r="T197">
        <f>HYPERLINK("https://klasma.github.io/Logging_2260/kartor/A 30774-2024 karta.png", "A 30774-2024")</f>
        <v/>
      </c>
      <c r="V197">
        <f>HYPERLINK("https://klasma.github.io/Logging_2260/klagomål/A 30774-2024 FSC-klagomål.docx", "A 30774-2024")</f>
        <v/>
      </c>
      <c r="W197">
        <f>HYPERLINK("https://klasma.github.io/Logging_2260/klagomålsmail/A 30774-2024 FSC-klagomål mail.docx", "A 30774-2024")</f>
        <v/>
      </c>
      <c r="X197">
        <f>HYPERLINK("https://klasma.github.io/Logging_2260/tillsyn/A 30774-2024 tillsynsbegäran.docx", "A 30774-2024")</f>
        <v/>
      </c>
      <c r="Y197">
        <f>HYPERLINK("https://klasma.github.io/Logging_2260/tillsynsmail/A 30774-2024 tillsynsbegäran mail.docx", "A 30774-2024")</f>
        <v/>
      </c>
      <c r="Z197">
        <f>HYPERLINK("https://klasma.github.io/Logging_2260/fåglar/A 30774-2024 prioriterade fågelarter.docx", "A 30774-2024")</f>
        <v/>
      </c>
    </row>
    <row r="198" ht="15" customHeight="1">
      <c r="A198" t="inlineStr">
        <is>
          <t>A 23490-2025</t>
        </is>
      </c>
      <c r="B198" s="1" t="n">
        <v>45792.46907407408</v>
      </c>
      <c r="C198" s="1" t="n">
        <v>46127</v>
      </c>
      <c r="D198" t="inlineStr">
        <is>
          <t>VÄSTERNORRLANDS LÄN</t>
        </is>
      </c>
      <c r="E198" t="inlineStr">
        <is>
          <t>ÅNGE</t>
        </is>
      </c>
      <c r="F198" t="inlineStr">
        <is>
          <t>SCA</t>
        </is>
      </c>
      <c r="G198" t="n">
        <v>3.3</v>
      </c>
      <c r="H198" t="n">
        <v>0</v>
      </c>
      <c r="I198" t="n">
        <v>0</v>
      </c>
      <c r="J198" t="n">
        <v>1</v>
      </c>
      <c r="K198" t="n">
        <v>0</v>
      </c>
      <c r="L198" t="n">
        <v>0</v>
      </c>
      <c r="M198" t="n">
        <v>0</v>
      </c>
      <c r="N198" t="n">
        <v>0</v>
      </c>
      <c r="O198" t="n">
        <v>1</v>
      </c>
      <c r="P198" t="n">
        <v>0</v>
      </c>
      <c r="Q198" t="n">
        <v>1</v>
      </c>
      <c r="R198" s="2" t="inlineStr">
        <is>
          <t>Garnlav</t>
        </is>
      </c>
      <c r="S198">
        <f>HYPERLINK("https://klasma.github.io/Logging_2260/artfynd/A 23490-2025 artfynd.xlsx", "A 23490-2025")</f>
        <v/>
      </c>
      <c r="T198">
        <f>HYPERLINK("https://klasma.github.io/Logging_2260/kartor/A 23490-2025 karta.png", "A 23490-2025")</f>
        <v/>
      </c>
      <c r="V198">
        <f>HYPERLINK("https://klasma.github.io/Logging_2260/klagomål/A 23490-2025 FSC-klagomål.docx", "A 23490-2025")</f>
        <v/>
      </c>
      <c r="W198">
        <f>HYPERLINK("https://klasma.github.io/Logging_2260/klagomålsmail/A 23490-2025 FSC-klagomål mail.docx", "A 23490-2025")</f>
        <v/>
      </c>
      <c r="X198">
        <f>HYPERLINK("https://klasma.github.io/Logging_2260/tillsyn/A 23490-2025 tillsynsbegäran.docx", "A 23490-2025")</f>
        <v/>
      </c>
      <c r="Y198">
        <f>HYPERLINK("https://klasma.github.io/Logging_2260/tillsynsmail/A 23490-2025 tillsynsbegäran mail.docx", "A 23490-2025")</f>
        <v/>
      </c>
    </row>
    <row r="199" ht="15" customHeight="1">
      <c r="A199" t="inlineStr">
        <is>
          <t>A 25332-2025</t>
        </is>
      </c>
      <c r="B199" s="1" t="n">
        <v>45800.59418981482</v>
      </c>
      <c r="C199" s="1" t="n">
        <v>46127</v>
      </c>
      <c r="D199" t="inlineStr">
        <is>
          <t>VÄSTERNORRLANDS LÄN</t>
        </is>
      </c>
      <c r="E199" t="inlineStr">
        <is>
          <t>ÅNGE</t>
        </is>
      </c>
      <c r="F199" t="inlineStr">
        <is>
          <t>SCA</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HYPERLINK("https://klasma.github.io/Logging_2260/artfynd/A 25332-2025 artfynd.xlsx", "A 25332-2025")</f>
        <v/>
      </c>
      <c r="T199">
        <f>HYPERLINK("https://klasma.github.io/Logging_2260/kartor/A 25332-2025 karta.png", "A 25332-2025")</f>
        <v/>
      </c>
      <c r="V199">
        <f>HYPERLINK("https://klasma.github.io/Logging_2260/klagomål/A 25332-2025 FSC-klagomål.docx", "A 25332-2025")</f>
        <v/>
      </c>
      <c r="W199">
        <f>HYPERLINK("https://klasma.github.io/Logging_2260/klagomålsmail/A 25332-2025 FSC-klagomål mail.docx", "A 25332-2025")</f>
        <v/>
      </c>
      <c r="X199">
        <f>HYPERLINK("https://klasma.github.io/Logging_2260/tillsyn/A 25332-2025 tillsynsbegäran.docx", "A 25332-2025")</f>
        <v/>
      </c>
      <c r="Y199">
        <f>HYPERLINK("https://klasma.github.io/Logging_2260/tillsynsmail/A 25332-2025 tillsynsbegäran mail.docx", "A 25332-2025")</f>
        <v/>
      </c>
    </row>
    <row r="200" ht="15" customHeight="1">
      <c r="A200" t="inlineStr">
        <is>
          <t>A 39933-2022</t>
        </is>
      </c>
      <c r="B200" s="1" t="n">
        <v>44819</v>
      </c>
      <c r="C200" s="1" t="n">
        <v>46127</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54386-2024</t>
        </is>
      </c>
      <c r="B201" s="1" t="n">
        <v>45617.44822916666</v>
      </c>
      <c r="C201" s="1" t="n">
        <v>46127</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Reliktbock</t>
        </is>
      </c>
      <c r="S201">
        <f>HYPERLINK("https://klasma.github.io/Logging_2260/artfynd/A 54386-2024 artfynd.xlsx", "A 54386-2024")</f>
        <v/>
      </c>
      <c r="T201">
        <f>HYPERLINK("https://klasma.github.io/Logging_2260/kartor/A 54386-2024 karta.png", "A 54386-2024")</f>
        <v/>
      </c>
      <c r="V201">
        <f>HYPERLINK("https://klasma.github.io/Logging_2260/klagomål/A 54386-2024 FSC-klagomål.docx", "A 54386-2024")</f>
        <v/>
      </c>
      <c r="W201">
        <f>HYPERLINK("https://klasma.github.io/Logging_2260/klagomålsmail/A 54386-2024 FSC-klagomål mail.docx", "A 54386-2024")</f>
        <v/>
      </c>
      <c r="X201">
        <f>HYPERLINK("https://klasma.github.io/Logging_2260/tillsyn/A 54386-2024 tillsynsbegäran.docx", "A 54386-2024")</f>
        <v/>
      </c>
      <c r="Y201">
        <f>HYPERLINK("https://klasma.github.io/Logging_2260/tillsynsmail/A 54386-2024 tillsynsbegäran mail.docx", "A 54386-2024")</f>
        <v/>
      </c>
    </row>
    <row r="202" ht="15" customHeight="1">
      <c r="A202" t="inlineStr">
        <is>
          <t>A 42524-2025</t>
        </is>
      </c>
      <c r="B202" s="1" t="n">
        <v>45905.55262731481</v>
      </c>
      <c r="C202" s="1" t="n">
        <v>46127</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43590-2025</t>
        </is>
      </c>
      <c r="B203" s="1" t="n">
        <v>45911.65665509259</v>
      </c>
      <c r="C203" s="1" t="n">
        <v>46127</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38606-2024</t>
        </is>
      </c>
      <c r="B204" s="1" t="n">
        <v>45546.67804398148</v>
      </c>
      <c r="C204" s="1" t="n">
        <v>46127</v>
      </c>
      <c r="D204" t="inlineStr">
        <is>
          <t>VÄSTERNORRLANDS LÄN</t>
        </is>
      </c>
      <c r="E204" t="inlineStr">
        <is>
          <t>ÅNGE</t>
        </is>
      </c>
      <c r="F204" t="inlineStr">
        <is>
          <t>SCA</t>
        </is>
      </c>
      <c r="G204" t="n">
        <v>2.4</v>
      </c>
      <c r="H204" t="n">
        <v>0</v>
      </c>
      <c r="I204" t="n">
        <v>0</v>
      </c>
      <c r="J204" t="n">
        <v>1</v>
      </c>
      <c r="K204" t="n">
        <v>0</v>
      </c>
      <c r="L204" t="n">
        <v>0</v>
      </c>
      <c r="M204" t="n">
        <v>0</v>
      </c>
      <c r="N204" t="n">
        <v>0</v>
      </c>
      <c r="O204" t="n">
        <v>1</v>
      </c>
      <c r="P204" t="n">
        <v>0</v>
      </c>
      <c r="Q204" t="n">
        <v>1</v>
      </c>
      <c r="R204" s="2" t="inlineStr">
        <is>
          <t>Ullticka</t>
        </is>
      </c>
      <c r="S204">
        <f>HYPERLINK("https://klasma.github.io/Logging_2260/artfynd/A 38606-2024 artfynd.xlsx", "A 38606-2024")</f>
        <v/>
      </c>
      <c r="T204">
        <f>HYPERLINK("https://klasma.github.io/Logging_2260/kartor/A 38606-2024 karta.png", "A 38606-2024")</f>
        <v/>
      </c>
      <c r="V204">
        <f>HYPERLINK("https://klasma.github.io/Logging_2260/klagomål/A 38606-2024 FSC-klagomål.docx", "A 38606-2024")</f>
        <v/>
      </c>
      <c r="W204">
        <f>HYPERLINK("https://klasma.github.io/Logging_2260/klagomålsmail/A 38606-2024 FSC-klagomål mail.docx", "A 38606-2024")</f>
        <v/>
      </c>
      <c r="X204">
        <f>HYPERLINK("https://klasma.github.io/Logging_2260/tillsyn/A 38606-2024 tillsynsbegäran.docx", "A 38606-2024")</f>
        <v/>
      </c>
      <c r="Y204">
        <f>HYPERLINK("https://klasma.github.io/Logging_2260/tillsynsmail/A 38606-2024 tillsynsbegäran mail.docx", "A 38606-2024")</f>
        <v/>
      </c>
    </row>
    <row r="205" ht="15" customHeight="1">
      <c r="A205" t="inlineStr">
        <is>
          <t>A 46094-2025</t>
        </is>
      </c>
      <c r="B205" s="1" t="n">
        <v>45924</v>
      </c>
      <c r="C205" s="1" t="n">
        <v>46127</v>
      </c>
      <c r="D205" t="inlineStr">
        <is>
          <t>VÄSTERNORRLANDS LÄN</t>
        </is>
      </c>
      <c r="E205" t="inlineStr">
        <is>
          <t>ÅNGE</t>
        </is>
      </c>
      <c r="F205" t="inlineStr">
        <is>
          <t>SCA</t>
        </is>
      </c>
      <c r="G205" t="n">
        <v>1.1</v>
      </c>
      <c r="H205" t="n">
        <v>1</v>
      </c>
      <c r="I205" t="n">
        <v>0</v>
      </c>
      <c r="J205" t="n">
        <v>1</v>
      </c>
      <c r="K205" t="n">
        <v>0</v>
      </c>
      <c r="L205" t="n">
        <v>0</v>
      </c>
      <c r="M205" t="n">
        <v>0</v>
      </c>
      <c r="N205" t="n">
        <v>0</v>
      </c>
      <c r="O205" t="n">
        <v>1</v>
      </c>
      <c r="P205" t="n">
        <v>0</v>
      </c>
      <c r="Q205" t="n">
        <v>1</v>
      </c>
      <c r="R205" s="2" t="inlineStr">
        <is>
          <t>Utter</t>
        </is>
      </c>
      <c r="S205">
        <f>HYPERLINK("https://klasma.github.io/Logging_2260/artfynd/A 46094-2025 artfynd.xlsx", "A 46094-2025")</f>
        <v/>
      </c>
      <c r="T205">
        <f>HYPERLINK("https://klasma.github.io/Logging_2260/kartor/A 46094-2025 karta.png", "A 46094-2025")</f>
        <v/>
      </c>
      <c r="V205">
        <f>HYPERLINK("https://klasma.github.io/Logging_2260/klagomål/A 46094-2025 FSC-klagomål.docx", "A 46094-2025")</f>
        <v/>
      </c>
      <c r="W205">
        <f>HYPERLINK("https://klasma.github.io/Logging_2260/klagomålsmail/A 46094-2025 FSC-klagomål mail.docx", "A 46094-2025")</f>
        <v/>
      </c>
      <c r="X205">
        <f>HYPERLINK("https://klasma.github.io/Logging_2260/tillsyn/A 46094-2025 tillsynsbegäran.docx", "A 46094-2025")</f>
        <v/>
      </c>
      <c r="Y205">
        <f>HYPERLINK("https://klasma.github.io/Logging_2260/tillsynsmail/A 46094-2025 tillsynsbegäran mail.docx", "A 46094-2025")</f>
        <v/>
      </c>
    </row>
    <row r="206" ht="15" customHeight="1">
      <c r="A206" t="inlineStr">
        <is>
          <t>A 27025-2025</t>
        </is>
      </c>
      <c r="B206" s="1" t="n">
        <v>45811</v>
      </c>
      <c r="C206" s="1" t="n">
        <v>46127</v>
      </c>
      <c r="D206" t="inlineStr">
        <is>
          <t>VÄSTERNORRLANDS LÄN</t>
        </is>
      </c>
      <c r="E206" t="inlineStr">
        <is>
          <t>ÅNGE</t>
        </is>
      </c>
      <c r="G206" t="n">
        <v>25.5</v>
      </c>
      <c r="H206" t="n">
        <v>0</v>
      </c>
      <c r="I206" t="n">
        <v>0</v>
      </c>
      <c r="J206" t="n">
        <v>1</v>
      </c>
      <c r="K206" t="n">
        <v>0</v>
      </c>
      <c r="L206" t="n">
        <v>0</v>
      </c>
      <c r="M206" t="n">
        <v>0</v>
      </c>
      <c r="N206" t="n">
        <v>0</v>
      </c>
      <c r="O206" t="n">
        <v>1</v>
      </c>
      <c r="P206" t="n">
        <v>0</v>
      </c>
      <c r="Q206" t="n">
        <v>1</v>
      </c>
      <c r="R206" s="2" t="inlineStr">
        <is>
          <t>Garnlav</t>
        </is>
      </c>
      <c r="S206">
        <f>HYPERLINK("https://klasma.github.io/Logging_2260/artfynd/A 27025-2025 artfynd.xlsx", "A 27025-2025")</f>
        <v/>
      </c>
      <c r="T206">
        <f>HYPERLINK("https://klasma.github.io/Logging_2260/kartor/A 27025-2025 karta.png", "A 27025-2025")</f>
        <v/>
      </c>
      <c r="U206">
        <f>HYPERLINK("https://klasma.github.io/Logging_2260/knärot/A 27025-2025 karta knärot.png", "A 27025-2025")</f>
        <v/>
      </c>
      <c r="V206">
        <f>HYPERLINK("https://klasma.github.io/Logging_2260/klagomål/A 27025-2025 FSC-klagomål.docx", "A 27025-2025")</f>
        <v/>
      </c>
      <c r="W206">
        <f>HYPERLINK("https://klasma.github.io/Logging_2260/klagomålsmail/A 27025-2025 FSC-klagomål mail.docx", "A 27025-2025")</f>
        <v/>
      </c>
      <c r="X206">
        <f>HYPERLINK("https://klasma.github.io/Logging_2260/tillsyn/A 27025-2025 tillsynsbegäran.docx", "A 27025-2025")</f>
        <v/>
      </c>
      <c r="Y206">
        <f>HYPERLINK("https://klasma.github.io/Logging_2260/tillsynsmail/A 27025-2025 tillsynsbegäran mail.docx", "A 27025-2025")</f>
        <v/>
      </c>
    </row>
    <row r="207" ht="15" customHeight="1">
      <c r="A207" t="inlineStr">
        <is>
          <t>A 46829-2025</t>
        </is>
      </c>
      <c r="B207" s="1" t="n">
        <v>45927.34513888889</v>
      </c>
      <c r="C207" s="1" t="n">
        <v>46127</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58534-2025</t>
        </is>
      </c>
      <c r="B208" s="1" t="n">
        <v>45985.80396990741</v>
      </c>
      <c r="C208" s="1" t="n">
        <v>46127</v>
      </c>
      <c r="D208" t="inlineStr">
        <is>
          <t>VÄSTERNORRLANDS LÄN</t>
        </is>
      </c>
      <c r="E208" t="inlineStr">
        <is>
          <t>ÅNGE</t>
        </is>
      </c>
      <c r="F208" t="inlineStr">
        <is>
          <t>Holmen skog AB</t>
        </is>
      </c>
      <c r="G208" t="n">
        <v>2.2</v>
      </c>
      <c r="H208" t="n">
        <v>0</v>
      </c>
      <c r="I208" t="n">
        <v>0</v>
      </c>
      <c r="J208" t="n">
        <v>1</v>
      </c>
      <c r="K208" t="n">
        <v>0</v>
      </c>
      <c r="L208" t="n">
        <v>0</v>
      </c>
      <c r="M208" t="n">
        <v>0</v>
      </c>
      <c r="N208" t="n">
        <v>0</v>
      </c>
      <c r="O208" t="n">
        <v>1</v>
      </c>
      <c r="P208" t="n">
        <v>0</v>
      </c>
      <c r="Q208" t="n">
        <v>1</v>
      </c>
      <c r="R208" s="2" t="inlineStr">
        <is>
          <t>Ullticka</t>
        </is>
      </c>
      <c r="S208">
        <f>HYPERLINK("https://klasma.github.io/Logging_2260/artfynd/A 58534-2025 artfynd.xlsx", "A 58534-2025")</f>
        <v/>
      </c>
      <c r="T208">
        <f>HYPERLINK("https://klasma.github.io/Logging_2260/kartor/A 58534-2025 karta.png", "A 58534-2025")</f>
        <v/>
      </c>
      <c r="V208">
        <f>HYPERLINK("https://klasma.github.io/Logging_2260/klagomål/A 58534-2025 FSC-klagomål.docx", "A 58534-2025")</f>
        <v/>
      </c>
      <c r="W208">
        <f>HYPERLINK("https://klasma.github.io/Logging_2260/klagomålsmail/A 58534-2025 FSC-klagomål mail.docx", "A 58534-2025")</f>
        <v/>
      </c>
      <c r="X208">
        <f>HYPERLINK("https://klasma.github.io/Logging_2260/tillsyn/A 58534-2025 tillsynsbegäran.docx", "A 58534-2025")</f>
        <v/>
      </c>
      <c r="Y208">
        <f>HYPERLINK("https://klasma.github.io/Logging_2260/tillsynsmail/A 58534-2025 tillsynsbegäran mail.docx", "A 58534-2025")</f>
        <v/>
      </c>
    </row>
    <row r="209" ht="15" customHeight="1">
      <c r="A209" t="inlineStr">
        <is>
          <t>A 47857-2025</t>
        </is>
      </c>
      <c r="B209" s="1" t="n">
        <v>45932.4068287037</v>
      </c>
      <c r="C209" s="1" t="n">
        <v>46127</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46127</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50460-2025</t>
        </is>
      </c>
      <c r="B211" s="1" t="n">
        <v>45945.345</v>
      </c>
      <c r="C211" s="1" t="n">
        <v>46127</v>
      </c>
      <c r="D211" t="inlineStr">
        <is>
          <t>VÄSTERNORRLANDS LÄN</t>
        </is>
      </c>
      <c r="E211" t="inlineStr">
        <is>
          <t>ÅNGE</t>
        </is>
      </c>
      <c r="F211" t="inlineStr">
        <is>
          <t>SCA</t>
        </is>
      </c>
      <c r="G211" t="n">
        <v>2.3</v>
      </c>
      <c r="H211" t="n">
        <v>0</v>
      </c>
      <c r="I211" t="n">
        <v>0</v>
      </c>
      <c r="J211" t="n">
        <v>1</v>
      </c>
      <c r="K211" t="n">
        <v>0</v>
      </c>
      <c r="L211" t="n">
        <v>0</v>
      </c>
      <c r="M211" t="n">
        <v>0</v>
      </c>
      <c r="N211" t="n">
        <v>0</v>
      </c>
      <c r="O211" t="n">
        <v>1</v>
      </c>
      <c r="P211" t="n">
        <v>0</v>
      </c>
      <c r="Q211" t="n">
        <v>1</v>
      </c>
      <c r="R211" s="2" t="inlineStr">
        <is>
          <t>Skogshare</t>
        </is>
      </c>
      <c r="S211">
        <f>HYPERLINK("https://klasma.github.io/Logging_2260/artfynd/A 50460-2025 artfynd.xlsx", "A 50460-2025")</f>
        <v/>
      </c>
      <c r="T211">
        <f>HYPERLINK("https://klasma.github.io/Logging_2260/kartor/A 50460-2025 karta.png", "A 50460-2025")</f>
        <v/>
      </c>
      <c r="V211">
        <f>HYPERLINK("https://klasma.github.io/Logging_2260/klagomål/A 50460-2025 FSC-klagomål.docx", "A 50460-2025")</f>
        <v/>
      </c>
      <c r="W211">
        <f>HYPERLINK("https://klasma.github.io/Logging_2260/klagomålsmail/A 50460-2025 FSC-klagomål mail.docx", "A 50460-2025")</f>
        <v/>
      </c>
      <c r="X211">
        <f>HYPERLINK("https://klasma.github.io/Logging_2260/tillsyn/A 50460-2025 tillsynsbegäran.docx", "A 50460-2025")</f>
        <v/>
      </c>
      <c r="Y211">
        <f>HYPERLINK("https://klasma.github.io/Logging_2260/tillsynsmail/A 50460-2025 tillsynsbegäran mail.docx", "A 50460-2025")</f>
        <v/>
      </c>
    </row>
    <row r="212" ht="15" customHeight="1">
      <c r="A212" t="inlineStr">
        <is>
          <t>A 35648-2025</t>
        </is>
      </c>
      <c r="B212" s="1" t="n">
        <v>45859.51670138889</v>
      </c>
      <c r="C212" s="1" t="n">
        <v>46127</v>
      </c>
      <c r="D212" t="inlineStr">
        <is>
          <t>VÄSTERNORRLANDS LÄN</t>
        </is>
      </c>
      <c r="E212" t="inlineStr">
        <is>
          <t>ÅNGE</t>
        </is>
      </c>
      <c r="F212" t="inlineStr">
        <is>
          <t>Sveaskog</t>
        </is>
      </c>
      <c r="G212" t="n">
        <v>9.1</v>
      </c>
      <c r="H212" t="n">
        <v>0</v>
      </c>
      <c r="I212" t="n">
        <v>0</v>
      </c>
      <c r="J212" t="n">
        <v>1</v>
      </c>
      <c r="K212" t="n">
        <v>0</v>
      </c>
      <c r="L212" t="n">
        <v>0</v>
      </c>
      <c r="M212" t="n">
        <v>0</v>
      </c>
      <c r="N212" t="n">
        <v>0</v>
      </c>
      <c r="O212" t="n">
        <v>1</v>
      </c>
      <c r="P212" t="n">
        <v>0</v>
      </c>
      <c r="Q212" t="n">
        <v>1</v>
      </c>
      <c r="R212" s="2" t="inlineStr">
        <is>
          <t>Lunglav</t>
        </is>
      </c>
      <c r="S212">
        <f>HYPERLINK("https://klasma.github.io/Logging_2260/artfynd/A 35648-2025 artfynd.xlsx", "A 35648-2025")</f>
        <v/>
      </c>
      <c r="T212">
        <f>HYPERLINK("https://klasma.github.io/Logging_2260/kartor/A 35648-2025 karta.png", "A 35648-2025")</f>
        <v/>
      </c>
      <c r="V212">
        <f>HYPERLINK("https://klasma.github.io/Logging_2260/klagomål/A 35648-2025 FSC-klagomål.docx", "A 35648-2025")</f>
        <v/>
      </c>
      <c r="W212">
        <f>HYPERLINK("https://klasma.github.io/Logging_2260/klagomålsmail/A 35648-2025 FSC-klagomål mail.docx", "A 35648-2025")</f>
        <v/>
      </c>
      <c r="X212">
        <f>HYPERLINK("https://klasma.github.io/Logging_2260/tillsyn/A 35648-2025 tillsynsbegäran.docx", "A 35648-2025")</f>
        <v/>
      </c>
      <c r="Y212">
        <f>HYPERLINK("https://klasma.github.io/Logging_2260/tillsynsmail/A 35648-2025 tillsynsbegäran mail.docx", "A 35648-2025")</f>
        <v/>
      </c>
    </row>
    <row r="213" ht="15" customHeight="1">
      <c r="A213" t="inlineStr">
        <is>
          <t>A 35839-2025</t>
        </is>
      </c>
      <c r="B213" s="1" t="n">
        <v>45861.53943287037</v>
      </c>
      <c r="C213" s="1" t="n">
        <v>46127</v>
      </c>
      <c r="D213" t="inlineStr">
        <is>
          <t>VÄSTERNORRLANDS LÄN</t>
        </is>
      </c>
      <c r="E213" t="inlineStr">
        <is>
          <t>ÅNGE</t>
        </is>
      </c>
      <c r="F213" t="inlineStr">
        <is>
          <t>Sveaskog</t>
        </is>
      </c>
      <c r="G213" t="n">
        <v>7.9</v>
      </c>
      <c r="H213" t="n">
        <v>0</v>
      </c>
      <c r="I213" t="n">
        <v>0</v>
      </c>
      <c r="J213" t="n">
        <v>1</v>
      </c>
      <c r="K213" t="n">
        <v>0</v>
      </c>
      <c r="L213" t="n">
        <v>0</v>
      </c>
      <c r="M213" t="n">
        <v>0</v>
      </c>
      <c r="N213" t="n">
        <v>0</v>
      </c>
      <c r="O213" t="n">
        <v>1</v>
      </c>
      <c r="P213" t="n">
        <v>0</v>
      </c>
      <c r="Q213" t="n">
        <v>1</v>
      </c>
      <c r="R213" s="2" t="inlineStr">
        <is>
          <t>Lunglav</t>
        </is>
      </c>
      <c r="S213">
        <f>HYPERLINK("https://klasma.github.io/Logging_2260/artfynd/A 35839-2025 artfynd.xlsx", "A 35839-2025")</f>
        <v/>
      </c>
      <c r="T213">
        <f>HYPERLINK("https://klasma.github.io/Logging_2260/kartor/A 35839-2025 karta.png", "A 35839-2025")</f>
        <v/>
      </c>
      <c r="V213">
        <f>HYPERLINK("https://klasma.github.io/Logging_2260/klagomål/A 35839-2025 FSC-klagomål.docx", "A 35839-2025")</f>
        <v/>
      </c>
      <c r="W213">
        <f>HYPERLINK("https://klasma.github.io/Logging_2260/klagomålsmail/A 35839-2025 FSC-klagomål mail.docx", "A 35839-2025")</f>
        <v/>
      </c>
      <c r="X213">
        <f>HYPERLINK("https://klasma.github.io/Logging_2260/tillsyn/A 35839-2025 tillsynsbegäran.docx", "A 35839-2025")</f>
        <v/>
      </c>
      <c r="Y213">
        <f>HYPERLINK("https://klasma.github.io/Logging_2260/tillsynsmail/A 35839-2025 tillsynsbegäran mail.docx", "A 35839-2025")</f>
        <v/>
      </c>
    </row>
    <row r="214" ht="15" customHeight="1">
      <c r="A214" t="inlineStr">
        <is>
          <t>A 64510-2023</t>
        </is>
      </c>
      <c r="B214" s="1" t="n">
        <v>45281</v>
      </c>
      <c r="C214" s="1" t="n">
        <v>46127</v>
      </c>
      <c r="D214" t="inlineStr">
        <is>
          <t>VÄSTERNORRLANDS LÄN</t>
        </is>
      </c>
      <c r="E214" t="inlineStr">
        <is>
          <t>ÅNGE</t>
        </is>
      </c>
      <c r="G214" t="n">
        <v>3.7</v>
      </c>
      <c r="H214" t="n">
        <v>0</v>
      </c>
      <c r="I214" t="n">
        <v>1</v>
      </c>
      <c r="J214" t="n">
        <v>0</v>
      </c>
      <c r="K214" t="n">
        <v>0</v>
      </c>
      <c r="L214" t="n">
        <v>0</v>
      </c>
      <c r="M214" t="n">
        <v>0</v>
      </c>
      <c r="N214" t="n">
        <v>0</v>
      </c>
      <c r="O214" t="n">
        <v>0</v>
      </c>
      <c r="P214" t="n">
        <v>0</v>
      </c>
      <c r="Q214" t="n">
        <v>1</v>
      </c>
      <c r="R214" s="2" t="inlineStr">
        <is>
          <t>Dropptaggsvamp</t>
        </is>
      </c>
      <c r="S214">
        <f>HYPERLINK("https://klasma.github.io/Logging_2260/artfynd/A 64510-2023 artfynd.xlsx", "A 64510-2023")</f>
        <v/>
      </c>
      <c r="T214">
        <f>HYPERLINK("https://klasma.github.io/Logging_2260/kartor/A 64510-2023 karta.png", "A 64510-2023")</f>
        <v/>
      </c>
      <c r="V214">
        <f>HYPERLINK("https://klasma.github.io/Logging_2260/klagomål/A 64510-2023 FSC-klagomål.docx", "A 64510-2023")</f>
        <v/>
      </c>
      <c r="W214">
        <f>HYPERLINK("https://klasma.github.io/Logging_2260/klagomålsmail/A 64510-2023 FSC-klagomål mail.docx", "A 64510-2023")</f>
        <v/>
      </c>
      <c r="X214">
        <f>HYPERLINK("https://klasma.github.io/Logging_2260/tillsyn/A 64510-2023 tillsynsbegäran.docx", "A 64510-2023")</f>
        <v/>
      </c>
      <c r="Y214">
        <f>HYPERLINK("https://klasma.github.io/Logging_2260/tillsynsmail/A 64510-2023 tillsynsbegäran mail.docx", "A 64510-2023")</f>
        <v/>
      </c>
    </row>
    <row r="215" ht="15" customHeight="1">
      <c r="A215" t="inlineStr">
        <is>
          <t>A 24798-2024</t>
        </is>
      </c>
      <c r="B215" s="1" t="n">
        <v>45460.95277777778</v>
      </c>
      <c r="C215" s="1" t="n">
        <v>46127</v>
      </c>
      <c r="D215" t="inlineStr">
        <is>
          <t>VÄSTERNORRLANDS LÄN</t>
        </is>
      </c>
      <c r="E215" t="inlineStr">
        <is>
          <t>ÅNGE</t>
        </is>
      </c>
      <c r="F215" t="inlineStr">
        <is>
          <t>SCA</t>
        </is>
      </c>
      <c r="G215" t="n">
        <v>1.3</v>
      </c>
      <c r="H215" t="n">
        <v>0</v>
      </c>
      <c r="I215" t="n">
        <v>0</v>
      </c>
      <c r="J215" t="n">
        <v>1</v>
      </c>
      <c r="K215" t="n">
        <v>0</v>
      </c>
      <c r="L215" t="n">
        <v>0</v>
      </c>
      <c r="M215" t="n">
        <v>0</v>
      </c>
      <c r="N215" t="n">
        <v>0</v>
      </c>
      <c r="O215" t="n">
        <v>1</v>
      </c>
      <c r="P215" t="n">
        <v>0</v>
      </c>
      <c r="Q215" t="n">
        <v>1</v>
      </c>
      <c r="R215" s="2" t="inlineStr">
        <is>
          <t>Lunglav</t>
        </is>
      </c>
      <c r="S215">
        <f>HYPERLINK("https://klasma.github.io/Logging_2260/artfynd/A 24798-2024 artfynd.xlsx", "A 24798-2024")</f>
        <v/>
      </c>
      <c r="T215">
        <f>HYPERLINK("https://klasma.github.io/Logging_2260/kartor/A 24798-2024 karta.png", "A 24798-2024")</f>
        <v/>
      </c>
      <c r="V215">
        <f>HYPERLINK("https://klasma.github.io/Logging_2260/klagomål/A 24798-2024 FSC-klagomål.docx", "A 24798-2024")</f>
        <v/>
      </c>
      <c r="W215">
        <f>HYPERLINK("https://klasma.github.io/Logging_2260/klagomålsmail/A 24798-2024 FSC-klagomål mail.docx", "A 24798-2024")</f>
        <v/>
      </c>
      <c r="X215">
        <f>HYPERLINK("https://klasma.github.io/Logging_2260/tillsyn/A 24798-2024 tillsynsbegäran.docx", "A 24798-2024")</f>
        <v/>
      </c>
      <c r="Y215">
        <f>HYPERLINK("https://klasma.github.io/Logging_2260/tillsynsmail/A 24798-2024 tillsynsbegäran mail.docx", "A 24798-2024")</f>
        <v/>
      </c>
    </row>
    <row r="216" ht="15" customHeight="1">
      <c r="A216" t="inlineStr">
        <is>
          <t>A 24799-2024</t>
        </is>
      </c>
      <c r="B216" s="1" t="n">
        <v>45460</v>
      </c>
      <c r="C216" s="1" t="n">
        <v>46127</v>
      </c>
      <c r="D216" t="inlineStr">
        <is>
          <t>VÄSTERNORRLANDS LÄN</t>
        </is>
      </c>
      <c r="E216" t="inlineStr">
        <is>
          <t>ÅNGE</t>
        </is>
      </c>
      <c r="F216" t="inlineStr">
        <is>
          <t>SCA</t>
        </is>
      </c>
      <c r="G216" t="n">
        <v>2.8</v>
      </c>
      <c r="H216" t="n">
        <v>1</v>
      </c>
      <c r="I216" t="n">
        <v>0</v>
      </c>
      <c r="J216" t="n">
        <v>0</v>
      </c>
      <c r="K216" t="n">
        <v>1</v>
      </c>
      <c r="L216" t="n">
        <v>0</v>
      </c>
      <c r="M216" t="n">
        <v>0</v>
      </c>
      <c r="N216" t="n">
        <v>0</v>
      </c>
      <c r="O216" t="n">
        <v>1</v>
      </c>
      <c r="P216" t="n">
        <v>1</v>
      </c>
      <c r="Q216" t="n">
        <v>1</v>
      </c>
      <c r="R216" s="2" t="inlineStr">
        <is>
          <t>Doftticka</t>
        </is>
      </c>
      <c r="S216">
        <f>HYPERLINK("https://klasma.github.io/Logging_2260/artfynd/A 24799-2024 artfynd.xlsx", "A 24799-2024")</f>
        <v/>
      </c>
      <c r="T216">
        <f>HYPERLINK("https://klasma.github.io/Logging_2260/kartor/A 24799-2024 karta.png", "A 24799-2024")</f>
        <v/>
      </c>
      <c r="V216">
        <f>HYPERLINK("https://klasma.github.io/Logging_2260/klagomål/A 24799-2024 FSC-klagomål.docx", "A 24799-2024")</f>
        <v/>
      </c>
      <c r="W216">
        <f>HYPERLINK("https://klasma.github.io/Logging_2260/klagomålsmail/A 24799-2024 FSC-klagomål mail.docx", "A 24799-2024")</f>
        <v/>
      </c>
      <c r="X216">
        <f>HYPERLINK("https://klasma.github.io/Logging_2260/tillsyn/A 24799-2024 tillsynsbegäran.docx", "A 24799-2024")</f>
        <v/>
      </c>
      <c r="Y216">
        <f>HYPERLINK("https://klasma.github.io/Logging_2260/tillsynsmail/A 24799-2024 tillsynsbegäran mail.docx", "A 24799-2024")</f>
        <v/>
      </c>
    </row>
    <row r="217" ht="15" customHeight="1">
      <c r="A217" t="inlineStr">
        <is>
          <t>A 27308-2024</t>
        </is>
      </c>
      <c r="B217" s="1" t="n">
        <v>45471</v>
      </c>
      <c r="C217" s="1" t="n">
        <v>46127</v>
      </c>
      <c r="D217" t="inlineStr">
        <is>
          <t>VÄSTERNORRLANDS LÄN</t>
        </is>
      </c>
      <c r="E217" t="inlineStr">
        <is>
          <t>ÅNGE</t>
        </is>
      </c>
      <c r="F217" t="inlineStr">
        <is>
          <t>SCA</t>
        </is>
      </c>
      <c r="G217" t="n">
        <v>15.9</v>
      </c>
      <c r="H217" t="n">
        <v>0</v>
      </c>
      <c r="I217" t="n">
        <v>0</v>
      </c>
      <c r="J217" t="n">
        <v>1</v>
      </c>
      <c r="K217" t="n">
        <v>0</v>
      </c>
      <c r="L217" t="n">
        <v>0</v>
      </c>
      <c r="M217" t="n">
        <v>0</v>
      </c>
      <c r="N217" t="n">
        <v>0</v>
      </c>
      <c r="O217" t="n">
        <v>1</v>
      </c>
      <c r="P217" t="n">
        <v>0</v>
      </c>
      <c r="Q217" t="n">
        <v>1</v>
      </c>
      <c r="R217" s="2" t="inlineStr">
        <is>
          <t>Lunglav</t>
        </is>
      </c>
      <c r="S217">
        <f>HYPERLINK("https://klasma.github.io/Logging_2260/artfynd/A 27308-2024 artfynd.xlsx", "A 27308-2024")</f>
        <v/>
      </c>
      <c r="T217">
        <f>HYPERLINK("https://klasma.github.io/Logging_2260/kartor/A 27308-2024 karta.png", "A 27308-2024")</f>
        <v/>
      </c>
      <c r="V217">
        <f>HYPERLINK("https://klasma.github.io/Logging_2260/klagomål/A 27308-2024 FSC-klagomål.docx", "A 27308-2024")</f>
        <v/>
      </c>
      <c r="W217">
        <f>HYPERLINK("https://klasma.github.io/Logging_2260/klagomålsmail/A 27308-2024 FSC-klagomål mail.docx", "A 27308-2024")</f>
        <v/>
      </c>
      <c r="X217">
        <f>HYPERLINK("https://klasma.github.io/Logging_2260/tillsyn/A 27308-2024 tillsynsbegäran.docx", "A 27308-2024")</f>
        <v/>
      </c>
      <c r="Y217">
        <f>HYPERLINK("https://klasma.github.io/Logging_2260/tillsynsmail/A 27308-2024 tillsynsbegäran mail.docx", "A 27308-2024")</f>
        <v/>
      </c>
    </row>
    <row r="218" ht="15" customHeight="1">
      <c r="A218" t="inlineStr">
        <is>
          <t>A 38603-2024</t>
        </is>
      </c>
      <c r="B218" s="1" t="n">
        <v>45546</v>
      </c>
      <c r="C218" s="1" t="n">
        <v>46127</v>
      </c>
      <c r="D218" t="inlineStr">
        <is>
          <t>VÄSTERNORRLANDS LÄN</t>
        </is>
      </c>
      <c r="E218" t="inlineStr">
        <is>
          <t>ÅNGE</t>
        </is>
      </c>
      <c r="F218" t="inlineStr">
        <is>
          <t>SCA</t>
        </is>
      </c>
      <c r="G218" t="n">
        <v>5.6</v>
      </c>
      <c r="H218" t="n">
        <v>0</v>
      </c>
      <c r="I218" t="n">
        <v>0</v>
      </c>
      <c r="J218" t="n">
        <v>0</v>
      </c>
      <c r="K218" t="n">
        <v>1</v>
      </c>
      <c r="L218" t="n">
        <v>0</v>
      </c>
      <c r="M218" t="n">
        <v>0</v>
      </c>
      <c r="N218" t="n">
        <v>0</v>
      </c>
      <c r="O218" t="n">
        <v>1</v>
      </c>
      <c r="P218" t="n">
        <v>1</v>
      </c>
      <c r="Q218" t="n">
        <v>1</v>
      </c>
      <c r="R218" s="2" t="inlineStr">
        <is>
          <t>Rynkskinn</t>
        </is>
      </c>
      <c r="S218">
        <f>HYPERLINK("https://klasma.github.io/Logging_2260/artfynd/A 38603-2024 artfynd.xlsx", "A 38603-2024")</f>
        <v/>
      </c>
      <c r="T218">
        <f>HYPERLINK("https://klasma.github.io/Logging_2260/kartor/A 38603-2024 karta.png", "A 38603-2024")</f>
        <v/>
      </c>
      <c r="V218">
        <f>HYPERLINK("https://klasma.github.io/Logging_2260/klagomål/A 38603-2024 FSC-klagomål.docx", "A 38603-2024")</f>
        <v/>
      </c>
      <c r="W218">
        <f>HYPERLINK("https://klasma.github.io/Logging_2260/klagomålsmail/A 38603-2024 FSC-klagomål mail.docx", "A 38603-2024")</f>
        <v/>
      </c>
      <c r="X218">
        <f>HYPERLINK("https://klasma.github.io/Logging_2260/tillsyn/A 38603-2024 tillsynsbegäran.docx", "A 38603-2024")</f>
        <v/>
      </c>
      <c r="Y218">
        <f>HYPERLINK("https://klasma.github.io/Logging_2260/tillsynsmail/A 38603-2024 tillsynsbegäran mail.docx", "A 38603-2024")</f>
        <v/>
      </c>
    </row>
    <row r="219" ht="15" customHeight="1">
      <c r="A219" t="inlineStr">
        <is>
          <t>A 34696-2024</t>
        </is>
      </c>
      <c r="B219" s="1" t="n">
        <v>45526</v>
      </c>
      <c r="C219" s="1" t="n">
        <v>46127</v>
      </c>
      <c r="D219" t="inlineStr">
        <is>
          <t>VÄSTERNORRLANDS LÄN</t>
        </is>
      </c>
      <c r="E219" t="inlineStr">
        <is>
          <t>ÅNGE</t>
        </is>
      </c>
      <c r="G219" t="n">
        <v>3.6</v>
      </c>
      <c r="H219" t="n">
        <v>1</v>
      </c>
      <c r="I219" t="n">
        <v>0</v>
      </c>
      <c r="J219" t="n">
        <v>0</v>
      </c>
      <c r="K219" t="n">
        <v>0</v>
      </c>
      <c r="L219" t="n">
        <v>0</v>
      </c>
      <c r="M219" t="n">
        <v>0</v>
      </c>
      <c r="N219" t="n">
        <v>0</v>
      </c>
      <c r="O219" t="n">
        <v>0</v>
      </c>
      <c r="P219" t="n">
        <v>0</v>
      </c>
      <c r="Q219" t="n">
        <v>1</v>
      </c>
      <c r="R219" s="2" t="inlineStr">
        <is>
          <t>Revlummer</t>
        </is>
      </c>
      <c r="S219">
        <f>HYPERLINK("https://klasma.github.io/Logging_2260/artfynd/A 34696-2024 artfynd.xlsx", "A 34696-2024")</f>
        <v/>
      </c>
      <c r="T219">
        <f>HYPERLINK("https://klasma.github.io/Logging_2260/kartor/A 34696-2024 karta.png", "A 34696-2024")</f>
        <v/>
      </c>
      <c r="V219">
        <f>HYPERLINK("https://klasma.github.io/Logging_2260/klagomål/A 34696-2024 FSC-klagomål.docx", "A 34696-2024")</f>
        <v/>
      </c>
      <c r="W219">
        <f>HYPERLINK("https://klasma.github.io/Logging_2260/klagomålsmail/A 34696-2024 FSC-klagomål mail.docx", "A 34696-2024")</f>
        <v/>
      </c>
      <c r="X219">
        <f>HYPERLINK("https://klasma.github.io/Logging_2260/tillsyn/A 34696-2024 tillsynsbegäran.docx", "A 34696-2024")</f>
        <v/>
      </c>
      <c r="Y219">
        <f>HYPERLINK("https://klasma.github.io/Logging_2260/tillsynsmail/A 34696-2024 tillsynsbegäran mail.docx", "A 34696-2024")</f>
        <v/>
      </c>
    </row>
    <row r="220" ht="15" customHeight="1">
      <c r="A220" t="inlineStr">
        <is>
          <t>A 37432-2025</t>
        </is>
      </c>
      <c r="B220" s="1" t="n">
        <v>45877.51106481482</v>
      </c>
      <c r="C220" s="1" t="n">
        <v>46127</v>
      </c>
      <c r="D220" t="inlineStr">
        <is>
          <t>VÄSTERNORRLANDS LÄN</t>
        </is>
      </c>
      <c r="E220" t="inlineStr">
        <is>
          <t>ÅNGE</t>
        </is>
      </c>
      <c r="F220" t="inlineStr">
        <is>
          <t>SCA</t>
        </is>
      </c>
      <c r="G220" t="n">
        <v>1.2</v>
      </c>
      <c r="H220" t="n">
        <v>1</v>
      </c>
      <c r="I220" t="n">
        <v>1</v>
      </c>
      <c r="J220" t="n">
        <v>0</v>
      </c>
      <c r="K220" t="n">
        <v>0</v>
      </c>
      <c r="L220" t="n">
        <v>0</v>
      </c>
      <c r="M220" t="n">
        <v>0</v>
      </c>
      <c r="N220" t="n">
        <v>0</v>
      </c>
      <c r="O220" t="n">
        <v>0</v>
      </c>
      <c r="P220" t="n">
        <v>0</v>
      </c>
      <c r="Q220" t="n">
        <v>1</v>
      </c>
      <c r="R220" s="2" t="inlineStr">
        <is>
          <t>Spindelblomster</t>
        </is>
      </c>
      <c r="S220">
        <f>HYPERLINK("https://klasma.github.io/Logging_2260/artfynd/A 37432-2025 artfynd.xlsx", "A 37432-2025")</f>
        <v/>
      </c>
      <c r="T220">
        <f>HYPERLINK("https://klasma.github.io/Logging_2260/kartor/A 37432-2025 karta.png", "A 37432-2025")</f>
        <v/>
      </c>
      <c r="V220">
        <f>HYPERLINK("https://klasma.github.io/Logging_2260/klagomål/A 37432-2025 FSC-klagomål.docx", "A 37432-2025")</f>
        <v/>
      </c>
      <c r="W220">
        <f>HYPERLINK("https://klasma.github.io/Logging_2260/klagomålsmail/A 37432-2025 FSC-klagomål mail.docx", "A 37432-2025")</f>
        <v/>
      </c>
      <c r="X220">
        <f>HYPERLINK("https://klasma.github.io/Logging_2260/tillsyn/A 37432-2025 tillsynsbegäran.docx", "A 37432-2025")</f>
        <v/>
      </c>
      <c r="Y220">
        <f>HYPERLINK("https://klasma.github.io/Logging_2260/tillsynsmail/A 37432-2025 tillsynsbegäran mail.docx", "A 37432-2025")</f>
        <v/>
      </c>
    </row>
    <row r="221" ht="15" customHeight="1">
      <c r="A221" t="inlineStr">
        <is>
          <t>A 29327-2023</t>
        </is>
      </c>
      <c r="B221" s="1" t="n">
        <v>45105.94349537037</v>
      </c>
      <c r="C221" s="1" t="n">
        <v>46127</v>
      </c>
      <c r="D221" t="inlineStr">
        <is>
          <t>VÄSTERNORRLANDS LÄN</t>
        </is>
      </c>
      <c r="E221" t="inlineStr">
        <is>
          <t>ÅNGE</t>
        </is>
      </c>
      <c r="G221" t="n">
        <v>7.8</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29327-2023 artfynd.xlsx", "A 29327-2023")</f>
        <v/>
      </c>
      <c r="T221">
        <f>HYPERLINK("https://klasma.github.io/Logging_2260/kartor/A 29327-2023 karta.png", "A 29327-2023")</f>
        <v/>
      </c>
      <c r="V221">
        <f>HYPERLINK("https://klasma.github.io/Logging_2260/klagomål/A 29327-2023 FSC-klagomål.docx", "A 29327-2023")</f>
        <v/>
      </c>
      <c r="W221">
        <f>HYPERLINK("https://klasma.github.io/Logging_2260/klagomålsmail/A 29327-2023 FSC-klagomål mail.docx", "A 29327-2023")</f>
        <v/>
      </c>
      <c r="X221">
        <f>HYPERLINK("https://klasma.github.io/Logging_2260/tillsyn/A 29327-2023 tillsynsbegäran.docx", "A 29327-2023")</f>
        <v/>
      </c>
      <c r="Y221">
        <f>HYPERLINK("https://klasma.github.io/Logging_2260/tillsynsmail/A 29327-2023 tillsynsbegäran mail.docx", "A 29327-2023")</f>
        <v/>
      </c>
    </row>
    <row r="222" ht="15" customHeight="1">
      <c r="A222" t="inlineStr">
        <is>
          <t>A 31878-2024</t>
        </is>
      </c>
      <c r="B222" s="1" t="n">
        <v>45509</v>
      </c>
      <c r="C222" s="1" t="n">
        <v>46127</v>
      </c>
      <c r="D222" t="inlineStr">
        <is>
          <t>VÄSTERNORRLANDS LÄN</t>
        </is>
      </c>
      <c r="E222" t="inlineStr">
        <is>
          <t>ÅNGE</t>
        </is>
      </c>
      <c r="F222" t="inlineStr">
        <is>
          <t>SCA</t>
        </is>
      </c>
      <c r="G222" t="n">
        <v>5.1</v>
      </c>
      <c r="H222" t="n">
        <v>0</v>
      </c>
      <c r="I222" t="n">
        <v>1</v>
      </c>
      <c r="J222" t="n">
        <v>0</v>
      </c>
      <c r="K222" t="n">
        <v>0</v>
      </c>
      <c r="L222" t="n">
        <v>0</v>
      </c>
      <c r="M222" t="n">
        <v>0</v>
      </c>
      <c r="N222" t="n">
        <v>0</v>
      </c>
      <c r="O222" t="n">
        <v>0</v>
      </c>
      <c r="P222" t="n">
        <v>0</v>
      </c>
      <c r="Q222" t="n">
        <v>1</v>
      </c>
      <c r="R222" s="2" t="inlineStr">
        <is>
          <t>Grönpyrola</t>
        </is>
      </c>
      <c r="S222">
        <f>HYPERLINK("https://klasma.github.io/Logging_2260/artfynd/A 31878-2024 artfynd.xlsx", "A 31878-2024")</f>
        <v/>
      </c>
      <c r="T222">
        <f>HYPERLINK("https://klasma.github.io/Logging_2260/kartor/A 31878-2024 karta.png", "A 31878-2024")</f>
        <v/>
      </c>
      <c r="V222">
        <f>HYPERLINK("https://klasma.github.io/Logging_2260/klagomål/A 31878-2024 FSC-klagomål.docx", "A 31878-2024")</f>
        <v/>
      </c>
      <c r="W222">
        <f>HYPERLINK("https://klasma.github.io/Logging_2260/klagomålsmail/A 31878-2024 FSC-klagomål mail.docx", "A 31878-2024")</f>
        <v/>
      </c>
      <c r="X222">
        <f>HYPERLINK("https://klasma.github.io/Logging_2260/tillsyn/A 31878-2024 tillsynsbegäran.docx", "A 31878-2024")</f>
        <v/>
      </c>
      <c r="Y222">
        <f>HYPERLINK("https://klasma.github.io/Logging_2260/tillsynsmail/A 31878-2024 tillsynsbegäran mail.docx", "A 31878-2024")</f>
        <v/>
      </c>
    </row>
    <row r="223" ht="15" customHeight="1">
      <c r="A223" t="inlineStr">
        <is>
          <t>A 25705-2024</t>
        </is>
      </c>
      <c r="B223" s="1" t="n">
        <v>45463.9428587963</v>
      </c>
      <c r="C223" s="1" t="n">
        <v>46127</v>
      </c>
      <c r="D223" t="inlineStr">
        <is>
          <t>VÄSTERNORRLANDS LÄN</t>
        </is>
      </c>
      <c r="E223" t="inlineStr">
        <is>
          <t>ÅNGE</t>
        </is>
      </c>
      <c r="F223" t="inlineStr">
        <is>
          <t>SCA</t>
        </is>
      </c>
      <c r="G223" t="n">
        <v>10.6</v>
      </c>
      <c r="H223" t="n">
        <v>1</v>
      </c>
      <c r="I223" t="n">
        <v>1</v>
      </c>
      <c r="J223" t="n">
        <v>0</v>
      </c>
      <c r="K223" t="n">
        <v>0</v>
      </c>
      <c r="L223" t="n">
        <v>0</v>
      </c>
      <c r="M223" t="n">
        <v>0</v>
      </c>
      <c r="N223" t="n">
        <v>0</v>
      </c>
      <c r="O223" t="n">
        <v>0</v>
      </c>
      <c r="P223" t="n">
        <v>0</v>
      </c>
      <c r="Q223" t="n">
        <v>1</v>
      </c>
      <c r="R223" s="2" t="inlineStr">
        <is>
          <t>Korallrot</t>
        </is>
      </c>
      <c r="S223">
        <f>HYPERLINK("https://klasma.github.io/Logging_2260/artfynd/A 25705-2024 artfynd.xlsx", "A 25705-2024")</f>
        <v/>
      </c>
      <c r="T223">
        <f>HYPERLINK("https://klasma.github.io/Logging_2260/kartor/A 25705-2024 karta.png", "A 25705-2024")</f>
        <v/>
      </c>
      <c r="V223">
        <f>HYPERLINK("https://klasma.github.io/Logging_2260/klagomål/A 25705-2024 FSC-klagomål.docx", "A 25705-2024")</f>
        <v/>
      </c>
      <c r="W223">
        <f>HYPERLINK("https://klasma.github.io/Logging_2260/klagomålsmail/A 25705-2024 FSC-klagomål mail.docx", "A 25705-2024")</f>
        <v/>
      </c>
      <c r="X223">
        <f>HYPERLINK("https://klasma.github.io/Logging_2260/tillsyn/A 25705-2024 tillsynsbegäran.docx", "A 25705-2024")</f>
        <v/>
      </c>
      <c r="Y223">
        <f>HYPERLINK("https://klasma.github.io/Logging_2260/tillsynsmail/A 25705-2024 tillsynsbegäran mail.docx", "A 25705-2024")</f>
        <v/>
      </c>
    </row>
    <row r="224" ht="15" customHeight="1">
      <c r="A224" t="inlineStr">
        <is>
          <t>A 61076-2025</t>
        </is>
      </c>
      <c r="B224" s="1" t="n">
        <v>46000.39689814814</v>
      </c>
      <c r="C224" s="1" t="n">
        <v>46127</v>
      </c>
      <c r="D224" t="inlineStr">
        <is>
          <t>VÄSTERNORRLANDS LÄN</t>
        </is>
      </c>
      <c r="E224" t="inlineStr">
        <is>
          <t>ÅNGE</t>
        </is>
      </c>
      <c r="F224" t="inlineStr">
        <is>
          <t>Holmen skog AB</t>
        </is>
      </c>
      <c r="G224" t="n">
        <v>2.7</v>
      </c>
      <c r="H224" t="n">
        <v>0</v>
      </c>
      <c r="I224" t="n">
        <v>1</v>
      </c>
      <c r="J224" t="n">
        <v>0</v>
      </c>
      <c r="K224" t="n">
        <v>0</v>
      </c>
      <c r="L224" t="n">
        <v>0</v>
      </c>
      <c r="M224" t="n">
        <v>0</v>
      </c>
      <c r="N224" t="n">
        <v>0</v>
      </c>
      <c r="O224" t="n">
        <v>0</v>
      </c>
      <c r="P224" t="n">
        <v>0</v>
      </c>
      <c r="Q224" t="n">
        <v>1</v>
      </c>
      <c r="R224" s="2" t="inlineStr">
        <is>
          <t>Stor aspticka</t>
        </is>
      </c>
      <c r="S224">
        <f>HYPERLINK("https://klasma.github.io/Logging_2260/artfynd/A 61076-2025 artfynd.xlsx", "A 61076-2025")</f>
        <v/>
      </c>
      <c r="T224">
        <f>HYPERLINK("https://klasma.github.io/Logging_2260/kartor/A 61076-2025 karta.png", "A 61076-2025")</f>
        <v/>
      </c>
      <c r="V224">
        <f>HYPERLINK("https://klasma.github.io/Logging_2260/klagomål/A 61076-2025 FSC-klagomål.docx", "A 61076-2025")</f>
        <v/>
      </c>
      <c r="W224">
        <f>HYPERLINK("https://klasma.github.io/Logging_2260/klagomålsmail/A 61076-2025 FSC-klagomål mail.docx", "A 61076-2025")</f>
        <v/>
      </c>
      <c r="X224">
        <f>HYPERLINK("https://klasma.github.io/Logging_2260/tillsyn/A 61076-2025 tillsynsbegäran.docx", "A 61076-2025")</f>
        <v/>
      </c>
      <c r="Y224">
        <f>HYPERLINK("https://klasma.github.io/Logging_2260/tillsynsmail/A 61076-2025 tillsynsbegäran mail.docx", "A 61076-2025")</f>
        <v/>
      </c>
    </row>
    <row r="225" ht="15" customHeight="1">
      <c r="A225" t="inlineStr">
        <is>
          <t>A 20192-2025</t>
        </is>
      </c>
      <c r="B225" s="1" t="n">
        <v>45772.60177083333</v>
      </c>
      <c r="C225" s="1" t="n">
        <v>46127</v>
      </c>
      <c r="D225" t="inlineStr">
        <is>
          <t>VÄSTERNORRLANDS LÄN</t>
        </is>
      </c>
      <c r="E225" t="inlineStr">
        <is>
          <t>ÅNGE</t>
        </is>
      </c>
      <c r="F225" t="inlineStr">
        <is>
          <t>Sveaskog</t>
        </is>
      </c>
      <c r="G225" t="n">
        <v>8.800000000000001</v>
      </c>
      <c r="H225" t="n">
        <v>1</v>
      </c>
      <c r="I225" t="n">
        <v>0</v>
      </c>
      <c r="J225" t="n">
        <v>0</v>
      </c>
      <c r="K225" t="n">
        <v>0</v>
      </c>
      <c r="L225" t="n">
        <v>0</v>
      </c>
      <c r="M225" t="n">
        <v>0</v>
      </c>
      <c r="N225" t="n">
        <v>0</v>
      </c>
      <c r="O225" t="n">
        <v>0</v>
      </c>
      <c r="P225" t="n">
        <v>0</v>
      </c>
      <c r="Q225" t="n">
        <v>1</v>
      </c>
      <c r="R225" s="2" t="inlineStr">
        <is>
          <t>Blåsippa</t>
        </is>
      </c>
      <c r="S225">
        <f>HYPERLINK("https://klasma.github.io/Logging_2260/artfynd/A 20192-2025 artfynd.xlsx", "A 20192-2025")</f>
        <v/>
      </c>
      <c r="T225">
        <f>HYPERLINK("https://klasma.github.io/Logging_2260/kartor/A 20192-2025 karta.png", "A 20192-2025")</f>
        <v/>
      </c>
      <c r="V225">
        <f>HYPERLINK("https://klasma.github.io/Logging_2260/klagomål/A 20192-2025 FSC-klagomål.docx", "A 20192-2025")</f>
        <v/>
      </c>
      <c r="W225">
        <f>HYPERLINK("https://klasma.github.io/Logging_2260/klagomålsmail/A 20192-2025 FSC-klagomål mail.docx", "A 20192-2025")</f>
        <v/>
      </c>
      <c r="X225">
        <f>HYPERLINK("https://klasma.github.io/Logging_2260/tillsyn/A 20192-2025 tillsynsbegäran.docx", "A 20192-2025")</f>
        <v/>
      </c>
      <c r="Y225">
        <f>HYPERLINK("https://klasma.github.io/Logging_2260/tillsynsmail/A 20192-2025 tillsynsbegäran mail.docx", "A 20192-2025")</f>
        <v/>
      </c>
    </row>
    <row r="226" ht="15" customHeight="1">
      <c r="A226" t="inlineStr">
        <is>
          <t>A 39638-2024</t>
        </is>
      </c>
      <c r="B226" s="1" t="n">
        <v>45552</v>
      </c>
      <c r="C226" s="1" t="n">
        <v>46127</v>
      </c>
      <c r="D226" t="inlineStr">
        <is>
          <t>VÄSTERNORRLANDS LÄN</t>
        </is>
      </c>
      <c r="E226" t="inlineStr">
        <is>
          <t>ÅNGE</t>
        </is>
      </c>
      <c r="G226" t="n">
        <v>3</v>
      </c>
      <c r="H226" t="n">
        <v>1</v>
      </c>
      <c r="I226" t="n">
        <v>0</v>
      </c>
      <c r="J226" t="n">
        <v>0</v>
      </c>
      <c r="K226" t="n">
        <v>0</v>
      </c>
      <c r="L226" t="n">
        <v>0</v>
      </c>
      <c r="M226" t="n">
        <v>0</v>
      </c>
      <c r="N226" t="n">
        <v>0</v>
      </c>
      <c r="O226" t="n">
        <v>0</v>
      </c>
      <c r="P226" t="n">
        <v>0</v>
      </c>
      <c r="Q226" t="n">
        <v>1</v>
      </c>
      <c r="R226" s="2" t="inlineStr">
        <is>
          <t>Tjäder</t>
        </is>
      </c>
      <c r="S226">
        <f>HYPERLINK("https://klasma.github.io/Logging_2260/artfynd/A 39638-2024 artfynd.xlsx", "A 39638-2024")</f>
        <v/>
      </c>
      <c r="T226">
        <f>HYPERLINK("https://klasma.github.io/Logging_2260/kartor/A 39638-2024 karta.png", "A 39638-2024")</f>
        <v/>
      </c>
      <c r="V226">
        <f>HYPERLINK("https://klasma.github.io/Logging_2260/klagomål/A 39638-2024 FSC-klagomål.docx", "A 39638-2024")</f>
        <v/>
      </c>
      <c r="W226">
        <f>HYPERLINK("https://klasma.github.io/Logging_2260/klagomålsmail/A 39638-2024 FSC-klagomål mail.docx", "A 39638-2024")</f>
        <v/>
      </c>
      <c r="X226">
        <f>HYPERLINK("https://klasma.github.io/Logging_2260/tillsyn/A 39638-2024 tillsynsbegäran.docx", "A 39638-2024")</f>
        <v/>
      </c>
      <c r="Y226">
        <f>HYPERLINK("https://klasma.github.io/Logging_2260/tillsynsmail/A 39638-2024 tillsynsbegäran mail.docx", "A 39638-2024")</f>
        <v/>
      </c>
      <c r="Z226">
        <f>HYPERLINK("https://klasma.github.io/Logging_2260/fåglar/A 39638-2024 prioriterade fågelarter.docx", "A 39638-2024")</f>
        <v/>
      </c>
    </row>
    <row r="227" ht="15" customHeight="1">
      <c r="A227" t="inlineStr">
        <is>
          <t>A 57272-2024</t>
        </is>
      </c>
      <c r="B227" s="1" t="n">
        <v>45629.57380787037</v>
      </c>
      <c r="C227" s="1" t="n">
        <v>46127</v>
      </c>
      <c r="D227" t="inlineStr">
        <is>
          <t>VÄSTERNORRLANDS LÄN</t>
        </is>
      </c>
      <c r="E227" t="inlineStr">
        <is>
          <t>ÅNGE</t>
        </is>
      </c>
      <c r="F227" t="inlineStr">
        <is>
          <t>SCA</t>
        </is>
      </c>
      <c r="G227" t="n">
        <v>5.4</v>
      </c>
      <c r="H227" t="n">
        <v>0</v>
      </c>
      <c r="I227" t="n">
        <v>0</v>
      </c>
      <c r="J227" t="n">
        <v>1</v>
      </c>
      <c r="K227" t="n">
        <v>0</v>
      </c>
      <c r="L227" t="n">
        <v>0</v>
      </c>
      <c r="M227" t="n">
        <v>0</v>
      </c>
      <c r="N227" t="n">
        <v>0</v>
      </c>
      <c r="O227" t="n">
        <v>1</v>
      </c>
      <c r="P227" t="n">
        <v>0</v>
      </c>
      <c r="Q227" t="n">
        <v>1</v>
      </c>
      <c r="R227" s="2" t="inlineStr">
        <is>
          <t>Orange taggsvamp</t>
        </is>
      </c>
      <c r="S227">
        <f>HYPERLINK("https://klasma.github.io/Logging_2260/artfynd/A 57272-2024 artfynd.xlsx", "A 57272-2024")</f>
        <v/>
      </c>
      <c r="T227">
        <f>HYPERLINK("https://klasma.github.io/Logging_2260/kartor/A 57272-2024 karta.png", "A 57272-2024")</f>
        <v/>
      </c>
      <c r="V227">
        <f>HYPERLINK("https://klasma.github.io/Logging_2260/klagomål/A 57272-2024 FSC-klagomål.docx", "A 57272-2024")</f>
        <v/>
      </c>
      <c r="W227">
        <f>HYPERLINK("https://klasma.github.io/Logging_2260/klagomålsmail/A 57272-2024 FSC-klagomål mail.docx", "A 57272-2024")</f>
        <v/>
      </c>
      <c r="X227">
        <f>HYPERLINK("https://klasma.github.io/Logging_2260/tillsyn/A 57272-2024 tillsynsbegäran.docx", "A 57272-2024")</f>
        <v/>
      </c>
      <c r="Y227">
        <f>HYPERLINK("https://klasma.github.io/Logging_2260/tillsynsmail/A 57272-2024 tillsynsbegäran mail.docx", "A 57272-2024")</f>
        <v/>
      </c>
    </row>
    <row r="228" ht="15" customHeight="1">
      <c r="A228" t="inlineStr">
        <is>
          <t>A 1449-2025</t>
        </is>
      </c>
      <c r="B228" s="1" t="n">
        <v>45670.27537037037</v>
      </c>
      <c r="C228" s="1" t="n">
        <v>46127</v>
      </c>
      <c r="D228" t="inlineStr">
        <is>
          <t>VÄSTERNORRLANDS LÄN</t>
        </is>
      </c>
      <c r="E228" t="inlineStr">
        <is>
          <t>ÅNGE</t>
        </is>
      </c>
      <c r="G228" t="n">
        <v>6.3</v>
      </c>
      <c r="H228" t="n">
        <v>0</v>
      </c>
      <c r="I228" t="n">
        <v>1</v>
      </c>
      <c r="J228" t="n">
        <v>0</v>
      </c>
      <c r="K228" t="n">
        <v>0</v>
      </c>
      <c r="L228" t="n">
        <v>0</v>
      </c>
      <c r="M228" t="n">
        <v>0</v>
      </c>
      <c r="N228" t="n">
        <v>0</v>
      </c>
      <c r="O228" t="n">
        <v>0</v>
      </c>
      <c r="P228" t="n">
        <v>0</v>
      </c>
      <c r="Q228" t="n">
        <v>1</v>
      </c>
      <c r="R228" s="2" t="inlineStr">
        <is>
          <t>Korallblylav</t>
        </is>
      </c>
      <c r="S228">
        <f>HYPERLINK("https://klasma.github.io/Logging_2260/artfynd/A 1449-2025 artfynd.xlsx", "A 1449-2025")</f>
        <v/>
      </c>
      <c r="T228">
        <f>HYPERLINK("https://klasma.github.io/Logging_2260/kartor/A 1449-2025 karta.png", "A 1449-2025")</f>
        <v/>
      </c>
      <c r="V228">
        <f>HYPERLINK("https://klasma.github.io/Logging_2260/klagomål/A 1449-2025 FSC-klagomål.docx", "A 1449-2025")</f>
        <v/>
      </c>
      <c r="W228">
        <f>HYPERLINK("https://klasma.github.io/Logging_2260/klagomålsmail/A 1449-2025 FSC-klagomål mail.docx", "A 1449-2025")</f>
        <v/>
      </c>
      <c r="X228">
        <f>HYPERLINK("https://klasma.github.io/Logging_2260/tillsyn/A 1449-2025 tillsynsbegäran.docx", "A 1449-2025")</f>
        <v/>
      </c>
      <c r="Y228">
        <f>HYPERLINK("https://klasma.github.io/Logging_2260/tillsynsmail/A 1449-2025 tillsynsbegäran mail.docx", "A 1449-2025")</f>
        <v/>
      </c>
    </row>
    <row r="229" ht="15" customHeight="1">
      <c r="A229" t="inlineStr">
        <is>
          <t>A 329-2026</t>
        </is>
      </c>
      <c r="B229" s="1" t="n">
        <v>46027.59431712963</v>
      </c>
      <c r="C229" s="1" t="n">
        <v>46127</v>
      </c>
      <c r="D229" t="inlineStr">
        <is>
          <t>VÄSTERNORRLANDS LÄN</t>
        </is>
      </c>
      <c r="E229" t="inlineStr">
        <is>
          <t>ÅNGE</t>
        </is>
      </c>
      <c r="F229" t="inlineStr">
        <is>
          <t>SCA</t>
        </is>
      </c>
      <c r="G229" t="n">
        <v>3.3</v>
      </c>
      <c r="H229" t="n">
        <v>1</v>
      </c>
      <c r="I229" t="n">
        <v>0</v>
      </c>
      <c r="J229" t="n">
        <v>0</v>
      </c>
      <c r="K229" t="n">
        <v>0</v>
      </c>
      <c r="L229" t="n">
        <v>0</v>
      </c>
      <c r="M229" t="n">
        <v>0</v>
      </c>
      <c r="N229" t="n">
        <v>0</v>
      </c>
      <c r="O229" t="n">
        <v>0</v>
      </c>
      <c r="P229" t="n">
        <v>0</v>
      </c>
      <c r="Q229" t="n">
        <v>1</v>
      </c>
      <c r="R229" s="2" t="inlineStr">
        <is>
          <t>Revlummer</t>
        </is>
      </c>
      <c r="S229">
        <f>HYPERLINK("https://klasma.github.io/Logging_2260/artfynd/A 329-2026 artfynd.xlsx", "A 329-2026")</f>
        <v/>
      </c>
      <c r="T229">
        <f>HYPERLINK("https://klasma.github.io/Logging_2260/kartor/A 329-2026 karta.png", "A 329-2026")</f>
        <v/>
      </c>
      <c r="V229">
        <f>HYPERLINK("https://klasma.github.io/Logging_2260/klagomål/A 329-2026 FSC-klagomål.docx", "A 329-2026")</f>
        <v/>
      </c>
      <c r="W229">
        <f>HYPERLINK("https://klasma.github.io/Logging_2260/klagomålsmail/A 329-2026 FSC-klagomål mail.docx", "A 329-2026")</f>
        <v/>
      </c>
      <c r="X229">
        <f>HYPERLINK("https://klasma.github.io/Logging_2260/tillsyn/A 329-2026 tillsynsbegäran.docx", "A 329-2026")</f>
        <v/>
      </c>
      <c r="Y229">
        <f>HYPERLINK("https://klasma.github.io/Logging_2260/tillsynsmail/A 329-2026 tillsynsbegäran mail.docx", "A 329-2026")</f>
        <v/>
      </c>
    </row>
    <row r="230" ht="15" customHeight="1">
      <c r="A230" t="inlineStr">
        <is>
          <t>A 50651-2021</t>
        </is>
      </c>
      <c r="B230" s="1" t="n">
        <v>44459</v>
      </c>
      <c r="C230" s="1" t="n">
        <v>46127</v>
      </c>
      <c r="D230" t="inlineStr">
        <is>
          <t>VÄSTERNORRLANDS LÄN</t>
        </is>
      </c>
      <c r="E230" t="inlineStr">
        <is>
          <t>ÅNGE</t>
        </is>
      </c>
      <c r="G230" t="n">
        <v>20.6</v>
      </c>
      <c r="H230" t="n">
        <v>0</v>
      </c>
      <c r="I230" t="n">
        <v>0</v>
      </c>
      <c r="J230" t="n">
        <v>1</v>
      </c>
      <c r="K230" t="n">
        <v>0</v>
      </c>
      <c r="L230" t="n">
        <v>0</v>
      </c>
      <c r="M230" t="n">
        <v>0</v>
      </c>
      <c r="N230" t="n">
        <v>0</v>
      </c>
      <c r="O230" t="n">
        <v>1</v>
      </c>
      <c r="P230" t="n">
        <v>0</v>
      </c>
      <c r="Q230" t="n">
        <v>1</v>
      </c>
      <c r="R230" s="2" t="inlineStr">
        <is>
          <t>Garnlav</t>
        </is>
      </c>
      <c r="S230">
        <f>HYPERLINK("https://klasma.github.io/Logging_2260/artfynd/A 50651-2021 artfynd.xlsx", "A 50651-2021")</f>
        <v/>
      </c>
      <c r="T230">
        <f>HYPERLINK("https://klasma.github.io/Logging_2260/kartor/A 50651-2021 karta.png", "A 50651-2021")</f>
        <v/>
      </c>
      <c r="V230">
        <f>HYPERLINK("https://klasma.github.io/Logging_2260/klagomål/A 50651-2021 FSC-klagomål.docx", "A 50651-2021")</f>
        <v/>
      </c>
      <c r="W230">
        <f>HYPERLINK("https://klasma.github.io/Logging_2260/klagomålsmail/A 50651-2021 FSC-klagomål mail.docx", "A 50651-2021")</f>
        <v/>
      </c>
      <c r="X230">
        <f>HYPERLINK("https://klasma.github.io/Logging_2260/tillsyn/A 50651-2021 tillsynsbegäran.docx", "A 50651-2021")</f>
        <v/>
      </c>
      <c r="Y230">
        <f>HYPERLINK("https://klasma.github.io/Logging_2260/tillsynsmail/A 50651-2021 tillsynsbegäran mail.docx", "A 50651-2021")</f>
        <v/>
      </c>
    </row>
    <row r="231" ht="15" customHeight="1">
      <c r="A231" t="inlineStr">
        <is>
          <t>A 4351-2024</t>
        </is>
      </c>
      <c r="B231" s="1" t="n">
        <v>45324</v>
      </c>
      <c r="C231" s="1" t="n">
        <v>46127</v>
      </c>
      <c r="D231" t="inlineStr">
        <is>
          <t>VÄSTERNORRLANDS LÄN</t>
        </is>
      </c>
      <c r="E231" t="inlineStr">
        <is>
          <t>ÅNGE</t>
        </is>
      </c>
      <c r="F231" t="inlineStr">
        <is>
          <t>SCA</t>
        </is>
      </c>
      <c r="G231" t="n">
        <v>0.5</v>
      </c>
      <c r="H231" t="n">
        <v>0</v>
      </c>
      <c r="I231" t="n">
        <v>0</v>
      </c>
      <c r="J231" t="n">
        <v>1</v>
      </c>
      <c r="K231" t="n">
        <v>0</v>
      </c>
      <c r="L231" t="n">
        <v>0</v>
      </c>
      <c r="M231" t="n">
        <v>0</v>
      </c>
      <c r="N231" t="n">
        <v>0</v>
      </c>
      <c r="O231" t="n">
        <v>1</v>
      </c>
      <c r="P231" t="n">
        <v>0</v>
      </c>
      <c r="Q231" t="n">
        <v>1</v>
      </c>
      <c r="R231" s="2" t="inlineStr">
        <is>
          <t>Garnlav</t>
        </is>
      </c>
      <c r="S231">
        <f>HYPERLINK("https://klasma.github.io/Logging_2260/artfynd/A 4351-2024 artfynd.xlsx", "A 4351-2024")</f>
        <v/>
      </c>
      <c r="T231">
        <f>HYPERLINK("https://klasma.github.io/Logging_2260/kartor/A 4351-2024 karta.png", "A 4351-2024")</f>
        <v/>
      </c>
      <c r="V231">
        <f>HYPERLINK("https://klasma.github.io/Logging_2260/klagomål/A 4351-2024 FSC-klagomål.docx", "A 4351-2024")</f>
        <v/>
      </c>
      <c r="W231">
        <f>HYPERLINK("https://klasma.github.io/Logging_2260/klagomålsmail/A 4351-2024 FSC-klagomål mail.docx", "A 4351-2024")</f>
        <v/>
      </c>
      <c r="X231">
        <f>HYPERLINK("https://klasma.github.io/Logging_2260/tillsyn/A 4351-2024 tillsynsbegäran.docx", "A 4351-2024")</f>
        <v/>
      </c>
      <c r="Y231">
        <f>HYPERLINK("https://klasma.github.io/Logging_2260/tillsynsmail/A 4351-2024 tillsynsbegäran mail.docx", "A 4351-2024")</f>
        <v/>
      </c>
    </row>
    <row r="232" ht="15" customHeight="1">
      <c r="A232" t="inlineStr">
        <is>
          <t>A 40214-2024</t>
        </is>
      </c>
      <c r="B232" s="1" t="n">
        <v>45554.59460648148</v>
      </c>
      <c r="C232" s="1" t="n">
        <v>46127</v>
      </c>
      <c r="D232" t="inlineStr">
        <is>
          <t>VÄSTERNORRLANDS LÄN</t>
        </is>
      </c>
      <c r="E232" t="inlineStr">
        <is>
          <t>ÅNGE</t>
        </is>
      </c>
      <c r="F232" t="inlineStr">
        <is>
          <t>SCA</t>
        </is>
      </c>
      <c r="G232" t="n">
        <v>7.7</v>
      </c>
      <c r="H232" t="n">
        <v>0</v>
      </c>
      <c r="I232" t="n">
        <v>0</v>
      </c>
      <c r="J232" t="n">
        <v>1</v>
      </c>
      <c r="K232" t="n">
        <v>0</v>
      </c>
      <c r="L232" t="n">
        <v>0</v>
      </c>
      <c r="M232" t="n">
        <v>0</v>
      </c>
      <c r="N232" t="n">
        <v>0</v>
      </c>
      <c r="O232" t="n">
        <v>1</v>
      </c>
      <c r="P232" t="n">
        <v>0</v>
      </c>
      <c r="Q232" t="n">
        <v>1</v>
      </c>
      <c r="R232" s="2" t="inlineStr">
        <is>
          <t>Lunglav</t>
        </is>
      </c>
      <c r="S232">
        <f>HYPERLINK("https://klasma.github.io/Logging_2260/artfynd/A 40214-2024 artfynd.xlsx", "A 40214-2024")</f>
        <v/>
      </c>
      <c r="T232">
        <f>HYPERLINK("https://klasma.github.io/Logging_2260/kartor/A 40214-2024 karta.png", "A 40214-2024")</f>
        <v/>
      </c>
      <c r="V232">
        <f>HYPERLINK("https://klasma.github.io/Logging_2260/klagomål/A 40214-2024 FSC-klagomål.docx", "A 40214-2024")</f>
        <v/>
      </c>
      <c r="W232">
        <f>HYPERLINK("https://klasma.github.io/Logging_2260/klagomålsmail/A 40214-2024 FSC-klagomål mail.docx", "A 40214-2024")</f>
        <v/>
      </c>
      <c r="X232">
        <f>HYPERLINK("https://klasma.github.io/Logging_2260/tillsyn/A 40214-2024 tillsynsbegäran.docx", "A 40214-2024")</f>
        <v/>
      </c>
      <c r="Y232">
        <f>HYPERLINK("https://klasma.github.io/Logging_2260/tillsynsmail/A 40214-2024 tillsynsbegäran mail.docx", "A 40214-2024")</f>
        <v/>
      </c>
    </row>
    <row r="233" ht="15" customHeight="1">
      <c r="A233" t="inlineStr">
        <is>
          <t>A 52424-2023</t>
        </is>
      </c>
      <c r="B233" s="1" t="n">
        <v>45217</v>
      </c>
      <c r="C233" s="1" t="n">
        <v>46127</v>
      </c>
      <c r="D233" t="inlineStr">
        <is>
          <t>VÄSTERNORRLANDS LÄN</t>
        </is>
      </c>
      <c r="E233" t="inlineStr">
        <is>
          <t>ÅNGE</t>
        </is>
      </c>
      <c r="F233" t="inlineStr">
        <is>
          <t>SCA</t>
        </is>
      </c>
      <c r="G233" t="n">
        <v>3.8</v>
      </c>
      <c r="H233" t="n">
        <v>1</v>
      </c>
      <c r="I233" t="n">
        <v>0</v>
      </c>
      <c r="J233" t="n">
        <v>0</v>
      </c>
      <c r="K233" t="n">
        <v>0</v>
      </c>
      <c r="L233" t="n">
        <v>0</v>
      </c>
      <c r="M233" t="n">
        <v>0</v>
      </c>
      <c r="N233" t="n">
        <v>0</v>
      </c>
      <c r="O233" t="n">
        <v>0</v>
      </c>
      <c r="P233" t="n">
        <v>0</v>
      </c>
      <c r="Q233" t="n">
        <v>1</v>
      </c>
      <c r="R233" s="2" t="inlineStr">
        <is>
          <t>Revlummer</t>
        </is>
      </c>
      <c r="S233">
        <f>HYPERLINK("https://klasma.github.io/Logging_2260/artfynd/A 52424-2023 artfynd.xlsx", "A 52424-2023")</f>
        <v/>
      </c>
      <c r="T233">
        <f>HYPERLINK("https://klasma.github.io/Logging_2260/kartor/A 52424-2023 karta.png", "A 52424-2023")</f>
        <v/>
      </c>
      <c r="V233">
        <f>HYPERLINK("https://klasma.github.io/Logging_2260/klagomål/A 52424-2023 FSC-klagomål.docx", "A 52424-2023")</f>
        <v/>
      </c>
      <c r="W233">
        <f>HYPERLINK("https://klasma.github.io/Logging_2260/klagomålsmail/A 52424-2023 FSC-klagomål mail.docx", "A 52424-2023")</f>
        <v/>
      </c>
      <c r="X233">
        <f>HYPERLINK("https://klasma.github.io/Logging_2260/tillsyn/A 52424-2023 tillsynsbegäran.docx", "A 52424-2023")</f>
        <v/>
      </c>
      <c r="Y233">
        <f>HYPERLINK("https://klasma.github.io/Logging_2260/tillsynsmail/A 52424-2023 tillsynsbegäran mail.docx", "A 52424-2023")</f>
        <v/>
      </c>
    </row>
    <row r="234" ht="15" customHeight="1">
      <c r="A234" t="inlineStr">
        <is>
          <t>A 13953-2026</t>
        </is>
      </c>
      <c r="B234" s="1" t="n">
        <v>46098.55194444444</v>
      </c>
      <c r="C234" s="1" t="n">
        <v>46127</v>
      </c>
      <c r="D234" t="inlineStr">
        <is>
          <t>VÄSTERNORRLANDS LÄN</t>
        </is>
      </c>
      <c r="E234" t="inlineStr">
        <is>
          <t>ÅNGE</t>
        </is>
      </c>
      <c r="F234" t="inlineStr">
        <is>
          <t>Holmen skog AB</t>
        </is>
      </c>
      <c r="G234" t="n">
        <v>3.1</v>
      </c>
      <c r="H234" t="n">
        <v>0</v>
      </c>
      <c r="I234" t="n">
        <v>1</v>
      </c>
      <c r="J234" t="n">
        <v>0</v>
      </c>
      <c r="K234" t="n">
        <v>0</v>
      </c>
      <c r="L234" t="n">
        <v>0</v>
      </c>
      <c r="M234" t="n">
        <v>0</v>
      </c>
      <c r="N234" t="n">
        <v>0</v>
      </c>
      <c r="O234" t="n">
        <v>0</v>
      </c>
      <c r="P234" t="n">
        <v>0</v>
      </c>
      <c r="Q234" t="n">
        <v>1</v>
      </c>
      <c r="R234" s="2" t="inlineStr">
        <is>
          <t>Stuplav</t>
        </is>
      </c>
      <c r="S234">
        <f>HYPERLINK("https://klasma.github.io/Logging_2260/artfynd/A 13953-2026 artfynd.xlsx", "A 13953-2026")</f>
        <v/>
      </c>
      <c r="T234">
        <f>HYPERLINK("https://klasma.github.io/Logging_2260/kartor/A 13953-2026 karta.png", "A 13953-2026")</f>
        <v/>
      </c>
      <c r="V234">
        <f>HYPERLINK("https://klasma.github.io/Logging_2260/klagomål/A 13953-2026 FSC-klagomål.docx", "A 13953-2026")</f>
        <v/>
      </c>
      <c r="W234">
        <f>HYPERLINK("https://klasma.github.io/Logging_2260/klagomålsmail/A 13953-2026 FSC-klagomål mail.docx", "A 13953-2026")</f>
        <v/>
      </c>
      <c r="X234">
        <f>HYPERLINK("https://klasma.github.io/Logging_2260/tillsyn/A 13953-2026 tillsynsbegäran.docx", "A 13953-2026")</f>
        <v/>
      </c>
      <c r="Y234">
        <f>HYPERLINK("https://klasma.github.io/Logging_2260/tillsynsmail/A 13953-2026 tillsynsbegäran mail.docx", "A 13953-2026")</f>
        <v/>
      </c>
    </row>
    <row r="235" ht="15" customHeight="1">
      <c r="A235" t="inlineStr">
        <is>
          <t>A 31544-2024</t>
        </is>
      </c>
      <c r="B235" s="1" t="n">
        <v>45505</v>
      </c>
      <c r="C235" s="1" t="n">
        <v>46127</v>
      </c>
      <c r="D235" t="inlineStr">
        <is>
          <t>VÄSTERNORRLANDS LÄN</t>
        </is>
      </c>
      <c r="E235" t="inlineStr">
        <is>
          <t>ÅNGE</t>
        </is>
      </c>
      <c r="F235" t="inlineStr">
        <is>
          <t>SCA</t>
        </is>
      </c>
      <c r="G235" t="n">
        <v>3.5</v>
      </c>
      <c r="H235" t="n">
        <v>0</v>
      </c>
      <c r="I235" t="n">
        <v>0</v>
      </c>
      <c r="J235" t="n">
        <v>1</v>
      </c>
      <c r="K235" t="n">
        <v>0</v>
      </c>
      <c r="L235" t="n">
        <v>0</v>
      </c>
      <c r="M235" t="n">
        <v>0</v>
      </c>
      <c r="N235" t="n">
        <v>0</v>
      </c>
      <c r="O235" t="n">
        <v>1</v>
      </c>
      <c r="P235" t="n">
        <v>0</v>
      </c>
      <c r="Q235" t="n">
        <v>1</v>
      </c>
      <c r="R235" s="2" t="inlineStr">
        <is>
          <t>Granticka</t>
        </is>
      </c>
      <c r="S235">
        <f>HYPERLINK("https://klasma.github.io/Logging_2260/artfynd/A 31544-2024 artfynd.xlsx", "A 31544-2024")</f>
        <v/>
      </c>
      <c r="T235">
        <f>HYPERLINK("https://klasma.github.io/Logging_2260/kartor/A 31544-2024 karta.png", "A 31544-2024")</f>
        <v/>
      </c>
      <c r="V235">
        <f>HYPERLINK("https://klasma.github.io/Logging_2260/klagomål/A 31544-2024 FSC-klagomål.docx", "A 31544-2024")</f>
        <v/>
      </c>
      <c r="W235">
        <f>HYPERLINK("https://klasma.github.io/Logging_2260/klagomålsmail/A 31544-2024 FSC-klagomål mail.docx", "A 31544-2024")</f>
        <v/>
      </c>
      <c r="X235">
        <f>HYPERLINK("https://klasma.github.io/Logging_2260/tillsyn/A 31544-2024 tillsynsbegäran.docx", "A 31544-2024")</f>
        <v/>
      </c>
      <c r="Y235">
        <f>HYPERLINK("https://klasma.github.io/Logging_2260/tillsynsmail/A 31544-2024 tillsynsbegäran mail.docx", "A 31544-2024")</f>
        <v/>
      </c>
    </row>
    <row r="236" ht="15" customHeight="1">
      <c r="A236" t="inlineStr">
        <is>
          <t>A 56091-2024</t>
        </is>
      </c>
      <c r="B236" s="1" t="n">
        <v>45624.40678240741</v>
      </c>
      <c r="C236" s="1" t="n">
        <v>46127</v>
      </c>
      <c r="D236" t="inlineStr">
        <is>
          <t>VÄSTERNORRLANDS LÄN</t>
        </is>
      </c>
      <c r="E236" t="inlineStr">
        <is>
          <t>ÅNGE</t>
        </is>
      </c>
      <c r="F236" t="inlineStr">
        <is>
          <t>SCA</t>
        </is>
      </c>
      <c r="G236" t="n">
        <v>2.5</v>
      </c>
      <c r="H236" t="n">
        <v>0</v>
      </c>
      <c r="I236" t="n">
        <v>0</v>
      </c>
      <c r="J236" t="n">
        <v>1</v>
      </c>
      <c r="K236" t="n">
        <v>0</v>
      </c>
      <c r="L236" t="n">
        <v>0</v>
      </c>
      <c r="M236" t="n">
        <v>0</v>
      </c>
      <c r="N236" t="n">
        <v>0</v>
      </c>
      <c r="O236" t="n">
        <v>1</v>
      </c>
      <c r="P236" t="n">
        <v>0</v>
      </c>
      <c r="Q236" t="n">
        <v>1</v>
      </c>
      <c r="R236" s="2" t="inlineStr">
        <is>
          <t>Mörk kolflarnlav</t>
        </is>
      </c>
      <c r="S236">
        <f>HYPERLINK("https://klasma.github.io/Logging_2260/artfynd/A 56091-2024 artfynd.xlsx", "A 56091-2024")</f>
        <v/>
      </c>
      <c r="T236">
        <f>HYPERLINK("https://klasma.github.io/Logging_2260/kartor/A 56091-2024 karta.png", "A 56091-2024")</f>
        <v/>
      </c>
      <c r="V236">
        <f>HYPERLINK("https://klasma.github.io/Logging_2260/klagomål/A 56091-2024 FSC-klagomål.docx", "A 56091-2024")</f>
        <v/>
      </c>
      <c r="W236">
        <f>HYPERLINK("https://klasma.github.io/Logging_2260/klagomålsmail/A 56091-2024 FSC-klagomål mail.docx", "A 56091-2024")</f>
        <v/>
      </c>
      <c r="X236">
        <f>HYPERLINK("https://klasma.github.io/Logging_2260/tillsyn/A 56091-2024 tillsynsbegäran.docx", "A 56091-2024")</f>
        <v/>
      </c>
      <c r="Y236">
        <f>HYPERLINK("https://klasma.github.io/Logging_2260/tillsynsmail/A 56091-2024 tillsynsbegäran mail.docx", "A 56091-2024")</f>
        <v/>
      </c>
    </row>
    <row r="237" ht="15" customHeight="1">
      <c r="A237" t="inlineStr">
        <is>
          <t>A 13934-2024</t>
        </is>
      </c>
      <c r="B237" s="1" t="n">
        <v>45391</v>
      </c>
      <c r="C237" s="1" t="n">
        <v>46127</v>
      </c>
      <c r="D237" t="inlineStr">
        <is>
          <t>VÄSTERNORRLANDS LÄN</t>
        </is>
      </c>
      <c r="E237" t="inlineStr">
        <is>
          <t>ÅNGE</t>
        </is>
      </c>
      <c r="F237" t="inlineStr">
        <is>
          <t>SCA</t>
        </is>
      </c>
      <c r="G237" t="n">
        <v>5.8</v>
      </c>
      <c r="H237" t="n">
        <v>0</v>
      </c>
      <c r="I237" t="n">
        <v>0</v>
      </c>
      <c r="J237" t="n">
        <v>1</v>
      </c>
      <c r="K237" t="n">
        <v>0</v>
      </c>
      <c r="L237" t="n">
        <v>0</v>
      </c>
      <c r="M237" t="n">
        <v>0</v>
      </c>
      <c r="N237" t="n">
        <v>0</v>
      </c>
      <c r="O237" t="n">
        <v>1</v>
      </c>
      <c r="P237" t="n">
        <v>0</v>
      </c>
      <c r="Q237" t="n">
        <v>1</v>
      </c>
      <c r="R237" s="2" t="inlineStr">
        <is>
          <t>Ullticka</t>
        </is>
      </c>
      <c r="S237">
        <f>HYPERLINK("https://klasma.github.io/Logging_2260/artfynd/A 13934-2024 artfynd.xlsx", "A 13934-2024")</f>
        <v/>
      </c>
      <c r="T237">
        <f>HYPERLINK("https://klasma.github.io/Logging_2260/kartor/A 13934-2024 karta.png", "A 13934-2024")</f>
        <v/>
      </c>
      <c r="V237">
        <f>HYPERLINK("https://klasma.github.io/Logging_2260/klagomål/A 13934-2024 FSC-klagomål.docx", "A 13934-2024")</f>
        <v/>
      </c>
      <c r="W237">
        <f>HYPERLINK("https://klasma.github.io/Logging_2260/klagomålsmail/A 13934-2024 FSC-klagomål mail.docx", "A 13934-2024")</f>
        <v/>
      </c>
      <c r="X237">
        <f>HYPERLINK("https://klasma.github.io/Logging_2260/tillsyn/A 13934-2024 tillsynsbegäran.docx", "A 13934-2024")</f>
        <v/>
      </c>
      <c r="Y237">
        <f>HYPERLINK("https://klasma.github.io/Logging_2260/tillsynsmail/A 13934-2024 tillsynsbegäran mail.docx", "A 13934-2024")</f>
        <v/>
      </c>
    </row>
    <row r="238" ht="15" customHeight="1">
      <c r="A238" t="inlineStr">
        <is>
          <t>A 43171-2024</t>
        </is>
      </c>
      <c r="B238" s="1" t="n">
        <v>45567</v>
      </c>
      <c r="C238" s="1" t="n">
        <v>46127</v>
      </c>
      <c r="D238" t="inlineStr">
        <is>
          <t>VÄSTERNORRLANDS LÄN</t>
        </is>
      </c>
      <c r="E238" t="inlineStr">
        <is>
          <t>ÅNGE</t>
        </is>
      </c>
      <c r="F238" t="inlineStr">
        <is>
          <t>SCA</t>
        </is>
      </c>
      <c r="G238" t="n">
        <v>3.4</v>
      </c>
      <c r="H238" t="n">
        <v>0</v>
      </c>
      <c r="I238" t="n">
        <v>0</v>
      </c>
      <c r="J238" t="n">
        <v>1</v>
      </c>
      <c r="K238" t="n">
        <v>0</v>
      </c>
      <c r="L238" t="n">
        <v>0</v>
      </c>
      <c r="M238" t="n">
        <v>0</v>
      </c>
      <c r="N238" t="n">
        <v>0</v>
      </c>
      <c r="O238" t="n">
        <v>1</v>
      </c>
      <c r="P238" t="n">
        <v>0</v>
      </c>
      <c r="Q238" t="n">
        <v>1</v>
      </c>
      <c r="R238" s="2" t="inlineStr">
        <is>
          <t>Rosenticka</t>
        </is>
      </c>
      <c r="S238">
        <f>HYPERLINK("https://klasma.github.io/Logging_2260/artfynd/A 43171-2024 artfynd.xlsx", "A 43171-2024")</f>
        <v/>
      </c>
      <c r="T238">
        <f>HYPERLINK("https://klasma.github.io/Logging_2260/kartor/A 43171-2024 karta.png", "A 43171-2024")</f>
        <v/>
      </c>
      <c r="V238">
        <f>HYPERLINK("https://klasma.github.io/Logging_2260/klagomål/A 43171-2024 FSC-klagomål.docx", "A 43171-2024")</f>
        <v/>
      </c>
      <c r="W238">
        <f>HYPERLINK("https://klasma.github.io/Logging_2260/klagomålsmail/A 43171-2024 FSC-klagomål mail.docx", "A 43171-2024")</f>
        <v/>
      </c>
      <c r="X238">
        <f>HYPERLINK("https://klasma.github.io/Logging_2260/tillsyn/A 43171-2024 tillsynsbegäran.docx", "A 43171-2024")</f>
        <v/>
      </c>
      <c r="Y238">
        <f>HYPERLINK("https://klasma.github.io/Logging_2260/tillsynsmail/A 43171-2024 tillsynsbegäran mail.docx", "A 43171-2024")</f>
        <v/>
      </c>
    </row>
    <row r="239" ht="15" customHeight="1">
      <c r="A239" t="inlineStr">
        <is>
          <t>A 55015-2023</t>
        </is>
      </c>
      <c r="B239" s="1" t="n">
        <v>45237.32185185186</v>
      </c>
      <c r="C239" s="1" t="n">
        <v>46127</v>
      </c>
      <c r="D239" t="inlineStr">
        <is>
          <t>VÄSTERNORRLANDS LÄN</t>
        </is>
      </c>
      <c r="E239" t="inlineStr">
        <is>
          <t>ÅNGE</t>
        </is>
      </c>
      <c r="F239" t="inlineStr">
        <is>
          <t>Sveaskog</t>
        </is>
      </c>
      <c r="G239" t="n">
        <v>2.7</v>
      </c>
      <c r="H239" t="n">
        <v>0</v>
      </c>
      <c r="I239" t="n">
        <v>0</v>
      </c>
      <c r="J239" t="n">
        <v>1</v>
      </c>
      <c r="K239" t="n">
        <v>0</v>
      </c>
      <c r="L239" t="n">
        <v>0</v>
      </c>
      <c r="M239" t="n">
        <v>0</v>
      </c>
      <c r="N239" t="n">
        <v>0</v>
      </c>
      <c r="O239" t="n">
        <v>1</v>
      </c>
      <c r="P239" t="n">
        <v>0</v>
      </c>
      <c r="Q239" t="n">
        <v>1</v>
      </c>
      <c r="R239" s="2" t="inlineStr">
        <is>
          <t>Lunglav</t>
        </is>
      </c>
      <c r="S239">
        <f>HYPERLINK("https://klasma.github.io/Logging_2260/artfynd/A 55015-2023 artfynd.xlsx", "A 55015-2023")</f>
        <v/>
      </c>
      <c r="T239">
        <f>HYPERLINK("https://klasma.github.io/Logging_2260/kartor/A 55015-2023 karta.png", "A 55015-2023")</f>
        <v/>
      </c>
      <c r="V239">
        <f>HYPERLINK("https://klasma.github.io/Logging_2260/klagomål/A 55015-2023 FSC-klagomål.docx", "A 55015-2023")</f>
        <v/>
      </c>
      <c r="W239">
        <f>HYPERLINK("https://klasma.github.io/Logging_2260/klagomålsmail/A 55015-2023 FSC-klagomål mail.docx", "A 55015-2023")</f>
        <v/>
      </c>
      <c r="X239">
        <f>HYPERLINK("https://klasma.github.io/Logging_2260/tillsyn/A 55015-2023 tillsynsbegäran.docx", "A 55015-2023")</f>
        <v/>
      </c>
      <c r="Y239">
        <f>HYPERLINK("https://klasma.github.io/Logging_2260/tillsynsmail/A 55015-2023 tillsynsbegäran mail.docx", "A 55015-2023")</f>
        <v/>
      </c>
    </row>
    <row r="240" ht="15" customHeight="1">
      <c r="A240" t="inlineStr">
        <is>
          <t>A 41493-2021</t>
        </is>
      </c>
      <c r="B240" s="1" t="n">
        <v>44424</v>
      </c>
      <c r="C240" s="1" t="n">
        <v>46127</v>
      </c>
      <c r="D240" t="inlineStr">
        <is>
          <t>VÄSTERNORRLANDS LÄN</t>
        </is>
      </c>
      <c r="E240" t="inlineStr">
        <is>
          <t>ÅNGE</t>
        </is>
      </c>
      <c r="F240" t="inlineStr">
        <is>
          <t>SCA</t>
        </is>
      </c>
      <c r="G240" t="n">
        <v>8</v>
      </c>
      <c r="H240" t="n">
        <v>1</v>
      </c>
      <c r="I240" t="n">
        <v>0</v>
      </c>
      <c r="J240" t="n">
        <v>0</v>
      </c>
      <c r="K240" t="n">
        <v>1</v>
      </c>
      <c r="L240" t="n">
        <v>0</v>
      </c>
      <c r="M240" t="n">
        <v>0</v>
      </c>
      <c r="N240" t="n">
        <v>0</v>
      </c>
      <c r="O240" t="n">
        <v>1</v>
      </c>
      <c r="P240" t="n">
        <v>1</v>
      </c>
      <c r="Q240" t="n">
        <v>1</v>
      </c>
      <c r="R240" s="2" t="inlineStr">
        <is>
          <t>Knärot</t>
        </is>
      </c>
      <c r="S240">
        <f>HYPERLINK("https://klasma.github.io/Logging_2260/artfynd/A 41493-2021 artfynd.xlsx", "A 41493-2021")</f>
        <v/>
      </c>
      <c r="T240">
        <f>HYPERLINK("https://klasma.github.io/Logging_2260/kartor/A 41493-2021 karta.png", "A 41493-2021")</f>
        <v/>
      </c>
      <c r="U240">
        <f>HYPERLINK("https://klasma.github.io/Logging_2260/knärot/A 41493-2021 karta knärot.png", "A 41493-2021")</f>
        <v/>
      </c>
      <c r="V240">
        <f>HYPERLINK("https://klasma.github.io/Logging_2260/klagomål/A 41493-2021 FSC-klagomål.docx", "A 41493-2021")</f>
        <v/>
      </c>
      <c r="W240">
        <f>HYPERLINK("https://klasma.github.io/Logging_2260/klagomålsmail/A 41493-2021 FSC-klagomål mail.docx", "A 41493-2021")</f>
        <v/>
      </c>
      <c r="X240">
        <f>HYPERLINK("https://klasma.github.io/Logging_2260/tillsyn/A 41493-2021 tillsynsbegäran.docx", "A 41493-2021")</f>
        <v/>
      </c>
      <c r="Y240">
        <f>HYPERLINK("https://klasma.github.io/Logging_2260/tillsynsmail/A 41493-2021 tillsynsbegäran mail.docx", "A 41493-2021")</f>
        <v/>
      </c>
    </row>
    <row r="241" ht="15" customHeight="1">
      <c r="A241" t="inlineStr">
        <is>
          <t>A 31510-2024</t>
        </is>
      </c>
      <c r="B241" s="1" t="n">
        <v>45505</v>
      </c>
      <c r="C241" s="1" t="n">
        <v>46127</v>
      </c>
      <c r="D241" t="inlineStr">
        <is>
          <t>VÄSTERNORRLANDS LÄN</t>
        </is>
      </c>
      <c r="E241" t="inlineStr">
        <is>
          <t>ÅNGE</t>
        </is>
      </c>
      <c r="F241" t="inlineStr">
        <is>
          <t>SCA</t>
        </is>
      </c>
      <c r="G241" t="n">
        <v>6</v>
      </c>
      <c r="H241" t="n">
        <v>1</v>
      </c>
      <c r="I241" t="n">
        <v>0</v>
      </c>
      <c r="J241" t="n">
        <v>0</v>
      </c>
      <c r="K241" t="n">
        <v>1</v>
      </c>
      <c r="L241" t="n">
        <v>0</v>
      </c>
      <c r="M241" t="n">
        <v>0</v>
      </c>
      <c r="N241" t="n">
        <v>0</v>
      </c>
      <c r="O241" t="n">
        <v>1</v>
      </c>
      <c r="P241" t="n">
        <v>1</v>
      </c>
      <c r="Q241" t="n">
        <v>1</v>
      </c>
      <c r="R241" s="2" t="inlineStr">
        <is>
          <t>Doftticka</t>
        </is>
      </c>
      <c r="S241">
        <f>HYPERLINK("https://klasma.github.io/Logging_2260/artfynd/A 31510-2024 artfynd.xlsx", "A 31510-2024")</f>
        <v/>
      </c>
      <c r="T241">
        <f>HYPERLINK("https://klasma.github.io/Logging_2260/kartor/A 31510-2024 karta.png", "A 31510-2024")</f>
        <v/>
      </c>
      <c r="V241">
        <f>HYPERLINK("https://klasma.github.io/Logging_2260/klagomål/A 31510-2024 FSC-klagomål.docx", "A 31510-2024")</f>
        <v/>
      </c>
      <c r="W241">
        <f>HYPERLINK("https://klasma.github.io/Logging_2260/klagomålsmail/A 31510-2024 FSC-klagomål mail.docx", "A 31510-2024")</f>
        <v/>
      </c>
      <c r="X241">
        <f>HYPERLINK("https://klasma.github.io/Logging_2260/tillsyn/A 31510-2024 tillsynsbegäran.docx", "A 31510-2024")</f>
        <v/>
      </c>
      <c r="Y241">
        <f>HYPERLINK("https://klasma.github.io/Logging_2260/tillsynsmail/A 31510-2024 tillsynsbegäran mail.docx", "A 31510-2024")</f>
        <v/>
      </c>
    </row>
    <row r="242" ht="15" customHeight="1">
      <c r="A242" t="inlineStr">
        <is>
          <t>A 37914-2024</t>
        </is>
      </c>
      <c r="B242" s="1" t="n">
        <v>45544</v>
      </c>
      <c r="C242" s="1" t="n">
        <v>46127</v>
      </c>
      <c r="D242" t="inlineStr">
        <is>
          <t>VÄSTERNORRLANDS LÄN</t>
        </is>
      </c>
      <c r="E242" t="inlineStr">
        <is>
          <t>ÅNGE</t>
        </is>
      </c>
      <c r="F242" t="inlineStr">
        <is>
          <t>SCA</t>
        </is>
      </c>
      <c r="G242" t="n">
        <v>9</v>
      </c>
      <c r="H242" t="n">
        <v>0</v>
      </c>
      <c r="I242" t="n">
        <v>0</v>
      </c>
      <c r="J242" t="n">
        <v>1</v>
      </c>
      <c r="K242" t="n">
        <v>0</v>
      </c>
      <c r="L242" t="n">
        <v>0</v>
      </c>
      <c r="M242" t="n">
        <v>0</v>
      </c>
      <c r="N242" t="n">
        <v>0</v>
      </c>
      <c r="O242" t="n">
        <v>1</v>
      </c>
      <c r="P242" t="n">
        <v>0</v>
      </c>
      <c r="Q242" t="n">
        <v>1</v>
      </c>
      <c r="R242" s="2" t="inlineStr">
        <is>
          <t>Granticka</t>
        </is>
      </c>
      <c r="S242">
        <f>HYPERLINK("https://klasma.github.io/Logging_2260/artfynd/A 37914-2024 artfynd.xlsx", "A 37914-2024")</f>
        <v/>
      </c>
      <c r="T242">
        <f>HYPERLINK("https://klasma.github.io/Logging_2260/kartor/A 37914-2024 karta.png", "A 37914-2024")</f>
        <v/>
      </c>
      <c r="V242">
        <f>HYPERLINK("https://klasma.github.io/Logging_2260/klagomål/A 37914-2024 FSC-klagomål.docx", "A 37914-2024")</f>
        <v/>
      </c>
      <c r="W242">
        <f>HYPERLINK("https://klasma.github.io/Logging_2260/klagomålsmail/A 37914-2024 FSC-klagomål mail.docx", "A 37914-2024")</f>
        <v/>
      </c>
      <c r="X242">
        <f>HYPERLINK("https://klasma.github.io/Logging_2260/tillsyn/A 37914-2024 tillsynsbegäran.docx", "A 37914-2024")</f>
        <v/>
      </c>
      <c r="Y242">
        <f>HYPERLINK("https://klasma.github.io/Logging_2260/tillsynsmail/A 37914-2024 tillsynsbegäran mail.docx", "A 37914-2024")</f>
        <v/>
      </c>
    </row>
    <row r="243" ht="15" customHeight="1">
      <c r="A243" t="inlineStr">
        <is>
          <t>A 54751-2021</t>
        </is>
      </c>
      <c r="B243" s="1" t="n">
        <v>44473</v>
      </c>
      <c r="C243" s="1" t="n">
        <v>46127</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39180-2024</t>
        </is>
      </c>
      <c r="B244" s="1" t="n">
        <v>45548.6571412037</v>
      </c>
      <c r="C244" s="1" t="n">
        <v>46127</v>
      </c>
      <c r="D244" t="inlineStr">
        <is>
          <t>VÄSTERNORRLANDS LÄN</t>
        </is>
      </c>
      <c r="E244" t="inlineStr">
        <is>
          <t>ÅNGE</t>
        </is>
      </c>
      <c r="F244" t="inlineStr">
        <is>
          <t>SCA</t>
        </is>
      </c>
      <c r="G244" t="n">
        <v>8.699999999999999</v>
      </c>
      <c r="H244" t="n">
        <v>0</v>
      </c>
      <c r="I244" t="n">
        <v>0</v>
      </c>
      <c r="J244" t="n">
        <v>1</v>
      </c>
      <c r="K244" t="n">
        <v>0</v>
      </c>
      <c r="L244" t="n">
        <v>0</v>
      </c>
      <c r="M244" t="n">
        <v>0</v>
      </c>
      <c r="N244" t="n">
        <v>0</v>
      </c>
      <c r="O244" t="n">
        <v>1</v>
      </c>
      <c r="P244" t="n">
        <v>0</v>
      </c>
      <c r="Q244" t="n">
        <v>1</v>
      </c>
      <c r="R244" s="2" t="inlineStr">
        <is>
          <t>Lunglav</t>
        </is>
      </c>
      <c r="S244">
        <f>HYPERLINK("https://klasma.github.io/Logging_2260/artfynd/A 39180-2024 artfynd.xlsx", "A 39180-2024")</f>
        <v/>
      </c>
      <c r="T244">
        <f>HYPERLINK("https://klasma.github.io/Logging_2260/kartor/A 39180-2024 karta.png", "A 39180-2024")</f>
        <v/>
      </c>
      <c r="V244">
        <f>HYPERLINK("https://klasma.github.io/Logging_2260/klagomål/A 39180-2024 FSC-klagomål.docx", "A 39180-2024")</f>
        <v/>
      </c>
      <c r="W244">
        <f>HYPERLINK("https://klasma.github.io/Logging_2260/klagomålsmail/A 39180-2024 FSC-klagomål mail.docx", "A 39180-2024")</f>
        <v/>
      </c>
      <c r="X244">
        <f>HYPERLINK("https://klasma.github.io/Logging_2260/tillsyn/A 39180-2024 tillsynsbegäran.docx", "A 39180-2024")</f>
        <v/>
      </c>
      <c r="Y244">
        <f>HYPERLINK("https://klasma.github.io/Logging_2260/tillsynsmail/A 39180-2024 tillsynsbegäran mail.docx", "A 39180-2024")</f>
        <v/>
      </c>
    </row>
    <row r="245" ht="15" customHeight="1">
      <c r="A245" t="inlineStr">
        <is>
          <t>A 20354-2021</t>
        </is>
      </c>
      <c r="B245" s="1" t="n">
        <v>44312</v>
      </c>
      <c r="C245" s="1" t="n">
        <v>46127</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37624-2021</t>
        </is>
      </c>
      <c r="B246" s="1" t="n">
        <v>44399</v>
      </c>
      <c r="C246" s="1" t="n">
        <v>46127</v>
      </c>
      <c r="D246" t="inlineStr">
        <is>
          <t>VÄSTERNORRLANDS LÄN</t>
        </is>
      </c>
      <c r="E246" t="inlineStr">
        <is>
          <t>ÅNGE</t>
        </is>
      </c>
      <c r="G246" t="n">
        <v>4.1</v>
      </c>
      <c r="H246" t="n">
        <v>0</v>
      </c>
      <c r="I246" t="n">
        <v>0</v>
      </c>
      <c r="J246" t="n">
        <v>0</v>
      </c>
      <c r="K246" t="n">
        <v>0</v>
      </c>
      <c r="L246" t="n">
        <v>0</v>
      </c>
      <c r="M246" t="n">
        <v>0</v>
      </c>
      <c r="N246" t="n">
        <v>0</v>
      </c>
      <c r="O246" t="n">
        <v>0</v>
      </c>
      <c r="P246" t="n">
        <v>0</v>
      </c>
      <c r="Q246" t="n">
        <v>0</v>
      </c>
      <c r="R246" s="2" t="inlineStr"/>
    </row>
    <row r="247" ht="15" customHeight="1">
      <c r="A247" t="inlineStr">
        <is>
          <t>A 21740-2022</t>
        </is>
      </c>
      <c r="B247" s="1" t="n">
        <v>44708.37472222222</v>
      </c>
      <c r="C247" s="1" t="n">
        <v>46127</v>
      </c>
      <c r="D247" t="inlineStr">
        <is>
          <t>VÄSTERNORRLANDS LÄN</t>
        </is>
      </c>
      <c r="E247" t="inlineStr">
        <is>
          <t>ÅNGE</t>
        </is>
      </c>
      <c r="G247" t="n">
        <v>2</v>
      </c>
      <c r="H247" t="n">
        <v>0</v>
      </c>
      <c r="I247" t="n">
        <v>0</v>
      </c>
      <c r="J247" t="n">
        <v>0</v>
      </c>
      <c r="K247" t="n">
        <v>0</v>
      </c>
      <c r="L247" t="n">
        <v>0</v>
      </c>
      <c r="M247" t="n">
        <v>0</v>
      </c>
      <c r="N247" t="n">
        <v>0</v>
      </c>
      <c r="O247" t="n">
        <v>0</v>
      </c>
      <c r="P247" t="n">
        <v>0</v>
      </c>
      <c r="Q247" t="n">
        <v>0</v>
      </c>
      <c r="R247" s="2" t="inlineStr"/>
    </row>
    <row r="248" ht="15" customHeight="1">
      <c r="A248" t="inlineStr">
        <is>
          <t>A 24353-2022</t>
        </is>
      </c>
      <c r="B248" s="1" t="n">
        <v>44726.37769675926</v>
      </c>
      <c r="C248" s="1" t="n">
        <v>46127</v>
      </c>
      <c r="D248" t="inlineStr">
        <is>
          <t>VÄSTERNORRLANDS LÄN</t>
        </is>
      </c>
      <c r="E248" t="inlineStr">
        <is>
          <t>ÅNGE</t>
        </is>
      </c>
      <c r="G248" t="n">
        <v>1</v>
      </c>
      <c r="H248" t="n">
        <v>0</v>
      </c>
      <c r="I248" t="n">
        <v>0</v>
      </c>
      <c r="J248" t="n">
        <v>0</v>
      </c>
      <c r="K248" t="n">
        <v>0</v>
      </c>
      <c r="L248" t="n">
        <v>0</v>
      </c>
      <c r="M248" t="n">
        <v>0</v>
      </c>
      <c r="N248" t="n">
        <v>0</v>
      </c>
      <c r="O248" t="n">
        <v>0</v>
      </c>
      <c r="P248" t="n">
        <v>0</v>
      </c>
      <c r="Q248" t="n">
        <v>0</v>
      </c>
      <c r="R248" s="2" t="inlineStr"/>
    </row>
    <row r="249" ht="15" customHeight="1">
      <c r="A249" t="inlineStr">
        <is>
          <t>A 38432-2021</t>
        </is>
      </c>
      <c r="B249" s="1" t="n">
        <v>44406</v>
      </c>
      <c r="C249" s="1" t="n">
        <v>46127</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5381-2022</t>
        </is>
      </c>
      <c r="B250" s="1" t="n">
        <v>44594.9337037037</v>
      </c>
      <c r="C250" s="1" t="n">
        <v>46127</v>
      </c>
      <c r="D250" t="inlineStr">
        <is>
          <t>VÄSTERNORRLANDS LÄN</t>
        </is>
      </c>
      <c r="E250" t="inlineStr">
        <is>
          <t>ÅNGE</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14433-2022</t>
        </is>
      </c>
      <c r="B251" s="1" t="n">
        <v>44652</v>
      </c>
      <c r="C251" s="1" t="n">
        <v>46127</v>
      </c>
      <c r="D251" t="inlineStr">
        <is>
          <t>VÄSTERNORRLANDS LÄN</t>
        </is>
      </c>
      <c r="E251" t="inlineStr">
        <is>
          <t>ÅNGE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46127</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48990-2021</t>
        </is>
      </c>
      <c r="B253" s="1" t="n">
        <v>44453</v>
      </c>
      <c r="C253" s="1" t="n">
        <v>46127</v>
      </c>
      <c r="D253" t="inlineStr">
        <is>
          <t>VÄSTERNORRLANDS LÄN</t>
        </is>
      </c>
      <c r="E253" t="inlineStr">
        <is>
          <t>ÅNGE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46127</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74088-2021</t>
        </is>
      </c>
      <c r="B255" s="1" t="n">
        <v>44557.59435185185</v>
      </c>
      <c r="C255" s="1" t="n">
        <v>46127</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19102-2021</t>
        </is>
      </c>
      <c r="B256" s="1" t="n">
        <v>44308</v>
      </c>
      <c r="C256" s="1" t="n">
        <v>46127</v>
      </c>
      <c r="D256" t="inlineStr">
        <is>
          <t>VÄSTERNORRLANDS LÄN</t>
        </is>
      </c>
      <c r="E256" t="inlineStr">
        <is>
          <t>ÅNGE</t>
        </is>
      </c>
      <c r="G256" t="n">
        <v>3.3</v>
      </c>
      <c r="H256" t="n">
        <v>0</v>
      </c>
      <c r="I256" t="n">
        <v>0</v>
      </c>
      <c r="J256" t="n">
        <v>0</v>
      </c>
      <c r="K256" t="n">
        <v>0</v>
      </c>
      <c r="L256" t="n">
        <v>0</v>
      </c>
      <c r="M256" t="n">
        <v>0</v>
      </c>
      <c r="N256" t="n">
        <v>0</v>
      </c>
      <c r="O256" t="n">
        <v>0</v>
      </c>
      <c r="P256" t="n">
        <v>0</v>
      </c>
      <c r="Q256" t="n">
        <v>0</v>
      </c>
      <c r="R256" s="2" t="inlineStr"/>
    </row>
    <row r="257" ht="15" customHeight="1">
      <c r="A257" t="inlineStr">
        <is>
          <t>A 71396-2021</t>
        </is>
      </c>
      <c r="B257" s="1" t="n">
        <v>44540.35644675926</v>
      </c>
      <c r="C257" s="1" t="n">
        <v>46127</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66265-2021</t>
        </is>
      </c>
      <c r="B258" s="1" t="n">
        <v>44518.45263888889</v>
      </c>
      <c r="C258" s="1" t="n">
        <v>46127</v>
      </c>
      <c r="D258" t="inlineStr">
        <is>
          <t>VÄSTERNORRLANDS LÄN</t>
        </is>
      </c>
      <c r="E258" t="inlineStr">
        <is>
          <t>ÅNGE</t>
        </is>
      </c>
      <c r="G258" t="n">
        <v>6</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46127</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46127</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46127</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46127</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46127</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46127</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46127</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46127</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46127</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46127</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46127</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46127</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46127</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46127</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46127</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17844-2021</t>
        </is>
      </c>
      <c r="B274" s="1" t="n">
        <v>44300.9187962963</v>
      </c>
      <c r="C274" s="1" t="n">
        <v>46127</v>
      </c>
      <c r="D274" t="inlineStr">
        <is>
          <t>VÄSTERNORRLANDS LÄN</t>
        </is>
      </c>
      <c r="E274" t="inlineStr">
        <is>
          <t>ÅNGE</t>
        </is>
      </c>
      <c r="G274" t="n">
        <v>3.3</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46127</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46127</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46127</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46127</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46127</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46127</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46127</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46127</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46127</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35497-2022</t>
        </is>
      </c>
      <c r="B284" s="1" t="n">
        <v>44798</v>
      </c>
      <c r="C284" s="1" t="n">
        <v>46127</v>
      </c>
      <c r="D284" t="inlineStr">
        <is>
          <t>VÄSTERNORRLANDS LÄN</t>
        </is>
      </c>
      <c r="E284" t="inlineStr">
        <is>
          <t>ÅNGE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19035-2022</t>
        </is>
      </c>
      <c r="B285" s="1" t="n">
        <v>44691</v>
      </c>
      <c r="C285" s="1" t="n">
        <v>46127</v>
      </c>
      <c r="D285" t="inlineStr">
        <is>
          <t>VÄSTERNORRLANDS LÄN</t>
        </is>
      </c>
      <c r="E285" t="inlineStr">
        <is>
          <t>ÅNGE</t>
        </is>
      </c>
      <c r="G285" t="n">
        <v>1.9</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46127</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46127</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46127</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46127</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46127</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46127</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71651-2021</t>
        </is>
      </c>
      <c r="B292" s="1" t="n">
        <v>44538</v>
      </c>
      <c r="C292" s="1" t="n">
        <v>46127</v>
      </c>
      <c r="D292" t="inlineStr">
        <is>
          <t>VÄSTERNORRLANDS LÄN</t>
        </is>
      </c>
      <c r="E292" t="inlineStr">
        <is>
          <t>ÅNGE</t>
        </is>
      </c>
      <c r="G292" t="n">
        <v>4.4</v>
      </c>
      <c r="H292" t="n">
        <v>0</v>
      </c>
      <c r="I292" t="n">
        <v>0</v>
      </c>
      <c r="J292" t="n">
        <v>0</v>
      </c>
      <c r="K292" t="n">
        <v>0</v>
      </c>
      <c r="L292" t="n">
        <v>0</v>
      </c>
      <c r="M292" t="n">
        <v>0</v>
      </c>
      <c r="N292" t="n">
        <v>0</v>
      </c>
      <c r="O292" t="n">
        <v>0</v>
      </c>
      <c r="P292" t="n">
        <v>0</v>
      </c>
      <c r="Q292" t="n">
        <v>0</v>
      </c>
      <c r="R292" s="2" t="inlineStr"/>
    </row>
    <row r="293" ht="15" customHeight="1">
      <c r="A293" t="inlineStr">
        <is>
          <t>A 58942-2021</t>
        </is>
      </c>
      <c r="B293" s="1" t="n">
        <v>44489.9221875</v>
      </c>
      <c r="C293" s="1" t="n">
        <v>46127</v>
      </c>
      <c r="D293" t="inlineStr">
        <is>
          <t>VÄSTERNORRLANDS LÄN</t>
        </is>
      </c>
      <c r="E293" t="inlineStr">
        <is>
          <t>ÅNGE</t>
        </is>
      </c>
      <c r="G293" t="n">
        <v>5.6</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46127</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46127</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46127</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46127</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46127</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46127</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46127</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46127</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46127</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46127</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46127</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46127</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46127</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46127</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46127</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46127</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46127</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46127</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46127</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46127</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46127</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46127</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46127</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46127</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46127</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46127</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46127</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46127</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46127</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10680-2022</t>
        </is>
      </c>
      <c r="B323" s="1" t="n">
        <v>44624</v>
      </c>
      <c r="C323" s="1" t="n">
        <v>46127</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10686-2022</t>
        </is>
      </c>
      <c r="B324" s="1" t="n">
        <v>44624.92680555556</v>
      </c>
      <c r="C324" s="1" t="n">
        <v>46127</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46127</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46127</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46127</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46127</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46127</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46127</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46127</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46127</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46127</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46127</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46127</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46127</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46127</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46127</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46127</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46127</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46127</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46127</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46127</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46127</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46127</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46127</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46127</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46127</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46127</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46127</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46127</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46127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46127</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46127</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46127</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47660-2022</t>
        </is>
      </c>
      <c r="B356" s="1" t="n">
        <v>44854.45766203704</v>
      </c>
      <c r="C356" s="1" t="n">
        <v>46127</v>
      </c>
      <c r="D356" t="inlineStr">
        <is>
          <t>VÄSTERNORRLANDS LÄN</t>
        </is>
      </c>
      <c r="E356" t="inlineStr">
        <is>
          <t>ÅNGE</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50710-2021</t>
        </is>
      </c>
      <c r="B357" s="1" t="n">
        <v>44460.366875</v>
      </c>
      <c r="C357" s="1" t="n">
        <v>46127</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46127</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46127</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46127</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46127</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46127</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46127</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46127</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46127</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46127</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46127</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46127</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46127</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46127</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44412-2022</t>
        </is>
      </c>
      <c r="B371" s="1" t="n">
        <v>44839.92626157407</v>
      </c>
      <c r="C371" s="1" t="n">
        <v>46127</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6263-2022</t>
        </is>
      </c>
      <c r="B372" s="1" t="n">
        <v>44600</v>
      </c>
      <c r="C372" s="1" t="n">
        <v>46127</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27953-2021</t>
        </is>
      </c>
      <c r="B373" s="1" t="n">
        <v>44354.9209375</v>
      </c>
      <c r="C373" s="1" t="n">
        <v>46127</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46127</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46127</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46127</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46127</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46127</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46127</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46127</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46127</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46127</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46127</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46127</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46127</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46127</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46127</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46127</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46127</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46127</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46127</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46127</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46127</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46127</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46127</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16303-2025</t>
        </is>
      </c>
      <c r="B396" s="1" t="n">
        <v>45751.3462037037</v>
      </c>
      <c r="C396" s="1" t="n">
        <v>46127</v>
      </c>
      <c r="D396" t="inlineStr">
        <is>
          <t>VÄSTERNORRLANDS LÄN</t>
        </is>
      </c>
      <c r="E396" t="inlineStr">
        <is>
          <t>ÅNGE</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19829-2025</t>
        </is>
      </c>
      <c r="B397" s="1" t="n">
        <v>45771.46944444445</v>
      </c>
      <c r="C397" s="1" t="n">
        <v>46127</v>
      </c>
      <c r="D397" t="inlineStr">
        <is>
          <t>VÄSTERNORRLANDS LÄN</t>
        </is>
      </c>
      <c r="E397" t="inlineStr">
        <is>
          <t>ÅNGE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46127</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46127</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46127</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27002-2023</t>
        </is>
      </c>
      <c r="B401" s="1" t="n">
        <v>45093</v>
      </c>
      <c r="C401" s="1" t="n">
        <v>46127</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33747-2024</t>
        </is>
      </c>
      <c r="B402" s="1" t="n">
        <v>45520</v>
      </c>
      <c r="C402" s="1" t="n">
        <v>46127</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46127</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46127</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46127</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45027-2023</t>
        </is>
      </c>
      <c r="B406" s="1" t="n">
        <v>45190.96303240741</v>
      </c>
      <c r="C406" s="1" t="n">
        <v>46127</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24231-2024</t>
        </is>
      </c>
      <c r="B407" s="1" t="n">
        <v>45457.34393518518</v>
      </c>
      <c r="C407" s="1" t="n">
        <v>46127</v>
      </c>
      <c r="D407" t="inlineStr">
        <is>
          <t>VÄSTERNORRLANDS LÄN</t>
        </is>
      </c>
      <c r="E407" t="inlineStr">
        <is>
          <t>ÅNGE</t>
        </is>
      </c>
      <c r="F407" t="inlineStr">
        <is>
          <t>Sveaskog</t>
        </is>
      </c>
      <c r="G407" t="n">
        <v>7</v>
      </c>
      <c r="H407" t="n">
        <v>0</v>
      </c>
      <c r="I407" t="n">
        <v>0</v>
      </c>
      <c r="J407" t="n">
        <v>0</v>
      </c>
      <c r="K407" t="n">
        <v>0</v>
      </c>
      <c r="L407" t="n">
        <v>0</v>
      </c>
      <c r="M407" t="n">
        <v>0</v>
      </c>
      <c r="N407" t="n">
        <v>0</v>
      </c>
      <c r="O407" t="n">
        <v>0</v>
      </c>
      <c r="P407" t="n">
        <v>0</v>
      </c>
      <c r="Q407" t="n">
        <v>0</v>
      </c>
      <c r="R407" s="2" t="inlineStr"/>
    </row>
    <row r="408" ht="15" customHeight="1">
      <c r="A408" t="inlineStr">
        <is>
          <t>A 30273-2023</t>
        </is>
      </c>
      <c r="B408" s="1" t="n">
        <v>45099</v>
      </c>
      <c r="C408" s="1" t="n">
        <v>46127</v>
      </c>
      <c r="D408" t="inlineStr">
        <is>
          <t>VÄSTERNORRLANDS LÄN</t>
        </is>
      </c>
      <c r="E408" t="inlineStr">
        <is>
          <t>ÅNGE</t>
        </is>
      </c>
      <c r="G408" t="n">
        <v>3.9</v>
      </c>
      <c r="H408" t="n">
        <v>0</v>
      </c>
      <c r="I408" t="n">
        <v>0</v>
      </c>
      <c r="J408" t="n">
        <v>0</v>
      </c>
      <c r="K408" t="n">
        <v>0</v>
      </c>
      <c r="L408" t="n">
        <v>0</v>
      </c>
      <c r="M408" t="n">
        <v>0</v>
      </c>
      <c r="N408" t="n">
        <v>0</v>
      </c>
      <c r="O408" t="n">
        <v>0</v>
      </c>
      <c r="P408" t="n">
        <v>0</v>
      </c>
      <c r="Q408" t="n">
        <v>0</v>
      </c>
      <c r="R408" s="2" t="inlineStr"/>
    </row>
    <row r="409" ht="15" customHeight="1">
      <c r="A409" t="inlineStr">
        <is>
          <t>A 29048-2021</t>
        </is>
      </c>
      <c r="B409" s="1" t="n">
        <v>44358</v>
      </c>
      <c r="C409" s="1" t="n">
        <v>46127</v>
      </c>
      <c r="D409" t="inlineStr">
        <is>
          <t>VÄSTERNORRLANDS LÄN</t>
        </is>
      </c>
      <c r="E409" t="inlineStr">
        <is>
          <t>ÅNGE</t>
        </is>
      </c>
      <c r="G409" t="n">
        <v>2.5</v>
      </c>
      <c r="H409" t="n">
        <v>0</v>
      </c>
      <c r="I409" t="n">
        <v>0</v>
      </c>
      <c r="J409" t="n">
        <v>0</v>
      </c>
      <c r="K409" t="n">
        <v>0</v>
      </c>
      <c r="L409" t="n">
        <v>0</v>
      </c>
      <c r="M409" t="n">
        <v>0</v>
      </c>
      <c r="N409" t="n">
        <v>0</v>
      </c>
      <c r="O409" t="n">
        <v>0</v>
      </c>
      <c r="P409" t="n">
        <v>0</v>
      </c>
      <c r="Q409" t="n">
        <v>0</v>
      </c>
      <c r="R409" s="2" t="inlineStr"/>
    </row>
    <row r="410" ht="15" customHeight="1">
      <c r="A410" t="inlineStr">
        <is>
          <t>A 36290-2023</t>
        </is>
      </c>
      <c r="B410" s="1" t="n">
        <v>45152.35467592593</v>
      </c>
      <c r="C410" s="1" t="n">
        <v>46127</v>
      </c>
      <c r="D410" t="inlineStr">
        <is>
          <t>VÄSTERNORRLANDS LÄN</t>
        </is>
      </c>
      <c r="E410" t="inlineStr">
        <is>
          <t>ÅNGE</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14889-2022</t>
        </is>
      </c>
      <c r="B411" s="1" t="n">
        <v>44656</v>
      </c>
      <c r="C411" s="1" t="n">
        <v>46127</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17009-2023</t>
        </is>
      </c>
      <c r="B412" s="1" t="n">
        <v>45033.9455787037</v>
      </c>
      <c r="C412" s="1" t="n">
        <v>46127</v>
      </c>
      <c r="D412" t="inlineStr">
        <is>
          <t>VÄSTERNORRLANDS LÄN</t>
        </is>
      </c>
      <c r="E412" t="inlineStr">
        <is>
          <t>ÅNGE</t>
        </is>
      </c>
      <c r="F412" t="inlineStr">
        <is>
          <t>SCA</t>
        </is>
      </c>
      <c r="G412" t="n">
        <v>5.8</v>
      </c>
      <c r="H412" t="n">
        <v>0</v>
      </c>
      <c r="I412" t="n">
        <v>0</v>
      </c>
      <c r="J412" t="n">
        <v>0</v>
      </c>
      <c r="K412" t="n">
        <v>0</v>
      </c>
      <c r="L412" t="n">
        <v>0</v>
      </c>
      <c r="M412" t="n">
        <v>0</v>
      </c>
      <c r="N412" t="n">
        <v>0</v>
      </c>
      <c r="O412" t="n">
        <v>0</v>
      </c>
      <c r="P412" t="n">
        <v>0</v>
      </c>
      <c r="Q412" t="n">
        <v>0</v>
      </c>
      <c r="R412" s="2" t="inlineStr"/>
    </row>
    <row r="413" ht="15" customHeight="1">
      <c r="A413" t="inlineStr">
        <is>
          <t>A 17044-2023</t>
        </is>
      </c>
      <c r="B413" s="1" t="n">
        <v>45034</v>
      </c>
      <c r="C413" s="1" t="n">
        <v>46127</v>
      </c>
      <c r="D413" t="inlineStr">
        <is>
          <t>VÄSTERNORRLANDS LÄN</t>
        </is>
      </c>
      <c r="E413" t="inlineStr">
        <is>
          <t>ÅNGE</t>
        </is>
      </c>
      <c r="G413" t="n">
        <v>0.5</v>
      </c>
      <c r="H413" t="n">
        <v>0</v>
      </c>
      <c r="I413" t="n">
        <v>0</v>
      </c>
      <c r="J413" t="n">
        <v>0</v>
      </c>
      <c r="K413" t="n">
        <v>0</v>
      </c>
      <c r="L413" t="n">
        <v>0</v>
      </c>
      <c r="M413" t="n">
        <v>0</v>
      </c>
      <c r="N413" t="n">
        <v>0</v>
      </c>
      <c r="O413" t="n">
        <v>0</v>
      </c>
      <c r="P413" t="n">
        <v>0</v>
      </c>
      <c r="Q413" t="n">
        <v>0</v>
      </c>
      <c r="R413" s="2" t="inlineStr"/>
    </row>
    <row r="414" ht="15" customHeight="1">
      <c r="A414" t="inlineStr">
        <is>
          <t>A 23035-2024</t>
        </is>
      </c>
      <c r="B414" s="1" t="n">
        <v>45450.39016203704</v>
      </c>
      <c r="C414" s="1" t="n">
        <v>46127</v>
      </c>
      <c r="D414" t="inlineStr">
        <is>
          <t>VÄSTERNORRLANDS LÄN</t>
        </is>
      </c>
      <c r="E414" t="inlineStr">
        <is>
          <t>ÅNGE</t>
        </is>
      </c>
      <c r="G414" t="n">
        <v>12.1</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46127</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46127</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46127</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17670-2023</t>
        </is>
      </c>
      <c r="B418" s="1" t="n">
        <v>45036</v>
      </c>
      <c r="C418" s="1" t="n">
        <v>46127</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57109-2023</t>
        </is>
      </c>
      <c r="B419" s="1" t="n">
        <v>45239</v>
      </c>
      <c r="C419" s="1" t="n">
        <v>46127</v>
      </c>
      <c r="D419" t="inlineStr">
        <is>
          <t>VÄSTERNORRLANDS LÄN</t>
        </is>
      </c>
      <c r="E419" t="inlineStr">
        <is>
          <t>ÅNGE</t>
        </is>
      </c>
      <c r="G419" t="n">
        <v>7</v>
      </c>
      <c r="H419" t="n">
        <v>0</v>
      </c>
      <c r="I419" t="n">
        <v>0</v>
      </c>
      <c r="J419" t="n">
        <v>0</v>
      </c>
      <c r="K419" t="n">
        <v>0</v>
      </c>
      <c r="L419" t="n">
        <v>0</v>
      </c>
      <c r="M419" t="n">
        <v>0</v>
      </c>
      <c r="N419" t="n">
        <v>0</v>
      </c>
      <c r="O419" t="n">
        <v>0</v>
      </c>
      <c r="P419" t="n">
        <v>0</v>
      </c>
      <c r="Q419" t="n">
        <v>0</v>
      </c>
      <c r="R419" s="2" t="inlineStr"/>
    </row>
    <row r="420" ht="15" customHeight="1">
      <c r="A420" t="inlineStr">
        <is>
          <t>A 34959-2023</t>
        </is>
      </c>
      <c r="B420" s="1" t="n">
        <v>45142</v>
      </c>
      <c r="C420" s="1" t="n">
        <v>46127</v>
      </c>
      <c r="D420" t="inlineStr">
        <is>
          <t>VÄSTERNORRLANDS LÄN</t>
        </is>
      </c>
      <c r="E420" t="inlineStr">
        <is>
          <t>ÅNGE</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54456-2024</t>
        </is>
      </c>
      <c r="B421" s="1" t="n">
        <v>45617.53160879629</v>
      </c>
      <c r="C421" s="1" t="n">
        <v>46127</v>
      </c>
      <c r="D421" t="inlineStr">
        <is>
          <t>VÄSTERNORRLANDS LÄN</t>
        </is>
      </c>
      <c r="E421" t="inlineStr">
        <is>
          <t>ÅNGE</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8406-2023</t>
        </is>
      </c>
      <c r="B422" s="1" t="n">
        <v>44971</v>
      </c>
      <c r="C422" s="1" t="n">
        <v>46127</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21982-2025</t>
        </is>
      </c>
      <c r="B423" s="1" t="n">
        <v>45784.65660879629</v>
      </c>
      <c r="C423" s="1" t="n">
        <v>46127</v>
      </c>
      <c r="D423" t="inlineStr">
        <is>
          <t>VÄSTERNORRLANDS LÄN</t>
        </is>
      </c>
      <c r="E423" t="inlineStr">
        <is>
          <t>ÅNGE</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22187-2024</t>
        </is>
      </c>
      <c r="B424" s="1" t="n">
        <v>45446.35222222222</v>
      </c>
      <c r="C424" s="1" t="n">
        <v>46127</v>
      </c>
      <c r="D424" t="inlineStr">
        <is>
          <t>VÄSTERNORRLANDS LÄN</t>
        </is>
      </c>
      <c r="E424" t="inlineStr">
        <is>
          <t>ÅNGE</t>
        </is>
      </c>
      <c r="G424" t="n">
        <v>2.3</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46127</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6-2025</t>
        </is>
      </c>
      <c r="B426" s="1" t="n">
        <v>45658.50759259259</v>
      </c>
      <c r="C426" s="1" t="n">
        <v>46127</v>
      </c>
      <c r="D426" t="inlineStr">
        <is>
          <t>VÄSTERNORRLANDS LÄN</t>
        </is>
      </c>
      <c r="E426" t="inlineStr">
        <is>
          <t>ÅNGE</t>
        </is>
      </c>
      <c r="G426" t="n">
        <v>4.3</v>
      </c>
      <c r="H426" t="n">
        <v>0</v>
      </c>
      <c r="I426" t="n">
        <v>0</v>
      </c>
      <c r="J426" t="n">
        <v>0</v>
      </c>
      <c r="K426" t="n">
        <v>0</v>
      </c>
      <c r="L426" t="n">
        <v>0</v>
      </c>
      <c r="M426" t="n">
        <v>0</v>
      </c>
      <c r="N426" t="n">
        <v>0</v>
      </c>
      <c r="O426" t="n">
        <v>0</v>
      </c>
      <c r="P426" t="n">
        <v>0</v>
      </c>
      <c r="Q426" t="n">
        <v>0</v>
      </c>
      <c r="R426" s="2" t="inlineStr"/>
    </row>
    <row r="427" ht="15" customHeight="1">
      <c r="A427" t="inlineStr">
        <is>
          <t>A 24232-2024</t>
        </is>
      </c>
      <c r="B427" s="1" t="n">
        <v>45457.34686342593</v>
      </c>
      <c r="C427" s="1" t="n">
        <v>46127</v>
      </c>
      <c r="D427" t="inlineStr">
        <is>
          <t>VÄSTERNORRLANDS LÄN</t>
        </is>
      </c>
      <c r="E427" t="inlineStr">
        <is>
          <t>ÅNGE</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24324-2022</t>
        </is>
      </c>
      <c r="B428" s="1" t="n">
        <v>44725.945</v>
      </c>
      <c r="C428" s="1" t="n">
        <v>46127</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24325-2022</t>
        </is>
      </c>
      <c r="B429" s="1" t="n">
        <v>44725.94506944445</v>
      </c>
      <c r="C429" s="1" t="n">
        <v>46127</v>
      </c>
      <c r="D429" t="inlineStr">
        <is>
          <t>VÄSTERNORRLANDS LÄN</t>
        </is>
      </c>
      <c r="E429" t="inlineStr">
        <is>
          <t>ÅNGE</t>
        </is>
      </c>
      <c r="G429" t="n">
        <v>1.6</v>
      </c>
      <c r="H429" t="n">
        <v>0</v>
      </c>
      <c r="I429" t="n">
        <v>0</v>
      </c>
      <c r="J429" t="n">
        <v>0</v>
      </c>
      <c r="K429" t="n">
        <v>0</v>
      </c>
      <c r="L429" t="n">
        <v>0</v>
      </c>
      <c r="M429" t="n">
        <v>0</v>
      </c>
      <c r="N429" t="n">
        <v>0</v>
      </c>
      <c r="O429" t="n">
        <v>0</v>
      </c>
      <c r="P429" t="n">
        <v>0</v>
      </c>
      <c r="Q429" t="n">
        <v>0</v>
      </c>
      <c r="R429" s="2" t="inlineStr"/>
    </row>
    <row r="430" ht="15" customHeight="1">
      <c r="A430" t="inlineStr">
        <is>
          <t>A 31325-2022</t>
        </is>
      </c>
      <c r="B430" s="1" t="n">
        <v>44774.41421296296</v>
      </c>
      <c r="C430" s="1" t="n">
        <v>46127</v>
      </c>
      <c r="D430" t="inlineStr">
        <is>
          <t>VÄSTERNORRLANDS LÄN</t>
        </is>
      </c>
      <c r="E430" t="inlineStr">
        <is>
          <t>ÅNGE</t>
        </is>
      </c>
      <c r="G430" t="n">
        <v>6.3</v>
      </c>
      <c r="H430" t="n">
        <v>0</v>
      </c>
      <c r="I430" t="n">
        <v>0</v>
      </c>
      <c r="J430" t="n">
        <v>0</v>
      </c>
      <c r="K430" t="n">
        <v>0</v>
      </c>
      <c r="L430" t="n">
        <v>0</v>
      </c>
      <c r="M430" t="n">
        <v>0</v>
      </c>
      <c r="N430" t="n">
        <v>0</v>
      </c>
      <c r="O430" t="n">
        <v>0</v>
      </c>
      <c r="P430" t="n">
        <v>0</v>
      </c>
      <c r="Q430" t="n">
        <v>0</v>
      </c>
      <c r="R430" s="2" t="inlineStr"/>
    </row>
    <row r="431" ht="15" customHeight="1">
      <c r="A431" t="inlineStr">
        <is>
          <t>A 38693-2025</t>
        </is>
      </c>
      <c r="B431" s="1" t="n">
        <v>45884.69829861111</v>
      </c>
      <c r="C431" s="1" t="n">
        <v>46127</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38703-2025</t>
        </is>
      </c>
      <c r="B432" s="1" t="n">
        <v>45885.34440972222</v>
      </c>
      <c r="C432" s="1" t="n">
        <v>46127</v>
      </c>
      <c r="D432" t="inlineStr">
        <is>
          <t>VÄSTERNORRLANDS LÄN</t>
        </is>
      </c>
      <c r="E432" t="inlineStr">
        <is>
          <t>ÅNGE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38711-2025</t>
        </is>
      </c>
      <c r="B433" s="1" t="n">
        <v>45886.34450231482</v>
      </c>
      <c r="C433" s="1" t="n">
        <v>46127</v>
      </c>
      <c r="D433" t="inlineStr">
        <is>
          <t>VÄSTERNORRLANDS LÄN</t>
        </is>
      </c>
      <c r="E433" t="inlineStr">
        <is>
          <t>ÅNGE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38715-2025</t>
        </is>
      </c>
      <c r="B434" s="1" t="n">
        <v>45886.34501157407</v>
      </c>
      <c r="C434" s="1" t="n">
        <v>46127</v>
      </c>
      <c r="D434" t="inlineStr">
        <is>
          <t>VÄSTERNORRLANDS LÄN</t>
        </is>
      </c>
      <c r="E434" t="inlineStr">
        <is>
          <t>ÅNGE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22489-2025</t>
        </is>
      </c>
      <c r="B435" s="1" t="n">
        <v>45786.64946759259</v>
      </c>
      <c r="C435" s="1" t="n">
        <v>46127</v>
      </c>
      <c r="D435" t="inlineStr">
        <is>
          <t>VÄSTERNORRLANDS LÄN</t>
        </is>
      </c>
      <c r="E435" t="inlineStr">
        <is>
          <t>ÅNGE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55556-2025</t>
        </is>
      </c>
      <c r="B436" s="1" t="n">
        <v>45971.64694444444</v>
      </c>
      <c r="C436" s="1" t="n">
        <v>46127</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22791-2025</t>
        </is>
      </c>
      <c r="B437" s="1" t="n">
        <v>45789.65663194445</v>
      </c>
      <c r="C437" s="1" t="n">
        <v>46127</v>
      </c>
      <c r="D437" t="inlineStr">
        <is>
          <t>VÄSTERNORRLANDS LÄN</t>
        </is>
      </c>
      <c r="E437" t="inlineStr">
        <is>
          <t>ÅNGE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22411-2023</t>
        </is>
      </c>
      <c r="B438" s="1" t="n">
        <v>45070</v>
      </c>
      <c r="C438" s="1" t="n">
        <v>46127</v>
      </c>
      <c r="D438" t="inlineStr">
        <is>
          <t>VÄSTERNORRLANDS LÄN</t>
        </is>
      </c>
      <c r="E438" t="inlineStr">
        <is>
          <t>ÅNGE</t>
        </is>
      </c>
      <c r="G438" t="n">
        <v>2.8</v>
      </c>
      <c r="H438" t="n">
        <v>0</v>
      </c>
      <c r="I438" t="n">
        <v>0</v>
      </c>
      <c r="J438" t="n">
        <v>0</v>
      </c>
      <c r="K438" t="n">
        <v>0</v>
      </c>
      <c r="L438" t="n">
        <v>0</v>
      </c>
      <c r="M438" t="n">
        <v>0</v>
      </c>
      <c r="N438" t="n">
        <v>0</v>
      </c>
      <c r="O438" t="n">
        <v>0</v>
      </c>
      <c r="P438" t="n">
        <v>0</v>
      </c>
      <c r="Q438" t="n">
        <v>0</v>
      </c>
      <c r="R438" s="2" t="inlineStr"/>
    </row>
    <row r="439" ht="15" customHeight="1">
      <c r="A439" t="inlineStr">
        <is>
          <t>A 22549-2025</t>
        </is>
      </c>
      <c r="B439" s="1" t="n">
        <v>45788.48113425926</v>
      </c>
      <c r="C439" s="1" t="n">
        <v>46127</v>
      </c>
      <c r="D439" t="inlineStr">
        <is>
          <t>VÄSTERNORRLANDS LÄN</t>
        </is>
      </c>
      <c r="E439" t="inlineStr">
        <is>
          <t>ÅNGE</t>
        </is>
      </c>
      <c r="G439" t="n">
        <v>2.6</v>
      </c>
      <c r="H439" t="n">
        <v>0</v>
      </c>
      <c r="I439" t="n">
        <v>0</v>
      </c>
      <c r="J439" t="n">
        <v>0</v>
      </c>
      <c r="K439" t="n">
        <v>0</v>
      </c>
      <c r="L439" t="n">
        <v>0</v>
      </c>
      <c r="M439" t="n">
        <v>0</v>
      </c>
      <c r="N439" t="n">
        <v>0</v>
      </c>
      <c r="O439" t="n">
        <v>0</v>
      </c>
      <c r="P439" t="n">
        <v>0</v>
      </c>
      <c r="Q439" t="n">
        <v>0</v>
      </c>
      <c r="R439" s="2" t="inlineStr"/>
    </row>
    <row r="440" ht="15" customHeight="1">
      <c r="A440" t="inlineStr">
        <is>
          <t>A 23091-2025</t>
        </is>
      </c>
      <c r="B440" s="1" t="n">
        <v>45791.34456018519</v>
      </c>
      <c r="C440" s="1" t="n">
        <v>46127</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38686-2025</t>
        </is>
      </c>
      <c r="B441" s="1" t="n">
        <v>45884.65658564815</v>
      </c>
      <c r="C441" s="1" t="n">
        <v>46127</v>
      </c>
      <c r="D441" t="inlineStr">
        <is>
          <t>VÄSTERNORRLANDS LÄN</t>
        </is>
      </c>
      <c r="E441" t="inlineStr">
        <is>
          <t>ÅNGE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23343-2025</t>
        </is>
      </c>
      <c r="B442" s="1" t="n">
        <v>45791.65702546296</v>
      </c>
      <c r="C442" s="1" t="n">
        <v>46127</v>
      </c>
      <c r="D442" t="inlineStr">
        <is>
          <t>VÄSTERNORRLANDS LÄN</t>
        </is>
      </c>
      <c r="E442" t="inlineStr">
        <is>
          <t>ÅNGE</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16606-2023</t>
        </is>
      </c>
      <c r="B443" s="1" t="n">
        <v>45030.3990625</v>
      </c>
      <c r="C443" s="1" t="n">
        <v>46127</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60368-2024</t>
        </is>
      </c>
      <c r="B444" s="1" t="n">
        <v>45643</v>
      </c>
      <c r="C444" s="1" t="n">
        <v>46127</v>
      </c>
      <c r="D444" t="inlineStr">
        <is>
          <t>VÄSTERNORRLANDS LÄN</t>
        </is>
      </c>
      <c r="E444" t="inlineStr">
        <is>
          <t>ÅNGE</t>
        </is>
      </c>
      <c r="G444" t="n">
        <v>1.8</v>
      </c>
      <c r="H444" t="n">
        <v>0</v>
      </c>
      <c r="I444" t="n">
        <v>0</v>
      </c>
      <c r="J444" t="n">
        <v>0</v>
      </c>
      <c r="K444" t="n">
        <v>0</v>
      </c>
      <c r="L444" t="n">
        <v>0</v>
      </c>
      <c r="M444" t="n">
        <v>0</v>
      </c>
      <c r="N444" t="n">
        <v>0</v>
      </c>
      <c r="O444" t="n">
        <v>0</v>
      </c>
      <c r="P444" t="n">
        <v>0</v>
      </c>
      <c r="Q444" t="n">
        <v>0</v>
      </c>
      <c r="R444" s="2" t="inlineStr"/>
    </row>
    <row r="445" ht="15" customHeight="1">
      <c r="A445" t="inlineStr">
        <is>
          <t>A 55816-2025</t>
        </is>
      </c>
      <c r="B445" s="1" t="n">
        <v>45972.69851851852</v>
      </c>
      <c r="C445" s="1" t="n">
        <v>46127</v>
      </c>
      <c r="D445" t="inlineStr">
        <is>
          <t>VÄSTERNORRLANDS LÄN</t>
        </is>
      </c>
      <c r="E445" t="inlineStr">
        <is>
          <t>ÅNGE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23252-2025</t>
        </is>
      </c>
      <c r="B446" s="1" t="n">
        <v>45791.53157407408</v>
      </c>
      <c r="C446" s="1" t="n">
        <v>46127</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9382-2025</t>
        </is>
      </c>
      <c r="B447" s="1" t="n">
        <v>45715.34425925926</v>
      </c>
      <c r="C447" s="1" t="n">
        <v>46127</v>
      </c>
      <c r="D447" t="inlineStr">
        <is>
          <t>VÄSTERNORRLANDS LÄN</t>
        </is>
      </c>
      <c r="E447" t="inlineStr">
        <is>
          <t>ÅNGE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56434-2021</t>
        </is>
      </c>
      <c r="B448" s="1" t="n">
        <v>44477</v>
      </c>
      <c r="C448" s="1" t="n">
        <v>46127</v>
      </c>
      <c r="D448" t="inlineStr">
        <is>
          <t>VÄSTERNORRLANDS LÄN</t>
        </is>
      </c>
      <c r="E448" t="inlineStr">
        <is>
          <t>ÅNGE</t>
        </is>
      </c>
      <c r="G448" t="n">
        <v>2.7</v>
      </c>
      <c r="H448" t="n">
        <v>0</v>
      </c>
      <c r="I448" t="n">
        <v>0</v>
      </c>
      <c r="J448" t="n">
        <v>0</v>
      </c>
      <c r="K448" t="n">
        <v>0</v>
      </c>
      <c r="L448" t="n">
        <v>0</v>
      </c>
      <c r="M448" t="n">
        <v>0</v>
      </c>
      <c r="N448" t="n">
        <v>0</v>
      </c>
      <c r="O448" t="n">
        <v>0</v>
      </c>
      <c r="P448" t="n">
        <v>0</v>
      </c>
      <c r="Q448" t="n">
        <v>0</v>
      </c>
      <c r="R448" s="2" t="inlineStr"/>
    </row>
    <row r="449" ht="15" customHeight="1">
      <c r="A449" t="inlineStr">
        <is>
          <t>A 18067-2025</t>
        </is>
      </c>
      <c r="B449" s="1" t="n">
        <v>45761.49016203704</v>
      </c>
      <c r="C449" s="1" t="n">
        <v>46127</v>
      </c>
      <c r="D449" t="inlineStr">
        <is>
          <t>VÄSTERNORRLANDS LÄN</t>
        </is>
      </c>
      <c r="E449" t="inlineStr">
        <is>
          <t>ÅNGE</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22926-2025</t>
        </is>
      </c>
      <c r="B450" s="1" t="n">
        <v>45790</v>
      </c>
      <c r="C450" s="1" t="n">
        <v>46127</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22928-2025</t>
        </is>
      </c>
      <c r="B451" s="1" t="n">
        <v>45790.44825231482</v>
      </c>
      <c r="C451" s="1" t="n">
        <v>46127</v>
      </c>
      <c r="D451" t="inlineStr">
        <is>
          <t>VÄSTERNORRLANDS LÄN</t>
        </is>
      </c>
      <c r="E451" t="inlineStr">
        <is>
          <t>ÅNGE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11396-2024</t>
        </is>
      </c>
      <c r="B452" s="1" t="n">
        <v>45372</v>
      </c>
      <c r="C452" s="1" t="n">
        <v>46127</v>
      </c>
      <c r="D452" t="inlineStr">
        <is>
          <t>VÄSTERNORRLANDS LÄN</t>
        </is>
      </c>
      <c r="E452" t="inlineStr">
        <is>
          <t>ÅNGE</t>
        </is>
      </c>
      <c r="G452" t="n">
        <v>2.2</v>
      </c>
      <c r="H452" t="n">
        <v>0</v>
      </c>
      <c r="I452" t="n">
        <v>0</v>
      </c>
      <c r="J452" t="n">
        <v>0</v>
      </c>
      <c r="K452" t="n">
        <v>0</v>
      </c>
      <c r="L452" t="n">
        <v>0</v>
      </c>
      <c r="M452" t="n">
        <v>0</v>
      </c>
      <c r="N452" t="n">
        <v>0</v>
      </c>
      <c r="O452" t="n">
        <v>0</v>
      </c>
      <c r="P452" t="n">
        <v>0</v>
      </c>
      <c r="Q452" t="n">
        <v>0</v>
      </c>
      <c r="R452" s="2" t="inlineStr"/>
    </row>
    <row r="453" ht="15" customHeight="1">
      <c r="A453" t="inlineStr">
        <is>
          <t>A 23748-2025</t>
        </is>
      </c>
      <c r="B453" s="1" t="n">
        <v>45793.44755787037</v>
      </c>
      <c r="C453" s="1" t="n">
        <v>46127</v>
      </c>
      <c r="D453" t="inlineStr">
        <is>
          <t>VÄSTERNORRLANDS LÄN</t>
        </is>
      </c>
      <c r="E453" t="inlineStr">
        <is>
          <t>ÅNGE</t>
        </is>
      </c>
      <c r="F453" t="inlineStr">
        <is>
          <t>Sveaskog</t>
        </is>
      </c>
      <c r="G453" t="n">
        <v>6.5</v>
      </c>
      <c r="H453" t="n">
        <v>0</v>
      </c>
      <c r="I453" t="n">
        <v>0</v>
      </c>
      <c r="J453" t="n">
        <v>0</v>
      </c>
      <c r="K453" t="n">
        <v>0</v>
      </c>
      <c r="L453" t="n">
        <v>0</v>
      </c>
      <c r="M453" t="n">
        <v>0</v>
      </c>
      <c r="N453" t="n">
        <v>0</v>
      </c>
      <c r="O453" t="n">
        <v>0</v>
      </c>
      <c r="P453" t="n">
        <v>0</v>
      </c>
      <c r="Q453" t="n">
        <v>0</v>
      </c>
      <c r="R453" s="2" t="inlineStr"/>
    </row>
    <row r="454" ht="15" customHeight="1">
      <c r="A454" t="inlineStr">
        <is>
          <t>A 23589-2025</t>
        </is>
      </c>
      <c r="B454" s="1" t="n">
        <v>45792.63618055556</v>
      </c>
      <c r="C454" s="1" t="n">
        <v>46127</v>
      </c>
      <c r="D454" t="inlineStr">
        <is>
          <t>VÄSTERNORRLANDS LÄN</t>
        </is>
      </c>
      <c r="E454" t="inlineStr">
        <is>
          <t>ÅNGE</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15778-2025</t>
        </is>
      </c>
      <c r="B455" s="1" t="n">
        <v>45748.60030092593</v>
      </c>
      <c r="C455" s="1" t="n">
        <v>46127</v>
      </c>
      <c r="D455" t="inlineStr">
        <is>
          <t>VÄSTERNORRLANDS LÄN</t>
        </is>
      </c>
      <c r="E455" t="inlineStr">
        <is>
          <t>ÅNGE</t>
        </is>
      </c>
      <c r="F455" t="inlineStr">
        <is>
          <t>SCA</t>
        </is>
      </c>
      <c r="G455" t="n">
        <v>13.6</v>
      </c>
      <c r="H455" t="n">
        <v>0</v>
      </c>
      <c r="I455" t="n">
        <v>0</v>
      </c>
      <c r="J455" t="n">
        <v>0</v>
      </c>
      <c r="K455" t="n">
        <v>0</v>
      </c>
      <c r="L455" t="n">
        <v>0</v>
      </c>
      <c r="M455" t="n">
        <v>0</v>
      </c>
      <c r="N455" t="n">
        <v>0</v>
      </c>
      <c r="O455" t="n">
        <v>0</v>
      </c>
      <c r="P455" t="n">
        <v>0</v>
      </c>
      <c r="Q455" t="n">
        <v>0</v>
      </c>
      <c r="R455" s="2" t="inlineStr"/>
    </row>
    <row r="456" ht="15" customHeight="1">
      <c r="A456" t="inlineStr">
        <is>
          <t>A 23495-2025</t>
        </is>
      </c>
      <c r="B456" s="1" t="n">
        <v>45792.46967592592</v>
      </c>
      <c r="C456" s="1" t="n">
        <v>46127</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23580-2025</t>
        </is>
      </c>
      <c r="B457" s="1" t="n">
        <v>45792.62555555555</v>
      </c>
      <c r="C457" s="1" t="n">
        <v>46127</v>
      </c>
      <c r="D457" t="inlineStr">
        <is>
          <t>VÄSTERNORRLANDS LÄN</t>
        </is>
      </c>
      <c r="E457" t="inlineStr">
        <is>
          <t>ÅNGE</t>
        </is>
      </c>
      <c r="F457" t="inlineStr">
        <is>
          <t>Kyrkan</t>
        </is>
      </c>
      <c r="G457" t="n">
        <v>2.6</v>
      </c>
      <c r="H457" t="n">
        <v>0</v>
      </c>
      <c r="I457" t="n">
        <v>0</v>
      </c>
      <c r="J457" t="n">
        <v>0</v>
      </c>
      <c r="K457" t="n">
        <v>0</v>
      </c>
      <c r="L457" t="n">
        <v>0</v>
      </c>
      <c r="M457" t="n">
        <v>0</v>
      </c>
      <c r="N457" t="n">
        <v>0</v>
      </c>
      <c r="O457" t="n">
        <v>0</v>
      </c>
      <c r="P457" t="n">
        <v>0</v>
      </c>
      <c r="Q457" t="n">
        <v>0</v>
      </c>
      <c r="R457" s="2" t="inlineStr"/>
    </row>
    <row r="458" ht="15" customHeight="1">
      <c r="A458" t="inlineStr">
        <is>
          <t>A 23590-2025</t>
        </is>
      </c>
      <c r="B458" s="1" t="n">
        <v>45792.63627314815</v>
      </c>
      <c r="C458" s="1" t="n">
        <v>46127</v>
      </c>
      <c r="D458" t="inlineStr">
        <is>
          <t>VÄSTERNORRLANDS LÄN</t>
        </is>
      </c>
      <c r="E458" t="inlineStr">
        <is>
          <t>ÅNGE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23573-2025</t>
        </is>
      </c>
      <c r="B459" s="1" t="n">
        <v>45792.61497685185</v>
      </c>
      <c r="C459" s="1" t="n">
        <v>46127</v>
      </c>
      <c r="D459" t="inlineStr">
        <is>
          <t>VÄSTERNORRLANDS LÄN</t>
        </is>
      </c>
      <c r="E459" t="inlineStr">
        <is>
          <t>ÅNGE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39764-2024</t>
        </is>
      </c>
      <c r="B460" s="1" t="n">
        <v>45552.7190162037</v>
      </c>
      <c r="C460" s="1" t="n">
        <v>46127</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23552-2025</t>
        </is>
      </c>
      <c r="B461" s="1" t="n">
        <v>45792.5738425926</v>
      </c>
      <c r="C461" s="1" t="n">
        <v>46127</v>
      </c>
      <c r="D461" t="inlineStr">
        <is>
          <t>VÄSTERNORRLANDS LÄN</t>
        </is>
      </c>
      <c r="E461" t="inlineStr">
        <is>
          <t>ÅNGE</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56077-2025</t>
        </is>
      </c>
      <c r="B462" s="1" t="n">
        <v>45973.65759259259</v>
      </c>
      <c r="C462" s="1" t="n">
        <v>46127</v>
      </c>
      <c r="D462" t="inlineStr">
        <is>
          <t>VÄSTERNORRLANDS LÄN</t>
        </is>
      </c>
      <c r="E462" t="inlineStr">
        <is>
          <t>ÅNGE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23529-2025</t>
        </is>
      </c>
      <c r="B463" s="1" t="n">
        <v>45792.53158564815</v>
      </c>
      <c r="C463" s="1" t="n">
        <v>46127</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60004-2023</t>
        </is>
      </c>
      <c r="B464" s="1" t="n">
        <v>45257</v>
      </c>
      <c r="C464" s="1" t="n">
        <v>46127</v>
      </c>
      <c r="D464" t="inlineStr">
        <is>
          <t>VÄSTERNORRLANDS LÄN</t>
        </is>
      </c>
      <c r="E464" t="inlineStr">
        <is>
          <t>ÅNGE</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4142-2024</t>
        </is>
      </c>
      <c r="B465" s="1" t="n">
        <v>45323</v>
      </c>
      <c r="C465" s="1" t="n">
        <v>46127</v>
      </c>
      <c r="D465" t="inlineStr">
        <is>
          <t>VÄSTERNORRLANDS LÄN</t>
        </is>
      </c>
      <c r="E465" t="inlineStr">
        <is>
          <t>ÅNGE</t>
        </is>
      </c>
      <c r="G465" t="n">
        <v>1</v>
      </c>
      <c r="H465" t="n">
        <v>0</v>
      </c>
      <c r="I465" t="n">
        <v>0</v>
      </c>
      <c r="J465" t="n">
        <v>0</v>
      </c>
      <c r="K465" t="n">
        <v>0</v>
      </c>
      <c r="L465" t="n">
        <v>0</v>
      </c>
      <c r="M465" t="n">
        <v>0</v>
      </c>
      <c r="N465" t="n">
        <v>0</v>
      </c>
      <c r="O465" t="n">
        <v>0</v>
      </c>
      <c r="P465" t="n">
        <v>0</v>
      </c>
      <c r="Q465" t="n">
        <v>0</v>
      </c>
      <c r="R465" s="2" t="inlineStr"/>
    </row>
    <row r="466" ht="15" customHeight="1">
      <c r="A466" t="inlineStr">
        <is>
          <t>A 39843-2023</t>
        </is>
      </c>
      <c r="B466" s="1" t="n">
        <v>45168</v>
      </c>
      <c r="C466" s="1" t="n">
        <v>46127</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23899-2025</t>
        </is>
      </c>
      <c r="B467" s="1" t="n">
        <v>45794.34414351852</v>
      </c>
      <c r="C467" s="1" t="n">
        <v>46127</v>
      </c>
      <c r="D467" t="inlineStr">
        <is>
          <t>VÄSTERNORRLANDS LÄN</t>
        </is>
      </c>
      <c r="E467" t="inlineStr">
        <is>
          <t>ÅNGE</t>
        </is>
      </c>
      <c r="F467" t="inlineStr">
        <is>
          <t>SCA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54079-2023</t>
        </is>
      </c>
      <c r="B468" s="1" t="n">
        <v>45231</v>
      </c>
      <c r="C468" s="1" t="n">
        <v>46127</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24357-2025</t>
        </is>
      </c>
      <c r="B469" s="1" t="n">
        <v>45797.59467592592</v>
      </c>
      <c r="C469" s="1" t="n">
        <v>46127</v>
      </c>
      <c r="D469" t="inlineStr">
        <is>
          <t>VÄSTERNORRLANDS LÄN</t>
        </is>
      </c>
      <c r="E469" t="inlineStr">
        <is>
          <t>ÅNGE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24292-2025</t>
        </is>
      </c>
      <c r="B470" s="1" t="n">
        <v>45797.46657407407</v>
      </c>
      <c r="C470" s="1" t="n">
        <v>46127</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56419-2025</t>
        </is>
      </c>
      <c r="B471" s="1" t="n">
        <v>45975.34445601852</v>
      </c>
      <c r="C471" s="1" t="n">
        <v>46127</v>
      </c>
      <c r="D471" t="inlineStr">
        <is>
          <t>VÄSTERNORRLANDS LÄN</t>
        </is>
      </c>
      <c r="E471" t="inlineStr">
        <is>
          <t>ÅNGE</t>
        </is>
      </c>
      <c r="F471" t="inlineStr">
        <is>
          <t>SCA</t>
        </is>
      </c>
      <c r="G471" t="n">
        <v>21.4</v>
      </c>
      <c r="H471" t="n">
        <v>0</v>
      </c>
      <c r="I471" t="n">
        <v>0</v>
      </c>
      <c r="J471" t="n">
        <v>0</v>
      </c>
      <c r="K471" t="n">
        <v>0</v>
      </c>
      <c r="L471" t="n">
        <v>0</v>
      </c>
      <c r="M471" t="n">
        <v>0</v>
      </c>
      <c r="N471" t="n">
        <v>0</v>
      </c>
      <c r="O471" t="n">
        <v>0</v>
      </c>
      <c r="P471" t="n">
        <v>0</v>
      </c>
      <c r="Q471" t="n">
        <v>0</v>
      </c>
      <c r="R471" s="2" t="inlineStr"/>
    </row>
    <row r="472" ht="15" customHeight="1">
      <c r="A472" t="inlineStr">
        <is>
          <t>A 46775-2024</t>
        </is>
      </c>
      <c r="B472" s="1" t="n">
        <v>45583.49711805556</v>
      </c>
      <c r="C472" s="1" t="n">
        <v>46127</v>
      </c>
      <c r="D472" t="inlineStr">
        <is>
          <t>VÄSTERNORRLANDS LÄN</t>
        </is>
      </c>
      <c r="E472" t="inlineStr">
        <is>
          <t>ÅNGE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46780-2024</t>
        </is>
      </c>
      <c r="B473" s="1" t="n">
        <v>45583.51076388889</v>
      </c>
      <c r="C473" s="1" t="n">
        <v>46127</v>
      </c>
      <c r="D473" t="inlineStr">
        <is>
          <t>VÄSTERNORRLANDS LÄN</t>
        </is>
      </c>
      <c r="E473" t="inlineStr">
        <is>
          <t>ÅNGE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24008-2025</t>
        </is>
      </c>
      <c r="B474" s="1" t="n">
        <v>45796.43841435185</v>
      </c>
      <c r="C474" s="1" t="n">
        <v>46127</v>
      </c>
      <c r="D474" t="inlineStr">
        <is>
          <t>VÄSTERNORRLANDS LÄN</t>
        </is>
      </c>
      <c r="E474" t="inlineStr">
        <is>
          <t>ÅNGE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41575-2024</t>
        </is>
      </c>
      <c r="B475" s="1" t="n">
        <v>45560.55106481481</v>
      </c>
      <c r="C475" s="1" t="n">
        <v>46127</v>
      </c>
      <c r="D475" t="inlineStr">
        <is>
          <t>VÄSTERNORRLANDS LÄN</t>
        </is>
      </c>
      <c r="E475" t="inlineStr">
        <is>
          <t>ÅNGE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19007-2025</t>
        </is>
      </c>
      <c r="B476" s="1" t="n">
        <v>45764.58515046296</v>
      </c>
      <c r="C476" s="1" t="n">
        <v>46127</v>
      </c>
      <c r="D476" t="inlineStr">
        <is>
          <t>VÄSTERNORRLANDS LÄN</t>
        </is>
      </c>
      <c r="E476" t="inlineStr">
        <is>
          <t>ÅNGE</t>
        </is>
      </c>
      <c r="G476" t="n">
        <v>3.7</v>
      </c>
      <c r="H476" t="n">
        <v>0</v>
      </c>
      <c r="I476" t="n">
        <v>0</v>
      </c>
      <c r="J476" t="n">
        <v>0</v>
      </c>
      <c r="K476" t="n">
        <v>0</v>
      </c>
      <c r="L476" t="n">
        <v>0</v>
      </c>
      <c r="M476" t="n">
        <v>0</v>
      </c>
      <c r="N476" t="n">
        <v>0</v>
      </c>
      <c r="O476" t="n">
        <v>0</v>
      </c>
      <c r="P476" t="n">
        <v>0</v>
      </c>
      <c r="Q476" t="n">
        <v>0</v>
      </c>
      <c r="R476" s="2" t="inlineStr"/>
    </row>
    <row r="477" ht="15" customHeight="1">
      <c r="A477" t="inlineStr">
        <is>
          <t>A 41355-2024</t>
        </is>
      </c>
      <c r="B477" s="1" t="n">
        <v>45559.69833333333</v>
      </c>
      <c r="C477" s="1" t="n">
        <v>46127</v>
      </c>
      <c r="D477" t="inlineStr">
        <is>
          <t>VÄSTERNORRLANDS LÄN</t>
        </is>
      </c>
      <c r="E477" t="inlineStr">
        <is>
          <t>ÅNGE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41741-2023</t>
        </is>
      </c>
      <c r="B478" s="1" t="n">
        <v>45176.42164351852</v>
      </c>
      <c r="C478" s="1" t="n">
        <v>46127</v>
      </c>
      <c r="D478" t="inlineStr">
        <is>
          <t>VÄSTERNORRLANDS LÄN</t>
        </is>
      </c>
      <c r="E478" t="inlineStr">
        <is>
          <t>ÅNGE</t>
        </is>
      </c>
      <c r="G478" t="n">
        <v>7.8</v>
      </c>
      <c r="H478" t="n">
        <v>0</v>
      </c>
      <c r="I478" t="n">
        <v>0</v>
      </c>
      <c r="J478" t="n">
        <v>0</v>
      </c>
      <c r="K478" t="n">
        <v>0</v>
      </c>
      <c r="L478" t="n">
        <v>0</v>
      </c>
      <c r="M478" t="n">
        <v>0</v>
      </c>
      <c r="N478" t="n">
        <v>0</v>
      </c>
      <c r="O478" t="n">
        <v>0</v>
      </c>
      <c r="P478" t="n">
        <v>0</v>
      </c>
      <c r="Q478" t="n">
        <v>0</v>
      </c>
      <c r="R478" s="2" t="inlineStr"/>
    </row>
    <row r="479" ht="15" customHeight="1">
      <c r="A479" t="inlineStr">
        <is>
          <t>A 732-2023</t>
        </is>
      </c>
      <c r="B479" s="1" t="n">
        <v>44931.29981481482</v>
      </c>
      <c r="C479" s="1" t="n">
        <v>46127</v>
      </c>
      <c r="D479" t="inlineStr">
        <is>
          <t>VÄSTERNORRLANDS LÄN</t>
        </is>
      </c>
      <c r="E479" t="inlineStr">
        <is>
          <t>ÅNGE</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29702-2024</t>
        </is>
      </c>
      <c r="B480" s="1" t="n">
        <v>45485.31525462963</v>
      </c>
      <c r="C480" s="1" t="n">
        <v>46127</v>
      </c>
      <c r="D480" t="inlineStr">
        <is>
          <t>VÄSTERNORRLANDS LÄN</t>
        </is>
      </c>
      <c r="E480" t="inlineStr">
        <is>
          <t>ÅNGE</t>
        </is>
      </c>
      <c r="G480" t="n">
        <v>2.6</v>
      </c>
      <c r="H480" t="n">
        <v>0</v>
      </c>
      <c r="I480" t="n">
        <v>0</v>
      </c>
      <c r="J480" t="n">
        <v>0</v>
      </c>
      <c r="K480" t="n">
        <v>0</v>
      </c>
      <c r="L480" t="n">
        <v>0</v>
      </c>
      <c r="M480" t="n">
        <v>0</v>
      </c>
      <c r="N480" t="n">
        <v>0</v>
      </c>
      <c r="O480" t="n">
        <v>0</v>
      </c>
      <c r="P480" t="n">
        <v>0</v>
      </c>
      <c r="Q480" t="n">
        <v>0</v>
      </c>
      <c r="R480" s="2" t="inlineStr"/>
    </row>
    <row r="481" ht="15" customHeight="1">
      <c r="A481" t="inlineStr">
        <is>
          <t>A 23069-2024</t>
        </is>
      </c>
      <c r="B481" s="1" t="n">
        <v>45450</v>
      </c>
      <c r="C481" s="1" t="n">
        <v>46127</v>
      </c>
      <c r="D481" t="inlineStr">
        <is>
          <t>VÄSTERNORRLANDS LÄN</t>
        </is>
      </c>
      <c r="E481" t="inlineStr">
        <is>
          <t>ÅNGE</t>
        </is>
      </c>
      <c r="G481" t="n">
        <v>1.5</v>
      </c>
      <c r="H481" t="n">
        <v>0</v>
      </c>
      <c r="I481" t="n">
        <v>0</v>
      </c>
      <c r="J481" t="n">
        <v>0</v>
      </c>
      <c r="K481" t="n">
        <v>0</v>
      </c>
      <c r="L481" t="n">
        <v>0</v>
      </c>
      <c r="M481" t="n">
        <v>0</v>
      </c>
      <c r="N481" t="n">
        <v>0</v>
      </c>
      <c r="O481" t="n">
        <v>0</v>
      </c>
      <c r="P481" t="n">
        <v>0</v>
      </c>
      <c r="Q481" t="n">
        <v>0</v>
      </c>
      <c r="R481" s="2" t="inlineStr"/>
    </row>
    <row r="482" ht="15" customHeight="1">
      <c r="A482" t="inlineStr">
        <is>
          <t>A 24209-2025</t>
        </is>
      </c>
      <c r="B482" s="1" t="n">
        <v>45797.3446875</v>
      </c>
      <c r="C482" s="1" t="n">
        <v>46127</v>
      </c>
      <c r="D482" t="inlineStr">
        <is>
          <t>VÄSTERNORRLANDS LÄN</t>
        </is>
      </c>
      <c r="E482" t="inlineStr">
        <is>
          <t>ÅNGE</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10781-2024</t>
        </is>
      </c>
      <c r="B483" s="1" t="n">
        <v>45369.59635416666</v>
      </c>
      <c r="C483" s="1" t="n">
        <v>46127</v>
      </c>
      <c r="D483" t="inlineStr">
        <is>
          <t>VÄSTERNORRLANDS LÄN</t>
        </is>
      </c>
      <c r="E483" t="inlineStr">
        <is>
          <t>ÅNGE</t>
        </is>
      </c>
      <c r="G483" t="n">
        <v>1.9</v>
      </c>
      <c r="H483" t="n">
        <v>0</v>
      </c>
      <c r="I483" t="n">
        <v>0</v>
      </c>
      <c r="J483" t="n">
        <v>0</v>
      </c>
      <c r="K483" t="n">
        <v>0</v>
      </c>
      <c r="L483" t="n">
        <v>0</v>
      </c>
      <c r="M483" t="n">
        <v>0</v>
      </c>
      <c r="N483" t="n">
        <v>0</v>
      </c>
      <c r="O483" t="n">
        <v>0</v>
      </c>
      <c r="P483" t="n">
        <v>0</v>
      </c>
      <c r="Q483" t="n">
        <v>0</v>
      </c>
      <c r="R483" s="2" t="inlineStr"/>
    </row>
    <row r="484" ht="15" customHeight="1">
      <c r="A484" t="inlineStr">
        <is>
          <t>A 39434-2025</t>
        </is>
      </c>
      <c r="B484" s="1" t="n">
        <v>45889.67811342593</v>
      </c>
      <c r="C484" s="1" t="n">
        <v>46127</v>
      </c>
      <c r="D484" t="inlineStr">
        <is>
          <t>VÄSTERNORRLANDS LÄN</t>
        </is>
      </c>
      <c r="E484" t="inlineStr">
        <is>
          <t>ÅNGE</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39444-2025</t>
        </is>
      </c>
      <c r="B485" s="1" t="n">
        <v>45889.69826388889</v>
      </c>
      <c r="C485" s="1" t="n">
        <v>46127</v>
      </c>
      <c r="D485" t="inlineStr">
        <is>
          <t>VÄSTERNORRLANDS LÄN</t>
        </is>
      </c>
      <c r="E485" t="inlineStr">
        <is>
          <t>ÅNGE</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23975-2025</t>
        </is>
      </c>
      <c r="B486" s="1" t="n">
        <v>45796.38614583333</v>
      </c>
      <c r="C486" s="1" t="n">
        <v>46127</v>
      </c>
      <c r="D486" t="inlineStr">
        <is>
          <t>VÄSTERNORRLANDS LÄN</t>
        </is>
      </c>
      <c r="E486" t="inlineStr">
        <is>
          <t>ÅNGE</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23976-2025</t>
        </is>
      </c>
      <c r="B487" s="1" t="n">
        <v>45796.38625</v>
      </c>
      <c r="C487" s="1" t="n">
        <v>46127</v>
      </c>
      <c r="D487" t="inlineStr">
        <is>
          <t>VÄSTERNORRLANDS LÄN</t>
        </is>
      </c>
      <c r="E487" t="inlineStr">
        <is>
          <t>ÅNGE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57516-2023</t>
        </is>
      </c>
      <c r="B488" s="1" t="n">
        <v>45246.44665509259</v>
      </c>
      <c r="C488" s="1" t="n">
        <v>46127</v>
      </c>
      <c r="D488" t="inlineStr">
        <is>
          <t>VÄSTERNORRLANDS LÄN</t>
        </is>
      </c>
      <c r="E488" t="inlineStr">
        <is>
          <t>ÅNGE</t>
        </is>
      </c>
      <c r="G488" t="n">
        <v>2.2</v>
      </c>
      <c r="H488" t="n">
        <v>0</v>
      </c>
      <c r="I488" t="n">
        <v>0</v>
      </c>
      <c r="J488" t="n">
        <v>0</v>
      </c>
      <c r="K488" t="n">
        <v>0</v>
      </c>
      <c r="L488" t="n">
        <v>0</v>
      </c>
      <c r="M488" t="n">
        <v>0</v>
      </c>
      <c r="N488" t="n">
        <v>0</v>
      </c>
      <c r="O488" t="n">
        <v>0</v>
      </c>
      <c r="P488" t="n">
        <v>0</v>
      </c>
      <c r="Q488" t="n">
        <v>0</v>
      </c>
      <c r="R488" s="2" t="inlineStr"/>
    </row>
    <row r="489" ht="15" customHeight="1">
      <c r="A489" t="inlineStr">
        <is>
          <t>A 58943-2022</t>
        </is>
      </c>
      <c r="B489" s="1" t="n">
        <v>44903.64400462963</v>
      </c>
      <c r="C489" s="1" t="n">
        <v>46127</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26641-2024</t>
        </is>
      </c>
      <c r="B490" s="1" t="n">
        <v>45469.92836805555</v>
      </c>
      <c r="C490" s="1" t="n">
        <v>46127</v>
      </c>
      <c r="D490" t="inlineStr">
        <is>
          <t>VÄSTERNORRLANDS LÄN</t>
        </is>
      </c>
      <c r="E490" t="inlineStr">
        <is>
          <t>ÅNGE</t>
        </is>
      </c>
      <c r="G490" t="n">
        <v>4.5</v>
      </c>
      <c r="H490" t="n">
        <v>0</v>
      </c>
      <c r="I490" t="n">
        <v>0</v>
      </c>
      <c r="J490" t="n">
        <v>0</v>
      </c>
      <c r="K490" t="n">
        <v>0</v>
      </c>
      <c r="L490" t="n">
        <v>0</v>
      </c>
      <c r="M490" t="n">
        <v>0</v>
      </c>
      <c r="N490" t="n">
        <v>0</v>
      </c>
      <c r="O490" t="n">
        <v>0</v>
      </c>
      <c r="P490" t="n">
        <v>0</v>
      </c>
      <c r="Q490" t="n">
        <v>0</v>
      </c>
      <c r="R490" s="2" t="inlineStr"/>
    </row>
    <row r="491" ht="15" customHeight="1">
      <c r="A491" t="inlineStr">
        <is>
          <t>A 37992-2024</t>
        </is>
      </c>
      <c r="B491" s="1" t="n">
        <v>45544.59524305556</v>
      </c>
      <c r="C491" s="1" t="n">
        <v>46127</v>
      </c>
      <c r="D491" t="inlineStr">
        <is>
          <t>VÄSTERNORRLANDS LÄN</t>
        </is>
      </c>
      <c r="E491" t="inlineStr">
        <is>
          <t>ÅNGE</t>
        </is>
      </c>
      <c r="G491" t="n">
        <v>3.9</v>
      </c>
      <c r="H491" t="n">
        <v>0</v>
      </c>
      <c r="I491" t="n">
        <v>0</v>
      </c>
      <c r="J491" t="n">
        <v>0</v>
      </c>
      <c r="K491" t="n">
        <v>0</v>
      </c>
      <c r="L491" t="n">
        <v>0</v>
      </c>
      <c r="M491" t="n">
        <v>0</v>
      </c>
      <c r="N491" t="n">
        <v>0</v>
      </c>
      <c r="O491" t="n">
        <v>0</v>
      </c>
      <c r="P491" t="n">
        <v>0</v>
      </c>
      <c r="Q491" t="n">
        <v>0</v>
      </c>
      <c r="R491" s="2" t="inlineStr"/>
    </row>
    <row r="492" ht="15" customHeight="1">
      <c r="A492" t="inlineStr">
        <is>
          <t>A 29462-2024</t>
        </is>
      </c>
      <c r="B492" s="1" t="n">
        <v>45483.96979166667</v>
      </c>
      <c r="C492" s="1" t="n">
        <v>46127</v>
      </c>
      <c r="D492" t="inlineStr">
        <is>
          <t>VÄSTERNORRLANDS LÄN</t>
        </is>
      </c>
      <c r="E492" t="inlineStr">
        <is>
          <t>ÅNGE</t>
        </is>
      </c>
      <c r="F492" t="inlineStr">
        <is>
          <t>SCA</t>
        </is>
      </c>
      <c r="G492" t="n">
        <v>8.4</v>
      </c>
      <c r="H492" t="n">
        <v>0</v>
      </c>
      <c r="I492" t="n">
        <v>0</v>
      </c>
      <c r="J492" t="n">
        <v>0</v>
      </c>
      <c r="K492" t="n">
        <v>0</v>
      </c>
      <c r="L492" t="n">
        <v>0</v>
      </c>
      <c r="M492" t="n">
        <v>0</v>
      </c>
      <c r="N492" t="n">
        <v>0</v>
      </c>
      <c r="O492" t="n">
        <v>0</v>
      </c>
      <c r="P492" t="n">
        <v>0</v>
      </c>
      <c r="Q492" t="n">
        <v>0</v>
      </c>
      <c r="R492" s="2" t="inlineStr"/>
    </row>
    <row r="493" ht="15" customHeight="1">
      <c r="A493" t="inlineStr">
        <is>
          <t>A 24207-2025</t>
        </is>
      </c>
      <c r="B493" s="1" t="n">
        <v>45797.34439814815</v>
      </c>
      <c r="C493" s="1" t="n">
        <v>46127</v>
      </c>
      <c r="D493" t="inlineStr">
        <is>
          <t>VÄSTERNORRLANDS LÄN</t>
        </is>
      </c>
      <c r="E493" t="inlineStr">
        <is>
          <t>ÅNGE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55177-2024</t>
        </is>
      </c>
      <c r="B494" s="1" t="n">
        <v>45621.53179398148</v>
      </c>
      <c r="C494" s="1" t="n">
        <v>46127</v>
      </c>
      <c r="D494" t="inlineStr">
        <is>
          <t>VÄSTERNORRLANDS LÄN</t>
        </is>
      </c>
      <c r="E494" t="inlineStr">
        <is>
          <t>ÅNGE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43145-2024</t>
        </is>
      </c>
      <c r="B495" s="1" t="n">
        <v>45567.63030092593</v>
      </c>
      <c r="C495" s="1" t="n">
        <v>46127</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32051-2025</t>
        </is>
      </c>
      <c r="B496" s="1" t="n">
        <v>45835.44185185185</v>
      </c>
      <c r="C496" s="1" t="n">
        <v>46127</v>
      </c>
      <c r="D496" t="inlineStr">
        <is>
          <t>VÄSTERNORRLANDS LÄN</t>
        </is>
      </c>
      <c r="E496" t="inlineStr">
        <is>
          <t>ÅNGE</t>
        </is>
      </c>
      <c r="G496" t="n">
        <v>4</v>
      </c>
      <c r="H496" t="n">
        <v>0</v>
      </c>
      <c r="I496" t="n">
        <v>0</v>
      </c>
      <c r="J496" t="n">
        <v>0</v>
      </c>
      <c r="K496" t="n">
        <v>0</v>
      </c>
      <c r="L496" t="n">
        <v>0</v>
      </c>
      <c r="M496" t="n">
        <v>0</v>
      </c>
      <c r="N496" t="n">
        <v>0</v>
      </c>
      <c r="O496" t="n">
        <v>0</v>
      </c>
      <c r="P496" t="n">
        <v>0</v>
      </c>
      <c r="Q496" t="n">
        <v>0</v>
      </c>
      <c r="R496" s="2" t="inlineStr"/>
    </row>
    <row r="497" ht="15" customHeight="1">
      <c r="A497" t="inlineStr">
        <is>
          <t>A 23917-2025</t>
        </is>
      </c>
      <c r="B497" s="1" t="n">
        <v>45795.34481481482</v>
      </c>
      <c r="C497" s="1" t="n">
        <v>46127</v>
      </c>
      <c r="D497" t="inlineStr">
        <is>
          <t>VÄSTERNORRLANDS LÄN</t>
        </is>
      </c>
      <c r="E497" t="inlineStr">
        <is>
          <t>ÅNGE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23921-2025</t>
        </is>
      </c>
      <c r="B498" s="1" t="n">
        <v>45795.34513888889</v>
      </c>
      <c r="C498" s="1" t="n">
        <v>46127</v>
      </c>
      <c r="D498" t="inlineStr">
        <is>
          <t>VÄSTERNORRLANDS LÄN</t>
        </is>
      </c>
      <c r="E498" t="inlineStr">
        <is>
          <t>ÅNGE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33305-2024</t>
        </is>
      </c>
      <c r="B499" s="1" t="n">
        <v>45518</v>
      </c>
      <c r="C499" s="1" t="n">
        <v>46127</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33306-2024</t>
        </is>
      </c>
      <c r="B500" s="1" t="n">
        <v>45518</v>
      </c>
      <c r="C500" s="1" t="n">
        <v>46127</v>
      </c>
      <c r="D500" t="inlineStr">
        <is>
          <t>VÄSTERNORRLANDS LÄN</t>
        </is>
      </c>
      <c r="E500" t="inlineStr">
        <is>
          <t>ÅNGE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24232-2025</t>
        </is>
      </c>
      <c r="B501" s="1" t="n">
        <v>45797.37846064815</v>
      </c>
      <c r="C501" s="1" t="n">
        <v>46127</v>
      </c>
      <c r="D501" t="inlineStr">
        <is>
          <t>VÄSTERNORRLANDS LÄN</t>
        </is>
      </c>
      <c r="E501" t="inlineStr">
        <is>
          <t>ÅNGE</t>
        </is>
      </c>
      <c r="G501" t="n">
        <v>2.8</v>
      </c>
      <c r="H501" t="n">
        <v>0</v>
      </c>
      <c r="I501" t="n">
        <v>0</v>
      </c>
      <c r="J501" t="n">
        <v>0</v>
      </c>
      <c r="K501" t="n">
        <v>0</v>
      </c>
      <c r="L501" t="n">
        <v>0</v>
      </c>
      <c r="M501" t="n">
        <v>0</v>
      </c>
      <c r="N501" t="n">
        <v>0</v>
      </c>
      <c r="O501" t="n">
        <v>0</v>
      </c>
      <c r="P501" t="n">
        <v>0</v>
      </c>
      <c r="Q501" t="n">
        <v>0</v>
      </c>
      <c r="R501" s="2" t="inlineStr"/>
    </row>
    <row r="502" ht="15" customHeight="1">
      <c r="A502" t="inlineStr">
        <is>
          <t>A 29270-2024</t>
        </is>
      </c>
      <c r="B502" s="1" t="n">
        <v>45482.94979166667</v>
      </c>
      <c r="C502" s="1" t="n">
        <v>46127</v>
      </c>
      <c r="D502" t="inlineStr">
        <is>
          <t>VÄSTERNORRLANDS LÄN</t>
        </is>
      </c>
      <c r="E502" t="inlineStr">
        <is>
          <t>ÅNGE</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56188-2024</t>
        </is>
      </c>
      <c r="B503" s="1" t="n">
        <v>45624.57800925926</v>
      </c>
      <c r="C503" s="1" t="n">
        <v>46127</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28506-2024</t>
        </is>
      </c>
      <c r="B504" s="1" t="n">
        <v>45477.9475</v>
      </c>
      <c r="C504" s="1" t="n">
        <v>46127</v>
      </c>
      <c r="D504" t="inlineStr">
        <is>
          <t>VÄSTERNORRLANDS LÄN</t>
        </is>
      </c>
      <c r="E504" t="inlineStr">
        <is>
          <t>ÅNGE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24458-2025</t>
        </is>
      </c>
      <c r="B505" s="1" t="n">
        <v>45798.34476851852</v>
      </c>
      <c r="C505" s="1" t="n">
        <v>46127</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24627-2025</t>
        </is>
      </c>
      <c r="B506" s="1" t="n">
        <v>45798.59471064815</v>
      </c>
      <c r="C506" s="1" t="n">
        <v>46127</v>
      </c>
      <c r="D506" t="inlineStr">
        <is>
          <t>VÄSTERNORRLANDS LÄN</t>
        </is>
      </c>
      <c r="E506" t="inlineStr">
        <is>
          <t>ÅNGE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39768-2025</t>
        </is>
      </c>
      <c r="B507" s="1" t="n">
        <v>45891.44842592593</v>
      </c>
      <c r="C507" s="1" t="n">
        <v>46127</v>
      </c>
      <c r="D507" t="inlineStr">
        <is>
          <t>VÄSTERNORRLANDS LÄN</t>
        </is>
      </c>
      <c r="E507" t="inlineStr">
        <is>
          <t>ÅNGE</t>
        </is>
      </c>
      <c r="G507" t="n">
        <v>10.4</v>
      </c>
      <c r="H507" t="n">
        <v>0</v>
      </c>
      <c r="I507" t="n">
        <v>0</v>
      </c>
      <c r="J507" t="n">
        <v>0</v>
      </c>
      <c r="K507" t="n">
        <v>0</v>
      </c>
      <c r="L507" t="n">
        <v>0</v>
      </c>
      <c r="M507" t="n">
        <v>0</v>
      </c>
      <c r="N507" t="n">
        <v>0</v>
      </c>
      <c r="O507" t="n">
        <v>0</v>
      </c>
      <c r="P507" t="n">
        <v>0</v>
      </c>
      <c r="Q507" t="n">
        <v>0</v>
      </c>
      <c r="R507" s="2" t="inlineStr"/>
    </row>
    <row r="508" ht="15" customHeight="1">
      <c r="A508" t="inlineStr">
        <is>
          <t>A 39729-2025</t>
        </is>
      </c>
      <c r="B508" s="1" t="n">
        <v>45891</v>
      </c>
      <c r="C508" s="1" t="n">
        <v>46127</v>
      </c>
      <c r="D508" t="inlineStr">
        <is>
          <t>VÄSTERNORRLANDS LÄN</t>
        </is>
      </c>
      <c r="E508" t="inlineStr">
        <is>
          <t>ÅNGE</t>
        </is>
      </c>
      <c r="G508" t="n">
        <v>2.3</v>
      </c>
      <c r="H508" t="n">
        <v>0</v>
      </c>
      <c r="I508" t="n">
        <v>0</v>
      </c>
      <c r="J508" t="n">
        <v>0</v>
      </c>
      <c r="K508" t="n">
        <v>0</v>
      </c>
      <c r="L508" t="n">
        <v>0</v>
      </c>
      <c r="M508" t="n">
        <v>0</v>
      </c>
      <c r="N508" t="n">
        <v>0</v>
      </c>
      <c r="O508" t="n">
        <v>0</v>
      </c>
      <c r="P508" t="n">
        <v>0</v>
      </c>
      <c r="Q508" t="n">
        <v>0</v>
      </c>
      <c r="R508" s="2" t="inlineStr"/>
    </row>
    <row r="509" ht="15" customHeight="1">
      <c r="A509" t="inlineStr">
        <is>
          <t>A 27853-2024</t>
        </is>
      </c>
      <c r="B509" s="1" t="n">
        <v>45475</v>
      </c>
      <c r="C509" s="1" t="n">
        <v>46127</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34861-2024</t>
        </is>
      </c>
      <c r="B510" s="1" t="n">
        <v>45527.339375</v>
      </c>
      <c r="C510" s="1" t="n">
        <v>46127</v>
      </c>
      <c r="D510" t="inlineStr">
        <is>
          <t>VÄSTERNORRLANDS LÄN</t>
        </is>
      </c>
      <c r="E510" t="inlineStr">
        <is>
          <t>ÅNGE</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24847-2025</t>
        </is>
      </c>
      <c r="B511" s="1" t="n">
        <v>45799.46907407408</v>
      </c>
      <c r="C511" s="1" t="n">
        <v>46127</v>
      </c>
      <c r="D511" t="inlineStr">
        <is>
          <t>VÄSTERNORRLANDS LÄN</t>
        </is>
      </c>
      <c r="E511" t="inlineStr">
        <is>
          <t>ÅNGE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25017-2025</t>
        </is>
      </c>
      <c r="B512" s="1" t="n">
        <v>45799.63791666667</v>
      </c>
      <c r="C512" s="1" t="n">
        <v>46127</v>
      </c>
      <c r="D512" t="inlineStr">
        <is>
          <t>VÄSTERNORRLANDS LÄN</t>
        </is>
      </c>
      <c r="E512" t="inlineStr">
        <is>
          <t>ÅNGE</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16450-2025</t>
        </is>
      </c>
      <c r="B513" s="1" t="n">
        <v>45751.51081018519</v>
      </c>
      <c r="C513" s="1" t="n">
        <v>46127</v>
      </c>
      <c r="D513" t="inlineStr">
        <is>
          <t>VÄSTERNORRLANDS LÄN</t>
        </is>
      </c>
      <c r="E513" t="inlineStr">
        <is>
          <t>ÅNGE</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61461-2023</t>
        </is>
      </c>
      <c r="B514" s="1" t="n">
        <v>45264.9261574074</v>
      </c>
      <c r="C514" s="1" t="n">
        <v>46127</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39005-2024</t>
        </is>
      </c>
      <c r="B515" s="1" t="n">
        <v>45548.42743055556</v>
      </c>
      <c r="C515" s="1" t="n">
        <v>46127</v>
      </c>
      <c r="D515" t="inlineStr">
        <is>
          <t>VÄSTERNORRLANDS LÄN</t>
        </is>
      </c>
      <c r="E515" t="inlineStr">
        <is>
          <t>ÅNGE</t>
        </is>
      </c>
      <c r="F515" t="inlineStr">
        <is>
          <t>SCA</t>
        </is>
      </c>
      <c r="G515" t="n">
        <v>2.6</v>
      </c>
      <c r="H515" t="n">
        <v>0</v>
      </c>
      <c r="I515" t="n">
        <v>0</v>
      </c>
      <c r="J515" t="n">
        <v>0</v>
      </c>
      <c r="K515" t="n">
        <v>0</v>
      </c>
      <c r="L515" t="n">
        <v>0</v>
      </c>
      <c r="M515" t="n">
        <v>0</v>
      </c>
      <c r="N515" t="n">
        <v>0</v>
      </c>
      <c r="O515" t="n">
        <v>0</v>
      </c>
      <c r="P515" t="n">
        <v>0</v>
      </c>
      <c r="Q515" t="n">
        <v>0</v>
      </c>
      <c r="R515" s="2" t="inlineStr"/>
      <c r="U515">
        <f>HYPERLINK("https://klasma.github.io/Logging_2260/knärot/A 39005-2024 karta knärot.png", "A 39005-2024")</f>
        <v/>
      </c>
      <c r="V515">
        <f>HYPERLINK("https://klasma.github.io/Logging_2260/klagomål/A 39005-2024 FSC-klagomål.docx", "A 39005-2024")</f>
        <v/>
      </c>
      <c r="W515">
        <f>HYPERLINK("https://klasma.github.io/Logging_2260/klagomålsmail/A 39005-2024 FSC-klagomål mail.docx", "A 39005-2024")</f>
        <v/>
      </c>
      <c r="X515">
        <f>HYPERLINK("https://klasma.github.io/Logging_2260/tillsyn/A 39005-2024 tillsynsbegäran.docx", "A 39005-2024")</f>
        <v/>
      </c>
      <c r="Y515">
        <f>HYPERLINK("https://klasma.github.io/Logging_2260/tillsynsmail/A 39005-2024 tillsynsbegäran mail.docx", "A 39005-2024")</f>
        <v/>
      </c>
    </row>
    <row r="516" ht="15" customHeight="1">
      <c r="A516" t="inlineStr">
        <is>
          <t>A 30054-2024</t>
        </is>
      </c>
      <c r="B516" s="1" t="n">
        <v>45488.94758101852</v>
      </c>
      <c r="C516" s="1" t="n">
        <v>46127</v>
      </c>
      <c r="D516" t="inlineStr">
        <is>
          <t>VÄSTERNORRLANDS LÄN</t>
        </is>
      </c>
      <c r="E516" t="inlineStr">
        <is>
          <t>ÅNGE</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24852-2025</t>
        </is>
      </c>
      <c r="B517" s="1" t="n">
        <v>45799.46975694445</v>
      </c>
      <c r="C517" s="1" t="n">
        <v>46127</v>
      </c>
      <c r="D517" t="inlineStr">
        <is>
          <t>VÄSTERNORRLANDS LÄN</t>
        </is>
      </c>
      <c r="E517" t="inlineStr">
        <is>
          <t>ÅNGE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43622-2023</t>
        </is>
      </c>
      <c r="B518" s="1" t="n">
        <v>45184.70777777778</v>
      </c>
      <c r="C518" s="1" t="n">
        <v>46127</v>
      </c>
      <c r="D518" t="inlineStr">
        <is>
          <t>VÄSTERNORRLANDS LÄN</t>
        </is>
      </c>
      <c r="E518" t="inlineStr">
        <is>
          <t>ÅNGE</t>
        </is>
      </c>
      <c r="F518" t="inlineStr">
        <is>
          <t>Holmen skog AB</t>
        </is>
      </c>
      <c r="G518" t="n">
        <v>5.9</v>
      </c>
      <c r="H518" t="n">
        <v>0</v>
      </c>
      <c r="I518" t="n">
        <v>0</v>
      </c>
      <c r="J518" t="n">
        <v>0</v>
      </c>
      <c r="K518" t="n">
        <v>0</v>
      </c>
      <c r="L518" t="n">
        <v>0</v>
      </c>
      <c r="M518" t="n">
        <v>0</v>
      </c>
      <c r="N518" t="n">
        <v>0</v>
      </c>
      <c r="O518" t="n">
        <v>0</v>
      </c>
      <c r="P518" t="n">
        <v>0</v>
      </c>
      <c r="Q518" t="n">
        <v>0</v>
      </c>
      <c r="R518" s="2" t="inlineStr"/>
    </row>
    <row r="519" ht="15" customHeight="1">
      <c r="A519" t="inlineStr">
        <is>
          <t>A 25067-2025</t>
        </is>
      </c>
      <c r="B519" s="1" t="n">
        <v>45799.71908564815</v>
      </c>
      <c r="C519" s="1" t="n">
        <v>46127</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33720-2025</t>
        </is>
      </c>
      <c r="B520" s="1" t="n">
        <v>45841.90605324074</v>
      </c>
      <c r="C520" s="1" t="n">
        <v>46127</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29390-2021</t>
        </is>
      </c>
      <c r="B521" s="1" t="n">
        <v>44361</v>
      </c>
      <c r="C521" s="1" t="n">
        <v>46127</v>
      </c>
      <c r="D521" t="inlineStr">
        <is>
          <t>VÄSTERNORRLANDS LÄN</t>
        </is>
      </c>
      <c r="E521" t="inlineStr">
        <is>
          <t>ÅNGE</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57593-2022</t>
        </is>
      </c>
      <c r="B522" s="1" t="n">
        <v>44896.97847222222</v>
      </c>
      <c r="C522" s="1" t="n">
        <v>46127</v>
      </c>
      <c r="D522" t="inlineStr">
        <is>
          <t>VÄSTERNORRLANDS LÄN</t>
        </is>
      </c>
      <c r="E522" t="inlineStr">
        <is>
          <t>ÅNGE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57596-2022</t>
        </is>
      </c>
      <c r="B523" s="1" t="n">
        <v>44896.97871527778</v>
      </c>
      <c r="C523" s="1" t="n">
        <v>46127</v>
      </c>
      <c r="D523" t="inlineStr">
        <is>
          <t>VÄSTERNORRLANDS LÄN</t>
        </is>
      </c>
      <c r="E523" t="inlineStr">
        <is>
          <t>ÅNGE</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57598-2022</t>
        </is>
      </c>
      <c r="B524" s="1" t="n">
        <v>44896</v>
      </c>
      <c r="C524" s="1" t="n">
        <v>46127</v>
      </c>
      <c r="D524" t="inlineStr">
        <is>
          <t>VÄSTERNORRLANDS LÄN</t>
        </is>
      </c>
      <c r="E524" t="inlineStr">
        <is>
          <t>ÅNGE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23063-2024</t>
        </is>
      </c>
      <c r="B525" s="1" t="n">
        <v>45450.44278935185</v>
      </c>
      <c r="C525" s="1" t="n">
        <v>46127</v>
      </c>
      <c r="D525" t="inlineStr">
        <is>
          <t>VÄSTERNORRLANDS LÄN</t>
        </is>
      </c>
      <c r="E525" t="inlineStr">
        <is>
          <t>ÅNGE</t>
        </is>
      </c>
      <c r="G525" t="n">
        <v>0.8</v>
      </c>
      <c r="H525" t="n">
        <v>0</v>
      </c>
      <c r="I525" t="n">
        <v>0</v>
      </c>
      <c r="J525" t="n">
        <v>0</v>
      </c>
      <c r="K525" t="n">
        <v>0</v>
      </c>
      <c r="L525" t="n">
        <v>0</v>
      </c>
      <c r="M525" t="n">
        <v>0</v>
      </c>
      <c r="N525" t="n">
        <v>0</v>
      </c>
      <c r="O525" t="n">
        <v>0</v>
      </c>
      <c r="P525" t="n">
        <v>0</v>
      </c>
      <c r="Q525" t="n">
        <v>0</v>
      </c>
      <c r="R525" s="2" t="inlineStr"/>
    </row>
    <row r="526" ht="15" customHeight="1">
      <c r="A526" t="inlineStr">
        <is>
          <t>A 36877-2024</t>
        </is>
      </c>
      <c r="B526" s="1" t="n">
        <v>45538.59418981482</v>
      </c>
      <c r="C526" s="1" t="n">
        <v>46127</v>
      </c>
      <c r="D526" t="inlineStr">
        <is>
          <t>VÄSTERNORRLANDS LÄN</t>
        </is>
      </c>
      <c r="E526" t="inlineStr">
        <is>
          <t>ÅNGE</t>
        </is>
      </c>
      <c r="G526" t="n">
        <v>3.3</v>
      </c>
      <c r="H526" t="n">
        <v>0</v>
      </c>
      <c r="I526" t="n">
        <v>0</v>
      </c>
      <c r="J526" t="n">
        <v>0</v>
      </c>
      <c r="K526" t="n">
        <v>0</v>
      </c>
      <c r="L526" t="n">
        <v>0</v>
      </c>
      <c r="M526" t="n">
        <v>0</v>
      </c>
      <c r="N526" t="n">
        <v>0</v>
      </c>
      <c r="O526" t="n">
        <v>0</v>
      </c>
      <c r="P526" t="n">
        <v>0</v>
      </c>
      <c r="Q526" t="n">
        <v>0</v>
      </c>
      <c r="R526" s="2" t="inlineStr"/>
    </row>
    <row r="527" ht="15" customHeight="1">
      <c r="A527" t="inlineStr">
        <is>
          <t>A 56423-2025</t>
        </is>
      </c>
      <c r="B527" s="1" t="n">
        <v>45975.34528935186</v>
      </c>
      <c r="C527" s="1" t="n">
        <v>46127</v>
      </c>
      <c r="D527" t="inlineStr">
        <is>
          <t>VÄSTERNORRLANDS LÄN</t>
        </is>
      </c>
      <c r="E527" t="inlineStr">
        <is>
          <t>ÅNGE</t>
        </is>
      </c>
      <c r="F527" t="inlineStr">
        <is>
          <t>SCA</t>
        </is>
      </c>
      <c r="G527" t="n">
        <v>1.5</v>
      </c>
      <c r="H527" t="n">
        <v>0</v>
      </c>
      <c r="I527" t="n">
        <v>0</v>
      </c>
      <c r="J527" t="n">
        <v>0</v>
      </c>
      <c r="K527" t="n">
        <v>0</v>
      </c>
      <c r="L527" t="n">
        <v>0</v>
      </c>
      <c r="M527" t="n">
        <v>0</v>
      </c>
      <c r="N527" t="n">
        <v>0</v>
      </c>
      <c r="O527" t="n">
        <v>0</v>
      </c>
      <c r="P527" t="n">
        <v>0</v>
      </c>
      <c r="Q527" t="n">
        <v>0</v>
      </c>
      <c r="R527" s="2" t="inlineStr"/>
      <c r="U527">
        <f>HYPERLINK("https://klasma.github.io/Logging_2260/knärot/A 56423-2025 karta knärot.png", "A 56423-2025")</f>
        <v/>
      </c>
      <c r="V527">
        <f>HYPERLINK("https://klasma.github.io/Logging_2260/klagomål/A 56423-2025 FSC-klagomål.docx", "A 56423-2025")</f>
        <v/>
      </c>
      <c r="W527">
        <f>HYPERLINK("https://klasma.github.io/Logging_2260/klagomålsmail/A 56423-2025 FSC-klagomål mail.docx", "A 56423-2025")</f>
        <v/>
      </c>
      <c r="X527">
        <f>HYPERLINK("https://klasma.github.io/Logging_2260/tillsyn/A 56423-2025 tillsynsbegäran.docx", "A 56423-2025")</f>
        <v/>
      </c>
      <c r="Y527">
        <f>HYPERLINK("https://klasma.github.io/Logging_2260/tillsynsmail/A 56423-2025 tillsynsbegäran mail.docx", "A 56423-2025")</f>
        <v/>
      </c>
    </row>
    <row r="528" ht="15" customHeight="1">
      <c r="A528" t="inlineStr">
        <is>
          <t>A 25352-2025</t>
        </is>
      </c>
      <c r="B528" s="1" t="n">
        <v>45800.61552083334</v>
      </c>
      <c r="C528" s="1" t="n">
        <v>46127</v>
      </c>
      <c r="D528" t="inlineStr">
        <is>
          <t>VÄSTERNORRLANDS LÄN</t>
        </is>
      </c>
      <c r="E528" t="inlineStr">
        <is>
          <t>ÅNGE</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10558-2023</t>
        </is>
      </c>
      <c r="B529" s="1" t="n">
        <v>44987.94438657408</v>
      </c>
      <c r="C529" s="1" t="n">
        <v>46127</v>
      </c>
      <c r="D529" t="inlineStr">
        <is>
          <t>VÄSTERNORRLANDS LÄN</t>
        </is>
      </c>
      <c r="E529" t="inlineStr">
        <is>
          <t>ÅNGE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35578-2025</t>
        </is>
      </c>
      <c r="B530" s="1" t="n">
        <v>45856.67797453704</v>
      </c>
      <c r="C530" s="1" t="n">
        <v>46127</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44158-2024</t>
        </is>
      </c>
      <c r="B531" s="1" t="n">
        <v>45572</v>
      </c>
      <c r="C531" s="1" t="n">
        <v>46127</v>
      </c>
      <c r="D531" t="inlineStr">
        <is>
          <t>VÄSTERNORRLANDS LÄN</t>
        </is>
      </c>
      <c r="E531" t="inlineStr">
        <is>
          <t>ÅNGE</t>
        </is>
      </c>
      <c r="G531" t="n">
        <v>2.6</v>
      </c>
      <c r="H531" t="n">
        <v>0</v>
      </c>
      <c r="I531" t="n">
        <v>0</v>
      </c>
      <c r="J531" t="n">
        <v>0</v>
      </c>
      <c r="K531" t="n">
        <v>0</v>
      </c>
      <c r="L531" t="n">
        <v>0</v>
      </c>
      <c r="M531" t="n">
        <v>0</v>
      </c>
      <c r="N531" t="n">
        <v>0</v>
      </c>
      <c r="O531" t="n">
        <v>0</v>
      </c>
      <c r="P531" t="n">
        <v>0</v>
      </c>
      <c r="Q531" t="n">
        <v>0</v>
      </c>
      <c r="R531" s="2" t="inlineStr"/>
    </row>
    <row r="532" ht="15" customHeight="1">
      <c r="A532" t="inlineStr">
        <is>
          <t>A 53651-2023</t>
        </is>
      </c>
      <c r="B532" s="1" t="n">
        <v>45230.60815972222</v>
      </c>
      <c r="C532" s="1" t="n">
        <v>46127</v>
      </c>
      <c r="D532" t="inlineStr">
        <is>
          <t>VÄSTERNORRLANDS LÄN</t>
        </is>
      </c>
      <c r="E532" t="inlineStr">
        <is>
          <t>ÅNGE</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25340-2025</t>
        </is>
      </c>
      <c r="B533" s="1" t="n">
        <v>45800.60074074074</v>
      </c>
      <c r="C533" s="1" t="n">
        <v>46127</v>
      </c>
      <c r="D533" t="inlineStr">
        <is>
          <t>VÄSTERNORRLANDS LÄN</t>
        </is>
      </c>
      <c r="E533" t="inlineStr">
        <is>
          <t>ÅNGE</t>
        </is>
      </c>
      <c r="G533" t="n">
        <v>2.7</v>
      </c>
      <c r="H533" t="n">
        <v>0</v>
      </c>
      <c r="I533" t="n">
        <v>0</v>
      </c>
      <c r="J533" t="n">
        <v>0</v>
      </c>
      <c r="K533" t="n">
        <v>0</v>
      </c>
      <c r="L533" t="n">
        <v>0</v>
      </c>
      <c r="M533" t="n">
        <v>0</v>
      </c>
      <c r="N533" t="n">
        <v>0</v>
      </c>
      <c r="O533" t="n">
        <v>0</v>
      </c>
      <c r="P533" t="n">
        <v>0</v>
      </c>
      <c r="Q533" t="n">
        <v>0</v>
      </c>
      <c r="R533" s="2" t="inlineStr"/>
    </row>
    <row r="534" ht="15" customHeight="1">
      <c r="A534" t="inlineStr">
        <is>
          <t>A 27951-2021</t>
        </is>
      </c>
      <c r="B534" s="1" t="n">
        <v>44354</v>
      </c>
      <c r="C534" s="1" t="n">
        <v>46127</v>
      </c>
      <c r="D534" t="inlineStr">
        <is>
          <t>VÄSTERNORRLANDS LÄN</t>
        </is>
      </c>
      <c r="E534" t="inlineStr">
        <is>
          <t>ÅNGE</t>
        </is>
      </c>
      <c r="G534" t="n">
        <v>3</v>
      </c>
      <c r="H534" t="n">
        <v>0</v>
      </c>
      <c r="I534" t="n">
        <v>0</v>
      </c>
      <c r="J534" t="n">
        <v>0</v>
      </c>
      <c r="K534" t="n">
        <v>0</v>
      </c>
      <c r="L534" t="n">
        <v>0</v>
      </c>
      <c r="M534" t="n">
        <v>0</v>
      </c>
      <c r="N534" t="n">
        <v>0</v>
      </c>
      <c r="O534" t="n">
        <v>0</v>
      </c>
      <c r="P534" t="n">
        <v>0</v>
      </c>
      <c r="Q534" t="n">
        <v>0</v>
      </c>
      <c r="R534" s="2" t="inlineStr"/>
    </row>
    <row r="535" ht="15" customHeight="1">
      <c r="A535" t="inlineStr">
        <is>
          <t>A 25532-2025</t>
        </is>
      </c>
      <c r="B535" s="1" t="n">
        <v>45803.4065162037</v>
      </c>
      <c r="C535" s="1" t="n">
        <v>46127</v>
      </c>
      <c r="D535" t="inlineStr">
        <is>
          <t>VÄSTERNORRLANDS LÄN</t>
        </is>
      </c>
      <c r="E535" t="inlineStr">
        <is>
          <t>ÅNGE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41829-2021</t>
        </is>
      </c>
      <c r="B536" s="1" t="n">
        <v>44425.92202546296</v>
      </c>
      <c r="C536" s="1" t="n">
        <v>46127</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25499-2025</t>
        </is>
      </c>
      <c r="B537" s="1" t="n">
        <v>45803.344375</v>
      </c>
      <c r="C537" s="1" t="n">
        <v>46127</v>
      </c>
      <c r="D537" t="inlineStr">
        <is>
          <t>VÄSTERNORRLANDS LÄN</t>
        </is>
      </c>
      <c r="E537" t="inlineStr">
        <is>
          <t>ÅNGE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40818-2025</t>
        </is>
      </c>
      <c r="B538" s="1" t="n">
        <v>45897.48881944444</v>
      </c>
      <c r="C538" s="1" t="n">
        <v>46127</v>
      </c>
      <c r="D538" t="inlineStr">
        <is>
          <t>VÄSTERNORRLANDS LÄN</t>
        </is>
      </c>
      <c r="E538" t="inlineStr">
        <is>
          <t>ÅNGE</t>
        </is>
      </c>
      <c r="G538" t="n">
        <v>2.9</v>
      </c>
      <c r="H538" t="n">
        <v>0</v>
      </c>
      <c r="I538" t="n">
        <v>0</v>
      </c>
      <c r="J538" t="n">
        <v>0</v>
      </c>
      <c r="K538" t="n">
        <v>0</v>
      </c>
      <c r="L538" t="n">
        <v>0</v>
      </c>
      <c r="M538" t="n">
        <v>0</v>
      </c>
      <c r="N538" t="n">
        <v>0</v>
      </c>
      <c r="O538" t="n">
        <v>0</v>
      </c>
      <c r="P538" t="n">
        <v>0</v>
      </c>
      <c r="Q538" t="n">
        <v>0</v>
      </c>
      <c r="R538" s="2" t="inlineStr"/>
    </row>
    <row r="539" ht="15" customHeight="1">
      <c r="A539" t="inlineStr">
        <is>
          <t>A 40830-2025</t>
        </is>
      </c>
      <c r="B539" s="1" t="n">
        <v>45897.51079861111</v>
      </c>
      <c r="C539" s="1" t="n">
        <v>46127</v>
      </c>
      <c r="D539" t="inlineStr">
        <is>
          <t>VÄSTERNORRLANDS LÄN</t>
        </is>
      </c>
      <c r="E539" t="inlineStr">
        <is>
          <t>ÅNGE</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25274-2025</t>
        </is>
      </c>
      <c r="B540" s="1" t="n">
        <v>45800.55276620371</v>
      </c>
      <c r="C540" s="1" t="n">
        <v>46127</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25903-2022</t>
        </is>
      </c>
      <c r="B541" s="1" t="n">
        <v>44733</v>
      </c>
      <c r="C541" s="1" t="n">
        <v>46127</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1103-2023</t>
        </is>
      </c>
      <c r="B542" s="1" t="n">
        <v>44929</v>
      </c>
      <c r="C542" s="1" t="n">
        <v>46127</v>
      </c>
      <c r="D542" t="inlineStr">
        <is>
          <t>VÄSTERNORRLANDS LÄN</t>
        </is>
      </c>
      <c r="E542" t="inlineStr">
        <is>
          <t>ÅNGE</t>
        </is>
      </c>
      <c r="G542" t="n">
        <v>7.3</v>
      </c>
      <c r="H542" t="n">
        <v>0</v>
      </c>
      <c r="I542" t="n">
        <v>0</v>
      </c>
      <c r="J542" t="n">
        <v>0</v>
      </c>
      <c r="K542" t="n">
        <v>0</v>
      </c>
      <c r="L542" t="n">
        <v>0</v>
      </c>
      <c r="M542" t="n">
        <v>0</v>
      </c>
      <c r="N542" t="n">
        <v>0</v>
      </c>
      <c r="O542" t="n">
        <v>0</v>
      </c>
      <c r="P542" t="n">
        <v>0</v>
      </c>
      <c r="Q542" t="n">
        <v>0</v>
      </c>
      <c r="R542" s="2" t="inlineStr"/>
    </row>
    <row r="543" ht="15" customHeight="1">
      <c r="A543" t="inlineStr">
        <is>
          <t>A 25241-2025</t>
        </is>
      </c>
      <c r="B543" s="1" t="n">
        <v>45800.49053240741</v>
      </c>
      <c r="C543" s="1" t="n">
        <v>46127</v>
      </c>
      <c r="D543" t="inlineStr">
        <is>
          <t>VÄSTERNORRLANDS LÄN</t>
        </is>
      </c>
      <c r="E543" t="inlineStr">
        <is>
          <t>ÅNGE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40872-2025</t>
        </is>
      </c>
      <c r="B544" s="1" t="n">
        <v>45897.574375</v>
      </c>
      <c r="C544" s="1" t="n">
        <v>46127</v>
      </c>
      <c r="D544" t="inlineStr">
        <is>
          <t>VÄSTERNORRLANDS LÄN</t>
        </is>
      </c>
      <c r="E544" t="inlineStr">
        <is>
          <t>ÅNGE</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40665-2025</t>
        </is>
      </c>
      <c r="B545" s="1" t="n">
        <v>45896.65663194445</v>
      </c>
      <c r="C545" s="1" t="n">
        <v>46127</v>
      </c>
      <c r="D545" t="inlineStr">
        <is>
          <t>VÄSTERNORRLANDS LÄN</t>
        </is>
      </c>
      <c r="E545" t="inlineStr">
        <is>
          <t>ÅNGE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40898-2025</t>
        </is>
      </c>
      <c r="B546" s="1" t="n">
        <v>45897.61503472222</v>
      </c>
      <c r="C546" s="1" t="n">
        <v>46127</v>
      </c>
      <c r="D546" t="inlineStr">
        <is>
          <t>VÄSTERNORRLANDS LÄN</t>
        </is>
      </c>
      <c r="E546" t="inlineStr">
        <is>
          <t>ÅNGE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40899-2025</t>
        </is>
      </c>
      <c r="B547" s="1" t="n">
        <v>45897.61528935185</v>
      </c>
      <c r="C547" s="1" t="n">
        <v>46127</v>
      </c>
      <c r="D547" t="inlineStr">
        <is>
          <t>VÄSTERNORRLANDS LÄN</t>
        </is>
      </c>
      <c r="E547" t="inlineStr">
        <is>
          <t>ÅNGE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41179-2025</t>
        </is>
      </c>
      <c r="B548" s="1" t="n">
        <v>45898.55277777778</v>
      </c>
      <c r="C548" s="1" t="n">
        <v>46127</v>
      </c>
      <c r="D548" t="inlineStr">
        <is>
          <t>VÄSTERNORRLANDS LÄN</t>
        </is>
      </c>
      <c r="E548" t="inlineStr">
        <is>
          <t>ÅNGE</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31863-2024</t>
        </is>
      </c>
      <c r="B549" s="1" t="n">
        <v>45509.74121527778</v>
      </c>
      <c r="C549" s="1" t="n">
        <v>46127</v>
      </c>
      <c r="D549" t="inlineStr">
        <is>
          <t>VÄSTERNORRLANDS LÄN</t>
        </is>
      </c>
      <c r="E549" t="inlineStr">
        <is>
          <t>ÅNGE</t>
        </is>
      </c>
      <c r="G549" t="n">
        <v>4.5</v>
      </c>
      <c r="H549" t="n">
        <v>0</v>
      </c>
      <c r="I549" t="n">
        <v>0</v>
      </c>
      <c r="J549" t="n">
        <v>0</v>
      </c>
      <c r="K549" t="n">
        <v>0</v>
      </c>
      <c r="L549" t="n">
        <v>0</v>
      </c>
      <c r="M549" t="n">
        <v>0</v>
      </c>
      <c r="N549" t="n">
        <v>0</v>
      </c>
      <c r="O549" t="n">
        <v>0</v>
      </c>
      <c r="P549" t="n">
        <v>0</v>
      </c>
      <c r="Q549" t="n">
        <v>0</v>
      </c>
      <c r="R549" s="2" t="inlineStr"/>
    </row>
    <row r="550" ht="15" customHeight="1">
      <c r="A550" t="inlineStr">
        <is>
          <t>A 25273-2025</t>
        </is>
      </c>
      <c r="B550" s="1" t="n">
        <v>45800.55253472222</v>
      </c>
      <c r="C550" s="1" t="n">
        <v>46127</v>
      </c>
      <c r="D550" t="inlineStr">
        <is>
          <t>VÄSTERNORRLANDS LÄN</t>
        </is>
      </c>
      <c r="E550" t="inlineStr">
        <is>
          <t>ÅNGE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41173-2025</t>
        </is>
      </c>
      <c r="B551" s="1" t="n">
        <v>45898</v>
      </c>
      <c r="C551" s="1" t="n">
        <v>46127</v>
      </c>
      <c r="D551" t="inlineStr">
        <is>
          <t>VÄSTERNORRLANDS LÄN</t>
        </is>
      </c>
      <c r="E551" t="inlineStr">
        <is>
          <t>ÅNGE</t>
        </is>
      </c>
      <c r="G551" t="n">
        <v>3.6</v>
      </c>
      <c r="H551" t="n">
        <v>0</v>
      </c>
      <c r="I551" t="n">
        <v>0</v>
      </c>
      <c r="J551" t="n">
        <v>0</v>
      </c>
      <c r="K551" t="n">
        <v>0</v>
      </c>
      <c r="L551" t="n">
        <v>0</v>
      </c>
      <c r="M551" t="n">
        <v>0</v>
      </c>
      <c r="N551" t="n">
        <v>0</v>
      </c>
      <c r="O551" t="n">
        <v>0</v>
      </c>
      <c r="P551" t="n">
        <v>0</v>
      </c>
      <c r="Q551" t="n">
        <v>0</v>
      </c>
      <c r="R551" s="2" t="inlineStr"/>
    </row>
    <row r="552" ht="15" customHeight="1">
      <c r="A552" t="inlineStr">
        <is>
          <t>A 2140-2023</t>
        </is>
      </c>
      <c r="B552" s="1" t="n">
        <v>44940</v>
      </c>
      <c r="C552" s="1" t="n">
        <v>46127</v>
      </c>
      <c r="D552" t="inlineStr">
        <is>
          <t>VÄSTERNORRLANDS LÄN</t>
        </is>
      </c>
      <c r="E552" t="inlineStr">
        <is>
          <t>ÅNGE</t>
        </is>
      </c>
      <c r="G552" t="n">
        <v>2.9</v>
      </c>
      <c r="H552" t="n">
        <v>0</v>
      </c>
      <c r="I552" t="n">
        <v>0</v>
      </c>
      <c r="J552" t="n">
        <v>0</v>
      </c>
      <c r="K552" t="n">
        <v>0</v>
      </c>
      <c r="L552" t="n">
        <v>0</v>
      </c>
      <c r="M552" t="n">
        <v>0</v>
      </c>
      <c r="N552" t="n">
        <v>0</v>
      </c>
      <c r="O552" t="n">
        <v>0</v>
      </c>
      <c r="P552" t="n">
        <v>0</v>
      </c>
      <c r="Q552" t="n">
        <v>0</v>
      </c>
      <c r="R552" s="2" t="inlineStr"/>
    </row>
    <row r="553" ht="15" customHeight="1">
      <c r="A553" t="inlineStr">
        <is>
          <t>A 41355-2025</t>
        </is>
      </c>
      <c r="B553" s="1" t="n">
        <v>45900.34425925926</v>
      </c>
      <c r="C553" s="1" t="n">
        <v>46127</v>
      </c>
      <c r="D553" t="inlineStr">
        <is>
          <t>VÄSTERNORRLANDS LÄN</t>
        </is>
      </c>
      <c r="E553" t="inlineStr">
        <is>
          <t>ÅNGE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25772-2025</t>
        </is>
      </c>
      <c r="B554" s="1" t="n">
        <v>45804.34520833333</v>
      </c>
      <c r="C554" s="1" t="n">
        <v>46127</v>
      </c>
      <c r="D554" t="inlineStr">
        <is>
          <t>VÄSTERNORRLANDS LÄN</t>
        </is>
      </c>
      <c r="E554" t="inlineStr">
        <is>
          <t>ÅNGE</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21262-2025</t>
        </is>
      </c>
      <c r="B555" s="1" t="n">
        <v>45779</v>
      </c>
      <c r="C555" s="1" t="n">
        <v>46127</v>
      </c>
      <c r="D555" t="inlineStr">
        <is>
          <t>VÄSTERNORRLANDS LÄN</t>
        </is>
      </c>
      <c r="E555" t="inlineStr">
        <is>
          <t>ÅNGE</t>
        </is>
      </c>
      <c r="F555" t="inlineStr">
        <is>
          <t>Sveaskog</t>
        </is>
      </c>
      <c r="G555" t="n">
        <v>9</v>
      </c>
      <c r="H555" t="n">
        <v>0</v>
      </c>
      <c r="I555" t="n">
        <v>0</v>
      </c>
      <c r="J555" t="n">
        <v>0</v>
      </c>
      <c r="K555" t="n">
        <v>0</v>
      </c>
      <c r="L555" t="n">
        <v>0</v>
      </c>
      <c r="M555" t="n">
        <v>0</v>
      </c>
      <c r="N555" t="n">
        <v>0</v>
      </c>
      <c r="O555" t="n">
        <v>0</v>
      </c>
      <c r="P555" t="n">
        <v>0</v>
      </c>
      <c r="Q555" t="n">
        <v>0</v>
      </c>
      <c r="R555" s="2" t="inlineStr"/>
    </row>
    <row r="556" ht="15" customHeight="1">
      <c r="A556" t="inlineStr">
        <is>
          <t>A 47488-2023</t>
        </is>
      </c>
      <c r="B556" s="1" t="n">
        <v>45202.94168981481</v>
      </c>
      <c r="C556" s="1" t="n">
        <v>46127</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34754-2024</t>
        </is>
      </c>
      <c r="B557" s="1" t="n">
        <v>45526</v>
      </c>
      <c r="C557" s="1" t="n">
        <v>46127</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3362-2023</t>
        </is>
      </c>
      <c r="B558" s="1" t="n">
        <v>44945</v>
      </c>
      <c r="C558" s="1" t="n">
        <v>46127</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59600-2024</t>
        </is>
      </c>
      <c r="B559" s="1" t="n">
        <v>45638.71763888889</v>
      </c>
      <c r="C559" s="1" t="n">
        <v>46127</v>
      </c>
      <c r="D559" t="inlineStr">
        <is>
          <t>VÄSTERNORRLANDS LÄN</t>
        </is>
      </c>
      <c r="E559" t="inlineStr">
        <is>
          <t>ÅNGE</t>
        </is>
      </c>
      <c r="G559" t="n">
        <v>1.3</v>
      </c>
      <c r="H559" t="n">
        <v>0</v>
      </c>
      <c r="I559" t="n">
        <v>0</v>
      </c>
      <c r="J559" t="n">
        <v>0</v>
      </c>
      <c r="K559" t="n">
        <v>0</v>
      </c>
      <c r="L559" t="n">
        <v>0</v>
      </c>
      <c r="M559" t="n">
        <v>0</v>
      </c>
      <c r="N559" t="n">
        <v>0</v>
      </c>
      <c r="O559" t="n">
        <v>0</v>
      </c>
      <c r="P559" t="n">
        <v>0</v>
      </c>
      <c r="Q559" t="n">
        <v>0</v>
      </c>
      <c r="R559" s="2" t="inlineStr"/>
    </row>
    <row r="560" ht="15" customHeight="1">
      <c r="A560" t="inlineStr">
        <is>
          <t>A 15863-2022</t>
        </is>
      </c>
      <c r="B560" s="1" t="n">
        <v>44664</v>
      </c>
      <c r="C560" s="1" t="n">
        <v>46127</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25810-2025</t>
        </is>
      </c>
      <c r="B561" s="1" t="n">
        <v>45804.42083333333</v>
      </c>
      <c r="C561" s="1" t="n">
        <v>46127</v>
      </c>
      <c r="D561" t="inlineStr">
        <is>
          <t>VÄSTERNORRLANDS LÄN</t>
        </is>
      </c>
      <c r="E561" t="inlineStr">
        <is>
          <t>ÅNGE</t>
        </is>
      </c>
      <c r="G561" t="n">
        <v>6.2</v>
      </c>
      <c r="H561" t="n">
        <v>0</v>
      </c>
      <c r="I561" t="n">
        <v>0</v>
      </c>
      <c r="J561" t="n">
        <v>0</v>
      </c>
      <c r="K561" t="n">
        <v>0</v>
      </c>
      <c r="L561" t="n">
        <v>0</v>
      </c>
      <c r="M561" t="n">
        <v>0</v>
      </c>
      <c r="N561" t="n">
        <v>0</v>
      </c>
      <c r="O561" t="n">
        <v>0</v>
      </c>
      <c r="P561" t="n">
        <v>0</v>
      </c>
      <c r="Q561" t="n">
        <v>0</v>
      </c>
      <c r="R561" s="2" t="inlineStr"/>
    </row>
    <row r="562" ht="15" customHeight="1">
      <c r="A562" t="inlineStr">
        <is>
          <t>A 52685-2024</t>
        </is>
      </c>
      <c r="B562" s="1" t="n">
        <v>45610</v>
      </c>
      <c r="C562" s="1" t="n">
        <v>46127</v>
      </c>
      <c r="D562" t="inlineStr">
        <is>
          <t>VÄSTERNORRLANDS LÄN</t>
        </is>
      </c>
      <c r="E562" t="inlineStr">
        <is>
          <t>ÅNGE</t>
        </is>
      </c>
      <c r="G562" t="n">
        <v>2.3</v>
      </c>
      <c r="H562" t="n">
        <v>0</v>
      </c>
      <c r="I562" t="n">
        <v>0</v>
      </c>
      <c r="J562" t="n">
        <v>0</v>
      </c>
      <c r="K562" t="n">
        <v>0</v>
      </c>
      <c r="L562" t="n">
        <v>0</v>
      </c>
      <c r="M562" t="n">
        <v>0</v>
      </c>
      <c r="N562" t="n">
        <v>0</v>
      </c>
      <c r="O562" t="n">
        <v>0</v>
      </c>
      <c r="P562" t="n">
        <v>0</v>
      </c>
      <c r="Q562" t="n">
        <v>0</v>
      </c>
      <c r="R562" s="2" t="inlineStr"/>
    </row>
    <row r="563" ht="15" customHeight="1">
      <c r="A563" t="inlineStr">
        <is>
          <t>A 56666-2025</t>
        </is>
      </c>
      <c r="B563" s="1" t="n">
        <v>45975.67747685185</v>
      </c>
      <c r="C563" s="1" t="n">
        <v>46127</v>
      </c>
      <c r="D563" t="inlineStr">
        <is>
          <t>VÄSTERNORRLANDS LÄN</t>
        </is>
      </c>
      <c r="E563" t="inlineStr">
        <is>
          <t>ÅNGE</t>
        </is>
      </c>
      <c r="G563" t="n">
        <v>5.2</v>
      </c>
      <c r="H563" t="n">
        <v>0</v>
      </c>
      <c r="I563" t="n">
        <v>0</v>
      </c>
      <c r="J563" t="n">
        <v>0</v>
      </c>
      <c r="K563" t="n">
        <v>0</v>
      </c>
      <c r="L563" t="n">
        <v>0</v>
      </c>
      <c r="M563" t="n">
        <v>0</v>
      </c>
      <c r="N563" t="n">
        <v>0</v>
      </c>
      <c r="O563" t="n">
        <v>0</v>
      </c>
      <c r="P563" t="n">
        <v>0</v>
      </c>
      <c r="Q563" t="n">
        <v>0</v>
      </c>
      <c r="R563" s="2" t="inlineStr"/>
    </row>
    <row r="564" ht="15" customHeight="1">
      <c r="A564" t="inlineStr">
        <is>
          <t>A 36466-2024</t>
        </is>
      </c>
      <c r="B564" s="1" t="n">
        <v>45537.35872685185</v>
      </c>
      <c r="C564" s="1" t="n">
        <v>46127</v>
      </c>
      <c r="D564" t="inlineStr">
        <is>
          <t>VÄSTERNORRLANDS LÄN</t>
        </is>
      </c>
      <c r="E564" t="inlineStr">
        <is>
          <t>ÅNGE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26193-2025</t>
        </is>
      </c>
      <c r="B565" s="1" t="n">
        <v>45805.48922453704</v>
      </c>
      <c r="C565" s="1" t="n">
        <v>46127</v>
      </c>
      <c r="D565" t="inlineStr">
        <is>
          <t>VÄSTERNORRLANDS LÄN</t>
        </is>
      </c>
      <c r="E565" t="inlineStr">
        <is>
          <t>ÅNGE</t>
        </is>
      </c>
      <c r="G565" t="n">
        <v>2.3</v>
      </c>
      <c r="H565" t="n">
        <v>0</v>
      </c>
      <c r="I565" t="n">
        <v>0</v>
      </c>
      <c r="J565" t="n">
        <v>0</v>
      </c>
      <c r="K565" t="n">
        <v>0</v>
      </c>
      <c r="L565" t="n">
        <v>0</v>
      </c>
      <c r="M565" t="n">
        <v>0</v>
      </c>
      <c r="N565" t="n">
        <v>0</v>
      </c>
      <c r="O565" t="n">
        <v>0</v>
      </c>
      <c r="P565" t="n">
        <v>0</v>
      </c>
      <c r="Q565" t="n">
        <v>0</v>
      </c>
      <c r="R565" s="2" t="inlineStr"/>
    </row>
    <row r="566" ht="15" customHeight="1">
      <c r="A566" t="inlineStr">
        <is>
          <t>A 54720-2024</t>
        </is>
      </c>
      <c r="B566" s="1" t="n">
        <v>45618.43715277778</v>
      </c>
      <c r="C566" s="1" t="n">
        <v>46127</v>
      </c>
      <c r="D566" t="inlineStr">
        <is>
          <t>VÄSTERNORRLANDS LÄN</t>
        </is>
      </c>
      <c r="E566" t="inlineStr">
        <is>
          <t>ÅNGE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35650-2024</t>
        </is>
      </c>
      <c r="B567" s="1" t="n">
        <v>45532.34123842593</v>
      </c>
      <c r="C567" s="1" t="n">
        <v>46127</v>
      </c>
      <c r="D567" t="inlineStr">
        <is>
          <t>VÄSTERNORRLANDS LÄN</t>
        </is>
      </c>
      <c r="E567" t="inlineStr">
        <is>
          <t>ÅNGE</t>
        </is>
      </c>
      <c r="G567" t="n">
        <v>3.8</v>
      </c>
      <c r="H567" t="n">
        <v>0</v>
      </c>
      <c r="I567" t="n">
        <v>0</v>
      </c>
      <c r="J567" t="n">
        <v>0</v>
      </c>
      <c r="K567" t="n">
        <v>0</v>
      </c>
      <c r="L567" t="n">
        <v>0</v>
      </c>
      <c r="M567" t="n">
        <v>0</v>
      </c>
      <c r="N567" t="n">
        <v>0</v>
      </c>
      <c r="O567" t="n">
        <v>0</v>
      </c>
      <c r="P567" t="n">
        <v>0</v>
      </c>
      <c r="Q567" t="n">
        <v>0</v>
      </c>
      <c r="R567" s="2" t="inlineStr"/>
    </row>
    <row r="568" ht="15" customHeight="1">
      <c r="A568" t="inlineStr">
        <is>
          <t>A 19709-2025</t>
        </is>
      </c>
      <c r="B568" s="1" t="n">
        <v>45771.34263888889</v>
      </c>
      <c r="C568" s="1" t="n">
        <v>46127</v>
      </c>
      <c r="D568" t="inlineStr">
        <is>
          <t>VÄSTERNORRLANDS LÄN</t>
        </is>
      </c>
      <c r="E568" t="inlineStr">
        <is>
          <t>ÅNGE</t>
        </is>
      </c>
      <c r="G568" t="n">
        <v>3.8</v>
      </c>
      <c r="H568" t="n">
        <v>0</v>
      </c>
      <c r="I568" t="n">
        <v>0</v>
      </c>
      <c r="J568" t="n">
        <v>0</v>
      </c>
      <c r="K568" t="n">
        <v>0</v>
      </c>
      <c r="L568" t="n">
        <v>0</v>
      </c>
      <c r="M568" t="n">
        <v>0</v>
      </c>
      <c r="N568" t="n">
        <v>0</v>
      </c>
      <c r="O568" t="n">
        <v>0</v>
      </c>
      <c r="P568" t="n">
        <v>0</v>
      </c>
      <c r="Q568" t="n">
        <v>0</v>
      </c>
      <c r="R568" s="2" t="inlineStr"/>
    </row>
    <row r="569" ht="15" customHeight="1">
      <c r="A569" t="inlineStr">
        <is>
          <t>A 26365-2025</t>
        </is>
      </c>
      <c r="B569" s="1" t="n">
        <v>45806.34412037037</v>
      </c>
      <c r="C569" s="1" t="n">
        <v>46127</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41872-2025</t>
        </is>
      </c>
      <c r="B570" s="1" t="n">
        <v>45903.34497685185</v>
      </c>
      <c r="C570" s="1" t="n">
        <v>46127</v>
      </c>
      <c r="D570" t="inlineStr">
        <is>
          <t>VÄSTERNORRLANDS LÄN</t>
        </is>
      </c>
      <c r="E570" t="inlineStr">
        <is>
          <t>ÅNGE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41870-2025</t>
        </is>
      </c>
      <c r="B571" s="1" t="n">
        <v>45903.3446412037</v>
      </c>
      <c r="C571" s="1" t="n">
        <v>46127</v>
      </c>
      <c r="D571" t="inlineStr">
        <is>
          <t>VÄSTERNORRLANDS LÄN</t>
        </is>
      </c>
      <c r="E571" t="inlineStr">
        <is>
          <t>ÅNGE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26389-2025</t>
        </is>
      </c>
      <c r="B572" s="1" t="n">
        <v>45806.51078703703</v>
      </c>
      <c r="C572" s="1" t="n">
        <v>46127</v>
      </c>
      <c r="D572" t="inlineStr">
        <is>
          <t>VÄSTERNORRLANDS LÄN</t>
        </is>
      </c>
      <c r="E572" t="inlineStr">
        <is>
          <t>ÅNGE</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11531-2023</t>
        </is>
      </c>
      <c r="B573" s="1" t="n">
        <v>44993.77038194444</v>
      </c>
      <c r="C573" s="1" t="n">
        <v>46127</v>
      </c>
      <c r="D573" t="inlineStr">
        <is>
          <t>VÄSTERNORRLANDS LÄN</t>
        </is>
      </c>
      <c r="E573" t="inlineStr">
        <is>
          <t>ÅNGE</t>
        </is>
      </c>
      <c r="G573" t="n">
        <v>0.5</v>
      </c>
      <c r="H573" t="n">
        <v>0</v>
      </c>
      <c r="I573" t="n">
        <v>0</v>
      </c>
      <c r="J573" t="n">
        <v>0</v>
      </c>
      <c r="K573" t="n">
        <v>0</v>
      </c>
      <c r="L573" t="n">
        <v>0</v>
      </c>
      <c r="M573" t="n">
        <v>0</v>
      </c>
      <c r="N573" t="n">
        <v>0</v>
      </c>
      <c r="O573" t="n">
        <v>0</v>
      </c>
      <c r="P573" t="n">
        <v>0</v>
      </c>
      <c r="Q573" t="n">
        <v>0</v>
      </c>
      <c r="R573" s="2" t="inlineStr"/>
    </row>
    <row r="574" ht="15" customHeight="1">
      <c r="A574" t="inlineStr">
        <is>
          <t>A 11532-2023</t>
        </is>
      </c>
      <c r="B574" s="1" t="n">
        <v>44993.77212962963</v>
      </c>
      <c r="C574" s="1" t="n">
        <v>46127</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26388-2025</t>
        </is>
      </c>
      <c r="B575" s="1" t="n">
        <v>45806.51069444444</v>
      </c>
      <c r="C575" s="1" t="n">
        <v>46127</v>
      </c>
      <c r="D575" t="inlineStr">
        <is>
          <t>VÄSTERNORRLANDS LÄN</t>
        </is>
      </c>
      <c r="E575" t="inlineStr">
        <is>
          <t>ÅNGE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26366-2025</t>
        </is>
      </c>
      <c r="B576" s="1" t="n">
        <v>45806.34424768519</v>
      </c>
      <c r="C576" s="1" t="n">
        <v>46127</v>
      </c>
      <c r="D576" t="inlineStr">
        <is>
          <t>VÄSTERNORRLANDS LÄN</t>
        </is>
      </c>
      <c r="E576" t="inlineStr">
        <is>
          <t>ÅNGE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45459-2022</t>
        </is>
      </c>
      <c r="B577" s="1" t="n">
        <v>44845</v>
      </c>
      <c r="C577" s="1" t="n">
        <v>46127</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41758-2024</t>
        </is>
      </c>
      <c r="B578" s="1" t="n">
        <v>45561.34478009259</v>
      </c>
      <c r="C578" s="1" t="n">
        <v>46127</v>
      </c>
      <c r="D578" t="inlineStr">
        <is>
          <t>VÄSTERNORRLANDS LÄN</t>
        </is>
      </c>
      <c r="E578" t="inlineStr">
        <is>
          <t>ÅNGE</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9759-2024</t>
        </is>
      </c>
      <c r="B579" s="1" t="n">
        <v>45362</v>
      </c>
      <c r="C579" s="1" t="n">
        <v>46127</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56741-2025</t>
        </is>
      </c>
      <c r="B580" s="1" t="n">
        <v>45978.34726851852</v>
      </c>
      <c r="C580" s="1" t="n">
        <v>46127</v>
      </c>
      <c r="D580" t="inlineStr">
        <is>
          <t>VÄSTERNORRLANDS LÄN</t>
        </is>
      </c>
      <c r="E580" t="inlineStr">
        <is>
          <t>ÅNGE</t>
        </is>
      </c>
      <c r="G580" t="n">
        <v>11.4</v>
      </c>
      <c r="H580" t="n">
        <v>0</v>
      </c>
      <c r="I580" t="n">
        <v>0</v>
      </c>
      <c r="J580" t="n">
        <v>0</v>
      </c>
      <c r="K580" t="n">
        <v>0</v>
      </c>
      <c r="L580" t="n">
        <v>0</v>
      </c>
      <c r="M580" t="n">
        <v>0</v>
      </c>
      <c r="N580" t="n">
        <v>0</v>
      </c>
      <c r="O580" t="n">
        <v>0</v>
      </c>
      <c r="P580" t="n">
        <v>0</v>
      </c>
      <c r="Q580" t="n">
        <v>0</v>
      </c>
      <c r="R580" s="2" t="inlineStr"/>
    </row>
    <row r="581" ht="15" customHeight="1">
      <c r="A581" t="inlineStr">
        <is>
          <t>A 55328-2023</t>
        </is>
      </c>
      <c r="B581" s="1" t="n">
        <v>45237</v>
      </c>
      <c r="C581" s="1" t="n">
        <v>46127</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26734-2025</t>
        </is>
      </c>
      <c r="B582" s="1" t="n">
        <v>45810.51087962963</v>
      </c>
      <c r="C582" s="1" t="n">
        <v>46127</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5369-2022</t>
        </is>
      </c>
      <c r="B583" s="1" t="n">
        <v>44594.92113425926</v>
      </c>
      <c r="C583" s="1" t="n">
        <v>46127</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5035-2025</t>
        </is>
      </c>
      <c r="B584" s="1" t="n">
        <v>45691</v>
      </c>
      <c r="C584" s="1" t="n">
        <v>46127</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213-2024</t>
        </is>
      </c>
      <c r="B585" s="1" t="n">
        <v>45293</v>
      </c>
      <c r="C585" s="1" t="n">
        <v>46127</v>
      </c>
      <c r="D585" t="inlineStr">
        <is>
          <t>VÄSTERNORRLANDS LÄN</t>
        </is>
      </c>
      <c r="E585" t="inlineStr">
        <is>
          <t>ÅNGE</t>
        </is>
      </c>
      <c r="G585" t="n">
        <v>1</v>
      </c>
      <c r="H585" t="n">
        <v>0</v>
      </c>
      <c r="I585" t="n">
        <v>0</v>
      </c>
      <c r="J585" t="n">
        <v>0</v>
      </c>
      <c r="K585" t="n">
        <v>0</v>
      </c>
      <c r="L585" t="n">
        <v>0</v>
      </c>
      <c r="M585" t="n">
        <v>0</v>
      </c>
      <c r="N585" t="n">
        <v>0</v>
      </c>
      <c r="O585" t="n">
        <v>0</v>
      </c>
      <c r="P585" t="n">
        <v>0</v>
      </c>
      <c r="Q585" t="n">
        <v>0</v>
      </c>
      <c r="R585" s="2" t="inlineStr"/>
    </row>
    <row r="586" ht="15" customHeight="1">
      <c r="A586" t="inlineStr">
        <is>
          <t>A 26901-2025</t>
        </is>
      </c>
      <c r="B586" s="1" t="n">
        <v>45811.34457175926</v>
      </c>
      <c r="C586" s="1" t="n">
        <v>46127</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57081-2025</t>
        </is>
      </c>
      <c r="B587" s="1" t="n">
        <v>45979.40826388889</v>
      </c>
      <c r="C587" s="1" t="n">
        <v>46127</v>
      </c>
      <c r="D587" t="inlineStr">
        <is>
          <t>VÄSTERNORRLANDS LÄN</t>
        </is>
      </c>
      <c r="E587" t="inlineStr">
        <is>
          <t>ÅNGE</t>
        </is>
      </c>
      <c r="G587" t="n">
        <v>2.2</v>
      </c>
      <c r="H587" t="n">
        <v>0</v>
      </c>
      <c r="I587" t="n">
        <v>0</v>
      </c>
      <c r="J587" t="n">
        <v>0</v>
      </c>
      <c r="K587" t="n">
        <v>0</v>
      </c>
      <c r="L587" t="n">
        <v>0</v>
      </c>
      <c r="M587" t="n">
        <v>0</v>
      </c>
      <c r="N587" t="n">
        <v>0</v>
      </c>
      <c r="O587" t="n">
        <v>0</v>
      </c>
      <c r="P587" t="n">
        <v>0</v>
      </c>
      <c r="Q587" t="n">
        <v>0</v>
      </c>
      <c r="R587" s="2" t="inlineStr"/>
    </row>
    <row r="588" ht="15" customHeight="1">
      <c r="A588" t="inlineStr">
        <is>
          <t>A 42589-2025</t>
        </is>
      </c>
      <c r="B588" s="1" t="n">
        <v>45905.63585648148</v>
      </c>
      <c r="C588" s="1" t="n">
        <v>46127</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57022-2025</t>
        </is>
      </c>
      <c r="B589" s="1" t="n">
        <v>45978.88921296296</v>
      </c>
      <c r="C589" s="1" t="n">
        <v>46127</v>
      </c>
      <c r="D589" t="inlineStr">
        <is>
          <t>VÄSTERNORRLANDS LÄN</t>
        </is>
      </c>
      <c r="E589" t="inlineStr">
        <is>
          <t>ÅNGE</t>
        </is>
      </c>
      <c r="G589" t="n">
        <v>1.2</v>
      </c>
      <c r="H589" t="n">
        <v>0</v>
      </c>
      <c r="I589" t="n">
        <v>0</v>
      </c>
      <c r="J589" t="n">
        <v>0</v>
      </c>
      <c r="K589" t="n">
        <v>0</v>
      </c>
      <c r="L589" t="n">
        <v>0</v>
      </c>
      <c r="M589" t="n">
        <v>0</v>
      </c>
      <c r="N589" t="n">
        <v>0</v>
      </c>
      <c r="O589" t="n">
        <v>0</v>
      </c>
      <c r="P589" t="n">
        <v>0</v>
      </c>
      <c r="Q589" t="n">
        <v>0</v>
      </c>
      <c r="R589" s="2" t="inlineStr"/>
    </row>
    <row r="590" ht="15" customHeight="1">
      <c r="A590" t="inlineStr">
        <is>
          <t>A 26655-2025</t>
        </is>
      </c>
      <c r="B590" s="1" t="n">
        <v>45810.39047453704</v>
      </c>
      <c r="C590" s="1" t="n">
        <v>46127</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56849-2025</t>
        </is>
      </c>
      <c r="B591" s="1" t="n">
        <v>45978.48989583334</v>
      </c>
      <c r="C591" s="1" t="n">
        <v>46127</v>
      </c>
      <c r="D591" t="inlineStr">
        <is>
          <t>VÄSTERNORRLANDS LÄN</t>
        </is>
      </c>
      <c r="E591" t="inlineStr">
        <is>
          <t>ÅNGE</t>
        </is>
      </c>
      <c r="G591" t="n">
        <v>0.9</v>
      </c>
      <c r="H591" t="n">
        <v>0</v>
      </c>
      <c r="I591" t="n">
        <v>0</v>
      </c>
      <c r="J591" t="n">
        <v>0</v>
      </c>
      <c r="K591" t="n">
        <v>0</v>
      </c>
      <c r="L591" t="n">
        <v>0</v>
      </c>
      <c r="M591" t="n">
        <v>0</v>
      </c>
      <c r="N591" t="n">
        <v>0</v>
      </c>
      <c r="O591" t="n">
        <v>0</v>
      </c>
      <c r="P591" t="n">
        <v>0</v>
      </c>
      <c r="Q591" t="n">
        <v>0</v>
      </c>
      <c r="R591" s="2" t="inlineStr"/>
    </row>
    <row r="592" ht="15" customHeight="1">
      <c r="A592" t="inlineStr">
        <is>
          <t>A 5931-2025</t>
        </is>
      </c>
      <c r="B592" s="1" t="n">
        <v>45695.44827546296</v>
      </c>
      <c r="C592" s="1" t="n">
        <v>46127</v>
      </c>
      <c r="D592" t="inlineStr">
        <is>
          <t>VÄSTERNORRLANDS LÄN</t>
        </is>
      </c>
      <c r="E592" t="inlineStr">
        <is>
          <t>ÅNGE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4872-2025</t>
        </is>
      </c>
      <c r="B593" s="1" t="n">
        <v>45688.67619212963</v>
      </c>
      <c r="C593" s="1" t="n">
        <v>46127</v>
      </c>
      <c r="D593" t="inlineStr">
        <is>
          <t>VÄSTERNORRLANDS LÄN</t>
        </is>
      </c>
      <c r="E593" t="inlineStr">
        <is>
          <t>ÅNGE</t>
        </is>
      </c>
      <c r="F593" t="inlineStr">
        <is>
          <t>SCA</t>
        </is>
      </c>
      <c r="G593" t="n">
        <v>31.3</v>
      </c>
      <c r="H593" t="n">
        <v>0</v>
      </c>
      <c r="I593" t="n">
        <v>0</v>
      </c>
      <c r="J593" t="n">
        <v>0</v>
      </c>
      <c r="K593" t="n">
        <v>0</v>
      </c>
      <c r="L593" t="n">
        <v>0</v>
      </c>
      <c r="M593" t="n">
        <v>0</v>
      </c>
      <c r="N593" t="n">
        <v>0</v>
      </c>
      <c r="O593" t="n">
        <v>0</v>
      </c>
      <c r="P593" t="n">
        <v>0</v>
      </c>
      <c r="Q593" t="n">
        <v>0</v>
      </c>
      <c r="R593" s="2" t="inlineStr"/>
      <c r="U593">
        <f>HYPERLINK("https://klasma.github.io/Logging_2260/knärot/A 4872-2025 karta knärot.png", "A 4872-2025")</f>
        <v/>
      </c>
      <c r="V593">
        <f>HYPERLINK("https://klasma.github.io/Logging_2260/klagomål/A 4872-2025 FSC-klagomål.docx", "A 4872-2025")</f>
        <v/>
      </c>
      <c r="W593">
        <f>HYPERLINK("https://klasma.github.io/Logging_2260/klagomålsmail/A 4872-2025 FSC-klagomål mail.docx", "A 4872-2025")</f>
        <v/>
      </c>
      <c r="X593">
        <f>HYPERLINK("https://klasma.github.io/Logging_2260/tillsyn/A 4872-2025 tillsynsbegäran.docx", "A 4872-2025")</f>
        <v/>
      </c>
      <c r="Y593">
        <f>HYPERLINK("https://klasma.github.io/Logging_2260/tillsynsmail/A 4872-2025 tillsynsbegäran mail.docx", "A 4872-2025")</f>
        <v/>
      </c>
    </row>
    <row r="594" ht="15" customHeight="1">
      <c r="A594" t="inlineStr">
        <is>
          <t>A 57283-2025</t>
        </is>
      </c>
      <c r="B594" s="1" t="n">
        <v>45979.71918981482</v>
      </c>
      <c r="C594" s="1" t="n">
        <v>46127</v>
      </c>
      <c r="D594" t="inlineStr">
        <is>
          <t>VÄSTERNORRLANDS LÄN</t>
        </is>
      </c>
      <c r="E594" t="inlineStr">
        <is>
          <t>ÅNGE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26608-2025</t>
        </is>
      </c>
      <c r="B595" s="1" t="n">
        <v>45809.98600694445</v>
      </c>
      <c r="C595" s="1" t="n">
        <v>46127</v>
      </c>
      <c r="D595" t="inlineStr">
        <is>
          <t>VÄSTERNORRLANDS LÄN</t>
        </is>
      </c>
      <c r="E595" t="inlineStr">
        <is>
          <t>ÅNGE</t>
        </is>
      </c>
      <c r="G595" t="n">
        <v>4.5</v>
      </c>
      <c r="H595" t="n">
        <v>0</v>
      </c>
      <c r="I595" t="n">
        <v>0</v>
      </c>
      <c r="J595" t="n">
        <v>0</v>
      </c>
      <c r="K595" t="n">
        <v>0</v>
      </c>
      <c r="L595" t="n">
        <v>0</v>
      </c>
      <c r="M595" t="n">
        <v>0</v>
      </c>
      <c r="N595" t="n">
        <v>0</v>
      </c>
      <c r="O595" t="n">
        <v>0</v>
      </c>
      <c r="P595" t="n">
        <v>0</v>
      </c>
      <c r="Q595" t="n">
        <v>0</v>
      </c>
      <c r="R595" s="2" t="inlineStr"/>
    </row>
    <row r="596" ht="15" customHeight="1">
      <c r="A596" t="inlineStr">
        <is>
          <t>A 27023-2025</t>
        </is>
      </c>
      <c r="B596" s="1" t="n">
        <v>45811.57342592593</v>
      </c>
      <c r="C596" s="1" t="n">
        <v>46127</v>
      </c>
      <c r="D596" t="inlineStr">
        <is>
          <t>VÄSTERNORRLANDS LÄN</t>
        </is>
      </c>
      <c r="E596" t="inlineStr">
        <is>
          <t>ÅNGE</t>
        </is>
      </c>
      <c r="G596" t="n">
        <v>0.3</v>
      </c>
      <c r="H596" t="n">
        <v>0</v>
      </c>
      <c r="I596" t="n">
        <v>0</v>
      </c>
      <c r="J596" t="n">
        <v>0</v>
      </c>
      <c r="K596" t="n">
        <v>0</v>
      </c>
      <c r="L596" t="n">
        <v>0</v>
      </c>
      <c r="M596" t="n">
        <v>0</v>
      </c>
      <c r="N596" t="n">
        <v>0</v>
      </c>
      <c r="O596" t="n">
        <v>0</v>
      </c>
      <c r="P596" t="n">
        <v>0</v>
      </c>
      <c r="Q596" t="n">
        <v>0</v>
      </c>
      <c r="R596" s="2" t="inlineStr"/>
    </row>
    <row r="597" ht="15" customHeight="1">
      <c r="A597" t="inlineStr">
        <is>
          <t>A 36790-2023</t>
        </is>
      </c>
      <c r="B597" s="1" t="n">
        <v>45154.36418981481</v>
      </c>
      <c r="C597" s="1" t="n">
        <v>46127</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42242-2023</t>
        </is>
      </c>
      <c r="B598" s="1" t="n">
        <v>45180.35025462963</v>
      </c>
      <c r="C598" s="1" t="n">
        <v>46127</v>
      </c>
      <c r="D598" t="inlineStr">
        <is>
          <t>VÄSTERNORRLANDS LÄN</t>
        </is>
      </c>
      <c r="E598" t="inlineStr">
        <is>
          <t>ÅNGE</t>
        </is>
      </c>
      <c r="G598" t="n">
        <v>5.7</v>
      </c>
      <c r="H598" t="n">
        <v>0</v>
      </c>
      <c r="I598" t="n">
        <v>0</v>
      </c>
      <c r="J598" t="n">
        <v>0</v>
      </c>
      <c r="K598" t="n">
        <v>0</v>
      </c>
      <c r="L598" t="n">
        <v>0</v>
      </c>
      <c r="M598" t="n">
        <v>0</v>
      </c>
      <c r="N598" t="n">
        <v>0</v>
      </c>
      <c r="O598" t="n">
        <v>0</v>
      </c>
      <c r="P598" t="n">
        <v>0</v>
      </c>
      <c r="Q598" t="n">
        <v>0</v>
      </c>
      <c r="R598" s="2" t="inlineStr"/>
    </row>
    <row r="599" ht="15" customHeight="1">
      <c r="A599" t="inlineStr">
        <is>
          <t>A 57615-2025</t>
        </is>
      </c>
      <c r="B599" s="1" t="n">
        <v>45981.34431712963</v>
      </c>
      <c r="C599" s="1" t="n">
        <v>46127</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25973-2022</t>
        </is>
      </c>
      <c r="B600" s="1" t="n">
        <v>44734</v>
      </c>
      <c r="C600" s="1" t="n">
        <v>46127</v>
      </c>
      <c r="D600" t="inlineStr">
        <is>
          <t>VÄSTERNORRLANDS LÄN</t>
        </is>
      </c>
      <c r="E600" t="inlineStr">
        <is>
          <t>ÅNGE</t>
        </is>
      </c>
      <c r="G600" t="n">
        <v>4.1</v>
      </c>
      <c r="H600" t="n">
        <v>0</v>
      </c>
      <c r="I600" t="n">
        <v>0</v>
      </c>
      <c r="J600" t="n">
        <v>0</v>
      </c>
      <c r="K600" t="n">
        <v>0</v>
      </c>
      <c r="L600" t="n">
        <v>0</v>
      </c>
      <c r="M600" t="n">
        <v>0</v>
      </c>
      <c r="N600" t="n">
        <v>0</v>
      </c>
      <c r="O600" t="n">
        <v>0</v>
      </c>
      <c r="P600" t="n">
        <v>0</v>
      </c>
      <c r="Q600" t="n">
        <v>0</v>
      </c>
      <c r="R600" s="2" t="inlineStr"/>
    </row>
    <row r="601" ht="15" customHeight="1">
      <c r="A601" t="inlineStr">
        <is>
          <t>A 42786-2025</t>
        </is>
      </c>
      <c r="B601" s="1" t="n">
        <v>45908.51097222222</v>
      </c>
      <c r="C601" s="1" t="n">
        <v>46127</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42863-2025</t>
        </is>
      </c>
      <c r="B602" s="1" t="n">
        <v>45908.61527777778</v>
      </c>
      <c r="C602" s="1" t="n">
        <v>46127</v>
      </c>
      <c r="D602" t="inlineStr">
        <is>
          <t>VÄSTERNORRLANDS LÄN</t>
        </is>
      </c>
      <c r="E602" t="inlineStr">
        <is>
          <t>ÅNGE</t>
        </is>
      </c>
      <c r="G602" t="n">
        <v>1.1</v>
      </c>
      <c r="H602" t="n">
        <v>0</v>
      </c>
      <c r="I602" t="n">
        <v>0</v>
      </c>
      <c r="J602" t="n">
        <v>0</v>
      </c>
      <c r="K602" t="n">
        <v>0</v>
      </c>
      <c r="L602" t="n">
        <v>0</v>
      </c>
      <c r="M602" t="n">
        <v>0</v>
      </c>
      <c r="N602" t="n">
        <v>0</v>
      </c>
      <c r="O602" t="n">
        <v>0</v>
      </c>
      <c r="P602" t="n">
        <v>0</v>
      </c>
      <c r="Q602" t="n">
        <v>0</v>
      </c>
      <c r="R602" s="2" t="inlineStr"/>
    </row>
    <row r="603" ht="15" customHeight="1">
      <c r="A603" t="inlineStr">
        <is>
          <t>A 35426-2024</t>
        </is>
      </c>
      <c r="B603" s="1" t="n">
        <v>45531</v>
      </c>
      <c r="C603" s="1" t="n">
        <v>46127</v>
      </c>
      <c r="D603" t="inlineStr">
        <is>
          <t>VÄSTERNORRLANDS LÄN</t>
        </is>
      </c>
      <c r="E603" t="inlineStr">
        <is>
          <t>ÅNGE</t>
        </is>
      </c>
      <c r="F603" t="inlineStr">
        <is>
          <t>SCA</t>
        </is>
      </c>
      <c r="G603" t="n">
        <v>10.9</v>
      </c>
      <c r="H603" t="n">
        <v>0</v>
      </c>
      <c r="I603" t="n">
        <v>0</v>
      </c>
      <c r="J603" t="n">
        <v>0</v>
      </c>
      <c r="K603" t="n">
        <v>0</v>
      </c>
      <c r="L603" t="n">
        <v>0</v>
      </c>
      <c r="M603" t="n">
        <v>0</v>
      </c>
      <c r="N603" t="n">
        <v>0</v>
      </c>
      <c r="O603" t="n">
        <v>0</v>
      </c>
      <c r="P603" t="n">
        <v>0</v>
      </c>
      <c r="Q603" t="n">
        <v>0</v>
      </c>
      <c r="R603" s="2" t="inlineStr"/>
    </row>
    <row r="604" ht="15" customHeight="1">
      <c r="A604" t="inlineStr">
        <is>
          <t>A 35488-2024</t>
        </is>
      </c>
      <c r="B604" s="1" t="n">
        <v>45531</v>
      </c>
      <c r="C604" s="1" t="n">
        <v>46127</v>
      </c>
      <c r="D604" t="inlineStr">
        <is>
          <t>VÄSTERNORRLANDS LÄN</t>
        </is>
      </c>
      <c r="E604" t="inlineStr">
        <is>
          <t>ÅNGE</t>
        </is>
      </c>
      <c r="G604" t="n">
        <v>2.4</v>
      </c>
      <c r="H604" t="n">
        <v>0</v>
      </c>
      <c r="I604" t="n">
        <v>0</v>
      </c>
      <c r="J604" t="n">
        <v>0</v>
      </c>
      <c r="K604" t="n">
        <v>0</v>
      </c>
      <c r="L604" t="n">
        <v>0</v>
      </c>
      <c r="M604" t="n">
        <v>0</v>
      </c>
      <c r="N604" t="n">
        <v>0</v>
      </c>
      <c r="O604" t="n">
        <v>0</v>
      </c>
      <c r="P604" t="n">
        <v>0</v>
      </c>
      <c r="Q604" t="n">
        <v>0</v>
      </c>
      <c r="R604" s="2" t="inlineStr"/>
    </row>
    <row r="605" ht="15" customHeight="1">
      <c r="A605" t="inlineStr">
        <is>
          <t>A 42785-2025</t>
        </is>
      </c>
      <c r="B605" s="1" t="n">
        <v>45908.51083333333</v>
      </c>
      <c r="C605" s="1" t="n">
        <v>46127</v>
      </c>
      <c r="D605" t="inlineStr">
        <is>
          <t>VÄSTERNORRLANDS LÄN</t>
        </is>
      </c>
      <c r="E605" t="inlineStr">
        <is>
          <t>ÅNGE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42889-2025</t>
        </is>
      </c>
      <c r="B606" s="1" t="n">
        <v>45908.65546296296</v>
      </c>
      <c r="C606" s="1" t="n">
        <v>46127</v>
      </c>
      <c r="D606" t="inlineStr">
        <is>
          <t>VÄSTERNORRLANDS LÄN</t>
        </is>
      </c>
      <c r="E606" t="inlineStr">
        <is>
          <t>ÅNGE</t>
        </is>
      </c>
      <c r="G606" t="n">
        <v>11.9</v>
      </c>
      <c r="H606" t="n">
        <v>0</v>
      </c>
      <c r="I606" t="n">
        <v>0</v>
      </c>
      <c r="J606" t="n">
        <v>0</v>
      </c>
      <c r="K606" t="n">
        <v>0</v>
      </c>
      <c r="L606" t="n">
        <v>0</v>
      </c>
      <c r="M606" t="n">
        <v>0</v>
      </c>
      <c r="N606" t="n">
        <v>0</v>
      </c>
      <c r="O606" t="n">
        <v>0</v>
      </c>
      <c r="P606" t="n">
        <v>0</v>
      </c>
      <c r="Q606" t="n">
        <v>0</v>
      </c>
      <c r="R606" s="2" t="inlineStr"/>
    </row>
    <row r="607" ht="15" customHeight="1">
      <c r="A607" t="inlineStr">
        <is>
          <t>A 3347-2024</t>
        </is>
      </c>
      <c r="B607" s="1" t="n">
        <v>45317</v>
      </c>
      <c r="C607" s="1" t="n">
        <v>46127</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31563-2024</t>
        </is>
      </c>
      <c r="B608" s="1" t="n">
        <v>45505</v>
      </c>
      <c r="C608" s="1" t="n">
        <v>46127</v>
      </c>
      <c r="D608" t="inlineStr">
        <is>
          <t>VÄSTERNORRLANDS LÄN</t>
        </is>
      </c>
      <c r="E608" t="inlineStr">
        <is>
          <t>ÅNGE</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42764-2025</t>
        </is>
      </c>
      <c r="B609" s="1" t="n">
        <v>45908.46943287037</v>
      </c>
      <c r="C609" s="1" t="n">
        <v>46127</v>
      </c>
      <c r="D609" t="inlineStr">
        <is>
          <t>VÄSTERNORRLANDS LÄN</t>
        </is>
      </c>
      <c r="E609" t="inlineStr">
        <is>
          <t>ÅNGE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27164-2025</t>
        </is>
      </c>
      <c r="B610" s="1" t="n">
        <v>45812.34430555555</v>
      </c>
      <c r="C610" s="1" t="n">
        <v>46127</v>
      </c>
      <c r="D610" t="inlineStr">
        <is>
          <t>VÄSTERNORRLANDS LÄN</t>
        </is>
      </c>
      <c r="E610" t="inlineStr">
        <is>
          <t>ÅNGE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27606-2025</t>
        </is>
      </c>
      <c r="B611" s="1" t="n">
        <v>45813.53200231482</v>
      </c>
      <c r="C611" s="1" t="n">
        <v>46127</v>
      </c>
      <c r="D611" t="inlineStr">
        <is>
          <t>VÄSTERNORRLANDS LÄN</t>
        </is>
      </c>
      <c r="E611" t="inlineStr">
        <is>
          <t>ÅNGE</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42731-2025</t>
        </is>
      </c>
      <c r="B612" s="1" t="n">
        <v>45908.40686342592</v>
      </c>
      <c r="C612" s="1" t="n">
        <v>46127</v>
      </c>
      <c r="D612" t="inlineStr">
        <is>
          <t>VÄSTERNORRLANDS LÄN</t>
        </is>
      </c>
      <c r="E612" t="inlineStr">
        <is>
          <t>ÅNGE</t>
        </is>
      </c>
      <c r="G612" t="n">
        <v>14.1</v>
      </c>
      <c r="H612" t="n">
        <v>0</v>
      </c>
      <c r="I612" t="n">
        <v>0</v>
      </c>
      <c r="J612" t="n">
        <v>0</v>
      </c>
      <c r="K612" t="n">
        <v>0</v>
      </c>
      <c r="L612" t="n">
        <v>0</v>
      </c>
      <c r="M612" t="n">
        <v>0</v>
      </c>
      <c r="N612" t="n">
        <v>0</v>
      </c>
      <c r="O612" t="n">
        <v>0</v>
      </c>
      <c r="P612" t="n">
        <v>0</v>
      </c>
      <c r="Q612" t="n">
        <v>0</v>
      </c>
      <c r="R612" s="2" t="inlineStr"/>
    </row>
    <row r="613" ht="15" customHeight="1">
      <c r="A613" t="inlineStr">
        <is>
          <t>A 43077-2025</t>
        </is>
      </c>
      <c r="B613" s="1" t="n">
        <v>45909.6046412037</v>
      </c>
      <c r="C613" s="1" t="n">
        <v>46127</v>
      </c>
      <c r="D613" t="inlineStr">
        <is>
          <t>VÄSTERNORRLANDS LÄN</t>
        </is>
      </c>
      <c r="E613" t="inlineStr">
        <is>
          <t>ÅNGE</t>
        </is>
      </c>
      <c r="F613" t="inlineStr">
        <is>
          <t>Kyrkan</t>
        </is>
      </c>
      <c r="G613" t="n">
        <v>7.6</v>
      </c>
      <c r="H613" t="n">
        <v>0</v>
      </c>
      <c r="I613" t="n">
        <v>0</v>
      </c>
      <c r="J613" t="n">
        <v>0</v>
      </c>
      <c r="K613" t="n">
        <v>0</v>
      </c>
      <c r="L613" t="n">
        <v>0</v>
      </c>
      <c r="M613" t="n">
        <v>0</v>
      </c>
      <c r="N613" t="n">
        <v>0</v>
      </c>
      <c r="O613" t="n">
        <v>0</v>
      </c>
      <c r="P613" t="n">
        <v>0</v>
      </c>
      <c r="Q613" t="n">
        <v>0</v>
      </c>
      <c r="R613" s="2" t="inlineStr"/>
    </row>
    <row r="614" ht="15" customHeight="1">
      <c r="A614" t="inlineStr">
        <is>
          <t>A 42880-2025</t>
        </is>
      </c>
      <c r="B614" s="1" t="n">
        <v>45908.63599537037</v>
      </c>
      <c r="C614" s="1" t="n">
        <v>46127</v>
      </c>
      <c r="D614" t="inlineStr">
        <is>
          <t>VÄSTERNORRLANDS LÄN</t>
        </is>
      </c>
      <c r="E614" t="inlineStr">
        <is>
          <t>ÅNGE</t>
        </is>
      </c>
      <c r="G614" t="n">
        <v>4.3</v>
      </c>
      <c r="H614" t="n">
        <v>0</v>
      </c>
      <c r="I614" t="n">
        <v>0</v>
      </c>
      <c r="J614" t="n">
        <v>0</v>
      </c>
      <c r="K614" t="n">
        <v>0</v>
      </c>
      <c r="L614" t="n">
        <v>0</v>
      </c>
      <c r="M614" t="n">
        <v>0</v>
      </c>
      <c r="N614" t="n">
        <v>0</v>
      </c>
      <c r="O614" t="n">
        <v>0</v>
      </c>
      <c r="P614" t="n">
        <v>0</v>
      </c>
      <c r="Q614" t="n">
        <v>0</v>
      </c>
      <c r="R614" s="2" t="inlineStr"/>
    </row>
    <row r="615" ht="15" customHeight="1">
      <c r="A615" t="inlineStr">
        <is>
          <t>A 33750-2024</t>
        </is>
      </c>
      <c r="B615" s="1" t="n">
        <v>45520.56475694444</v>
      </c>
      <c r="C615" s="1" t="n">
        <v>46127</v>
      </c>
      <c r="D615" t="inlineStr">
        <is>
          <t>VÄSTERNORRLANDS LÄN</t>
        </is>
      </c>
      <c r="E615" t="inlineStr">
        <is>
          <t>ÅNGE</t>
        </is>
      </c>
      <c r="G615" t="n">
        <v>1.3</v>
      </c>
      <c r="H615" t="n">
        <v>0</v>
      </c>
      <c r="I615" t="n">
        <v>0</v>
      </c>
      <c r="J615" t="n">
        <v>0</v>
      </c>
      <c r="K615" t="n">
        <v>0</v>
      </c>
      <c r="L615" t="n">
        <v>0</v>
      </c>
      <c r="M615" t="n">
        <v>0</v>
      </c>
      <c r="N615" t="n">
        <v>0</v>
      </c>
      <c r="O615" t="n">
        <v>0</v>
      </c>
      <c r="P615" t="n">
        <v>0</v>
      </c>
      <c r="Q615" t="n">
        <v>0</v>
      </c>
      <c r="R615" s="2" t="inlineStr"/>
    </row>
    <row r="616" ht="15" customHeight="1">
      <c r="A616" t="inlineStr">
        <is>
          <t>A 3-2025</t>
        </is>
      </c>
      <c r="B616" s="1" t="n">
        <v>45658.49819444444</v>
      </c>
      <c r="C616" s="1" t="n">
        <v>46127</v>
      </c>
      <c r="D616" t="inlineStr">
        <is>
          <t>VÄSTERNORRLANDS LÄN</t>
        </is>
      </c>
      <c r="E616" t="inlineStr">
        <is>
          <t>ÅNGE</t>
        </is>
      </c>
      <c r="G616" t="n">
        <v>2</v>
      </c>
      <c r="H616" t="n">
        <v>0</v>
      </c>
      <c r="I616" t="n">
        <v>0</v>
      </c>
      <c r="J616" t="n">
        <v>0</v>
      </c>
      <c r="K616" t="n">
        <v>0</v>
      </c>
      <c r="L616" t="n">
        <v>0</v>
      </c>
      <c r="M616" t="n">
        <v>0</v>
      </c>
      <c r="N616" t="n">
        <v>0</v>
      </c>
      <c r="O616" t="n">
        <v>0</v>
      </c>
      <c r="P616" t="n">
        <v>0</v>
      </c>
      <c r="Q616" t="n">
        <v>0</v>
      </c>
      <c r="R616" s="2" t="inlineStr"/>
    </row>
    <row r="617" ht="15" customHeight="1">
      <c r="A617" t="inlineStr">
        <is>
          <t>A 43091-2025</t>
        </is>
      </c>
      <c r="B617" s="1" t="n">
        <v>45909.62511574074</v>
      </c>
      <c r="C617" s="1" t="n">
        <v>46127</v>
      </c>
      <c r="D617" t="inlineStr">
        <is>
          <t>VÄSTERNORRLANDS LÄN</t>
        </is>
      </c>
      <c r="E617" t="inlineStr">
        <is>
          <t>ÅNGE</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27639-2025</t>
        </is>
      </c>
      <c r="B618" s="1" t="n">
        <v>45813</v>
      </c>
      <c r="C618" s="1" t="n">
        <v>46127</v>
      </c>
      <c r="D618" t="inlineStr">
        <is>
          <t>VÄSTERNORRLANDS LÄN</t>
        </is>
      </c>
      <c r="E618" t="inlineStr">
        <is>
          <t>ÅNGE</t>
        </is>
      </c>
      <c r="G618" t="n">
        <v>22.9</v>
      </c>
      <c r="H618" t="n">
        <v>0</v>
      </c>
      <c r="I618" t="n">
        <v>0</v>
      </c>
      <c r="J618" t="n">
        <v>0</v>
      </c>
      <c r="K618" t="n">
        <v>0</v>
      </c>
      <c r="L618" t="n">
        <v>0</v>
      </c>
      <c r="M618" t="n">
        <v>0</v>
      </c>
      <c r="N618" t="n">
        <v>0</v>
      </c>
      <c r="O618" t="n">
        <v>0</v>
      </c>
      <c r="P618" t="n">
        <v>0</v>
      </c>
      <c r="Q618" t="n">
        <v>0</v>
      </c>
      <c r="R618" s="2" t="inlineStr"/>
    </row>
    <row r="619" ht="15" customHeight="1">
      <c r="A619" t="inlineStr">
        <is>
          <t>A 27572-2025</t>
        </is>
      </c>
      <c r="B619" s="1" t="n">
        <v>45813.49049768518</v>
      </c>
      <c r="C619" s="1" t="n">
        <v>46127</v>
      </c>
      <c r="D619" t="inlineStr">
        <is>
          <t>VÄSTERNORRLANDS LÄN</t>
        </is>
      </c>
      <c r="E619" t="inlineStr">
        <is>
          <t>ÅNGE</t>
        </is>
      </c>
      <c r="F619" t="inlineStr">
        <is>
          <t>SCA</t>
        </is>
      </c>
      <c r="G619" t="n">
        <v>14.3</v>
      </c>
      <c r="H619" t="n">
        <v>0</v>
      </c>
      <c r="I619" t="n">
        <v>0</v>
      </c>
      <c r="J619" t="n">
        <v>0</v>
      </c>
      <c r="K619" t="n">
        <v>0</v>
      </c>
      <c r="L619" t="n">
        <v>0</v>
      </c>
      <c r="M619" t="n">
        <v>0</v>
      </c>
      <c r="N619" t="n">
        <v>0</v>
      </c>
      <c r="O619" t="n">
        <v>0</v>
      </c>
      <c r="P619" t="n">
        <v>0</v>
      </c>
      <c r="Q619" t="n">
        <v>0</v>
      </c>
      <c r="R619" s="2" t="inlineStr"/>
    </row>
    <row r="620" ht="15" customHeight="1">
      <c r="A620" t="inlineStr">
        <is>
          <t>A 27165-2025</t>
        </is>
      </c>
      <c r="B620" s="1" t="n">
        <v>45812.34440972222</v>
      </c>
      <c r="C620" s="1" t="n">
        <v>46127</v>
      </c>
      <c r="D620" t="inlineStr">
        <is>
          <t>VÄSTERNORRLANDS LÄN</t>
        </is>
      </c>
      <c r="E620" t="inlineStr">
        <is>
          <t>ÅNGE</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42730-2025</t>
        </is>
      </c>
      <c r="B621" s="1" t="n">
        <v>45908.40666666667</v>
      </c>
      <c r="C621" s="1" t="n">
        <v>46127</v>
      </c>
      <c r="D621" t="inlineStr">
        <is>
          <t>VÄSTERNORRLANDS LÄN</t>
        </is>
      </c>
      <c r="E621" t="inlineStr">
        <is>
          <t>ÅNGE</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27545-2025</t>
        </is>
      </c>
      <c r="B622" s="1" t="n">
        <v>45813.46942129629</v>
      </c>
      <c r="C622" s="1" t="n">
        <v>46127</v>
      </c>
      <c r="D622" t="inlineStr">
        <is>
          <t>VÄSTERNORRLANDS LÄN</t>
        </is>
      </c>
      <c r="E622" t="inlineStr">
        <is>
          <t>ÅNGE</t>
        </is>
      </c>
      <c r="F622" t="inlineStr">
        <is>
          <t>SCA</t>
        </is>
      </c>
      <c r="G622" t="n">
        <v>14.3</v>
      </c>
      <c r="H622" t="n">
        <v>0</v>
      </c>
      <c r="I622" t="n">
        <v>0</v>
      </c>
      <c r="J622" t="n">
        <v>0</v>
      </c>
      <c r="K622" t="n">
        <v>0</v>
      </c>
      <c r="L622" t="n">
        <v>0</v>
      </c>
      <c r="M622" t="n">
        <v>0</v>
      </c>
      <c r="N622" t="n">
        <v>0</v>
      </c>
      <c r="O622" t="n">
        <v>0</v>
      </c>
      <c r="P622" t="n">
        <v>0</v>
      </c>
      <c r="Q622" t="n">
        <v>0</v>
      </c>
      <c r="R622" s="2" t="inlineStr"/>
    </row>
    <row r="623" ht="15" customHeight="1">
      <c r="A623" t="inlineStr">
        <is>
          <t>A 43237-2025</t>
        </is>
      </c>
      <c r="B623" s="1" t="n">
        <v>45910.51670138889</v>
      </c>
      <c r="C623" s="1" t="n">
        <v>46127</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43250-2025</t>
        </is>
      </c>
      <c r="B624" s="1" t="n">
        <v>45910.5525462963</v>
      </c>
      <c r="C624" s="1" t="n">
        <v>46127</v>
      </c>
      <c r="D624" t="inlineStr">
        <is>
          <t>VÄSTERNORRLANDS LÄN</t>
        </is>
      </c>
      <c r="E624" t="inlineStr">
        <is>
          <t>ÅNGE</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43252-2025</t>
        </is>
      </c>
      <c r="B625" s="1" t="n">
        <v>45910.55292824074</v>
      </c>
      <c r="C625" s="1" t="n">
        <v>46127</v>
      </c>
      <c r="D625" t="inlineStr">
        <is>
          <t>VÄSTERNORRLANDS LÄN</t>
        </is>
      </c>
      <c r="E625" t="inlineStr">
        <is>
          <t>ÅNGE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741-2024</t>
        </is>
      </c>
      <c r="B626" s="1" t="n">
        <v>45300.46591435185</v>
      </c>
      <c r="C626" s="1" t="n">
        <v>46127</v>
      </c>
      <c r="D626" t="inlineStr">
        <is>
          <t>VÄSTERNORRLANDS LÄN</t>
        </is>
      </c>
      <c r="E626" t="inlineStr">
        <is>
          <t>ÅNGE</t>
        </is>
      </c>
      <c r="G626" t="n">
        <v>8</v>
      </c>
      <c r="H626" t="n">
        <v>0</v>
      </c>
      <c r="I626" t="n">
        <v>0</v>
      </c>
      <c r="J626" t="n">
        <v>0</v>
      </c>
      <c r="K626" t="n">
        <v>0</v>
      </c>
      <c r="L626" t="n">
        <v>0</v>
      </c>
      <c r="M626" t="n">
        <v>0</v>
      </c>
      <c r="N626" t="n">
        <v>0</v>
      </c>
      <c r="O626" t="n">
        <v>0</v>
      </c>
      <c r="P626" t="n">
        <v>0</v>
      </c>
      <c r="Q626" t="n">
        <v>0</v>
      </c>
      <c r="R626" s="2" t="inlineStr"/>
    </row>
    <row r="627" ht="15" customHeight="1">
      <c r="A627" t="inlineStr">
        <is>
          <t>A 43415-2025</t>
        </is>
      </c>
      <c r="B627" s="1" t="n">
        <v>45911.40662037037</v>
      </c>
      <c r="C627" s="1" t="n">
        <v>46127</v>
      </c>
      <c r="D627" t="inlineStr">
        <is>
          <t>VÄSTERNORRLANDS LÄN</t>
        </is>
      </c>
      <c r="E627" t="inlineStr">
        <is>
          <t>ÅNGE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48369-2024</t>
        </is>
      </c>
      <c r="B628" s="1" t="n">
        <v>45590.57960648148</v>
      </c>
      <c r="C628" s="1" t="n">
        <v>46127</v>
      </c>
      <c r="D628" t="inlineStr">
        <is>
          <t>VÄSTERNORRLANDS LÄN</t>
        </is>
      </c>
      <c r="E628" t="inlineStr">
        <is>
          <t>ÅNGE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43386-2025</t>
        </is>
      </c>
      <c r="B629" s="1" t="n">
        <v>45911.36520833334</v>
      </c>
      <c r="C629" s="1" t="n">
        <v>46127</v>
      </c>
      <c r="D629" t="inlineStr">
        <is>
          <t>VÄSTERNORRLANDS LÄN</t>
        </is>
      </c>
      <c r="E629" t="inlineStr">
        <is>
          <t>ÅNGE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16524-2025</t>
        </is>
      </c>
      <c r="B630" s="1" t="n">
        <v>45751.64310185185</v>
      </c>
      <c r="C630" s="1" t="n">
        <v>46127</v>
      </c>
      <c r="D630" t="inlineStr">
        <is>
          <t>VÄSTERNORRLANDS LÄN</t>
        </is>
      </c>
      <c r="E630" t="inlineStr">
        <is>
          <t>ÅNGE</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43385-2025</t>
        </is>
      </c>
      <c r="B631" s="1" t="n">
        <v>45911.36508101852</v>
      </c>
      <c r="C631" s="1" t="n">
        <v>46127</v>
      </c>
      <c r="D631" t="inlineStr">
        <is>
          <t>VÄSTERNORRLANDS LÄN</t>
        </is>
      </c>
      <c r="E631" t="inlineStr">
        <is>
          <t>ÅNGE</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43546-2025</t>
        </is>
      </c>
      <c r="B632" s="1" t="n">
        <v>45911.6153125</v>
      </c>
      <c r="C632" s="1" t="n">
        <v>46127</v>
      </c>
      <c r="D632" t="inlineStr">
        <is>
          <t>VÄSTERNORRLANDS LÄN</t>
        </is>
      </c>
      <c r="E632" t="inlineStr">
        <is>
          <t>ÅNGE</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43389-2025</t>
        </is>
      </c>
      <c r="B633" s="1" t="n">
        <v>45911.36560185185</v>
      </c>
      <c r="C633" s="1" t="n">
        <v>46127</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52683-2024</t>
        </is>
      </c>
      <c r="B634" s="1" t="n">
        <v>45610</v>
      </c>
      <c r="C634" s="1" t="n">
        <v>46127</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40790-2023</t>
        </is>
      </c>
      <c r="B635" s="1" t="n">
        <v>45170.95814814815</v>
      </c>
      <c r="C635" s="1" t="n">
        <v>46127</v>
      </c>
      <c r="D635" t="inlineStr">
        <is>
          <t>VÄSTERNORRLANDS LÄN</t>
        </is>
      </c>
      <c r="E635" t="inlineStr">
        <is>
          <t>ÅNGE</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38002-2024</t>
        </is>
      </c>
      <c r="B636" s="1" t="n">
        <v>45544.61484953704</v>
      </c>
      <c r="C636" s="1" t="n">
        <v>46127</v>
      </c>
      <c r="D636" t="inlineStr">
        <is>
          <t>VÄSTERNORRLANDS LÄN</t>
        </is>
      </c>
      <c r="E636" t="inlineStr">
        <is>
          <t>ÅNGE</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57302-2025</t>
        </is>
      </c>
      <c r="B637" s="1" t="n">
        <v>45979.87184027778</v>
      </c>
      <c r="C637" s="1" t="n">
        <v>46127</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28085-2025</t>
        </is>
      </c>
      <c r="B638" s="1" t="n">
        <v>45817.71924768519</v>
      </c>
      <c r="C638" s="1" t="n">
        <v>46127</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60514-2024</t>
        </is>
      </c>
      <c r="B639" s="1" t="n">
        <v>45643.67474537037</v>
      </c>
      <c r="C639" s="1" t="n">
        <v>46127</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6684-2024</t>
        </is>
      </c>
      <c r="B640" s="1" t="n">
        <v>45341.92555555556</v>
      </c>
      <c r="C640" s="1" t="n">
        <v>46127</v>
      </c>
      <c r="D640" t="inlineStr">
        <is>
          <t>VÄSTERNORRLANDS LÄN</t>
        </is>
      </c>
      <c r="E640" t="inlineStr">
        <is>
          <t>ÅNGE</t>
        </is>
      </c>
      <c r="G640" t="n">
        <v>1</v>
      </c>
      <c r="H640" t="n">
        <v>0</v>
      </c>
      <c r="I640" t="n">
        <v>0</v>
      </c>
      <c r="J640" t="n">
        <v>0</v>
      </c>
      <c r="K640" t="n">
        <v>0</v>
      </c>
      <c r="L640" t="n">
        <v>0</v>
      </c>
      <c r="M640" t="n">
        <v>0</v>
      </c>
      <c r="N640" t="n">
        <v>0</v>
      </c>
      <c r="O640" t="n">
        <v>0</v>
      </c>
      <c r="P640" t="n">
        <v>0</v>
      </c>
      <c r="Q640" t="n">
        <v>0</v>
      </c>
      <c r="R640" s="2" t="inlineStr"/>
    </row>
    <row r="641" ht="15" customHeight="1">
      <c r="A641" t="inlineStr">
        <is>
          <t>A 6691-2024</t>
        </is>
      </c>
      <c r="B641" s="1" t="n">
        <v>45341</v>
      </c>
      <c r="C641" s="1" t="n">
        <v>46127</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43221-2025</t>
        </is>
      </c>
      <c r="B642" s="1" t="n">
        <v>45910.47981481482</v>
      </c>
      <c r="C642" s="1" t="n">
        <v>46127</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43265-2025</t>
        </is>
      </c>
      <c r="B643" s="1" t="n">
        <v>45910.57377314815</v>
      </c>
      <c r="C643" s="1" t="n">
        <v>46127</v>
      </c>
      <c r="D643" t="inlineStr">
        <is>
          <t>VÄSTERNORRLANDS LÄN</t>
        </is>
      </c>
      <c r="E643" t="inlineStr">
        <is>
          <t>ÅNGE</t>
        </is>
      </c>
      <c r="F643" t="inlineStr">
        <is>
          <t>SCA</t>
        </is>
      </c>
      <c r="G643" t="n">
        <v>7</v>
      </c>
      <c r="H643" t="n">
        <v>0</v>
      </c>
      <c r="I643" t="n">
        <v>0</v>
      </c>
      <c r="J643" t="n">
        <v>0</v>
      </c>
      <c r="K643" t="n">
        <v>0</v>
      </c>
      <c r="L643" t="n">
        <v>0</v>
      </c>
      <c r="M643" t="n">
        <v>0</v>
      </c>
      <c r="N643" t="n">
        <v>0</v>
      </c>
      <c r="O643" t="n">
        <v>0</v>
      </c>
      <c r="P643" t="n">
        <v>0</v>
      </c>
      <c r="Q643" t="n">
        <v>0</v>
      </c>
      <c r="R643" s="2" t="inlineStr"/>
    </row>
    <row r="644" ht="15" customHeight="1">
      <c r="A644" t="inlineStr">
        <is>
          <t>A 28070-2025</t>
        </is>
      </c>
      <c r="B644" s="1" t="n">
        <v>45817.67739583334</v>
      </c>
      <c r="C644" s="1" t="n">
        <v>46127</v>
      </c>
      <c r="D644" t="inlineStr">
        <is>
          <t>VÄSTERNORRLANDS LÄN</t>
        </is>
      </c>
      <c r="E644" t="inlineStr">
        <is>
          <t>ÅNGE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53856-2024</t>
        </is>
      </c>
      <c r="B645" s="1" t="n">
        <v>45615</v>
      </c>
      <c r="C645" s="1" t="n">
        <v>46127</v>
      </c>
      <c r="D645" t="inlineStr">
        <is>
          <t>VÄSTERNORRLANDS LÄN</t>
        </is>
      </c>
      <c r="E645" t="inlineStr">
        <is>
          <t>ÅNGE</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56874-2024</t>
        </is>
      </c>
      <c r="B646" s="1" t="n">
        <v>45628</v>
      </c>
      <c r="C646" s="1" t="n">
        <v>46127</v>
      </c>
      <c r="D646" t="inlineStr">
        <is>
          <t>VÄSTERNORRLANDS LÄN</t>
        </is>
      </c>
      <c r="E646" t="inlineStr">
        <is>
          <t>ÅNGE</t>
        </is>
      </c>
      <c r="G646" t="n">
        <v>1.1</v>
      </c>
      <c r="H646" t="n">
        <v>0</v>
      </c>
      <c r="I646" t="n">
        <v>0</v>
      </c>
      <c r="J646" t="n">
        <v>0</v>
      </c>
      <c r="K646" t="n">
        <v>0</v>
      </c>
      <c r="L646" t="n">
        <v>0</v>
      </c>
      <c r="M646" t="n">
        <v>0</v>
      </c>
      <c r="N646" t="n">
        <v>0</v>
      </c>
      <c r="O646" t="n">
        <v>0</v>
      </c>
      <c r="P646" t="n">
        <v>0</v>
      </c>
      <c r="Q646" t="n">
        <v>0</v>
      </c>
      <c r="R646" s="2" t="inlineStr"/>
    </row>
    <row r="647" ht="15" customHeight="1">
      <c r="A647" t="inlineStr">
        <is>
          <t>A 58087-2024</t>
        </is>
      </c>
      <c r="B647" s="1" t="n">
        <v>45632.34502314815</v>
      </c>
      <c r="C647" s="1" t="n">
        <v>46127</v>
      </c>
      <c r="D647" t="inlineStr">
        <is>
          <t>VÄSTERNORRLANDS LÄN</t>
        </is>
      </c>
      <c r="E647" t="inlineStr">
        <is>
          <t>ÅNGE</t>
        </is>
      </c>
      <c r="G647" t="n">
        <v>2.6</v>
      </c>
      <c r="H647" t="n">
        <v>0</v>
      </c>
      <c r="I647" t="n">
        <v>0</v>
      </c>
      <c r="J647" t="n">
        <v>0</v>
      </c>
      <c r="K647" t="n">
        <v>0</v>
      </c>
      <c r="L647" t="n">
        <v>0</v>
      </c>
      <c r="M647" t="n">
        <v>0</v>
      </c>
      <c r="N647" t="n">
        <v>0</v>
      </c>
      <c r="O647" t="n">
        <v>0</v>
      </c>
      <c r="P647" t="n">
        <v>0</v>
      </c>
      <c r="Q647" t="n">
        <v>0</v>
      </c>
      <c r="R647" s="2" t="inlineStr"/>
    </row>
    <row r="648" ht="15" customHeight="1">
      <c r="A648" t="inlineStr">
        <is>
          <t>A 44165-2025</t>
        </is>
      </c>
      <c r="B648" s="1" t="n">
        <v>45915.59840277778</v>
      </c>
      <c r="C648" s="1" t="n">
        <v>46127</v>
      </c>
      <c r="D648" t="inlineStr">
        <is>
          <t>VÄSTERNORRLANDS LÄN</t>
        </is>
      </c>
      <c r="E648" t="inlineStr">
        <is>
          <t>ÅNGE</t>
        </is>
      </c>
      <c r="G648" t="n">
        <v>0.7</v>
      </c>
      <c r="H648" t="n">
        <v>0</v>
      </c>
      <c r="I648" t="n">
        <v>0</v>
      </c>
      <c r="J648" t="n">
        <v>0</v>
      </c>
      <c r="K648" t="n">
        <v>0</v>
      </c>
      <c r="L648" t="n">
        <v>0</v>
      </c>
      <c r="M648" t="n">
        <v>0</v>
      </c>
      <c r="N648" t="n">
        <v>0</v>
      </c>
      <c r="O648" t="n">
        <v>0</v>
      </c>
      <c r="P648" t="n">
        <v>0</v>
      </c>
      <c r="Q648" t="n">
        <v>0</v>
      </c>
      <c r="R648" s="2" t="inlineStr"/>
    </row>
    <row r="649" ht="15" customHeight="1">
      <c r="A649" t="inlineStr">
        <is>
          <t>A 51059-2024</t>
        </is>
      </c>
      <c r="B649" s="1" t="n">
        <v>45603</v>
      </c>
      <c r="C649" s="1" t="n">
        <v>46127</v>
      </c>
      <c r="D649" t="inlineStr">
        <is>
          <t>VÄSTERNORRLANDS LÄN</t>
        </is>
      </c>
      <c r="E649" t="inlineStr">
        <is>
          <t>ÅNGE</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51054-2024</t>
        </is>
      </c>
      <c r="B650" s="1" t="n">
        <v>45603</v>
      </c>
      <c r="C650" s="1" t="n">
        <v>46127</v>
      </c>
      <c r="D650" t="inlineStr">
        <is>
          <t>VÄSTERNORRLANDS LÄN</t>
        </is>
      </c>
      <c r="E650" t="inlineStr">
        <is>
          <t>ÅNGE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21200-2024</t>
        </is>
      </c>
      <c r="B651" s="1" t="n">
        <v>45440</v>
      </c>
      <c r="C651" s="1" t="n">
        <v>46127</v>
      </c>
      <c r="D651" t="inlineStr">
        <is>
          <t>VÄSTERNORRLANDS LÄN</t>
        </is>
      </c>
      <c r="E651" t="inlineStr">
        <is>
          <t>ÅNGE</t>
        </is>
      </c>
      <c r="G651" t="n">
        <v>1.1</v>
      </c>
      <c r="H651" t="n">
        <v>0</v>
      </c>
      <c r="I651" t="n">
        <v>0</v>
      </c>
      <c r="J651" t="n">
        <v>0</v>
      </c>
      <c r="K651" t="n">
        <v>0</v>
      </c>
      <c r="L651" t="n">
        <v>0</v>
      </c>
      <c r="M651" t="n">
        <v>0</v>
      </c>
      <c r="N651" t="n">
        <v>0</v>
      </c>
      <c r="O651" t="n">
        <v>0</v>
      </c>
      <c r="P651" t="n">
        <v>0</v>
      </c>
      <c r="Q651" t="n">
        <v>0</v>
      </c>
      <c r="R651" s="2" t="inlineStr"/>
    </row>
    <row r="652" ht="15" customHeight="1">
      <c r="A652" t="inlineStr">
        <is>
          <t>A 10017-2025</t>
        </is>
      </c>
      <c r="B652" s="1" t="n">
        <v>45719.46957175926</v>
      </c>
      <c r="C652" s="1" t="n">
        <v>46127</v>
      </c>
      <c r="D652" t="inlineStr">
        <is>
          <t>VÄSTERNORRLANDS LÄN</t>
        </is>
      </c>
      <c r="E652" t="inlineStr">
        <is>
          <t>ÅNGE</t>
        </is>
      </c>
      <c r="F652" t="inlineStr">
        <is>
          <t>SCA</t>
        </is>
      </c>
      <c r="G652" t="n">
        <v>9.9</v>
      </c>
      <c r="H652" t="n">
        <v>0</v>
      </c>
      <c r="I652" t="n">
        <v>0</v>
      </c>
      <c r="J652" t="n">
        <v>0</v>
      </c>
      <c r="K652" t="n">
        <v>0</v>
      </c>
      <c r="L652" t="n">
        <v>0</v>
      </c>
      <c r="M652" t="n">
        <v>0</v>
      </c>
      <c r="N652" t="n">
        <v>0</v>
      </c>
      <c r="O652" t="n">
        <v>0</v>
      </c>
      <c r="P652" t="n">
        <v>0</v>
      </c>
      <c r="Q652" t="n">
        <v>0</v>
      </c>
      <c r="R652" s="2" t="inlineStr"/>
    </row>
    <row r="653" ht="15" customHeight="1">
      <c r="A653" t="inlineStr">
        <is>
          <t>A 43707-2025</t>
        </is>
      </c>
      <c r="B653" s="1" t="n">
        <v>45912.40668981482</v>
      </c>
      <c r="C653" s="1" t="n">
        <v>46127</v>
      </c>
      <c r="D653" t="inlineStr">
        <is>
          <t>VÄSTERNORRLANDS LÄN</t>
        </is>
      </c>
      <c r="E653" t="inlineStr">
        <is>
          <t>ÅNGE</t>
        </is>
      </c>
      <c r="F653" t="inlineStr">
        <is>
          <t>SCA</t>
        </is>
      </c>
      <c r="G653" t="n">
        <v>12.5</v>
      </c>
      <c r="H653" t="n">
        <v>0</v>
      </c>
      <c r="I653" t="n">
        <v>0</v>
      </c>
      <c r="J653" t="n">
        <v>0</v>
      </c>
      <c r="K653" t="n">
        <v>0</v>
      </c>
      <c r="L653" t="n">
        <v>0</v>
      </c>
      <c r="M653" t="n">
        <v>0</v>
      </c>
      <c r="N653" t="n">
        <v>0</v>
      </c>
      <c r="O653" t="n">
        <v>0</v>
      </c>
      <c r="P653" t="n">
        <v>0</v>
      </c>
      <c r="Q653" t="n">
        <v>0</v>
      </c>
      <c r="R653" s="2" t="inlineStr"/>
      <c r="U653">
        <f>HYPERLINK("https://klasma.github.io/Logging_2260/knärot/A 43707-2025 karta knärot.png", "A 43707-2025")</f>
        <v/>
      </c>
      <c r="V653">
        <f>HYPERLINK("https://klasma.github.io/Logging_2260/klagomål/A 43707-2025 FSC-klagomål.docx", "A 43707-2025")</f>
        <v/>
      </c>
      <c r="W653">
        <f>HYPERLINK("https://klasma.github.io/Logging_2260/klagomålsmail/A 43707-2025 FSC-klagomål mail.docx", "A 43707-2025")</f>
        <v/>
      </c>
      <c r="X653">
        <f>HYPERLINK("https://klasma.github.io/Logging_2260/tillsyn/A 43707-2025 tillsynsbegäran.docx", "A 43707-2025")</f>
        <v/>
      </c>
      <c r="Y653">
        <f>HYPERLINK("https://klasma.github.io/Logging_2260/tillsynsmail/A 43707-2025 tillsynsbegäran mail.docx", "A 43707-2025")</f>
        <v/>
      </c>
    </row>
    <row r="654" ht="15" customHeight="1">
      <c r="A654" t="inlineStr">
        <is>
          <t>A 1127-2023</t>
        </is>
      </c>
      <c r="B654" s="1" t="n">
        <v>44929</v>
      </c>
      <c r="C654" s="1" t="n">
        <v>46127</v>
      </c>
      <c r="D654" t="inlineStr">
        <is>
          <t>VÄSTERNORRLANDS LÄN</t>
        </is>
      </c>
      <c r="E654" t="inlineStr">
        <is>
          <t>ÅNGE</t>
        </is>
      </c>
      <c r="G654" t="n">
        <v>10.5</v>
      </c>
      <c r="H654" t="n">
        <v>0</v>
      </c>
      <c r="I654" t="n">
        <v>0</v>
      </c>
      <c r="J654" t="n">
        <v>0</v>
      </c>
      <c r="K654" t="n">
        <v>0</v>
      </c>
      <c r="L654" t="n">
        <v>0</v>
      </c>
      <c r="M654" t="n">
        <v>0</v>
      </c>
      <c r="N654" t="n">
        <v>0</v>
      </c>
      <c r="O654" t="n">
        <v>0</v>
      </c>
      <c r="P654" t="n">
        <v>0</v>
      </c>
      <c r="Q654" t="n">
        <v>0</v>
      </c>
      <c r="R654" s="2" t="inlineStr"/>
    </row>
    <row r="655" ht="15" customHeight="1">
      <c r="A655" t="inlineStr">
        <is>
          <t>A 22755-2023</t>
        </is>
      </c>
      <c r="B655" s="1" t="n">
        <v>45071.94127314815</v>
      </c>
      <c r="C655" s="1" t="n">
        <v>46127</v>
      </c>
      <c r="D655" t="inlineStr">
        <is>
          <t>VÄSTERNORRLANDS LÄN</t>
        </is>
      </c>
      <c r="E655" t="inlineStr">
        <is>
          <t>ÅNGE</t>
        </is>
      </c>
      <c r="F655" t="inlineStr">
        <is>
          <t>SCA</t>
        </is>
      </c>
      <c r="G655" t="n">
        <v>12.6</v>
      </c>
      <c r="H655" t="n">
        <v>0</v>
      </c>
      <c r="I655" t="n">
        <v>0</v>
      </c>
      <c r="J655" t="n">
        <v>0</v>
      </c>
      <c r="K655" t="n">
        <v>0</v>
      </c>
      <c r="L655" t="n">
        <v>0</v>
      </c>
      <c r="M655" t="n">
        <v>0</v>
      </c>
      <c r="N655" t="n">
        <v>0</v>
      </c>
      <c r="O655" t="n">
        <v>0</v>
      </c>
      <c r="P655" t="n">
        <v>0</v>
      </c>
      <c r="Q655" t="n">
        <v>0</v>
      </c>
      <c r="R655" s="2" t="inlineStr"/>
    </row>
    <row r="656" ht="15" customHeight="1">
      <c r="A656" t="inlineStr">
        <is>
          <t>A 28143-2025</t>
        </is>
      </c>
      <c r="B656" s="1" t="n">
        <v>45818.34546296296</v>
      </c>
      <c r="C656" s="1" t="n">
        <v>46127</v>
      </c>
      <c r="D656" t="inlineStr">
        <is>
          <t>VÄSTERNORRLANDS LÄN</t>
        </is>
      </c>
      <c r="E656" t="inlineStr">
        <is>
          <t>ÅNGE</t>
        </is>
      </c>
      <c r="F656" t="inlineStr">
        <is>
          <t>SCA</t>
        </is>
      </c>
      <c r="G656" t="n">
        <v>6.8</v>
      </c>
      <c r="H656" t="n">
        <v>0</v>
      </c>
      <c r="I656" t="n">
        <v>0</v>
      </c>
      <c r="J656" t="n">
        <v>0</v>
      </c>
      <c r="K656" t="n">
        <v>0</v>
      </c>
      <c r="L656" t="n">
        <v>0</v>
      </c>
      <c r="M656" t="n">
        <v>0</v>
      </c>
      <c r="N656" t="n">
        <v>0</v>
      </c>
      <c r="O656" t="n">
        <v>0</v>
      </c>
      <c r="P656" t="n">
        <v>0</v>
      </c>
      <c r="Q656" t="n">
        <v>0</v>
      </c>
      <c r="R656" s="2" t="inlineStr"/>
    </row>
    <row r="657" ht="15" customHeight="1">
      <c r="A657" t="inlineStr">
        <is>
          <t>A 4727-2023</t>
        </is>
      </c>
      <c r="B657" s="1" t="n">
        <v>44953</v>
      </c>
      <c r="C657" s="1" t="n">
        <v>46127</v>
      </c>
      <c r="D657" t="inlineStr">
        <is>
          <t>VÄSTERNORRLANDS LÄN</t>
        </is>
      </c>
      <c r="E657" t="inlineStr">
        <is>
          <t>ÅNGE</t>
        </is>
      </c>
      <c r="G657" t="n">
        <v>0.4</v>
      </c>
      <c r="H657" t="n">
        <v>0</v>
      </c>
      <c r="I657" t="n">
        <v>0</v>
      </c>
      <c r="J657" t="n">
        <v>0</v>
      </c>
      <c r="K657" t="n">
        <v>0</v>
      </c>
      <c r="L657" t="n">
        <v>0</v>
      </c>
      <c r="M657" t="n">
        <v>0</v>
      </c>
      <c r="N657" t="n">
        <v>0</v>
      </c>
      <c r="O657" t="n">
        <v>0</v>
      </c>
      <c r="P657" t="n">
        <v>0</v>
      </c>
      <c r="Q657" t="n">
        <v>0</v>
      </c>
      <c r="R657" s="2" t="inlineStr"/>
    </row>
    <row r="658" ht="15" customHeight="1">
      <c r="A658" t="inlineStr">
        <is>
          <t>A 28404-2025</t>
        </is>
      </c>
      <c r="B658" s="1" t="n">
        <v>45819.34532407407</v>
      </c>
      <c r="C658" s="1" t="n">
        <v>46127</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29153-2025</t>
        </is>
      </c>
      <c r="B659" s="1" t="n">
        <v>45821.63574074074</v>
      </c>
      <c r="C659" s="1" t="n">
        <v>46127</v>
      </c>
      <c r="D659" t="inlineStr">
        <is>
          <t>VÄSTERNORRLANDS LÄN</t>
        </is>
      </c>
      <c r="E659" t="inlineStr">
        <is>
          <t>ÅNGE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28896-2025</t>
        </is>
      </c>
      <c r="B660" s="1" t="n">
        <v>45820.63584490741</v>
      </c>
      <c r="C660" s="1" t="n">
        <v>46127</v>
      </c>
      <c r="D660" t="inlineStr">
        <is>
          <t>VÄSTERNORRLANDS LÄN</t>
        </is>
      </c>
      <c r="E660" t="inlineStr">
        <is>
          <t>ÅNGE</t>
        </is>
      </c>
      <c r="F660" t="inlineStr">
        <is>
          <t>SCA</t>
        </is>
      </c>
      <c r="G660" t="n">
        <v>4.4</v>
      </c>
      <c r="H660" t="n">
        <v>0</v>
      </c>
      <c r="I660" t="n">
        <v>0</v>
      </c>
      <c r="J660" t="n">
        <v>0</v>
      </c>
      <c r="K660" t="n">
        <v>0</v>
      </c>
      <c r="L660" t="n">
        <v>0</v>
      </c>
      <c r="M660" t="n">
        <v>0</v>
      </c>
      <c r="N660" t="n">
        <v>0</v>
      </c>
      <c r="O660" t="n">
        <v>0</v>
      </c>
      <c r="P660" t="n">
        <v>0</v>
      </c>
      <c r="Q660" t="n">
        <v>0</v>
      </c>
      <c r="R660" s="2" t="inlineStr"/>
    </row>
    <row r="661" ht="15" customHeight="1">
      <c r="A661" t="inlineStr">
        <is>
          <t>A 24552-2023</t>
        </is>
      </c>
      <c r="B661" s="1" t="n">
        <v>45082.94226851852</v>
      </c>
      <c r="C661" s="1" t="n">
        <v>46127</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28814-2025</t>
        </is>
      </c>
      <c r="B662" s="1" t="n">
        <v>45820.52846064815</v>
      </c>
      <c r="C662" s="1" t="n">
        <v>46127</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42881-2023</t>
        </is>
      </c>
      <c r="B663" s="1" t="n">
        <v>45182.45256944445</v>
      </c>
      <c r="C663" s="1" t="n">
        <v>46127</v>
      </c>
      <c r="D663" t="inlineStr">
        <is>
          <t>VÄSTERNORRLANDS LÄN</t>
        </is>
      </c>
      <c r="E663" t="inlineStr">
        <is>
          <t>ÅNGE</t>
        </is>
      </c>
      <c r="G663" t="n">
        <v>3.9</v>
      </c>
      <c r="H663" t="n">
        <v>0</v>
      </c>
      <c r="I663" t="n">
        <v>0</v>
      </c>
      <c r="J663" t="n">
        <v>0</v>
      </c>
      <c r="K663" t="n">
        <v>0</v>
      </c>
      <c r="L663" t="n">
        <v>0</v>
      </c>
      <c r="M663" t="n">
        <v>0</v>
      </c>
      <c r="N663" t="n">
        <v>0</v>
      </c>
      <c r="O663" t="n">
        <v>0</v>
      </c>
      <c r="P663" t="n">
        <v>0</v>
      </c>
      <c r="Q663" t="n">
        <v>0</v>
      </c>
      <c r="R663" s="2" t="inlineStr"/>
    </row>
    <row r="664" ht="15" customHeight="1">
      <c r="A664" t="inlineStr">
        <is>
          <t>A 57371-2025</t>
        </is>
      </c>
      <c r="B664" s="1" t="n">
        <v>45980.38586805556</v>
      </c>
      <c r="C664" s="1" t="n">
        <v>46127</v>
      </c>
      <c r="D664" t="inlineStr">
        <is>
          <t>VÄSTERNORRLANDS LÄN</t>
        </is>
      </c>
      <c r="E664" t="inlineStr">
        <is>
          <t>ÅNGE</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30474-2024</t>
        </is>
      </c>
      <c r="B665" s="1" t="n">
        <v>45491</v>
      </c>
      <c r="C665" s="1" t="n">
        <v>46127</v>
      </c>
      <c r="D665" t="inlineStr">
        <is>
          <t>VÄSTERNORRLANDS LÄN</t>
        </is>
      </c>
      <c r="E665" t="inlineStr">
        <is>
          <t>ÅNGE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30475-2024</t>
        </is>
      </c>
      <c r="B666" s="1" t="n">
        <v>45491</v>
      </c>
      <c r="C666" s="1" t="n">
        <v>46127</v>
      </c>
      <c r="D666" t="inlineStr">
        <is>
          <t>VÄSTERNORRLANDS LÄN</t>
        </is>
      </c>
      <c r="E666" t="inlineStr">
        <is>
          <t>ÅNGE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47243-2024</t>
        </is>
      </c>
      <c r="B667" s="1" t="n">
        <v>45586.6987962963</v>
      </c>
      <c r="C667" s="1" t="n">
        <v>46127</v>
      </c>
      <c r="D667" t="inlineStr">
        <is>
          <t>VÄSTERNORRLANDS LÄN</t>
        </is>
      </c>
      <c r="E667" t="inlineStr">
        <is>
          <t>ÅNGE</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28717-2025</t>
        </is>
      </c>
      <c r="B668" s="1" t="n">
        <v>45820</v>
      </c>
      <c r="C668" s="1" t="n">
        <v>46127</v>
      </c>
      <c r="D668" t="inlineStr">
        <is>
          <t>VÄSTERNORRLANDS LÄN</t>
        </is>
      </c>
      <c r="E668" t="inlineStr">
        <is>
          <t>ÅNGE</t>
        </is>
      </c>
      <c r="F668" t="inlineStr">
        <is>
          <t>SCA</t>
        </is>
      </c>
      <c r="G668" t="n">
        <v>6.2</v>
      </c>
      <c r="H668" t="n">
        <v>0</v>
      </c>
      <c r="I668" t="n">
        <v>0</v>
      </c>
      <c r="J668" t="n">
        <v>0</v>
      </c>
      <c r="K668" t="n">
        <v>0</v>
      </c>
      <c r="L668" t="n">
        <v>0</v>
      </c>
      <c r="M668" t="n">
        <v>0</v>
      </c>
      <c r="N668" t="n">
        <v>0</v>
      </c>
      <c r="O668" t="n">
        <v>0</v>
      </c>
      <c r="P668" t="n">
        <v>0</v>
      </c>
      <c r="Q668" t="n">
        <v>0</v>
      </c>
      <c r="R668" s="2" t="inlineStr"/>
    </row>
    <row r="669" ht="15" customHeight="1">
      <c r="A669" t="inlineStr">
        <is>
          <t>A 42043-2024</t>
        </is>
      </c>
      <c r="B669" s="1" t="n">
        <v>45561</v>
      </c>
      <c r="C669" s="1" t="n">
        <v>46127</v>
      </c>
      <c r="D669" t="inlineStr">
        <is>
          <t>VÄSTERNORRLANDS LÄN</t>
        </is>
      </c>
      <c r="E669" t="inlineStr">
        <is>
          <t>ÅNGE</t>
        </is>
      </c>
      <c r="G669" t="n">
        <v>3.1</v>
      </c>
      <c r="H669" t="n">
        <v>0</v>
      </c>
      <c r="I669" t="n">
        <v>0</v>
      </c>
      <c r="J669" t="n">
        <v>0</v>
      </c>
      <c r="K669" t="n">
        <v>0</v>
      </c>
      <c r="L669" t="n">
        <v>0</v>
      </c>
      <c r="M669" t="n">
        <v>0</v>
      </c>
      <c r="N669" t="n">
        <v>0</v>
      </c>
      <c r="O669" t="n">
        <v>0</v>
      </c>
      <c r="P669" t="n">
        <v>0</v>
      </c>
      <c r="Q669" t="n">
        <v>0</v>
      </c>
      <c r="R669" s="2" t="inlineStr"/>
    </row>
    <row r="670" ht="15" customHeight="1">
      <c r="A670" t="inlineStr">
        <is>
          <t>A 42046-2024</t>
        </is>
      </c>
      <c r="B670" s="1" t="n">
        <v>45561.83422453704</v>
      </c>
      <c r="C670" s="1" t="n">
        <v>46127</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44919-2025</t>
        </is>
      </c>
      <c r="B671" s="1" t="n">
        <v>45918.55246527777</v>
      </c>
      <c r="C671" s="1" t="n">
        <v>46127</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44935-2025</t>
        </is>
      </c>
      <c r="B672" s="1" t="n">
        <v>45918.57392361111</v>
      </c>
      <c r="C672" s="1" t="n">
        <v>46127</v>
      </c>
      <c r="D672" t="inlineStr">
        <is>
          <t>VÄSTERNORRLANDS LÄN</t>
        </is>
      </c>
      <c r="E672" t="inlineStr">
        <is>
          <t>ÅNGE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46127</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46127</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46127</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29350-2025</t>
        </is>
      </c>
      <c r="B676" s="1" t="n">
        <v>45824.53206018519</v>
      </c>
      <c r="C676" s="1" t="n">
        <v>46127</v>
      </c>
      <c r="D676" t="inlineStr">
        <is>
          <t>VÄSTERNORRLANDS LÄN</t>
        </is>
      </c>
      <c r="E676" t="inlineStr">
        <is>
          <t>ÅNGE</t>
        </is>
      </c>
      <c r="G676" t="n">
        <v>8.6</v>
      </c>
      <c r="H676" t="n">
        <v>0</v>
      </c>
      <c r="I676" t="n">
        <v>0</v>
      </c>
      <c r="J676" t="n">
        <v>0</v>
      </c>
      <c r="K676" t="n">
        <v>0</v>
      </c>
      <c r="L676" t="n">
        <v>0</v>
      </c>
      <c r="M676" t="n">
        <v>0</v>
      </c>
      <c r="N676" t="n">
        <v>0</v>
      </c>
      <c r="O676" t="n">
        <v>0</v>
      </c>
      <c r="P676" t="n">
        <v>0</v>
      </c>
      <c r="Q676" t="n">
        <v>0</v>
      </c>
      <c r="R676" s="2" t="inlineStr"/>
    </row>
    <row r="677" ht="15" customHeight="1">
      <c r="A677" t="inlineStr">
        <is>
          <t>A 57457-2025</t>
        </is>
      </c>
      <c r="B677" s="1" t="n">
        <v>45980.53001157408</v>
      </c>
      <c r="C677" s="1" t="n">
        <v>46127</v>
      </c>
      <c r="D677" t="inlineStr">
        <is>
          <t>VÄSTERNORRLANDS LÄN</t>
        </is>
      </c>
      <c r="E677" t="inlineStr">
        <is>
          <t>ÅNGE</t>
        </is>
      </c>
      <c r="G677" t="n">
        <v>2.4</v>
      </c>
      <c r="H677" t="n">
        <v>0</v>
      </c>
      <c r="I677" t="n">
        <v>0</v>
      </c>
      <c r="J677" t="n">
        <v>0</v>
      </c>
      <c r="K677" t="n">
        <v>0</v>
      </c>
      <c r="L677" t="n">
        <v>0</v>
      </c>
      <c r="M677" t="n">
        <v>0</v>
      </c>
      <c r="N677" t="n">
        <v>0</v>
      </c>
      <c r="O677" t="n">
        <v>0</v>
      </c>
      <c r="P677" t="n">
        <v>0</v>
      </c>
      <c r="Q677" t="n">
        <v>0</v>
      </c>
      <c r="R677" s="2" t="inlineStr"/>
    </row>
    <row r="678" ht="15" customHeight="1">
      <c r="A678" t="inlineStr">
        <is>
          <t>A 55664-2023</t>
        </is>
      </c>
      <c r="B678" s="1" t="n">
        <v>45238.96748842593</v>
      </c>
      <c r="C678" s="1" t="n">
        <v>46127</v>
      </c>
      <c r="D678" t="inlineStr">
        <is>
          <t>VÄSTERNORRLANDS LÄN</t>
        </is>
      </c>
      <c r="E678" t="inlineStr">
        <is>
          <t>ÅNGE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57595-2022</t>
        </is>
      </c>
      <c r="B679" s="1" t="n">
        <v>44896.97862268519</v>
      </c>
      <c r="C679" s="1" t="n">
        <v>46127</v>
      </c>
      <c r="D679" t="inlineStr">
        <is>
          <t>VÄSTERNORRLANDS LÄN</t>
        </is>
      </c>
      <c r="E679" t="inlineStr">
        <is>
          <t>ÅNGE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30747-2024</t>
        </is>
      </c>
      <c r="B680" s="1" t="n">
        <v>45496</v>
      </c>
      <c r="C680" s="1" t="n">
        <v>46127</v>
      </c>
      <c r="D680" t="inlineStr">
        <is>
          <t>VÄSTERNORRLANDS LÄN</t>
        </is>
      </c>
      <c r="E680" t="inlineStr">
        <is>
          <t>ÅNGE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58524-2025</t>
        </is>
      </c>
      <c r="B681" s="1" t="n">
        <v>45985.7190162037</v>
      </c>
      <c r="C681" s="1" t="n">
        <v>46127</v>
      </c>
      <c r="D681" t="inlineStr">
        <is>
          <t>VÄSTERNORRLANDS LÄN</t>
        </is>
      </c>
      <c r="E681" t="inlineStr">
        <is>
          <t>ÅNGE</t>
        </is>
      </c>
      <c r="G681" t="n">
        <v>2.2</v>
      </c>
      <c r="H681" t="n">
        <v>0</v>
      </c>
      <c r="I681" t="n">
        <v>0</v>
      </c>
      <c r="J681" t="n">
        <v>0</v>
      </c>
      <c r="K681" t="n">
        <v>0</v>
      </c>
      <c r="L681" t="n">
        <v>0</v>
      </c>
      <c r="M681" t="n">
        <v>0</v>
      </c>
      <c r="N681" t="n">
        <v>0</v>
      </c>
      <c r="O681" t="n">
        <v>0</v>
      </c>
      <c r="P681" t="n">
        <v>0</v>
      </c>
      <c r="Q681" t="n">
        <v>0</v>
      </c>
      <c r="R681" s="2" t="inlineStr"/>
    </row>
    <row r="682" ht="15" customHeight="1">
      <c r="A682" t="inlineStr">
        <is>
          <t>A 58366-2025</t>
        </is>
      </c>
      <c r="B682" s="1" t="n">
        <v>45985.52600694444</v>
      </c>
      <c r="C682" s="1" t="n">
        <v>46127</v>
      </c>
      <c r="D682" t="inlineStr">
        <is>
          <t>VÄSTERNORRLANDS LÄN</t>
        </is>
      </c>
      <c r="E682" t="inlineStr">
        <is>
          <t>ÅNGE</t>
        </is>
      </c>
      <c r="G682" t="n">
        <v>2</v>
      </c>
      <c r="H682" t="n">
        <v>0</v>
      </c>
      <c r="I682" t="n">
        <v>0</v>
      </c>
      <c r="J682" t="n">
        <v>0</v>
      </c>
      <c r="K682" t="n">
        <v>0</v>
      </c>
      <c r="L682" t="n">
        <v>0</v>
      </c>
      <c r="M682" t="n">
        <v>0</v>
      </c>
      <c r="N682" t="n">
        <v>0</v>
      </c>
      <c r="O682" t="n">
        <v>0</v>
      </c>
      <c r="P682" t="n">
        <v>0</v>
      </c>
      <c r="Q682" t="n">
        <v>0</v>
      </c>
      <c r="R682" s="2" t="inlineStr"/>
    </row>
    <row r="683" ht="15" customHeight="1">
      <c r="A683" t="inlineStr">
        <is>
          <t>A 58939-2021</t>
        </is>
      </c>
      <c r="B683" s="1" t="n">
        <v>44489</v>
      </c>
      <c r="C683" s="1" t="n">
        <v>46127</v>
      </c>
      <c r="D683" t="inlineStr">
        <is>
          <t>VÄSTERNORRLANDS LÄN</t>
        </is>
      </c>
      <c r="E683" t="inlineStr">
        <is>
          <t>ÅNGE</t>
        </is>
      </c>
      <c r="G683" t="n">
        <v>2.5</v>
      </c>
      <c r="H683" t="n">
        <v>0</v>
      </c>
      <c r="I683" t="n">
        <v>0</v>
      </c>
      <c r="J683" t="n">
        <v>0</v>
      </c>
      <c r="K683" t="n">
        <v>0</v>
      </c>
      <c r="L683" t="n">
        <v>0</v>
      </c>
      <c r="M683" t="n">
        <v>0</v>
      </c>
      <c r="N683" t="n">
        <v>0</v>
      </c>
      <c r="O683" t="n">
        <v>0</v>
      </c>
      <c r="P683" t="n">
        <v>0</v>
      </c>
      <c r="Q683" t="n">
        <v>0</v>
      </c>
      <c r="R683" s="2" t="inlineStr"/>
    </row>
    <row r="684" ht="15" customHeight="1">
      <c r="A684" t="inlineStr">
        <is>
          <t>A 45403-2025</t>
        </is>
      </c>
      <c r="B684" s="1" t="n">
        <v>45922.42803240741</v>
      </c>
      <c r="C684" s="1" t="n">
        <v>46127</v>
      </c>
      <c r="D684" t="inlineStr">
        <is>
          <t>VÄSTERNORRLANDS LÄN</t>
        </is>
      </c>
      <c r="E684" t="inlineStr">
        <is>
          <t>ÅNGE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58406-2025</t>
        </is>
      </c>
      <c r="B685" s="1" t="n">
        <v>45985.56913194444</v>
      </c>
      <c r="C685" s="1" t="n">
        <v>46127</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58639-2023</t>
        </is>
      </c>
      <c r="B686" s="1" t="n">
        <v>45251</v>
      </c>
      <c r="C686" s="1" t="n">
        <v>46127</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57960-2025</t>
        </is>
      </c>
      <c r="B687" s="1" t="n">
        <v>45982.36494212963</v>
      </c>
      <c r="C687" s="1" t="n">
        <v>46127</v>
      </c>
      <c r="D687" t="inlineStr">
        <is>
          <t>VÄSTERNORRLANDS LÄN</t>
        </is>
      </c>
      <c r="E687" t="inlineStr">
        <is>
          <t>ÅNGE</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29560-2025</t>
        </is>
      </c>
      <c r="B688" s="1" t="n">
        <v>45825.36497685185</v>
      </c>
      <c r="C688" s="1" t="n">
        <v>46127</v>
      </c>
      <c r="D688" t="inlineStr">
        <is>
          <t>VÄSTERNORRLANDS LÄN</t>
        </is>
      </c>
      <c r="E688" t="inlineStr">
        <is>
          <t>ÅNGE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44635-2024</t>
        </is>
      </c>
      <c r="B689" s="1" t="n">
        <v>45574.51488425926</v>
      </c>
      <c r="C689" s="1" t="n">
        <v>46127</v>
      </c>
      <c r="D689" t="inlineStr">
        <is>
          <t>VÄSTERNORRLANDS LÄN</t>
        </is>
      </c>
      <c r="E689" t="inlineStr">
        <is>
          <t>ÅNGE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45401-2025</t>
        </is>
      </c>
      <c r="B690" s="1" t="n">
        <v>45922.42767361111</v>
      </c>
      <c r="C690" s="1" t="n">
        <v>46127</v>
      </c>
      <c r="D690" t="inlineStr">
        <is>
          <t>VÄSTERNORRLANDS LÄN</t>
        </is>
      </c>
      <c r="E690" t="inlineStr">
        <is>
          <t>ÅNGE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45404-2025</t>
        </is>
      </c>
      <c r="B691" s="1" t="n">
        <v>45922.42820601852</v>
      </c>
      <c r="C691" s="1" t="n">
        <v>46127</v>
      </c>
      <c r="D691" t="inlineStr">
        <is>
          <t>VÄSTERNORRLANDS LÄN</t>
        </is>
      </c>
      <c r="E691" t="inlineStr">
        <is>
          <t>ÅNGE</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43066-2022</t>
        </is>
      </c>
      <c r="B692" s="1" t="n">
        <v>44833</v>
      </c>
      <c r="C692" s="1" t="n">
        <v>46127</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45660-2025</t>
        </is>
      </c>
      <c r="B693" s="1" t="n">
        <v>45923.34494212963</v>
      </c>
      <c r="C693" s="1" t="n">
        <v>46127</v>
      </c>
      <c r="D693" t="inlineStr">
        <is>
          <t>VÄSTERNORRLANDS LÄN</t>
        </is>
      </c>
      <c r="E693" t="inlineStr">
        <is>
          <t>ÅNGE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45875-2025</t>
        </is>
      </c>
      <c r="B694" s="1" t="n">
        <v>45923.65690972222</v>
      </c>
      <c r="C694" s="1" t="n">
        <v>46127</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45659-2025</t>
        </is>
      </c>
      <c r="B695" s="1" t="n">
        <v>45923.34471064815</v>
      </c>
      <c r="C695" s="1" t="n">
        <v>46127</v>
      </c>
      <c r="D695" t="inlineStr">
        <is>
          <t>VÄSTERNORRLANDS LÄN</t>
        </is>
      </c>
      <c r="E695" t="inlineStr">
        <is>
          <t>ÅNGE</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58388-2025</t>
        </is>
      </c>
      <c r="B696" s="1" t="n">
        <v>45985.54685185185</v>
      </c>
      <c r="C696" s="1" t="n">
        <v>46127</v>
      </c>
      <c r="D696" t="inlineStr">
        <is>
          <t>VÄSTERNORRLANDS LÄN</t>
        </is>
      </c>
      <c r="E696" t="inlineStr">
        <is>
          <t>ÅNGE</t>
        </is>
      </c>
      <c r="G696" t="n">
        <v>1.3</v>
      </c>
      <c r="H696" t="n">
        <v>0</v>
      </c>
      <c r="I696" t="n">
        <v>0</v>
      </c>
      <c r="J696" t="n">
        <v>0</v>
      </c>
      <c r="K696" t="n">
        <v>0</v>
      </c>
      <c r="L696" t="n">
        <v>0</v>
      </c>
      <c r="M696" t="n">
        <v>0</v>
      </c>
      <c r="N696" t="n">
        <v>0</v>
      </c>
      <c r="O696" t="n">
        <v>0</v>
      </c>
      <c r="P696" t="n">
        <v>0</v>
      </c>
      <c r="Q696" t="n">
        <v>0</v>
      </c>
      <c r="R696" s="2" t="inlineStr"/>
    </row>
    <row r="697" ht="15" customHeight="1">
      <c r="A697" t="inlineStr">
        <is>
          <t>A 58486-2025</t>
        </is>
      </c>
      <c r="B697" s="1" t="n">
        <v>45985.65660879629</v>
      </c>
      <c r="C697" s="1" t="n">
        <v>46127</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54346-2023</t>
        </is>
      </c>
      <c r="B698" s="1" t="n">
        <v>45232.96087962963</v>
      </c>
      <c r="C698" s="1" t="n">
        <v>46127</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29862-2025</t>
        </is>
      </c>
      <c r="B699" s="1" t="n">
        <v>45826.3465625</v>
      </c>
      <c r="C699" s="1" t="n">
        <v>46127</v>
      </c>
      <c r="D699" t="inlineStr">
        <is>
          <t>VÄSTERNORRLANDS LÄN</t>
        </is>
      </c>
      <c r="E699" t="inlineStr">
        <is>
          <t>ÅNGE</t>
        </is>
      </c>
      <c r="G699" t="n">
        <v>0.8</v>
      </c>
      <c r="H699" t="n">
        <v>0</v>
      </c>
      <c r="I699" t="n">
        <v>0</v>
      </c>
      <c r="J699" t="n">
        <v>0</v>
      </c>
      <c r="K699" t="n">
        <v>0</v>
      </c>
      <c r="L699" t="n">
        <v>0</v>
      </c>
      <c r="M699" t="n">
        <v>0</v>
      </c>
      <c r="N699" t="n">
        <v>0</v>
      </c>
      <c r="O699" t="n">
        <v>0</v>
      </c>
      <c r="P699" t="n">
        <v>0</v>
      </c>
      <c r="Q699" t="n">
        <v>0</v>
      </c>
      <c r="R699" s="2" t="inlineStr"/>
    </row>
    <row r="700" ht="15" customHeight="1">
      <c r="A700" t="inlineStr">
        <is>
          <t>A 29882-2025</t>
        </is>
      </c>
      <c r="B700" s="1" t="n">
        <v>45826.36548611111</v>
      </c>
      <c r="C700" s="1" t="n">
        <v>46127</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63530-2023</t>
        </is>
      </c>
      <c r="B701" s="1" t="n">
        <v>45274</v>
      </c>
      <c r="C701" s="1" t="n">
        <v>46127</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57950-2025</t>
        </is>
      </c>
      <c r="B702" s="1" t="n">
        <v>45982.34473379629</v>
      </c>
      <c r="C702" s="1" t="n">
        <v>46127</v>
      </c>
      <c r="D702" t="inlineStr">
        <is>
          <t>VÄSTERNORRLANDS LÄN</t>
        </is>
      </c>
      <c r="E702" t="inlineStr">
        <is>
          <t>ÅNGE</t>
        </is>
      </c>
      <c r="G702" t="n">
        <v>0.8</v>
      </c>
      <c r="H702" t="n">
        <v>0</v>
      </c>
      <c r="I702" t="n">
        <v>0</v>
      </c>
      <c r="J702" t="n">
        <v>0</v>
      </c>
      <c r="K702" t="n">
        <v>0</v>
      </c>
      <c r="L702" t="n">
        <v>0</v>
      </c>
      <c r="M702" t="n">
        <v>0</v>
      </c>
      <c r="N702" t="n">
        <v>0</v>
      </c>
      <c r="O702" t="n">
        <v>0</v>
      </c>
      <c r="P702" t="n">
        <v>0</v>
      </c>
      <c r="Q702" t="n">
        <v>0</v>
      </c>
      <c r="R702" s="2" t="inlineStr"/>
    </row>
    <row r="703" ht="15" customHeight="1">
      <c r="A703" t="inlineStr">
        <is>
          <t>A 46419-2025</t>
        </is>
      </c>
      <c r="B703" s="1" t="n">
        <v>45925.5949537037</v>
      </c>
      <c r="C703" s="1" t="n">
        <v>46127</v>
      </c>
      <c r="D703" t="inlineStr">
        <is>
          <t>VÄSTERNORRLANDS LÄN</t>
        </is>
      </c>
      <c r="E703" t="inlineStr">
        <is>
          <t>ÅNGE</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29916-2025</t>
        </is>
      </c>
      <c r="B704" s="1" t="n">
        <v>45826.41822916667</v>
      </c>
      <c r="C704" s="1" t="n">
        <v>46127</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30475-2025</t>
        </is>
      </c>
      <c r="B705" s="1" t="n">
        <v>45828.34444444445</v>
      </c>
      <c r="C705" s="1" t="n">
        <v>46127</v>
      </c>
      <c r="D705" t="inlineStr">
        <is>
          <t>VÄSTERNORRLANDS LÄN</t>
        </is>
      </c>
      <c r="E705" t="inlineStr">
        <is>
          <t>ÅNGE</t>
        </is>
      </c>
      <c r="F705" t="inlineStr">
        <is>
          <t>SCA</t>
        </is>
      </c>
      <c r="G705" t="n">
        <v>5.1</v>
      </c>
      <c r="H705" t="n">
        <v>0</v>
      </c>
      <c r="I705" t="n">
        <v>0</v>
      </c>
      <c r="J705" t="n">
        <v>0</v>
      </c>
      <c r="K705" t="n">
        <v>0</v>
      </c>
      <c r="L705" t="n">
        <v>0</v>
      </c>
      <c r="M705" t="n">
        <v>0</v>
      </c>
      <c r="N705" t="n">
        <v>0</v>
      </c>
      <c r="O705" t="n">
        <v>0</v>
      </c>
      <c r="P705" t="n">
        <v>0</v>
      </c>
      <c r="Q705" t="n">
        <v>0</v>
      </c>
      <c r="R705" s="2" t="inlineStr"/>
    </row>
    <row r="706" ht="15" customHeight="1">
      <c r="A706" t="inlineStr">
        <is>
          <t>A 46111-2025</t>
        </is>
      </c>
      <c r="B706" s="1" t="n">
        <v>45924.56684027778</v>
      </c>
      <c r="C706" s="1" t="n">
        <v>46127</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3249-2024</t>
        </is>
      </c>
      <c r="B707" s="1" t="n">
        <v>45316</v>
      </c>
      <c r="C707" s="1" t="n">
        <v>46127</v>
      </c>
      <c r="D707" t="inlineStr">
        <is>
          <t>VÄSTERNORRLANDS LÄN</t>
        </is>
      </c>
      <c r="E707" t="inlineStr">
        <is>
          <t>ÅNGE</t>
        </is>
      </c>
      <c r="G707" t="n">
        <v>0.3</v>
      </c>
      <c r="H707" t="n">
        <v>0</v>
      </c>
      <c r="I707" t="n">
        <v>0</v>
      </c>
      <c r="J707" t="n">
        <v>0</v>
      </c>
      <c r="K707" t="n">
        <v>0</v>
      </c>
      <c r="L707" t="n">
        <v>0</v>
      </c>
      <c r="M707" t="n">
        <v>0</v>
      </c>
      <c r="N707" t="n">
        <v>0</v>
      </c>
      <c r="O707" t="n">
        <v>0</v>
      </c>
      <c r="P707" t="n">
        <v>0</v>
      </c>
      <c r="Q707" t="n">
        <v>0</v>
      </c>
      <c r="R707" s="2" t="inlineStr"/>
    </row>
    <row r="708" ht="15" customHeight="1">
      <c r="A708" t="inlineStr">
        <is>
          <t>A 46267-2025</t>
        </is>
      </c>
      <c r="B708" s="1" t="n">
        <v>45925.36578703704</v>
      </c>
      <c r="C708" s="1" t="n">
        <v>46127</v>
      </c>
      <c r="D708" t="inlineStr">
        <is>
          <t>VÄSTERNORRLANDS LÄN</t>
        </is>
      </c>
      <c r="E708" t="inlineStr">
        <is>
          <t>ÅNGE</t>
        </is>
      </c>
      <c r="G708" t="n">
        <v>1.9</v>
      </c>
      <c r="H708" t="n">
        <v>0</v>
      </c>
      <c r="I708" t="n">
        <v>0</v>
      </c>
      <c r="J708" t="n">
        <v>0</v>
      </c>
      <c r="K708" t="n">
        <v>0</v>
      </c>
      <c r="L708" t="n">
        <v>0</v>
      </c>
      <c r="M708" t="n">
        <v>0</v>
      </c>
      <c r="N708" t="n">
        <v>0</v>
      </c>
      <c r="O708" t="n">
        <v>0</v>
      </c>
      <c r="P708" t="n">
        <v>0</v>
      </c>
      <c r="Q708" t="n">
        <v>0</v>
      </c>
      <c r="R708" s="2" t="inlineStr"/>
    </row>
    <row r="709" ht="15" customHeight="1">
      <c r="A709" t="inlineStr">
        <is>
          <t>A 58275-2022</t>
        </is>
      </c>
      <c r="B709" s="1" t="n">
        <v>44901.47865740741</v>
      </c>
      <c r="C709" s="1" t="n">
        <v>46127</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57961-2025</t>
        </is>
      </c>
      <c r="B710" s="1" t="n">
        <v>45982.36502314815</v>
      </c>
      <c r="C710" s="1" t="n">
        <v>46127</v>
      </c>
      <c r="D710" t="inlineStr">
        <is>
          <t>VÄSTERNORRLANDS LÄN</t>
        </is>
      </c>
      <c r="E710" t="inlineStr">
        <is>
          <t>ÅNGE</t>
        </is>
      </c>
      <c r="G710" t="n">
        <v>1.9</v>
      </c>
      <c r="H710" t="n">
        <v>0</v>
      </c>
      <c r="I710" t="n">
        <v>0</v>
      </c>
      <c r="J710" t="n">
        <v>0</v>
      </c>
      <c r="K710" t="n">
        <v>0</v>
      </c>
      <c r="L710" t="n">
        <v>0</v>
      </c>
      <c r="M710" t="n">
        <v>0</v>
      </c>
      <c r="N710" t="n">
        <v>0</v>
      </c>
      <c r="O710" t="n">
        <v>0</v>
      </c>
      <c r="P710" t="n">
        <v>0</v>
      </c>
      <c r="Q710" t="n">
        <v>0</v>
      </c>
      <c r="R710" s="2" t="inlineStr"/>
    </row>
    <row r="711" ht="15" customHeight="1">
      <c r="A711" t="inlineStr">
        <is>
          <t>A 42948-2024</t>
        </is>
      </c>
      <c r="B711" s="1" t="n">
        <v>45567.36628472222</v>
      </c>
      <c r="C711" s="1" t="n">
        <v>46127</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42953-2024</t>
        </is>
      </c>
      <c r="B712" s="1" t="n">
        <v>45567</v>
      </c>
      <c r="C712" s="1" t="n">
        <v>46127</v>
      </c>
      <c r="D712" t="inlineStr">
        <is>
          <t>VÄSTERNORRLANDS LÄN</t>
        </is>
      </c>
      <c r="E712" t="inlineStr">
        <is>
          <t>ÅNGE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42968-2024</t>
        </is>
      </c>
      <c r="B713" s="1" t="n">
        <v>45567</v>
      </c>
      <c r="C713" s="1" t="n">
        <v>46127</v>
      </c>
      <c r="D713" t="inlineStr">
        <is>
          <t>VÄSTERNORRLANDS LÄN</t>
        </is>
      </c>
      <c r="E713" t="inlineStr">
        <is>
          <t>ÅNGE</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46416-2025</t>
        </is>
      </c>
      <c r="B714" s="1" t="n">
        <v>45925.594375</v>
      </c>
      <c r="C714" s="1" t="n">
        <v>46127</v>
      </c>
      <c r="D714" t="inlineStr">
        <is>
          <t>VÄSTERNORRLANDS LÄN</t>
        </is>
      </c>
      <c r="E714" t="inlineStr">
        <is>
          <t>ÅNGE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30618-2025</t>
        </is>
      </c>
      <c r="B715" s="1" t="n">
        <v>45831.46909722222</v>
      </c>
      <c r="C715" s="1" t="n">
        <v>46127</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30598-2025</t>
        </is>
      </c>
      <c r="B716" s="1" t="n">
        <v>45831.44834490741</v>
      </c>
      <c r="C716" s="1" t="n">
        <v>46127</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14673-2025</t>
        </is>
      </c>
      <c r="B717" s="1" t="n">
        <v>45742.55309027778</v>
      </c>
      <c r="C717" s="1" t="n">
        <v>46127</v>
      </c>
      <c r="D717" t="inlineStr">
        <is>
          <t>VÄSTERNORRLANDS LÄN</t>
        </is>
      </c>
      <c r="E717" t="inlineStr">
        <is>
          <t>ÅNGE</t>
        </is>
      </c>
      <c r="G717" t="n">
        <v>2.5</v>
      </c>
      <c r="H717" t="n">
        <v>0</v>
      </c>
      <c r="I717" t="n">
        <v>0</v>
      </c>
      <c r="J717" t="n">
        <v>0</v>
      </c>
      <c r="K717" t="n">
        <v>0</v>
      </c>
      <c r="L717" t="n">
        <v>0</v>
      </c>
      <c r="M717" t="n">
        <v>0</v>
      </c>
      <c r="N717" t="n">
        <v>0</v>
      </c>
      <c r="O717" t="n">
        <v>0</v>
      </c>
      <c r="P717" t="n">
        <v>0</v>
      </c>
      <c r="Q717" t="n">
        <v>0</v>
      </c>
      <c r="R717" s="2" t="inlineStr"/>
    </row>
    <row r="718" ht="15" customHeight="1">
      <c r="A718" t="inlineStr">
        <is>
          <t>A 46109-2025</t>
        </is>
      </c>
      <c r="B718" s="1" t="n">
        <v>45924.5596412037</v>
      </c>
      <c r="C718" s="1" t="n">
        <v>46127</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45970-2025</t>
        </is>
      </c>
      <c r="B719" s="1" t="n">
        <v>45924.36519675926</v>
      </c>
      <c r="C719" s="1" t="n">
        <v>46127</v>
      </c>
      <c r="D719" t="inlineStr">
        <is>
          <t>VÄSTERNORRLANDS LÄN</t>
        </is>
      </c>
      <c r="E719" t="inlineStr">
        <is>
          <t>ÅNGE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30892-2025</t>
        </is>
      </c>
      <c r="B720" s="1" t="n">
        <v>45832.34663194444</v>
      </c>
      <c r="C720" s="1" t="n">
        <v>46127</v>
      </c>
      <c r="D720" t="inlineStr">
        <is>
          <t>VÄSTERNORRLANDS LÄN</t>
        </is>
      </c>
      <c r="E720" t="inlineStr">
        <is>
          <t>ÅNGE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16191-2023</t>
        </is>
      </c>
      <c r="B721" s="1" t="n">
        <v>45027.94111111111</v>
      </c>
      <c r="C721" s="1" t="n">
        <v>46127</v>
      </c>
      <c r="D721" t="inlineStr">
        <is>
          <t>VÄSTERNORRLANDS LÄN</t>
        </is>
      </c>
      <c r="E721" t="inlineStr">
        <is>
          <t>ÅNGE</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31188-2025</t>
        </is>
      </c>
      <c r="B722" s="1" t="n">
        <v>45832.67842592593</v>
      </c>
      <c r="C722" s="1" t="n">
        <v>46127</v>
      </c>
      <c r="D722" t="inlineStr">
        <is>
          <t>VÄSTERNORRLANDS LÄN</t>
        </is>
      </c>
      <c r="E722" t="inlineStr">
        <is>
          <t>ÅNGE</t>
        </is>
      </c>
      <c r="F722" t="inlineStr">
        <is>
          <t>SCA</t>
        </is>
      </c>
      <c r="G722" t="n">
        <v>14.9</v>
      </c>
      <c r="H722" t="n">
        <v>0</v>
      </c>
      <c r="I722" t="n">
        <v>0</v>
      </c>
      <c r="J722" t="n">
        <v>0</v>
      </c>
      <c r="K722" t="n">
        <v>0</v>
      </c>
      <c r="L722" t="n">
        <v>0</v>
      </c>
      <c r="M722" t="n">
        <v>0</v>
      </c>
      <c r="N722" t="n">
        <v>0</v>
      </c>
      <c r="O722" t="n">
        <v>0</v>
      </c>
      <c r="P722" t="n">
        <v>0</v>
      </c>
      <c r="Q722" t="n">
        <v>0</v>
      </c>
      <c r="R722" s="2" t="inlineStr"/>
    </row>
    <row r="723" ht="15" customHeight="1">
      <c r="A723" t="inlineStr">
        <is>
          <t>A 58240-2025</t>
        </is>
      </c>
      <c r="B723" s="1" t="n">
        <v>45985.38796296297</v>
      </c>
      <c r="C723" s="1" t="n">
        <v>46127</v>
      </c>
      <c r="D723" t="inlineStr">
        <is>
          <t>VÄSTERNORRLANDS LÄN</t>
        </is>
      </c>
      <c r="E723" t="inlineStr">
        <is>
          <t>ÅNGE</t>
        </is>
      </c>
      <c r="G723" t="n">
        <v>1.8</v>
      </c>
      <c r="H723" t="n">
        <v>0</v>
      </c>
      <c r="I723" t="n">
        <v>0</v>
      </c>
      <c r="J723" t="n">
        <v>0</v>
      </c>
      <c r="K723" t="n">
        <v>0</v>
      </c>
      <c r="L723" t="n">
        <v>0</v>
      </c>
      <c r="M723" t="n">
        <v>0</v>
      </c>
      <c r="N723" t="n">
        <v>0</v>
      </c>
      <c r="O723" t="n">
        <v>0</v>
      </c>
      <c r="P723" t="n">
        <v>0</v>
      </c>
      <c r="Q723" t="n">
        <v>0</v>
      </c>
      <c r="R723" s="2" t="inlineStr"/>
    </row>
    <row r="724" ht="15" customHeight="1">
      <c r="A724" t="inlineStr">
        <is>
          <t>A 31452-2025</t>
        </is>
      </c>
      <c r="B724" s="1" t="n">
        <v>45833.53179398148</v>
      </c>
      <c r="C724" s="1" t="n">
        <v>46127</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31544-2025</t>
        </is>
      </c>
      <c r="B725" s="1" t="n">
        <v>45833.63597222222</v>
      </c>
      <c r="C725" s="1" t="n">
        <v>46127</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58268-2025</t>
        </is>
      </c>
      <c r="B726" s="1" t="n">
        <v>45985.42450231482</v>
      </c>
      <c r="C726" s="1" t="n">
        <v>46127</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57991-2025</t>
        </is>
      </c>
      <c r="B727" s="1" t="n">
        <v>45982.42438657407</v>
      </c>
      <c r="C727" s="1" t="n">
        <v>46127</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58048-2025</t>
        </is>
      </c>
      <c r="B728" s="1" t="n">
        <v>45982.5109837963</v>
      </c>
      <c r="C728" s="1" t="n">
        <v>46127</v>
      </c>
      <c r="D728" t="inlineStr">
        <is>
          <t>VÄSTERNORRLANDS LÄN</t>
        </is>
      </c>
      <c r="E728" t="inlineStr">
        <is>
          <t>ÅNGE</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35498-2022</t>
        </is>
      </c>
      <c r="B729" s="1" t="n">
        <v>44798.94810185185</v>
      </c>
      <c r="C729" s="1" t="n">
        <v>46127</v>
      </c>
      <c r="D729" t="inlineStr">
        <is>
          <t>VÄSTERNORRLANDS LÄN</t>
        </is>
      </c>
      <c r="E729" t="inlineStr">
        <is>
          <t>ÅNGE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31042-2025</t>
        </is>
      </c>
      <c r="B730" s="1" t="n">
        <v>45832.55267361111</v>
      </c>
      <c r="C730" s="1" t="n">
        <v>46127</v>
      </c>
      <c r="D730" t="inlineStr">
        <is>
          <t>VÄSTERNORRLANDS LÄN</t>
        </is>
      </c>
      <c r="E730" t="inlineStr">
        <is>
          <t>ÅNGE</t>
        </is>
      </c>
      <c r="F730" t="inlineStr">
        <is>
          <t>SCA</t>
        </is>
      </c>
      <c r="G730" t="n">
        <v>11.8</v>
      </c>
      <c r="H730" t="n">
        <v>0</v>
      </c>
      <c r="I730" t="n">
        <v>0</v>
      </c>
      <c r="J730" t="n">
        <v>0</v>
      </c>
      <c r="K730" t="n">
        <v>0</v>
      </c>
      <c r="L730" t="n">
        <v>0</v>
      </c>
      <c r="M730" t="n">
        <v>0</v>
      </c>
      <c r="N730" t="n">
        <v>0</v>
      </c>
      <c r="O730" t="n">
        <v>0</v>
      </c>
      <c r="P730" t="n">
        <v>0</v>
      </c>
      <c r="Q730" t="n">
        <v>0</v>
      </c>
      <c r="R730" s="2" t="inlineStr"/>
    </row>
    <row r="731" ht="15" customHeight="1">
      <c r="A731" t="inlineStr">
        <is>
          <t>A 46933-2025</t>
        </is>
      </c>
      <c r="B731" s="1" t="n">
        <v>45929.44645833333</v>
      </c>
      <c r="C731" s="1" t="n">
        <v>46127</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31275-2025</t>
        </is>
      </c>
      <c r="B732" s="1" t="n">
        <v>45833.34459490741</v>
      </c>
      <c r="C732" s="1" t="n">
        <v>46127</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31135-2025</t>
        </is>
      </c>
      <c r="B733" s="1" t="n">
        <v>45832.63581018519</v>
      </c>
      <c r="C733" s="1" t="n">
        <v>46127</v>
      </c>
      <c r="D733" t="inlineStr">
        <is>
          <t>VÄSTERNORRLANDS LÄN</t>
        </is>
      </c>
      <c r="E733" t="inlineStr">
        <is>
          <t>ÅNGE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2299-2025</t>
        </is>
      </c>
      <c r="B734" s="1" t="n">
        <v>45673.59516203704</v>
      </c>
      <c r="C734" s="1" t="n">
        <v>46127</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46897-2025</t>
        </is>
      </c>
      <c r="B735" s="1" t="n">
        <v>45929.38597222222</v>
      </c>
      <c r="C735" s="1" t="n">
        <v>46127</v>
      </c>
      <c r="D735" t="inlineStr">
        <is>
          <t>VÄSTERNORRLANDS LÄN</t>
        </is>
      </c>
      <c r="E735" t="inlineStr">
        <is>
          <t>ÅNGE</t>
        </is>
      </c>
      <c r="G735" t="n">
        <v>10.6</v>
      </c>
      <c r="H735" t="n">
        <v>0</v>
      </c>
      <c r="I735" t="n">
        <v>0</v>
      </c>
      <c r="J735" t="n">
        <v>0</v>
      </c>
      <c r="K735" t="n">
        <v>0</v>
      </c>
      <c r="L735" t="n">
        <v>0</v>
      </c>
      <c r="M735" t="n">
        <v>0</v>
      </c>
      <c r="N735" t="n">
        <v>0</v>
      </c>
      <c r="O735" t="n">
        <v>0</v>
      </c>
      <c r="P735" t="n">
        <v>0</v>
      </c>
      <c r="Q735" t="n">
        <v>0</v>
      </c>
      <c r="R735" s="2" t="inlineStr"/>
    </row>
    <row r="736" ht="15" customHeight="1">
      <c r="A736" t="inlineStr">
        <is>
          <t>A 30888-2025</t>
        </is>
      </c>
      <c r="B736" s="1" t="n">
        <v>45832.34606481482</v>
      </c>
      <c r="C736" s="1" t="n">
        <v>46127</v>
      </c>
      <c r="D736" t="inlineStr">
        <is>
          <t>VÄSTERNORRLANDS LÄN</t>
        </is>
      </c>
      <c r="E736" t="inlineStr">
        <is>
          <t>ÅNGE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30875-2025</t>
        </is>
      </c>
      <c r="B737" s="1" t="n">
        <v>45832.34447916667</v>
      </c>
      <c r="C737" s="1" t="n">
        <v>46127</v>
      </c>
      <c r="D737" t="inlineStr">
        <is>
          <t>VÄSTERNORRLANDS LÄN</t>
        </is>
      </c>
      <c r="E737" t="inlineStr">
        <is>
          <t>ÅNGE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31457-2024</t>
        </is>
      </c>
      <c r="B738" s="1" t="n">
        <v>45505</v>
      </c>
      <c r="C738" s="1" t="n">
        <v>46127</v>
      </c>
      <c r="D738" t="inlineStr">
        <is>
          <t>VÄSTERNORRLANDS LÄN</t>
        </is>
      </c>
      <c r="E738" t="inlineStr">
        <is>
          <t>ÅNGE</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31211-2025</t>
        </is>
      </c>
      <c r="B739" s="1" t="n">
        <v>45832.71938657408</v>
      </c>
      <c r="C739" s="1" t="n">
        <v>46127</v>
      </c>
      <c r="D739" t="inlineStr">
        <is>
          <t>VÄSTERNORRLANDS LÄN</t>
        </is>
      </c>
      <c r="E739" t="inlineStr">
        <is>
          <t>ÅNGE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31484-2025</t>
        </is>
      </c>
      <c r="B740" s="1" t="n">
        <v>45833.57418981481</v>
      </c>
      <c r="C740" s="1" t="n">
        <v>46127</v>
      </c>
      <c r="D740" t="inlineStr">
        <is>
          <t>VÄSTERNORRLANDS LÄN</t>
        </is>
      </c>
      <c r="E740" t="inlineStr">
        <is>
          <t>ÅNGE</t>
        </is>
      </c>
      <c r="F740" t="inlineStr">
        <is>
          <t>SCA</t>
        </is>
      </c>
      <c r="G740" t="n">
        <v>7</v>
      </c>
      <c r="H740" t="n">
        <v>0</v>
      </c>
      <c r="I740" t="n">
        <v>0</v>
      </c>
      <c r="J740" t="n">
        <v>0</v>
      </c>
      <c r="K740" t="n">
        <v>0</v>
      </c>
      <c r="L740" t="n">
        <v>0</v>
      </c>
      <c r="M740" t="n">
        <v>0</v>
      </c>
      <c r="N740" t="n">
        <v>0</v>
      </c>
      <c r="O740" t="n">
        <v>0</v>
      </c>
      <c r="P740" t="n">
        <v>0</v>
      </c>
      <c r="Q740" t="n">
        <v>0</v>
      </c>
      <c r="R740" s="2" t="inlineStr"/>
    </row>
    <row r="741" ht="15" customHeight="1">
      <c r="A741" t="inlineStr">
        <is>
          <t>A 30877-2025</t>
        </is>
      </c>
      <c r="B741" s="1" t="n">
        <v>45832.34478009259</v>
      </c>
      <c r="C741" s="1" t="n">
        <v>46127</v>
      </c>
      <c r="D741" t="inlineStr">
        <is>
          <t>VÄSTERNORRLANDS LÄN</t>
        </is>
      </c>
      <c r="E741" t="inlineStr">
        <is>
          <t>ÅNGE</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31139-2025</t>
        </is>
      </c>
      <c r="B742" s="1" t="n">
        <v>45832.63633101852</v>
      </c>
      <c r="C742" s="1" t="n">
        <v>46127</v>
      </c>
      <c r="D742" t="inlineStr">
        <is>
          <t>VÄSTERNORRLANDS LÄN</t>
        </is>
      </c>
      <c r="E742" t="inlineStr">
        <is>
          <t>ÅNGE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31041-2025</t>
        </is>
      </c>
      <c r="B743" s="1" t="n">
        <v>45832.55247685185</v>
      </c>
      <c r="C743" s="1" t="n">
        <v>46127</v>
      </c>
      <c r="D743" t="inlineStr">
        <is>
          <t>VÄSTERNORRLANDS LÄN</t>
        </is>
      </c>
      <c r="E743" t="inlineStr">
        <is>
          <t>ÅNGE</t>
        </is>
      </c>
      <c r="F743" t="inlineStr">
        <is>
          <t>SCA</t>
        </is>
      </c>
      <c r="G743" t="n">
        <v>15.1</v>
      </c>
      <c r="H743" t="n">
        <v>0</v>
      </c>
      <c r="I743" t="n">
        <v>0</v>
      </c>
      <c r="J743" t="n">
        <v>0</v>
      </c>
      <c r="K743" t="n">
        <v>0</v>
      </c>
      <c r="L743" t="n">
        <v>0</v>
      </c>
      <c r="M743" t="n">
        <v>0</v>
      </c>
      <c r="N743" t="n">
        <v>0</v>
      </c>
      <c r="O743" t="n">
        <v>0</v>
      </c>
      <c r="P743" t="n">
        <v>0</v>
      </c>
      <c r="Q743" t="n">
        <v>0</v>
      </c>
      <c r="R743" s="2" t="inlineStr"/>
    </row>
    <row r="744" ht="15" customHeight="1">
      <c r="A744" t="inlineStr">
        <is>
          <t>A 54771-2023</t>
        </is>
      </c>
      <c r="B744" s="1" t="n">
        <v>45229</v>
      </c>
      <c r="C744" s="1" t="n">
        <v>46127</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58270-2025</t>
        </is>
      </c>
      <c r="B745" s="1" t="n">
        <v>45985.42633101852</v>
      </c>
      <c r="C745" s="1" t="n">
        <v>46127</v>
      </c>
      <c r="D745" t="inlineStr">
        <is>
          <t>VÄSTERNORRLANDS LÄN</t>
        </is>
      </c>
      <c r="E745" t="inlineStr">
        <is>
          <t>ÅNGE</t>
        </is>
      </c>
      <c r="G745" t="n">
        <v>5.1</v>
      </c>
      <c r="H745" t="n">
        <v>0</v>
      </c>
      <c r="I745" t="n">
        <v>0</v>
      </c>
      <c r="J745" t="n">
        <v>0</v>
      </c>
      <c r="K745" t="n">
        <v>0</v>
      </c>
      <c r="L745" t="n">
        <v>0</v>
      </c>
      <c r="M745" t="n">
        <v>0</v>
      </c>
      <c r="N745" t="n">
        <v>0</v>
      </c>
      <c r="O745" t="n">
        <v>0</v>
      </c>
      <c r="P745" t="n">
        <v>0</v>
      </c>
      <c r="Q745" t="n">
        <v>0</v>
      </c>
      <c r="R745" s="2" t="inlineStr"/>
    </row>
    <row r="746" ht="15" customHeight="1">
      <c r="A746" t="inlineStr">
        <is>
          <t>A 58439-2025</t>
        </is>
      </c>
      <c r="B746" s="1" t="n">
        <v>45985.61518518518</v>
      </c>
      <c r="C746" s="1" t="n">
        <v>46127</v>
      </c>
      <c r="D746" t="inlineStr">
        <is>
          <t>VÄSTERNORRLANDS LÄN</t>
        </is>
      </c>
      <c r="E746" t="inlineStr">
        <is>
          <t>ÅNGE</t>
        </is>
      </c>
      <c r="G746" t="n">
        <v>2.1</v>
      </c>
      <c r="H746" t="n">
        <v>0</v>
      </c>
      <c r="I746" t="n">
        <v>0</v>
      </c>
      <c r="J746" t="n">
        <v>0</v>
      </c>
      <c r="K746" t="n">
        <v>0</v>
      </c>
      <c r="L746" t="n">
        <v>0</v>
      </c>
      <c r="M746" t="n">
        <v>0</v>
      </c>
      <c r="N746" t="n">
        <v>0</v>
      </c>
      <c r="O746" t="n">
        <v>0</v>
      </c>
      <c r="P746" t="n">
        <v>0</v>
      </c>
      <c r="Q746" t="n">
        <v>0</v>
      </c>
      <c r="R746" s="2" t="inlineStr"/>
    </row>
    <row r="747" ht="15" customHeight="1">
      <c r="A747" t="inlineStr">
        <is>
          <t>A 47118-2025</t>
        </is>
      </c>
      <c r="B747" s="1" t="n">
        <v>45929.67770833334</v>
      </c>
      <c r="C747" s="1" t="n">
        <v>46127</v>
      </c>
      <c r="D747" t="inlineStr">
        <is>
          <t>VÄSTERNORRLANDS LÄN</t>
        </is>
      </c>
      <c r="E747" t="inlineStr">
        <is>
          <t>ÅNGE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26011-2024</t>
        </is>
      </c>
      <c r="B748" s="1" t="n">
        <v>45467.95828703704</v>
      </c>
      <c r="C748" s="1" t="n">
        <v>46127</v>
      </c>
      <c r="D748" t="inlineStr">
        <is>
          <t>VÄSTERNORRLANDS LÄN</t>
        </is>
      </c>
      <c r="E748" t="inlineStr">
        <is>
          <t>ÅNGE</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26014-2024</t>
        </is>
      </c>
      <c r="B749" s="1" t="n">
        <v>45467.95862268518</v>
      </c>
      <c r="C749" s="1" t="n">
        <v>46127</v>
      </c>
      <c r="D749" t="inlineStr">
        <is>
          <t>VÄSTERNORRLANDS LÄN</t>
        </is>
      </c>
      <c r="E749" t="inlineStr">
        <is>
          <t>ÅNGE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58242-2025</t>
        </is>
      </c>
      <c r="B750" s="1" t="n">
        <v>45985.38802083334</v>
      </c>
      <c r="C750" s="1" t="n">
        <v>46127</v>
      </c>
      <c r="D750" t="inlineStr">
        <is>
          <t>VÄSTERNORRLANDS LÄN</t>
        </is>
      </c>
      <c r="E750" t="inlineStr">
        <is>
          <t>ÅNGE</t>
        </is>
      </c>
      <c r="G750" t="n">
        <v>2.1</v>
      </c>
      <c r="H750" t="n">
        <v>0</v>
      </c>
      <c r="I750" t="n">
        <v>0</v>
      </c>
      <c r="J750" t="n">
        <v>0</v>
      </c>
      <c r="K750" t="n">
        <v>0</v>
      </c>
      <c r="L750" t="n">
        <v>0</v>
      </c>
      <c r="M750" t="n">
        <v>0</v>
      </c>
      <c r="N750" t="n">
        <v>0</v>
      </c>
      <c r="O750" t="n">
        <v>0</v>
      </c>
      <c r="P750" t="n">
        <v>0</v>
      </c>
      <c r="Q750" t="n">
        <v>0</v>
      </c>
      <c r="R750" s="2" t="inlineStr"/>
    </row>
    <row r="751" ht="15" customHeight="1">
      <c r="A751" t="inlineStr">
        <is>
          <t>A 3629-2023</t>
        </is>
      </c>
      <c r="B751" s="1" t="n">
        <v>44950</v>
      </c>
      <c r="C751" s="1" t="n">
        <v>46127</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3631-2023</t>
        </is>
      </c>
      <c r="B752" s="1" t="n">
        <v>44950</v>
      </c>
      <c r="C752" s="1" t="n">
        <v>46127</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31646-2025</t>
        </is>
      </c>
      <c r="B753" s="1" t="n">
        <v>45834.34563657407</v>
      </c>
      <c r="C753" s="1" t="n">
        <v>46127</v>
      </c>
      <c r="D753" t="inlineStr">
        <is>
          <t>VÄSTERNORRLANDS LÄN</t>
        </is>
      </c>
      <c r="E753" t="inlineStr">
        <is>
          <t>ÅNGE</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31642-2025</t>
        </is>
      </c>
      <c r="B754" s="1" t="n">
        <v>45834.34474537037</v>
      </c>
      <c r="C754" s="1" t="n">
        <v>46127</v>
      </c>
      <c r="D754" t="inlineStr">
        <is>
          <t>VÄSTERNORRLANDS LÄN</t>
        </is>
      </c>
      <c r="E754" t="inlineStr">
        <is>
          <t>ÅNGE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58639-2025</t>
        </is>
      </c>
      <c r="B755" s="1" t="n">
        <v>45986.49042824074</v>
      </c>
      <c r="C755" s="1" t="n">
        <v>46127</v>
      </c>
      <c r="D755" t="inlineStr">
        <is>
          <t>VÄSTERNORRLANDS LÄN</t>
        </is>
      </c>
      <c r="E755" t="inlineStr">
        <is>
          <t>ÅNGE</t>
        </is>
      </c>
      <c r="G755" t="n">
        <v>2</v>
      </c>
      <c r="H755" t="n">
        <v>0</v>
      </c>
      <c r="I755" t="n">
        <v>0</v>
      </c>
      <c r="J755" t="n">
        <v>0</v>
      </c>
      <c r="K755" t="n">
        <v>0</v>
      </c>
      <c r="L755" t="n">
        <v>0</v>
      </c>
      <c r="M755" t="n">
        <v>0</v>
      </c>
      <c r="N755" t="n">
        <v>0</v>
      </c>
      <c r="O755" t="n">
        <v>0</v>
      </c>
      <c r="P755" t="n">
        <v>0</v>
      </c>
      <c r="Q755" t="n">
        <v>0</v>
      </c>
      <c r="R755" s="2" t="inlineStr"/>
    </row>
    <row r="756" ht="15" customHeight="1">
      <c r="A756" t="inlineStr">
        <is>
          <t>A 32025-2025</t>
        </is>
      </c>
      <c r="B756" s="1" t="n">
        <v>45835.40721064815</v>
      </c>
      <c r="C756" s="1" t="n">
        <v>46127</v>
      </c>
      <c r="D756" t="inlineStr">
        <is>
          <t>VÄSTERNORRLANDS LÄN</t>
        </is>
      </c>
      <c r="E756" t="inlineStr">
        <is>
          <t>ÅNGE</t>
        </is>
      </c>
      <c r="G756" t="n">
        <v>1.6</v>
      </c>
      <c r="H756" t="n">
        <v>0</v>
      </c>
      <c r="I756" t="n">
        <v>0</v>
      </c>
      <c r="J756" t="n">
        <v>0</v>
      </c>
      <c r="K756" t="n">
        <v>0</v>
      </c>
      <c r="L756" t="n">
        <v>0</v>
      </c>
      <c r="M756" t="n">
        <v>0</v>
      </c>
      <c r="N756" t="n">
        <v>0</v>
      </c>
      <c r="O756" t="n">
        <v>0</v>
      </c>
      <c r="P756" t="n">
        <v>0</v>
      </c>
      <c r="Q756" t="n">
        <v>0</v>
      </c>
      <c r="R756" s="2" t="inlineStr"/>
    </row>
    <row r="757" ht="15" customHeight="1">
      <c r="A757" t="inlineStr">
        <is>
          <t>A 47305-2025</t>
        </is>
      </c>
      <c r="B757" s="1" t="n">
        <v>45930</v>
      </c>
      <c r="C757" s="1" t="n">
        <v>46127</v>
      </c>
      <c r="D757" t="inlineStr">
        <is>
          <t>VÄSTERNORRLANDS LÄN</t>
        </is>
      </c>
      <c r="E757" t="inlineStr">
        <is>
          <t>ÅNGE</t>
        </is>
      </c>
      <c r="G757" t="n">
        <v>10.9</v>
      </c>
      <c r="H757" t="n">
        <v>0</v>
      </c>
      <c r="I757" t="n">
        <v>0</v>
      </c>
      <c r="J757" t="n">
        <v>0</v>
      </c>
      <c r="K757" t="n">
        <v>0</v>
      </c>
      <c r="L757" t="n">
        <v>0</v>
      </c>
      <c r="M757" t="n">
        <v>0</v>
      </c>
      <c r="N757" t="n">
        <v>0</v>
      </c>
      <c r="O757" t="n">
        <v>0</v>
      </c>
      <c r="P757" t="n">
        <v>0</v>
      </c>
      <c r="Q757" t="n">
        <v>0</v>
      </c>
      <c r="R757" s="2" t="inlineStr"/>
    </row>
    <row r="758" ht="15" customHeight="1">
      <c r="A758" t="inlineStr">
        <is>
          <t>A 32024-2025</t>
        </is>
      </c>
      <c r="B758" s="1" t="n">
        <v>45835.40706018519</v>
      </c>
      <c r="C758" s="1" t="n">
        <v>46127</v>
      </c>
      <c r="D758" t="inlineStr">
        <is>
          <t>VÄSTERNORRLANDS LÄN</t>
        </is>
      </c>
      <c r="E758" t="inlineStr">
        <is>
          <t>ÅNGE</t>
        </is>
      </c>
      <c r="F758" t="inlineStr">
        <is>
          <t>SCA</t>
        </is>
      </c>
      <c r="G758" t="n">
        <v>12.3</v>
      </c>
      <c r="H758" t="n">
        <v>0</v>
      </c>
      <c r="I758" t="n">
        <v>0</v>
      </c>
      <c r="J758" t="n">
        <v>0</v>
      </c>
      <c r="K758" t="n">
        <v>0</v>
      </c>
      <c r="L758" t="n">
        <v>0</v>
      </c>
      <c r="M758" t="n">
        <v>0</v>
      </c>
      <c r="N758" t="n">
        <v>0</v>
      </c>
      <c r="O758" t="n">
        <v>0</v>
      </c>
      <c r="P758" t="n">
        <v>0</v>
      </c>
      <c r="Q758" t="n">
        <v>0</v>
      </c>
      <c r="R758" s="2" t="inlineStr"/>
    </row>
    <row r="759" ht="15" customHeight="1">
      <c r="A759" t="inlineStr">
        <is>
          <t>A 26092-2025</t>
        </is>
      </c>
      <c r="B759" s="1" t="n">
        <v>45805</v>
      </c>
      <c r="C759" s="1" t="n">
        <v>46127</v>
      </c>
      <c r="D759" t="inlineStr">
        <is>
          <t>VÄSTERNORRLANDS LÄN</t>
        </is>
      </c>
      <c r="E759" t="inlineStr">
        <is>
          <t>ÅNGE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58906-2025</t>
        </is>
      </c>
      <c r="B760" s="1" t="n">
        <v>45987.51087962963</v>
      </c>
      <c r="C760" s="1" t="n">
        <v>46127</v>
      </c>
      <c r="D760" t="inlineStr">
        <is>
          <t>VÄSTERNORRLANDS LÄN</t>
        </is>
      </c>
      <c r="E760" t="inlineStr">
        <is>
          <t>ÅNGE</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17703-2025</t>
        </is>
      </c>
      <c r="B761" s="1" t="n">
        <v>45758.4275462963</v>
      </c>
      <c r="C761" s="1" t="n">
        <v>46127</v>
      </c>
      <c r="D761" t="inlineStr">
        <is>
          <t>VÄSTERNORRLANDS LÄN</t>
        </is>
      </c>
      <c r="E761" t="inlineStr">
        <is>
          <t>ÅNGE</t>
        </is>
      </c>
      <c r="G761" t="n">
        <v>2.5</v>
      </c>
      <c r="H761" t="n">
        <v>0</v>
      </c>
      <c r="I761" t="n">
        <v>0</v>
      </c>
      <c r="J761" t="n">
        <v>0</v>
      </c>
      <c r="K761" t="n">
        <v>0</v>
      </c>
      <c r="L761" t="n">
        <v>0</v>
      </c>
      <c r="M761" t="n">
        <v>0</v>
      </c>
      <c r="N761" t="n">
        <v>0</v>
      </c>
      <c r="O761" t="n">
        <v>0</v>
      </c>
      <c r="P761" t="n">
        <v>0</v>
      </c>
      <c r="Q761" t="n">
        <v>0</v>
      </c>
      <c r="R761" s="2" t="inlineStr"/>
    </row>
    <row r="762" ht="15" customHeight="1">
      <c r="A762" t="inlineStr">
        <is>
          <t>A 58907-2025</t>
        </is>
      </c>
      <c r="B762" s="1" t="n">
        <v>45987.51108796296</v>
      </c>
      <c r="C762" s="1" t="n">
        <v>46127</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31666-2025</t>
        </is>
      </c>
      <c r="B763" s="1" t="n">
        <v>45834.36519675926</v>
      </c>
      <c r="C763" s="1" t="n">
        <v>46127</v>
      </c>
      <c r="D763" t="inlineStr">
        <is>
          <t>VÄSTERNORRLANDS LÄN</t>
        </is>
      </c>
      <c r="E763" t="inlineStr">
        <is>
          <t>ÅNGE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28779-2023</t>
        </is>
      </c>
      <c r="B764" s="1" t="n">
        <v>45104.34314814815</v>
      </c>
      <c r="C764" s="1" t="n">
        <v>46127</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25311-2023</t>
        </is>
      </c>
      <c r="B765" s="1" t="n">
        <v>45086.93869212963</v>
      </c>
      <c r="C765" s="1" t="n">
        <v>46127</v>
      </c>
      <c r="D765" t="inlineStr">
        <is>
          <t>VÄSTERNORRLANDS LÄN</t>
        </is>
      </c>
      <c r="E765" t="inlineStr">
        <is>
          <t>ÅNGE</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47752-2025</t>
        </is>
      </c>
      <c r="B766" s="1" t="n">
        <v>45931.66358796296</v>
      </c>
      <c r="C766" s="1" t="n">
        <v>46127</v>
      </c>
      <c r="D766" t="inlineStr">
        <is>
          <t>VÄSTERNORRLANDS LÄN</t>
        </is>
      </c>
      <c r="E766" t="inlineStr">
        <is>
          <t>ÅNGE</t>
        </is>
      </c>
      <c r="G766" t="n">
        <v>3.9</v>
      </c>
      <c r="H766" t="n">
        <v>0</v>
      </c>
      <c r="I766" t="n">
        <v>0</v>
      </c>
      <c r="J766" t="n">
        <v>0</v>
      </c>
      <c r="K766" t="n">
        <v>0</v>
      </c>
      <c r="L766" t="n">
        <v>0</v>
      </c>
      <c r="M766" t="n">
        <v>0</v>
      </c>
      <c r="N766" t="n">
        <v>0</v>
      </c>
      <c r="O766" t="n">
        <v>0</v>
      </c>
      <c r="P766" t="n">
        <v>0</v>
      </c>
      <c r="Q766" t="n">
        <v>0</v>
      </c>
      <c r="R766" s="2" t="inlineStr"/>
    </row>
    <row r="767" ht="15" customHeight="1">
      <c r="A767" t="inlineStr">
        <is>
          <t>A 28873-2024</t>
        </is>
      </c>
      <c r="B767" s="1" t="n">
        <v>45478.94766203704</v>
      </c>
      <c r="C767" s="1" t="n">
        <v>46127</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47440-2025</t>
        </is>
      </c>
      <c r="B768" s="1" t="n">
        <v>45930.63766203704</v>
      </c>
      <c r="C768" s="1" t="n">
        <v>46127</v>
      </c>
      <c r="D768" t="inlineStr">
        <is>
          <t>VÄSTERNORRLANDS LÄN</t>
        </is>
      </c>
      <c r="E768" t="inlineStr">
        <is>
          <t>ÅNGE</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27682-2023</t>
        </is>
      </c>
      <c r="B769" s="1" t="n">
        <v>45097.93758101852</v>
      </c>
      <c r="C769" s="1" t="n">
        <v>46127</v>
      </c>
      <c r="D769" t="inlineStr">
        <is>
          <t>VÄSTERNORRLANDS LÄN</t>
        </is>
      </c>
      <c r="E769" t="inlineStr">
        <is>
          <t>ÅNGE</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47488-2025</t>
        </is>
      </c>
      <c r="B770" s="1" t="n">
        <v>45930.69890046296</v>
      </c>
      <c r="C770" s="1" t="n">
        <v>46127</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50612-2024</t>
        </is>
      </c>
      <c r="B771" s="1" t="n">
        <v>45601</v>
      </c>
      <c r="C771" s="1" t="n">
        <v>46127</v>
      </c>
      <c r="D771" t="inlineStr">
        <is>
          <t>VÄSTERNORRLANDS LÄN</t>
        </is>
      </c>
      <c r="E771" t="inlineStr">
        <is>
          <t>ÅNGE</t>
        </is>
      </c>
      <c r="G771" t="n">
        <v>1.9</v>
      </c>
      <c r="H771" t="n">
        <v>0</v>
      </c>
      <c r="I771" t="n">
        <v>0</v>
      </c>
      <c r="J771" t="n">
        <v>0</v>
      </c>
      <c r="K771" t="n">
        <v>0</v>
      </c>
      <c r="L771" t="n">
        <v>0</v>
      </c>
      <c r="M771" t="n">
        <v>0</v>
      </c>
      <c r="N771" t="n">
        <v>0</v>
      </c>
      <c r="O771" t="n">
        <v>0</v>
      </c>
      <c r="P771" t="n">
        <v>0</v>
      </c>
      <c r="Q771" t="n">
        <v>0</v>
      </c>
      <c r="R771" s="2" t="inlineStr"/>
    </row>
    <row r="772" ht="15" customHeight="1">
      <c r="A772" t="inlineStr">
        <is>
          <t>A 47196-2025</t>
        </is>
      </c>
      <c r="B772" s="1" t="n">
        <v>45930.34520833333</v>
      </c>
      <c r="C772" s="1" t="n">
        <v>46127</v>
      </c>
      <c r="D772" t="inlineStr">
        <is>
          <t>VÄSTERNORRLANDS LÄN</t>
        </is>
      </c>
      <c r="E772" t="inlineStr">
        <is>
          <t>ÅNGE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47377-2025</t>
        </is>
      </c>
      <c r="B773" s="1" t="n">
        <v>45930.59469907408</v>
      </c>
      <c r="C773" s="1" t="n">
        <v>46127</v>
      </c>
      <c r="D773" t="inlineStr">
        <is>
          <t>VÄSTERNORRLANDS LÄN</t>
        </is>
      </c>
      <c r="E773" t="inlineStr">
        <is>
          <t>ÅNGE</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48234-2025</t>
        </is>
      </c>
      <c r="B774" s="1" t="n">
        <v>45933.53211805555</v>
      </c>
      <c r="C774" s="1" t="n">
        <v>46127</v>
      </c>
      <c r="D774" t="inlineStr">
        <is>
          <t>VÄSTERNORRLANDS LÄN</t>
        </is>
      </c>
      <c r="E774" t="inlineStr">
        <is>
          <t>ÅNGE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48235-2025</t>
        </is>
      </c>
      <c r="B775" s="1" t="n">
        <v>45933.5321412037</v>
      </c>
      <c r="C775" s="1" t="n">
        <v>46127</v>
      </c>
      <c r="D775" t="inlineStr">
        <is>
          <t>VÄSTERNORRLANDS LÄN</t>
        </is>
      </c>
      <c r="E775" t="inlineStr">
        <is>
          <t>ÅNGE</t>
        </is>
      </c>
      <c r="G775" t="n">
        <v>3.1</v>
      </c>
      <c r="H775" t="n">
        <v>0</v>
      </c>
      <c r="I775" t="n">
        <v>0</v>
      </c>
      <c r="J775" t="n">
        <v>0</v>
      </c>
      <c r="K775" t="n">
        <v>0</v>
      </c>
      <c r="L775" t="n">
        <v>0</v>
      </c>
      <c r="M775" t="n">
        <v>0</v>
      </c>
      <c r="N775" t="n">
        <v>0</v>
      </c>
      <c r="O775" t="n">
        <v>0</v>
      </c>
      <c r="P775" t="n">
        <v>0</v>
      </c>
      <c r="Q775" t="n">
        <v>0</v>
      </c>
      <c r="R775" s="2" t="inlineStr"/>
    </row>
    <row r="776" ht="15" customHeight="1">
      <c r="A776" t="inlineStr">
        <is>
          <t>A 56699-2023</t>
        </is>
      </c>
      <c r="B776" s="1" t="n">
        <v>45243</v>
      </c>
      <c r="C776" s="1" t="n">
        <v>46127</v>
      </c>
      <c r="D776" t="inlineStr">
        <is>
          <t>VÄSTERNORRLANDS LÄN</t>
        </is>
      </c>
      <c r="E776" t="inlineStr">
        <is>
          <t>ÅNGE</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58588-2025</t>
        </is>
      </c>
      <c r="B777" s="1" t="n">
        <v>45986.4065625</v>
      </c>
      <c r="C777" s="1" t="n">
        <v>46127</v>
      </c>
      <c r="D777" t="inlineStr">
        <is>
          <t>VÄSTERNORRLANDS LÄN</t>
        </is>
      </c>
      <c r="E777" t="inlineStr">
        <is>
          <t>ÅNGE</t>
        </is>
      </c>
      <c r="G777" t="n">
        <v>1.8</v>
      </c>
      <c r="H777" t="n">
        <v>0</v>
      </c>
      <c r="I777" t="n">
        <v>0</v>
      </c>
      <c r="J777" t="n">
        <v>0</v>
      </c>
      <c r="K777" t="n">
        <v>0</v>
      </c>
      <c r="L777" t="n">
        <v>0</v>
      </c>
      <c r="M777" t="n">
        <v>0</v>
      </c>
      <c r="N777" t="n">
        <v>0</v>
      </c>
      <c r="O777" t="n">
        <v>0</v>
      </c>
      <c r="P777" t="n">
        <v>0</v>
      </c>
      <c r="Q777" t="n">
        <v>0</v>
      </c>
      <c r="R777" s="2" t="inlineStr"/>
    </row>
    <row r="778" ht="15" customHeight="1">
      <c r="A778" t="inlineStr">
        <is>
          <t>A 30751-2024</t>
        </is>
      </c>
      <c r="B778" s="1" t="n">
        <v>45496.69339120371</v>
      </c>
      <c r="C778" s="1" t="n">
        <v>46127</v>
      </c>
      <c r="D778" t="inlineStr">
        <is>
          <t>VÄSTERNORRLANDS LÄN</t>
        </is>
      </c>
      <c r="E778" t="inlineStr">
        <is>
          <t>ÅNGE</t>
        </is>
      </c>
      <c r="G778" t="n">
        <v>0.3</v>
      </c>
      <c r="H778" t="n">
        <v>0</v>
      </c>
      <c r="I778" t="n">
        <v>0</v>
      </c>
      <c r="J778" t="n">
        <v>0</v>
      </c>
      <c r="K778" t="n">
        <v>0</v>
      </c>
      <c r="L778" t="n">
        <v>0</v>
      </c>
      <c r="M778" t="n">
        <v>0</v>
      </c>
      <c r="N778" t="n">
        <v>0</v>
      </c>
      <c r="O778" t="n">
        <v>0</v>
      </c>
      <c r="P778" t="n">
        <v>0</v>
      </c>
      <c r="Q778" t="n">
        <v>0</v>
      </c>
      <c r="R778" s="2" t="inlineStr"/>
    </row>
    <row r="779" ht="15" customHeight="1">
      <c r="A779" t="inlineStr">
        <is>
          <t>A 55324-2023</t>
        </is>
      </c>
      <c r="B779" s="1" t="n">
        <v>45237.9734837963</v>
      </c>
      <c r="C779" s="1" t="n">
        <v>46127</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58585-2025</t>
        </is>
      </c>
      <c r="B780" s="1" t="n">
        <v>45986.39733796296</v>
      </c>
      <c r="C780" s="1" t="n">
        <v>46127</v>
      </c>
      <c r="D780" t="inlineStr">
        <is>
          <t>VÄSTERNORRLANDS LÄN</t>
        </is>
      </c>
      <c r="E780" t="inlineStr">
        <is>
          <t>ÅNGE</t>
        </is>
      </c>
      <c r="G780" t="n">
        <v>3.1</v>
      </c>
      <c r="H780" t="n">
        <v>0</v>
      </c>
      <c r="I780" t="n">
        <v>0</v>
      </c>
      <c r="J780" t="n">
        <v>0</v>
      </c>
      <c r="K780" t="n">
        <v>0</v>
      </c>
      <c r="L780" t="n">
        <v>0</v>
      </c>
      <c r="M780" t="n">
        <v>0</v>
      </c>
      <c r="N780" t="n">
        <v>0</v>
      </c>
      <c r="O780" t="n">
        <v>0</v>
      </c>
      <c r="P780" t="n">
        <v>0</v>
      </c>
      <c r="Q780" t="n">
        <v>0</v>
      </c>
      <c r="R780" s="2" t="inlineStr"/>
    </row>
    <row r="781" ht="15" customHeight="1">
      <c r="A781" t="inlineStr">
        <is>
          <t>A 58599-2025</t>
        </is>
      </c>
      <c r="B781" s="1" t="n">
        <v>45986.42644675926</v>
      </c>
      <c r="C781" s="1" t="n">
        <v>46127</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32847-2025</t>
        </is>
      </c>
      <c r="B782" s="1" t="n">
        <v>45839.57354166666</v>
      </c>
      <c r="C782" s="1" t="n">
        <v>46127</v>
      </c>
      <c r="D782" t="inlineStr">
        <is>
          <t>VÄSTERNORRLANDS LÄN</t>
        </is>
      </c>
      <c r="E782" t="inlineStr">
        <is>
          <t>ÅNGE</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58890-2025</t>
        </is>
      </c>
      <c r="B783" s="1" t="n">
        <v>45987.49006944444</v>
      </c>
      <c r="C783" s="1" t="n">
        <v>46127</v>
      </c>
      <c r="D783" t="inlineStr">
        <is>
          <t>VÄSTERNORRLANDS LÄN</t>
        </is>
      </c>
      <c r="E783" t="inlineStr">
        <is>
          <t>ÅNGE</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58605-2025</t>
        </is>
      </c>
      <c r="B784" s="1" t="n">
        <v>45986</v>
      </c>
      <c r="C784" s="1" t="n">
        <v>46127</v>
      </c>
      <c r="D784" t="inlineStr">
        <is>
          <t>VÄSTERNORRLANDS LÄN</t>
        </is>
      </c>
      <c r="E784" t="inlineStr">
        <is>
          <t>ÅNGE</t>
        </is>
      </c>
      <c r="G784" t="n">
        <v>3.2</v>
      </c>
      <c r="H784" t="n">
        <v>0</v>
      </c>
      <c r="I784" t="n">
        <v>0</v>
      </c>
      <c r="J784" t="n">
        <v>0</v>
      </c>
      <c r="K784" t="n">
        <v>0</v>
      </c>
      <c r="L784" t="n">
        <v>0</v>
      </c>
      <c r="M784" t="n">
        <v>0</v>
      </c>
      <c r="N784" t="n">
        <v>0</v>
      </c>
      <c r="O784" t="n">
        <v>0</v>
      </c>
      <c r="P784" t="n">
        <v>0</v>
      </c>
      <c r="Q784" t="n">
        <v>0</v>
      </c>
      <c r="R784" s="2" t="inlineStr"/>
    </row>
    <row r="785" ht="15" customHeight="1">
      <c r="A785" t="inlineStr">
        <is>
          <t>A 58892-2025</t>
        </is>
      </c>
      <c r="B785" s="1" t="n">
        <v>45987.49056712963</v>
      </c>
      <c r="C785" s="1" t="n">
        <v>46127</v>
      </c>
      <c r="D785" t="inlineStr">
        <is>
          <t>VÄSTERNORRLANDS LÄN</t>
        </is>
      </c>
      <c r="E785" t="inlineStr">
        <is>
          <t>ÅNGE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58445-2022</t>
        </is>
      </c>
      <c r="B786" s="1" t="n">
        <v>44901.95453703704</v>
      </c>
      <c r="C786" s="1" t="n">
        <v>46127</v>
      </c>
      <c r="D786" t="inlineStr">
        <is>
          <t>VÄSTERNORRLANDS LÄN</t>
        </is>
      </c>
      <c r="E786" t="inlineStr">
        <is>
          <t>ÅNGE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48055-2025</t>
        </is>
      </c>
      <c r="B787" s="1" t="n">
        <v>45932.67922453704</v>
      </c>
      <c r="C787" s="1" t="n">
        <v>46127</v>
      </c>
      <c r="D787" t="inlineStr">
        <is>
          <t>VÄSTERNORRLANDS LÄN</t>
        </is>
      </c>
      <c r="E787" t="inlineStr">
        <is>
          <t>ÅNGE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48069-2025</t>
        </is>
      </c>
      <c r="B788" s="1" t="n">
        <v>45932.69865740741</v>
      </c>
      <c r="C788" s="1" t="n">
        <v>46127</v>
      </c>
      <c r="D788" t="inlineStr">
        <is>
          <t>VÄSTERNORRLANDS LÄN</t>
        </is>
      </c>
      <c r="E788" t="inlineStr">
        <is>
          <t>ÅNGE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25680-2023</t>
        </is>
      </c>
      <c r="B789" s="1" t="n">
        <v>45089</v>
      </c>
      <c r="C789" s="1" t="n">
        <v>46127</v>
      </c>
      <c r="D789" t="inlineStr">
        <is>
          <t>VÄSTERNORRLANDS LÄN</t>
        </is>
      </c>
      <c r="E789" t="inlineStr">
        <is>
          <t>ÅNGE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48679-2025</t>
        </is>
      </c>
      <c r="B790" s="1" t="n">
        <v>45936.59196759259</v>
      </c>
      <c r="C790" s="1" t="n">
        <v>46127</v>
      </c>
      <c r="D790" t="inlineStr">
        <is>
          <t>VÄSTERNORRLANDS LÄN</t>
        </is>
      </c>
      <c r="E790" t="inlineStr">
        <is>
          <t>ÅNGE</t>
        </is>
      </c>
      <c r="G790" t="n">
        <v>2.1</v>
      </c>
      <c r="H790" t="n">
        <v>0</v>
      </c>
      <c r="I790" t="n">
        <v>0</v>
      </c>
      <c r="J790" t="n">
        <v>0</v>
      </c>
      <c r="K790" t="n">
        <v>0</v>
      </c>
      <c r="L790" t="n">
        <v>0</v>
      </c>
      <c r="M790" t="n">
        <v>0</v>
      </c>
      <c r="N790" t="n">
        <v>0</v>
      </c>
      <c r="O790" t="n">
        <v>0</v>
      </c>
      <c r="P790" t="n">
        <v>0</v>
      </c>
      <c r="Q790" t="n">
        <v>0</v>
      </c>
      <c r="R790" s="2" t="inlineStr"/>
    </row>
    <row r="791" ht="15" customHeight="1">
      <c r="A791" t="inlineStr">
        <is>
          <t>A 58823-2025</t>
        </is>
      </c>
      <c r="B791" s="1" t="n">
        <v>45987.3453125</v>
      </c>
      <c r="C791" s="1" t="n">
        <v>46127</v>
      </c>
      <c r="D791" t="inlineStr">
        <is>
          <t>VÄSTERNORRLANDS LÄN</t>
        </is>
      </c>
      <c r="E791" t="inlineStr">
        <is>
          <t>ÅNGE</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18542-2022</t>
        </is>
      </c>
      <c r="B792" s="1" t="n">
        <v>44686</v>
      </c>
      <c r="C792" s="1" t="n">
        <v>46127</v>
      </c>
      <c r="D792" t="inlineStr">
        <is>
          <t>VÄSTERNORRLANDS LÄN</t>
        </is>
      </c>
      <c r="E792" t="inlineStr">
        <is>
          <t>ÅNGE</t>
        </is>
      </c>
      <c r="G792" t="n">
        <v>0.2</v>
      </c>
      <c r="H792" t="n">
        <v>0</v>
      </c>
      <c r="I792" t="n">
        <v>0</v>
      </c>
      <c r="J792" t="n">
        <v>0</v>
      </c>
      <c r="K792" t="n">
        <v>0</v>
      </c>
      <c r="L792" t="n">
        <v>0</v>
      </c>
      <c r="M792" t="n">
        <v>0</v>
      </c>
      <c r="N792" t="n">
        <v>0</v>
      </c>
      <c r="O792" t="n">
        <v>0</v>
      </c>
      <c r="P792" t="n">
        <v>0</v>
      </c>
      <c r="Q792" t="n">
        <v>0</v>
      </c>
      <c r="R792" s="2" t="inlineStr"/>
    </row>
    <row r="793" ht="15" customHeight="1">
      <c r="A793" t="inlineStr">
        <is>
          <t>A 55007-2022</t>
        </is>
      </c>
      <c r="B793" s="1" t="n">
        <v>44881</v>
      </c>
      <c r="C793" s="1" t="n">
        <v>46127</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63607-2021</t>
        </is>
      </c>
      <c r="B794" s="1" t="n">
        <v>44508.94650462963</v>
      </c>
      <c r="C794" s="1" t="n">
        <v>46127</v>
      </c>
      <c r="D794" t="inlineStr">
        <is>
          <t>VÄSTERNORRLANDS LÄN</t>
        </is>
      </c>
      <c r="E794" t="inlineStr">
        <is>
          <t>ÅNGE</t>
        </is>
      </c>
      <c r="F794" t="inlineStr">
        <is>
          <t>SCA</t>
        </is>
      </c>
      <c r="G794" t="n">
        <v>6.7</v>
      </c>
      <c r="H794" t="n">
        <v>0</v>
      </c>
      <c r="I794" t="n">
        <v>0</v>
      </c>
      <c r="J794" t="n">
        <v>0</v>
      </c>
      <c r="K794" t="n">
        <v>0</v>
      </c>
      <c r="L794" t="n">
        <v>0</v>
      </c>
      <c r="M794" t="n">
        <v>0</v>
      </c>
      <c r="N794" t="n">
        <v>0</v>
      </c>
      <c r="O794" t="n">
        <v>0</v>
      </c>
      <c r="P794" t="n">
        <v>0</v>
      </c>
      <c r="Q794" t="n">
        <v>0</v>
      </c>
      <c r="R794" s="2" t="inlineStr"/>
    </row>
    <row r="795" ht="15" customHeight="1">
      <c r="A795" t="inlineStr">
        <is>
          <t>A 34031-2025</t>
        </is>
      </c>
      <c r="B795" s="1" t="n">
        <v>45845.36508101852</v>
      </c>
      <c r="C795" s="1" t="n">
        <v>46127</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58536-2025</t>
        </is>
      </c>
      <c r="B796" s="1" t="n">
        <v>45985.83274305556</v>
      </c>
      <c r="C796" s="1" t="n">
        <v>46127</v>
      </c>
      <c r="D796" t="inlineStr">
        <is>
          <t>VÄSTERNORRLANDS LÄN</t>
        </is>
      </c>
      <c r="E796" t="inlineStr">
        <is>
          <t>ÅNGE</t>
        </is>
      </c>
      <c r="G796" t="n">
        <v>2</v>
      </c>
      <c r="H796" t="n">
        <v>0</v>
      </c>
      <c r="I796" t="n">
        <v>0</v>
      </c>
      <c r="J796" t="n">
        <v>0</v>
      </c>
      <c r="K796" t="n">
        <v>0</v>
      </c>
      <c r="L796" t="n">
        <v>0</v>
      </c>
      <c r="M796" t="n">
        <v>0</v>
      </c>
      <c r="N796" t="n">
        <v>0</v>
      </c>
      <c r="O796" t="n">
        <v>0</v>
      </c>
      <c r="P796" t="n">
        <v>0</v>
      </c>
      <c r="Q796" t="n">
        <v>0</v>
      </c>
      <c r="R796" s="2" t="inlineStr"/>
    </row>
    <row r="797" ht="15" customHeight="1">
      <c r="A797" t="inlineStr">
        <is>
          <t>A 58750-2025</t>
        </is>
      </c>
      <c r="B797" s="1" t="n">
        <v>45986.64064814815</v>
      </c>
      <c r="C797" s="1" t="n">
        <v>46127</v>
      </c>
      <c r="D797" t="inlineStr">
        <is>
          <t>VÄSTERNORRLANDS LÄN</t>
        </is>
      </c>
      <c r="E797" t="inlineStr">
        <is>
          <t>ÅNGE</t>
        </is>
      </c>
      <c r="G797" t="n">
        <v>2</v>
      </c>
      <c r="H797" t="n">
        <v>0</v>
      </c>
      <c r="I797" t="n">
        <v>0</v>
      </c>
      <c r="J797" t="n">
        <v>0</v>
      </c>
      <c r="K797" t="n">
        <v>0</v>
      </c>
      <c r="L797" t="n">
        <v>0</v>
      </c>
      <c r="M797" t="n">
        <v>0</v>
      </c>
      <c r="N797" t="n">
        <v>0</v>
      </c>
      <c r="O797" t="n">
        <v>0</v>
      </c>
      <c r="P797" t="n">
        <v>0</v>
      </c>
      <c r="Q797" t="n">
        <v>0</v>
      </c>
      <c r="R797" s="2" t="inlineStr"/>
    </row>
    <row r="798" ht="15" customHeight="1">
      <c r="A798" t="inlineStr">
        <is>
          <t>A 41222-2024</t>
        </is>
      </c>
      <c r="B798" s="1" t="n">
        <v>45559.55306712963</v>
      </c>
      <c r="C798" s="1" t="n">
        <v>46127</v>
      </c>
      <c r="D798" t="inlineStr">
        <is>
          <t>VÄSTERNORRLANDS LÄN</t>
        </is>
      </c>
      <c r="E798" t="inlineStr">
        <is>
          <t>ÅNGE</t>
        </is>
      </c>
      <c r="G798" t="n">
        <v>0.4</v>
      </c>
      <c r="H798" t="n">
        <v>0</v>
      </c>
      <c r="I798" t="n">
        <v>0</v>
      </c>
      <c r="J798" t="n">
        <v>0</v>
      </c>
      <c r="K798" t="n">
        <v>0</v>
      </c>
      <c r="L798" t="n">
        <v>0</v>
      </c>
      <c r="M798" t="n">
        <v>0</v>
      </c>
      <c r="N798" t="n">
        <v>0</v>
      </c>
      <c r="O798" t="n">
        <v>0</v>
      </c>
      <c r="P798" t="n">
        <v>0</v>
      </c>
      <c r="Q798" t="n">
        <v>0</v>
      </c>
      <c r="R798" s="2" t="inlineStr"/>
    </row>
    <row r="799" ht="15" customHeight="1">
      <c r="A799" t="inlineStr">
        <is>
          <t>A 13706-2023</t>
        </is>
      </c>
      <c r="B799" s="1" t="n">
        <v>45006</v>
      </c>
      <c r="C799" s="1" t="n">
        <v>46127</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33738-2025</t>
        </is>
      </c>
      <c r="B800" s="1" t="n">
        <v>45842.33795138889</v>
      </c>
      <c r="C800" s="1" t="n">
        <v>46127</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49562-2025</t>
        </is>
      </c>
      <c r="B801" s="1" t="n">
        <v>45939.46524305556</v>
      </c>
      <c r="C801" s="1" t="n">
        <v>46127</v>
      </c>
      <c r="D801" t="inlineStr">
        <is>
          <t>VÄSTERNORRLANDS LÄN</t>
        </is>
      </c>
      <c r="E801" t="inlineStr">
        <is>
          <t>ÅNGE</t>
        </is>
      </c>
      <c r="G801" t="n">
        <v>4.4</v>
      </c>
      <c r="H801" t="n">
        <v>0</v>
      </c>
      <c r="I801" t="n">
        <v>0</v>
      </c>
      <c r="J801" t="n">
        <v>0</v>
      </c>
      <c r="K801" t="n">
        <v>0</v>
      </c>
      <c r="L801" t="n">
        <v>0</v>
      </c>
      <c r="M801" t="n">
        <v>0</v>
      </c>
      <c r="N801" t="n">
        <v>0</v>
      </c>
      <c r="O801" t="n">
        <v>0</v>
      </c>
      <c r="P801" t="n">
        <v>0</v>
      </c>
      <c r="Q801" t="n">
        <v>0</v>
      </c>
      <c r="R801" s="2" t="inlineStr"/>
    </row>
    <row r="802" ht="15" customHeight="1">
      <c r="A802" t="inlineStr">
        <is>
          <t>A 36342-2024</t>
        </is>
      </c>
      <c r="B802" s="1" t="n">
        <v>45534.64315972223</v>
      </c>
      <c r="C802" s="1" t="n">
        <v>46127</v>
      </c>
      <c r="D802" t="inlineStr">
        <is>
          <t>VÄSTERNORRLANDS LÄN</t>
        </is>
      </c>
      <c r="E802" t="inlineStr">
        <is>
          <t>ÅNGE</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33782-2025</t>
        </is>
      </c>
      <c r="B803" s="1" t="n">
        <v>45842.40678240741</v>
      </c>
      <c r="C803" s="1" t="n">
        <v>46127</v>
      </c>
      <c r="D803" t="inlineStr">
        <is>
          <t>VÄSTERNORRLANDS LÄN</t>
        </is>
      </c>
      <c r="E803" t="inlineStr">
        <is>
          <t>ÅNGE</t>
        </is>
      </c>
      <c r="F803" t="inlineStr">
        <is>
          <t>SCA</t>
        </is>
      </c>
      <c r="G803" t="n">
        <v>8.4</v>
      </c>
      <c r="H803" t="n">
        <v>0</v>
      </c>
      <c r="I803" t="n">
        <v>0</v>
      </c>
      <c r="J803" t="n">
        <v>0</v>
      </c>
      <c r="K803" t="n">
        <v>0</v>
      </c>
      <c r="L803" t="n">
        <v>0</v>
      </c>
      <c r="M803" t="n">
        <v>0</v>
      </c>
      <c r="N803" t="n">
        <v>0</v>
      </c>
      <c r="O803" t="n">
        <v>0</v>
      </c>
      <c r="P803" t="n">
        <v>0</v>
      </c>
      <c r="Q803" t="n">
        <v>0</v>
      </c>
      <c r="R803" s="2" t="inlineStr"/>
    </row>
    <row r="804" ht="15" customHeight="1">
      <c r="A804" t="inlineStr">
        <is>
          <t>A 49377-2025</t>
        </is>
      </c>
      <c r="B804" s="1" t="n">
        <v>45938.63626157407</v>
      </c>
      <c r="C804" s="1" t="n">
        <v>46127</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34019-2025</t>
        </is>
      </c>
      <c r="B805" s="1" t="n">
        <v>45845.34416666667</v>
      </c>
      <c r="C805" s="1" t="n">
        <v>46127</v>
      </c>
      <c r="D805" t="inlineStr">
        <is>
          <t>VÄSTERNORRLANDS LÄN</t>
        </is>
      </c>
      <c r="E805" t="inlineStr">
        <is>
          <t>ÅNGE</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59062-2025</t>
        </is>
      </c>
      <c r="B806" s="1" t="n">
        <v>45988.40723379629</v>
      </c>
      <c r="C806" s="1" t="n">
        <v>46127</v>
      </c>
      <c r="D806" t="inlineStr">
        <is>
          <t>VÄSTERNORRLANDS LÄN</t>
        </is>
      </c>
      <c r="E806" t="inlineStr">
        <is>
          <t>ÅNGE</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59064-2025</t>
        </is>
      </c>
      <c r="B807" s="1" t="n">
        <v>45988.40768518519</v>
      </c>
      <c r="C807" s="1" t="n">
        <v>46127</v>
      </c>
      <c r="D807" t="inlineStr">
        <is>
          <t>VÄSTERNORRLANDS LÄN</t>
        </is>
      </c>
      <c r="E807" t="inlineStr">
        <is>
          <t>ÅNGE</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33717-2025</t>
        </is>
      </c>
      <c r="B808" s="1" t="n">
        <v>45841.89357638889</v>
      </c>
      <c r="C808" s="1" t="n">
        <v>46127</v>
      </c>
      <c r="D808" t="inlineStr">
        <is>
          <t>VÄSTERNORRLANDS LÄN</t>
        </is>
      </c>
      <c r="E808" t="inlineStr">
        <is>
          <t>ÅNGE</t>
        </is>
      </c>
      <c r="G808" t="n">
        <v>14.3</v>
      </c>
      <c r="H808" t="n">
        <v>0</v>
      </c>
      <c r="I808" t="n">
        <v>0</v>
      </c>
      <c r="J808" t="n">
        <v>0</v>
      </c>
      <c r="K808" t="n">
        <v>0</v>
      </c>
      <c r="L808" t="n">
        <v>0</v>
      </c>
      <c r="M808" t="n">
        <v>0</v>
      </c>
      <c r="N808" t="n">
        <v>0</v>
      </c>
      <c r="O808" t="n">
        <v>0</v>
      </c>
      <c r="P808" t="n">
        <v>0</v>
      </c>
      <c r="Q808" t="n">
        <v>0</v>
      </c>
      <c r="R808" s="2" t="inlineStr"/>
    </row>
    <row r="809" ht="15" customHeight="1">
      <c r="A809" t="inlineStr">
        <is>
          <t>A 17749-2025</t>
        </is>
      </c>
      <c r="B809" s="1" t="n">
        <v>45758.48380787037</v>
      </c>
      <c r="C809" s="1" t="n">
        <v>46127</v>
      </c>
      <c r="D809" t="inlineStr">
        <is>
          <t>VÄSTERNORRLANDS LÄN</t>
        </is>
      </c>
      <c r="E809" t="inlineStr">
        <is>
          <t>ÅNGE</t>
        </is>
      </c>
      <c r="G809" t="n">
        <v>7.3</v>
      </c>
      <c r="H809" t="n">
        <v>0</v>
      </c>
      <c r="I809" t="n">
        <v>0</v>
      </c>
      <c r="J809" t="n">
        <v>0</v>
      </c>
      <c r="K809" t="n">
        <v>0</v>
      </c>
      <c r="L809" t="n">
        <v>0</v>
      </c>
      <c r="M809" t="n">
        <v>0</v>
      </c>
      <c r="N809" t="n">
        <v>0</v>
      </c>
      <c r="O809" t="n">
        <v>0</v>
      </c>
      <c r="P809" t="n">
        <v>0</v>
      </c>
      <c r="Q809" t="n">
        <v>0</v>
      </c>
      <c r="R809" s="2" t="inlineStr"/>
    </row>
    <row r="810" ht="15" customHeight="1">
      <c r="A810" t="inlineStr">
        <is>
          <t>A 59065-2025</t>
        </is>
      </c>
      <c r="B810" s="1" t="n">
        <v>45988.40780092592</v>
      </c>
      <c r="C810" s="1" t="n">
        <v>46127</v>
      </c>
      <c r="D810" t="inlineStr">
        <is>
          <t>VÄSTERNORRLANDS LÄN</t>
        </is>
      </c>
      <c r="E810" t="inlineStr">
        <is>
          <t>ÅNGE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49156-2025</t>
        </is>
      </c>
      <c r="B811" s="1" t="n">
        <v>45938.3458912037</v>
      </c>
      <c r="C811" s="1" t="n">
        <v>46127</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59063-2025</t>
        </is>
      </c>
      <c r="B812" s="1" t="n">
        <v>45988.40734953704</v>
      </c>
      <c r="C812" s="1" t="n">
        <v>46127</v>
      </c>
      <c r="D812" t="inlineStr">
        <is>
          <t>VÄSTERNORRLANDS LÄN</t>
        </is>
      </c>
      <c r="E812" t="inlineStr">
        <is>
          <t>ÅNGE</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59023-2025</t>
        </is>
      </c>
      <c r="B813" s="1" t="n">
        <v>45988</v>
      </c>
      <c r="C813" s="1" t="n">
        <v>46127</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59259-2025</t>
        </is>
      </c>
      <c r="B814" s="1" t="n">
        <v>45988.65748842592</v>
      </c>
      <c r="C814" s="1" t="n">
        <v>46127</v>
      </c>
      <c r="D814" t="inlineStr">
        <is>
          <t>VÄSTERNORRLANDS LÄN</t>
        </is>
      </c>
      <c r="E814" t="inlineStr">
        <is>
          <t>ÅNGE</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59319-2025</t>
        </is>
      </c>
      <c r="B815" s="1" t="n">
        <v>45989.33283564815</v>
      </c>
      <c r="C815" s="1" t="n">
        <v>46127</v>
      </c>
      <c r="D815" t="inlineStr">
        <is>
          <t>VÄSTERNORRLANDS LÄN</t>
        </is>
      </c>
      <c r="E815" t="inlineStr">
        <is>
          <t>ÅNGE</t>
        </is>
      </c>
      <c r="F815" t="inlineStr">
        <is>
          <t>Sveaskog</t>
        </is>
      </c>
      <c r="G815" t="n">
        <v>1</v>
      </c>
      <c r="H815" t="n">
        <v>0</v>
      </c>
      <c r="I815" t="n">
        <v>0</v>
      </c>
      <c r="J815" t="n">
        <v>0</v>
      </c>
      <c r="K815" t="n">
        <v>0</v>
      </c>
      <c r="L815" t="n">
        <v>0</v>
      </c>
      <c r="M815" t="n">
        <v>0</v>
      </c>
      <c r="N815" t="n">
        <v>0</v>
      </c>
      <c r="O815" t="n">
        <v>0</v>
      </c>
      <c r="P815" t="n">
        <v>0</v>
      </c>
      <c r="Q815" t="n">
        <v>0</v>
      </c>
      <c r="R815" s="2" t="inlineStr"/>
    </row>
    <row r="816" ht="15" customHeight="1">
      <c r="A816" t="inlineStr">
        <is>
          <t>A 59331-2025</t>
        </is>
      </c>
      <c r="B816" s="1" t="n">
        <v>45989.35978009259</v>
      </c>
      <c r="C816" s="1" t="n">
        <v>46127</v>
      </c>
      <c r="D816" t="inlineStr">
        <is>
          <t>VÄSTERNORRLANDS LÄN</t>
        </is>
      </c>
      <c r="E816" t="inlineStr">
        <is>
          <t>ÅNGE</t>
        </is>
      </c>
      <c r="G816" t="n">
        <v>0.7</v>
      </c>
      <c r="H816" t="n">
        <v>0</v>
      </c>
      <c r="I816" t="n">
        <v>0</v>
      </c>
      <c r="J816" t="n">
        <v>0</v>
      </c>
      <c r="K816" t="n">
        <v>0</v>
      </c>
      <c r="L816" t="n">
        <v>0</v>
      </c>
      <c r="M816" t="n">
        <v>0</v>
      </c>
      <c r="N816" t="n">
        <v>0</v>
      </c>
      <c r="O816" t="n">
        <v>0</v>
      </c>
      <c r="P816" t="n">
        <v>0</v>
      </c>
      <c r="Q816" t="n">
        <v>0</v>
      </c>
      <c r="R816" s="2" t="inlineStr"/>
    </row>
    <row r="817" ht="15" customHeight="1">
      <c r="A817" t="inlineStr">
        <is>
          <t>A 49179-2025</t>
        </is>
      </c>
      <c r="B817" s="1" t="n">
        <v>45938.38579861111</v>
      </c>
      <c r="C817" s="1" t="n">
        <v>46127</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18112-2025</t>
        </is>
      </c>
      <c r="B818" s="1" t="n">
        <v>45761.57350694444</v>
      </c>
      <c r="C818" s="1" t="n">
        <v>46127</v>
      </c>
      <c r="D818" t="inlineStr">
        <is>
          <t>VÄSTERNORRLANDS LÄN</t>
        </is>
      </c>
      <c r="E818" t="inlineStr">
        <is>
          <t>ÅNGE</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49603-2025</t>
        </is>
      </c>
      <c r="B819" s="1" t="n">
        <v>45939.5484375</v>
      </c>
      <c r="C819" s="1" t="n">
        <v>46127</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49381-2025</t>
        </is>
      </c>
      <c r="B820" s="1" t="n">
        <v>45938.63694444444</v>
      </c>
      <c r="C820" s="1" t="n">
        <v>46127</v>
      </c>
      <c r="D820" t="inlineStr">
        <is>
          <t>VÄSTERNORRLANDS LÄN</t>
        </is>
      </c>
      <c r="E820" t="inlineStr">
        <is>
          <t>ÅNGE</t>
        </is>
      </c>
      <c r="F820" t="inlineStr">
        <is>
          <t>SCA</t>
        </is>
      </c>
      <c r="G820" t="n">
        <v>20.6</v>
      </c>
      <c r="H820" t="n">
        <v>0</v>
      </c>
      <c r="I820" t="n">
        <v>0</v>
      </c>
      <c r="J820" t="n">
        <v>0</v>
      </c>
      <c r="K820" t="n">
        <v>0</v>
      </c>
      <c r="L820" t="n">
        <v>0</v>
      </c>
      <c r="M820" t="n">
        <v>0</v>
      </c>
      <c r="N820" t="n">
        <v>0</v>
      </c>
      <c r="O820" t="n">
        <v>0</v>
      </c>
      <c r="P820" t="n">
        <v>0</v>
      </c>
      <c r="Q820" t="n">
        <v>0</v>
      </c>
      <c r="R820" s="2" t="inlineStr"/>
    </row>
    <row r="821" ht="15" customHeight="1">
      <c r="A821" t="inlineStr">
        <is>
          <t>A 59022-2025</t>
        </is>
      </c>
      <c r="B821" s="1" t="n">
        <v>45988</v>
      </c>
      <c r="C821" s="1" t="n">
        <v>46127</v>
      </c>
      <c r="D821" t="inlineStr">
        <is>
          <t>VÄSTERNORRLANDS LÄN</t>
        </is>
      </c>
      <c r="E821" t="inlineStr">
        <is>
          <t>ÅNGE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49566-2025</t>
        </is>
      </c>
      <c r="B822" s="1" t="n">
        <v>45939.46939814815</v>
      </c>
      <c r="C822" s="1" t="n">
        <v>46127</v>
      </c>
      <c r="D822" t="inlineStr">
        <is>
          <t>VÄSTERNORRLANDS LÄN</t>
        </is>
      </c>
      <c r="E822" t="inlineStr">
        <is>
          <t>ÅNGE</t>
        </is>
      </c>
      <c r="F822" t="inlineStr">
        <is>
          <t>SCA</t>
        </is>
      </c>
      <c r="G822" t="n">
        <v>7.7</v>
      </c>
      <c r="H822" t="n">
        <v>0</v>
      </c>
      <c r="I822" t="n">
        <v>0</v>
      </c>
      <c r="J822" t="n">
        <v>0</v>
      </c>
      <c r="K822" t="n">
        <v>0</v>
      </c>
      <c r="L822" t="n">
        <v>0</v>
      </c>
      <c r="M822" t="n">
        <v>0</v>
      </c>
      <c r="N822" t="n">
        <v>0</v>
      </c>
      <c r="O822" t="n">
        <v>0</v>
      </c>
      <c r="P822" t="n">
        <v>0</v>
      </c>
      <c r="Q822" t="n">
        <v>0</v>
      </c>
      <c r="R822" s="2" t="inlineStr"/>
    </row>
    <row r="823" ht="15" customHeight="1">
      <c r="A823" t="inlineStr">
        <is>
          <t>A 34591-2025</t>
        </is>
      </c>
      <c r="B823" s="1" t="n">
        <v>45847.62920138889</v>
      </c>
      <c r="C823" s="1" t="n">
        <v>46127</v>
      </c>
      <c r="D823" t="inlineStr">
        <is>
          <t>VÄSTERNORRLANDS LÄN</t>
        </is>
      </c>
      <c r="E823" t="inlineStr">
        <is>
          <t>ÅNGE</t>
        </is>
      </c>
      <c r="G823" t="n">
        <v>0.9</v>
      </c>
      <c r="H823" t="n">
        <v>0</v>
      </c>
      <c r="I823" t="n">
        <v>0</v>
      </c>
      <c r="J823" t="n">
        <v>0</v>
      </c>
      <c r="K823" t="n">
        <v>0</v>
      </c>
      <c r="L823" t="n">
        <v>0</v>
      </c>
      <c r="M823" t="n">
        <v>0</v>
      </c>
      <c r="N823" t="n">
        <v>0</v>
      </c>
      <c r="O823" t="n">
        <v>0</v>
      </c>
      <c r="P823" t="n">
        <v>0</v>
      </c>
      <c r="Q823" t="n">
        <v>0</v>
      </c>
      <c r="R823" s="2" t="inlineStr"/>
    </row>
    <row r="824" ht="15" customHeight="1">
      <c r="A824" t="inlineStr">
        <is>
          <t>A 34593-2025</t>
        </is>
      </c>
      <c r="B824" s="1" t="n">
        <v>45847.6316087963</v>
      </c>
      <c r="C824" s="1" t="n">
        <v>46127</v>
      </c>
      <c r="D824" t="inlineStr">
        <is>
          <t>VÄSTERNORRLANDS LÄN</t>
        </is>
      </c>
      <c r="E824" t="inlineStr">
        <is>
          <t>ÅNGE</t>
        </is>
      </c>
      <c r="G824" t="n">
        <v>5.3</v>
      </c>
      <c r="H824" t="n">
        <v>0</v>
      </c>
      <c r="I824" t="n">
        <v>0</v>
      </c>
      <c r="J824" t="n">
        <v>0</v>
      </c>
      <c r="K824" t="n">
        <v>0</v>
      </c>
      <c r="L824" t="n">
        <v>0</v>
      </c>
      <c r="M824" t="n">
        <v>0</v>
      </c>
      <c r="N824" t="n">
        <v>0</v>
      </c>
      <c r="O824" t="n">
        <v>0</v>
      </c>
      <c r="P824" t="n">
        <v>0</v>
      </c>
      <c r="Q824" t="n">
        <v>0</v>
      </c>
      <c r="R824" s="2" t="inlineStr"/>
    </row>
    <row r="825" ht="15" customHeight="1">
      <c r="A825" t="inlineStr">
        <is>
          <t>A 49476-2025</t>
        </is>
      </c>
      <c r="B825" s="1" t="n">
        <v>45939.34506944445</v>
      </c>
      <c r="C825" s="1" t="n">
        <v>46127</v>
      </c>
      <c r="D825" t="inlineStr">
        <is>
          <t>VÄSTERNORRLANDS LÄN</t>
        </is>
      </c>
      <c r="E825" t="inlineStr">
        <is>
          <t>ÅNGE</t>
        </is>
      </c>
      <c r="F825" t="inlineStr">
        <is>
          <t>SCA</t>
        </is>
      </c>
      <c r="G825" t="n">
        <v>11.4</v>
      </c>
      <c r="H825" t="n">
        <v>0</v>
      </c>
      <c r="I825" t="n">
        <v>0</v>
      </c>
      <c r="J825" t="n">
        <v>0</v>
      </c>
      <c r="K825" t="n">
        <v>0</v>
      </c>
      <c r="L825" t="n">
        <v>0</v>
      </c>
      <c r="M825" t="n">
        <v>0</v>
      </c>
      <c r="N825" t="n">
        <v>0</v>
      </c>
      <c r="O825" t="n">
        <v>0</v>
      </c>
      <c r="P825" t="n">
        <v>0</v>
      </c>
      <c r="Q825" t="n">
        <v>0</v>
      </c>
      <c r="R825" s="2" t="inlineStr"/>
    </row>
    <row r="826" ht="15" customHeight="1">
      <c r="A826" t="inlineStr">
        <is>
          <t>A 49600-2025</t>
        </is>
      </c>
      <c r="B826" s="1" t="n">
        <v>45939.54434027777</v>
      </c>
      <c r="C826" s="1" t="n">
        <v>46127</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59815-2025</t>
        </is>
      </c>
      <c r="B827" s="1" t="n">
        <v>45992.6359837963</v>
      </c>
      <c r="C827" s="1" t="n">
        <v>46127</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34785-2025</t>
        </is>
      </c>
      <c r="B828" s="1" t="n">
        <v>45848.67771990741</v>
      </c>
      <c r="C828" s="1" t="n">
        <v>46127</v>
      </c>
      <c r="D828" t="inlineStr">
        <is>
          <t>VÄSTERNORRLANDS LÄN</t>
        </is>
      </c>
      <c r="E828" t="inlineStr">
        <is>
          <t>ÅNGE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60079-2025</t>
        </is>
      </c>
      <c r="B829" s="1" t="n">
        <v>45993.6834375</v>
      </c>
      <c r="C829" s="1" t="n">
        <v>46127</v>
      </c>
      <c r="D829" t="inlineStr">
        <is>
          <t>VÄSTERNORRLANDS LÄN</t>
        </is>
      </c>
      <c r="E829" t="inlineStr">
        <is>
          <t>ÅNGE</t>
        </is>
      </c>
      <c r="G829" t="n">
        <v>3.6</v>
      </c>
      <c r="H829" t="n">
        <v>0</v>
      </c>
      <c r="I829" t="n">
        <v>0</v>
      </c>
      <c r="J829" t="n">
        <v>0</v>
      </c>
      <c r="K829" t="n">
        <v>0</v>
      </c>
      <c r="L829" t="n">
        <v>0</v>
      </c>
      <c r="M829" t="n">
        <v>0</v>
      </c>
      <c r="N829" t="n">
        <v>0</v>
      </c>
      <c r="O829" t="n">
        <v>0</v>
      </c>
      <c r="P829" t="n">
        <v>0</v>
      </c>
      <c r="Q829" t="n">
        <v>0</v>
      </c>
      <c r="R829" s="2" t="inlineStr"/>
    </row>
    <row r="830" ht="15" customHeight="1">
      <c r="A830" t="inlineStr">
        <is>
          <t>A 50009-2025</t>
        </is>
      </c>
      <c r="B830" s="1" t="n">
        <v>45943.34527777778</v>
      </c>
      <c r="C830" s="1" t="n">
        <v>46127</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59641-2025</t>
        </is>
      </c>
      <c r="B831" s="1" t="n">
        <v>45992.4175925926</v>
      </c>
      <c r="C831" s="1" t="n">
        <v>46127</v>
      </c>
      <c r="D831" t="inlineStr">
        <is>
          <t>VÄSTERNORRLANDS LÄN</t>
        </is>
      </c>
      <c r="E831" t="inlineStr">
        <is>
          <t>ÅNGE</t>
        </is>
      </c>
      <c r="G831" t="n">
        <v>6.2</v>
      </c>
      <c r="H831" t="n">
        <v>0</v>
      </c>
      <c r="I831" t="n">
        <v>0</v>
      </c>
      <c r="J831" t="n">
        <v>0</v>
      </c>
      <c r="K831" t="n">
        <v>0</v>
      </c>
      <c r="L831" t="n">
        <v>0</v>
      </c>
      <c r="M831" t="n">
        <v>0</v>
      </c>
      <c r="N831" t="n">
        <v>0</v>
      </c>
      <c r="O831" t="n">
        <v>0</v>
      </c>
      <c r="P831" t="n">
        <v>0</v>
      </c>
      <c r="Q831" t="n">
        <v>0</v>
      </c>
      <c r="R831" s="2" t="inlineStr"/>
    </row>
    <row r="832" ht="15" customHeight="1">
      <c r="A832" t="inlineStr">
        <is>
          <t>A 60061-2025</t>
        </is>
      </c>
      <c r="B832" s="1" t="n">
        <v>45993.65673611111</v>
      </c>
      <c r="C832" s="1" t="n">
        <v>46127</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41781-2024</t>
        </is>
      </c>
      <c r="B833" s="1" t="n">
        <v>45561.34938657407</v>
      </c>
      <c r="C833" s="1" t="n">
        <v>46127</v>
      </c>
      <c r="D833" t="inlineStr">
        <is>
          <t>VÄSTERNORRLANDS LÄN</t>
        </is>
      </c>
      <c r="E833" t="inlineStr">
        <is>
          <t>ÅNGE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50210-2025</t>
        </is>
      </c>
      <c r="B834" s="1" t="n">
        <v>45943.67379629629</v>
      </c>
      <c r="C834" s="1" t="n">
        <v>46127</v>
      </c>
      <c r="D834" t="inlineStr">
        <is>
          <t>VÄSTERNORRLANDS LÄN</t>
        </is>
      </c>
      <c r="E834" t="inlineStr">
        <is>
          <t>ÅNGE</t>
        </is>
      </c>
      <c r="G834" t="n">
        <v>2.5</v>
      </c>
      <c r="H834" t="n">
        <v>0</v>
      </c>
      <c r="I834" t="n">
        <v>0</v>
      </c>
      <c r="J834" t="n">
        <v>0</v>
      </c>
      <c r="K834" t="n">
        <v>0</v>
      </c>
      <c r="L834" t="n">
        <v>0</v>
      </c>
      <c r="M834" t="n">
        <v>0</v>
      </c>
      <c r="N834" t="n">
        <v>0</v>
      </c>
      <c r="O834" t="n">
        <v>0</v>
      </c>
      <c r="P834" t="n">
        <v>0</v>
      </c>
      <c r="Q834" t="n">
        <v>0</v>
      </c>
      <c r="R834" s="2" t="inlineStr"/>
    </row>
    <row r="835" ht="15" customHeight="1">
      <c r="A835" t="inlineStr">
        <is>
          <t>A 50001-2025</t>
        </is>
      </c>
      <c r="B835" s="1" t="n">
        <v>45943.34421296296</v>
      </c>
      <c r="C835" s="1" t="n">
        <v>46127</v>
      </c>
      <c r="D835" t="inlineStr">
        <is>
          <t>VÄSTERNORRLANDS LÄN</t>
        </is>
      </c>
      <c r="E835" t="inlineStr">
        <is>
          <t>ÅNGE</t>
        </is>
      </c>
      <c r="G835" t="n">
        <v>1.8</v>
      </c>
      <c r="H835" t="n">
        <v>0</v>
      </c>
      <c r="I835" t="n">
        <v>0</v>
      </c>
      <c r="J835" t="n">
        <v>0</v>
      </c>
      <c r="K835" t="n">
        <v>0</v>
      </c>
      <c r="L835" t="n">
        <v>0</v>
      </c>
      <c r="M835" t="n">
        <v>0</v>
      </c>
      <c r="N835" t="n">
        <v>0</v>
      </c>
      <c r="O835" t="n">
        <v>0</v>
      </c>
      <c r="P835" t="n">
        <v>0</v>
      </c>
      <c r="Q835" t="n">
        <v>0</v>
      </c>
      <c r="R835" s="2" t="inlineStr"/>
    </row>
    <row r="836" ht="15" customHeight="1">
      <c r="A836" t="inlineStr">
        <is>
          <t>A 50008-2025</t>
        </is>
      </c>
      <c r="B836" s="1" t="n">
        <v>45943.34515046296</v>
      </c>
      <c r="C836" s="1" t="n">
        <v>46127</v>
      </c>
      <c r="D836" t="inlineStr">
        <is>
          <t>VÄSTERNORRLANDS LÄN</t>
        </is>
      </c>
      <c r="E836" t="inlineStr">
        <is>
          <t>ÅNGE</t>
        </is>
      </c>
      <c r="G836" t="n">
        <v>13.9</v>
      </c>
      <c r="H836" t="n">
        <v>0</v>
      </c>
      <c r="I836" t="n">
        <v>0</v>
      </c>
      <c r="J836" t="n">
        <v>0</v>
      </c>
      <c r="K836" t="n">
        <v>0</v>
      </c>
      <c r="L836" t="n">
        <v>0</v>
      </c>
      <c r="M836" t="n">
        <v>0</v>
      </c>
      <c r="N836" t="n">
        <v>0</v>
      </c>
      <c r="O836" t="n">
        <v>0</v>
      </c>
      <c r="P836" t="n">
        <v>0</v>
      </c>
      <c r="Q836" t="n">
        <v>0</v>
      </c>
      <c r="R836" s="2" t="inlineStr"/>
    </row>
    <row r="837" ht="15" customHeight="1">
      <c r="A837" t="inlineStr">
        <is>
          <t>A 3330-2025</t>
        </is>
      </c>
      <c r="B837" s="1" t="n">
        <v>45679.70041666667</v>
      </c>
      <c r="C837" s="1" t="n">
        <v>46127</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35061-2025</t>
        </is>
      </c>
      <c r="B838" s="1" t="n">
        <v>45852</v>
      </c>
      <c r="C838" s="1" t="n">
        <v>46127</v>
      </c>
      <c r="D838" t="inlineStr">
        <is>
          <t>VÄSTERNORRLANDS LÄN</t>
        </is>
      </c>
      <c r="E838" t="inlineStr">
        <is>
          <t>ÅNGE</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38272-2024</t>
        </is>
      </c>
      <c r="B839" s="1" t="n">
        <v>45545.60392361111</v>
      </c>
      <c r="C839" s="1" t="n">
        <v>46127</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60118-2025</t>
        </is>
      </c>
      <c r="B840" s="1" t="n">
        <v>45994.3242824074</v>
      </c>
      <c r="C840" s="1" t="n">
        <v>46127</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60119-2025</t>
        </is>
      </c>
      <c r="B841" s="1" t="n">
        <v>45994.33081018519</v>
      </c>
      <c r="C841" s="1" t="n">
        <v>46127</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60134-2025</t>
        </is>
      </c>
      <c r="B842" s="1" t="n">
        <v>45994.34793981481</v>
      </c>
      <c r="C842" s="1" t="n">
        <v>46127</v>
      </c>
      <c r="D842" t="inlineStr">
        <is>
          <t>VÄSTERNORRLANDS LÄN</t>
        </is>
      </c>
      <c r="E842" t="inlineStr">
        <is>
          <t>ÅNGE</t>
        </is>
      </c>
      <c r="G842" t="n">
        <v>5.1</v>
      </c>
      <c r="H842" t="n">
        <v>0</v>
      </c>
      <c r="I842" t="n">
        <v>0</v>
      </c>
      <c r="J842" t="n">
        <v>0</v>
      </c>
      <c r="K842" t="n">
        <v>0</v>
      </c>
      <c r="L842" t="n">
        <v>0</v>
      </c>
      <c r="M842" t="n">
        <v>0</v>
      </c>
      <c r="N842" t="n">
        <v>0</v>
      </c>
      <c r="O842" t="n">
        <v>0</v>
      </c>
      <c r="P842" t="n">
        <v>0</v>
      </c>
      <c r="Q842" t="n">
        <v>0</v>
      </c>
      <c r="R842" s="2" t="inlineStr"/>
    </row>
    <row r="843" ht="15" customHeight="1">
      <c r="A843" t="inlineStr">
        <is>
          <t>A 50291-2025</t>
        </is>
      </c>
      <c r="B843" s="1" t="n">
        <v>45944.40677083333</v>
      </c>
      <c r="C843" s="1" t="n">
        <v>46127</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60342-2025</t>
        </is>
      </c>
      <c r="B844" s="1" t="n">
        <v>45994.86804398148</v>
      </c>
      <c r="C844" s="1" t="n">
        <v>46127</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60124-2025</t>
        </is>
      </c>
      <c r="B845" s="1" t="n">
        <v>45994.33722222222</v>
      </c>
      <c r="C845" s="1" t="n">
        <v>46127</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41831-2021</t>
        </is>
      </c>
      <c r="B846" s="1" t="n">
        <v>44425.92212962963</v>
      </c>
      <c r="C846" s="1" t="n">
        <v>46127</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50571-2025</t>
        </is>
      </c>
      <c r="B847" s="1" t="n">
        <v>45945.57443287037</v>
      </c>
      <c r="C847" s="1" t="n">
        <v>46127</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60286-2025</t>
        </is>
      </c>
      <c r="B848" s="1" t="n">
        <v>45994.64612268518</v>
      </c>
      <c r="C848" s="1" t="n">
        <v>46127</v>
      </c>
      <c r="D848" t="inlineStr">
        <is>
          <t>VÄSTERNORRLANDS LÄN</t>
        </is>
      </c>
      <c r="E848" t="inlineStr">
        <is>
          <t>ÅNGE</t>
        </is>
      </c>
      <c r="G848" t="n">
        <v>0.7</v>
      </c>
      <c r="H848" t="n">
        <v>0</v>
      </c>
      <c r="I848" t="n">
        <v>0</v>
      </c>
      <c r="J848" t="n">
        <v>0</v>
      </c>
      <c r="K848" t="n">
        <v>0</v>
      </c>
      <c r="L848" t="n">
        <v>0</v>
      </c>
      <c r="M848" t="n">
        <v>0</v>
      </c>
      <c r="N848" t="n">
        <v>0</v>
      </c>
      <c r="O848" t="n">
        <v>0</v>
      </c>
      <c r="P848" t="n">
        <v>0</v>
      </c>
      <c r="Q848" t="n">
        <v>0</v>
      </c>
      <c r="R848" s="2" t="inlineStr"/>
    </row>
    <row r="849" ht="15" customHeight="1">
      <c r="A849" t="inlineStr">
        <is>
          <t>A 35432-2025</t>
        </is>
      </c>
      <c r="B849" s="1" t="n">
        <v>45855.44831018519</v>
      </c>
      <c r="C849" s="1" t="n">
        <v>46127</v>
      </c>
      <c r="D849" t="inlineStr">
        <is>
          <t>VÄSTERNORRLANDS LÄN</t>
        </is>
      </c>
      <c r="E849" t="inlineStr">
        <is>
          <t>ÅNGE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32922-2024</t>
        </is>
      </c>
      <c r="B850" s="1" t="n">
        <v>45516.95263888889</v>
      </c>
      <c r="C850" s="1" t="n">
        <v>46127</v>
      </c>
      <c r="D850" t="inlineStr">
        <is>
          <t>VÄSTERNORRLANDS LÄN</t>
        </is>
      </c>
      <c r="E850" t="inlineStr">
        <is>
          <t>ÅNGE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60520-2025</t>
        </is>
      </c>
      <c r="B851" s="1" t="n">
        <v>45995.63694444444</v>
      </c>
      <c r="C851" s="1" t="n">
        <v>46127</v>
      </c>
      <c r="D851" t="inlineStr">
        <is>
          <t>VÄSTERNORRLANDS LÄN</t>
        </is>
      </c>
      <c r="E851" t="inlineStr">
        <is>
          <t>ÅNGE</t>
        </is>
      </c>
      <c r="G851" t="n">
        <v>0.4</v>
      </c>
      <c r="H851" t="n">
        <v>0</v>
      </c>
      <c r="I851" t="n">
        <v>0</v>
      </c>
      <c r="J851" t="n">
        <v>0</v>
      </c>
      <c r="K851" t="n">
        <v>0</v>
      </c>
      <c r="L851" t="n">
        <v>0</v>
      </c>
      <c r="M851" t="n">
        <v>0</v>
      </c>
      <c r="N851" t="n">
        <v>0</v>
      </c>
      <c r="O851" t="n">
        <v>0</v>
      </c>
      <c r="P851" t="n">
        <v>0</v>
      </c>
      <c r="Q851" t="n">
        <v>0</v>
      </c>
      <c r="R851" s="2" t="inlineStr"/>
    </row>
    <row r="852" ht="15" customHeight="1">
      <c r="A852" t="inlineStr">
        <is>
          <t>A 35497-2025</t>
        </is>
      </c>
      <c r="B852" s="1" t="n">
        <v>45856.29752314815</v>
      </c>
      <c r="C852" s="1" t="n">
        <v>46127</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10282-2025</t>
        </is>
      </c>
      <c r="B853" s="1" t="n">
        <v>45720.40659722222</v>
      </c>
      <c r="C853" s="1" t="n">
        <v>46127</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35577-2025</t>
        </is>
      </c>
      <c r="B854" s="1" t="n">
        <v>45856.67762731481</v>
      </c>
      <c r="C854" s="1" t="n">
        <v>46127</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60403-2025</t>
        </is>
      </c>
      <c r="B855" s="1" t="n">
        <v>45995.42762731481</v>
      </c>
      <c r="C855" s="1" t="n">
        <v>46127</v>
      </c>
      <c r="D855" t="inlineStr">
        <is>
          <t>VÄSTERNORRLANDS LÄN</t>
        </is>
      </c>
      <c r="E855" t="inlineStr">
        <is>
          <t>ÅNGE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35548-2025</t>
        </is>
      </c>
      <c r="B856" s="1" t="n">
        <v>45856.48995370371</v>
      </c>
      <c r="C856" s="1" t="n">
        <v>46127</v>
      </c>
      <c r="D856" t="inlineStr">
        <is>
          <t>VÄSTERNORRLANDS LÄN</t>
        </is>
      </c>
      <c r="E856" t="inlineStr">
        <is>
          <t>ÅNGE</t>
        </is>
      </c>
      <c r="F856" t="inlineStr">
        <is>
          <t>SCA</t>
        </is>
      </c>
      <c r="G856" t="n">
        <v>14.6</v>
      </c>
      <c r="H856" t="n">
        <v>0</v>
      </c>
      <c r="I856" t="n">
        <v>0</v>
      </c>
      <c r="J856" t="n">
        <v>0</v>
      </c>
      <c r="K856" t="n">
        <v>0</v>
      </c>
      <c r="L856" t="n">
        <v>0</v>
      </c>
      <c r="M856" t="n">
        <v>0</v>
      </c>
      <c r="N856" t="n">
        <v>0</v>
      </c>
      <c r="O856" t="n">
        <v>0</v>
      </c>
      <c r="P856" t="n">
        <v>0</v>
      </c>
      <c r="Q856" t="n">
        <v>0</v>
      </c>
      <c r="R856" s="2" t="inlineStr"/>
    </row>
    <row r="857" ht="15" customHeight="1">
      <c r="A857" t="inlineStr">
        <is>
          <t>A 35575-2025</t>
        </is>
      </c>
      <c r="B857" s="1" t="n">
        <v>45856.63591435185</v>
      </c>
      <c r="C857" s="1" t="n">
        <v>46127</v>
      </c>
      <c r="D857" t="inlineStr">
        <is>
          <t>VÄSTERNORRLANDS LÄN</t>
        </is>
      </c>
      <c r="E857" t="inlineStr">
        <is>
          <t>ÅNGE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35503-2025</t>
        </is>
      </c>
      <c r="B858" s="1" t="n">
        <v>45856</v>
      </c>
      <c r="C858" s="1" t="n">
        <v>46127</v>
      </c>
      <c r="D858" t="inlineStr">
        <is>
          <t>VÄSTERNORRLANDS LÄN</t>
        </is>
      </c>
      <c r="E858" t="inlineStr">
        <is>
          <t>ÅNGE</t>
        </is>
      </c>
      <c r="G858" t="n">
        <v>5.2</v>
      </c>
      <c r="H858" t="n">
        <v>0</v>
      </c>
      <c r="I858" t="n">
        <v>0</v>
      </c>
      <c r="J858" t="n">
        <v>0</v>
      </c>
      <c r="K858" t="n">
        <v>0</v>
      </c>
      <c r="L858" t="n">
        <v>0</v>
      </c>
      <c r="M858" t="n">
        <v>0</v>
      </c>
      <c r="N858" t="n">
        <v>0</v>
      </c>
      <c r="O858" t="n">
        <v>0</v>
      </c>
      <c r="P858" t="n">
        <v>0</v>
      </c>
      <c r="Q858" t="n">
        <v>0</v>
      </c>
      <c r="R858" s="2" t="inlineStr"/>
    </row>
    <row r="859" ht="15" customHeight="1">
      <c r="A859" t="inlineStr">
        <is>
          <t>A 35838-2025</t>
        </is>
      </c>
      <c r="B859" s="1" t="n">
        <v>45861.53829861111</v>
      </c>
      <c r="C859" s="1" t="n">
        <v>46127</v>
      </c>
      <c r="D859" t="inlineStr">
        <is>
          <t>VÄSTERNORRLANDS LÄN</t>
        </is>
      </c>
      <c r="E859" t="inlineStr">
        <is>
          <t>ÅNGE</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51055-2023</t>
        </is>
      </c>
      <c r="B860" s="1" t="n">
        <v>45218</v>
      </c>
      <c r="C860" s="1" t="n">
        <v>46127</v>
      </c>
      <c r="D860" t="inlineStr">
        <is>
          <t>VÄSTERNORRLANDS LÄN</t>
        </is>
      </c>
      <c r="E860" t="inlineStr">
        <is>
          <t>ÅNGE</t>
        </is>
      </c>
      <c r="G860" t="n">
        <v>1.3</v>
      </c>
      <c r="H860" t="n">
        <v>0</v>
      </c>
      <c r="I860" t="n">
        <v>0</v>
      </c>
      <c r="J860" t="n">
        <v>0</v>
      </c>
      <c r="K860" t="n">
        <v>0</v>
      </c>
      <c r="L860" t="n">
        <v>0</v>
      </c>
      <c r="M860" t="n">
        <v>0</v>
      </c>
      <c r="N860" t="n">
        <v>0</v>
      </c>
      <c r="O860" t="n">
        <v>0</v>
      </c>
      <c r="P860" t="n">
        <v>0</v>
      </c>
      <c r="Q860" t="n">
        <v>0</v>
      </c>
      <c r="R860" s="2" t="inlineStr"/>
    </row>
    <row r="861" ht="15" customHeight="1">
      <c r="A861" t="inlineStr">
        <is>
          <t>A 30683-2024</t>
        </is>
      </c>
      <c r="B861" s="1" t="n">
        <v>45495</v>
      </c>
      <c r="C861" s="1" t="n">
        <v>46127</v>
      </c>
      <c r="D861" t="inlineStr">
        <is>
          <t>VÄSTERNORRLANDS LÄN</t>
        </is>
      </c>
      <c r="E861" t="inlineStr">
        <is>
          <t>ÅNGE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5455-2023</t>
        </is>
      </c>
      <c r="B862" s="1" t="n">
        <v>44959.93983796296</v>
      </c>
      <c r="C862" s="1" t="n">
        <v>46127</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60590-2025</t>
        </is>
      </c>
      <c r="B863" s="1" t="n">
        <v>45994</v>
      </c>
      <c r="C863" s="1" t="n">
        <v>46127</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60604-2025</t>
        </is>
      </c>
      <c r="B864" s="1" t="n">
        <v>45995</v>
      </c>
      <c r="C864" s="1" t="n">
        <v>46127</v>
      </c>
      <c r="D864" t="inlineStr">
        <is>
          <t>VÄSTERNORRLANDS LÄN</t>
        </is>
      </c>
      <c r="E864" t="inlineStr">
        <is>
          <t>ÅNGE</t>
        </is>
      </c>
      <c r="G864" t="n">
        <v>2.5</v>
      </c>
      <c r="H864" t="n">
        <v>0</v>
      </c>
      <c r="I864" t="n">
        <v>0</v>
      </c>
      <c r="J864" t="n">
        <v>0</v>
      </c>
      <c r="K864" t="n">
        <v>0</v>
      </c>
      <c r="L864" t="n">
        <v>0</v>
      </c>
      <c r="M864" t="n">
        <v>0</v>
      </c>
      <c r="N864" t="n">
        <v>0</v>
      </c>
      <c r="O864" t="n">
        <v>0</v>
      </c>
      <c r="P864" t="n">
        <v>0</v>
      </c>
      <c r="Q864" t="n">
        <v>0</v>
      </c>
      <c r="R864" s="2" t="inlineStr"/>
    </row>
    <row r="865" ht="15" customHeight="1">
      <c r="A865" t="inlineStr">
        <is>
          <t>A 50767-2025</t>
        </is>
      </c>
      <c r="B865" s="1" t="n">
        <v>45946</v>
      </c>
      <c r="C865" s="1" t="n">
        <v>46127</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50769-2025</t>
        </is>
      </c>
      <c r="B866" s="1" t="n">
        <v>45946.44864583333</v>
      </c>
      <c r="C866" s="1" t="n">
        <v>46127</v>
      </c>
      <c r="D866" t="inlineStr">
        <is>
          <t>VÄSTERNORRLANDS LÄN</t>
        </is>
      </c>
      <c r="E866" t="inlineStr">
        <is>
          <t>ÅNGE</t>
        </is>
      </c>
      <c r="G866" t="n">
        <v>3.4</v>
      </c>
      <c r="H866" t="n">
        <v>0</v>
      </c>
      <c r="I866" t="n">
        <v>0</v>
      </c>
      <c r="J866" t="n">
        <v>0</v>
      </c>
      <c r="K866" t="n">
        <v>0</v>
      </c>
      <c r="L866" t="n">
        <v>0</v>
      </c>
      <c r="M866" t="n">
        <v>0</v>
      </c>
      <c r="N866" t="n">
        <v>0</v>
      </c>
      <c r="O866" t="n">
        <v>0</v>
      </c>
      <c r="P866" t="n">
        <v>0</v>
      </c>
      <c r="Q866" t="n">
        <v>0</v>
      </c>
      <c r="R866" s="2" t="inlineStr"/>
    </row>
    <row r="867" ht="15" customHeight="1">
      <c r="A867" t="inlineStr">
        <is>
          <t>A 35826-2025</t>
        </is>
      </c>
      <c r="B867" s="1" t="n">
        <v>45861.48997685185</v>
      </c>
      <c r="C867" s="1" t="n">
        <v>46127</v>
      </c>
      <c r="D867" t="inlineStr">
        <is>
          <t>VÄSTERNORRLANDS LÄN</t>
        </is>
      </c>
      <c r="E867" t="inlineStr">
        <is>
          <t>ÅNGE</t>
        </is>
      </c>
      <c r="G867" t="n">
        <v>2.5</v>
      </c>
      <c r="H867" t="n">
        <v>0</v>
      </c>
      <c r="I867" t="n">
        <v>0</v>
      </c>
      <c r="J867" t="n">
        <v>0</v>
      </c>
      <c r="K867" t="n">
        <v>0</v>
      </c>
      <c r="L867" t="n">
        <v>0</v>
      </c>
      <c r="M867" t="n">
        <v>0</v>
      </c>
      <c r="N867" t="n">
        <v>0</v>
      </c>
      <c r="O867" t="n">
        <v>0</v>
      </c>
      <c r="P867" t="n">
        <v>0</v>
      </c>
      <c r="Q867" t="n">
        <v>0</v>
      </c>
      <c r="R867" s="2" t="inlineStr"/>
    </row>
    <row r="868" ht="15" customHeight="1">
      <c r="A868" t="inlineStr">
        <is>
          <t>A 43775-2022</t>
        </is>
      </c>
      <c r="B868" s="1" t="n">
        <v>44837.95053240741</v>
      </c>
      <c r="C868" s="1" t="n">
        <v>46127</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35827-2025</t>
        </is>
      </c>
      <c r="B869" s="1" t="n">
        <v>45861.49017361111</v>
      </c>
      <c r="C869" s="1" t="n">
        <v>46127</v>
      </c>
      <c r="D869" t="inlineStr">
        <is>
          <t>VÄSTERNORRLANDS LÄN</t>
        </is>
      </c>
      <c r="E869" t="inlineStr">
        <is>
          <t>ÅNGE</t>
        </is>
      </c>
      <c r="G869" t="n">
        <v>0.6</v>
      </c>
      <c r="H869" t="n">
        <v>0</v>
      </c>
      <c r="I869" t="n">
        <v>0</v>
      </c>
      <c r="J869" t="n">
        <v>0</v>
      </c>
      <c r="K869" t="n">
        <v>0</v>
      </c>
      <c r="L869" t="n">
        <v>0</v>
      </c>
      <c r="M869" t="n">
        <v>0</v>
      </c>
      <c r="N869" t="n">
        <v>0</v>
      </c>
      <c r="O869" t="n">
        <v>0</v>
      </c>
      <c r="P869" t="n">
        <v>0</v>
      </c>
      <c r="Q869" t="n">
        <v>0</v>
      </c>
      <c r="R869" s="2" t="inlineStr"/>
    </row>
    <row r="870" ht="15" customHeight="1">
      <c r="A870" t="inlineStr">
        <is>
          <t>A 35690-2025</t>
        </is>
      </c>
      <c r="B870" s="1" t="n">
        <v>45860.34421296296</v>
      </c>
      <c r="C870" s="1" t="n">
        <v>46127</v>
      </c>
      <c r="D870" t="inlineStr">
        <is>
          <t>VÄSTERNORRLANDS LÄN</t>
        </is>
      </c>
      <c r="E870" t="inlineStr">
        <is>
          <t>ÅNGE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35766-2025</t>
        </is>
      </c>
      <c r="B871" s="1" t="n">
        <v>45860.63077546296</v>
      </c>
      <c r="C871" s="1" t="n">
        <v>46127</v>
      </c>
      <c r="D871" t="inlineStr">
        <is>
          <t>VÄSTERNORRLANDS LÄN</t>
        </is>
      </c>
      <c r="E871" t="inlineStr">
        <is>
          <t>ÅNGE</t>
        </is>
      </c>
      <c r="G871" t="n">
        <v>10.7</v>
      </c>
      <c r="H871" t="n">
        <v>0</v>
      </c>
      <c r="I871" t="n">
        <v>0</v>
      </c>
      <c r="J871" t="n">
        <v>0</v>
      </c>
      <c r="K871" t="n">
        <v>0</v>
      </c>
      <c r="L871" t="n">
        <v>0</v>
      </c>
      <c r="M871" t="n">
        <v>0</v>
      </c>
      <c r="N871" t="n">
        <v>0</v>
      </c>
      <c r="O871" t="n">
        <v>0</v>
      </c>
      <c r="P871" t="n">
        <v>0</v>
      </c>
      <c r="Q871" t="n">
        <v>0</v>
      </c>
      <c r="R871" s="2" t="inlineStr"/>
    </row>
    <row r="872" ht="15" customHeight="1">
      <c r="A872" t="inlineStr">
        <is>
          <t>A 16915-2024</t>
        </is>
      </c>
      <c r="B872" s="1" t="n">
        <v>45411.65185185185</v>
      </c>
      <c r="C872" s="1" t="n">
        <v>46127</v>
      </c>
      <c r="D872" t="inlineStr">
        <is>
          <t>VÄSTERNORRLANDS LÄN</t>
        </is>
      </c>
      <c r="E872" t="inlineStr">
        <is>
          <t>ÅNGE</t>
        </is>
      </c>
      <c r="G872" t="n">
        <v>2.1</v>
      </c>
      <c r="H872" t="n">
        <v>0</v>
      </c>
      <c r="I872" t="n">
        <v>0</v>
      </c>
      <c r="J872" t="n">
        <v>0</v>
      </c>
      <c r="K872" t="n">
        <v>0</v>
      </c>
      <c r="L872" t="n">
        <v>0</v>
      </c>
      <c r="M872" t="n">
        <v>0</v>
      </c>
      <c r="N872" t="n">
        <v>0</v>
      </c>
      <c r="O872" t="n">
        <v>0</v>
      </c>
      <c r="P872" t="n">
        <v>0</v>
      </c>
      <c r="Q872" t="n">
        <v>0</v>
      </c>
      <c r="R872" s="2" t="inlineStr"/>
    </row>
    <row r="873" ht="15" customHeight="1">
      <c r="A873" t="inlineStr">
        <is>
          <t>A 51109-2025</t>
        </is>
      </c>
      <c r="B873" s="1" t="n">
        <v>45947.50263888889</v>
      </c>
      <c r="C873" s="1" t="n">
        <v>46127</v>
      </c>
      <c r="D873" t="inlineStr">
        <is>
          <t>VÄSTERNORRLANDS LÄN</t>
        </is>
      </c>
      <c r="E873" t="inlineStr">
        <is>
          <t>ÅNGE</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57560-2023</t>
        </is>
      </c>
      <c r="B874" s="1" t="n">
        <v>45243</v>
      </c>
      <c r="C874" s="1" t="n">
        <v>46127</v>
      </c>
      <c r="D874" t="inlineStr">
        <is>
          <t>VÄSTERNORRLANDS LÄN</t>
        </is>
      </c>
      <c r="E874" t="inlineStr">
        <is>
          <t>ÅNGE</t>
        </is>
      </c>
      <c r="G874" t="n">
        <v>7.4</v>
      </c>
      <c r="H874" t="n">
        <v>0</v>
      </c>
      <c r="I874" t="n">
        <v>0</v>
      </c>
      <c r="J874" t="n">
        <v>0</v>
      </c>
      <c r="K874" t="n">
        <v>0</v>
      </c>
      <c r="L874" t="n">
        <v>0</v>
      </c>
      <c r="M874" t="n">
        <v>0</v>
      </c>
      <c r="N874" t="n">
        <v>0</v>
      </c>
      <c r="O874" t="n">
        <v>0</v>
      </c>
      <c r="P874" t="n">
        <v>0</v>
      </c>
      <c r="Q874" t="n">
        <v>0</v>
      </c>
      <c r="R874" s="2" t="inlineStr"/>
    </row>
    <row r="875" ht="15" customHeight="1">
      <c r="A875" t="inlineStr">
        <is>
          <t>A 57568-2023</t>
        </is>
      </c>
      <c r="B875" s="1" t="n">
        <v>45246.50484953704</v>
      </c>
      <c r="C875" s="1" t="n">
        <v>46127</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16576-2023</t>
        </is>
      </c>
      <c r="B876" s="1" t="n">
        <v>45029.94251157407</v>
      </c>
      <c r="C876" s="1" t="n">
        <v>46127</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46127</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46127</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51370-2025</t>
        </is>
      </c>
      <c r="B879" s="1" t="n">
        <v>45950.44818287037</v>
      </c>
      <c r="C879" s="1" t="n">
        <v>46127</v>
      </c>
      <c r="D879" t="inlineStr">
        <is>
          <t>VÄSTERNORRLANDS LÄN</t>
        </is>
      </c>
      <c r="E879" t="inlineStr">
        <is>
          <t>ÅNGE</t>
        </is>
      </c>
      <c r="G879" t="n">
        <v>0.9</v>
      </c>
      <c r="H879" t="n">
        <v>0</v>
      </c>
      <c r="I879" t="n">
        <v>0</v>
      </c>
      <c r="J879" t="n">
        <v>0</v>
      </c>
      <c r="K879" t="n">
        <v>0</v>
      </c>
      <c r="L879" t="n">
        <v>0</v>
      </c>
      <c r="M879" t="n">
        <v>0</v>
      </c>
      <c r="N879" t="n">
        <v>0</v>
      </c>
      <c r="O879" t="n">
        <v>0</v>
      </c>
      <c r="P879" t="n">
        <v>0</v>
      </c>
      <c r="Q879" t="n">
        <v>0</v>
      </c>
      <c r="R879" s="2" t="inlineStr"/>
    </row>
    <row r="880" ht="15" customHeight="1">
      <c r="A880" t="inlineStr">
        <is>
          <t>A 51382-2025</t>
        </is>
      </c>
      <c r="B880" s="1" t="n">
        <v>45950.46019675926</v>
      </c>
      <c r="C880" s="1" t="n">
        <v>46127</v>
      </c>
      <c r="D880" t="inlineStr">
        <is>
          <t>VÄSTERNORRLANDS LÄN</t>
        </is>
      </c>
      <c r="E880" t="inlineStr">
        <is>
          <t>ÅNGE</t>
        </is>
      </c>
      <c r="G880" t="n">
        <v>3</v>
      </c>
      <c r="H880" t="n">
        <v>0</v>
      </c>
      <c r="I880" t="n">
        <v>0</v>
      </c>
      <c r="J880" t="n">
        <v>0</v>
      </c>
      <c r="K880" t="n">
        <v>0</v>
      </c>
      <c r="L880" t="n">
        <v>0</v>
      </c>
      <c r="M880" t="n">
        <v>0</v>
      </c>
      <c r="N880" t="n">
        <v>0</v>
      </c>
      <c r="O880" t="n">
        <v>0</v>
      </c>
      <c r="P880" t="n">
        <v>0</v>
      </c>
      <c r="Q880" t="n">
        <v>0</v>
      </c>
      <c r="R880" s="2" t="inlineStr"/>
    </row>
    <row r="881" ht="15" customHeight="1">
      <c r="A881" t="inlineStr">
        <is>
          <t>A 51416-2025</t>
        </is>
      </c>
      <c r="B881" s="1" t="n">
        <v>45950.51097222222</v>
      </c>
      <c r="C881" s="1" t="n">
        <v>46127</v>
      </c>
      <c r="D881" t="inlineStr">
        <is>
          <t>VÄSTERNORRLANDS LÄN</t>
        </is>
      </c>
      <c r="E881" t="inlineStr">
        <is>
          <t>ÅNGE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4359-2025</t>
        </is>
      </c>
      <c r="B882" s="1" t="n">
        <v>45686.33072916666</v>
      </c>
      <c r="C882" s="1" t="n">
        <v>46127</v>
      </c>
      <c r="D882" t="inlineStr">
        <is>
          <t>VÄSTERNORRLANDS LÄN</t>
        </is>
      </c>
      <c r="E882" t="inlineStr">
        <is>
          <t>ÅNGE</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36210-2025</t>
        </is>
      </c>
      <c r="B883" s="1" t="n">
        <v>45867.46930555555</v>
      </c>
      <c r="C883" s="1" t="n">
        <v>46127</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24797-2024</t>
        </is>
      </c>
      <c r="B884" s="1" t="n">
        <v>45460.95269675926</v>
      </c>
      <c r="C884" s="1" t="n">
        <v>46127</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36236-2025</t>
        </is>
      </c>
      <c r="B885" s="1" t="n">
        <v>45867.55245370371</v>
      </c>
      <c r="C885" s="1" t="n">
        <v>46127</v>
      </c>
      <c r="D885" t="inlineStr">
        <is>
          <t>VÄSTERNORRLANDS LÄN</t>
        </is>
      </c>
      <c r="E885" t="inlineStr">
        <is>
          <t>ÅNGE</t>
        </is>
      </c>
      <c r="G885" t="n">
        <v>0.9</v>
      </c>
      <c r="H885" t="n">
        <v>0</v>
      </c>
      <c r="I885" t="n">
        <v>0</v>
      </c>
      <c r="J885" t="n">
        <v>0</v>
      </c>
      <c r="K885" t="n">
        <v>0</v>
      </c>
      <c r="L885" t="n">
        <v>0</v>
      </c>
      <c r="M885" t="n">
        <v>0</v>
      </c>
      <c r="N885" t="n">
        <v>0</v>
      </c>
      <c r="O885" t="n">
        <v>0</v>
      </c>
      <c r="P885" t="n">
        <v>0</v>
      </c>
      <c r="Q885" t="n">
        <v>0</v>
      </c>
      <c r="R885" s="2" t="inlineStr"/>
    </row>
    <row r="886" ht="15" customHeight="1">
      <c r="A886" t="inlineStr">
        <is>
          <t>A 36248-2025</t>
        </is>
      </c>
      <c r="B886" s="1" t="n">
        <v>45867.57326388889</v>
      </c>
      <c r="C886" s="1" t="n">
        <v>46127</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32069-2023</t>
        </is>
      </c>
      <c r="B887" s="1" t="n">
        <v>45107</v>
      </c>
      <c r="C887" s="1" t="n">
        <v>46127</v>
      </c>
      <c r="D887" t="inlineStr">
        <is>
          <t>VÄSTERNORRLANDS LÄN</t>
        </is>
      </c>
      <c r="E887" t="inlineStr">
        <is>
          <t>ÅNGE</t>
        </is>
      </c>
      <c r="G887" t="n">
        <v>4.4</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46127</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26013-2024</t>
        </is>
      </c>
      <c r="B889" s="1" t="n">
        <v>45467</v>
      </c>
      <c r="C889" s="1" t="n">
        <v>46127</v>
      </c>
      <c r="D889" t="inlineStr">
        <is>
          <t>VÄSTERNORRLANDS LÄN</t>
        </is>
      </c>
      <c r="E889" t="inlineStr">
        <is>
          <t>ÅNGE</t>
        </is>
      </c>
      <c r="F889" t="inlineStr">
        <is>
          <t>SCA</t>
        </is>
      </c>
      <c r="G889" t="n">
        <v>6.8</v>
      </c>
      <c r="H889" t="n">
        <v>0</v>
      </c>
      <c r="I889" t="n">
        <v>0</v>
      </c>
      <c r="J889" t="n">
        <v>0</v>
      </c>
      <c r="K889" t="n">
        <v>0</v>
      </c>
      <c r="L889" t="n">
        <v>0</v>
      </c>
      <c r="M889" t="n">
        <v>0</v>
      </c>
      <c r="N889" t="n">
        <v>0</v>
      </c>
      <c r="O889" t="n">
        <v>0</v>
      </c>
      <c r="P889" t="n">
        <v>0</v>
      </c>
      <c r="Q889" t="n">
        <v>0</v>
      </c>
      <c r="R889" s="2" t="inlineStr"/>
    </row>
    <row r="890" ht="15" customHeight="1">
      <c r="A890" t="inlineStr">
        <is>
          <t>A 36205-2025</t>
        </is>
      </c>
      <c r="B890" s="1" t="n">
        <v>45867.44855324074</v>
      </c>
      <c r="C890" s="1" t="n">
        <v>46127</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36491-2025</t>
        </is>
      </c>
      <c r="B891" s="1" t="n">
        <v>45869.53173611111</v>
      </c>
      <c r="C891" s="1" t="n">
        <v>46127</v>
      </c>
      <c r="D891" t="inlineStr">
        <is>
          <t>VÄSTERNORRLANDS LÄN</t>
        </is>
      </c>
      <c r="E891" t="inlineStr">
        <is>
          <t>ÅNGE</t>
        </is>
      </c>
      <c r="F891" t="inlineStr">
        <is>
          <t>SCA</t>
        </is>
      </c>
      <c r="G891" t="n">
        <v>4.2</v>
      </c>
      <c r="H891" t="n">
        <v>0</v>
      </c>
      <c r="I891" t="n">
        <v>0</v>
      </c>
      <c r="J891" t="n">
        <v>0</v>
      </c>
      <c r="K891" t="n">
        <v>0</v>
      </c>
      <c r="L891" t="n">
        <v>0</v>
      </c>
      <c r="M891" t="n">
        <v>0</v>
      </c>
      <c r="N891" t="n">
        <v>0</v>
      </c>
      <c r="O891" t="n">
        <v>0</v>
      </c>
      <c r="P891" t="n">
        <v>0</v>
      </c>
      <c r="Q891" t="n">
        <v>0</v>
      </c>
      <c r="R891" s="2" t="inlineStr"/>
    </row>
    <row r="892" ht="15" customHeight="1">
      <c r="A892" t="inlineStr">
        <is>
          <t>A 51389-2025</t>
        </is>
      </c>
      <c r="B892" s="1" t="n">
        <v>45950.46767361111</v>
      </c>
      <c r="C892" s="1" t="n">
        <v>46127</v>
      </c>
      <c r="D892" t="inlineStr">
        <is>
          <t>VÄSTERNORRLANDS LÄN</t>
        </is>
      </c>
      <c r="E892" t="inlineStr">
        <is>
          <t>ÅNGE</t>
        </is>
      </c>
      <c r="G892" t="n">
        <v>1.2</v>
      </c>
      <c r="H892" t="n">
        <v>0</v>
      </c>
      <c r="I892" t="n">
        <v>0</v>
      </c>
      <c r="J892" t="n">
        <v>0</v>
      </c>
      <c r="K892" t="n">
        <v>0</v>
      </c>
      <c r="L892" t="n">
        <v>0</v>
      </c>
      <c r="M892" t="n">
        <v>0</v>
      </c>
      <c r="N892" t="n">
        <v>0</v>
      </c>
      <c r="O892" t="n">
        <v>0</v>
      </c>
      <c r="P892" t="n">
        <v>0</v>
      </c>
      <c r="Q892" t="n">
        <v>0</v>
      </c>
      <c r="R892" s="2" t="inlineStr"/>
    </row>
    <row r="893" ht="15" customHeight="1">
      <c r="A893" t="inlineStr">
        <is>
          <t>A 52060-2025</t>
        </is>
      </c>
      <c r="B893" s="1" t="n">
        <v>45952.63641203703</v>
      </c>
      <c r="C893" s="1" t="n">
        <v>46127</v>
      </c>
      <c r="D893" t="inlineStr">
        <is>
          <t>VÄSTERNORRLANDS LÄN</t>
        </is>
      </c>
      <c r="E893" t="inlineStr">
        <is>
          <t>ÅNGE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36336-2025</t>
        </is>
      </c>
      <c r="B894" s="1" t="n">
        <v>45868.44751157407</v>
      </c>
      <c r="C894" s="1" t="n">
        <v>46127</v>
      </c>
      <c r="D894" t="inlineStr">
        <is>
          <t>VÄSTERNORRLANDS LÄN</t>
        </is>
      </c>
      <c r="E894" t="inlineStr">
        <is>
          <t>ÅNGE</t>
        </is>
      </c>
      <c r="G894" t="n">
        <v>7.3</v>
      </c>
      <c r="H894" t="n">
        <v>0</v>
      </c>
      <c r="I894" t="n">
        <v>0</v>
      </c>
      <c r="J894" t="n">
        <v>0</v>
      </c>
      <c r="K894" t="n">
        <v>0</v>
      </c>
      <c r="L894" t="n">
        <v>0</v>
      </c>
      <c r="M894" t="n">
        <v>0</v>
      </c>
      <c r="N894" t="n">
        <v>0</v>
      </c>
      <c r="O894" t="n">
        <v>0</v>
      </c>
      <c r="P894" t="n">
        <v>0</v>
      </c>
      <c r="Q894" t="n">
        <v>0</v>
      </c>
      <c r="R894" s="2" t="inlineStr"/>
    </row>
    <row r="895" ht="15" customHeight="1">
      <c r="A895" t="inlineStr">
        <is>
          <t>A 52121-2025</t>
        </is>
      </c>
      <c r="B895" s="1" t="n">
        <v>45952.71921296296</v>
      </c>
      <c r="C895" s="1" t="n">
        <v>46127</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36457-2025</t>
        </is>
      </c>
      <c r="B896" s="1" t="n">
        <v>45869.44842592593</v>
      </c>
      <c r="C896" s="1" t="n">
        <v>46127</v>
      </c>
      <c r="D896" t="inlineStr">
        <is>
          <t>VÄSTERNORRLANDS LÄN</t>
        </is>
      </c>
      <c r="E896" t="inlineStr">
        <is>
          <t>ÅNGE</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52306-2025</t>
        </is>
      </c>
      <c r="B897" s="1" t="n">
        <v>45953.63600694444</v>
      </c>
      <c r="C897" s="1" t="n">
        <v>46127</v>
      </c>
      <c r="D897" t="inlineStr">
        <is>
          <t>VÄSTERNORRLANDS LÄN</t>
        </is>
      </c>
      <c r="E897" t="inlineStr">
        <is>
          <t>ÅNGE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51857-2025</t>
        </is>
      </c>
      <c r="B898" s="1" t="n">
        <v>45952.36506944444</v>
      </c>
      <c r="C898" s="1" t="n">
        <v>46127</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51813-2025</t>
        </is>
      </c>
      <c r="B899" s="1" t="n">
        <v>45951.83082175926</v>
      </c>
      <c r="C899" s="1" t="n">
        <v>46127</v>
      </c>
      <c r="D899" t="inlineStr">
        <is>
          <t>VÄSTERNORRLANDS LÄN</t>
        </is>
      </c>
      <c r="E899" t="inlineStr">
        <is>
          <t>ÅNGE</t>
        </is>
      </c>
      <c r="G899" t="n">
        <v>2.5</v>
      </c>
      <c r="H899" t="n">
        <v>0</v>
      </c>
      <c r="I899" t="n">
        <v>0</v>
      </c>
      <c r="J899" t="n">
        <v>0</v>
      </c>
      <c r="K899" t="n">
        <v>0</v>
      </c>
      <c r="L899" t="n">
        <v>0</v>
      </c>
      <c r="M899" t="n">
        <v>0</v>
      </c>
      <c r="N899" t="n">
        <v>0</v>
      </c>
      <c r="O899" t="n">
        <v>0</v>
      </c>
      <c r="P899" t="n">
        <v>0</v>
      </c>
      <c r="Q899" t="n">
        <v>0</v>
      </c>
      <c r="R899" s="2" t="inlineStr"/>
    </row>
    <row r="900" ht="15" customHeight="1">
      <c r="A900" t="inlineStr">
        <is>
          <t>A 16903-2024</t>
        </is>
      </c>
      <c r="B900" s="1" t="n">
        <v>45411.63106481481</v>
      </c>
      <c r="C900" s="1" t="n">
        <v>46127</v>
      </c>
      <c r="D900" t="inlineStr">
        <is>
          <t>VÄSTERNORRLANDS LÄN</t>
        </is>
      </c>
      <c r="E900" t="inlineStr">
        <is>
          <t>ÅNGE</t>
        </is>
      </c>
      <c r="G900" t="n">
        <v>0.5</v>
      </c>
      <c r="H900" t="n">
        <v>0</v>
      </c>
      <c r="I900" t="n">
        <v>0</v>
      </c>
      <c r="J900" t="n">
        <v>0</v>
      </c>
      <c r="K900" t="n">
        <v>0</v>
      </c>
      <c r="L900" t="n">
        <v>0</v>
      </c>
      <c r="M900" t="n">
        <v>0</v>
      </c>
      <c r="N900" t="n">
        <v>0</v>
      </c>
      <c r="O900" t="n">
        <v>0</v>
      </c>
      <c r="P900" t="n">
        <v>0</v>
      </c>
      <c r="Q900" t="n">
        <v>0</v>
      </c>
      <c r="R900" s="2" t="inlineStr"/>
    </row>
    <row r="901" ht="15" customHeight="1">
      <c r="A901" t="inlineStr">
        <is>
          <t>A 32439-2024</t>
        </is>
      </c>
      <c r="B901" s="1" t="n">
        <v>45512</v>
      </c>
      <c r="C901" s="1" t="n">
        <v>46127</v>
      </c>
      <c r="D901" t="inlineStr">
        <is>
          <t>VÄSTERNORRLANDS LÄN</t>
        </is>
      </c>
      <c r="E901" t="inlineStr">
        <is>
          <t>ÅNGE</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16572-2023</t>
        </is>
      </c>
      <c r="B902" s="1" t="n">
        <v>45029.94224537037</v>
      </c>
      <c r="C902" s="1" t="n">
        <v>46127</v>
      </c>
      <c r="D902" t="inlineStr">
        <is>
          <t>VÄSTERNORRLANDS LÄN</t>
        </is>
      </c>
      <c r="E902" t="inlineStr">
        <is>
          <t>ÅNGE</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36723-2025</t>
        </is>
      </c>
      <c r="B903" s="1" t="n">
        <v>45873.47770833333</v>
      </c>
      <c r="C903" s="1" t="n">
        <v>46127</v>
      </c>
      <c r="D903" t="inlineStr">
        <is>
          <t>VÄSTERNORRLANDS LÄN</t>
        </is>
      </c>
      <c r="E903" t="inlineStr">
        <is>
          <t>ÅNGE</t>
        </is>
      </c>
      <c r="G903" t="n">
        <v>2.8</v>
      </c>
      <c r="H903" t="n">
        <v>0</v>
      </c>
      <c r="I903" t="n">
        <v>0</v>
      </c>
      <c r="J903" t="n">
        <v>0</v>
      </c>
      <c r="K903" t="n">
        <v>0</v>
      </c>
      <c r="L903" t="n">
        <v>0</v>
      </c>
      <c r="M903" t="n">
        <v>0</v>
      </c>
      <c r="N903" t="n">
        <v>0</v>
      </c>
      <c r="O903" t="n">
        <v>0</v>
      </c>
      <c r="P903" t="n">
        <v>0</v>
      </c>
      <c r="Q903" t="n">
        <v>0</v>
      </c>
      <c r="R903" s="2" t="inlineStr"/>
    </row>
    <row r="904" ht="15" customHeight="1">
      <c r="A904" t="inlineStr">
        <is>
          <t>A 36674-2025</t>
        </is>
      </c>
      <c r="B904" s="1" t="n">
        <v>45873.3930787037</v>
      </c>
      <c r="C904" s="1" t="n">
        <v>46127</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58613-2023</t>
        </is>
      </c>
      <c r="B905" s="1" t="n">
        <v>45251.50709490741</v>
      </c>
      <c r="C905" s="1" t="n">
        <v>46127</v>
      </c>
      <c r="D905" t="inlineStr">
        <is>
          <t>VÄSTERNORRLANDS LÄN</t>
        </is>
      </c>
      <c r="E905" t="inlineStr">
        <is>
          <t>ÅNGE</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52335-2025</t>
        </is>
      </c>
      <c r="B906" s="1" t="n">
        <v>45953.68591435185</v>
      </c>
      <c r="C906" s="1" t="n">
        <v>46127</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52283-2025</t>
        </is>
      </c>
      <c r="B907" s="1" t="n">
        <v>45953.57346064815</v>
      </c>
      <c r="C907" s="1" t="n">
        <v>46127</v>
      </c>
      <c r="D907" t="inlineStr">
        <is>
          <t>VÄSTERNORRLANDS LÄN</t>
        </is>
      </c>
      <c r="E907" t="inlineStr">
        <is>
          <t>ÅNGE</t>
        </is>
      </c>
      <c r="G907" t="n">
        <v>8.9</v>
      </c>
      <c r="H907" t="n">
        <v>0</v>
      </c>
      <c r="I907" t="n">
        <v>0</v>
      </c>
      <c r="J907" t="n">
        <v>0</v>
      </c>
      <c r="K907" t="n">
        <v>0</v>
      </c>
      <c r="L907" t="n">
        <v>0</v>
      </c>
      <c r="M907" t="n">
        <v>0</v>
      </c>
      <c r="N907" t="n">
        <v>0</v>
      </c>
      <c r="O907" t="n">
        <v>0</v>
      </c>
      <c r="P907" t="n">
        <v>0</v>
      </c>
      <c r="Q907" t="n">
        <v>0</v>
      </c>
      <c r="R907" s="2" t="inlineStr"/>
    </row>
    <row r="908" ht="15" customHeight="1">
      <c r="A908" t="inlineStr">
        <is>
          <t>A 3256-2024</t>
        </is>
      </c>
      <c r="B908" s="1" t="n">
        <v>45316</v>
      </c>
      <c r="C908" s="1" t="n">
        <v>46127</v>
      </c>
      <c r="D908" t="inlineStr">
        <is>
          <t>VÄSTERNORRLANDS LÄN</t>
        </is>
      </c>
      <c r="E908" t="inlineStr">
        <is>
          <t>ÅNGE</t>
        </is>
      </c>
      <c r="G908" t="n">
        <v>3.7</v>
      </c>
      <c r="H908" t="n">
        <v>0</v>
      </c>
      <c r="I908" t="n">
        <v>0</v>
      </c>
      <c r="J908" t="n">
        <v>0</v>
      </c>
      <c r="K908" t="n">
        <v>0</v>
      </c>
      <c r="L908" t="n">
        <v>0</v>
      </c>
      <c r="M908" t="n">
        <v>0</v>
      </c>
      <c r="N908" t="n">
        <v>0</v>
      </c>
      <c r="O908" t="n">
        <v>0</v>
      </c>
      <c r="P908" t="n">
        <v>0</v>
      </c>
      <c r="Q908" t="n">
        <v>0</v>
      </c>
      <c r="R908" s="2" t="inlineStr"/>
    </row>
    <row r="909" ht="15" customHeight="1">
      <c r="A909" t="inlineStr">
        <is>
          <t>A 49487-2024</t>
        </is>
      </c>
      <c r="B909" s="1" t="n">
        <v>45596.35813657408</v>
      </c>
      <c r="C909" s="1" t="n">
        <v>46127</v>
      </c>
      <c r="D909" t="inlineStr">
        <is>
          <t>VÄSTERNORRLANDS LÄN</t>
        </is>
      </c>
      <c r="E909" t="inlineStr">
        <is>
          <t>ÅNGE</t>
        </is>
      </c>
      <c r="G909" t="n">
        <v>4.3</v>
      </c>
      <c r="H909" t="n">
        <v>0</v>
      </c>
      <c r="I909" t="n">
        <v>0</v>
      </c>
      <c r="J909" t="n">
        <v>0</v>
      </c>
      <c r="K909" t="n">
        <v>0</v>
      </c>
      <c r="L909" t="n">
        <v>0</v>
      </c>
      <c r="M909" t="n">
        <v>0</v>
      </c>
      <c r="N909" t="n">
        <v>0</v>
      </c>
      <c r="O909" t="n">
        <v>0</v>
      </c>
      <c r="P909" t="n">
        <v>0</v>
      </c>
      <c r="Q909" t="n">
        <v>0</v>
      </c>
      <c r="R909" s="2" t="inlineStr"/>
    </row>
    <row r="910" ht="15" customHeight="1">
      <c r="A910" t="inlineStr">
        <is>
          <t>A 36740-2025</t>
        </is>
      </c>
      <c r="B910" s="1" t="n">
        <v>45873.53237268519</v>
      </c>
      <c r="C910" s="1" t="n">
        <v>46127</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60422-2025</t>
        </is>
      </c>
      <c r="B911" s="1" t="n">
        <v>45995.46922453704</v>
      </c>
      <c r="C911" s="1" t="n">
        <v>46127</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36456-2025</t>
        </is>
      </c>
      <c r="B912" s="1" t="n">
        <v>45869.44827546296</v>
      </c>
      <c r="C912" s="1" t="n">
        <v>46127</v>
      </c>
      <c r="D912" t="inlineStr">
        <is>
          <t>VÄSTERNORRLANDS LÄN</t>
        </is>
      </c>
      <c r="E912" t="inlineStr">
        <is>
          <t>ÅNGE</t>
        </is>
      </c>
      <c r="F912" t="inlineStr">
        <is>
          <t>SCA</t>
        </is>
      </c>
      <c r="G912" t="n">
        <v>7.2</v>
      </c>
      <c r="H912" t="n">
        <v>0</v>
      </c>
      <c r="I912" t="n">
        <v>0</v>
      </c>
      <c r="J912" t="n">
        <v>0</v>
      </c>
      <c r="K912" t="n">
        <v>0</v>
      </c>
      <c r="L912" t="n">
        <v>0</v>
      </c>
      <c r="M912" t="n">
        <v>0</v>
      </c>
      <c r="N912" t="n">
        <v>0</v>
      </c>
      <c r="O912" t="n">
        <v>0</v>
      </c>
      <c r="P912" t="n">
        <v>0</v>
      </c>
      <c r="Q912" t="n">
        <v>0</v>
      </c>
      <c r="R912" s="2" t="inlineStr"/>
    </row>
    <row r="913" ht="15" customHeight="1">
      <c r="A913" t="inlineStr">
        <is>
          <t>A 36873-2025</t>
        </is>
      </c>
      <c r="B913" s="1" t="n">
        <v>45874.42935185185</v>
      </c>
      <c r="C913" s="1" t="n">
        <v>46127</v>
      </c>
      <c r="D913" t="inlineStr">
        <is>
          <t>VÄSTERNORRLANDS LÄN</t>
        </is>
      </c>
      <c r="E913" t="inlineStr">
        <is>
          <t>ÅNGE</t>
        </is>
      </c>
      <c r="F913" t="inlineStr">
        <is>
          <t>SCA</t>
        </is>
      </c>
      <c r="G913" t="n">
        <v>16.9</v>
      </c>
      <c r="H913" t="n">
        <v>0</v>
      </c>
      <c r="I913" t="n">
        <v>0</v>
      </c>
      <c r="J913" t="n">
        <v>0</v>
      </c>
      <c r="K913" t="n">
        <v>0</v>
      </c>
      <c r="L913" t="n">
        <v>0</v>
      </c>
      <c r="M913" t="n">
        <v>0</v>
      </c>
      <c r="N913" t="n">
        <v>0</v>
      </c>
      <c r="O913" t="n">
        <v>0</v>
      </c>
      <c r="P913" t="n">
        <v>0</v>
      </c>
      <c r="Q913" t="n">
        <v>0</v>
      </c>
      <c r="R913" s="2" t="inlineStr"/>
    </row>
    <row r="914" ht="15" customHeight="1">
      <c r="A914" t="inlineStr">
        <is>
          <t>A 52642-2025</t>
        </is>
      </c>
      <c r="B914" s="1" t="n">
        <v>45955.34576388889</v>
      </c>
      <c r="C914" s="1" t="n">
        <v>46127</v>
      </c>
      <c r="D914" t="inlineStr">
        <is>
          <t>VÄSTERNORRLANDS LÄN</t>
        </is>
      </c>
      <c r="E914" t="inlineStr">
        <is>
          <t>ÅNGE</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37045-2025</t>
        </is>
      </c>
      <c r="B915" s="1" t="n">
        <v>45875.34451388889</v>
      </c>
      <c r="C915" s="1" t="n">
        <v>46127</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37047-2025</t>
        </is>
      </c>
      <c r="B916" s="1" t="n">
        <v>45875.34489583333</v>
      </c>
      <c r="C916" s="1" t="n">
        <v>46127</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52411-2025</t>
        </is>
      </c>
      <c r="B917" s="1" t="n">
        <v>45954.36518518518</v>
      </c>
      <c r="C917" s="1" t="n">
        <v>46127</v>
      </c>
      <c r="D917" t="inlineStr">
        <is>
          <t>VÄSTERNORRLANDS LÄN</t>
        </is>
      </c>
      <c r="E917" t="inlineStr">
        <is>
          <t>ÅNGE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37108-2025</t>
        </is>
      </c>
      <c r="B918" s="1" t="n">
        <v>45875</v>
      </c>
      <c r="C918" s="1" t="n">
        <v>46127</v>
      </c>
      <c r="D918" t="inlineStr">
        <is>
          <t>VÄSTERNORRLANDS LÄN</t>
        </is>
      </c>
      <c r="E918" t="inlineStr">
        <is>
          <t>ÅNGE</t>
        </is>
      </c>
      <c r="G918" t="n">
        <v>4</v>
      </c>
      <c r="H918" t="n">
        <v>0</v>
      </c>
      <c r="I918" t="n">
        <v>0</v>
      </c>
      <c r="J918" t="n">
        <v>0</v>
      </c>
      <c r="K918" t="n">
        <v>0</v>
      </c>
      <c r="L918" t="n">
        <v>0</v>
      </c>
      <c r="M918" t="n">
        <v>0</v>
      </c>
      <c r="N918" t="n">
        <v>0</v>
      </c>
      <c r="O918" t="n">
        <v>0</v>
      </c>
      <c r="P918" t="n">
        <v>0</v>
      </c>
      <c r="Q918" t="n">
        <v>0</v>
      </c>
      <c r="R918" s="2" t="inlineStr"/>
    </row>
    <row r="919" ht="15" customHeight="1">
      <c r="A919" t="inlineStr">
        <is>
          <t>A 57287-2022</t>
        </is>
      </c>
      <c r="B919" s="1" t="n">
        <v>44895.95</v>
      </c>
      <c r="C919" s="1" t="n">
        <v>46127</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20576-2021</t>
        </is>
      </c>
      <c r="B920" s="1" t="n">
        <v>44316.3290162037</v>
      </c>
      <c r="C920" s="1" t="n">
        <v>46127</v>
      </c>
      <c r="D920" t="inlineStr">
        <is>
          <t>VÄSTERNORRLANDS LÄN</t>
        </is>
      </c>
      <c r="E920" t="inlineStr">
        <is>
          <t>ÅNGE</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1090-2023</t>
        </is>
      </c>
      <c r="B921" s="1" t="n">
        <v>44929</v>
      </c>
      <c r="C921" s="1" t="n">
        <v>46127</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1116-2023</t>
        </is>
      </c>
      <c r="B922" s="1" t="n">
        <v>44929</v>
      </c>
      <c r="C922" s="1" t="n">
        <v>46127</v>
      </c>
      <c r="D922" t="inlineStr">
        <is>
          <t>VÄSTERNORRLANDS LÄN</t>
        </is>
      </c>
      <c r="E922" t="inlineStr">
        <is>
          <t>ÅNGE</t>
        </is>
      </c>
      <c r="G922" t="n">
        <v>17.2</v>
      </c>
      <c r="H922" t="n">
        <v>0</v>
      </c>
      <c r="I922" t="n">
        <v>0</v>
      </c>
      <c r="J922" t="n">
        <v>0</v>
      </c>
      <c r="K922" t="n">
        <v>0</v>
      </c>
      <c r="L922" t="n">
        <v>0</v>
      </c>
      <c r="M922" t="n">
        <v>0</v>
      </c>
      <c r="N922" t="n">
        <v>0</v>
      </c>
      <c r="O922" t="n">
        <v>0</v>
      </c>
      <c r="P922" t="n">
        <v>0</v>
      </c>
      <c r="Q922" t="n">
        <v>0</v>
      </c>
      <c r="R922" s="2" t="inlineStr"/>
    </row>
    <row r="923" ht="15" customHeight="1">
      <c r="A923" t="inlineStr">
        <is>
          <t>A 60402-2025</t>
        </is>
      </c>
      <c r="B923" s="1" t="n">
        <v>45995.4262962963</v>
      </c>
      <c r="C923" s="1" t="n">
        <v>46127</v>
      </c>
      <c r="D923" t="inlineStr">
        <is>
          <t>VÄSTERNORRLANDS LÄN</t>
        </is>
      </c>
      <c r="E923" t="inlineStr">
        <is>
          <t>ÅNGE</t>
        </is>
      </c>
      <c r="G923" t="n">
        <v>2.1</v>
      </c>
      <c r="H923" t="n">
        <v>0</v>
      </c>
      <c r="I923" t="n">
        <v>0</v>
      </c>
      <c r="J923" t="n">
        <v>0</v>
      </c>
      <c r="K923" t="n">
        <v>0</v>
      </c>
      <c r="L923" t="n">
        <v>0</v>
      </c>
      <c r="M923" t="n">
        <v>0</v>
      </c>
      <c r="N923" t="n">
        <v>0</v>
      </c>
      <c r="O923" t="n">
        <v>0</v>
      </c>
      <c r="P923" t="n">
        <v>0</v>
      </c>
      <c r="Q923" t="n">
        <v>0</v>
      </c>
      <c r="R923" s="2" t="inlineStr"/>
    </row>
    <row r="924" ht="15" customHeight="1">
      <c r="A924" t="inlineStr">
        <is>
          <t>A 52858-2025</t>
        </is>
      </c>
      <c r="B924" s="1" t="n">
        <v>45957.50284722223</v>
      </c>
      <c r="C924" s="1" t="n">
        <v>46127</v>
      </c>
      <c r="D924" t="inlineStr">
        <is>
          <t>VÄSTERNORRLANDS LÄN</t>
        </is>
      </c>
      <c r="E924" t="inlineStr">
        <is>
          <t>ÅNGE</t>
        </is>
      </c>
      <c r="G924" t="n">
        <v>1.7</v>
      </c>
      <c r="H924" t="n">
        <v>0</v>
      </c>
      <c r="I924" t="n">
        <v>0</v>
      </c>
      <c r="J924" t="n">
        <v>0</v>
      </c>
      <c r="K924" t="n">
        <v>0</v>
      </c>
      <c r="L924" t="n">
        <v>0</v>
      </c>
      <c r="M924" t="n">
        <v>0</v>
      </c>
      <c r="N924" t="n">
        <v>0</v>
      </c>
      <c r="O924" t="n">
        <v>0</v>
      </c>
      <c r="P924" t="n">
        <v>0</v>
      </c>
      <c r="Q924" t="n">
        <v>0</v>
      </c>
      <c r="R924" s="2" t="inlineStr"/>
    </row>
    <row r="925" ht="15" customHeight="1">
      <c r="A925" t="inlineStr">
        <is>
          <t>A 36249-2025</t>
        </is>
      </c>
      <c r="B925" s="1" t="n">
        <v>45867</v>
      </c>
      <c r="C925" s="1" t="n">
        <v>46127</v>
      </c>
      <c r="D925" t="inlineStr">
        <is>
          <t>VÄSTERNORRLANDS LÄN</t>
        </is>
      </c>
      <c r="E925" t="inlineStr">
        <is>
          <t>ÅNGE</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37177-2025</t>
        </is>
      </c>
      <c r="B926" s="1" t="n">
        <v>45875.61539351852</v>
      </c>
      <c r="C926" s="1" t="n">
        <v>46127</v>
      </c>
      <c r="D926" t="inlineStr">
        <is>
          <t>VÄSTERNORRLANDS LÄN</t>
        </is>
      </c>
      <c r="E926" t="inlineStr">
        <is>
          <t>ÅNGE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51609-2023</t>
        </is>
      </c>
      <c r="B927" s="1" t="n">
        <v>45215</v>
      </c>
      <c r="C927" s="1" t="n">
        <v>46127</v>
      </c>
      <c r="D927" t="inlineStr">
        <is>
          <t>VÄSTERNORRLANDS LÄN</t>
        </is>
      </c>
      <c r="E927" t="inlineStr">
        <is>
          <t>ÅNGE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27661-2024</t>
        </is>
      </c>
      <c r="B928" s="1" t="n">
        <v>45474.95365740741</v>
      </c>
      <c r="C928" s="1" t="n">
        <v>46127</v>
      </c>
      <c r="D928" t="inlineStr">
        <is>
          <t>VÄSTERNORRLANDS LÄN</t>
        </is>
      </c>
      <c r="E928" t="inlineStr">
        <is>
          <t>ÅNGE</t>
        </is>
      </c>
      <c r="F928" t="inlineStr">
        <is>
          <t>SCA</t>
        </is>
      </c>
      <c r="G928" t="n">
        <v>19.1</v>
      </c>
      <c r="H928" t="n">
        <v>0</v>
      </c>
      <c r="I928" t="n">
        <v>0</v>
      </c>
      <c r="J928" t="n">
        <v>0</v>
      </c>
      <c r="K928" t="n">
        <v>0</v>
      </c>
      <c r="L928" t="n">
        <v>0</v>
      </c>
      <c r="M928" t="n">
        <v>0</v>
      </c>
      <c r="N928" t="n">
        <v>0</v>
      </c>
      <c r="O928" t="n">
        <v>0</v>
      </c>
      <c r="P928" t="n">
        <v>0</v>
      </c>
      <c r="Q928" t="n">
        <v>0</v>
      </c>
      <c r="R928" s="2" t="inlineStr"/>
    </row>
    <row r="929" ht="15" customHeight="1">
      <c r="A929" t="inlineStr">
        <is>
          <t>A 27668-2024</t>
        </is>
      </c>
      <c r="B929" s="1" t="n">
        <v>45474.95435185185</v>
      </c>
      <c r="C929" s="1" t="n">
        <v>46127</v>
      </c>
      <c r="D929" t="inlineStr">
        <is>
          <t>VÄSTERNORRLANDS LÄN</t>
        </is>
      </c>
      <c r="E929" t="inlineStr">
        <is>
          <t>ÅNGE</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12021-2022</t>
        </is>
      </c>
      <c r="B930" s="1" t="n">
        <v>44635</v>
      </c>
      <c r="C930" s="1" t="n">
        <v>46127</v>
      </c>
      <c r="D930" t="inlineStr">
        <is>
          <t>VÄSTERNORRLANDS LÄN</t>
        </is>
      </c>
      <c r="E930" t="inlineStr">
        <is>
          <t>ÅNGE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37275-2025</t>
        </is>
      </c>
      <c r="B931" s="1" t="n">
        <v>45876.49003472222</v>
      </c>
      <c r="C931" s="1" t="n">
        <v>46127</v>
      </c>
      <c r="D931" t="inlineStr">
        <is>
          <t>VÄSTERNORRLANDS LÄN</t>
        </is>
      </c>
      <c r="E931" t="inlineStr">
        <is>
          <t>ÅNGE</t>
        </is>
      </c>
      <c r="G931" t="n">
        <v>3.5</v>
      </c>
      <c r="H931" t="n">
        <v>0</v>
      </c>
      <c r="I931" t="n">
        <v>0</v>
      </c>
      <c r="J931" t="n">
        <v>0</v>
      </c>
      <c r="K931" t="n">
        <v>0</v>
      </c>
      <c r="L931" t="n">
        <v>0</v>
      </c>
      <c r="M931" t="n">
        <v>0</v>
      </c>
      <c r="N931" t="n">
        <v>0</v>
      </c>
      <c r="O931" t="n">
        <v>0</v>
      </c>
      <c r="P931" t="n">
        <v>0</v>
      </c>
      <c r="Q931" t="n">
        <v>0</v>
      </c>
      <c r="R931" s="2" t="inlineStr"/>
    </row>
    <row r="932" ht="15" customHeight="1">
      <c r="A932" t="inlineStr">
        <is>
          <t>A 37303-2025</t>
        </is>
      </c>
      <c r="B932" s="1" t="n">
        <v>45876.59445601852</v>
      </c>
      <c r="C932" s="1" t="n">
        <v>46127</v>
      </c>
      <c r="D932" t="inlineStr">
        <is>
          <t>VÄSTERNORRLANDS LÄN</t>
        </is>
      </c>
      <c r="E932" t="inlineStr">
        <is>
          <t>ÅNGE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53381-2025</t>
        </is>
      </c>
      <c r="B933" s="1" t="n">
        <v>45959.53690972222</v>
      </c>
      <c r="C933" s="1" t="n">
        <v>46127</v>
      </c>
      <c r="D933" t="inlineStr">
        <is>
          <t>VÄSTERNORRLANDS LÄN</t>
        </is>
      </c>
      <c r="E933" t="inlineStr">
        <is>
          <t>ÅNGE</t>
        </is>
      </c>
      <c r="G933" t="n">
        <v>9.6</v>
      </c>
      <c r="H933" t="n">
        <v>0</v>
      </c>
      <c r="I933" t="n">
        <v>0</v>
      </c>
      <c r="J933" t="n">
        <v>0</v>
      </c>
      <c r="K933" t="n">
        <v>0</v>
      </c>
      <c r="L933" t="n">
        <v>0</v>
      </c>
      <c r="M933" t="n">
        <v>0</v>
      </c>
      <c r="N933" t="n">
        <v>0</v>
      </c>
      <c r="O933" t="n">
        <v>0</v>
      </c>
      <c r="P933" t="n">
        <v>0</v>
      </c>
      <c r="Q933" t="n">
        <v>0</v>
      </c>
      <c r="R933" s="2" t="inlineStr"/>
    </row>
    <row r="934" ht="15" customHeight="1">
      <c r="A934" t="inlineStr">
        <is>
          <t>A 37233-2025</t>
        </is>
      </c>
      <c r="B934" s="1" t="n">
        <v>45876.34474537037</v>
      </c>
      <c r="C934" s="1" t="n">
        <v>46127</v>
      </c>
      <c r="D934" t="inlineStr">
        <is>
          <t>VÄSTERNORRLANDS LÄN</t>
        </is>
      </c>
      <c r="E934" t="inlineStr">
        <is>
          <t>ÅNGE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60278-2025</t>
        </is>
      </c>
      <c r="B935" s="1" t="n">
        <v>45994.63739583334</v>
      </c>
      <c r="C935" s="1" t="n">
        <v>46127</v>
      </c>
      <c r="D935" t="inlineStr">
        <is>
          <t>VÄSTERNORRLANDS LÄN</t>
        </is>
      </c>
      <c r="E935" t="inlineStr">
        <is>
          <t>ÅNGE</t>
        </is>
      </c>
      <c r="G935" t="n">
        <v>1.2</v>
      </c>
      <c r="H935" t="n">
        <v>0</v>
      </c>
      <c r="I935" t="n">
        <v>0</v>
      </c>
      <c r="J935" t="n">
        <v>0</v>
      </c>
      <c r="K935" t="n">
        <v>0</v>
      </c>
      <c r="L935" t="n">
        <v>0</v>
      </c>
      <c r="M935" t="n">
        <v>0</v>
      </c>
      <c r="N935" t="n">
        <v>0</v>
      </c>
      <c r="O935" t="n">
        <v>0</v>
      </c>
      <c r="P935" t="n">
        <v>0</v>
      </c>
      <c r="Q935" t="n">
        <v>0</v>
      </c>
      <c r="R935" s="2" t="inlineStr"/>
    </row>
    <row r="936" ht="15" customHeight="1">
      <c r="A936" t="inlineStr">
        <is>
          <t>A 37384-2025</t>
        </is>
      </c>
      <c r="B936" s="1" t="n">
        <v>45877.3859837963</v>
      </c>
      <c r="C936" s="1" t="n">
        <v>46127</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53012-2025</t>
        </is>
      </c>
      <c r="B937" s="1" t="n">
        <v>45957.80320601852</v>
      </c>
      <c r="C937" s="1" t="n">
        <v>46127</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53033-2025</t>
        </is>
      </c>
      <c r="B938" s="1" t="n">
        <v>45958.34479166667</v>
      </c>
      <c r="C938" s="1" t="n">
        <v>46127</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35399-2024</t>
        </is>
      </c>
      <c r="B939" s="1" t="n">
        <v>45531.40438657408</v>
      </c>
      <c r="C939" s="1" t="n">
        <v>46127</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53013-2025</t>
        </is>
      </c>
      <c r="B940" s="1" t="n">
        <v>45957.81732638889</v>
      </c>
      <c r="C940" s="1" t="n">
        <v>46127</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53221-2025</t>
        </is>
      </c>
      <c r="B941" s="1" t="n">
        <v>45958.60331018519</v>
      </c>
      <c r="C941" s="1" t="n">
        <v>46127</v>
      </c>
      <c r="D941" t="inlineStr">
        <is>
          <t>VÄSTERNORRLANDS LÄN</t>
        </is>
      </c>
      <c r="E941" t="inlineStr">
        <is>
          <t>ÅNGE</t>
        </is>
      </c>
      <c r="G941" t="n">
        <v>2.1</v>
      </c>
      <c r="H941" t="n">
        <v>0</v>
      </c>
      <c r="I941" t="n">
        <v>0</v>
      </c>
      <c r="J941" t="n">
        <v>0</v>
      </c>
      <c r="K941" t="n">
        <v>0</v>
      </c>
      <c r="L941" t="n">
        <v>0</v>
      </c>
      <c r="M941" t="n">
        <v>0</v>
      </c>
      <c r="N941" t="n">
        <v>0</v>
      </c>
      <c r="O941" t="n">
        <v>0</v>
      </c>
      <c r="P941" t="n">
        <v>0</v>
      </c>
      <c r="Q941" t="n">
        <v>0</v>
      </c>
      <c r="R941" s="2" t="inlineStr"/>
    </row>
    <row r="942" ht="15" customHeight="1">
      <c r="A942" t="inlineStr">
        <is>
          <t>A 37371-2025</t>
        </is>
      </c>
      <c r="B942" s="1" t="n">
        <v>45877.34472222222</v>
      </c>
      <c r="C942" s="1" t="n">
        <v>46127</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37383-2025</t>
        </is>
      </c>
      <c r="B943" s="1" t="n">
        <v>45877.38581018519</v>
      </c>
      <c r="C943" s="1" t="n">
        <v>46127</v>
      </c>
      <c r="D943" t="inlineStr">
        <is>
          <t>VÄSTERNORRLANDS LÄN</t>
        </is>
      </c>
      <c r="E943" t="inlineStr">
        <is>
          <t>ÅNGE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53999-2025</t>
        </is>
      </c>
      <c r="B944" s="1" t="n">
        <v>45961</v>
      </c>
      <c r="C944" s="1" t="n">
        <v>46127</v>
      </c>
      <c r="D944" t="inlineStr">
        <is>
          <t>VÄSTERNORRLANDS LÄN</t>
        </is>
      </c>
      <c r="E944" t="inlineStr">
        <is>
          <t>ÅNGE</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37719-2025</t>
        </is>
      </c>
      <c r="B945" s="1" t="n">
        <v>45880.61505787037</v>
      </c>
      <c r="C945" s="1" t="n">
        <v>46127</v>
      </c>
      <c r="D945" t="inlineStr">
        <is>
          <t>VÄSTERNORRLANDS LÄN</t>
        </is>
      </c>
      <c r="E945" t="inlineStr">
        <is>
          <t>ÅNGE</t>
        </is>
      </c>
      <c r="G945" t="n">
        <v>1.7</v>
      </c>
      <c r="H945" t="n">
        <v>0</v>
      </c>
      <c r="I945" t="n">
        <v>0</v>
      </c>
      <c r="J945" t="n">
        <v>0</v>
      </c>
      <c r="K945" t="n">
        <v>0</v>
      </c>
      <c r="L945" t="n">
        <v>0</v>
      </c>
      <c r="M945" t="n">
        <v>0</v>
      </c>
      <c r="N945" t="n">
        <v>0</v>
      </c>
      <c r="O945" t="n">
        <v>0</v>
      </c>
      <c r="P945" t="n">
        <v>0</v>
      </c>
      <c r="Q945" t="n">
        <v>0</v>
      </c>
      <c r="R945" s="2" t="inlineStr"/>
    </row>
    <row r="946" ht="15" customHeight="1">
      <c r="A946" t="inlineStr">
        <is>
          <t>A 53984-2025</t>
        </is>
      </c>
      <c r="B946" s="1" t="n">
        <v>45961.5734837963</v>
      </c>
      <c r="C946" s="1" t="n">
        <v>46127</v>
      </c>
      <c r="D946" t="inlineStr">
        <is>
          <t>VÄSTERNORRLANDS LÄN</t>
        </is>
      </c>
      <c r="E946" t="inlineStr">
        <is>
          <t>ÅNGE</t>
        </is>
      </c>
      <c r="F946" t="inlineStr">
        <is>
          <t>SCA</t>
        </is>
      </c>
      <c r="G946" t="n">
        <v>14.8</v>
      </c>
      <c r="H946" t="n">
        <v>0</v>
      </c>
      <c r="I946" t="n">
        <v>0</v>
      </c>
      <c r="J946" t="n">
        <v>0</v>
      </c>
      <c r="K946" t="n">
        <v>0</v>
      </c>
      <c r="L946" t="n">
        <v>0</v>
      </c>
      <c r="M946" t="n">
        <v>0</v>
      </c>
      <c r="N946" t="n">
        <v>0</v>
      </c>
      <c r="O946" t="n">
        <v>0</v>
      </c>
      <c r="P946" t="n">
        <v>0</v>
      </c>
      <c r="Q946" t="n">
        <v>0</v>
      </c>
      <c r="R946" s="2" t="inlineStr"/>
    </row>
    <row r="947" ht="15" customHeight="1">
      <c r="A947" t="inlineStr">
        <is>
          <t>A 60582-2025</t>
        </is>
      </c>
      <c r="B947" s="1" t="n">
        <v>45994</v>
      </c>
      <c r="C947" s="1" t="n">
        <v>46127</v>
      </c>
      <c r="D947" t="inlineStr">
        <is>
          <t>VÄSTERNORRLANDS LÄN</t>
        </is>
      </c>
      <c r="E947" t="inlineStr">
        <is>
          <t>ÅNGE</t>
        </is>
      </c>
      <c r="G947" t="n">
        <v>2.6</v>
      </c>
      <c r="H947" t="n">
        <v>0</v>
      </c>
      <c r="I947" t="n">
        <v>0</v>
      </c>
      <c r="J947" t="n">
        <v>0</v>
      </c>
      <c r="K947" t="n">
        <v>0</v>
      </c>
      <c r="L947" t="n">
        <v>0</v>
      </c>
      <c r="M947" t="n">
        <v>0</v>
      </c>
      <c r="N947" t="n">
        <v>0</v>
      </c>
      <c r="O947" t="n">
        <v>0</v>
      </c>
      <c r="P947" t="n">
        <v>0</v>
      </c>
      <c r="Q947" t="n">
        <v>0</v>
      </c>
      <c r="R947" s="2" t="inlineStr"/>
    </row>
    <row r="948" ht="15" customHeight="1">
      <c r="A948" t="inlineStr">
        <is>
          <t>A 60599-2025</t>
        </is>
      </c>
      <c r="B948" s="1" t="n">
        <v>45994</v>
      </c>
      <c r="C948" s="1" t="n">
        <v>46127</v>
      </c>
      <c r="D948" t="inlineStr">
        <is>
          <t>VÄSTERNORRLANDS LÄN</t>
        </is>
      </c>
      <c r="E948" t="inlineStr">
        <is>
          <t>ÅNGE</t>
        </is>
      </c>
      <c r="G948" t="n">
        <v>5</v>
      </c>
      <c r="H948" t="n">
        <v>0</v>
      </c>
      <c r="I948" t="n">
        <v>0</v>
      </c>
      <c r="J948" t="n">
        <v>0</v>
      </c>
      <c r="K948" t="n">
        <v>0</v>
      </c>
      <c r="L948" t="n">
        <v>0</v>
      </c>
      <c r="M948" t="n">
        <v>0</v>
      </c>
      <c r="N948" t="n">
        <v>0</v>
      </c>
      <c r="O948" t="n">
        <v>0</v>
      </c>
      <c r="P948" t="n">
        <v>0</v>
      </c>
      <c r="Q948" t="n">
        <v>0</v>
      </c>
      <c r="R948" s="2" t="inlineStr"/>
    </row>
    <row r="949" ht="15" customHeight="1">
      <c r="A949" t="inlineStr">
        <is>
          <t>A 37663-2025</t>
        </is>
      </c>
      <c r="B949" s="1" t="n">
        <v>45880.51079861111</v>
      </c>
      <c r="C949" s="1" t="n">
        <v>46127</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53985-2025</t>
        </is>
      </c>
      <c r="B950" s="1" t="n">
        <v>45961.57366898148</v>
      </c>
      <c r="C950" s="1" t="n">
        <v>46127</v>
      </c>
      <c r="D950" t="inlineStr">
        <is>
          <t>VÄSTERNORRLANDS LÄN</t>
        </is>
      </c>
      <c r="E950" t="inlineStr">
        <is>
          <t>ÅNGE</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37723-2025</t>
        </is>
      </c>
      <c r="B951" s="1" t="n">
        <v>45880.61528935185</v>
      </c>
      <c r="C951" s="1" t="n">
        <v>46127</v>
      </c>
      <c r="D951" t="inlineStr">
        <is>
          <t>VÄSTERNORRLANDS LÄN</t>
        </is>
      </c>
      <c r="E951" t="inlineStr">
        <is>
          <t>ÅNGE</t>
        </is>
      </c>
      <c r="G951" t="n">
        <v>3</v>
      </c>
      <c r="H951" t="n">
        <v>0</v>
      </c>
      <c r="I951" t="n">
        <v>0</v>
      </c>
      <c r="J951" t="n">
        <v>0</v>
      </c>
      <c r="K951" t="n">
        <v>0</v>
      </c>
      <c r="L951" t="n">
        <v>0</v>
      </c>
      <c r="M951" t="n">
        <v>0</v>
      </c>
      <c r="N951" t="n">
        <v>0</v>
      </c>
      <c r="O951" t="n">
        <v>0</v>
      </c>
      <c r="P951" t="n">
        <v>0</v>
      </c>
      <c r="Q951" t="n">
        <v>0</v>
      </c>
      <c r="R951" s="2" t="inlineStr"/>
    </row>
    <row r="952" ht="15" customHeight="1">
      <c r="A952" t="inlineStr">
        <is>
          <t>A 34726-2024</t>
        </is>
      </c>
      <c r="B952" s="1" t="n">
        <v>45526.5733912037</v>
      </c>
      <c r="C952" s="1" t="n">
        <v>46127</v>
      </c>
      <c r="D952" t="inlineStr">
        <is>
          <t>VÄSTERNORRLANDS LÄN</t>
        </is>
      </c>
      <c r="E952" t="inlineStr">
        <is>
          <t>ÅNGE</t>
        </is>
      </c>
      <c r="G952" t="n">
        <v>1.9</v>
      </c>
      <c r="H952" t="n">
        <v>0</v>
      </c>
      <c r="I952" t="n">
        <v>0</v>
      </c>
      <c r="J952" t="n">
        <v>0</v>
      </c>
      <c r="K952" t="n">
        <v>0</v>
      </c>
      <c r="L952" t="n">
        <v>0</v>
      </c>
      <c r="M952" t="n">
        <v>0</v>
      </c>
      <c r="N952" t="n">
        <v>0</v>
      </c>
      <c r="O952" t="n">
        <v>0</v>
      </c>
      <c r="P952" t="n">
        <v>0</v>
      </c>
      <c r="Q952" t="n">
        <v>0</v>
      </c>
      <c r="R952" s="2" t="inlineStr"/>
    </row>
    <row r="953" ht="15" customHeight="1">
      <c r="A953" t="inlineStr">
        <is>
          <t>A 60296-2025</t>
        </is>
      </c>
      <c r="B953" s="1" t="n">
        <v>45994.6568287037</v>
      </c>
      <c r="C953" s="1" t="n">
        <v>46127</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34815-2024</t>
        </is>
      </c>
      <c r="B954" s="1" t="n">
        <v>45526.70732638889</v>
      </c>
      <c r="C954" s="1" t="n">
        <v>46127</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53509-2025</t>
        </is>
      </c>
      <c r="B955" s="1" t="n">
        <v>45960.34506944445</v>
      </c>
      <c r="C955" s="1" t="n">
        <v>46127</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20110-2023</t>
        </is>
      </c>
      <c r="B956" s="1" t="n">
        <v>45051</v>
      </c>
      <c r="C956" s="1" t="n">
        <v>46127</v>
      </c>
      <c r="D956" t="inlineStr">
        <is>
          <t>VÄSTERNORRLANDS LÄN</t>
        </is>
      </c>
      <c r="E956" t="inlineStr">
        <is>
          <t>ÅNGE</t>
        </is>
      </c>
      <c r="G956" t="n">
        <v>2.5</v>
      </c>
      <c r="H956" t="n">
        <v>0</v>
      </c>
      <c r="I956" t="n">
        <v>0</v>
      </c>
      <c r="J956" t="n">
        <v>0</v>
      </c>
      <c r="K956" t="n">
        <v>0</v>
      </c>
      <c r="L956" t="n">
        <v>0</v>
      </c>
      <c r="M956" t="n">
        <v>0</v>
      </c>
      <c r="N956" t="n">
        <v>0</v>
      </c>
      <c r="O956" t="n">
        <v>0</v>
      </c>
      <c r="P956" t="n">
        <v>0</v>
      </c>
      <c r="Q956" t="n">
        <v>0</v>
      </c>
      <c r="R956" s="2" t="inlineStr"/>
    </row>
    <row r="957" ht="15" customHeight="1">
      <c r="A957" t="inlineStr">
        <is>
          <t>A 38078-2025</t>
        </is>
      </c>
      <c r="B957" s="1" t="n">
        <v>45882.46918981482</v>
      </c>
      <c r="C957" s="1" t="n">
        <v>46127</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3977-2025</t>
        </is>
      </c>
      <c r="B958" s="1" t="n">
        <v>45684</v>
      </c>
      <c r="C958" s="1" t="n">
        <v>46127</v>
      </c>
      <c r="D958" t="inlineStr">
        <is>
          <t>VÄSTERNORRLANDS LÄN</t>
        </is>
      </c>
      <c r="E958" t="inlineStr">
        <is>
          <t>ÅNGE</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53713-2025</t>
        </is>
      </c>
      <c r="B959" s="1" t="n">
        <v>45960.61568287037</v>
      </c>
      <c r="C959" s="1" t="n">
        <v>46127</v>
      </c>
      <c r="D959" t="inlineStr">
        <is>
          <t>VÄSTERNORRLANDS LÄN</t>
        </is>
      </c>
      <c r="E959" t="inlineStr">
        <is>
          <t>ÅNGE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38332-2025</t>
        </is>
      </c>
      <c r="B960" s="1" t="n">
        <v>45883.49151620371</v>
      </c>
      <c r="C960" s="1" t="n">
        <v>46127</v>
      </c>
      <c r="D960" t="inlineStr">
        <is>
          <t>VÄSTERNORRLANDS LÄN</t>
        </is>
      </c>
      <c r="E960" t="inlineStr">
        <is>
          <t>ÅNGE</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54346-2025</t>
        </is>
      </c>
      <c r="B961" s="1" t="n">
        <v>45965.36525462963</v>
      </c>
      <c r="C961" s="1" t="n">
        <v>46127</v>
      </c>
      <c r="D961" t="inlineStr">
        <is>
          <t>VÄSTERNORRLANDS LÄN</t>
        </is>
      </c>
      <c r="E961" t="inlineStr">
        <is>
          <t>ÅNGE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54357-2025</t>
        </is>
      </c>
      <c r="B962" s="1" t="n">
        <v>45965.3858912037</v>
      </c>
      <c r="C962" s="1" t="n">
        <v>46127</v>
      </c>
      <c r="D962" t="inlineStr">
        <is>
          <t>VÄSTERNORRLANDS LÄN</t>
        </is>
      </c>
      <c r="E962" t="inlineStr">
        <is>
          <t>ÅNGE</t>
        </is>
      </c>
      <c r="F962" t="inlineStr">
        <is>
          <t>SCA</t>
        </is>
      </c>
      <c r="G962" t="n">
        <v>5</v>
      </c>
      <c r="H962" t="n">
        <v>0</v>
      </c>
      <c r="I962" t="n">
        <v>0</v>
      </c>
      <c r="J962" t="n">
        <v>0</v>
      </c>
      <c r="K962" t="n">
        <v>0</v>
      </c>
      <c r="L962" t="n">
        <v>0</v>
      </c>
      <c r="M962" t="n">
        <v>0</v>
      </c>
      <c r="N962" t="n">
        <v>0</v>
      </c>
      <c r="O962" t="n">
        <v>0</v>
      </c>
      <c r="P962" t="n">
        <v>0</v>
      </c>
      <c r="Q962" t="n">
        <v>0</v>
      </c>
      <c r="R962" s="2" t="inlineStr"/>
    </row>
    <row r="963" ht="15" customHeight="1">
      <c r="A963" t="inlineStr">
        <is>
          <t>A 38386-2025</t>
        </is>
      </c>
      <c r="B963" s="1" t="n">
        <v>45883.57430555556</v>
      </c>
      <c r="C963" s="1" t="n">
        <v>46127</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31864-2024</t>
        </is>
      </c>
      <c r="B964" s="1" t="n">
        <v>45509.74791666667</v>
      </c>
      <c r="C964" s="1" t="n">
        <v>46127</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38283-2025</t>
        </is>
      </c>
      <c r="B965" s="1" t="n">
        <v>45883.42740740741</v>
      </c>
      <c r="C965" s="1" t="n">
        <v>46127</v>
      </c>
      <c r="D965" t="inlineStr">
        <is>
          <t>VÄSTERNORRLANDS LÄN</t>
        </is>
      </c>
      <c r="E965" t="inlineStr">
        <is>
          <t>ÅNGE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54197-2025</t>
        </is>
      </c>
      <c r="B966" s="1" t="n">
        <v>45964</v>
      </c>
      <c r="C966" s="1" t="n">
        <v>46127</v>
      </c>
      <c r="D966" t="inlineStr">
        <is>
          <t>VÄSTERNORRLANDS LÄN</t>
        </is>
      </c>
      <c r="E966" t="inlineStr">
        <is>
          <t>ÅNGE</t>
        </is>
      </c>
      <c r="G966" t="n">
        <v>0.6</v>
      </c>
      <c r="H966" t="n">
        <v>0</v>
      </c>
      <c r="I966" t="n">
        <v>0</v>
      </c>
      <c r="J966" t="n">
        <v>0</v>
      </c>
      <c r="K966" t="n">
        <v>0</v>
      </c>
      <c r="L966" t="n">
        <v>0</v>
      </c>
      <c r="M966" t="n">
        <v>0</v>
      </c>
      <c r="N966" t="n">
        <v>0</v>
      </c>
      <c r="O966" t="n">
        <v>0</v>
      </c>
      <c r="P966" t="n">
        <v>0</v>
      </c>
      <c r="Q966" t="n">
        <v>0</v>
      </c>
      <c r="R966" s="2" t="inlineStr"/>
    </row>
    <row r="967" ht="15" customHeight="1">
      <c r="A967" t="inlineStr">
        <is>
          <t>A 37919-2025</t>
        </is>
      </c>
      <c r="B967" s="1" t="n">
        <v>45881.57478009259</v>
      </c>
      <c r="C967" s="1" t="n">
        <v>46127</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53512-2023</t>
        </is>
      </c>
      <c r="B968" s="1" t="n">
        <v>45230</v>
      </c>
      <c r="C968" s="1" t="n">
        <v>46127</v>
      </c>
      <c r="D968" t="inlineStr">
        <is>
          <t>VÄSTERNORRLANDS LÄN</t>
        </is>
      </c>
      <c r="E968" t="inlineStr">
        <is>
          <t>ÅNGE</t>
        </is>
      </c>
      <c r="F968" t="inlineStr">
        <is>
          <t>Holmen skog AB</t>
        </is>
      </c>
      <c r="G968" t="n">
        <v>3</v>
      </c>
      <c r="H968" t="n">
        <v>0</v>
      </c>
      <c r="I968" t="n">
        <v>0</v>
      </c>
      <c r="J968" t="n">
        <v>0</v>
      </c>
      <c r="K968" t="n">
        <v>0</v>
      </c>
      <c r="L968" t="n">
        <v>0</v>
      </c>
      <c r="M968" t="n">
        <v>0</v>
      </c>
      <c r="N968" t="n">
        <v>0</v>
      </c>
      <c r="O968" t="n">
        <v>0</v>
      </c>
      <c r="P968" t="n">
        <v>0</v>
      </c>
      <c r="Q968" t="n">
        <v>0</v>
      </c>
      <c r="R968" s="2" t="inlineStr"/>
    </row>
    <row r="969" ht="15" customHeight="1">
      <c r="A969" t="inlineStr">
        <is>
          <t>A 37558-2023</t>
        </is>
      </c>
      <c r="B969" s="1" t="n">
        <v>45159.34511574074</v>
      </c>
      <c r="C969" s="1" t="n">
        <v>46127</v>
      </c>
      <c r="D969" t="inlineStr">
        <is>
          <t>VÄSTERNORRLANDS LÄN</t>
        </is>
      </c>
      <c r="E969" t="inlineStr">
        <is>
          <t>ÅNGE</t>
        </is>
      </c>
      <c r="F969" t="inlineStr">
        <is>
          <t>Kyrkan</t>
        </is>
      </c>
      <c r="G969" t="n">
        <v>5.6</v>
      </c>
      <c r="H969" t="n">
        <v>0</v>
      </c>
      <c r="I969" t="n">
        <v>0</v>
      </c>
      <c r="J969" t="n">
        <v>0</v>
      </c>
      <c r="K969" t="n">
        <v>0</v>
      </c>
      <c r="L969" t="n">
        <v>0</v>
      </c>
      <c r="M969" t="n">
        <v>0</v>
      </c>
      <c r="N969" t="n">
        <v>0</v>
      </c>
      <c r="O969" t="n">
        <v>0</v>
      </c>
      <c r="P969" t="n">
        <v>0</v>
      </c>
      <c r="Q969" t="n">
        <v>0</v>
      </c>
      <c r="R969" s="2" t="inlineStr"/>
    </row>
    <row r="970" ht="15" customHeight="1">
      <c r="A970" t="inlineStr">
        <is>
          <t>A 37802-2025</t>
        </is>
      </c>
      <c r="B970" s="1" t="n">
        <v>45881.34447916667</v>
      </c>
      <c r="C970" s="1" t="n">
        <v>46127</v>
      </c>
      <c r="D970" t="inlineStr">
        <is>
          <t>VÄSTERNORRLANDS LÄN</t>
        </is>
      </c>
      <c r="E970" t="inlineStr">
        <is>
          <t>ÅNGE</t>
        </is>
      </c>
      <c r="F970" t="inlineStr">
        <is>
          <t>SCA</t>
        </is>
      </c>
      <c r="G970" t="n">
        <v>4.2</v>
      </c>
      <c r="H970" t="n">
        <v>0</v>
      </c>
      <c r="I970" t="n">
        <v>0</v>
      </c>
      <c r="J970" t="n">
        <v>0</v>
      </c>
      <c r="K970" t="n">
        <v>0</v>
      </c>
      <c r="L970" t="n">
        <v>0</v>
      </c>
      <c r="M970" t="n">
        <v>0</v>
      </c>
      <c r="N970" t="n">
        <v>0</v>
      </c>
      <c r="O970" t="n">
        <v>0</v>
      </c>
      <c r="P970" t="n">
        <v>0</v>
      </c>
      <c r="Q970" t="n">
        <v>0</v>
      </c>
      <c r="R970" s="2" t="inlineStr"/>
    </row>
    <row r="971" ht="15" customHeight="1">
      <c r="A971" t="inlineStr">
        <is>
          <t>A 38273-2025</t>
        </is>
      </c>
      <c r="B971" s="1" t="n">
        <v>45883.40740740741</v>
      </c>
      <c r="C971" s="1" t="n">
        <v>46127</v>
      </c>
      <c r="D971" t="inlineStr">
        <is>
          <t>VÄSTERNORRLANDS LÄN</t>
        </is>
      </c>
      <c r="E971" t="inlineStr">
        <is>
          <t>ÅNGE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58774-2023</t>
        </is>
      </c>
      <c r="B972" s="1" t="n">
        <v>45251</v>
      </c>
      <c r="C972" s="1" t="n">
        <v>46127</v>
      </c>
      <c r="D972" t="inlineStr">
        <is>
          <t>VÄSTERNORRLANDS LÄN</t>
        </is>
      </c>
      <c r="E972" t="inlineStr">
        <is>
          <t>ÅNGE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21089-2024</t>
        </is>
      </c>
      <c r="B973" s="1" t="n">
        <v>45439.94987268518</v>
      </c>
      <c r="C973" s="1" t="n">
        <v>46127</v>
      </c>
      <c r="D973" t="inlineStr">
        <is>
          <t>VÄSTERNORRLANDS LÄN</t>
        </is>
      </c>
      <c r="E973" t="inlineStr">
        <is>
          <t>ÅNGE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21151-2024</t>
        </is>
      </c>
      <c r="B974" s="1" t="n">
        <v>45440</v>
      </c>
      <c r="C974" s="1" t="n">
        <v>46127</v>
      </c>
      <c r="D974" t="inlineStr">
        <is>
          <t>VÄSTERNORRLANDS LÄN</t>
        </is>
      </c>
      <c r="E974" t="inlineStr">
        <is>
          <t>ÅNGE</t>
        </is>
      </c>
      <c r="G974" t="n">
        <v>3.7</v>
      </c>
      <c r="H974" t="n">
        <v>0</v>
      </c>
      <c r="I974" t="n">
        <v>0</v>
      </c>
      <c r="J974" t="n">
        <v>0</v>
      </c>
      <c r="K974" t="n">
        <v>0</v>
      </c>
      <c r="L974" t="n">
        <v>0</v>
      </c>
      <c r="M974" t="n">
        <v>0</v>
      </c>
      <c r="N974" t="n">
        <v>0</v>
      </c>
      <c r="O974" t="n">
        <v>0</v>
      </c>
      <c r="P974" t="n">
        <v>0</v>
      </c>
      <c r="Q974" t="n">
        <v>0</v>
      </c>
      <c r="R974" s="2" t="inlineStr"/>
    </row>
    <row r="975" ht="15" customHeight="1">
      <c r="A975" t="inlineStr">
        <is>
          <t>A 54707-2025</t>
        </is>
      </c>
      <c r="B975" s="1" t="n">
        <v>45966</v>
      </c>
      <c r="C975" s="1" t="n">
        <v>46127</v>
      </c>
      <c r="D975" t="inlineStr">
        <is>
          <t>VÄSTERNORRLANDS LÄN</t>
        </is>
      </c>
      <c r="E975" t="inlineStr">
        <is>
          <t>ÅNGE</t>
        </is>
      </c>
      <c r="G975" t="n">
        <v>3.2</v>
      </c>
      <c r="H975" t="n">
        <v>0</v>
      </c>
      <c r="I975" t="n">
        <v>0</v>
      </c>
      <c r="J975" t="n">
        <v>0</v>
      </c>
      <c r="K975" t="n">
        <v>0</v>
      </c>
      <c r="L975" t="n">
        <v>0</v>
      </c>
      <c r="M975" t="n">
        <v>0</v>
      </c>
      <c r="N975" t="n">
        <v>0</v>
      </c>
      <c r="O975" t="n">
        <v>0</v>
      </c>
      <c r="P975" t="n">
        <v>0</v>
      </c>
      <c r="Q975" t="n">
        <v>0</v>
      </c>
      <c r="R975" s="2" t="inlineStr"/>
    </row>
    <row r="976" ht="15" customHeight="1">
      <c r="A976" t="inlineStr">
        <is>
          <t>A 54710-2025</t>
        </is>
      </c>
      <c r="B976" s="1" t="n">
        <v>45966.49515046296</v>
      </c>
      <c r="C976" s="1" t="n">
        <v>46127</v>
      </c>
      <c r="D976" t="inlineStr">
        <is>
          <t>VÄSTERNORRLANDS LÄN</t>
        </is>
      </c>
      <c r="E976" t="inlineStr">
        <is>
          <t>ÅNGE</t>
        </is>
      </c>
      <c r="G976" t="n">
        <v>1.7</v>
      </c>
      <c r="H976" t="n">
        <v>0</v>
      </c>
      <c r="I976" t="n">
        <v>0</v>
      </c>
      <c r="J976" t="n">
        <v>0</v>
      </c>
      <c r="K976" t="n">
        <v>0</v>
      </c>
      <c r="L976" t="n">
        <v>0</v>
      </c>
      <c r="M976" t="n">
        <v>0</v>
      </c>
      <c r="N976" t="n">
        <v>0</v>
      </c>
      <c r="O976" t="n">
        <v>0</v>
      </c>
      <c r="P976" t="n">
        <v>0</v>
      </c>
      <c r="Q976" t="n">
        <v>0</v>
      </c>
      <c r="R976" s="2" t="inlineStr"/>
    </row>
    <row r="977" ht="15" customHeight="1">
      <c r="A977" t="inlineStr">
        <is>
          <t>A 17923-2025</t>
        </is>
      </c>
      <c r="B977" s="1" t="n">
        <v>45759.34415509259</v>
      </c>
      <c r="C977" s="1" t="n">
        <v>46127</v>
      </c>
      <c r="D977" t="inlineStr">
        <is>
          <t>VÄSTERNORRLANDS LÄN</t>
        </is>
      </c>
      <c r="E977" t="inlineStr">
        <is>
          <t>ÅNGE</t>
        </is>
      </c>
      <c r="F977" t="inlineStr">
        <is>
          <t>SCA</t>
        </is>
      </c>
      <c r="G977" t="n">
        <v>9.6</v>
      </c>
      <c r="H977" t="n">
        <v>0</v>
      </c>
      <c r="I977" t="n">
        <v>0</v>
      </c>
      <c r="J977" t="n">
        <v>0</v>
      </c>
      <c r="K977" t="n">
        <v>0</v>
      </c>
      <c r="L977" t="n">
        <v>0</v>
      </c>
      <c r="M977" t="n">
        <v>0</v>
      </c>
      <c r="N977" t="n">
        <v>0</v>
      </c>
      <c r="O977" t="n">
        <v>0</v>
      </c>
      <c r="P977" t="n">
        <v>0</v>
      </c>
      <c r="Q977" t="n">
        <v>0</v>
      </c>
      <c r="R977" s="2" t="inlineStr"/>
    </row>
    <row r="978" ht="15" customHeight="1">
      <c r="A978" t="inlineStr">
        <is>
          <t>A 54819-2025</t>
        </is>
      </c>
      <c r="B978" s="1" t="n">
        <v>45966.65709490741</v>
      </c>
      <c r="C978" s="1" t="n">
        <v>46127</v>
      </c>
      <c r="D978" t="inlineStr">
        <is>
          <t>VÄSTERNORRLANDS LÄN</t>
        </is>
      </c>
      <c r="E978" t="inlineStr">
        <is>
          <t>ÅNGE</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13164-2022</t>
        </is>
      </c>
      <c r="B979" s="1" t="n">
        <v>44644</v>
      </c>
      <c r="C979" s="1" t="n">
        <v>46127</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54713-2025</t>
        </is>
      </c>
      <c r="B980" s="1" t="n">
        <v>45966.50446759259</v>
      </c>
      <c r="C980" s="1" t="n">
        <v>46127</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55038-2025</t>
        </is>
      </c>
      <c r="B981" s="1" t="n">
        <v>45967.65527777778</v>
      </c>
      <c r="C981" s="1" t="n">
        <v>46127</v>
      </c>
      <c r="D981" t="inlineStr">
        <is>
          <t>VÄSTERNORRLANDS LÄN</t>
        </is>
      </c>
      <c r="E981" t="inlineStr">
        <is>
          <t>ÅNGE</t>
        </is>
      </c>
      <c r="G981" t="n">
        <v>4.5</v>
      </c>
      <c r="H981" t="n">
        <v>0</v>
      </c>
      <c r="I981" t="n">
        <v>0</v>
      </c>
      <c r="J981" t="n">
        <v>0</v>
      </c>
      <c r="K981" t="n">
        <v>0</v>
      </c>
      <c r="L981" t="n">
        <v>0</v>
      </c>
      <c r="M981" t="n">
        <v>0</v>
      </c>
      <c r="N981" t="n">
        <v>0</v>
      </c>
      <c r="O981" t="n">
        <v>0</v>
      </c>
      <c r="P981" t="n">
        <v>0</v>
      </c>
      <c r="Q981" t="n">
        <v>0</v>
      </c>
      <c r="R981" s="2" t="inlineStr"/>
    </row>
    <row r="982" ht="15" customHeight="1">
      <c r="A982" t="inlineStr">
        <is>
          <t>A 55045-2025</t>
        </is>
      </c>
      <c r="B982" s="1" t="n">
        <v>45967.66068287037</v>
      </c>
      <c r="C982" s="1" t="n">
        <v>46127</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54925-2025</t>
        </is>
      </c>
      <c r="B983" s="1" t="n">
        <v>45967.40699074074</v>
      </c>
      <c r="C983" s="1" t="n">
        <v>46127</v>
      </c>
      <c r="D983" t="inlineStr">
        <is>
          <t>VÄSTERNORRLANDS LÄN</t>
        </is>
      </c>
      <c r="E983" t="inlineStr">
        <is>
          <t>ÅNGE</t>
        </is>
      </c>
      <c r="G983" t="n">
        <v>2.6</v>
      </c>
      <c r="H983" t="n">
        <v>0</v>
      </c>
      <c r="I983" t="n">
        <v>0</v>
      </c>
      <c r="J983" t="n">
        <v>0</v>
      </c>
      <c r="K983" t="n">
        <v>0</v>
      </c>
      <c r="L983" t="n">
        <v>0</v>
      </c>
      <c r="M983" t="n">
        <v>0</v>
      </c>
      <c r="N983" t="n">
        <v>0</v>
      </c>
      <c r="O983" t="n">
        <v>0</v>
      </c>
      <c r="P983" t="n">
        <v>0</v>
      </c>
      <c r="Q983" t="n">
        <v>0</v>
      </c>
      <c r="R983" s="2" t="inlineStr"/>
    </row>
    <row r="984" ht="15" customHeight="1">
      <c r="A984" t="inlineStr">
        <is>
          <t>A 54926-2025</t>
        </is>
      </c>
      <c r="B984" s="1" t="n">
        <v>45967.40707175926</v>
      </c>
      <c r="C984" s="1" t="n">
        <v>46127</v>
      </c>
      <c r="D984" t="inlineStr">
        <is>
          <t>VÄSTERNORRLANDS LÄN</t>
        </is>
      </c>
      <c r="E984" t="inlineStr">
        <is>
          <t>ÅNGE</t>
        </is>
      </c>
      <c r="G984" t="n">
        <v>3.1</v>
      </c>
      <c r="H984" t="n">
        <v>0</v>
      </c>
      <c r="I984" t="n">
        <v>0</v>
      </c>
      <c r="J984" t="n">
        <v>0</v>
      </c>
      <c r="K984" t="n">
        <v>0</v>
      </c>
      <c r="L984" t="n">
        <v>0</v>
      </c>
      <c r="M984" t="n">
        <v>0</v>
      </c>
      <c r="N984" t="n">
        <v>0</v>
      </c>
      <c r="O984" t="n">
        <v>0</v>
      </c>
      <c r="P984" t="n">
        <v>0</v>
      </c>
      <c r="Q984" t="n">
        <v>0</v>
      </c>
      <c r="R984" s="2" t="inlineStr"/>
    </row>
    <row r="985" ht="15" customHeight="1">
      <c r="A985" t="inlineStr">
        <is>
          <t>A 54715-2025</t>
        </is>
      </c>
      <c r="B985" s="1" t="n">
        <v>45966.50961805556</v>
      </c>
      <c r="C985" s="1" t="n">
        <v>46127</v>
      </c>
      <c r="D985" t="inlineStr">
        <is>
          <t>VÄSTERNORRLANDS LÄN</t>
        </is>
      </c>
      <c r="E985" t="inlineStr">
        <is>
          <t>ÅNGE</t>
        </is>
      </c>
      <c r="G985" t="n">
        <v>0.6</v>
      </c>
      <c r="H985" t="n">
        <v>0</v>
      </c>
      <c r="I985" t="n">
        <v>0</v>
      </c>
      <c r="J985" t="n">
        <v>0</v>
      </c>
      <c r="K985" t="n">
        <v>0</v>
      </c>
      <c r="L985" t="n">
        <v>0</v>
      </c>
      <c r="M985" t="n">
        <v>0</v>
      </c>
      <c r="N985" t="n">
        <v>0</v>
      </c>
      <c r="O985" t="n">
        <v>0</v>
      </c>
      <c r="P985" t="n">
        <v>0</v>
      </c>
      <c r="Q985" t="n">
        <v>0</v>
      </c>
      <c r="R985" s="2" t="inlineStr"/>
    </row>
    <row r="986" ht="15" customHeight="1">
      <c r="A986" t="inlineStr">
        <is>
          <t>A 54680-2025</t>
        </is>
      </c>
      <c r="B986" s="1" t="n">
        <v>45966.42751157407</v>
      </c>
      <c r="C986" s="1" t="n">
        <v>46127</v>
      </c>
      <c r="D986" t="inlineStr">
        <is>
          <t>VÄSTERNORRLANDS LÄN</t>
        </is>
      </c>
      <c r="E986" t="inlineStr">
        <is>
          <t>ÅNGE</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54702-2025</t>
        </is>
      </c>
      <c r="B987" s="1" t="n">
        <v>45966.4828587963</v>
      </c>
      <c r="C987" s="1" t="n">
        <v>46127</v>
      </c>
      <c r="D987" t="inlineStr">
        <is>
          <t>VÄSTERNORRLANDS LÄN</t>
        </is>
      </c>
      <c r="E987" t="inlineStr">
        <is>
          <t>ÅNGE</t>
        </is>
      </c>
      <c r="G987" t="n">
        <v>12.3</v>
      </c>
      <c r="H987" t="n">
        <v>0</v>
      </c>
      <c r="I987" t="n">
        <v>0</v>
      </c>
      <c r="J987" t="n">
        <v>0</v>
      </c>
      <c r="K987" t="n">
        <v>0</v>
      </c>
      <c r="L987" t="n">
        <v>0</v>
      </c>
      <c r="M987" t="n">
        <v>0</v>
      </c>
      <c r="N987" t="n">
        <v>0</v>
      </c>
      <c r="O987" t="n">
        <v>0</v>
      </c>
      <c r="P987" t="n">
        <v>0</v>
      </c>
      <c r="Q987" t="n">
        <v>0</v>
      </c>
      <c r="R987" s="2" t="inlineStr"/>
    </row>
    <row r="988" ht="15" customHeight="1">
      <c r="A988" t="inlineStr">
        <is>
          <t>A 20231-2022</t>
        </is>
      </c>
      <c r="B988" s="1" t="n">
        <v>44698</v>
      </c>
      <c r="C988" s="1" t="n">
        <v>46127</v>
      </c>
      <c r="D988" t="inlineStr">
        <is>
          <t>VÄSTERNORRLANDS LÄN</t>
        </is>
      </c>
      <c r="E988" t="inlineStr">
        <is>
          <t>ÅNGE</t>
        </is>
      </c>
      <c r="G988" t="n">
        <v>4.2</v>
      </c>
      <c r="H988" t="n">
        <v>0</v>
      </c>
      <c r="I988" t="n">
        <v>0</v>
      </c>
      <c r="J988" t="n">
        <v>0</v>
      </c>
      <c r="K988" t="n">
        <v>0</v>
      </c>
      <c r="L988" t="n">
        <v>0</v>
      </c>
      <c r="M988" t="n">
        <v>0</v>
      </c>
      <c r="N988" t="n">
        <v>0</v>
      </c>
      <c r="O988" t="n">
        <v>0</v>
      </c>
      <c r="P988" t="n">
        <v>0</v>
      </c>
      <c r="Q988" t="n">
        <v>0</v>
      </c>
      <c r="R988" s="2" t="inlineStr"/>
    </row>
    <row r="989" ht="15" customHeight="1">
      <c r="A989" t="inlineStr">
        <is>
          <t>A 54705-2025</t>
        </is>
      </c>
      <c r="B989" s="1" t="n">
        <v>45966.4853125</v>
      </c>
      <c r="C989" s="1" t="n">
        <v>46127</v>
      </c>
      <c r="D989" t="inlineStr">
        <is>
          <t>VÄSTERNORRLANDS LÄN</t>
        </is>
      </c>
      <c r="E989" t="inlineStr">
        <is>
          <t>ÅNGE</t>
        </is>
      </c>
      <c r="G989" t="n">
        <v>4.5</v>
      </c>
      <c r="H989" t="n">
        <v>0</v>
      </c>
      <c r="I989" t="n">
        <v>0</v>
      </c>
      <c r="J989" t="n">
        <v>0</v>
      </c>
      <c r="K989" t="n">
        <v>0</v>
      </c>
      <c r="L989" t="n">
        <v>0</v>
      </c>
      <c r="M989" t="n">
        <v>0</v>
      </c>
      <c r="N989" t="n">
        <v>0</v>
      </c>
      <c r="O989" t="n">
        <v>0</v>
      </c>
      <c r="P989" t="n">
        <v>0</v>
      </c>
      <c r="Q989" t="n">
        <v>0</v>
      </c>
      <c r="R989" s="2" t="inlineStr"/>
    </row>
    <row r="990" ht="15" customHeight="1">
      <c r="A990" t="inlineStr">
        <is>
          <t>A 60363-2024</t>
        </is>
      </c>
      <c r="B990" s="1" t="n">
        <v>45643</v>
      </c>
      <c r="C990" s="1" t="n">
        <v>46127</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15369-2024</t>
        </is>
      </c>
      <c r="B991" s="1" t="n">
        <v>45400.92290509259</v>
      </c>
      <c r="C991" s="1" t="n">
        <v>46127</v>
      </c>
      <c r="D991" t="inlineStr">
        <is>
          <t>VÄSTERNORRLANDS LÄN</t>
        </is>
      </c>
      <c r="E991" t="inlineStr">
        <is>
          <t>ÅNGE</t>
        </is>
      </c>
      <c r="G991" t="n">
        <v>0.4</v>
      </c>
      <c r="H991" t="n">
        <v>0</v>
      </c>
      <c r="I991" t="n">
        <v>0</v>
      </c>
      <c r="J991" t="n">
        <v>0</v>
      </c>
      <c r="K991" t="n">
        <v>0</v>
      </c>
      <c r="L991" t="n">
        <v>0</v>
      </c>
      <c r="M991" t="n">
        <v>0</v>
      </c>
      <c r="N991" t="n">
        <v>0</v>
      </c>
      <c r="O991" t="n">
        <v>0</v>
      </c>
      <c r="P991" t="n">
        <v>0</v>
      </c>
      <c r="Q991" t="n">
        <v>0</v>
      </c>
      <c r="R991" s="2" t="inlineStr"/>
    </row>
    <row r="992" ht="15" customHeight="1">
      <c r="A992" t="inlineStr">
        <is>
          <t>A 55049-2025</t>
        </is>
      </c>
      <c r="B992" s="1" t="n">
        <v>45967.66614583333</v>
      </c>
      <c r="C992" s="1" t="n">
        <v>46127</v>
      </c>
      <c r="D992" t="inlineStr">
        <is>
          <t>VÄSTERNORRLANDS LÄN</t>
        </is>
      </c>
      <c r="E992" t="inlineStr">
        <is>
          <t>ÅNGE</t>
        </is>
      </c>
      <c r="G992" t="n">
        <v>2.4</v>
      </c>
      <c r="H992" t="n">
        <v>0</v>
      </c>
      <c r="I992" t="n">
        <v>0</v>
      </c>
      <c r="J992" t="n">
        <v>0</v>
      </c>
      <c r="K992" t="n">
        <v>0</v>
      </c>
      <c r="L992" t="n">
        <v>0</v>
      </c>
      <c r="M992" t="n">
        <v>0</v>
      </c>
      <c r="N992" t="n">
        <v>0</v>
      </c>
      <c r="O992" t="n">
        <v>0</v>
      </c>
      <c r="P992" t="n">
        <v>0</v>
      </c>
      <c r="Q992" t="n">
        <v>0</v>
      </c>
      <c r="R992" s="2" t="inlineStr"/>
    </row>
    <row r="993" ht="15" customHeight="1">
      <c r="A993" t="inlineStr">
        <is>
          <t>A 26010-2024</t>
        </is>
      </c>
      <c r="B993" s="1" t="n">
        <v>45467.95819444444</v>
      </c>
      <c r="C993" s="1" t="n">
        <v>46127</v>
      </c>
      <c r="D993" t="inlineStr">
        <is>
          <t>VÄSTERNORRLANDS LÄN</t>
        </is>
      </c>
      <c r="E993" t="inlineStr">
        <is>
          <t>ÅNGE</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52785-2024</t>
        </is>
      </c>
      <c r="B994" s="1" t="n">
        <v>45610.55273148148</v>
      </c>
      <c r="C994" s="1" t="n">
        <v>46127</v>
      </c>
      <c r="D994" t="inlineStr">
        <is>
          <t>VÄSTERNORRLANDS LÄN</t>
        </is>
      </c>
      <c r="E994" t="inlineStr">
        <is>
          <t>ÅNGE</t>
        </is>
      </c>
      <c r="F994" t="inlineStr">
        <is>
          <t>SCA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52786-2024</t>
        </is>
      </c>
      <c r="B995" s="1" t="n">
        <v>45610.55283564814</v>
      </c>
      <c r="C995" s="1" t="n">
        <v>46127</v>
      </c>
      <c r="D995" t="inlineStr">
        <is>
          <t>VÄSTERNORRLANDS LÄN</t>
        </is>
      </c>
      <c r="E995" t="inlineStr">
        <is>
          <t>ÅNGE</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46254-2023</t>
        </is>
      </c>
      <c r="B996" s="1" t="n">
        <v>45196</v>
      </c>
      <c r="C996" s="1" t="n">
        <v>46127</v>
      </c>
      <c r="D996" t="inlineStr">
        <is>
          <t>VÄSTERNORRLANDS LÄN</t>
        </is>
      </c>
      <c r="E996" t="inlineStr">
        <is>
          <t>ÅNGE</t>
        </is>
      </c>
      <c r="F996" t="inlineStr">
        <is>
          <t>SCA</t>
        </is>
      </c>
      <c r="G996" t="n">
        <v>0.1</v>
      </c>
      <c r="H996" t="n">
        <v>0</v>
      </c>
      <c r="I996" t="n">
        <v>0</v>
      </c>
      <c r="J996" t="n">
        <v>0</v>
      </c>
      <c r="K996" t="n">
        <v>0</v>
      </c>
      <c r="L996" t="n">
        <v>0</v>
      </c>
      <c r="M996" t="n">
        <v>0</v>
      </c>
      <c r="N996" t="n">
        <v>0</v>
      </c>
      <c r="O996" t="n">
        <v>0</v>
      </c>
      <c r="P996" t="n">
        <v>0</v>
      </c>
      <c r="Q996" t="n">
        <v>0</v>
      </c>
      <c r="R996" s="2" t="inlineStr"/>
    </row>
    <row r="997" ht="15" customHeight="1">
      <c r="A997" t="inlineStr">
        <is>
          <t>A 46262-2023</t>
        </is>
      </c>
      <c r="B997" s="1" t="n">
        <v>45196.93855324074</v>
      </c>
      <c r="C997" s="1" t="n">
        <v>46127</v>
      </c>
      <c r="D997" t="inlineStr">
        <is>
          <t>VÄSTERNORRLANDS LÄN</t>
        </is>
      </c>
      <c r="E997" t="inlineStr">
        <is>
          <t>ÅNGE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55160-2025</t>
        </is>
      </c>
      <c r="B998" s="1" t="n">
        <v>45968.46930555555</v>
      </c>
      <c r="C998" s="1" t="n">
        <v>46127</v>
      </c>
      <c r="D998" t="inlineStr">
        <is>
          <t>VÄSTERNORRLANDS LÄN</t>
        </is>
      </c>
      <c r="E998" t="inlineStr">
        <is>
          <t>ÅNGE</t>
        </is>
      </c>
      <c r="G998" t="n">
        <v>6.8</v>
      </c>
      <c r="H998" t="n">
        <v>0</v>
      </c>
      <c r="I998" t="n">
        <v>0</v>
      </c>
      <c r="J998" t="n">
        <v>0</v>
      </c>
      <c r="K998" t="n">
        <v>0</v>
      </c>
      <c r="L998" t="n">
        <v>0</v>
      </c>
      <c r="M998" t="n">
        <v>0</v>
      </c>
      <c r="N998" t="n">
        <v>0</v>
      </c>
      <c r="O998" t="n">
        <v>0</v>
      </c>
      <c r="P998" t="n">
        <v>0</v>
      </c>
      <c r="Q998" t="n">
        <v>0</v>
      </c>
      <c r="R998" s="2" t="inlineStr"/>
    </row>
    <row r="999" ht="15" customHeight="1">
      <c r="A999" t="inlineStr">
        <is>
          <t>A 48725-2024</t>
        </is>
      </c>
      <c r="B999" s="1" t="n">
        <v>45593.55793981482</v>
      </c>
      <c r="C999" s="1" t="n">
        <v>46127</v>
      </c>
      <c r="D999" t="inlineStr">
        <is>
          <t>VÄSTERNORRLANDS LÄN</t>
        </is>
      </c>
      <c r="E999" t="inlineStr">
        <is>
          <t>ÅNGE</t>
        </is>
      </c>
      <c r="G999" t="n">
        <v>1.4</v>
      </c>
      <c r="H999" t="n">
        <v>0</v>
      </c>
      <c r="I999" t="n">
        <v>0</v>
      </c>
      <c r="J999" t="n">
        <v>0</v>
      </c>
      <c r="K999" t="n">
        <v>0</v>
      </c>
      <c r="L999" t="n">
        <v>0</v>
      </c>
      <c r="M999" t="n">
        <v>0</v>
      </c>
      <c r="N999" t="n">
        <v>0</v>
      </c>
      <c r="O999" t="n">
        <v>0</v>
      </c>
      <c r="P999" t="n">
        <v>0</v>
      </c>
      <c r="Q999" t="n">
        <v>0</v>
      </c>
      <c r="R999" s="2" t="inlineStr"/>
    </row>
    <row r="1000" ht="15" customHeight="1">
      <c r="A1000" t="inlineStr">
        <is>
          <t>A 60864-2025</t>
        </is>
      </c>
      <c r="B1000" s="1" t="n">
        <v>45999.53170138889</v>
      </c>
      <c r="C1000" s="1" t="n">
        <v>46127</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61500-2025</t>
        </is>
      </c>
      <c r="B1001" s="1" t="n">
        <v>46001.65667824074</v>
      </c>
      <c r="C1001" s="1" t="n">
        <v>46127</v>
      </c>
      <c r="D1001" t="inlineStr">
        <is>
          <t>VÄSTERNORRLANDS LÄN</t>
        </is>
      </c>
      <c r="E1001" t="inlineStr">
        <is>
          <t>ÅNGE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61075-2025</t>
        </is>
      </c>
      <c r="B1002" s="1" t="n">
        <v>46000.3959837963</v>
      </c>
      <c r="C1002" s="1" t="n">
        <v>46127</v>
      </c>
      <c r="D1002" t="inlineStr">
        <is>
          <t>VÄSTERNORRLANDS LÄN</t>
        </is>
      </c>
      <c r="E1002" t="inlineStr">
        <is>
          <t>ÅNGE</t>
        </is>
      </c>
      <c r="F1002" t="inlineStr">
        <is>
          <t>Holmen skog AB</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39619-2024</t>
        </is>
      </c>
      <c r="B1003" s="1" t="n">
        <v>45552</v>
      </c>
      <c r="C1003" s="1" t="n">
        <v>46127</v>
      </c>
      <c r="D1003" t="inlineStr">
        <is>
          <t>VÄSTERNORRLANDS LÄN</t>
        </is>
      </c>
      <c r="E1003" t="inlineStr">
        <is>
          <t>ÅNGE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37051-2021</t>
        </is>
      </c>
      <c r="B1004" s="1" t="n">
        <v>44393</v>
      </c>
      <c r="C1004" s="1" t="n">
        <v>46127</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20716-2025</t>
        </is>
      </c>
      <c r="B1005" s="1" t="n">
        <v>45776.49026620371</v>
      </c>
      <c r="C1005" s="1" t="n">
        <v>46127</v>
      </c>
      <c r="D1005" t="inlineStr">
        <is>
          <t>VÄSTERNORRLANDS LÄN</t>
        </is>
      </c>
      <c r="E1005" t="inlineStr">
        <is>
          <t>ÅNGE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5613-2024</t>
        </is>
      </c>
      <c r="B1006" s="1" t="n">
        <v>45334</v>
      </c>
      <c r="C1006" s="1" t="n">
        <v>46127</v>
      </c>
      <c r="D1006" t="inlineStr">
        <is>
          <t>VÄSTERNORRLANDS LÄN</t>
        </is>
      </c>
      <c r="E1006" t="inlineStr">
        <is>
          <t>ÅNGE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61928-2021</t>
        </is>
      </c>
      <c r="B1007" s="1" t="n">
        <v>44502.38475694445</v>
      </c>
      <c r="C1007" s="1" t="n">
        <v>46127</v>
      </c>
      <c r="D1007" t="inlineStr">
        <is>
          <t>VÄSTERNORRLANDS LÄN</t>
        </is>
      </c>
      <c r="E1007" t="inlineStr">
        <is>
          <t>ÅNGE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61203-2025</t>
        </is>
      </c>
      <c r="B1008" s="1" t="n">
        <v>46000.61237268519</v>
      </c>
      <c r="C1008" s="1" t="n">
        <v>46127</v>
      </c>
      <c r="D1008" t="inlineStr">
        <is>
          <t>VÄSTERNORRLANDS LÄN</t>
        </is>
      </c>
      <c r="E1008" t="inlineStr">
        <is>
          <t>ÅNGE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5367-2022</t>
        </is>
      </c>
      <c r="B1009" s="1" t="n">
        <v>44594.92111111111</v>
      </c>
      <c r="C1009" s="1" t="n">
        <v>46127</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54429-2024</t>
        </is>
      </c>
      <c r="B1010" s="1" t="n">
        <v>45617.49087962963</v>
      </c>
      <c r="C1010" s="1" t="n">
        <v>46127</v>
      </c>
      <c r="D1010" t="inlineStr">
        <is>
          <t>VÄSTERNORRLANDS LÄN</t>
        </is>
      </c>
      <c r="E1010" t="inlineStr">
        <is>
          <t>ÅNGE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24293-2023</t>
        </is>
      </c>
      <c r="B1011" s="1" t="n">
        <v>45079.92756944444</v>
      </c>
      <c r="C1011" s="1" t="n">
        <v>46127</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61439-2025</t>
        </is>
      </c>
      <c r="B1012" s="1" t="n">
        <v>46001.57010416667</v>
      </c>
      <c r="C1012" s="1" t="n">
        <v>46127</v>
      </c>
      <c r="D1012" t="inlineStr">
        <is>
          <t>VÄSTERNORRLANDS LÄN</t>
        </is>
      </c>
      <c r="E1012" t="inlineStr">
        <is>
          <t>ÅNGE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61279-2025</t>
        </is>
      </c>
      <c r="B1013" s="1" t="n">
        <v>46000.69841435185</v>
      </c>
      <c r="C1013" s="1" t="n">
        <v>46127</v>
      </c>
      <c r="D1013" t="inlineStr">
        <is>
          <t>VÄSTERNORRLANDS LÄN</t>
        </is>
      </c>
      <c r="E1013" t="inlineStr">
        <is>
          <t>ÅNGE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361-2025</t>
        </is>
      </c>
      <c r="B1014" s="1" t="n">
        <v>45660</v>
      </c>
      <c r="C1014" s="1" t="n">
        <v>46127</v>
      </c>
      <c r="D1014" t="inlineStr">
        <is>
          <t>VÄSTERNORRLANDS LÄN</t>
        </is>
      </c>
      <c r="E1014" t="inlineStr">
        <is>
          <t>ÅNGE</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61200-2025</t>
        </is>
      </c>
      <c r="B1015" s="1" t="n">
        <v>46000.60918981482</v>
      </c>
      <c r="C1015" s="1" t="n">
        <v>46127</v>
      </c>
      <c r="D1015" t="inlineStr">
        <is>
          <t>VÄSTERNORRLANDS LÄN</t>
        </is>
      </c>
      <c r="E1015" t="inlineStr">
        <is>
          <t>ÅNGE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39985-2023</t>
        </is>
      </c>
      <c r="B1016" s="1" t="n">
        <v>45168</v>
      </c>
      <c r="C1016" s="1" t="n">
        <v>46127</v>
      </c>
      <c r="D1016" t="inlineStr">
        <is>
          <t>VÄSTERNORRLANDS LÄN</t>
        </is>
      </c>
      <c r="E1016" t="inlineStr">
        <is>
          <t>ÅNGE</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10687-2022</t>
        </is>
      </c>
      <c r="B1017" s="1" t="n">
        <v>44624.92684027777</v>
      </c>
      <c r="C1017" s="1" t="n">
        <v>46127</v>
      </c>
      <c r="D1017" t="inlineStr">
        <is>
          <t>VÄSTERNORRLANDS LÄN</t>
        </is>
      </c>
      <c r="E1017" t="inlineStr">
        <is>
          <t>ÅNGE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61308-2025</t>
        </is>
      </c>
      <c r="B1018" s="1" t="n">
        <v>46000.81952546296</v>
      </c>
      <c r="C1018" s="1" t="n">
        <v>46127</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61349-2025</t>
        </is>
      </c>
      <c r="B1019" s="1" t="n">
        <v>46001.3866087963</v>
      </c>
      <c r="C1019" s="1" t="n">
        <v>46127</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61321-2025</t>
        </is>
      </c>
      <c r="B1020" s="1" t="n">
        <v>46000.96894675926</v>
      </c>
      <c r="C1020" s="1" t="n">
        <v>46127</v>
      </c>
      <c r="D1020" t="inlineStr">
        <is>
          <t>VÄSTERNORRLANDS LÄN</t>
        </is>
      </c>
      <c r="E1020" t="inlineStr">
        <is>
          <t>ÅNGE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61332-2025</t>
        </is>
      </c>
      <c r="B1021" s="1" t="n">
        <v>46001.34416666667</v>
      </c>
      <c r="C1021" s="1" t="n">
        <v>46127</v>
      </c>
      <c r="D1021" t="inlineStr">
        <is>
          <t>VÄSTERNORRLANDS LÄN</t>
        </is>
      </c>
      <c r="E1021" t="inlineStr">
        <is>
          <t>ÅNGE</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49945-2023</t>
        </is>
      </c>
      <c r="B1022" s="1" t="n">
        <v>45215.3625462963</v>
      </c>
      <c r="C1022" s="1" t="n">
        <v>46127</v>
      </c>
      <c r="D1022" t="inlineStr">
        <is>
          <t>VÄSTERNORRLANDS LÄN</t>
        </is>
      </c>
      <c r="E1022" t="inlineStr">
        <is>
          <t>ÅNGE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1420-2023</t>
        </is>
      </c>
      <c r="B1023" s="1" t="n">
        <v>44936.92762731481</v>
      </c>
      <c r="C1023" s="1" t="n">
        <v>46127</v>
      </c>
      <c r="D1023" t="inlineStr">
        <is>
          <t>VÄSTERNORRLANDS LÄN</t>
        </is>
      </c>
      <c r="E1023" t="inlineStr">
        <is>
          <t>ÅNGE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34691-2024</t>
        </is>
      </c>
      <c r="B1024" s="1" t="n">
        <v>45526.54516203704</v>
      </c>
      <c r="C1024" s="1" t="n">
        <v>46127</v>
      </c>
      <c r="D1024" t="inlineStr">
        <is>
          <t>VÄSTERNORRLANDS LÄN</t>
        </is>
      </c>
      <c r="E1024" t="inlineStr">
        <is>
          <t>ÅNGE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61857-2025</t>
        </is>
      </c>
      <c r="B1025" s="1" t="n">
        <v>46003.3862962963</v>
      </c>
      <c r="C1025" s="1" t="n">
        <v>46127</v>
      </c>
      <c r="D1025" t="inlineStr">
        <is>
          <t>VÄSTERNORRLANDS LÄN</t>
        </is>
      </c>
      <c r="E1025" t="inlineStr">
        <is>
          <t>ÅNGE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54627-2025</t>
        </is>
      </c>
      <c r="B1026" s="1" t="n">
        <v>45966.34565972222</v>
      </c>
      <c r="C1026" s="1" t="n">
        <v>46127</v>
      </c>
      <c r="D1026" t="inlineStr">
        <is>
          <t>VÄSTERNORRLANDS LÄN</t>
        </is>
      </c>
      <c r="E1026" t="inlineStr">
        <is>
          <t>ÅNGE</t>
        </is>
      </c>
      <c r="F1026" t="inlineStr">
        <is>
          <t>SCA</t>
        </is>
      </c>
      <c r="G1026" t="n">
        <v>18.5</v>
      </c>
      <c r="H1026" t="n">
        <v>0</v>
      </c>
      <c r="I1026" t="n">
        <v>0</v>
      </c>
      <c r="J1026" t="n">
        <v>0</v>
      </c>
      <c r="K1026" t="n">
        <v>0</v>
      </c>
      <c r="L1026" t="n">
        <v>0</v>
      </c>
      <c r="M1026" t="n">
        <v>0</v>
      </c>
      <c r="N1026" t="n">
        <v>0</v>
      </c>
      <c r="O1026" t="n">
        <v>0</v>
      </c>
      <c r="P1026" t="n">
        <v>0</v>
      </c>
      <c r="Q1026" t="n">
        <v>0</v>
      </c>
      <c r="R1026" s="2" t="inlineStr"/>
    </row>
    <row r="1027" ht="15" customHeight="1">
      <c r="A1027" t="inlineStr">
        <is>
          <t>A 15791-2025</t>
        </is>
      </c>
      <c r="B1027" s="1" t="n">
        <v>45748.631875</v>
      </c>
      <c r="C1027" s="1" t="n">
        <v>46127</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54585-2024</t>
        </is>
      </c>
      <c r="B1028" s="1" t="n">
        <v>45617.65762731482</v>
      </c>
      <c r="C1028" s="1" t="n">
        <v>46127</v>
      </c>
      <c r="D1028" t="inlineStr">
        <is>
          <t>VÄSTERNORRLANDS LÄN</t>
        </is>
      </c>
      <c r="E1028" t="inlineStr">
        <is>
          <t>ÅNGE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17452-2025</t>
        </is>
      </c>
      <c r="B1029" s="1" t="n">
        <v>45757.44842592593</v>
      </c>
      <c r="C1029" s="1" t="n">
        <v>46127</v>
      </c>
      <c r="D1029" t="inlineStr">
        <is>
          <t>VÄSTERNORRLANDS LÄN</t>
        </is>
      </c>
      <c r="E1029" t="inlineStr">
        <is>
          <t>ÅNGE</t>
        </is>
      </c>
      <c r="F1029" t="inlineStr">
        <is>
          <t>SCA</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8778-2025</t>
        </is>
      </c>
      <c r="B1030" s="1" t="n">
        <v>45712.61539351852</v>
      </c>
      <c r="C1030" s="1" t="n">
        <v>46127</v>
      </c>
      <c r="D1030" t="inlineStr">
        <is>
          <t>VÄSTERNORRLANDS LÄN</t>
        </is>
      </c>
      <c r="E1030" t="inlineStr">
        <is>
          <t>ÅNGE</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34629-2025</t>
        </is>
      </c>
      <c r="B1031" s="1" t="n">
        <v>45847.93006944445</v>
      </c>
      <c r="C1031" s="1" t="n">
        <v>46127</v>
      </c>
      <c r="D1031" t="inlineStr">
        <is>
          <t>VÄSTERNORRLANDS LÄN</t>
        </is>
      </c>
      <c r="E1031" t="inlineStr">
        <is>
          <t>ÅNGE</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61656-2025</t>
        </is>
      </c>
      <c r="B1032" s="1" t="n">
        <v>46002.44873842593</v>
      </c>
      <c r="C1032" s="1" t="n">
        <v>46127</v>
      </c>
      <c r="D1032" t="inlineStr">
        <is>
          <t>VÄSTERNORRLANDS LÄN</t>
        </is>
      </c>
      <c r="E1032" t="inlineStr">
        <is>
          <t>ÅNGE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3966-2025</t>
        </is>
      </c>
      <c r="B1033" s="1" t="n">
        <v>45684.51072916666</v>
      </c>
      <c r="C1033" s="1" t="n">
        <v>46127</v>
      </c>
      <c r="D1033" t="inlineStr">
        <is>
          <t>VÄSTERNORRLANDS LÄN</t>
        </is>
      </c>
      <c r="E1033" t="inlineStr">
        <is>
          <t>ÅNGE</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57526-2024</t>
        </is>
      </c>
      <c r="B1034" s="1" t="n">
        <v>45630</v>
      </c>
      <c r="C1034" s="1" t="n">
        <v>46127</v>
      </c>
      <c r="D1034" t="inlineStr">
        <is>
          <t>VÄSTERNORRLANDS LÄN</t>
        </is>
      </c>
      <c r="E1034" t="inlineStr">
        <is>
          <t>ÅNGE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62101-2025</t>
        </is>
      </c>
      <c r="B1035" s="1" t="n">
        <v>46006.40664351852</v>
      </c>
      <c r="C1035" s="1" t="n">
        <v>46127</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62257-2025</t>
        </is>
      </c>
      <c r="B1036" s="1" t="n">
        <v>46006.61524305555</v>
      </c>
      <c r="C1036" s="1" t="n">
        <v>46127</v>
      </c>
      <c r="D1036" t="inlineStr">
        <is>
          <t>VÄSTERNORRLANDS LÄN</t>
        </is>
      </c>
      <c r="E1036" t="inlineStr">
        <is>
          <t>ÅNGE</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5999-2025</t>
        </is>
      </c>
      <c r="B1037" s="1" t="n">
        <v>45695</v>
      </c>
      <c r="C1037" s="1" t="n">
        <v>46127</v>
      </c>
      <c r="D1037" t="inlineStr">
        <is>
          <t>VÄSTERNORRLANDS LÄN</t>
        </is>
      </c>
      <c r="E1037" t="inlineStr">
        <is>
          <t>ÅNGE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62160-2025</t>
        </is>
      </c>
      <c r="B1038" s="1" t="n">
        <v>46006.49094907408</v>
      </c>
      <c r="C1038" s="1" t="n">
        <v>46127</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62084-2025</t>
        </is>
      </c>
      <c r="B1039" s="1" t="n">
        <v>46006.37449074074</v>
      </c>
      <c r="C1039" s="1" t="n">
        <v>46127</v>
      </c>
      <c r="D1039" t="inlineStr">
        <is>
          <t>VÄSTERNORRLANDS LÄN</t>
        </is>
      </c>
      <c r="E1039" t="inlineStr">
        <is>
          <t>ÅNGE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35593-2024</t>
        </is>
      </c>
      <c r="B1040" s="1" t="n">
        <v>45531</v>
      </c>
      <c r="C1040" s="1" t="n">
        <v>46127</v>
      </c>
      <c r="D1040" t="inlineStr">
        <is>
          <t>VÄSTERNORRLANDS LÄN</t>
        </is>
      </c>
      <c r="E1040" t="inlineStr">
        <is>
          <t>ÅNGE</t>
        </is>
      </c>
      <c r="G1040" t="n">
        <v>17.6</v>
      </c>
      <c r="H1040" t="n">
        <v>0</v>
      </c>
      <c r="I1040" t="n">
        <v>0</v>
      </c>
      <c r="J1040" t="n">
        <v>0</v>
      </c>
      <c r="K1040" t="n">
        <v>0</v>
      </c>
      <c r="L1040" t="n">
        <v>0</v>
      </c>
      <c r="M1040" t="n">
        <v>0</v>
      </c>
      <c r="N1040" t="n">
        <v>0</v>
      </c>
      <c r="O1040" t="n">
        <v>0</v>
      </c>
      <c r="P1040" t="n">
        <v>0</v>
      </c>
      <c r="Q1040" t="n">
        <v>0</v>
      </c>
      <c r="R1040" s="2" t="inlineStr"/>
    </row>
    <row r="1041" ht="15" customHeight="1">
      <c r="A1041" t="inlineStr">
        <is>
          <t>A 36786-2024</t>
        </is>
      </c>
      <c r="B1041" s="1" t="n">
        <v>45538</v>
      </c>
      <c r="C1041" s="1" t="n">
        <v>46127</v>
      </c>
      <c r="D1041" t="inlineStr">
        <is>
          <t>VÄSTERNORRLANDS LÄN</t>
        </is>
      </c>
      <c r="E1041" t="inlineStr">
        <is>
          <t>ÅNGE</t>
        </is>
      </c>
      <c r="F1041" t="inlineStr">
        <is>
          <t>SCA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62661-2025</t>
        </is>
      </c>
      <c r="B1042" s="1" t="n">
        <v>46008.42761574074</v>
      </c>
      <c r="C1042" s="1" t="n">
        <v>46127</v>
      </c>
      <c r="D1042" t="inlineStr">
        <is>
          <t>VÄSTERNORRLANDS LÄN</t>
        </is>
      </c>
      <c r="E1042" t="inlineStr">
        <is>
          <t>ÅNGE</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63092-2025</t>
        </is>
      </c>
      <c r="B1043" s="1" t="n">
        <v>46009.67795138889</v>
      </c>
      <c r="C1043" s="1" t="n">
        <v>46127</v>
      </c>
      <c r="D1043" t="inlineStr">
        <is>
          <t>VÄSTERNORRLANDS LÄN</t>
        </is>
      </c>
      <c r="E1043" t="inlineStr">
        <is>
          <t>ÅNGE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62763-2025</t>
        </is>
      </c>
      <c r="B1044" s="1" t="n">
        <v>46008.59434027778</v>
      </c>
      <c r="C1044" s="1" t="n">
        <v>46127</v>
      </c>
      <c r="D1044" t="inlineStr">
        <is>
          <t>VÄSTERNORRLANDS LÄN</t>
        </is>
      </c>
      <c r="E1044" t="inlineStr">
        <is>
          <t>ÅNGE</t>
        </is>
      </c>
      <c r="F1044" t="inlineStr">
        <is>
          <t>SCA</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62793-2025</t>
        </is>
      </c>
      <c r="B1045" s="1" t="n">
        <v>46008.63625</v>
      </c>
      <c r="C1045" s="1" t="n">
        <v>46127</v>
      </c>
      <c r="D1045" t="inlineStr">
        <is>
          <t>VÄSTERNORRLANDS LÄN</t>
        </is>
      </c>
      <c r="E1045" t="inlineStr">
        <is>
          <t>ÅNGE</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54908-2021</t>
        </is>
      </c>
      <c r="B1046" s="1" t="n">
        <v>44474.39769675926</v>
      </c>
      <c r="C1046" s="1" t="n">
        <v>46127</v>
      </c>
      <c r="D1046" t="inlineStr">
        <is>
          <t>VÄSTERNORRLANDS LÄN</t>
        </is>
      </c>
      <c r="E1046" t="inlineStr">
        <is>
          <t>ÅNGE</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60950-2025</t>
        </is>
      </c>
      <c r="B1047" s="1" t="n">
        <v>45999</v>
      </c>
      <c r="C1047" s="1" t="n">
        <v>46127</v>
      </c>
      <c r="D1047" t="inlineStr">
        <is>
          <t>VÄSTERNORRLANDS LÄN</t>
        </is>
      </c>
      <c r="E1047" t="inlineStr">
        <is>
          <t>ÅNGE</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45933-2023</t>
        </is>
      </c>
      <c r="B1048" s="1" t="n">
        <v>45195</v>
      </c>
      <c r="C1048" s="1" t="n">
        <v>46127</v>
      </c>
      <c r="D1048" t="inlineStr">
        <is>
          <t>VÄSTERNORRLANDS LÄN</t>
        </is>
      </c>
      <c r="E1048" t="inlineStr">
        <is>
          <t>ÅNGE</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63173-2025</t>
        </is>
      </c>
      <c r="B1049" s="1" t="n">
        <v>46010.40679398148</v>
      </c>
      <c r="C1049" s="1" t="n">
        <v>46127</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46015-2024</t>
        </is>
      </c>
      <c r="B1050" s="1" t="n">
        <v>45580.67760416667</v>
      </c>
      <c r="C1050" s="1" t="n">
        <v>46127</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44636-2024</t>
        </is>
      </c>
      <c r="B1051" s="1" t="n">
        <v>45574.51491898148</v>
      </c>
      <c r="C1051" s="1" t="n">
        <v>46127</v>
      </c>
      <c r="D1051" t="inlineStr">
        <is>
          <t>VÄSTERNORRLANDS LÄN</t>
        </is>
      </c>
      <c r="E1051" t="inlineStr">
        <is>
          <t>ÅNGE</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44979-2023</t>
        </is>
      </c>
      <c r="B1052" s="1" t="n">
        <v>45190.95752314815</v>
      </c>
      <c r="C1052" s="1" t="n">
        <v>46127</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62336-2025</t>
        </is>
      </c>
      <c r="B1053" s="1" t="n">
        <v>46006</v>
      </c>
      <c r="C1053" s="1" t="n">
        <v>46127</v>
      </c>
      <c r="D1053" t="inlineStr">
        <is>
          <t>VÄSTERNORRLANDS LÄN</t>
        </is>
      </c>
      <c r="E1053" t="inlineStr">
        <is>
          <t>ÅNGE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1582-2025</t>
        </is>
      </c>
      <c r="B1054" s="1" t="n">
        <v>45670</v>
      </c>
      <c r="C1054" s="1" t="n">
        <v>46127</v>
      </c>
      <c r="D1054" t="inlineStr">
        <is>
          <t>VÄSTERNORRLANDS LÄN</t>
        </is>
      </c>
      <c r="E1054" t="inlineStr">
        <is>
          <t>ÅNGE</t>
        </is>
      </c>
      <c r="G1054" t="n">
        <v>7.3</v>
      </c>
      <c r="H1054" t="n">
        <v>0</v>
      </c>
      <c r="I1054" t="n">
        <v>0</v>
      </c>
      <c r="J1054" t="n">
        <v>0</v>
      </c>
      <c r="K1054" t="n">
        <v>0</v>
      </c>
      <c r="L1054" t="n">
        <v>0</v>
      </c>
      <c r="M1054" t="n">
        <v>0</v>
      </c>
      <c r="N1054" t="n">
        <v>0</v>
      </c>
      <c r="O1054" t="n">
        <v>0</v>
      </c>
      <c r="P1054" t="n">
        <v>0</v>
      </c>
      <c r="Q1054" t="n">
        <v>0</v>
      </c>
      <c r="R1054" s="2" t="inlineStr"/>
      <c r="U1054">
        <f>HYPERLINK("https://klasma.github.io/Logging_2260/knärot/A 1582-2025 karta knärot.png", "A 1582-2025")</f>
        <v/>
      </c>
      <c r="V1054">
        <f>HYPERLINK("https://klasma.github.io/Logging_2260/klagomål/A 1582-2025 FSC-klagomål.docx", "A 1582-2025")</f>
        <v/>
      </c>
      <c r="W1054">
        <f>HYPERLINK("https://klasma.github.io/Logging_2260/klagomålsmail/A 1582-2025 FSC-klagomål mail.docx", "A 1582-2025")</f>
        <v/>
      </c>
      <c r="X1054">
        <f>HYPERLINK("https://klasma.github.io/Logging_2260/tillsyn/A 1582-2025 tillsynsbegäran.docx", "A 1582-2025")</f>
        <v/>
      </c>
      <c r="Y1054">
        <f>HYPERLINK("https://klasma.github.io/Logging_2260/tillsynsmail/A 1582-2025 tillsynsbegäran mail.docx", "A 1582-2025")</f>
        <v/>
      </c>
    </row>
    <row r="1055" ht="15" customHeight="1">
      <c r="A1055" t="inlineStr">
        <is>
          <t>A 25377-2024</t>
        </is>
      </c>
      <c r="B1055" s="1" t="n">
        <v>45462.96211805556</v>
      </c>
      <c r="C1055" s="1" t="n">
        <v>46127</v>
      </c>
      <c r="D1055" t="inlineStr">
        <is>
          <t>VÄSTERNORRLANDS LÄN</t>
        </is>
      </c>
      <c r="E1055" t="inlineStr">
        <is>
          <t>ÅNGE</t>
        </is>
      </c>
      <c r="F1055" t="inlineStr">
        <is>
          <t>SCA</t>
        </is>
      </c>
      <c r="G1055" t="n">
        <v>20.7</v>
      </c>
      <c r="H1055" t="n">
        <v>0</v>
      </c>
      <c r="I1055" t="n">
        <v>0</v>
      </c>
      <c r="J1055" t="n">
        <v>0</v>
      </c>
      <c r="K1055" t="n">
        <v>0</v>
      </c>
      <c r="L1055" t="n">
        <v>0</v>
      </c>
      <c r="M1055" t="n">
        <v>0</v>
      </c>
      <c r="N1055" t="n">
        <v>0</v>
      </c>
      <c r="O1055" t="n">
        <v>0</v>
      </c>
      <c r="P1055" t="n">
        <v>0</v>
      </c>
      <c r="Q1055" t="n">
        <v>0</v>
      </c>
      <c r="R1055" s="2" t="inlineStr"/>
    </row>
    <row r="1056" ht="15" customHeight="1">
      <c r="A1056" t="inlineStr">
        <is>
          <t>A 4095-2023</t>
        </is>
      </c>
      <c r="B1056" s="1" t="n">
        <v>44952</v>
      </c>
      <c r="C1056" s="1" t="n">
        <v>46127</v>
      </c>
      <c r="D1056" t="inlineStr">
        <is>
          <t>VÄSTERNORRLANDS LÄN</t>
        </is>
      </c>
      <c r="E1056" t="inlineStr">
        <is>
          <t>ÅNGE</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63686-2025</t>
        </is>
      </c>
      <c r="B1057" s="1" t="n">
        <v>46014.53172453704</v>
      </c>
      <c r="C1057" s="1" t="n">
        <v>46127</v>
      </c>
      <c r="D1057" t="inlineStr">
        <is>
          <t>VÄSTERNORRLANDS LÄN</t>
        </is>
      </c>
      <c r="E1057" t="inlineStr">
        <is>
          <t>ÅNGE</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63642-2025</t>
        </is>
      </c>
      <c r="B1058" s="1" t="n">
        <v>46014.41258101852</v>
      </c>
      <c r="C1058" s="1" t="n">
        <v>46127</v>
      </c>
      <c r="D1058" t="inlineStr">
        <is>
          <t>VÄSTERNORRLANDS LÄN</t>
        </is>
      </c>
      <c r="E1058" t="inlineStr">
        <is>
          <t>ÅNGE</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39975-2023</t>
        </is>
      </c>
      <c r="B1059" s="1" t="n">
        <v>45168.58844907407</v>
      </c>
      <c r="C1059" s="1" t="n">
        <v>46127</v>
      </c>
      <c r="D1059" t="inlineStr">
        <is>
          <t>VÄSTERNORRLANDS LÄN</t>
        </is>
      </c>
      <c r="E1059" t="inlineStr">
        <is>
          <t>ÅNGE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63652-2025</t>
        </is>
      </c>
      <c r="B1060" s="1" t="n">
        <v>46014.43987268519</v>
      </c>
      <c r="C1060" s="1" t="n">
        <v>46127</v>
      </c>
      <c r="D1060" t="inlineStr">
        <is>
          <t>VÄSTERNORRLANDS LÄN</t>
        </is>
      </c>
      <c r="E1060" t="inlineStr">
        <is>
          <t>ÅNGE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63673-2025</t>
        </is>
      </c>
      <c r="B1061" s="1" t="n">
        <v>46014.47594907408</v>
      </c>
      <c r="C1061" s="1" t="n">
        <v>46127</v>
      </c>
      <c r="D1061" t="inlineStr">
        <is>
          <t>VÄSTERNORRLANDS LÄN</t>
        </is>
      </c>
      <c r="E1061" t="inlineStr">
        <is>
          <t>ÅNGE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53970-2021</t>
        </is>
      </c>
      <c r="B1062" s="1" t="n">
        <v>44469</v>
      </c>
      <c r="C1062" s="1" t="n">
        <v>46127</v>
      </c>
      <c r="D1062" t="inlineStr">
        <is>
          <t>VÄSTERNORRLANDS LÄN</t>
        </is>
      </c>
      <c r="E1062" t="inlineStr">
        <is>
          <t>ÅNGE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62092-2025</t>
        </is>
      </c>
      <c r="B1063" s="1" t="n">
        <v>46006.38613425926</v>
      </c>
      <c r="C1063" s="1" t="n">
        <v>46127</v>
      </c>
      <c r="D1063" t="inlineStr">
        <is>
          <t>VÄSTERNORRLANDS LÄN</t>
        </is>
      </c>
      <c r="E1063" t="inlineStr">
        <is>
          <t>ÅNGE</t>
        </is>
      </c>
      <c r="F1063" t="inlineStr">
        <is>
          <t>SCA</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60960-2025</t>
        </is>
      </c>
      <c r="B1064" s="1" t="n">
        <v>45999</v>
      </c>
      <c r="C1064" s="1" t="n">
        <v>46127</v>
      </c>
      <c r="D1064" t="inlineStr">
        <is>
          <t>VÄSTERNORRLANDS LÄN</t>
        </is>
      </c>
      <c r="E1064" t="inlineStr">
        <is>
          <t>ÅNGE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49669-2025</t>
        </is>
      </c>
      <c r="B1065" s="1" t="n">
        <v>45939.63710648148</v>
      </c>
      <c r="C1065" s="1" t="n">
        <v>46127</v>
      </c>
      <c r="D1065" t="inlineStr">
        <is>
          <t>VÄSTERNORRLANDS LÄN</t>
        </is>
      </c>
      <c r="E1065" t="inlineStr">
        <is>
          <t>ÅNGE</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62091-2025</t>
        </is>
      </c>
      <c r="B1066" s="1" t="n">
        <v>46006.3859375</v>
      </c>
      <c r="C1066" s="1" t="n">
        <v>46127</v>
      </c>
      <c r="D1066" t="inlineStr">
        <is>
          <t>VÄSTERNORRLANDS LÄN</t>
        </is>
      </c>
      <c r="E1066" t="inlineStr">
        <is>
          <t>ÅNGE</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13491-2023</t>
        </is>
      </c>
      <c r="B1067" s="1" t="n">
        <v>45005.93929398148</v>
      </c>
      <c r="C1067" s="1" t="n">
        <v>46127</v>
      </c>
      <c r="D1067" t="inlineStr">
        <is>
          <t>VÄSTERNORRLANDS LÄN</t>
        </is>
      </c>
      <c r="E1067" t="inlineStr">
        <is>
          <t>ÅNGE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33062-2022</t>
        </is>
      </c>
      <c r="B1068" s="1" t="n">
        <v>44785</v>
      </c>
      <c r="C1068" s="1" t="n">
        <v>46127</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64080-2025</t>
        </is>
      </c>
      <c r="B1069" s="1" t="n">
        <v>46021.67752314815</v>
      </c>
      <c r="C1069" s="1" t="n">
        <v>46127</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30347-2024</t>
        </is>
      </c>
      <c r="B1070" s="1" t="n">
        <v>45490.95515046296</v>
      </c>
      <c r="C1070" s="1" t="n">
        <v>46127</v>
      </c>
      <c r="D1070" t="inlineStr">
        <is>
          <t>VÄSTERNORRLANDS LÄN</t>
        </is>
      </c>
      <c r="E1070" t="inlineStr">
        <is>
          <t>ÅNGE</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45128-2022</t>
        </is>
      </c>
      <c r="B1071" s="1" t="n">
        <v>44844.3146412037</v>
      </c>
      <c r="C1071" s="1" t="n">
        <v>46127</v>
      </c>
      <c r="D1071" t="inlineStr">
        <is>
          <t>VÄSTERNORRLANDS LÄN</t>
        </is>
      </c>
      <c r="E1071" t="inlineStr">
        <is>
          <t>ÅNGE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42040-2024</t>
        </is>
      </c>
      <c r="B1072" s="1" t="n">
        <v>45561.80983796297</v>
      </c>
      <c r="C1072" s="1" t="n">
        <v>46127</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63965-2025</t>
        </is>
      </c>
      <c r="B1073" s="1" t="n">
        <v>46020.93445601852</v>
      </c>
      <c r="C1073" s="1" t="n">
        <v>46127</v>
      </c>
      <c r="D1073" t="inlineStr">
        <is>
          <t>VÄSTERNORRLANDS LÄN</t>
        </is>
      </c>
      <c r="E1073" t="inlineStr">
        <is>
          <t>ÅNGE</t>
        </is>
      </c>
      <c r="G1073" t="n">
        <v>11.1</v>
      </c>
      <c r="H1073" t="n">
        <v>0</v>
      </c>
      <c r="I1073" t="n">
        <v>0</v>
      </c>
      <c r="J1073" t="n">
        <v>0</v>
      </c>
      <c r="K1073" t="n">
        <v>0</v>
      </c>
      <c r="L1073" t="n">
        <v>0</v>
      </c>
      <c r="M1073" t="n">
        <v>0</v>
      </c>
      <c r="N1073" t="n">
        <v>0</v>
      </c>
      <c r="O1073" t="n">
        <v>0</v>
      </c>
      <c r="P1073" t="n">
        <v>0</v>
      </c>
      <c r="Q1073" t="n">
        <v>0</v>
      </c>
      <c r="R1073" s="2" t="inlineStr"/>
    </row>
    <row r="1074" ht="15" customHeight="1">
      <c r="A1074" t="inlineStr">
        <is>
          <t>A 63978-2025</t>
        </is>
      </c>
      <c r="B1074" s="1" t="n">
        <v>46021.34421296296</v>
      </c>
      <c r="C1074" s="1" t="n">
        <v>46127</v>
      </c>
      <c r="D1074" t="inlineStr">
        <is>
          <t>VÄSTERNORRLANDS LÄN</t>
        </is>
      </c>
      <c r="E1074" t="inlineStr">
        <is>
          <t>ÅNGE</t>
        </is>
      </c>
      <c r="F1074" t="inlineStr">
        <is>
          <t>SCA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5433-2024</t>
        </is>
      </c>
      <c r="B1075" s="1" t="n">
        <v>45331</v>
      </c>
      <c r="C1075" s="1" t="n">
        <v>46127</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5456-2024</t>
        </is>
      </c>
      <c r="B1076" s="1" t="n">
        <v>45331</v>
      </c>
      <c r="C1076" s="1" t="n">
        <v>46127</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3357-2024</t>
        </is>
      </c>
      <c r="B1077" s="1" t="n">
        <v>45317</v>
      </c>
      <c r="C1077" s="1" t="n">
        <v>46127</v>
      </c>
      <c r="D1077" t="inlineStr">
        <is>
          <t>VÄSTERNORRLANDS LÄN</t>
        </is>
      </c>
      <c r="E1077" t="inlineStr">
        <is>
          <t>ÅNGE</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53858-2024</t>
        </is>
      </c>
      <c r="B1078" s="1" t="n">
        <v>45615</v>
      </c>
      <c r="C1078" s="1" t="n">
        <v>46127</v>
      </c>
      <c r="D1078" t="inlineStr">
        <is>
          <t>VÄSTERNORRLANDS LÄN</t>
        </is>
      </c>
      <c r="E1078" t="inlineStr">
        <is>
          <t>ÅNGE</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345-2026</t>
        </is>
      </c>
      <c r="B1079" s="1" t="n">
        <v>46027.61515046296</v>
      </c>
      <c r="C1079" s="1" t="n">
        <v>46127</v>
      </c>
      <c r="D1079" t="inlineStr">
        <is>
          <t>VÄSTERNORRLANDS LÄN</t>
        </is>
      </c>
      <c r="E1079" t="inlineStr">
        <is>
          <t>ÅNGE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22752-2023</t>
        </is>
      </c>
      <c r="B1080" s="1" t="n">
        <v>45071.94104166667</v>
      </c>
      <c r="C1080" s="1" t="n">
        <v>46127</v>
      </c>
      <c r="D1080" t="inlineStr">
        <is>
          <t>VÄSTERNORRLANDS LÄN</t>
        </is>
      </c>
      <c r="E1080" t="inlineStr">
        <is>
          <t>ÅNGE</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11032-2025</t>
        </is>
      </c>
      <c r="B1081" s="1" t="n">
        <v>45723.47601851852</v>
      </c>
      <c r="C1081" s="1" t="n">
        <v>46127</v>
      </c>
      <c r="D1081" t="inlineStr">
        <is>
          <t>VÄSTERNORRLANDS LÄN</t>
        </is>
      </c>
      <c r="E1081" t="inlineStr">
        <is>
          <t>ÅNGE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58-2026</t>
        </is>
      </c>
      <c r="B1082" s="1" t="n">
        <v>46024</v>
      </c>
      <c r="C1082" s="1" t="n">
        <v>46127</v>
      </c>
      <c r="D1082" t="inlineStr">
        <is>
          <t>VÄSTERNORRLANDS LÄN</t>
        </is>
      </c>
      <c r="E1082" t="inlineStr">
        <is>
          <t>ÅNGE</t>
        </is>
      </c>
      <c r="F1082" t="inlineStr">
        <is>
          <t>Kyrkan</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232-2026</t>
        </is>
      </c>
      <c r="B1083" s="1" t="n">
        <v>46027.34425925926</v>
      </c>
      <c r="C1083" s="1" t="n">
        <v>46127</v>
      </c>
      <c r="D1083" t="inlineStr">
        <is>
          <t>VÄSTERNORRLANDS LÄN</t>
        </is>
      </c>
      <c r="E1083" t="inlineStr">
        <is>
          <t>ÅNGE</t>
        </is>
      </c>
      <c r="F1083" t="inlineStr">
        <is>
          <t>SCA</t>
        </is>
      </c>
      <c r="G1083" t="n">
        <v>37.7</v>
      </c>
      <c r="H1083" t="n">
        <v>0</v>
      </c>
      <c r="I1083" t="n">
        <v>0</v>
      </c>
      <c r="J1083" t="n">
        <v>0</v>
      </c>
      <c r="K1083" t="n">
        <v>0</v>
      </c>
      <c r="L1083" t="n">
        <v>0</v>
      </c>
      <c r="M1083" t="n">
        <v>0</v>
      </c>
      <c r="N1083" t="n">
        <v>0</v>
      </c>
      <c r="O1083" t="n">
        <v>0</v>
      </c>
      <c r="P1083" t="n">
        <v>0</v>
      </c>
      <c r="Q1083" t="n">
        <v>0</v>
      </c>
      <c r="R1083" s="2" t="inlineStr"/>
    </row>
    <row r="1084" ht="15" customHeight="1">
      <c r="A1084" t="inlineStr">
        <is>
          <t>A 353-2026</t>
        </is>
      </c>
      <c r="B1084" s="1" t="n">
        <v>46027.63585648148</v>
      </c>
      <c r="C1084" s="1" t="n">
        <v>46127</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703-2026</t>
        </is>
      </c>
      <c r="B1085" s="1" t="n">
        <v>46029.61604166667</v>
      </c>
      <c r="C1085" s="1" t="n">
        <v>46127</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61486-2025</t>
        </is>
      </c>
      <c r="B1086" s="1" t="n">
        <v>46001.63607638889</v>
      </c>
      <c r="C1086" s="1" t="n">
        <v>46127</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627-2026</t>
        </is>
      </c>
      <c r="B1087" s="1" t="n">
        <v>46029.55262731481</v>
      </c>
      <c r="C1087" s="1" t="n">
        <v>46127</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35781-2025</t>
        </is>
      </c>
      <c r="B1088" s="1" t="n">
        <v>45860</v>
      </c>
      <c r="C1088" s="1" t="n">
        <v>46127</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60779-2024</t>
        </is>
      </c>
      <c r="B1089" s="1" t="n">
        <v>45644</v>
      </c>
      <c r="C1089" s="1" t="n">
        <v>46127</v>
      </c>
      <c r="D1089" t="inlineStr">
        <is>
          <t>VÄSTERNORRLANDS LÄN</t>
        </is>
      </c>
      <c r="E1089" t="inlineStr">
        <is>
          <t>ÅNGE</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21456-2025</t>
        </is>
      </c>
      <c r="B1090" s="1" t="n">
        <v>45782</v>
      </c>
      <c r="C1090" s="1" t="n">
        <v>46127</v>
      </c>
      <c r="D1090" t="inlineStr">
        <is>
          <t>VÄSTERNORRLANDS LÄN</t>
        </is>
      </c>
      <c r="E1090" t="inlineStr">
        <is>
          <t>ÅNGE</t>
        </is>
      </c>
      <c r="F1090" t="inlineStr">
        <is>
          <t>SCA</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1266-2026</t>
        </is>
      </c>
      <c r="B1091" s="1" t="n">
        <v>46031.46269675926</v>
      </c>
      <c r="C1091" s="1" t="n">
        <v>46127</v>
      </c>
      <c r="D1091" t="inlineStr">
        <is>
          <t>VÄSTERNORRLANDS LÄN</t>
        </is>
      </c>
      <c r="E1091" t="inlineStr">
        <is>
          <t>ÅNGE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60003-2023</t>
        </is>
      </c>
      <c r="B1092" s="1" t="n">
        <v>45257</v>
      </c>
      <c r="C1092" s="1" t="n">
        <v>46127</v>
      </c>
      <c r="D1092" t="inlineStr">
        <is>
          <t>VÄSTERNORRLANDS LÄN</t>
        </is>
      </c>
      <c r="E1092" t="inlineStr">
        <is>
          <t>ÅNGE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4876-2023</t>
        </is>
      </c>
      <c r="B1093" s="1" t="n">
        <v>44957.94023148148</v>
      </c>
      <c r="C1093" s="1" t="n">
        <v>46127</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55751-2024</t>
        </is>
      </c>
      <c r="B1094" s="1" t="n">
        <v>45623.34409722222</v>
      </c>
      <c r="C1094" s="1" t="n">
        <v>46127</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57591-2022</t>
        </is>
      </c>
      <c r="B1095" s="1" t="n">
        <v>44896.97834490741</v>
      </c>
      <c r="C1095" s="1" t="n">
        <v>46127</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25034-2023</t>
        </is>
      </c>
      <c r="B1096" s="1" t="n">
        <v>45085</v>
      </c>
      <c r="C1096" s="1" t="n">
        <v>46127</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1280-2026</t>
        </is>
      </c>
      <c r="B1097" s="1" t="n">
        <v>46031.47851851852</v>
      </c>
      <c r="C1097" s="1" t="n">
        <v>46127</v>
      </c>
      <c r="D1097" t="inlineStr">
        <is>
          <t>VÄSTERNORRLANDS LÄN</t>
        </is>
      </c>
      <c r="E1097" t="inlineStr">
        <is>
          <t>ÅNGE</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13875-2022</t>
        </is>
      </c>
      <c r="B1098" s="1" t="n">
        <v>44649</v>
      </c>
      <c r="C1098" s="1" t="n">
        <v>46127</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1375-2026</t>
        </is>
      </c>
      <c r="B1099" s="1" t="n">
        <v>46031.61520833334</v>
      </c>
      <c r="C1099" s="1" t="n">
        <v>46127</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1270-2026</t>
        </is>
      </c>
      <c r="B1100" s="1" t="n">
        <v>46031.46538194444</v>
      </c>
      <c r="C1100" s="1" t="n">
        <v>46127</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9605-2025</t>
        </is>
      </c>
      <c r="B1101" s="1" t="n">
        <v>45715.65657407408</v>
      </c>
      <c r="C1101" s="1" t="n">
        <v>46127</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16563-2025</t>
        </is>
      </c>
      <c r="B1102" s="1" t="n">
        <v>45752.34430555555</v>
      </c>
      <c r="C1102" s="1" t="n">
        <v>46127</v>
      </c>
      <c r="D1102" t="inlineStr">
        <is>
          <t>VÄSTERNORRLANDS LÄN</t>
        </is>
      </c>
      <c r="E1102" t="inlineStr">
        <is>
          <t>ÅNGE</t>
        </is>
      </c>
      <c r="F1102" t="inlineStr">
        <is>
          <t>SCA</t>
        </is>
      </c>
      <c r="G1102" t="n">
        <v>24.7</v>
      </c>
      <c r="H1102" t="n">
        <v>0</v>
      </c>
      <c r="I1102" t="n">
        <v>0</v>
      </c>
      <c r="J1102" t="n">
        <v>0</v>
      </c>
      <c r="K1102" t="n">
        <v>0</v>
      </c>
      <c r="L1102" t="n">
        <v>0</v>
      </c>
      <c r="M1102" t="n">
        <v>0</v>
      </c>
      <c r="N1102" t="n">
        <v>0</v>
      </c>
      <c r="O1102" t="n">
        <v>0</v>
      </c>
      <c r="P1102" t="n">
        <v>0</v>
      </c>
      <c r="Q1102" t="n">
        <v>0</v>
      </c>
      <c r="R1102" s="2" t="inlineStr"/>
    </row>
    <row r="1103" ht="15" customHeight="1">
      <c r="A1103" t="inlineStr">
        <is>
          <t>A 1971-2026</t>
        </is>
      </c>
      <c r="B1103" s="1" t="n">
        <v>46035.64133101852</v>
      </c>
      <c r="C1103" s="1" t="n">
        <v>46127</v>
      </c>
      <c r="D1103" t="inlineStr">
        <is>
          <t>VÄSTERNORRLANDS LÄN</t>
        </is>
      </c>
      <c r="E1103" t="inlineStr">
        <is>
          <t>ÅNGE</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42881-2024</t>
        </is>
      </c>
      <c r="B1104" s="1" t="n">
        <v>45566.70916666667</v>
      </c>
      <c r="C1104" s="1" t="n">
        <v>46127</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54316-2024</t>
        </is>
      </c>
      <c r="B1105" s="1" t="n">
        <v>45617.34443287037</v>
      </c>
      <c r="C1105" s="1" t="n">
        <v>46127</v>
      </c>
      <c r="D1105" t="inlineStr">
        <is>
          <t>VÄSTERNORRLANDS LÄN</t>
        </is>
      </c>
      <c r="E1105" t="inlineStr">
        <is>
          <t>ÅNGE</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17718-2025</t>
        </is>
      </c>
      <c r="B1106" s="1" t="n">
        <v>45758.44815972223</v>
      </c>
      <c r="C1106" s="1" t="n">
        <v>46127</v>
      </c>
      <c r="D1106" t="inlineStr">
        <is>
          <t>VÄSTERNORRLANDS LÄN</t>
        </is>
      </c>
      <c r="E1106" t="inlineStr">
        <is>
          <t>ÅNGE</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1544-2026</t>
        </is>
      </c>
      <c r="B1107" s="1" t="n">
        <v>46034.38653935185</v>
      </c>
      <c r="C1107" s="1" t="n">
        <v>46127</v>
      </c>
      <c r="D1107" t="inlineStr">
        <is>
          <t>VÄSTERNORRLANDS LÄN</t>
        </is>
      </c>
      <c r="E1107" t="inlineStr">
        <is>
          <t>ÅNGE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8650-2024</t>
        </is>
      </c>
      <c r="B1108" s="1" t="n">
        <v>45356</v>
      </c>
      <c r="C1108" s="1" t="n">
        <v>46127</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45631-2021</t>
        </is>
      </c>
      <c r="B1109" s="1" t="n">
        <v>44440.98045138889</v>
      </c>
      <c r="C1109" s="1" t="n">
        <v>46127</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1543-2026</t>
        </is>
      </c>
      <c r="B1110" s="1" t="n">
        <v>46034.38636574074</v>
      </c>
      <c r="C1110" s="1" t="n">
        <v>46127</v>
      </c>
      <c r="D1110" t="inlineStr">
        <is>
          <t>VÄSTERNORRLANDS LÄN</t>
        </is>
      </c>
      <c r="E1110" t="inlineStr">
        <is>
          <t>ÅNGE</t>
        </is>
      </c>
      <c r="F1110" t="inlineStr">
        <is>
          <t>SCA</t>
        </is>
      </c>
      <c r="G1110" t="n">
        <v>17.3</v>
      </c>
      <c r="H1110" t="n">
        <v>0</v>
      </c>
      <c r="I1110" t="n">
        <v>0</v>
      </c>
      <c r="J1110" t="n">
        <v>0</v>
      </c>
      <c r="K1110" t="n">
        <v>0</v>
      </c>
      <c r="L1110" t="n">
        <v>0</v>
      </c>
      <c r="M1110" t="n">
        <v>0</v>
      </c>
      <c r="N1110" t="n">
        <v>0</v>
      </c>
      <c r="O1110" t="n">
        <v>0</v>
      </c>
      <c r="P1110" t="n">
        <v>0</v>
      </c>
      <c r="Q1110" t="n">
        <v>0</v>
      </c>
      <c r="R1110" s="2" t="inlineStr"/>
    </row>
    <row r="1111" ht="15" customHeight="1">
      <c r="A1111" t="inlineStr">
        <is>
          <t>A 10878-2024</t>
        </is>
      </c>
      <c r="B1111" s="1" t="n">
        <v>45370</v>
      </c>
      <c r="C1111" s="1" t="n">
        <v>46127</v>
      </c>
      <c r="D1111" t="inlineStr">
        <is>
          <t>VÄSTERNORRLANDS LÄN</t>
        </is>
      </c>
      <c r="E1111" t="inlineStr">
        <is>
          <t>ÅNGE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1969-2026</t>
        </is>
      </c>
      <c r="B1112" s="1" t="n">
        <v>46035.64024305555</v>
      </c>
      <c r="C1112" s="1" t="n">
        <v>46127</v>
      </c>
      <c r="D1112" t="inlineStr">
        <is>
          <t>VÄSTERNORRLANDS LÄN</t>
        </is>
      </c>
      <c r="E1112" t="inlineStr">
        <is>
          <t>ÅNGE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4006-2022</t>
        </is>
      </c>
      <c r="B1113" s="1" t="n">
        <v>44587.92019675926</v>
      </c>
      <c r="C1113" s="1" t="n">
        <v>46127</v>
      </c>
      <c r="D1113" t="inlineStr">
        <is>
          <t>VÄSTERNORRLANDS LÄN</t>
        </is>
      </c>
      <c r="E1113" t="inlineStr">
        <is>
          <t>ÅNGE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1541-2026</t>
        </is>
      </c>
      <c r="B1114" s="1" t="n">
        <v>46034.38606481482</v>
      </c>
      <c r="C1114" s="1" t="n">
        <v>46127</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1547-2026</t>
        </is>
      </c>
      <c r="B1115" s="1" t="n">
        <v>46034.38689814815</v>
      </c>
      <c r="C1115" s="1" t="n">
        <v>46127</v>
      </c>
      <c r="D1115" t="inlineStr">
        <is>
          <t>VÄSTERNORRLANDS LÄN</t>
        </is>
      </c>
      <c r="E1115" t="inlineStr">
        <is>
          <t>ÅNGE</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61781-2023</t>
        </is>
      </c>
      <c r="B1116" s="1" t="n">
        <v>45265.95708333333</v>
      </c>
      <c r="C1116" s="1" t="n">
        <v>46127</v>
      </c>
      <c r="D1116" t="inlineStr">
        <is>
          <t>VÄSTERNORRLANDS LÄN</t>
        </is>
      </c>
      <c r="E1116" t="inlineStr">
        <is>
          <t>ÅNGE</t>
        </is>
      </c>
      <c r="F1116" t="inlineStr">
        <is>
          <t>SCA</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17744-2025</t>
        </is>
      </c>
      <c r="B1117" s="1" t="n">
        <v>45758</v>
      </c>
      <c r="C1117" s="1" t="n">
        <v>46127</v>
      </c>
      <c r="D1117" t="inlineStr">
        <is>
          <t>VÄSTERNORRLANDS LÄN</t>
        </is>
      </c>
      <c r="E1117" t="inlineStr">
        <is>
          <t>ÅNGE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2485-2026</t>
        </is>
      </c>
      <c r="B1118" s="1" t="n">
        <v>46037.38591435185</v>
      </c>
      <c r="C1118" s="1" t="n">
        <v>46127</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33783-2024</t>
        </is>
      </c>
      <c r="B1119" s="1" t="n">
        <v>45520</v>
      </c>
      <c r="C1119" s="1" t="n">
        <v>46127</v>
      </c>
      <c r="D1119" t="inlineStr">
        <is>
          <t>VÄSTERNORRLANDS LÄN</t>
        </is>
      </c>
      <c r="E1119" t="inlineStr">
        <is>
          <t>ÅNGE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63170-2023</t>
        </is>
      </c>
      <c r="B1120" s="1" t="n">
        <v>45273.57087962963</v>
      </c>
      <c r="C1120" s="1" t="n">
        <v>46127</v>
      </c>
      <c r="D1120" t="inlineStr">
        <is>
          <t>VÄSTERNORRLANDS LÄN</t>
        </is>
      </c>
      <c r="E1120" t="inlineStr">
        <is>
          <t>ÅNGE</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47792-2022</t>
        </is>
      </c>
      <c r="B1121" s="1" t="n">
        <v>44854.95238425926</v>
      </c>
      <c r="C1121" s="1" t="n">
        <v>46127</v>
      </c>
      <c r="D1121" t="inlineStr">
        <is>
          <t>VÄSTERNORRLANDS LÄN</t>
        </is>
      </c>
      <c r="E1121" t="inlineStr">
        <is>
          <t>ÅNGE</t>
        </is>
      </c>
      <c r="F1121" t="inlineStr">
        <is>
          <t>SCA</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1975-2025</t>
        </is>
      </c>
      <c r="B1122" s="1" t="n">
        <v>45672.39332175926</v>
      </c>
      <c r="C1122" s="1" t="n">
        <v>46127</v>
      </c>
      <c r="D1122" t="inlineStr">
        <is>
          <t>VÄSTERNORRLANDS LÄN</t>
        </is>
      </c>
      <c r="E1122" t="inlineStr">
        <is>
          <t>ÅNGE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15404-2025</t>
        </is>
      </c>
      <c r="B1123" s="1" t="n">
        <v>45747.44665509259</v>
      </c>
      <c r="C1123" s="1" t="n">
        <v>46127</v>
      </c>
      <c r="D1123" t="inlineStr">
        <is>
          <t>VÄSTERNORRLANDS LÄN</t>
        </is>
      </c>
      <c r="E1123" t="inlineStr">
        <is>
          <t>ÅNGE</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38099-2024</t>
        </is>
      </c>
      <c r="B1124" s="1" t="n">
        <v>45545.35920138889</v>
      </c>
      <c r="C1124" s="1" t="n">
        <v>46127</v>
      </c>
      <c r="D1124" t="inlineStr">
        <is>
          <t>VÄSTERNORRLANDS LÄN</t>
        </is>
      </c>
      <c r="E1124" t="inlineStr">
        <is>
          <t>ÅNGE</t>
        </is>
      </c>
      <c r="F1124" t="inlineStr">
        <is>
          <t>Holmen skog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35540-2025</t>
        </is>
      </c>
      <c r="B1125" s="1" t="n">
        <v>45856.46912037037</v>
      </c>
      <c r="C1125" s="1" t="n">
        <v>46127</v>
      </c>
      <c r="D1125" t="inlineStr">
        <is>
          <t>VÄSTERNORRLANDS LÄN</t>
        </is>
      </c>
      <c r="E1125" t="inlineStr">
        <is>
          <t>ÅNGE</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3289-2026</t>
        </is>
      </c>
      <c r="B1126" s="1" t="n">
        <v>46041.63581018519</v>
      </c>
      <c r="C1126" s="1" t="n">
        <v>46127</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35143-2025</t>
        </is>
      </c>
      <c r="B1127" s="1" t="n">
        <v>45852.65660879629</v>
      </c>
      <c r="C1127" s="1" t="n">
        <v>46127</v>
      </c>
      <c r="D1127" t="inlineStr">
        <is>
          <t>VÄSTERNORRLANDS LÄN</t>
        </is>
      </c>
      <c r="E1127" t="inlineStr">
        <is>
          <t>ÅNGE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3290-2026</t>
        </is>
      </c>
      <c r="B1128" s="1" t="n">
        <v>46041</v>
      </c>
      <c r="C1128" s="1" t="n">
        <v>46127</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3882-2026</t>
        </is>
      </c>
      <c r="B1129" s="1" t="n">
        <v>46043.65693287037</v>
      </c>
      <c r="C1129" s="1" t="n">
        <v>46127</v>
      </c>
      <c r="D1129" t="inlineStr">
        <is>
          <t>VÄSTERNORRLANDS LÄN</t>
        </is>
      </c>
      <c r="E1129" t="inlineStr">
        <is>
          <t>ÅNGE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3811-2026</t>
        </is>
      </c>
      <c r="B1130" s="1" t="n">
        <v>46043</v>
      </c>
      <c r="C1130" s="1" t="n">
        <v>46127</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1403-2025</t>
        </is>
      </c>
      <c r="B1131" s="1" t="n">
        <v>45667.70548611111</v>
      </c>
      <c r="C1131" s="1" t="n">
        <v>46127</v>
      </c>
      <c r="D1131" t="inlineStr">
        <is>
          <t>VÄSTERNORRLANDS LÄN</t>
        </is>
      </c>
      <c r="E1131" t="inlineStr">
        <is>
          <t>ÅNGE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3534-2026</t>
        </is>
      </c>
      <c r="B1132" s="1" t="n">
        <v>46042.62432870371</v>
      </c>
      <c r="C1132" s="1" t="n">
        <v>46127</v>
      </c>
      <c r="D1132" t="inlineStr">
        <is>
          <t>VÄSTERNORRLANDS LÄN</t>
        </is>
      </c>
      <c r="E1132" t="inlineStr">
        <is>
          <t>ÅNGE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3800-2026</t>
        </is>
      </c>
      <c r="B1133" s="1" t="n">
        <v>46043.58267361111</v>
      </c>
      <c r="C1133" s="1" t="n">
        <v>46127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60365-2024</t>
        </is>
      </c>
      <c r="B1134" s="1" t="n">
        <v>45643</v>
      </c>
      <c r="C1134" s="1" t="n">
        <v>46127</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20393-2022</t>
        </is>
      </c>
      <c r="B1135" s="1" t="n">
        <v>44699</v>
      </c>
      <c r="C1135" s="1" t="n">
        <v>46127</v>
      </c>
      <c r="D1135" t="inlineStr">
        <is>
          <t>VÄSTERNORRLANDS LÄN</t>
        </is>
      </c>
      <c r="E1135" t="inlineStr">
        <is>
          <t>ÅNGE</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25320-2023</t>
        </is>
      </c>
      <c r="B1136" s="1" t="n">
        <v>45086.93929398148</v>
      </c>
      <c r="C1136" s="1" t="n">
        <v>46127</v>
      </c>
      <c r="D1136" t="inlineStr">
        <is>
          <t>VÄSTERNORRLANDS LÄN</t>
        </is>
      </c>
      <c r="E1136" t="inlineStr">
        <is>
          <t>ÅNGE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59626-2022</t>
        </is>
      </c>
      <c r="B1137" s="1" t="n">
        <v>44907.92354166666</v>
      </c>
      <c r="C1137" s="1" t="n">
        <v>46127</v>
      </c>
      <c r="D1137" t="inlineStr">
        <is>
          <t>VÄSTERNORRLANDS LÄN</t>
        </is>
      </c>
      <c r="E1137" t="inlineStr">
        <is>
          <t>ÅNGE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11992-2026</t>
        </is>
      </c>
      <c r="B1138" s="1" t="n">
        <v>46085.65706018519</v>
      </c>
      <c r="C1138" s="1" t="n">
        <v>46127</v>
      </c>
      <c r="D1138" t="inlineStr">
        <is>
          <t>VÄSTERNORRLANDS LÄN</t>
        </is>
      </c>
      <c r="E1138" t="inlineStr">
        <is>
          <t>ÅNGE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3889-2026</t>
        </is>
      </c>
      <c r="B1139" s="1" t="n">
        <v>46043.67015046296</v>
      </c>
      <c r="C1139" s="1" t="n">
        <v>46127</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11804-2026</t>
        </is>
      </c>
      <c r="B1140" s="1" t="n">
        <v>46085.35903935185</v>
      </c>
      <c r="C1140" s="1" t="n">
        <v>46127</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34852-2023</t>
        </is>
      </c>
      <c r="B1141" s="1" t="n">
        <v>45141</v>
      </c>
      <c r="C1141" s="1" t="n">
        <v>46127</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15032-2025</t>
        </is>
      </c>
      <c r="B1142" s="1" t="n">
        <v>45743.67748842593</v>
      </c>
      <c r="C1142" s="1" t="n">
        <v>46127</v>
      </c>
      <c r="D1142" t="inlineStr">
        <is>
          <t>VÄSTERNORRLANDS LÄN</t>
        </is>
      </c>
      <c r="E1142" t="inlineStr">
        <is>
          <t>ÅNGE</t>
        </is>
      </c>
      <c r="F1142" t="inlineStr">
        <is>
          <t>SCA</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11816-2026</t>
        </is>
      </c>
      <c r="B1143" s="1" t="n">
        <v>46085.38608796296</v>
      </c>
      <c r="C1143" s="1" t="n">
        <v>46127</v>
      </c>
      <c r="D1143" t="inlineStr">
        <is>
          <t>VÄSTERNORRLANDS LÄN</t>
        </is>
      </c>
      <c r="E1143" t="inlineStr">
        <is>
          <t>ÅNGE</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44415-2021</t>
        </is>
      </c>
      <c r="B1144" s="1" t="n">
        <v>44435</v>
      </c>
      <c r="C1144" s="1" t="n">
        <v>46127</v>
      </c>
      <c r="D1144" t="inlineStr">
        <is>
          <t>VÄSTERNORRLANDS LÄN</t>
        </is>
      </c>
      <c r="E1144" t="inlineStr">
        <is>
          <t>ÅNGE</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3801-2026</t>
        </is>
      </c>
      <c r="B1145" s="1" t="n">
        <v>46043.58273148148</v>
      </c>
      <c r="C1145" s="1" t="n">
        <v>46127</v>
      </c>
      <c r="D1145" t="inlineStr">
        <is>
          <t>VÄSTERNORRLANDS LÄN</t>
        </is>
      </c>
      <c r="E1145" t="inlineStr">
        <is>
          <t>ÅNGE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3872-2026</t>
        </is>
      </c>
      <c r="B1146" s="1" t="n">
        <v>46043.64314814815</v>
      </c>
      <c r="C1146" s="1" t="n">
        <v>46127</v>
      </c>
      <c r="D1146" t="inlineStr">
        <is>
          <t>VÄSTERNORRLANDS LÄN</t>
        </is>
      </c>
      <c r="E1146" t="inlineStr">
        <is>
          <t>ÅNGE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40788-2024</t>
        </is>
      </c>
      <c r="B1147" s="1" t="n">
        <v>45558.50974537037</v>
      </c>
      <c r="C1147" s="1" t="n">
        <v>46127</v>
      </c>
      <c r="D1147" t="inlineStr">
        <is>
          <t>VÄSTERNORRLANDS LÄN</t>
        </is>
      </c>
      <c r="E1147" t="inlineStr">
        <is>
          <t>ÅNGE</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11924-2026</t>
        </is>
      </c>
      <c r="B1148" s="1" t="n">
        <v>46085.5734837963</v>
      </c>
      <c r="C1148" s="1" t="n">
        <v>46127</v>
      </c>
      <c r="D1148" t="inlineStr">
        <is>
          <t>VÄSTERNORRLANDS LÄN</t>
        </is>
      </c>
      <c r="E1148" t="inlineStr">
        <is>
          <t>ÅNGE</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27306-2024</t>
        </is>
      </c>
      <c r="B1149" s="1" t="n">
        <v>45471.94454861111</v>
      </c>
      <c r="C1149" s="1" t="n">
        <v>46127</v>
      </c>
      <c r="D1149" t="inlineStr">
        <is>
          <t>VÄSTERNORRLANDS LÄN</t>
        </is>
      </c>
      <c r="E1149" t="inlineStr">
        <is>
          <t>ÅNGE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4209-2026</t>
        </is>
      </c>
      <c r="B1150" s="1" t="n">
        <v>46044.72609953704</v>
      </c>
      <c r="C1150" s="1" t="n">
        <v>46127</v>
      </c>
      <c r="D1150" t="inlineStr">
        <is>
          <t>VÄSTERNORRLANDS LÄN</t>
        </is>
      </c>
      <c r="E1150" t="inlineStr">
        <is>
          <t>ÅNGE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4262-2026</t>
        </is>
      </c>
      <c r="B1151" s="1" t="n">
        <v>46045.34431712963</v>
      </c>
      <c r="C1151" s="1" t="n">
        <v>46127</v>
      </c>
      <c r="D1151" t="inlineStr">
        <is>
          <t>VÄSTERNORRLANDS LÄN</t>
        </is>
      </c>
      <c r="E1151" t="inlineStr">
        <is>
          <t>ÅNGE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12287-2026</t>
        </is>
      </c>
      <c r="B1152" s="1" t="n">
        <v>46087.55252314815</v>
      </c>
      <c r="C1152" s="1" t="n">
        <v>46127</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59818-2024</t>
        </is>
      </c>
      <c r="B1153" s="1" t="n">
        <v>45639.63572916666</v>
      </c>
      <c r="C1153" s="1" t="n">
        <v>46127</v>
      </c>
      <c r="D1153" t="inlineStr">
        <is>
          <t>VÄSTERNORRLANDS LÄN</t>
        </is>
      </c>
      <c r="E1153" t="inlineStr">
        <is>
          <t>ÅNGE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12176-2026</t>
        </is>
      </c>
      <c r="B1154" s="1" t="n">
        <v>46086.67760416667</v>
      </c>
      <c r="C1154" s="1" t="n">
        <v>46127</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16978-2024</t>
        </is>
      </c>
      <c r="B1155" s="1" t="n">
        <v>45412.02416666667</v>
      </c>
      <c r="C1155" s="1" t="n">
        <v>46127</v>
      </c>
      <c r="D1155" t="inlineStr">
        <is>
          <t>VÄSTERNORRLANDS LÄN</t>
        </is>
      </c>
      <c r="E1155" t="inlineStr">
        <is>
          <t>ÅNGE</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57286-2022</t>
        </is>
      </c>
      <c r="B1156" s="1" t="n">
        <v>44895.94991898148</v>
      </c>
      <c r="C1156" s="1" t="n">
        <v>46127</v>
      </c>
      <c r="D1156" t="inlineStr">
        <is>
          <t>VÄSTERNORRLANDS LÄN</t>
        </is>
      </c>
      <c r="E1156" t="inlineStr">
        <is>
          <t>ÅNGE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4263-2026</t>
        </is>
      </c>
      <c r="B1157" s="1" t="n">
        <v>46045.34451388889</v>
      </c>
      <c r="C1157" s="1" t="n">
        <v>46127</v>
      </c>
      <c r="D1157" t="inlineStr">
        <is>
          <t>VÄSTERNORRLANDS LÄN</t>
        </is>
      </c>
      <c r="E1157" t="inlineStr">
        <is>
          <t>ÅNGE</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3970-2026</t>
        </is>
      </c>
      <c r="B1158" s="1" t="n">
        <v>46044.3521875</v>
      </c>
      <c r="C1158" s="1" t="n">
        <v>46127</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4327-2026</t>
        </is>
      </c>
      <c r="B1159" s="1" t="n">
        <v>46045.46930555555</v>
      </c>
      <c r="C1159" s="1" t="n">
        <v>46127</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4442-2026</t>
        </is>
      </c>
      <c r="B1160" s="1" t="n">
        <v>46045.63625</v>
      </c>
      <c r="C1160" s="1" t="n">
        <v>46127</v>
      </c>
      <c r="D1160" t="inlineStr">
        <is>
          <t>VÄSTERNORRLANDS LÄN</t>
        </is>
      </c>
      <c r="E1160" t="inlineStr">
        <is>
          <t>ÅNGE</t>
        </is>
      </c>
      <c r="F1160" t="inlineStr">
        <is>
          <t>SCA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4376-2026</t>
        </is>
      </c>
      <c r="B1161" s="1" t="n">
        <v>46045.55318287037</v>
      </c>
      <c r="C1161" s="1" t="n">
        <v>46127</v>
      </c>
      <c r="D1161" t="inlineStr">
        <is>
          <t>VÄSTERNORRLANDS LÄN</t>
        </is>
      </c>
      <c r="E1161" t="inlineStr">
        <is>
          <t>ÅNGE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4328-2026</t>
        </is>
      </c>
      <c r="B1162" s="1" t="n">
        <v>46045.46940972222</v>
      </c>
      <c r="C1162" s="1" t="n">
        <v>46127</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4441-2026</t>
        </is>
      </c>
      <c r="B1163" s="1" t="n">
        <v>46045.63600694444</v>
      </c>
      <c r="C1163" s="1" t="n">
        <v>46127</v>
      </c>
      <c r="D1163" t="inlineStr">
        <is>
          <t>VÄSTERNORRLANDS LÄN</t>
        </is>
      </c>
      <c r="E1163" t="inlineStr">
        <is>
          <t>ÅNGE</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12748-2026</t>
        </is>
      </c>
      <c r="B1164" s="1" t="n">
        <v>46091</v>
      </c>
      <c r="C1164" s="1" t="n">
        <v>46127</v>
      </c>
      <c r="D1164" t="inlineStr">
        <is>
          <t>VÄSTERNORRLANDS LÄN</t>
        </is>
      </c>
      <c r="E1164" t="inlineStr">
        <is>
          <t>ÅNGE</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12751-2026</t>
        </is>
      </c>
      <c r="B1165" s="1" t="n">
        <v>46091</v>
      </c>
      <c r="C1165" s="1" t="n">
        <v>46127</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12752-2026</t>
        </is>
      </c>
      <c r="B1166" s="1" t="n">
        <v>46091</v>
      </c>
      <c r="C1166" s="1" t="n">
        <v>46127</v>
      </c>
      <c r="D1166" t="inlineStr">
        <is>
          <t>VÄSTERNORRLANDS LÄN</t>
        </is>
      </c>
      <c r="E1166" t="inlineStr">
        <is>
          <t>ÅNGE</t>
        </is>
      </c>
      <c r="F1166" t="inlineStr">
        <is>
          <t>SCA</t>
        </is>
      </c>
      <c r="G1166" t="n">
        <v>15.5</v>
      </c>
      <c r="H1166" t="n">
        <v>0</v>
      </c>
      <c r="I1166" t="n">
        <v>0</v>
      </c>
      <c r="J1166" t="n">
        <v>0</v>
      </c>
      <c r="K1166" t="n">
        <v>0</v>
      </c>
      <c r="L1166" t="n">
        <v>0</v>
      </c>
      <c r="M1166" t="n">
        <v>0</v>
      </c>
      <c r="N1166" t="n">
        <v>0</v>
      </c>
      <c r="O1166" t="n">
        <v>0</v>
      </c>
      <c r="P1166" t="n">
        <v>0</v>
      </c>
      <c r="Q1166" t="n">
        <v>0</v>
      </c>
      <c r="R1166" s="2" t="inlineStr"/>
    </row>
    <row r="1167" ht="15" customHeight="1">
      <c r="A1167" t="inlineStr">
        <is>
          <t>A 12398-2026</t>
        </is>
      </c>
      <c r="B1167" s="1" t="n">
        <v>46090.39175925926</v>
      </c>
      <c r="C1167" s="1" t="n">
        <v>46127</v>
      </c>
      <c r="D1167" t="inlineStr">
        <is>
          <t>VÄSTERNORRLANDS LÄN</t>
        </is>
      </c>
      <c r="E1167" t="inlineStr">
        <is>
          <t>ÅNGE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5136-2026</t>
        </is>
      </c>
      <c r="B1168" s="1" t="n">
        <v>46049.59420138889</v>
      </c>
      <c r="C1168" s="1" t="n">
        <v>46127</v>
      </c>
      <c r="D1168" t="inlineStr">
        <is>
          <t>VÄSTERNORRLANDS LÄN</t>
        </is>
      </c>
      <c r="E1168" t="inlineStr">
        <is>
          <t>ÅNGE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12749-2026</t>
        </is>
      </c>
      <c r="B1169" s="1" t="n">
        <v>46091</v>
      </c>
      <c r="C1169" s="1" t="n">
        <v>46127</v>
      </c>
      <c r="D1169" t="inlineStr">
        <is>
          <t>VÄSTERNORRLANDS LÄN</t>
        </is>
      </c>
      <c r="E1169" t="inlineStr">
        <is>
          <t>ÅNGE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12750-2026</t>
        </is>
      </c>
      <c r="B1170" s="1" t="n">
        <v>46091</v>
      </c>
      <c r="C1170" s="1" t="n">
        <v>46127</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12760-2026</t>
        </is>
      </c>
      <c r="B1171" s="1" t="n">
        <v>46091.66008101852</v>
      </c>
      <c r="C1171" s="1" t="n">
        <v>46127</v>
      </c>
      <c r="D1171" t="inlineStr">
        <is>
          <t>VÄSTERNORRLANDS LÄN</t>
        </is>
      </c>
      <c r="E1171" t="inlineStr">
        <is>
          <t>ÅNGE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12754-2026</t>
        </is>
      </c>
      <c r="B1172" s="1" t="n">
        <v>46091</v>
      </c>
      <c r="C1172" s="1" t="n">
        <v>46127</v>
      </c>
      <c r="D1172" t="inlineStr">
        <is>
          <t>VÄSTERNORRLANDS LÄN</t>
        </is>
      </c>
      <c r="E1172" t="inlineStr">
        <is>
          <t>ÅNGE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12755-2026</t>
        </is>
      </c>
      <c r="B1173" s="1" t="n">
        <v>46091</v>
      </c>
      <c r="C1173" s="1" t="n">
        <v>46127</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12757-2026</t>
        </is>
      </c>
      <c r="B1174" s="1" t="n">
        <v>46091</v>
      </c>
      <c r="C1174" s="1" t="n">
        <v>46127</v>
      </c>
      <c r="D1174" t="inlineStr">
        <is>
          <t>VÄSTERNORRLANDS LÄN</t>
        </is>
      </c>
      <c r="E1174" t="inlineStr">
        <is>
          <t>ÅNGE</t>
        </is>
      </c>
      <c r="F1174" t="inlineStr">
        <is>
          <t>SCA</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4612-2026</t>
        </is>
      </c>
      <c r="B1175" s="1" t="n">
        <v>46048.36509259259</v>
      </c>
      <c r="C1175" s="1" t="n">
        <v>46127</v>
      </c>
      <c r="D1175" t="inlineStr">
        <is>
          <t>VÄSTERNORRLANDS LÄN</t>
        </is>
      </c>
      <c r="E1175" t="inlineStr">
        <is>
          <t>ÅNGE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4586-2026</t>
        </is>
      </c>
      <c r="B1176" s="1" t="n">
        <v>46048.33769675926</v>
      </c>
      <c r="C1176" s="1" t="n">
        <v>46127</v>
      </c>
      <c r="D1176" t="inlineStr">
        <is>
          <t>VÄSTERNORRLANDS LÄN</t>
        </is>
      </c>
      <c r="E1176" t="inlineStr">
        <is>
          <t>ÅNGE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4592-2026</t>
        </is>
      </c>
      <c r="B1177" s="1" t="n">
        <v>46048.34451388889</v>
      </c>
      <c r="C1177" s="1" t="n">
        <v>46127</v>
      </c>
      <c r="D1177" t="inlineStr">
        <is>
          <t>VÄSTERNORRLANDS LÄN</t>
        </is>
      </c>
      <c r="E1177" t="inlineStr">
        <is>
          <t>ÅNGE</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41766-2024</t>
        </is>
      </c>
      <c r="B1178" s="1" t="n">
        <v>45561.34594907407</v>
      </c>
      <c r="C1178" s="1" t="n">
        <v>46127</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5135-2026</t>
        </is>
      </c>
      <c r="B1179" s="1" t="n">
        <v>46049.59417824074</v>
      </c>
      <c r="C1179" s="1" t="n">
        <v>46127</v>
      </c>
      <c r="D1179" t="inlineStr">
        <is>
          <t>VÄSTERNORRLANDS LÄN</t>
        </is>
      </c>
      <c r="E1179" t="inlineStr">
        <is>
          <t>ÅNGE</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12756-2026</t>
        </is>
      </c>
      <c r="B1180" s="1" t="n">
        <v>46091</v>
      </c>
      <c r="C1180" s="1" t="n">
        <v>46127</v>
      </c>
      <c r="D1180" t="inlineStr">
        <is>
          <t>VÄSTERNORRLANDS LÄN</t>
        </is>
      </c>
      <c r="E1180" t="inlineStr">
        <is>
          <t>ÅNGE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12759-2026</t>
        </is>
      </c>
      <c r="B1181" s="1" t="n">
        <v>46091.66002314815</v>
      </c>
      <c r="C1181" s="1" t="n">
        <v>46127</v>
      </c>
      <c r="D1181" t="inlineStr">
        <is>
          <t>VÄSTERNORRLANDS LÄN</t>
        </is>
      </c>
      <c r="E1181" t="inlineStr">
        <is>
          <t>ÅNGE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39178-2024</t>
        </is>
      </c>
      <c r="B1182" s="1" t="n">
        <v>45548.65692129629</v>
      </c>
      <c r="C1182" s="1" t="n">
        <v>46127</v>
      </c>
      <c r="D1182" t="inlineStr">
        <is>
          <t>VÄSTERNORRLANDS LÄN</t>
        </is>
      </c>
      <c r="E1182" t="inlineStr">
        <is>
          <t>ÅNGE</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51383-2022</t>
        </is>
      </c>
      <c r="B1183" s="1" t="n">
        <v>44866</v>
      </c>
      <c r="C1183" s="1" t="n">
        <v>46127</v>
      </c>
      <c r="D1183" t="inlineStr">
        <is>
          <t>VÄSTERNORRLANDS LÄN</t>
        </is>
      </c>
      <c r="E1183" t="inlineStr">
        <is>
          <t>ÅNGE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51393-2022</t>
        </is>
      </c>
      <c r="B1184" s="1" t="n">
        <v>44869.43277777778</v>
      </c>
      <c r="C1184" s="1" t="n">
        <v>46127</v>
      </c>
      <c r="D1184" t="inlineStr">
        <is>
          <t>VÄSTERNORRLANDS LÄN</t>
        </is>
      </c>
      <c r="E1184" t="inlineStr">
        <is>
          <t>ÅNGE</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4236-2025</t>
        </is>
      </c>
      <c r="B1185" s="1" t="n">
        <v>45685.56534722223</v>
      </c>
      <c r="C1185" s="1" t="n">
        <v>46127</v>
      </c>
      <c r="D1185" t="inlineStr">
        <is>
          <t>VÄSTERNORRLANDS LÄN</t>
        </is>
      </c>
      <c r="E1185" t="inlineStr">
        <is>
          <t>ÅNGE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4591-2026</t>
        </is>
      </c>
      <c r="B1186" s="1" t="n">
        <v>46048.34443287037</v>
      </c>
      <c r="C1186" s="1" t="n">
        <v>46127</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4593-2026</t>
        </is>
      </c>
      <c r="B1187" s="1" t="n">
        <v>46048.3446412037</v>
      </c>
      <c r="C1187" s="1" t="n">
        <v>46127</v>
      </c>
      <c r="D1187" t="inlineStr">
        <is>
          <t>VÄSTERNORRLANDS LÄN</t>
        </is>
      </c>
      <c r="E1187" t="inlineStr">
        <is>
          <t>ÅNGE</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2415-2024</t>
        </is>
      </c>
      <c r="B1188" s="1" t="n">
        <v>45310</v>
      </c>
      <c r="C1188" s="1" t="n">
        <v>46127</v>
      </c>
      <c r="D1188" t="inlineStr">
        <is>
          <t>VÄSTERNORRLANDS LÄN</t>
        </is>
      </c>
      <c r="E1188" t="inlineStr">
        <is>
          <t>ÅNGE</t>
        </is>
      </c>
      <c r="F1188" t="inlineStr">
        <is>
          <t>Kyrkan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4361-2024</t>
        </is>
      </c>
      <c r="B1189" s="1" t="n">
        <v>45325.65047453704</v>
      </c>
      <c r="C1189" s="1" t="n">
        <v>46127</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26490-2024</t>
        </is>
      </c>
      <c r="B1190" s="1" t="n">
        <v>45469</v>
      </c>
      <c r="C1190" s="1" t="n">
        <v>46127</v>
      </c>
      <c r="D1190" t="inlineStr">
        <is>
          <t>VÄSTERNORRLANDS LÄN</t>
        </is>
      </c>
      <c r="E1190" t="inlineStr">
        <is>
          <t>ÅNGE</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1826-2026</t>
        </is>
      </c>
      <c r="B1191" s="1" t="n">
        <v>46035</v>
      </c>
      <c r="C1191" s="1" t="n">
        <v>46127</v>
      </c>
      <c r="D1191" t="inlineStr">
        <is>
          <t>VÄSTERNORRLANDS LÄN</t>
        </is>
      </c>
      <c r="E1191" t="inlineStr">
        <is>
          <t>ÅNGE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47779-2023</t>
        </is>
      </c>
      <c r="B1192" s="1" t="n">
        <v>45203.92232638889</v>
      </c>
      <c r="C1192" s="1" t="n">
        <v>46127</v>
      </c>
      <c r="D1192" t="inlineStr">
        <is>
          <t>VÄSTERNORRLANDS LÄN</t>
        </is>
      </c>
      <c r="E1192" t="inlineStr">
        <is>
          <t>ÅNGE</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12476-2026</t>
        </is>
      </c>
      <c r="B1193" s="1" t="n">
        <v>46090.55582175926</v>
      </c>
      <c r="C1193" s="1" t="n">
        <v>46127</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12439-2026</t>
        </is>
      </c>
      <c r="B1194" s="1" t="n">
        <v>46090.47541666667</v>
      </c>
      <c r="C1194" s="1" t="n">
        <v>46127</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64946-2023</t>
        </is>
      </c>
      <c r="B1195" s="1" t="n">
        <v>45282.94678240741</v>
      </c>
      <c r="C1195" s="1" t="n">
        <v>46127</v>
      </c>
      <c r="D1195" t="inlineStr">
        <is>
          <t>VÄSTERNORRLANDS LÄN</t>
        </is>
      </c>
      <c r="E1195" t="inlineStr">
        <is>
          <t>ÅNGE</t>
        </is>
      </c>
      <c r="F1195" t="inlineStr">
        <is>
          <t>SCA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12479-2026</t>
        </is>
      </c>
      <c r="B1196" s="1" t="n">
        <v>46090.55809027778</v>
      </c>
      <c r="C1196" s="1" t="n">
        <v>46127</v>
      </c>
      <c r="D1196" t="inlineStr">
        <is>
          <t>VÄSTERNORRLANDS LÄN</t>
        </is>
      </c>
      <c r="E1196" t="inlineStr">
        <is>
          <t>ÅNGE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12747-2026</t>
        </is>
      </c>
      <c r="B1197" s="1" t="n">
        <v>46091</v>
      </c>
      <c r="C1197" s="1" t="n">
        <v>46127</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12468-2026</t>
        </is>
      </c>
      <c r="B1198" s="1" t="n">
        <v>46090.53908564815</v>
      </c>
      <c r="C1198" s="1" t="n">
        <v>46127</v>
      </c>
      <c r="D1198" t="inlineStr">
        <is>
          <t>VÄSTERNORRLANDS LÄN</t>
        </is>
      </c>
      <c r="E1198" t="inlineStr">
        <is>
          <t>ÅNGE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61585-2022</t>
        </is>
      </c>
      <c r="B1199" s="1" t="n">
        <v>44916.63380787037</v>
      </c>
      <c r="C1199" s="1" t="n">
        <v>46127</v>
      </c>
      <c r="D1199" t="inlineStr">
        <is>
          <t>VÄSTERNORRLANDS LÄN</t>
        </is>
      </c>
      <c r="E1199" t="inlineStr">
        <is>
          <t>ÅNGE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12412-2026</t>
        </is>
      </c>
      <c r="B1200" s="1" t="n">
        <v>46090.42895833333</v>
      </c>
      <c r="C1200" s="1" t="n">
        <v>46127</v>
      </c>
      <c r="D1200" t="inlineStr">
        <is>
          <t>VÄSTERNORRLANDS LÄN</t>
        </is>
      </c>
      <c r="E1200" t="inlineStr">
        <is>
          <t>ÅNGE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12407-2026</t>
        </is>
      </c>
      <c r="B1201" s="1" t="n">
        <v>46090.41869212963</v>
      </c>
      <c r="C1201" s="1" t="n">
        <v>46127</v>
      </c>
      <c r="D1201" t="inlineStr">
        <is>
          <t>VÄSTERNORRLANDS LÄN</t>
        </is>
      </c>
      <c r="E1201" t="inlineStr">
        <is>
          <t>ÅNGE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12437-2026</t>
        </is>
      </c>
      <c r="B1202" s="1" t="n">
        <v>46090.47096064815</v>
      </c>
      <c r="C1202" s="1" t="n">
        <v>46127</v>
      </c>
      <c r="D1202" t="inlineStr">
        <is>
          <t>VÄSTERNORRLANDS LÄN</t>
        </is>
      </c>
      <c r="E1202" t="inlineStr">
        <is>
          <t>ÅNGE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12553-2026</t>
        </is>
      </c>
      <c r="B1203" s="1" t="n">
        <v>46090.63738425926</v>
      </c>
      <c r="C1203" s="1" t="n">
        <v>46127</v>
      </c>
      <c r="D1203" t="inlineStr">
        <is>
          <t>VÄSTERNORRLANDS LÄN</t>
        </is>
      </c>
      <c r="E1203" t="inlineStr">
        <is>
          <t>ÅNGE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46127</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69790-2021</t>
        </is>
      </c>
      <c r="B1205" s="1" t="n">
        <v>44532.605625</v>
      </c>
      <c r="C1205" s="1" t="n">
        <v>46127</v>
      </c>
      <c r="D1205" t="inlineStr">
        <is>
          <t>VÄSTERNORRLANDS LÄN</t>
        </is>
      </c>
      <c r="E1205" t="inlineStr">
        <is>
          <t>ÅNGE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12745-2026</t>
        </is>
      </c>
      <c r="B1206" s="1" t="n">
        <v>46091</v>
      </c>
      <c r="C1206" s="1" t="n">
        <v>46127</v>
      </c>
      <c r="D1206" t="inlineStr">
        <is>
          <t>VÄSTERNORRLANDS LÄN</t>
        </is>
      </c>
      <c r="E1206" t="inlineStr">
        <is>
          <t>ÅNGE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12746-2026</t>
        </is>
      </c>
      <c r="B1207" s="1" t="n">
        <v>46091</v>
      </c>
      <c r="C1207" s="1" t="n">
        <v>46127</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12758-2026</t>
        </is>
      </c>
      <c r="B1208" s="1" t="n">
        <v>46091.65989583333</v>
      </c>
      <c r="C1208" s="1" t="n">
        <v>46127</v>
      </c>
      <c r="D1208" t="inlineStr">
        <is>
          <t>VÄSTERNORRLANDS LÄN</t>
        </is>
      </c>
      <c r="E1208" t="inlineStr">
        <is>
          <t>ÅNGE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12761-2026</t>
        </is>
      </c>
      <c r="B1209" s="1" t="n">
        <v>46091.66013888889</v>
      </c>
      <c r="C1209" s="1" t="n">
        <v>46127</v>
      </c>
      <c r="D1209" t="inlineStr">
        <is>
          <t>VÄSTERNORRLANDS LÄN</t>
        </is>
      </c>
      <c r="E1209" t="inlineStr">
        <is>
          <t>ÅNGE</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53209-2024</t>
        </is>
      </c>
      <c r="B1210" s="1" t="n">
        <v>45612.51079861111</v>
      </c>
      <c r="C1210" s="1" t="n">
        <v>46127</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3574-2025</t>
        </is>
      </c>
      <c r="B1211" s="1" t="n">
        <v>45680.71916666667</v>
      </c>
      <c r="C1211" s="1" t="n">
        <v>46127</v>
      </c>
      <c r="D1211" t="inlineStr">
        <is>
          <t>VÄSTERNORRLANDS LÄN</t>
        </is>
      </c>
      <c r="E1211" t="inlineStr">
        <is>
          <t>ÅNGE</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30803-2022</t>
        </is>
      </c>
      <c r="B1212" s="1" t="n">
        <v>44764</v>
      </c>
      <c r="C1212" s="1" t="n">
        <v>46127</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5669-2026</t>
        </is>
      </c>
      <c r="B1213" s="1" t="n">
        <v>46051.46931712963</v>
      </c>
      <c r="C1213" s="1" t="n">
        <v>46127</v>
      </c>
      <c r="D1213" t="inlineStr">
        <is>
          <t>VÄSTERNORRLANDS LÄN</t>
        </is>
      </c>
      <c r="E1213" t="inlineStr">
        <is>
          <t>ÅNGE</t>
        </is>
      </c>
      <c r="F1213" t="inlineStr">
        <is>
          <t>SCA</t>
        </is>
      </c>
      <c r="G1213" t="n">
        <v>13.6</v>
      </c>
      <c r="H1213" t="n">
        <v>0</v>
      </c>
      <c r="I1213" t="n">
        <v>0</v>
      </c>
      <c r="J1213" t="n">
        <v>0</v>
      </c>
      <c r="K1213" t="n">
        <v>0</v>
      </c>
      <c r="L1213" t="n">
        <v>0</v>
      </c>
      <c r="M1213" t="n">
        <v>0</v>
      </c>
      <c r="N1213" t="n">
        <v>0</v>
      </c>
      <c r="O1213" t="n">
        <v>0</v>
      </c>
      <c r="P1213" t="n">
        <v>0</v>
      </c>
      <c r="Q1213" t="n">
        <v>0</v>
      </c>
      <c r="R1213" s="2" t="inlineStr"/>
    </row>
    <row r="1214" ht="15" customHeight="1">
      <c r="A1214" t="inlineStr">
        <is>
          <t>A 5670-2026</t>
        </is>
      </c>
      <c r="B1214" s="1" t="n">
        <v>46051.46958333333</v>
      </c>
      <c r="C1214" s="1" t="n">
        <v>46127</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5391-2026</t>
        </is>
      </c>
      <c r="B1215" s="1" t="n">
        <v>46050.47145833333</v>
      </c>
      <c r="C1215" s="1" t="n">
        <v>46127</v>
      </c>
      <c r="D1215" t="inlineStr">
        <is>
          <t>VÄSTERNORRLANDS LÄN</t>
        </is>
      </c>
      <c r="E1215" t="inlineStr">
        <is>
          <t>ÅNGE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12670-2026</t>
        </is>
      </c>
      <c r="B1216" s="1" t="n">
        <v>46091</v>
      </c>
      <c r="C1216" s="1" t="n">
        <v>46127</v>
      </c>
      <c r="D1216" t="inlineStr">
        <is>
          <t>VÄSTERNORRLANDS LÄN</t>
        </is>
      </c>
      <c r="E1216" t="inlineStr">
        <is>
          <t>ÅNGE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13093-2026</t>
        </is>
      </c>
      <c r="B1217" s="1" t="n">
        <v>46093.40684027778</v>
      </c>
      <c r="C1217" s="1" t="n">
        <v>46127</v>
      </c>
      <c r="D1217" t="inlineStr">
        <is>
          <t>VÄSTERNORRLANDS LÄN</t>
        </is>
      </c>
      <c r="E1217" t="inlineStr">
        <is>
          <t>ÅNGE</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5388-2026</t>
        </is>
      </c>
      <c r="B1218" s="1" t="n">
        <v>46050.46769675926</v>
      </c>
      <c r="C1218" s="1" t="n">
        <v>46127</v>
      </c>
      <c r="D1218" t="inlineStr">
        <is>
          <t>VÄSTERNORRLANDS LÄN</t>
        </is>
      </c>
      <c r="E1218" t="inlineStr">
        <is>
          <t>ÅNGE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5671-2026</t>
        </is>
      </c>
      <c r="B1219" s="1" t="n">
        <v>46051.46965277778</v>
      </c>
      <c r="C1219" s="1" t="n">
        <v>46127</v>
      </c>
      <c r="D1219" t="inlineStr">
        <is>
          <t>VÄSTERNORRLANDS LÄN</t>
        </is>
      </c>
      <c r="E1219" t="inlineStr">
        <is>
          <t>ÅNGE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34750-2023</t>
        </is>
      </c>
      <c r="B1220" s="1" t="n">
        <v>45139</v>
      </c>
      <c r="C1220" s="1" t="n">
        <v>46127</v>
      </c>
      <c r="D1220" t="inlineStr">
        <is>
          <t>VÄSTERNORRLANDS LÄN</t>
        </is>
      </c>
      <c r="E1220" t="inlineStr">
        <is>
          <t>ÅNGE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13163-2026</t>
        </is>
      </c>
      <c r="B1221" s="1" t="n">
        <v>46093.55259259259</v>
      </c>
      <c r="C1221" s="1" t="n">
        <v>46127</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5223-2026</t>
        </is>
      </c>
      <c r="B1222" s="1" t="n">
        <v>46049.79012731482</v>
      </c>
      <c r="C1222" s="1" t="n">
        <v>46127</v>
      </c>
      <c r="D1222" t="inlineStr">
        <is>
          <t>VÄSTERNORRLANDS LÄN</t>
        </is>
      </c>
      <c r="E1222" t="inlineStr">
        <is>
          <t>ÅNGE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44180-2023</t>
        </is>
      </c>
      <c r="B1223" s="1" t="n">
        <v>45183</v>
      </c>
      <c r="C1223" s="1" t="n">
        <v>46127</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14888-2022</t>
        </is>
      </c>
      <c r="B1224" s="1" t="n">
        <v>44656</v>
      </c>
      <c r="C1224" s="1" t="n">
        <v>46127</v>
      </c>
      <c r="D1224" t="inlineStr">
        <is>
          <t>VÄSTERNORRLANDS LÄN</t>
        </is>
      </c>
      <c r="E1224" t="inlineStr">
        <is>
          <t>ÅNGE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13110-2026</t>
        </is>
      </c>
      <c r="B1225" s="1" t="n">
        <v>46093.4278125</v>
      </c>
      <c r="C1225" s="1" t="n">
        <v>46127</v>
      </c>
      <c r="D1225" t="inlineStr">
        <is>
          <t>VÄSTERNORRLANDS LÄN</t>
        </is>
      </c>
      <c r="E1225" t="inlineStr">
        <is>
          <t>ÅNGE</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13144-2026</t>
        </is>
      </c>
      <c r="B1226" s="1" t="n">
        <v>46093.5115625</v>
      </c>
      <c r="C1226" s="1" t="n">
        <v>46127</v>
      </c>
      <c r="D1226" t="inlineStr">
        <is>
          <t>VÄSTERNORRLANDS LÄN</t>
        </is>
      </c>
      <c r="E1226" t="inlineStr">
        <is>
          <t>ÅNGE</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22990-2024</t>
        </is>
      </c>
      <c r="B1227" s="1" t="n">
        <v>45449.94548611111</v>
      </c>
      <c r="C1227" s="1" t="n">
        <v>46127</v>
      </c>
      <c r="D1227" t="inlineStr">
        <is>
          <t>VÄSTERNORRLANDS LÄN</t>
        </is>
      </c>
      <c r="E1227" t="inlineStr">
        <is>
          <t>ÅNGE</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13080-2026</t>
        </is>
      </c>
      <c r="B1228" s="1" t="n">
        <v>46093.38607638889</v>
      </c>
      <c r="C1228" s="1" t="n">
        <v>46127</v>
      </c>
      <c r="D1228" t="inlineStr">
        <is>
          <t>VÄSTERNORRLANDS LÄN</t>
        </is>
      </c>
      <c r="E1228" t="inlineStr">
        <is>
          <t>ÅNGE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12865-2026</t>
        </is>
      </c>
      <c r="B1229" s="1" t="n">
        <v>46092.49089120371</v>
      </c>
      <c r="C1229" s="1" t="n">
        <v>46127</v>
      </c>
      <c r="D1229" t="inlineStr">
        <is>
          <t>VÄSTERNORRLANDS LÄN</t>
        </is>
      </c>
      <c r="E1229" t="inlineStr">
        <is>
          <t>ÅNGE</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12874-2026</t>
        </is>
      </c>
      <c r="B1230" s="1" t="n">
        <v>46092.51175925926</v>
      </c>
      <c r="C1230" s="1" t="n">
        <v>46127</v>
      </c>
      <c r="D1230" t="inlineStr">
        <is>
          <t>VÄSTERNORRLANDS LÄN</t>
        </is>
      </c>
      <c r="E1230" t="inlineStr">
        <is>
          <t>ÅNGE</t>
        </is>
      </c>
      <c r="F1230" t="inlineStr">
        <is>
          <t>SCA</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27260-2023</t>
        </is>
      </c>
      <c r="B1231" s="1" t="n">
        <v>45092</v>
      </c>
      <c r="C1231" s="1" t="n">
        <v>46127</v>
      </c>
      <c r="D1231" t="inlineStr">
        <is>
          <t>VÄSTERNORRLANDS LÄN</t>
        </is>
      </c>
      <c r="E1231" t="inlineStr">
        <is>
          <t>ÅNGE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58637-2023</t>
        </is>
      </c>
      <c r="B1232" s="1" t="n">
        <v>45251</v>
      </c>
      <c r="C1232" s="1" t="n">
        <v>46127</v>
      </c>
      <c r="D1232" t="inlineStr">
        <is>
          <t>VÄSTERNORRLANDS LÄN</t>
        </is>
      </c>
      <c r="E1232" t="inlineStr">
        <is>
          <t>ÅNGE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5673-2026</t>
        </is>
      </c>
      <c r="B1233" s="1" t="n">
        <v>46051.4699537037</v>
      </c>
      <c r="C1233" s="1" t="n">
        <v>46127</v>
      </c>
      <c r="D1233" t="inlineStr">
        <is>
          <t>VÄSTERNORRLANDS LÄN</t>
        </is>
      </c>
      <c r="E1233" t="inlineStr">
        <is>
          <t>ÅNGE</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30753-2024</t>
        </is>
      </c>
      <c r="B1234" s="1" t="n">
        <v>45496</v>
      </c>
      <c r="C1234" s="1" t="n">
        <v>46127</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30754-2024</t>
        </is>
      </c>
      <c r="B1235" s="1" t="n">
        <v>45496</v>
      </c>
      <c r="C1235" s="1" t="n">
        <v>46127</v>
      </c>
      <c r="D1235" t="inlineStr">
        <is>
          <t>VÄSTERNORRLANDS LÄN</t>
        </is>
      </c>
      <c r="E1235" t="inlineStr">
        <is>
          <t>ÅNGE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5478-2026</t>
        </is>
      </c>
      <c r="B1236" s="1" t="n">
        <v>46050.60172453704</v>
      </c>
      <c r="C1236" s="1" t="n">
        <v>46127</v>
      </c>
      <c r="D1236" t="inlineStr">
        <is>
          <t>VÄSTERNORRLANDS LÄN</t>
        </is>
      </c>
      <c r="E1236" t="inlineStr">
        <is>
          <t>ÅNGE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5672-2026</t>
        </is>
      </c>
      <c r="B1237" s="1" t="n">
        <v>46051.46989583333</v>
      </c>
      <c r="C1237" s="1" t="n">
        <v>46127</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5470-2026</t>
        </is>
      </c>
      <c r="B1238" s="1" t="n">
        <v>46050.59548611111</v>
      </c>
      <c r="C1238" s="1" t="n">
        <v>46127</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13687-2026</t>
        </is>
      </c>
      <c r="B1239" s="1" t="n">
        <v>46097.53208333333</v>
      </c>
      <c r="C1239" s="1" t="n">
        <v>46127</v>
      </c>
      <c r="D1239" t="inlineStr">
        <is>
          <t>VÄSTERNORRLANDS LÄN</t>
        </is>
      </c>
      <c r="E1239" t="inlineStr">
        <is>
          <t>ÅNGE</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13688-2026</t>
        </is>
      </c>
      <c r="B1240" s="1" t="n">
        <v>46097.53211805555</v>
      </c>
      <c r="C1240" s="1" t="n">
        <v>46127</v>
      </c>
      <c r="D1240" t="inlineStr">
        <is>
          <t>VÄSTERNORRLANDS LÄN</t>
        </is>
      </c>
      <c r="E1240" t="inlineStr">
        <is>
          <t>ÅNGE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13352-2026</t>
        </is>
      </c>
      <c r="B1241" s="1" t="n">
        <v>46094.38611111111</v>
      </c>
      <c r="C1241" s="1" t="n">
        <v>46127</v>
      </c>
      <c r="D1241" t="inlineStr">
        <is>
          <t>VÄSTERNORRLANDS LÄN</t>
        </is>
      </c>
      <c r="E1241" t="inlineStr">
        <is>
          <t>ÅNGE</t>
        </is>
      </c>
      <c r="F1241" t="inlineStr">
        <is>
          <t>SCA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57271-2024</t>
        </is>
      </c>
      <c r="B1242" s="1" t="n">
        <v>45629.57364583333</v>
      </c>
      <c r="C1242" s="1" t="n">
        <v>46127</v>
      </c>
      <c r="D1242" t="inlineStr">
        <is>
          <t>VÄSTERNORRLANDS LÄN</t>
        </is>
      </c>
      <c r="E1242" t="inlineStr">
        <is>
          <t>ÅNGE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9480-2022</t>
        </is>
      </c>
      <c r="B1243" s="1" t="n">
        <v>44616</v>
      </c>
      <c r="C1243" s="1" t="n">
        <v>46127</v>
      </c>
      <c r="D1243" t="inlineStr">
        <is>
          <t>VÄSTERNORRLANDS LÄN</t>
        </is>
      </c>
      <c r="E1243" t="inlineStr">
        <is>
          <t>ÅNGE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37503-2023</t>
        </is>
      </c>
      <c r="B1244" s="1" t="n">
        <v>45157.5796875</v>
      </c>
      <c r="C1244" s="1" t="n">
        <v>46127</v>
      </c>
      <c r="D1244" t="inlineStr">
        <is>
          <t>VÄSTERNORRLANDS LÄN</t>
        </is>
      </c>
      <c r="E1244" t="inlineStr">
        <is>
          <t>ÅNGE</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51124-2024</t>
        </is>
      </c>
      <c r="B1245" s="1" t="n">
        <v>45603.50716435185</v>
      </c>
      <c r="C1245" s="1" t="n">
        <v>46127</v>
      </c>
      <c r="D1245" t="inlineStr">
        <is>
          <t>VÄSTERNORRLANDS LÄN</t>
        </is>
      </c>
      <c r="E1245" t="inlineStr">
        <is>
          <t>ÅNGE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51377-2024</t>
        </is>
      </c>
      <c r="B1246" s="1" t="n">
        <v>45604.38142361111</v>
      </c>
      <c r="C1246" s="1" t="n">
        <v>46127</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44876-2024</t>
        </is>
      </c>
      <c r="B1247" s="1" t="n">
        <v>45575.34474537037</v>
      </c>
      <c r="C1247" s="1" t="n">
        <v>46127</v>
      </c>
      <c r="D1247" t="inlineStr">
        <is>
          <t>VÄSTERNORRLANDS LÄN</t>
        </is>
      </c>
      <c r="E1247" t="inlineStr">
        <is>
          <t>ÅNGE</t>
        </is>
      </c>
      <c r="F1247" t="inlineStr">
        <is>
          <t>SCA</t>
        </is>
      </c>
      <c r="G1247" t="n">
        <v>12.4</v>
      </c>
      <c r="H1247" t="n">
        <v>0</v>
      </c>
      <c r="I1247" t="n">
        <v>0</v>
      </c>
      <c r="J1247" t="n">
        <v>0</v>
      </c>
      <c r="K1247" t="n">
        <v>0</v>
      </c>
      <c r="L1247" t="n">
        <v>0</v>
      </c>
      <c r="M1247" t="n">
        <v>0</v>
      </c>
      <c r="N1247" t="n">
        <v>0</v>
      </c>
      <c r="O1247" t="n">
        <v>0</v>
      </c>
      <c r="P1247" t="n">
        <v>0</v>
      </c>
      <c r="Q1247" t="n">
        <v>0</v>
      </c>
      <c r="R1247" s="2" t="inlineStr"/>
    </row>
    <row r="1248" ht="15" customHeight="1">
      <c r="A1248" t="inlineStr">
        <is>
          <t>A 13706-2026</t>
        </is>
      </c>
      <c r="B1248" s="1" t="n">
        <v>46097.57355324074</v>
      </c>
      <c r="C1248" s="1" t="n">
        <v>46127</v>
      </c>
      <c r="D1248" t="inlineStr">
        <is>
          <t>VÄSTERNORRLANDS LÄN</t>
        </is>
      </c>
      <c r="E1248" t="inlineStr">
        <is>
          <t>ÅNGE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13449-2026</t>
        </is>
      </c>
      <c r="B1249" s="1" t="n">
        <v>46094.51108796296</v>
      </c>
      <c r="C1249" s="1" t="n">
        <v>46127</v>
      </c>
      <c r="D1249" t="inlineStr">
        <is>
          <t>VÄSTERNORRLANDS LÄN</t>
        </is>
      </c>
      <c r="E1249" t="inlineStr">
        <is>
          <t>ÅNGE</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20229-2022</t>
        </is>
      </c>
      <c r="B1250" s="1" t="n">
        <v>44698.61150462963</v>
      </c>
      <c r="C1250" s="1" t="n">
        <v>46127</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14097-2022</t>
        </is>
      </c>
      <c r="B1251" s="1" t="n">
        <v>44651</v>
      </c>
      <c r="C1251" s="1" t="n">
        <v>46127</v>
      </c>
      <c r="D1251" t="inlineStr">
        <is>
          <t>VÄSTERNORRLANDS LÄN</t>
        </is>
      </c>
      <c r="E1251" t="inlineStr">
        <is>
          <t>ÅNGE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32901-2023</t>
        </is>
      </c>
      <c r="B1252" s="1" t="n">
        <v>45124.95063657407</v>
      </c>
      <c r="C1252" s="1" t="n">
        <v>46127</v>
      </c>
      <c r="D1252" t="inlineStr">
        <is>
          <t>VÄSTERNORRLANDS LÄN</t>
        </is>
      </c>
      <c r="E1252" t="inlineStr">
        <is>
          <t>ÅNGE</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15603-2024</t>
        </is>
      </c>
      <c r="B1253" s="1" t="n">
        <v>45401.92501157407</v>
      </c>
      <c r="C1253" s="1" t="n">
        <v>46127</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13686-2026</t>
        </is>
      </c>
      <c r="B1254" s="1" t="n">
        <v>46097.53200231482</v>
      </c>
      <c r="C1254" s="1" t="n">
        <v>46127</v>
      </c>
      <c r="D1254" t="inlineStr">
        <is>
          <t>VÄSTERNORRLANDS LÄN</t>
        </is>
      </c>
      <c r="E1254" t="inlineStr">
        <is>
          <t>ÅNGE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5882-2026</t>
        </is>
      </c>
      <c r="B1255" s="1" t="n">
        <v>46052.39703703704</v>
      </c>
      <c r="C1255" s="1" t="n">
        <v>46127</v>
      </c>
      <c r="D1255" t="inlineStr">
        <is>
          <t>VÄSTERNORRLANDS LÄN</t>
        </is>
      </c>
      <c r="E1255" t="inlineStr">
        <is>
          <t>ÅNGE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13438-2026</t>
        </is>
      </c>
      <c r="B1256" s="1" t="n">
        <v>46094.49040509259</v>
      </c>
      <c r="C1256" s="1" t="n">
        <v>46127</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14101-2026</t>
        </is>
      </c>
      <c r="B1257" s="1" t="n">
        <v>46099.40693287037</v>
      </c>
      <c r="C1257" s="1" t="n">
        <v>46127</v>
      </c>
      <c r="D1257" t="inlineStr">
        <is>
          <t>VÄSTERNORRLANDS LÄN</t>
        </is>
      </c>
      <c r="E1257" t="inlineStr">
        <is>
          <t>ÅNGE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14137-2026</t>
        </is>
      </c>
      <c r="B1258" s="1" t="n">
        <v>46099.45681712963</v>
      </c>
      <c r="C1258" s="1" t="n">
        <v>46127</v>
      </c>
      <c r="D1258" t="inlineStr">
        <is>
          <t>VÄSTERNORRLANDS LÄN</t>
        </is>
      </c>
      <c r="E1258" t="inlineStr">
        <is>
          <t>ÅNGE</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6692-2026</t>
        </is>
      </c>
      <c r="B1259" s="1" t="n">
        <v>46056.63623842593</v>
      </c>
      <c r="C1259" s="1" t="n">
        <v>46127</v>
      </c>
      <c r="D1259" t="inlineStr">
        <is>
          <t>VÄSTERNORRLANDS LÄN</t>
        </is>
      </c>
      <c r="E1259" t="inlineStr">
        <is>
          <t>ÅNGE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6901-2026</t>
        </is>
      </c>
      <c r="B1260" s="1" t="n">
        <v>46057.4903587963</v>
      </c>
      <c r="C1260" s="1" t="n">
        <v>46127</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11310-2023</t>
        </is>
      </c>
      <c r="B1261" s="1" t="n">
        <v>44993.01190972222</v>
      </c>
      <c r="C1261" s="1" t="n">
        <v>46127</v>
      </c>
      <c r="D1261" t="inlineStr">
        <is>
          <t>VÄSTERNORRLANDS LÄN</t>
        </is>
      </c>
      <c r="E1261" t="inlineStr">
        <is>
          <t>ÅNGE</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14291-2026</t>
        </is>
      </c>
      <c r="B1262" s="1" t="n">
        <v>46099.69642361111</v>
      </c>
      <c r="C1262" s="1" t="n">
        <v>46127</v>
      </c>
      <c r="D1262" t="inlineStr">
        <is>
          <t>VÄSTERNORRLANDS LÄN</t>
        </is>
      </c>
      <c r="E1262" t="inlineStr">
        <is>
          <t>ÅNGE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7005-2026</t>
        </is>
      </c>
      <c r="B1263" s="1" t="n">
        <v>46057.63594907407</v>
      </c>
      <c r="C1263" s="1" t="n">
        <v>46127</v>
      </c>
      <c r="D1263" t="inlineStr">
        <is>
          <t>VÄSTERNORRLANDS LÄN</t>
        </is>
      </c>
      <c r="E1263" t="inlineStr">
        <is>
          <t>ÅNGE</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21409-2022</t>
        </is>
      </c>
      <c r="B1264" s="1" t="n">
        <v>44705.9406712963</v>
      </c>
      <c r="C1264" s="1" t="n">
        <v>46127</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6542-2026</t>
        </is>
      </c>
      <c r="B1265" s="1" t="n">
        <v>46056.42770833334</v>
      </c>
      <c r="C1265" s="1" t="n">
        <v>46127</v>
      </c>
      <c r="D1265" t="inlineStr">
        <is>
          <t>VÄSTERNORRLANDS LÄN</t>
        </is>
      </c>
      <c r="E1265" t="inlineStr">
        <is>
          <t>ÅNGE</t>
        </is>
      </c>
      <c r="F1265" t="inlineStr">
        <is>
          <t>SCA</t>
        </is>
      </c>
      <c r="G1265" t="n">
        <v>28.5</v>
      </c>
      <c r="H1265" t="n">
        <v>0</v>
      </c>
      <c r="I1265" t="n">
        <v>0</v>
      </c>
      <c r="J1265" t="n">
        <v>0</v>
      </c>
      <c r="K1265" t="n">
        <v>0</v>
      </c>
      <c r="L1265" t="n">
        <v>0</v>
      </c>
      <c r="M1265" t="n">
        <v>0</v>
      </c>
      <c r="N1265" t="n">
        <v>0</v>
      </c>
      <c r="O1265" t="n">
        <v>0</v>
      </c>
      <c r="P1265" t="n">
        <v>0</v>
      </c>
      <c r="Q1265" t="n">
        <v>0</v>
      </c>
      <c r="R1265" s="2" t="inlineStr"/>
    </row>
    <row r="1266" ht="15" customHeight="1">
      <c r="A1266" t="inlineStr">
        <is>
          <t>A 6547-2026</t>
        </is>
      </c>
      <c r="B1266" s="1" t="n">
        <v>46056.42825231481</v>
      </c>
      <c r="C1266" s="1" t="n">
        <v>46127</v>
      </c>
      <c r="D1266" t="inlineStr">
        <is>
          <t>VÄSTERNORRLANDS LÄN</t>
        </is>
      </c>
      <c r="E1266" t="inlineStr">
        <is>
          <t>ÅNGE</t>
        </is>
      </c>
      <c r="F1266" t="inlineStr">
        <is>
          <t>SCA</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6795-2026</t>
        </is>
      </c>
      <c r="B1267" s="1" t="n">
        <v>46057.34429398148</v>
      </c>
      <c r="C1267" s="1" t="n">
        <v>46127</v>
      </c>
      <c r="D1267" t="inlineStr">
        <is>
          <t>VÄSTERNORRLANDS LÄN</t>
        </is>
      </c>
      <c r="E1267" t="inlineStr">
        <is>
          <t>ÅNGE</t>
        </is>
      </c>
      <c r="F1267" t="inlineStr">
        <is>
          <t>SCA</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48632-2023</t>
        </is>
      </c>
      <c r="B1268" s="1" t="n">
        <v>45208.57944444445</v>
      </c>
      <c r="C1268" s="1" t="n">
        <v>46127</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6797-2026</t>
        </is>
      </c>
      <c r="B1269" s="1" t="n">
        <v>46057.34459490741</v>
      </c>
      <c r="C1269" s="1" t="n">
        <v>46127</v>
      </c>
      <c r="D1269" t="inlineStr">
        <is>
          <t>VÄSTERNORRLANDS LÄN</t>
        </is>
      </c>
      <c r="E1269" t="inlineStr">
        <is>
          <t>ÅNGE</t>
        </is>
      </c>
      <c r="F1269" t="inlineStr">
        <is>
          <t>SCA</t>
        </is>
      </c>
      <c r="G1269" t="n">
        <v>10.7</v>
      </c>
      <c r="H1269" t="n">
        <v>0</v>
      </c>
      <c r="I1269" t="n">
        <v>0</v>
      </c>
      <c r="J1269" t="n">
        <v>0</v>
      </c>
      <c r="K1269" t="n">
        <v>0</v>
      </c>
      <c r="L1269" t="n">
        <v>0</v>
      </c>
      <c r="M1269" t="n">
        <v>0</v>
      </c>
      <c r="N1269" t="n">
        <v>0</v>
      </c>
      <c r="O1269" t="n">
        <v>0</v>
      </c>
      <c r="P1269" t="n">
        <v>0</v>
      </c>
      <c r="Q1269" t="n">
        <v>0</v>
      </c>
      <c r="R1269" s="2" t="inlineStr"/>
    </row>
    <row r="1270" ht="15" customHeight="1">
      <c r="A1270" t="inlineStr">
        <is>
          <t>A 13904-2026</t>
        </is>
      </c>
      <c r="B1270" s="1" t="n">
        <v>46098.46965277778</v>
      </c>
      <c r="C1270" s="1" t="n">
        <v>46127</v>
      </c>
      <c r="D1270" t="inlineStr">
        <is>
          <t>VÄSTERNORRLANDS LÄN</t>
        </is>
      </c>
      <c r="E1270" t="inlineStr">
        <is>
          <t>ÅNGE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20761-2024</t>
        </is>
      </c>
      <c r="B1271" s="1" t="n">
        <v>45436</v>
      </c>
      <c r="C1271" s="1" t="n">
        <v>46127</v>
      </c>
      <c r="D1271" t="inlineStr">
        <is>
          <t>VÄSTERNORRLANDS LÄN</t>
        </is>
      </c>
      <c r="E1271" t="inlineStr">
        <is>
          <t>ÅNGE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6883-2026</t>
        </is>
      </c>
      <c r="B1272" s="1" t="n">
        <v>46057.46607638889</v>
      </c>
      <c r="C1272" s="1" t="n">
        <v>46127</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6619-2025</t>
        </is>
      </c>
      <c r="B1273" s="1" t="n">
        <v>45700.36541666667</v>
      </c>
      <c r="C1273" s="1" t="n">
        <v>46127</v>
      </c>
      <c r="D1273" t="inlineStr">
        <is>
          <t>VÄSTERNORRLANDS LÄN</t>
        </is>
      </c>
      <c r="E1273" t="inlineStr">
        <is>
          <t>ÅNGE</t>
        </is>
      </c>
      <c r="F1273" t="inlineStr">
        <is>
          <t>SCA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6918-2026</t>
        </is>
      </c>
      <c r="B1274" s="1" t="n">
        <v>46057.53289351852</v>
      </c>
      <c r="C1274" s="1" t="n">
        <v>46127</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6932-2026</t>
        </is>
      </c>
      <c r="B1275" s="1" t="n">
        <v>46057.55331018518</v>
      </c>
      <c r="C1275" s="1" t="n">
        <v>46127</v>
      </c>
      <c r="D1275" t="inlineStr">
        <is>
          <t>VÄSTERNORRLANDS LÄN</t>
        </is>
      </c>
      <c r="E1275" t="inlineStr">
        <is>
          <t>ÅNGE</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6975-2026</t>
        </is>
      </c>
      <c r="B1276" s="1" t="n">
        <v>46057.59436342592</v>
      </c>
      <c r="C1276" s="1" t="n">
        <v>46127</v>
      </c>
      <c r="D1276" t="inlineStr">
        <is>
          <t>VÄSTERNORRLANDS LÄN</t>
        </is>
      </c>
      <c r="E1276" t="inlineStr">
        <is>
          <t>ÅNGE</t>
        </is>
      </c>
      <c r="F1276" t="inlineStr">
        <is>
          <t>SCA</t>
        </is>
      </c>
      <c r="G1276" t="n">
        <v>20.7</v>
      </c>
      <c r="H1276" t="n">
        <v>0</v>
      </c>
      <c r="I1276" t="n">
        <v>0</v>
      </c>
      <c r="J1276" t="n">
        <v>0</v>
      </c>
      <c r="K1276" t="n">
        <v>0</v>
      </c>
      <c r="L1276" t="n">
        <v>0</v>
      </c>
      <c r="M1276" t="n">
        <v>0</v>
      </c>
      <c r="N1276" t="n">
        <v>0</v>
      </c>
      <c r="O1276" t="n">
        <v>0</v>
      </c>
      <c r="P1276" t="n">
        <v>0</v>
      </c>
      <c r="Q1276" t="n">
        <v>0</v>
      </c>
      <c r="R1276" s="2" t="inlineStr"/>
    </row>
    <row r="1277" ht="15" customHeight="1">
      <c r="A1277" t="inlineStr">
        <is>
          <t>A 10339-2025</t>
        </is>
      </c>
      <c r="B1277" s="1" t="n">
        <v>45720</v>
      </c>
      <c r="C1277" s="1" t="n">
        <v>46127</v>
      </c>
      <c r="D1277" t="inlineStr">
        <is>
          <t>VÄSTERNORRLANDS LÄN</t>
        </is>
      </c>
      <c r="E1277" t="inlineStr">
        <is>
          <t>ÅNGE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7016-2026</t>
        </is>
      </c>
      <c r="B1278" s="1" t="n">
        <v>46057.64766203704</v>
      </c>
      <c r="C1278" s="1" t="n">
        <v>46127</v>
      </c>
      <c r="D1278" t="inlineStr">
        <is>
          <t>VÄSTERNORRLANDS LÄN</t>
        </is>
      </c>
      <c r="E1278" t="inlineStr">
        <is>
          <t>ÅNGE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13850-2026</t>
        </is>
      </c>
      <c r="B1279" s="1" t="n">
        <v>46098.3872337963</v>
      </c>
      <c r="C1279" s="1" t="n">
        <v>46127</v>
      </c>
      <c r="D1279" t="inlineStr">
        <is>
          <t>VÄSTERNORRLANDS LÄN</t>
        </is>
      </c>
      <c r="E1279" t="inlineStr">
        <is>
          <t>ÅNGE</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14236-2026</t>
        </is>
      </c>
      <c r="B1280" s="1" t="n">
        <v>46099.59628472223</v>
      </c>
      <c r="C1280" s="1" t="n">
        <v>46127</v>
      </c>
      <c r="D1280" t="inlineStr">
        <is>
          <t>VÄSTERNORRLANDS LÄN</t>
        </is>
      </c>
      <c r="E1280" t="inlineStr">
        <is>
          <t>ÅNGE</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14220-2026</t>
        </is>
      </c>
      <c r="B1281" s="1" t="n">
        <v>46099.57112268519</v>
      </c>
      <c r="C1281" s="1" t="n">
        <v>46127</v>
      </c>
      <c r="D1281" t="inlineStr">
        <is>
          <t>VÄSTERNORRLANDS LÄN</t>
        </is>
      </c>
      <c r="E1281" t="inlineStr">
        <is>
          <t>ÅNGE</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12581-2024</t>
        </is>
      </c>
      <c r="B1282" s="1" t="n">
        <v>45379</v>
      </c>
      <c r="C1282" s="1" t="n">
        <v>46127</v>
      </c>
      <c r="D1282" t="inlineStr">
        <is>
          <t>VÄSTERNORRLANDS LÄN</t>
        </is>
      </c>
      <c r="E1282" t="inlineStr">
        <is>
          <t>ÅNGE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55558-2024</t>
        </is>
      </c>
      <c r="B1283" s="1" t="n">
        <v>45622.52586805556</v>
      </c>
      <c r="C1283" s="1" t="n">
        <v>46127</v>
      </c>
      <c r="D1283" t="inlineStr">
        <is>
          <t>VÄSTERNORRLANDS LÄN</t>
        </is>
      </c>
      <c r="E1283" t="inlineStr">
        <is>
          <t>ÅNGE</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14024-2026</t>
        </is>
      </c>
      <c r="B1284" s="1" t="n">
        <v>46098.71935185185</v>
      </c>
      <c r="C1284" s="1" t="n">
        <v>46127</v>
      </c>
      <c r="D1284" t="inlineStr">
        <is>
          <t>VÄSTERNORRLANDS LÄN</t>
        </is>
      </c>
      <c r="E1284" t="inlineStr">
        <is>
          <t>ÅNGE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52665-2024</t>
        </is>
      </c>
      <c r="B1285" s="1" t="n">
        <v>45610.36549768518</v>
      </c>
      <c r="C1285" s="1" t="n">
        <v>46127</v>
      </c>
      <c r="D1285" t="inlineStr">
        <is>
          <t>VÄSTERNORRLANDS LÄN</t>
        </is>
      </c>
      <c r="E1285" t="inlineStr">
        <is>
          <t>ÅNGE</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20338-2025</t>
        </is>
      </c>
      <c r="B1286" s="1" t="n">
        <v>45775</v>
      </c>
      <c r="C1286" s="1" t="n">
        <v>46127</v>
      </c>
      <c r="D1286" t="inlineStr">
        <is>
          <t>VÄSTERNORRLANDS LÄN</t>
        </is>
      </c>
      <c r="E1286" t="inlineStr">
        <is>
          <t>ÅNGE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7026-2026</t>
        </is>
      </c>
      <c r="B1287" s="1" t="n">
        <v>46057.67420138889</v>
      </c>
      <c r="C1287" s="1" t="n">
        <v>46127</v>
      </c>
      <c r="D1287" t="inlineStr">
        <is>
          <t>VÄSTERNORRLANDS LÄN</t>
        </is>
      </c>
      <c r="E1287" t="inlineStr">
        <is>
          <t>ÅNGE</t>
        </is>
      </c>
      <c r="G1287" t="n">
        <v>18.4</v>
      </c>
      <c r="H1287" t="n">
        <v>0</v>
      </c>
      <c r="I1287" t="n">
        <v>0</v>
      </c>
      <c r="J1287" t="n">
        <v>0</v>
      </c>
      <c r="K1287" t="n">
        <v>0</v>
      </c>
      <c r="L1287" t="n">
        <v>0</v>
      </c>
      <c r="M1287" t="n">
        <v>0</v>
      </c>
      <c r="N1287" t="n">
        <v>0</v>
      </c>
      <c r="O1287" t="n">
        <v>0</v>
      </c>
      <c r="P1287" t="n">
        <v>0</v>
      </c>
      <c r="Q1287" t="n">
        <v>0</v>
      </c>
      <c r="R1287" s="2" t="inlineStr"/>
    </row>
    <row r="1288" ht="15" customHeight="1">
      <c r="A1288" t="inlineStr">
        <is>
          <t>A 14751-2025</t>
        </is>
      </c>
      <c r="B1288" s="1" t="n">
        <v>45742.65863425926</v>
      </c>
      <c r="C1288" s="1" t="n">
        <v>46127</v>
      </c>
      <c r="D1288" t="inlineStr">
        <is>
          <t>VÄSTERNORRLANDS LÄN</t>
        </is>
      </c>
      <c r="E1288" t="inlineStr">
        <is>
          <t>ÅNGE</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54342-2023</t>
        </is>
      </c>
      <c r="B1289" s="1" t="n">
        <v>45232</v>
      </c>
      <c r="C1289" s="1" t="n">
        <v>46127</v>
      </c>
      <c r="D1289" t="inlineStr">
        <is>
          <t>VÄSTERNORRLANDS LÄN</t>
        </is>
      </c>
      <c r="E1289" t="inlineStr">
        <is>
          <t>ÅNGE</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14507-2026</t>
        </is>
      </c>
      <c r="B1290" s="1" t="n">
        <v>46100.61540509259</v>
      </c>
      <c r="C1290" s="1" t="n">
        <v>46127</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14372-2026</t>
        </is>
      </c>
      <c r="B1291" s="1" t="n">
        <v>46100.36810185185</v>
      </c>
      <c r="C1291" s="1" t="n">
        <v>46127</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34091-2022</t>
        </is>
      </c>
      <c r="B1292" s="1" t="n">
        <v>44791</v>
      </c>
      <c r="C1292" s="1" t="n">
        <v>46127</v>
      </c>
      <c r="D1292" t="inlineStr">
        <is>
          <t>VÄSTERNORRLANDS LÄN</t>
        </is>
      </c>
      <c r="E1292" t="inlineStr">
        <is>
          <t>ÅNGE</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7284-2026</t>
        </is>
      </c>
      <c r="B1293" s="1" t="n">
        <v>46058.63614583333</v>
      </c>
      <c r="C1293" s="1" t="n">
        <v>46127</v>
      </c>
      <c r="D1293" t="inlineStr">
        <is>
          <t>VÄSTERNORRLANDS LÄN</t>
        </is>
      </c>
      <c r="E1293" t="inlineStr">
        <is>
          <t>ÅNGE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19066-2024</t>
        </is>
      </c>
      <c r="B1294" s="1" t="n">
        <v>45427</v>
      </c>
      <c r="C1294" s="1" t="n">
        <v>46127</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14506-2026</t>
        </is>
      </c>
      <c r="B1295" s="1" t="n">
        <v>46100.61523148148</v>
      </c>
      <c r="C1295" s="1" t="n">
        <v>46127</v>
      </c>
      <c r="D1295" t="inlineStr">
        <is>
          <t>VÄSTERNORRLANDS LÄN</t>
        </is>
      </c>
      <c r="E1295" t="inlineStr">
        <is>
          <t>ÅNGE</t>
        </is>
      </c>
      <c r="F1295" t="inlineStr">
        <is>
          <t>SCA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14976-2025</t>
        </is>
      </c>
      <c r="B1296" s="1" t="n">
        <v>45743</v>
      </c>
      <c r="C1296" s="1" t="n">
        <v>46127</v>
      </c>
      <c r="D1296" t="inlineStr">
        <is>
          <t>VÄSTERNORRLANDS LÄN</t>
        </is>
      </c>
      <c r="E1296" t="inlineStr">
        <is>
          <t>ÅNGE</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7184-2026</t>
        </is>
      </c>
      <c r="B1297" s="1" t="n">
        <v>46058.49020833334</v>
      </c>
      <c r="C1297" s="1" t="n">
        <v>46127</v>
      </c>
      <c r="D1297" t="inlineStr">
        <is>
          <t>VÄSTERNORRLANDS LÄN</t>
        </is>
      </c>
      <c r="E1297" t="inlineStr">
        <is>
          <t>ÅNGE</t>
        </is>
      </c>
      <c r="F1297" t="inlineStr">
        <is>
          <t>SCA</t>
        </is>
      </c>
      <c r="G1297" t="n">
        <v>19.3</v>
      </c>
      <c r="H1297" t="n">
        <v>0</v>
      </c>
      <c r="I1297" t="n">
        <v>0</v>
      </c>
      <c r="J1297" t="n">
        <v>0</v>
      </c>
      <c r="K1297" t="n">
        <v>0</v>
      </c>
      <c r="L1297" t="n">
        <v>0</v>
      </c>
      <c r="M1297" t="n">
        <v>0</v>
      </c>
      <c r="N1297" t="n">
        <v>0</v>
      </c>
      <c r="O1297" t="n">
        <v>0</v>
      </c>
      <c r="P1297" t="n">
        <v>0</v>
      </c>
      <c r="Q1297" t="n">
        <v>0</v>
      </c>
      <c r="R1297" s="2" t="inlineStr"/>
    </row>
    <row r="1298" ht="15" customHeight="1">
      <c r="A1298" t="inlineStr">
        <is>
          <t>A 8070-2022</t>
        </is>
      </c>
      <c r="B1298" s="1" t="n">
        <v>44609.48665509259</v>
      </c>
      <c r="C1298" s="1" t="n">
        <v>46127</v>
      </c>
      <c r="D1298" t="inlineStr">
        <is>
          <t>VÄSTERNORRLANDS LÄN</t>
        </is>
      </c>
      <c r="E1298" t="inlineStr">
        <is>
          <t>ÅNGE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52805-2024</t>
        </is>
      </c>
      <c r="B1299" s="1" t="n">
        <v>45610.57344907407</v>
      </c>
      <c r="C1299" s="1" t="n">
        <v>46127</v>
      </c>
      <c r="D1299" t="inlineStr">
        <is>
          <t>VÄSTERNORRLANDS LÄN</t>
        </is>
      </c>
      <c r="E1299" t="inlineStr">
        <is>
          <t>ÅNGE</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4651-2022</t>
        </is>
      </c>
      <c r="B1300" s="1" t="n">
        <v>44592</v>
      </c>
      <c r="C1300" s="1" t="n">
        <v>46127</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19342-2024</t>
        </is>
      </c>
      <c r="B1301" s="1" t="n">
        <v>45428</v>
      </c>
      <c r="C1301" s="1" t="n">
        <v>46127</v>
      </c>
      <c r="D1301" t="inlineStr">
        <is>
          <t>VÄSTERNORRLANDS LÄN</t>
        </is>
      </c>
      <c r="E1301" t="inlineStr">
        <is>
          <t>ÅNGE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7547-2026</t>
        </is>
      </c>
      <c r="B1302" s="1" t="n">
        <v>46059.67755787037</v>
      </c>
      <c r="C1302" s="1" t="n">
        <v>46127</v>
      </c>
      <c r="D1302" t="inlineStr">
        <is>
          <t>VÄSTERNORRLANDS LÄN</t>
        </is>
      </c>
      <c r="E1302" t="inlineStr">
        <is>
          <t>ÅNGE</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14408-2026</t>
        </is>
      </c>
      <c r="B1303" s="1" t="n">
        <v>46100.43482638889</v>
      </c>
      <c r="C1303" s="1" t="n">
        <v>46127</v>
      </c>
      <c r="D1303" t="inlineStr">
        <is>
          <t>VÄSTERNORRLANDS LÄN</t>
        </is>
      </c>
      <c r="E1303" t="inlineStr">
        <is>
          <t>ÅNGE</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24977-2021</t>
        </is>
      </c>
      <c r="B1304" s="1" t="n">
        <v>44341.51386574074</v>
      </c>
      <c r="C1304" s="1" t="n">
        <v>46127</v>
      </c>
      <c r="D1304" t="inlineStr">
        <is>
          <t>VÄSTERNORRLANDS LÄN</t>
        </is>
      </c>
      <c r="E1304" t="inlineStr">
        <is>
          <t>ÅNGE</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5246-2025</t>
        </is>
      </c>
      <c r="B1305" s="1" t="n">
        <v>45692.34427083333</v>
      </c>
      <c r="C1305" s="1" t="n">
        <v>46127</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7283-2026</t>
        </is>
      </c>
      <c r="B1306" s="1" t="n">
        <v>46058.63606481482</v>
      </c>
      <c r="C1306" s="1" t="n">
        <v>46127</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16973-2025</t>
        </is>
      </c>
      <c r="B1307" s="1" t="n">
        <v>45755.46967592592</v>
      </c>
      <c r="C1307" s="1" t="n">
        <v>46127</v>
      </c>
      <c r="D1307" t="inlineStr">
        <is>
          <t>VÄSTERNORRLANDS LÄN</t>
        </is>
      </c>
      <c r="E1307" t="inlineStr">
        <is>
          <t>ÅNGE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14425-2026</t>
        </is>
      </c>
      <c r="B1308" s="1" t="n">
        <v>46100.46949074074</v>
      </c>
      <c r="C1308" s="1" t="n">
        <v>46127</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14392-2026</t>
        </is>
      </c>
      <c r="B1309" s="1" t="n">
        <v>46100.38825231481</v>
      </c>
      <c r="C1309" s="1" t="n">
        <v>46127</v>
      </c>
      <c r="D1309" t="inlineStr">
        <is>
          <t>VÄSTERNORRLANDS LÄN</t>
        </is>
      </c>
      <c r="E1309" t="inlineStr">
        <is>
          <t>ÅNGE</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34679-2024</t>
        </is>
      </c>
      <c r="B1310" s="1" t="n">
        <v>45526</v>
      </c>
      <c r="C1310" s="1" t="n">
        <v>46127</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43096-2023</t>
        </is>
      </c>
      <c r="B1311" s="1" t="n">
        <v>45182</v>
      </c>
      <c r="C1311" s="1" t="n">
        <v>46127</v>
      </c>
      <c r="D1311" t="inlineStr">
        <is>
          <t>VÄSTERNORRLANDS LÄN</t>
        </is>
      </c>
      <c r="E1311" t="inlineStr">
        <is>
          <t>ÅNGE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14413-2026</t>
        </is>
      </c>
      <c r="B1312" s="1" t="n">
        <v>46100</v>
      </c>
      <c r="C1312" s="1" t="n">
        <v>46127</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60296-2021</t>
        </is>
      </c>
      <c r="B1313" s="1" t="n">
        <v>44495</v>
      </c>
      <c r="C1313" s="1" t="n">
        <v>46127</v>
      </c>
      <c r="D1313" t="inlineStr">
        <is>
          <t>VÄSTERNORRLANDS LÄN</t>
        </is>
      </c>
      <c r="E1313" t="inlineStr">
        <is>
          <t>ÅNGE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7480-2026</t>
        </is>
      </c>
      <c r="B1314" s="1" t="n">
        <v>46059</v>
      </c>
      <c r="C1314" s="1" t="n">
        <v>46127</v>
      </c>
      <c r="D1314" t="inlineStr">
        <is>
          <t>VÄSTERNORRLANDS LÄN</t>
        </is>
      </c>
      <c r="E1314" t="inlineStr">
        <is>
          <t>ÅNGE</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7548-2026</t>
        </is>
      </c>
      <c r="B1315" s="1" t="n">
        <v>46059.67776620371</v>
      </c>
      <c r="C1315" s="1" t="n">
        <v>46127</v>
      </c>
      <c r="D1315" t="inlineStr">
        <is>
          <t>VÄSTERNORRLANDS LÄN</t>
        </is>
      </c>
      <c r="E1315" t="inlineStr">
        <is>
          <t>ÅNGE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25023-2022</t>
        </is>
      </c>
      <c r="B1316" s="1" t="n">
        <v>44728</v>
      </c>
      <c r="C1316" s="1" t="n">
        <v>46127</v>
      </c>
      <c r="D1316" t="inlineStr">
        <is>
          <t>VÄSTERNORRLANDS LÄN</t>
        </is>
      </c>
      <c r="E1316" t="inlineStr">
        <is>
          <t>ÅNGE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31545-2024</t>
        </is>
      </c>
      <c r="B1317" s="1" t="n">
        <v>45505</v>
      </c>
      <c r="C1317" s="1" t="n">
        <v>46127</v>
      </c>
      <c r="D1317" t="inlineStr">
        <is>
          <t>VÄSTERNORRLANDS LÄN</t>
        </is>
      </c>
      <c r="E1317" t="inlineStr">
        <is>
          <t>ÅNGE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7634-2026</t>
        </is>
      </c>
      <c r="B1318" s="1" t="n">
        <v>46062.36506944444</v>
      </c>
      <c r="C1318" s="1" t="n">
        <v>46127</v>
      </c>
      <c r="D1318" t="inlineStr">
        <is>
          <t>VÄSTERNORRLANDS LÄN</t>
        </is>
      </c>
      <c r="E1318" t="inlineStr">
        <is>
          <t>ÅNGE</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5197-2025</t>
        </is>
      </c>
      <c r="B1319" s="1" t="n">
        <v>45691.65701388889</v>
      </c>
      <c r="C1319" s="1" t="n">
        <v>46127</v>
      </c>
      <c r="D1319" t="inlineStr">
        <is>
          <t>VÄSTERNORRLANDS LÄN</t>
        </is>
      </c>
      <c r="E1319" t="inlineStr">
        <is>
          <t>ÅNGE</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50179-2024</t>
        </is>
      </c>
      <c r="B1320" s="1" t="n">
        <v>45600</v>
      </c>
      <c r="C1320" s="1" t="n">
        <v>46127</v>
      </c>
      <c r="D1320" t="inlineStr">
        <is>
          <t>VÄSTERNORRLANDS LÄN</t>
        </is>
      </c>
      <c r="E1320" t="inlineStr">
        <is>
          <t>ÅNGE</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7946-2026</t>
        </is>
      </c>
      <c r="B1321" s="1" t="n">
        <v>46062</v>
      </c>
      <c r="C1321" s="1" t="n">
        <v>46127</v>
      </c>
      <c r="D1321" t="inlineStr">
        <is>
          <t>VÄSTERNORRLANDS LÄN</t>
        </is>
      </c>
      <c r="E1321" t="inlineStr">
        <is>
          <t>ÅNGE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44565-2024</t>
        </is>
      </c>
      <c r="B1322" s="1" t="n">
        <v>45574.47518518518</v>
      </c>
      <c r="C1322" s="1" t="n">
        <v>46127</v>
      </c>
      <c r="D1322" t="inlineStr">
        <is>
          <t>VÄSTERNORRLANDS LÄN</t>
        </is>
      </c>
      <c r="E1322" t="inlineStr">
        <is>
          <t>ÅNGE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40755-2023</t>
        </is>
      </c>
      <c r="B1323" s="1" t="n">
        <v>45170</v>
      </c>
      <c r="C1323" s="1" t="n">
        <v>46127</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31696-2022</t>
        </is>
      </c>
      <c r="B1324" s="1" t="n">
        <v>44776</v>
      </c>
      <c r="C1324" s="1" t="n">
        <v>46127</v>
      </c>
      <c r="D1324" t="inlineStr">
        <is>
          <t>VÄSTERNORRLANDS LÄN</t>
        </is>
      </c>
      <c r="E1324" t="inlineStr">
        <is>
          <t>ÅNGE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7826-2026</t>
        </is>
      </c>
      <c r="B1325" s="1" t="n">
        <v>46062</v>
      </c>
      <c r="C1325" s="1" t="n">
        <v>46127</v>
      </c>
      <c r="D1325" t="inlineStr">
        <is>
          <t>VÄSTERNORRLANDS LÄN</t>
        </is>
      </c>
      <c r="E1325" t="inlineStr">
        <is>
          <t>ÅNGE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14844-2026</t>
        </is>
      </c>
      <c r="B1326" s="1" t="n">
        <v>46104</v>
      </c>
      <c r="C1326" s="1" t="n">
        <v>46127</v>
      </c>
      <c r="D1326" t="inlineStr">
        <is>
          <t>VÄSTERNORRLANDS LÄN</t>
        </is>
      </c>
      <c r="E1326" t="inlineStr">
        <is>
          <t>ÅNGE</t>
        </is>
      </c>
      <c r="F1326" t="inlineStr">
        <is>
          <t>SCA</t>
        </is>
      </c>
      <c r="G1326" t="n">
        <v>19.3</v>
      </c>
      <c r="H1326" t="n">
        <v>0</v>
      </c>
      <c r="I1326" t="n">
        <v>0</v>
      </c>
      <c r="J1326" t="n">
        <v>0</v>
      </c>
      <c r="K1326" t="n">
        <v>0</v>
      </c>
      <c r="L1326" t="n">
        <v>0</v>
      </c>
      <c r="M1326" t="n">
        <v>0</v>
      </c>
      <c r="N1326" t="n">
        <v>0</v>
      </c>
      <c r="O1326" t="n">
        <v>0</v>
      </c>
      <c r="P1326" t="n">
        <v>0</v>
      </c>
      <c r="Q1326" t="n">
        <v>0</v>
      </c>
      <c r="R1326" s="2" t="inlineStr"/>
    </row>
    <row r="1327" ht="15" customHeight="1">
      <c r="A1327" t="inlineStr">
        <is>
          <t>A 10084-2023</t>
        </is>
      </c>
      <c r="B1327" s="1" t="n">
        <v>44985.94465277778</v>
      </c>
      <c r="C1327" s="1" t="n">
        <v>46127</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37038-2024</t>
        </is>
      </c>
      <c r="B1328" s="1" t="n">
        <v>45539.40881944444</v>
      </c>
      <c r="C1328" s="1" t="n">
        <v>46127</v>
      </c>
      <c r="D1328" t="inlineStr">
        <is>
          <t>VÄSTERNORRLANDS LÄN</t>
        </is>
      </c>
      <c r="E1328" t="inlineStr">
        <is>
          <t>ÅNGE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1897-2026</t>
        </is>
      </c>
      <c r="B1329" s="1" t="n">
        <v>46035</v>
      </c>
      <c r="C1329" s="1" t="n">
        <v>46127</v>
      </c>
      <c r="D1329" t="inlineStr">
        <is>
          <t>VÄSTERNORRLANDS LÄN</t>
        </is>
      </c>
      <c r="E1329" t="inlineStr">
        <is>
          <t>ÅNGE</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8035-2026</t>
        </is>
      </c>
      <c r="B1330" s="1" t="n">
        <v>46063.59454861111</v>
      </c>
      <c r="C1330" s="1" t="n">
        <v>46127</v>
      </c>
      <c r="D1330" t="inlineStr">
        <is>
          <t>VÄSTERNORRLANDS LÄN</t>
        </is>
      </c>
      <c r="E1330" t="inlineStr">
        <is>
          <t>ÅNGE</t>
        </is>
      </c>
      <c r="F1330" t="inlineStr">
        <is>
          <t>SCA</t>
        </is>
      </c>
      <c r="G1330" t="n">
        <v>51.4</v>
      </c>
      <c r="H1330" t="n">
        <v>0</v>
      </c>
      <c r="I1330" t="n">
        <v>0</v>
      </c>
      <c r="J1330" t="n">
        <v>0</v>
      </c>
      <c r="K1330" t="n">
        <v>0</v>
      </c>
      <c r="L1330" t="n">
        <v>0</v>
      </c>
      <c r="M1330" t="n">
        <v>0</v>
      </c>
      <c r="N1330" t="n">
        <v>0</v>
      </c>
      <c r="O1330" t="n">
        <v>0</v>
      </c>
      <c r="P1330" t="n">
        <v>0</v>
      </c>
      <c r="Q1330" t="n">
        <v>0</v>
      </c>
      <c r="R1330" s="2" t="inlineStr"/>
    </row>
    <row r="1331" ht="15" customHeight="1">
      <c r="A1331" t="inlineStr">
        <is>
          <t>A 1846-2026</t>
        </is>
      </c>
      <c r="B1331" s="1" t="n">
        <v>46035</v>
      </c>
      <c r="C1331" s="1" t="n">
        <v>46127</v>
      </c>
      <c r="D1331" t="inlineStr">
        <is>
          <t>VÄSTERNORRLANDS LÄN</t>
        </is>
      </c>
      <c r="E1331" t="inlineStr">
        <is>
          <t>ÅNGE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8448-2026</t>
        </is>
      </c>
      <c r="B1332" s="1" t="n">
        <v>46065.40693287037</v>
      </c>
      <c r="C1332" s="1" t="n">
        <v>46127</v>
      </c>
      <c r="D1332" t="inlineStr">
        <is>
          <t>VÄSTERNORRLANDS LÄN</t>
        </is>
      </c>
      <c r="E1332" t="inlineStr">
        <is>
          <t>ÅNGE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8499-2026</t>
        </is>
      </c>
      <c r="B1333" s="1" t="n">
        <v>46065.49912037037</v>
      </c>
      <c r="C1333" s="1" t="n">
        <v>46127</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8284-2026</t>
        </is>
      </c>
      <c r="B1334" s="1" t="n">
        <v>46064.56364583333</v>
      </c>
      <c r="C1334" s="1" t="n">
        <v>46127</v>
      </c>
      <c r="D1334" t="inlineStr">
        <is>
          <t>VÄSTERNORRLANDS LÄN</t>
        </is>
      </c>
      <c r="E1334" t="inlineStr">
        <is>
          <t>ÅNGE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15466-2026</t>
        </is>
      </c>
      <c r="B1335" s="1" t="n">
        <v>46106.42815972222</v>
      </c>
      <c r="C1335" s="1" t="n">
        <v>46127</v>
      </c>
      <c r="D1335" t="inlineStr">
        <is>
          <t>VÄSTERNORRLANDS LÄN</t>
        </is>
      </c>
      <c r="E1335" t="inlineStr">
        <is>
          <t>ÅNGE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8431-2026</t>
        </is>
      </c>
      <c r="B1336" s="1" t="n">
        <v>46065.38619212963</v>
      </c>
      <c r="C1336" s="1" t="n">
        <v>46127</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8432-2026</t>
        </is>
      </c>
      <c r="B1337" s="1" t="n">
        <v>46065.3862962963</v>
      </c>
      <c r="C1337" s="1" t="n">
        <v>46127</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8143-2026</t>
        </is>
      </c>
      <c r="B1338" s="1" t="n">
        <v>46064.34438657408</v>
      </c>
      <c r="C1338" s="1" t="n">
        <v>46127</v>
      </c>
      <c r="D1338" t="inlineStr">
        <is>
          <t>VÄSTERNORRLANDS LÄN</t>
        </is>
      </c>
      <c r="E1338" t="inlineStr">
        <is>
          <t>ÅNGE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8569-2026</t>
        </is>
      </c>
      <c r="B1339" s="1" t="n">
        <v>46065.67476851852</v>
      </c>
      <c r="C1339" s="1" t="n">
        <v>46127</v>
      </c>
      <c r="D1339" t="inlineStr">
        <is>
          <t>VÄSTERNORRLANDS LÄN</t>
        </is>
      </c>
      <c r="E1339" t="inlineStr">
        <is>
          <t>ÅNGE</t>
        </is>
      </c>
      <c r="F1339" t="inlineStr">
        <is>
          <t>SCA</t>
        </is>
      </c>
      <c r="G1339" t="n">
        <v>30.5</v>
      </c>
      <c r="H1339" t="n">
        <v>0</v>
      </c>
      <c r="I1339" t="n">
        <v>0</v>
      </c>
      <c r="J1339" t="n">
        <v>0</v>
      </c>
      <c r="K1339" t="n">
        <v>0</v>
      </c>
      <c r="L1339" t="n">
        <v>0</v>
      </c>
      <c r="M1339" t="n">
        <v>0</v>
      </c>
      <c r="N1339" t="n">
        <v>0</v>
      </c>
      <c r="O1339" t="n">
        <v>0</v>
      </c>
      <c r="P1339" t="n">
        <v>0</v>
      </c>
      <c r="Q1339" t="n">
        <v>0</v>
      </c>
      <c r="R1339" s="2" t="inlineStr"/>
    </row>
    <row r="1340" ht="15" customHeight="1">
      <c r="A1340" t="inlineStr">
        <is>
          <t>A 15518-2026</t>
        </is>
      </c>
      <c r="B1340" s="1" t="n">
        <v>46106.471875</v>
      </c>
      <c r="C1340" s="1" t="n">
        <v>46127</v>
      </c>
      <c r="D1340" t="inlineStr">
        <is>
          <t>VÄSTERNORRLANDS LÄN</t>
        </is>
      </c>
      <c r="E1340" t="inlineStr">
        <is>
          <t>ÅNGE</t>
        </is>
      </c>
      <c r="F1340" t="inlineStr">
        <is>
          <t>Holmen skog AB</t>
        </is>
      </c>
      <c r="G1340" t="n">
        <v>80.5</v>
      </c>
      <c r="H1340" t="n">
        <v>0</v>
      </c>
      <c r="I1340" t="n">
        <v>0</v>
      </c>
      <c r="J1340" t="n">
        <v>0</v>
      </c>
      <c r="K1340" t="n">
        <v>0</v>
      </c>
      <c r="L1340" t="n">
        <v>0</v>
      </c>
      <c r="M1340" t="n">
        <v>0</v>
      </c>
      <c r="N1340" t="n">
        <v>0</v>
      </c>
      <c r="O1340" t="n">
        <v>0</v>
      </c>
      <c r="P1340" t="n">
        <v>0</v>
      </c>
      <c r="Q1340" t="n">
        <v>0</v>
      </c>
      <c r="R1340" s="2" t="inlineStr"/>
    </row>
    <row r="1341" ht="15" customHeight="1">
      <c r="A1341" t="inlineStr">
        <is>
          <t>A 60860-2022</t>
        </is>
      </c>
      <c r="B1341" s="1" t="n">
        <v>44914</v>
      </c>
      <c r="C1341" s="1" t="n">
        <v>46127</v>
      </c>
      <c r="D1341" t="inlineStr">
        <is>
          <t>VÄSTERNORRLANDS LÄN</t>
        </is>
      </c>
      <c r="E1341" t="inlineStr">
        <is>
          <t>ÅNGE</t>
        </is>
      </c>
      <c r="F1341" t="inlineStr">
        <is>
          <t>Holmen skog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17668-2023</t>
        </is>
      </c>
      <c r="B1342" s="1" t="n">
        <v>45036</v>
      </c>
      <c r="C1342" s="1" t="n">
        <v>46127</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4374-2026</t>
        </is>
      </c>
      <c r="B1343" s="1" t="n">
        <v>46045</v>
      </c>
      <c r="C1343" s="1" t="n">
        <v>46127</v>
      </c>
      <c r="D1343" t="inlineStr">
        <is>
          <t>VÄSTERNORRLANDS LÄN</t>
        </is>
      </c>
      <c r="E1343" t="inlineStr">
        <is>
          <t>ÅNGE</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8145-2026</t>
        </is>
      </c>
      <c r="B1344" s="1" t="n">
        <v>46064.34459490741</v>
      </c>
      <c r="C1344" s="1" t="n">
        <v>46127</v>
      </c>
      <c r="D1344" t="inlineStr">
        <is>
          <t>VÄSTERNORRLANDS LÄN</t>
        </is>
      </c>
      <c r="E1344" t="inlineStr">
        <is>
          <t>ÅNGE</t>
        </is>
      </c>
      <c r="F1344" t="inlineStr">
        <is>
          <t>SCA</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15967-2026</t>
        </is>
      </c>
      <c r="B1345" s="1" t="n">
        <v>46108.34435185185</v>
      </c>
      <c r="C1345" s="1" t="n">
        <v>46127</v>
      </c>
      <c r="D1345" t="inlineStr">
        <is>
          <t>VÄSTERNORRLANDS LÄN</t>
        </is>
      </c>
      <c r="E1345" t="inlineStr">
        <is>
          <t>ÅNGE</t>
        </is>
      </c>
      <c r="F1345" t="inlineStr">
        <is>
          <t>SCA</t>
        </is>
      </c>
      <c r="G1345" t="n">
        <v>21.4</v>
      </c>
      <c r="H1345" t="n">
        <v>0</v>
      </c>
      <c r="I1345" t="n">
        <v>0</v>
      </c>
      <c r="J1345" t="n">
        <v>0</v>
      </c>
      <c r="K1345" t="n">
        <v>0</v>
      </c>
      <c r="L1345" t="n">
        <v>0</v>
      </c>
      <c r="M1345" t="n">
        <v>0</v>
      </c>
      <c r="N1345" t="n">
        <v>0</v>
      </c>
      <c r="O1345" t="n">
        <v>0</v>
      </c>
      <c r="P1345" t="n">
        <v>0</v>
      </c>
      <c r="Q1345" t="n">
        <v>0</v>
      </c>
      <c r="R1345" s="2" t="inlineStr"/>
    </row>
    <row r="1346" ht="15" customHeight="1">
      <c r="A1346" t="inlineStr">
        <is>
          <t>A 41284-2024</t>
        </is>
      </c>
      <c r="B1346" s="1" t="n">
        <v>45559.59520833333</v>
      </c>
      <c r="C1346" s="1" t="n">
        <v>46127</v>
      </c>
      <c r="D1346" t="inlineStr">
        <is>
          <t>VÄSTERNORRLANDS LÄN</t>
        </is>
      </c>
      <c r="E1346" t="inlineStr">
        <is>
          <t>ÅNGE</t>
        </is>
      </c>
      <c r="F1346" t="inlineStr">
        <is>
          <t>SCA</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39682-2024</t>
        </is>
      </c>
      <c r="B1347" s="1" t="n">
        <v>45552</v>
      </c>
      <c r="C1347" s="1" t="n">
        <v>46127</v>
      </c>
      <c r="D1347" t="inlineStr">
        <is>
          <t>VÄSTERNORRLANDS LÄN</t>
        </is>
      </c>
      <c r="E1347" t="inlineStr">
        <is>
          <t>ÅNGE</t>
        </is>
      </c>
      <c r="G1347" t="n">
        <v>35.4</v>
      </c>
      <c r="H1347" t="n">
        <v>0</v>
      </c>
      <c r="I1347" t="n">
        <v>0</v>
      </c>
      <c r="J1347" t="n">
        <v>0</v>
      </c>
      <c r="K1347" t="n">
        <v>0</v>
      </c>
      <c r="L1347" t="n">
        <v>0</v>
      </c>
      <c r="M1347" t="n">
        <v>0</v>
      </c>
      <c r="N1347" t="n">
        <v>0</v>
      </c>
      <c r="O1347" t="n">
        <v>0</v>
      </c>
      <c r="P1347" t="n">
        <v>0</v>
      </c>
      <c r="Q1347" t="n">
        <v>0</v>
      </c>
      <c r="R1347" s="2" t="inlineStr"/>
    </row>
    <row r="1348" ht="15" customHeight="1">
      <c r="A1348" t="inlineStr">
        <is>
          <t>A 8995-2026</t>
        </is>
      </c>
      <c r="B1348" s="1" t="n">
        <v>46069.46938657408</v>
      </c>
      <c r="C1348" s="1" t="n">
        <v>46127</v>
      </c>
      <c r="D1348" t="inlineStr">
        <is>
          <t>VÄSTERNORRLANDS LÄN</t>
        </is>
      </c>
      <c r="E1348" t="inlineStr">
        <is>
          <t>ÅNGE</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19798-2025</t>
        </is>
      </c>
      <c r="B1349" s="1" t="n">
        <v>45771.44824074074</v>
      </c>
      <c r="C1349" s="1" t="n">
        <v>46127</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8926-2026</t>
        </is>
      </c>
      <c r="B1350" s="1" t="n">
        <v>46069.34429398148</v>
      </c>
      <c r="C1350" s="1" t="n">
        <v>46127</v>
      </c>
      <c r="D1350" t="inlineStr">
        <is>
          <t>VÄSTERNORRLANDS LÄN</t>
        </is>
      </c>
      <c r="E1350" t="inlineStr">
        <is>
          <t>ÅNGE</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2984-2025</t>
        </is>
      </c>
      <c r="B1351" s="1" t="n">
        <v>45678.51094907407</v>
      </c>
      <c r="C1351" s="1" t="n">
        <v>46127</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8874-2026</t>
        </is>
      </c>
      <c r="B1352" s="1" t="n">
        <v>46067.34431712963</v>
      </c>
      <c r="C1352" s="1" t="n">
        <v>46127</v>
      </c>
      <c r="D1352" t="inlineStr">
        <is>
          <t>VÄSTERNORRLANDS LÄN</t>
        </is>
      </c>
      <c r="E1352" t="inlineStr">
        <is>
          <t>ÅNGE</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3133-2024</t>
        </is>
      </c>
      <c r="B1353" s="1" t="n">
        <v>45316.55885416667</v>
      </c>
      <c r="C1353" s="1" t="n">
        <v>46127</v>
      </c>
      <c r="D1353" t="inlineStr">
        <is>
          <t>VÄSTERNORRLANDS LÄN</t>
        </is>
      </c>
      <c r="E1353" t="inlineStr">
        <is>
          <t>ÅNGE</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8856-2026</t>
        </is>
      </c>
      <c r="B1354" s="1" t="n">
        <v>46066.67790509259</v>
      </c>
      <c r="C1354" s="1" t="n">
        <v>46127</v>
      </c>
      <c r="D1354" t="inlineStr">
        <is>
          <t>VÄSTERNORRLANDS LÄN</t>
        </is>
      </c>
      <c r="E1354" t="inlineStr">
        <is>
          <t>ÅNGE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8859-2026</t>
        </is>
      </c>
      <c r="B1355" s="1" t="n">
        <v>46066.69863425926</v>
      </c>
      <c r="C1355" s="1" t="n">
        <v>46127</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8836-2026</t>
        </is>
      </c>
      <c r="B1356" s="1" t="n">
        <v>46066.63701388889</v>
      </c>
      <c r="C1356" s="1" t="n">
        <v>46127</v>
      </c>
      <c r="D1356" t="inlineStr">
        <is>
          <t>VÄSTERNORRLANDS LÄN</t>
        </is>
      </c>
      <c r="E1356" t="inlineStr">
        <is>
          <t>ÅNGE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8858-2026</t>
        </is>
      </c>
      <c r="B1357" s="1" t="n">
        <v>46066.69833333333</v>
      </c>
      <c r="C1357" s="1" t="n">
        <v>46127</v>
      </c>
      <c r="D1357" t="inlineStr">
        <is>
          <t>VÄSTERNORRLANDS LÄN</t>
        </is>
      </c>
      <c r="E1357" t="inlineStr">
        <is>
          <t>ÅNGE</t>
        </is>
      </c>
      <c r="F1357" t="inlineStr">
        <is>
          <t>SCA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8879-2026</t>
        </is>
      </c>
      <c r="B1358" s="1" t="n">
        <v>46067.53172453704</v>
      </c>
      <c r="C1358" s="1" t="n">
        <v>46127</v>
      </c>
      <c r="D1358" t="inlineStr">
        <is>
          <t>VÄSTERNORRLANDS LÄN</t>
        </is>
      </c>
      <c r="E1358" t="inlineStr">
        <is>
          <t>ÅNGE</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35276-2022</t>
        </is>
      </c>
      <c r="B1359" s="1" t="n">
        <v>44798</v>
      </c>
      <c r="C1359" s="1" t="n">
        <v>46127</v>
      </c>
      <c r="D1359" t="inlineStr">
        <is>
          <t>VÄSTERNORRLANDS LÄN</t>
        </is>
      </c>
      <c r="E1359" t="inlineStr">
        <is>
          <t>ÅNGE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8635-2026</t>
        </is>
      </c>
      <c r="B1360" s="1" t="n">
        <v>46066.3543287037</v>
      </c>
      <c r="C1360" s="1" t="n">
        <v>46127</v>
      </c>
      <c r="D1360" t="inlineStr">
        <is>
          <t>VÄSTERNORRLANDS LÄN</t>
        </is>
      </c>
      <c r="E1360" t="inlineStr">
        <is>
          <t>ÅNGE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56569-2024</t>
        </is>
      </c>
      <c r="B1361" s="1" t="n">
        <v>45625</v>
      </c>
      <c r="C1361" s="1" t="n">
        <v>46127</v>
      </c>
      <c r="D1361" t="inlineStr">
        <is>
          <t>VÄSTERNORRLANDS LÄN</t>
        </is>
      </c>
      <c r="E1361" t="inlineStr">
        <is>
          <t>ÅNGE</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8928-2026</t>
        </is>
      </c>
      <c r="B1362" s="1" t="n">
        <v>46069.34454861111</v>
      </c>
      <c r="C1362" s="1" t="n">
        <v>46127</v>
      </c>
      <c r="D1362" t="inlineStr">
        <is>
          <t>VÄSTERNORRLANDS LÄN</t>
        </is>
      </c>
      <c r="E1362" t="inlineStr">
        <is>
          <t>ÅNGE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8860-2026</t>
        </is>
      </c>
      <c r="B1363" s="1" t="n">
        <v>46066.6987037037</v>
      </c>
      <c r="C1363" s="1" t="n">
        <v>46127</v>
      </c>
      <c r="D1363" t="inlineStr">
        <is>
          <t>VÄSTERNORRLANDS LÄN</t>
        </is>
      </c>
      <c r="E1363" t="inlineStr">
        <is>
          <t>ÅNGE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9126-2026</t>
        </is>
      </c>
      <c r="B1364" s="1" t="n">
        <v>46069.68767361111</v>
      </c>
      <c r="C1364" s="1" t="n">
        <v>46127</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8638-2026</t>
        </is>
      </c>
      <c r="B1365" s="1" t="n">
        <v>46066.3546875</v>
      </c>
      <c r="C1365" s="1" t="n">
        <v>46127</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53663-2022</t>
        </is>
      </c>
      <c r="B1366" s="1" t="n">
        <v>44879</v>
      </c>
      <c r="C1366" s="1" t="n">
        <v>46127</v>
      </c>
      <c r="D1366" t="inlineStr">
        <is>
          <t>VÄSTERNORRLANDS LÄN</t>
        </is>
      </c>
      <c r="E1366" t="inlineStr">
        <is>
          <t>ÅNGE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10089-2023</t>
        </is>
      </c>
      <c r="B1367" s="1" t="n">
        <v>44985</v>
      </c>
      <c r="C1367" s="1" t="n">
        <v>46127</v>
      </c>
      <c r="D1367" t="inlineStr">
        <is>
          <t>VÄSTERNORRLANDS LÄN</t>
        </is>
      </c>
      <c r="E1367" t="inlineStr">
        <is>
          <t>ÅNGE</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10090-2023</t>
        </is>
      </c>
      <c r="B1368" s="1" t="n">
        <v>44985.94511574074</v>
      </c>
      <c r="C1368" s="1" t="n">
        <v>46127</v>
      </c>
      <c r="D1368" t="inlineStr">
        <is>
          <t>VÄSTERNORRLANDS LÄN</t>
        </is>
      </c>
      <c r="E1368" t="inlineStr">
        <is>
          <t>ÅNGE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16891-2026</t>
        </is>
      </c>
      <c r="B1369" s="1" t="n">
        <v>46113.61569444444</v>
      </c>
      <c r="C1369" s="1" t="n">
        <v>46127</v>
      </c>
      <c r="D1369" t="inlineStr">
        <is>
          <t>VÄSTERNORRLANDS LÄN</t>
        </is>
      </c>
      <c r="E1369" t="inlineStr">
        <is>
          <t>ÅNGE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9328-2026</t>
        </is>
      </c>
      <c r="B1370" s="1" t="n">
        <v>46070</v>
      </c>
      <c r="C1370" s="1" t="n">
        <v>46127</v>
      </c>
      <c r="D1370" t="inlineStr">
        <is>
          <t>VÄSTERNORRLANDS LÄN</t>
        </is>
      </c>
      <c r="E1370" t="inlineStr">
        <is>
          <t>ÅNGE</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19997-2023</t>
        </is>
      </c>
      <c r="B1371" s="1" t="n">
        <v>45054</v>
      </c>
      <c r="C1371" s="1" t="n">
        <v>46127</v>
      </c>
      <c r="D1371" t="inlineStr">
        <is>
          <t>VÄSTERNORRLANDS LÄN</t>
        </is>
      </c>
      <c r="E1371" t="inlineStr">
        <is>
          <t>ÅNGE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38284-2022</t>
        </is>
      </c>
      <c r="B1372" s="1" t="n">
        <v>44812.55149305556</v>
      </c>
      <c r="C1372" s="1" t="n">
        <v>46127</v>
      </c>
      <c r="D1372" t="inlineStr">
        <is>
          <t>VÄSTERNORRLANDS LÄN</t>
        </is>
      </c>
      <c r="E1372" t="inlineStr">
        <is>
          <t>ÅNGE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9330-2026</t>
        </is>
      </c>
      <c r="B1373" s="1" t="n">
        <v>46070</v>
      </c>
      <c r="C1373" s="1" t="n">
        <v>46127</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9334-2026</t>
        </is>
      </c>
      <c r="B1374" s="1" t="n">
        <v>46070</v>
      </c>
      <c r="C1374" s="1" t="n">
        <v>46127</v>
      </c>
      <c r="D1374" t="inlineStr">
        <is>
          <t>VÄSTERNORRLANDS LÄN</t>
        </is>
      </c>
      <c r="E1374" t="inlineStr">
        <is>
          <t>ÅNGE</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5393-2025</t>
        </is>
      </c>
      <c r="B1375" s="1" t="n">
        <v>45692.63574074074</v>
      </c>
      <c r="C1375" s="1" t="n">
        <v>46127</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57529-2024</t>
        </is>
      </c>
      <c r="B1376" s="1" t="n">
        <v>45630</v>
      </c>
      <c r="C1376" s="1" t="n">
        <v>46127</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16455-2026</t>
        </is>
      </c>
      <c r="B1377" s="1" t="n">
        <v>46112.34449074074</v>
      </c>
      <c r="C1377" s="1" t="n">
        <v>46127</v>
      </c>
      <c r="D1377" t="inlineStr">
        <is>
          <t>VÄSTERNORRLANDS LÄN</t>
        </is>
      </c>
      <c r="E1377" t="inlineStr">
        <is>
          <t>ÅNGE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1769-2023</t>
        </is>
      </c>
      <c r="B1378" s="1" t="n">
        <v>44938.58025462963</v>
      </c>
      <c r="C1378" s="1" t="n">
        <v>46127</v>
      </c>
      <c r="D1378" t="inlineStr">
        <is>
          <t>VÄSTERNORRLANDS LÄN</t>
        </is>
      </c>
      <c r="E1378" t="inlineStr">
        <is>
          <t>ÅNGE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9333-2026</t>
        </is>
      </c>
      <c r="B1379" s="1" t="n">
        <v>46070</v>
      </c>
      <c r="C1379" s="1" t="n">
        <v>46127</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32776-2022</t>
        </is>
      </c>
      <c r="B1380" s="1" t="n">
        <v>44783.94607638889</v>
      </c>
      <c r="C1380" s="1" t="n">
        <v>46127</v>
      </c>
      <c r="D1380" t="inlineStr">
        <is>
          <t>VÄSTERNORRLANDS LÄN</t>
        </is>
      </c>
      <c r="E1380" t="inlineStr">
        <is>
          <t>ÅNGE</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11803-2026</t>
        </is>
      </c>
      <c r="B1381" s="1" t="n">
        <v>46085</v>
      </c>
      <c r="C1381" s="1" t="n">
        <v>46127</v>
      </c>
      <c r="D1381" t="inlineStr">
        <is>
          <t>VÄSTERNORRLANDS LÄN</t>
        </is>
      </c>
      <c r="E1381" t="inlineStr">
        <is>
          <t>ÅNGE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25779-2023</t>
        </is>
      </c>
      <c r="B1382" s="1" t="n">
        <v>45090.47439814815</v>
      </c>
      <c r="C1382" s="1" t="n">
        <v>46127</v>
      </c>
      <c r="D1382" t="inlineStr">
        <is>
          <t>VÄSTERNORRLANDS LÄN</t>
        </is>
      </c>
      <c r="E1382" t="inlineStr">
        <is>
          <t>ÅNGE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23225-2024</t>
        </is>
      </c>
      <c r="B1383" s="1" t="n">
        <v>45452.9490162037</v>
      </c>
      <c r="C1383" s="1" t="n">
        <v>46127</v>
      </c>
      <c r="D1383" t="inlineStr">
        <is>
          <t>VÄSTERNORRLANDS LÄN</t>
        </is>
      </c>
      <c r="E1383" t="inlineStr">
        <is>
          <t>ÅNGE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29696-2024</t>
        </is>
      </c>
      <c r="B1384" s="1" t="n">
        <v>45484.94524305555</v>
      </c>
      <c r="C1384" s="1" t="n">
        <v>46127</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16704-2026</t>
        </is>
      </c>
      <c r="B1385" s="1" t="n">
        <v>46113.3449537037</v>
      </c>
      <c r="C1385" s="1" t="n">
        <v>46127</v>
      </c>
      <c r="D1385" t="inlineStr">
        <is>
          <t>VÄSTERNORRLANDS LÄN</t>
        </is>
      </c>
      <c r="E1385" t="inlineStr">
        <is>
          <t>ÅNGE</t>
        </is>
      </c>
      <c r="F1385" t="inlineStr">
        <is>
          <t>SCA</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16793-2026</t>
        </is>
      </c>
      <c r="B1386" s="1" t="n">
        <v>46113.46930555555</v>
      </c>
      <c r="C1386" s="1" t="n">
        <v>46127</v>
      </c>
      <c r="D1386" t="inlineStr">
        <is>
          <t>VÄSTERNORRLANDS LÄN</t>
        </is>
      </c>
      <c r="E1386" t="inlineStr">
        <is>
          <t>ÅNGE</t>
        </is>
      </c>
      <c r="F1386" t="inlineStr">
        <is>
          <t>SCA</t>
        </is>
      </c>
      <c r="G1386" t="n">
        <v>15.9</v>
      </c>
      <c r="H1386" t="n">
        <v>0</v>
      </c>
      <c r="I1386" t="n">
        <v>0</v>
      </c>
      <c r="J1386" t="n">
        <v>0</v>
      </c>
      <c r="K1386" t="n">
        <v>0</v>
      </c>
      <c r="L1386" t="n">
        <v>0</v>
      </c>
      <c r="M1386" t="n">
        <v>0</v>
      </c>
      <c r="N1386" t="n">
        <v>0</v>
      </c>
      <c r="O1386" t="n">
        <v>0</v>
      </c>
      <c r="P1386" t="n">
        <v>0</v>
      </c>
      <c r="Q1386" t="n">
        <v>0</v>
      </c>
      <c r="R1386" s="2" t="inlineStr"/>
    </row>
    <row r="1387" ht="15" customHeight="1">
      <c r="A1387" t="inlineStr">
        <is>
          <t>A 6462-2024</t>
        </is>
      </c>
      <c r="B1387" s="1" t="n">
        <v>45338</v>
      </c>
      <c r="C1387" s="1" t="n">
        <v>46127</v>
      </c>
      <c r="D1387" t="inlineStr">
        <is>
          <t>VÄSTERNORRLANDS LÄN</t>
        </is>
      </c>
      <c r="E1387" t="inlineStr">
        <is>
          <t>ÅNGE</t>
        </is>
      </c>
      <c r="F1387" t="inlineStr">
        <is>
          <t>Kyrkan</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17031-2026</t>
        </is>
      </c>
      <c r="B1388" s="1" t="n">
        <v>46114.46961805555</v>
      </c>
      <c r="C1388" s="1" t="n">
        <v>46127</v>
      </c>
      <c r="D1388" t="inlineStr">
        <is>
          <t>VÄSTERNORRLANDS LÄN</t>
        </is>
      </c>
      <c r="E1388" t="inlineStr">
        <is>
          <t>ÅNGE</t>
        </is>
      </c>
      <c r="F1388" t="inlineStr">
        <is>
          <t>SCA</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9845-2026</t>
        </is>
      </c>
      <c r="B1389" s="1" t="n">
        <v>46072.73510416667</v>
      </c>
      <c r="C1389" s="1" t="n">
        <v>46127</v>
      </c>
      <c r="D1389" t="inlineStr">
        <is>
          <t>VÄSTERNORRLANDS LÄN</t>
        </is>
      </c>
      <c r="E1389" t="inlineStr">
        <is>
          <t>ÅNGE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26018-2024</t>
        </is>
      </c>
      <c r="B1390" s="1" t="n">
        <v>45467.95998842592</v>
      </c>
      <c r="C1390" s="1" t="n">
        <v>46127</v>
      </c>
      <c r="D1390" t="inlineStr">
        <is>
          <t>VÄSTERNORRLANDS LÄN</t>
        </is>
      </c>
      <c r="E1390" t="inlineStr">
        <is>
          <t>ÅNGE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26021-2024</t>
        </is>
      </c>
      <c r="B1391" s="1" t="n">
        <v>45467</v>
      </c>
      <c r="C1391" s="1" t="n">
        <v>46127</v>
      </c>
      <c r="D1391" t="inlineStr">
        <is>
          <t>VÄSTERNORRLANDS LÄN</t>
        </is>
      </c>
      <c r="E1391" t="inlineStr">
        <is>
          <t>ÅNGE</t>
        </is>
      </c>
      <c r="F1391" t="inlineStr">
        <is>
          <t>SCA</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29673-2024</t>
        </is>
      </c>
      <c r="B1392" s="1" t="n">
        <v>45484.94210648148</v>
      </c>
      <c r="C1392" s="1" t="n">
        <v>46127</v>
      </c>
      <c r="D1392" t="inlineStr">
        <is>
          <t>VÄSTERNORRLANDS LÄN</t>
        </is>
      </c>
      <c r="E1392" t="inlineStr">
        <is>
          <t>ÅNGE</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48690-2024</t>
        </is>
      </c>
      <c r="B1393" s="1" t="n">
        <v>45593.50704861111</v>
      </c>
      <c r="C1393" s="1" t="n">
        <v>46127</v>
      </c>
      <c r="D1393" t="inlineStr">
        <is>
          <t>VÄSTERNORRLANDS LÄN</t>
        </is>
      </c>
      <c r="E1393" t="inlineStr">
        <is>
          <t>ÅNGE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9705-2026</t>
        </is>
      </c>
      <c r="B1394" s="1" t="n">
        <v>46072.42768518518</v>
      </c>
      <c r="C1394" s="1" t="n">
        <v>46127</v>
      </c>
      <c r="D1394" t="inlineStr">
        <is>
          <t>VÄSTERNORRLANDS LÄN</t>
        </is>
      </c>
      <c r="E1394" t="inlineStr">
        <is>
          <t>ÅNGE</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16959-2026</t>
        </is>
      </c>
      <c r="B1395" s="1" t="n">
        <v>46114.34446759259</v>
      </c>
      <c r="C1395" s="1" t="n">
        <v>46127</v>
      </c>
      <c r="D1395" t="inlineStr">
        <is>
          <t>VÄSTERNORRLANDS LÄN</t>
        </is>
      </c>
      <c r="E1395" t="inlineStr">
        <is>
          <t>ÅNGE</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11399-2025</t>
        </is>
      </c>
      <c r="B1396" s="1" t="n">
        <v>45726.57364583333</v>
      </c>
      <c r="C1396" s="1" t="n">
        <v>46127</v>
      </c>
      <c r="D1396" t="inlineStr">
        <is>
          <t>VÄSTERNORRLANDS LÄN</t>
        </is>
      </c>
      <c r="E1396" t="inlineStr">
        <is>
          <t>ÅNGE</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39021-2024</t>
        </is>
      </c>
      <c r="B1397" s="1" t="n">
        <v>45548</v>
      </c>
      <c r="C1397" s="1" t="n">
        <v>46127</v>
      </c>
      <c r="D1397" t="inlineStr">
        <is>
          <t>VÄSTERNORRLANDS LÄN</t>
        </is>
      </c>
      <c r="E1397" t="inlineStr">
        <is>
          <t>ÅNGE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27915-2024</t>
        </is>
      </c>
      <c r="B1398" s="1" t="n">
        <v>45475</v>
      </c>
      <c r="C1398" s="1" t="n">
        <v>46127</v>
      </c>
      <c r="D1398" t="inlineStr">
        <is>
          <t>VÄSTERNORRLANDS LÄN</t>
        </is>
      </c>
      <c r="E1398" t="inlineStr">
        <is>
          <t>ÅNGE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2433-2024</t>
        </is>
      </c>
      <c r="B1399" s="1" t="n">
        <v>45310</v>
      </c>
      <c r="C1399" s="1" t="n">
        <v>46127</v>
      </c>
      <c r="D1399" t="inlineStr">
        <is>
          <t>VÄSTERNORRLANDS LÄN</t>
        </is>
      </c>
      <c r="E1399" t="inlineStr">
        <is>
          <t>ÅNGE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1654-2026</t>
        </is>
      </c>
      <c r="B1400" s="1" t="n">
        <v>46034</v>
      </c>
      <c r="C1400" s="1" t="n">
        <v>46127</v>
      </c>
      <c r="D1400" t="inlineStr">
        <is>
          <t>VÄSTERNORRLANDS LÄN</t>
        </is>
      </c>
      <c r="E1400" t="inlineStr">
        <is>
          <t>ÅNGE</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17151-2026</t>
        </is>
      </c>
      <c r="B1401" s="1" t="n">
        <v>46115.34445601852</v>
      </c>
      <c r="C1401" s="1" t="n">
        <v>46127</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9798-2026</t>
        </is>
      </c>
      <c r="B1402" s="1" t="n">
        <v>46072</v>
      </c>
      <c r="C1402" s="1" t="n">
        <v>46127</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57846-2022</t>
        </is>
      </c>
      <c r="B1403" s="1" t="n">
        <v>44897.95008101852</v>
      </c>
      <c r="C1403" s="1" t="n">
        <v>46127</v>
      </c>
      <c r="D1403" t="inlineStr">
        <is>
          <t>VÄSTERNORRLANDS LÄN</t>
        </is>
      </c>
      <c r="E1403" t="inlineStr">
        <is>
          <t>ÅNGE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46249-2024</t>
        </is>
      </c>
      <c r="B1404" s="1" t="n">
        <v>45581.59409722222</v>
      </c>
      <c r="C1404" s="1" t="n">
        <v>46127</v>
      </c>
      <c r="D1404" t="inlineStr">
        <is>
          <t>VÄSTERNORRLANDS LÄN</t>
        </is>
      </c>
      <c r="E1404" t="inlineStr">
        <is>
          <t>ÅNGE</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8868-2023</t>
        </is>
      </c>
      <c r="B1405" s="1" t="n">
        <v>44978</v>
      </c>
      <c r="C1405" s="1" t="n">
        <v>46127</v>
      </c>
      <c r="D1405" t="inlineStr">
        <is>
          <t>VÄSTERNORRLANDS LÄN</t>
        </is>
      </c>
      <c r="E1405" t="inlineStr">
        <is>
          <t>ÅNGE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16980-2026</t>
        </is>
      </c>
      <c r="B1406" s="1" t="n">
        <v>46114.40704861111</v>
      </c>
      <c r="C1406" s="1" t="n">
        <v>46127</v>
      </c>
      <c r="D1406" t="inlineStr">
        <is>
          <t>VÄSTERNORRLANDS LÄN</t>
        </is>
      </c>
      <c r="E1406" t="inlineStr">
        <is>
          <t>ÅNGE</t>
        </is>
      </c>
      <c r="F1406" t="inlineStr">
        <is>
          <t>SCA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17035-2026</t>
        </is>
      </c>
      <c r="B1407" s="1" t="n">
        <v>46114.47012731482</v>
      </c>
      <c r="C1407" s="1" t="n">
        <v>46127</v>
      </c>
      <c r="D1407" t="inlineStr">
        <is>
          <t>VÄSTERNORRLANDS LÄN</t>
        </is>
      </c>
      <c r="E1407" t="inlineStr">
        <is>
          <t>ÅNGE</t>
        </is>
      </c>
      <c r="F1407" t="inlineStr">
        <is>
          <t>SCA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9882-2026</t>
        </is>
      </c>
      <c r="B1408" s="1" t="n">
        <v>46073.34444444445</v>
      </c>
      <c r="C1408" s="1" t="n">
        <v>46127</v>
      </c>
      <c r="D1408" t="inlineStr">
        <is>
          <t>VÄSTERNORRLANDS LÄN</t>
        </is>
      </c>
      <c r="E1408" t="inlineStr">
        <is>
          <t>ÅNGE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65229-2021</t>
        </is>
      </c>
      <c r="B1409" s="1" t="n">
        <v>44515</v>
      </c>
      <c r="C1409" s="1" t="n">
        <v>46127</v>
      </c>
      <c r="D1409" t="inlineStr">
        <is>
          <t>VÄSTERNORRLANDS LÄN</t>
        </is>
      </c>
      <c r="E1409" t="inlineStr">
        <is>
          <t>ÅNGE</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57291-2022</t>
        </is>
      </c>
      <c r="B1410" s="1" t="n">
        <v>44895</v>
      </c>
      <c r="C1410" s="1" t="n">
        <v>46127</v>
      </c>
      <c r="D1410" t="inlineStr">
        <is>
          <t>VÄSTERNORRLANDS LÄN</t>
        </is>
      </c>
      <c r="E1410" t="inlineStr">
        <is>
          <t>ÅNGE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10741-2026</t>
        </is>
      </c>
      <c r="B1411" s="1" t="n">
        <v>46078</v>
      </c>
      <c r="C1411" s="1" t="n">
        <v>46127</v>
      </c>
      <c r="D1411" t="inlineStr">
        <is>
          <t>VÄSTERNORRLANDS LÄN</t>
        </is>
      </c>
      <c r="E1411" t="inlineStr">
        <is>
          <t>ÅNGE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4883-2023</t>
        </is>
      </c>
      <c r="B1412" s="1" t="n">
        <v>44957</v>
      </c>
      <c r="C1412" s="1" t="n">
        <v>46127</v>
      </c>
      <c r="D1412" t="inlineStr">
        <is>
          <t>VÄSTERNORRLANDS LÄN</t>
        </is>
      </c>
      <c r="E1412" t="inlineStr">
        <is>
          <t>ÅNGE</t>
        </is>
      </c>
      <c r="F1412" t="inlineStr">
        <is>
          <t>SCA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10648-2026</t>
        </is>
      </c>
      <c r="B1413" s="1" t="n">
        <v>46078.3446412037</v>
      </c>
      <c r="C1413" s="1" t="n">
        <v>46127</v>
      </c>
      <c r="D1413" t="inlineStr">
        <is>
          <t>VÄSTERNORRLANDS LÄN</t>
        </is>
      </c>
      <c r="E1413" t="inlineStr">
        <is>
          <t>ÅNGE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10706-2026</t>
        </is>
      </c>
      <c r="B1414" s="1" t="n">
        <v>46078.44876157407</v>
      </c>
      <c r="C1414" s="1" t="n">
        <v>46127</v>
      </c>
      <c r="D1414" t="inlineStr">
        <is>
          <t>VÄSTERNORRLANDS LÄN</t>
        </is>
      </c>
      <c r="E1414" t="inlineStr">
        <is>
          <t>ÅNGE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10708-2026</t>
        </is>
      </c>
      <c r="B1415" s="1" t="n">
        <v>46078.44883101852</v>
      </c>
      <c r="C1415" s="1" t="n">
        <v>46127</v>
      </c>
      <c r="D1415" t="inlineStr">
        <is>
          <t>VÄSTERNORRLANDS LÄN</t>
        </is>
      </c>
      <c r="E1415" t="inlineStr">
        <is>
          <t>ÅNGE</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26951-2024</t>
        </is>
      </c>
      <c r="B1416" s="1" t="n">
        <v>45470.96991898148</v>
      </c>
      <c r="C1416" s="1" t="n">
        <v>46127</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26952-2024</t>
        </is>
      </c>
      <c r="B1417" s="1" t="n">
        <v>45470</v>
      </c>
      <c r="C1417" s="1" t="n">
        <v>46127</v>
      </c>
      <c r="D1417" t="inlineStr">
        <is>
          <t>VÄSTERNORRLANDS LÄN</t>
        </is>
      </c>
      <c r="E1417" t="inlineStr">
        <is>
          <t>ÅNGE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17468-2026</t>
        </is>
      </c>
      <c r="B1418" s="1" t="n">
        <v>46120.51113425926</v>
      </c>
      <c r="C1418" s="1" t="n">
        <v>46127</v>
      </c>
      <c r="D1418" t="inlineStr">
        <is>
          <t>VÄSTERNORRLANDS LÄN</t>
        </is>
      </c>
      <c r="E1418" t="inlineStr">
        <is>
          <t>ÅNGE</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17504-2026</t>
        </is>
      </c>
      <c r="B1419" s="1" t="n">
        <v>46120.61848379629</v>
      </c>
      <c r="C1419" s="1" t="n">
        <v>46127</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17505-2026</t>
        </is>
      </c>
      <c r="B1420" s="1" t="n">
        <v>46120.62159722222</v>
      </c>
      <c r="C1420" s="1" t="n">
        <v>46127</v>
      </c>
      <c r="D1420" t="inlineStr">
        <is>
          <t>VÄSTERNORRLANDS LÄN</t>
        </is>
      </c>
      <c r="E1420" t="inlineStr">
        <is>
          <t>ÅNGE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56399-2022</t>
        </is>
      </c>
      <c r="B1421" s="1" t="n">
        <v>44890</v>
      </c>
      <c r="C1421" s="1" t="n">
        <v>46127</v>
      </c>
      <c r="D1421" t="inlineStr">
        <is>
          <t>VÄSTERNORRLANDS LÄN</t>
        </is>
      </c>
      <c r="E1421" t="inlineStr">
        <is>
          <t>ÅNGE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10707-2026</t>
        </is>
      </c>
      <c r="B1422" s="1" t="n">
        <v>46078.4487962963</v>
      </c>
      <c r="C1422" s="1" t="n">
        <v>46127</v>
      </c>
      <c r="D1422" t="inlineStr">
        <is>
          <t>VÄSTERNORRLANDS LÄN</t>
        </is>
      </c>
      <c r="E1422" t="inlineStr">
        <is>
          <t>ÅNGE</t>
        </is>
      </c>
      <c r="F1422" t="inlineStr">
        <is>
          <t>SCA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10722-2026</t>
        </is>
      </c>
      <c r="B1423" s="1" t="n">
        <v>46078.46929398148</v>
      </c>
      <c r="C1423" s="1" t="n">
        <v>46127</v>
      </c>
      <c r="D1423" t="inlineStr">
        <is>
          <t>VÄSTERNORRLANDS LÄN</t>
        </is>
      </c>
      <c r="E1423" t="inlineStr">
        <is>
          <t>ÅNGE</t>
        </is>
      </c>
      <c r="F1423" t="inlineStr">
        <is>
          <t>SCA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10854-2026</t>
        </is>
      </c>
      <c r="B1424" s="1" t="n">
        <v>46078.65730324074</v>
      </c>
      <c r="C1424" s="1" t="n">
        <v>46127</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10647-2026</t>
        </is>
      </c>
      <c r="B1425" s="1" t="n">
        <v>46078.344375</v>
      </c>
      <c r="C1425" s="1" t="n">
        <v>46127</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10678-2026</t>
        </is>
      </c>
      <c r="B1426" s="1" t="n">
        <v>46078.40769675926</v>
      </c>
      <c r="C1426" s="1" t="n">
        <v>46127</v>
      </c>
      <c r="D1426" t="inlineStr">
        <is>
          <t>VÄSTERNORRLANDS LÄN</t>
        </is>
      </c>
      <c r="E1426" t="inlineStr">
        <is>
          <t>ÅNGE</t>
        </is>
      </c>
      <c r="F1426" t="inlineStr">
        <is>
          <t>SCA</t>
        </is>
      </c>
      <c r="G1426" t="n">
        <v>19.9</v>
      </c>
      <c r="H1426" t="n">
        <v>0</v>
      </c>
      <c r="I1426" t="n">
        <v>0</v>
      </c>
      <c r="J1426" t="n">
        <v>0</v>
      </c>
      <c r="K1426" t="n">
        <v>0</v>
      </c>
      <c r="L1426" t="n">
        <v>0</v>
      </c>
      <c r="M1426" t="n">
        <v>0</v>
      </c>
      <c r="N1426" t="n">
        <v>0</v>
      </c>
      <c r="O1426" t="n">
        <v>0</v>
      </c>
      <c r="P1426" t="n">
        <v>0</v>
      </c>
      <c r="Q1426" t="n">
        <v>0</v>
      </c>
      <c r="R1426" s="2" t="inlineStr"/>
    </row>
    <row r="1427" ht="15" customHeight="1">
      <c r="A1427" t="inlineStr">
        <is>
          <t>A 15938-2026</t>
        </is>
      </c>
      <c r="B1427" s="1" t="n">
        <v>46107</v>
      </c>
      <c r="C1427" s="1" t="n">
        <v>46127</v>
      </c>
      <c r="D1427" t="inlineStr">
        <is>
          <t>VÄSTERNORRLANDS LÄN</t>
        </is>
      </c>
      <c r="E1427" t="inlineStr">
        <is>
          <t>ÅNGE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23058-2024</t>
        </is>
      </c>
      <c r="B1428" s="1" t="n">
        <v>45450.44020833333</v>
      </c>
      <c r="C1428" s="1" t="n">
        <v>46127</v>
      </c>
      <c r="D1428" t="inlineStr">
        <is>
          <t>VÄSTERNORRLANDS LÄN</t>
        </is>
      </c>
      <c r="E1428" t="inlineStr">
        <is>
          <t>ÅNGE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17370-2026</t>
        </is>
      </c>
      <c r="B1429" s="1" t="n">
        <v>46119.69841435185</v>
      </c>
      <c r="C1429" s="1" t="n">
        <v>46127</v>
      </c>
      <c r="D1429" t="inlineStr">
        <is>
          <t>VÄSTERNORRLANDS LÄN</t>
        </is>
      </c>
      <c r="E1429" t="inlineStr">
        <is>
          <t>ÅNGE</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17519-2026</t>
        </is>
      </c>
      <c r="B1430" s="1" t="n">
        <v>46120.64013888889</v>
      </c>
      <c r="C1430" s="1" t="n">
        <v>46127</v>
      </c>
      <c r="D1430" t="inlineStr">
        <is>
          <t>VÄSTERNORRLANDS LÄN</t>
        </is>
      </c>
      <c r="E1430" t="inlineStr">
        <is>
          <t>ÅNGE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10352-2026</t>
        </is>
      </c>
      <c r="B1431" s="1" t="n">
        <v>46076.71934027778</v>
      </c>
      <c r="C1431" s="1" t="n">
        <v>46127</v>
      </c>
      <c r="D1431" t="inlineStr">
        <is>
          <t>VÄSTERNORRLANDS LÄN</t>
        </is>
      </c>
      <c r="E1431" t="inlineStr">
        <is>
          <t>ÅNGE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10411-2026</t>
        </is>
      </c>
      <c r="B1432" s="1" t="n">
        <v>46077.34547453704</v>
      </c>
      <c r="C1432" s="1" t="n">
        <v>46127</v>
      </c>
      <c r="D1432" t="inlineStr">
        <is>
          <t>VÄSTERNORRLANDS LÄN</t>
        </is>
      </c>
      <c r="E1432" t="inlineStr">
        <is>
          <t>ÅNGE</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10412-2026</t>
        </is>
      </c>
      <c r="B1433" s="1" t="n">
        <v>46077.34564814815</v>
      </c>
      <c r="C1433" s="1" t="n">
        <v>46127</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17437-2026</t>
        </is>
      </c>
      <c r="B1434" s="1" t="n">
        <v>46120.42361111111</v>
      </c>
      <c r="C1434" s="1" t="n">
        <v>46127</v>
      </c>
      <c r="D1434" t="inlineStr">
        <is>
          <t>VÄSTERNORRLANDS LÄN</t>
        </is>
      </c>
      <c r="E1434" t="inlineStr">
        <is>
          <t>ÅNGE</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10407-2026</t>
        </is>
      </c>
      <c r="B1435" s="1" t="n">
        <v>46077.34465277778</v>
      </c>
      <c r="C1435" s="1" t="n">
        <v>46127</v>
      </c>
      <c r="D1435" t="inlineStr">
        <is>
          <t>VÄSTERNORRLANDS LÄN</t>
        </is>
      </c>
      <c r="E1435" t="inlineStr">
        <is>
          <t>ÅNGE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17521-2026</t>
        </is>
      </c>
      <c r="B1436" s="1" t="n">
        <v>46120.64990740741</v>
      </c>
      <c r="C1436" s="1" t="n">
        <v>46127</v>
      </c>
      <c r="D1436" t="inlineStr">
        <is>
          <t>VÄSTERNORRLANDS LÄN</t>
        </is>
      </c>
      <c r="E1436" t="inlineStr">
        <is>
          <t>ÅNGE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35979-2023</t>
        </is>
      </c>
      <c r="B1437" s="1" t="n">
        <v>45148</v>
      </c>
      <c r="C1437" s="1" t="n">
        <v>46127</v>
      </c>
      <c r="D1437" t="inlineStr">
        <is>
          <t>VÄSTERNORRLANDS LÄN</t>
        </is>
      </c>
      <c r="E1437" t="inlineStr">
        <is>
          <t>ÅNGE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3986-2025</t>
        </is>
      </c>
      <c r="B1438" s="1" t="n">
        <v>45684.55262731481</v>
      </c>
      <c r="C1438" s="1" t="n">
        <v>46127</v>
      </c>
      <c r="D1438" t="inlineStr">
        <is>
          <t>VÄSTERNORRLANDS LÄN</t>
        </is>
      </c>
      <c r="E1438" t="inlineStr">
        <is>
          <t>ÅNGE</t>
        </is>
      </c>
      <c r="F1438" t="inlineStr">
        <is>
          <t>SCA</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10705-2026</t>
        </is>
      </c>
      <c r="B1439" s="1" t="n">
        <v>46078.44865740741</v>
      </c>
      <c r="C1439" s="1" t="n">
        <v>46127</v>
      </c>
      <c r="D1439" t="inlineStr">
        <is>
          <t>VÄSTERNORRLANDS LÄN</t>
        </is>
      </c>
      <c r="E1439" t="inlineStr">
        <is>
          <t>ÅNGE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50674-2024</t>
        </is>
      </c>
      <c r="B1440" s="1" t="n">
        <v>45601.85402777778</v>
      </c>
      <c r="C1440" s="1" t="n">
        <v>46127</v>
      </c>
      <c r="D1440" t="inlineStr">
        <is>
          <t>VÄSTERNORRLANDS LÄN</t>
        </is>
      </c>
      <c r="E1440" t="inlineStr">
        <is>
          <t>ÅNGE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10777-2026</t>
        </is>
      </c>
      <c r="B1441" s="1" t="n">
        <v>46078.57386574074</v>
      </c>
      <c r="C1441" s="1" t="n">
        <v>46127</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10749-2026</t>
        </is>
      </c>
      <c r="B1442" s="1" t="n">
        <v>46078.53174768519</v>
      </c>
      <c r="C1442" s="1" t="n">
        <v>46127</v>
      </c>
      <c r="D1442" t="inlineStr">
        <is>
          <t>VÄSTERNORRLANDS LÄN</t>
        </is>
      </c>
      <c r="E1442" t="inlineStr">
        <is>
          <t>ÅNGE</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17242-2026</t>
        </is>
      </c>
      <c r="B1443" s="1" t="n">
        <v>46119.42765046296</v>
      </c>
      <c r="C1443" s="1" t="n">
        <v>46127</v>
      </c>
      <c r="D1443" t="inlineStr">
        <is>
          <t>VÄSTERNORRLANDS LÄN</t>
        </is>
      </c>
      <c r="E1443" t="inlineStr">
        <is>
          <t>ÅNGE</t>
        </is>
      </c>
      <c r="F1443" t="inlineStr">
        <is>
          <t>SCA</t>
        </is>
      </c>
      <c r="G1443" t="n">
        <v>11.7</v>
      </c>
      <c r="H1443" t="n">
        <v>0</v>
      </c>
      <c r="I1443" t="n">
        <v>0</v>
      </c>
      <c r="J1443" t="n">
        <v>0</v>
      </c>
      <c r="K1443" t="n">
        <v>0</v>
      </c>
      <c r="L1443" t="n">
        <v>0</v>
      </c>
      <c r="M1443" t="n">
        <v>0</v>
      </c>
      <c r="N1443" t="n">
        <v>0</v>
      </c>
      <c r="O1443" t="n">
        <v>0</v>
      </c>
      <c r="P1443" t="n">
        <v>0</v>
      </c>
      <c r="Q1443" t="n">
        <v>0</v>
      </c>
      <c r="R1443" s="2" t="inlineStr"/>
    </row>
    <row r="1444" ht="15" customHeight="1">
      <c r="A1444" t="inlineStr">
        <is>
          <t>A 3322-2025</t>
        </is>
      </c>
      <c r="B1444" s="1" t="n">
        <v>45679.6989699074</v>
      </c>
      <c r="C1444" s="1" t="n">
        <v>46127</v>
      </c>
      <c r="D1444" t="inlineStr">
        <is>
          <t>VÄSTERNORRLANDS LÄN</t>
        </is>
      </c>
      <c r="E1444" t="inlineStr">
        <is>
          <t>ÅNGE</t>
        </is>
      </c>
      <c r="F1444" t="inlineStr">
        <is>
          <t>SCA</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3327-2025</t>
        </is>
      </c>
      <c r="B1445" s="1" t="n">
        <v>45679.69967592593</v>
      </c>
      <c r="C1445" s="1" t="n">
        <v>46127</v>
      </c>
      <c r="D1445" t="inlineStr">
        <is>
          <t>VÄSTERNORRLANDS LÄN</t>
        </is>
      </c>
      <c r="E1445" t="inlineStr">
        <is>
          <t>ÅNGE</t>
        </is>
      </c>
      <c r="F1445" t="inlineStr">
        <is>
          <t>SCA</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17530-2026</t>
        </is>
      </c>
      <c r="B1446" s="1" t="n">
        <v>46120.66314814815</v>
      </c>
      <c r="C1446" s="1" t="n">
        <v>46127</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10878-2026</t>
        </is>
      </c>
      <c r="B1447" s="1" t="n">
        <v>46078.71934027778</v>
      </c>
      <c r="C1447" s="1" t="n">
        <v>46127</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17509-2026</t>
        </is>
      </c>
      <c r="B1448" s="1" t="n">
        <v>46120.62381944444</v>
      </c>
      <c r="C1448" s="1" t="n">
        <v>46127</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31729-2024</t>
        </is>
      </c>
      <c r="B1449" s="1" t="n">
        <v>45509.35844907408</v>
      </c>
      <c r="C1449" s="1" t="n">
        <v>46127</v>
      </c>
      <c r="D1449" t="inlineStr">
        <is>
          <t>VÄSTERNORRLANDS LÄN</t>
        </is>
      </c>
      <c r="E1449" t="inlineStr">
        <is>
          <t>ÅNGE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17480-2026</t>
        </is>
      </c>
      <c r="B1450" s="1" t="n">
        <v>46120.54929398148</v>
      </c>
      <c r="C1450" s="1" t="n">
        <v>46127</v>
      </c>
      <c r="D1450" t="inlineStr">
        <is>
          <t>VÄSTERNORRLANDS LÄN</t>
        </is>
      </c>
      <c r="E1450" t="inlineStr">
        <is>
          <t>ÅNGE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4071-2025</t>
        </is>
      </c>
      <c r="B1451" s="1" t="n">
        <v>45684.63579861111</v>
      </c>
      <c r="C1451" s="1" t="n">
        <v>46127</v>
      </c>
      <c r="D1451" t="inlineStr">
        <is>
          <t>VÄSTERNORRLANDS LÄN</t>
        </is>
      </c>
      <c r="E1451" t="inlineStr">
        <is>
          <t>ÅNGE</t>
        </is>
      </c>
      <c r="F1451" t="inlineStr">
        <is>
          <t>SCA</t>
        </is>
      </c>
      <c r="G1451" t="n">
        <v>13.7</v>
      </c>
      <c r="H1451" t="n">
        <v>0</v>
      </c>
      <c r="I1451" t="n">
        <v>0</v>
      </c>
      <c r="J1451" t="n">
        <v>0</v>
      </c>
      <c r="K1451" t="n">
        <v>0</v>
      </c>
      <c r="L1451" t="n">
        <v>0</v>
      </c>
      <c r="M1451" t="n">
        <v>0</v>
      </c>
      <c r="N1451" t="n">
        <v>0</v>
      </c>
      <c r="O1451" t="n">
        <v>0</v>
      </c>
      <c r="P1451" t="n">
        <v>0</v>
      </c>
      <c r="Q1451" t="n">
        <v>0</v>
      </c>
      <c r="R1451" s="2" t="inlineStr"/>
    </row>
    <row r="1452" ht="15" customHeight="1">
      <c r="A1452" t="inlineStr">
        <is>
          <t>A 44606-2024</t>
        </is>
      </c>
      <c r="B1452" s="1" t="n">
        <v>45574.51195601852</v>
      </c>
      <c r="C1452" s="1" t="n">
        <v>46127</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44626-2024</t>
        </is>
      </c>
      <c r="B1453" s="1" t="n">
        <v>45574.51378472222</v>
      </c>
      <c r="C1453" s="1" t="n">
        <v>46127</v>
      </c>
      <c r="D1453" t="inlineStr">
        <is>
          <t>VÄSTERNORRLANDS LÄN</t>
        </is>
      </c>
      <c r="E1453" t="inlineStr">
        <is>
          <t>ÅNGE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16983-2026</t>
        </is>
      </c>
      <c r="B1454" s="1" t="n">
        <v>46114</v>
      </c>
      <c r="C1454" s="1" t="n">
        <v>46127</v>
      </c>
      <c r="D1454" t="inlineStr">
        <is>
          <t>VÄSTERNORRLANDS LÄN</t>
        </is>
      </c>
      <c r="E1454" t="inlineStr">
        <is>
          <t>ÅNGE</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10409-2026</t>
        </is>
      </c>
      <c r="B1455" s="1" t="n">
        <v>46077.34508101852</v>
      </c>
      <c r="C1455" s="1" t="n">
        <v>46127</v>
      </c>
      <c r="D1455" t="inlineStr">
        <is>
          <t>VÄSTERNORRLANDS LÄN</t>
        </is>
      </c>
      <c r="E1455" t="inlineStr">
        <is>
          <t>ÅNGE</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10657-2026</t>
        </is>
      </c>
      <c r="B1456" s="1" t="n">
        <v>46078.36505787037</v>
      </c>
      <c r="C1456" s="1" t="n">
        <v>46127</v>
      </c>
      <c r="D1456" t="inlineStr">
        <is>
          <t>VÄSTERNORRLANDS LÄN</t>
        </is>
      </c>
      <c r="E1456" t="inlineStr">
        <is>
          <t>ÅNGE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18668-2023</t>
        </is>
      </c>
      <c r="B1457" s="1" t="n">
        <v>45043.57108796296</v>
      </c>
      <c r="C1457" s="1" t="n">
        <v>46127</v>
      </c>
      <c r="D1457" t="inlineStr">
        <is>
          <t>VÄSTERNORRLANDS LÄN</t>
        </is>
      </c>
      <c r="E1457" t="inlineStr">
        <is>
          <t>ÅNGE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11075-2026</t>
        </is>
      </c>
      <c r="B1458" s="1" t="n">
        <v>46079.61521990741</v>
      </c>
      <c r="C1458" s="1" t="n">
        <v>46127</v>
      </c>
      <c r="D1458" t="inlineStr">
        <is>
          <t>VÄSTERNORRLANDS LÄN</t>
        </is>
      </c>
      <c r="E1458" t="inlineStr">
        <is>
          <t>ÅNGE</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1964-2022</t>
        </is>
      </c>
      <c r="B1459" s="1" t="n">
        <v>44575.5050462963</v>
      </c>
      <c r="C1459" s="1" t="n">
        <v>46127</v>
      </c>
      <c r="D1459" t="inlineStr">
        <is>
          <t>VÄSTERNORRLANDS LÄN</t>
        </is>
      </c>
      <c r="E1459" t="inlineStr">
        <is>
          <t>ÅNGE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18880-2024</t>
        </is>
      </c>
      <c r="B1460" s="1" t="n">
        <v>45426</v>
      </c>
      <c r="C1460" s="1" t="n">
        <v>46127</v>
      </c>
      <c r="D1460" t="inlineStr">
        <is>
          <t>VÄSTERNORRLANDS LÄN</t>
        </is>
      </c>
      <c r="E1460" t="inlineStr">
        <is>
          <t>ÅNGE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11159-2026</t>
        </is>
      </c>
      <c r="B1461" s="1" t="n">
        <v>46080</v>
      </c>
      <c r="C1461" s="1" t="n">
        <v>46127</v>
      </c>
      <c r="D1461" t="inlineStr">
        <is>
          <t>VÄSTERNORRLANDS LÄN</t>
        </is>
      </c>
      <c r="E1461" t="inlineStr">
        <is>
          <t>ÅNGE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48787-2024</t>
        </is>
      </c>
      <c r="B1462" s="1" t="n">
        <v>45593.63888888889</v>
      </c>
      <c r="C1462" s="1" t="n">
        <v>46127</v>
      </c>
      <c r="D1462" t="inlineStr">
        <is>
          <t>VÄSTERNORRLANDS LÄN</t>
        </is>
      </c>
      <c r="E1462" t="inlineStr">
        <is>
          <t>ÅNGE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17922-2026</t>
        </is>
      </c>
      <c r="B1463" s="1" t="n">
        <v>46122.61457175926</v>
      </c>
      <c r="C1463" s="1" t="n">
        <v>46127</v>
      </c>
      <c r="D1463" t="inlineStr">
        <is>
          <t>VÄSTERNORRLANDS LÄN</t>
        </is>
      </c>
      <c r="E1463" t="inlineStr">
        <is>
          <t>ÅNGE</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1886-2024</t>
        </is>
      </c>
      <c r="B1464" s="1" t="n">
        <v>45307.96335648148</v>
      </c>
      <c r="C1464" s="1" t="n">
        <v>46127</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41370-2023</t>
        </is>
      </c>
      <c r="B1465" s="1" t="n">
        <v>45174.85951388889</v>
      </c>
      <c r="C1465" s="1" t="n">
        <v>46127</v>
      </c>
      <c r="D1465" t="inlineStr">
        <is>
          <t>VÄSTERNORRLANDS LÄN</t>
        </is>
      </c>
      <c r="E1465" t="inlineStr">
        <is>
          <t>ÅNGE</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30235-2024</t>
        </is>
      </c>
      <c r="B1466" s="1" t="n">
        <v>45490.49040509259</v>
      </c>
      <c r="C1466" s="1" t="n">
        <v>46127</v>
      </c>
      <c r="D1466" t="inlineStr">
        <is>
          <t>VÄSTERNORRLANDS LÄN</t>
        </is>
      </c>
      <c r="E1466" t="inlineStr">
        <is>
          <t>ÅNGE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11157-2026</t>
        </is>
      </c>
      <c r="B1467" s="1" t="n">
        <v>46080.34425925926</v>
      </c>
      <c r="C1467" s="1" t="n">
        <v>46127</v>
      </c>
      <c r="D1467" t="inlineStr">
        <is>
          <t>VÄSTERNORRLANDS LÄN</t>
        </is>
      </c>
      <c r="E1467" t="inlineStr">
        <is>
          <t>ÅNGE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17578-2026</t>
        </is>
      </c>
      <c r="B1468" s="1" t="n">
        <v>46121.36537037037</v>
      </c>
      <c r="C1468" s="1" t="n">
        <v>46127</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11054-2026</t>
        </is>
      </c>
      <c r="B1469" s="1" t="n">
        <v>46079.59443287037</v>
      </c>
      <c r="C1469" s="1" t="n">
        <v>46127</v>
      </c>
      <c r="D1469" t="inlineStr">
        <is>
          <t>VÄSTERNORRLANDS LÄN</t>
        </is>
      </c>
      <c r="E1469" t="inlineStr">
        <is>
          <t>ÅNGE</t>
        </is>
      </c>
      <c r="F1469" t="inlineStr">
        <is>
          <t>SCA</t>
        </is>
      </c>
      <c r="G1469" t="n">
        <v>26.2</v>
      </c>
      <c r="H1469" t="n">
        <v>0</v>
      </c>
      <c r="I1469" t="n">
        <v>0</v>
      </c>
      <c r="J1469" t="n">
        <v>0</v>
      </c>
      <c r="K1469" t="n">
        <v>0</v>
      </c>
      <c r="L1469" t="n">
        <v>0</v>
      </c>
      <c r="M1469" t="n">
        <v>0</v>
      </c>
      <c r="N1469" t="n">
        <v>0</v>
      </c>
      <c r="O1469" t="n">
        <v>0</v>
      </c>
      <c r="P1469" t="n">
        <v>0</v>
      </c>
      <c r="Q1469" t="n">
        <v>0</v>
      </c>
      <c r="R1469" s="2" t="inlineStr"/>
    </row>
    <row r="1470" ht="15" customHeight="1">
      <c r="A1470" t="inlineStr">
        <is>
          <t>A 60817-2024</t>
        </is>
      </c>
      <c r="B1470" s="1" t="n">
        <v>45644</v>
      </c>
      <c r="C1470" s="1" t="n">
        <v>46127</v>
      </c>
      <c r="D1470" t="inlineStr">
        <is>
          <t>VÄSTERNORRLANDS LÄN</t>
        </is>
      </c>
      <c r="E1470" t="inlineStr">
        <is>
          <t>ÅNGE</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18456-2024</t>
        </is>
      </c>
      <c r="B1471" s="1" t="n">
        <v>45425.46831018518</v>
      </c>
      <c r="C1471" s="1" t="n">
        <v>46127</v>
      </c>
      <c r="D1471" t="inlineStr">
        <is>
          <t>VÄSTERNORRLANDS LÄN</t>
        </is>
      </c>
      <c r="E1471" t="inlineStr">
        <is>
          <t>ÅNGE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5492-2026</t>
        </is>
      </c>
      <c r="B1472" s="1" t="n">
        <v>46050</v>
      </c>
      <c r="C1472" s="1" t="n">
        <v>46127</v>
      </c>
      <c r="D1472" t="inlineStr">
        <is>
          <t>VÄSTERNORRLANDS LÄN</t>
        </is>
      </c>
      <c r="E1472" t="inlineStr">
        <is>
          <t>ÅNGE</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17917-2026</t>
        </is>
      </c>
      <c r="B1473" s="1" t="n">
        <v>46122.60832175926</v>
      </c>
      <c r="C1473" s="1" t="n">
        <v>46127</v>
      </c>
      <c r="D1473" t="inlineStr">
        <is>
          <t>VÄSTERNORRLANDS LÄN</t>
        </is>
      </c>
      <c r="E1473" t="inlineStr">
        <is>
          <t>ÅNGE</t>
        </is>
      </c>
      <c r="F1473" t="inlineStr">
        <is>
          <t>Sveaskog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11158-2026</t>
        </is>
      </c>
      <c r="B1474" s="1" t="n">
        <v>46080</v>
      </c>
      <c r="C1474" s="1" t="n">
        <v>46127</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11256-2026</t>
        </is>
      </c>
      <c r="B1475" s="1" t="n">
        <v>46080</v>
      </c>
      <c r="C1475" s="1" t="n">
        <v>46127</v>
      </c>
      <c r="D1475" t="inlineStr">
        <is>
          <t>VÄSTERNORRLANDS LÄN</t>
        </is>
      </c>
      <c r="E1475" t="inlineStr">
        <is>
          <t>ÅNGE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11271-2026</t>
        </is>
      </c>
      <c r="B1476" s="1" t="n">
        <v>46080.57349537037</v>
      </c>
      <c r="C1476" s="1" t="n">
        <v>46127</v>
      </c>
      <c r="D1476" t="inlineStr">
        <is>
          <t>VÄSTERNORRLANDS LÄN</t>
        </is>
      </c>
      <c r="E1476" t="inlineStr">
        <is>
          <t>ÅNGE</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25047-2023</t>
        </is>
      </c>
      <c r="B1477" s="1" t="n">
        <v>45085.94569444445</v>
      </c>
      <c r="C1477" s="1" t="n">
        <v>46127</v>
      </c>
      <c r="D1477" t="inlineStr">
        <is>
          <t>VÄSTERNORRLANDS LÄN</t>
        </is>
      </c>
      <c r="E1477" t="inlineStr">
        <is>
          <t>ÅNGE</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17637-2026</t>
        </is>
      </c>
      <c r="B1478" s="1" t="n">
        <v>46121.49008101852</v>
      </c>
      <c r="C1478" s="1" t="n">
        <v>46127</v>
      </c>
      <c r="D1478" t="inlineStr">
        <is>
          <t>VÄSTERNORRLANDS LÄN</t>
        </is>
      </c>
      <c r="E1478" t="inlineStr">
        <is>
          <t>ÅNGE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17638-2026</t>
        </is>
      </c>
      <c r="B1479" s="1" t="n">
        <v>46121.49026620371</v>
      </c>
      <c r="C1479" s="1" t="n">
        <v>46127</v>
      </c>
      <c r="D1479" t="inlineStr">
        <is>
          <t>VÄSTERNORRLANDS LÄN</t>
        </is>
      </c>
      <c r="E1479" t="inlineStr">
        <is>
          <t>ÅNGE</t>
        </is>
      </c>
      <c r="F1479" t="inlineStr">
        <is>
          <t>SCA</t>
        </is>
      </c>
      <c r="G1479" t="n">
        <v>24.2</v>
      </c>
      <c r="H1479" t="n">
        <v>0</v>
      </c>
      <c r="I1479" t="n">
        <v>0</v>
      </c>
      <c r="J1479" t="n">
        <v>0</v>
      </c>
      <c r="K1479" t="n">
        <v>0</v>
      </c>
      <c r="L1479" t="n">
        <v>0</v>
      </c>
      <c r="M1479" t="n">
        <v>0</v>
      </c>
      <c r="N1479" t="n">
        <v>0</v>
      </c>
      <c r="O1479" t="n">
        <v>0</v>
      </c>
      <c r="P1479" t="n">
        <v>0</v>
      </c>
      <c r="Q1479" t="n">
        <v>0</v>
      </c>
      <c r="R1479" s="2" t="inlineStr"/>
    </row>
    <row r="1480" ht="15" customHeight="1">
      <c r="A1480" t="inlineStr">
        <is>
          <t>A 17570-2026</t>
        </is>
      </c>
      <c r="B1480" s="1" t="n">
        <v>46121.34435185185</v>
      </c>
      <c r="C1480" s="1" t="n">
        <v>46127</v>
      </c>
      <c r="D1480" t="inlineStr">
        <is>
          <t>VÄSTERNORRLANDS LÄN</t>
        </is>
      </c>
      <c r="E1480" t="inlineStr">
        <is>
          <t>ÅNGE</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57815-2024</t>
        </is>
      </c>
      <c r="B1481" s="1" t="n">
        <v>45631.37068287037</v>
      </c>
      <c r="C1481" s="1" t="n">
        <v>46127</v>
      </c>
      <c r="D1481" t="inlineStr">
        <is>
          <t>VÄSTERNORRLANDS LÄN</t>
        </is>
      </c>
      <c r="E1481" t="inlineStr">
        <is>
          <t>ÅNGE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11743-2026</t>
        </is>
      </c>
      <c r="B1482" s="1" t="n">
        <v>46084.65674768519</v>
      </c>
      <c r="C1482" s="1" t="n">
        <v>46127</v>
      </c>
      <c r="D1482" t="inlineStr">
        <is>
          <t>VÄSTERNORRLANDS LÄN</t>
        </is>
      </c>
      <c r="E1482" t="inlineStr">
        <is>
          <t>ÅNGE</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11645-2026</t>
        </is>
      </c>
      <c r="B1483" s="1" t="n">
        <v>46084.51116898148</v>
      </c>
      <c r="C1483" s="1" t="n">
        <v>46127</v>
      </c>
      <c r="D1483" t="inlineStr">
        <is>
          <t>VÄSTERNORRLANDS LÄN</t>
        </is>
      </c>
      <c r="E1483" t="inlineStr">
        <is>
          <t>ÅNGE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11644-2026</t>
        </is>
      </c>
      <c r="B1484" s="1" t="n">
        <v>46084.5109375</v>
      </c>
      <c r="C1484" s="1" t="n">
        <v>46127</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11744-2026</t>
        </is>
      </c>
      <c r="B1485" s="1" t="n">
        <v>46084.65695601852</v>
      </c>
      <c r="C1485" s="1" t="n">
        <v>46127</v>
      </c>
      <c r="D1485" t="inlineStr">
        <is>
          <t>VÄSTERNORRLANDS LÄN</t>
        </is>
      </c>
      <c r="E1485" t="inlineStr">
        <is>
          <t>ÅNGE</t>
        </is>
      </c>
      <c r="F1485" t="inlineStr">
        <is>
          <t>SCA</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18112-2026</t>
        </is>
      </c>
      <c r="B1486" s="1" t="n">
        <v>46125.57349537037</v>
      </c>
      <c r="C1486" s="1" t="n">
        <v>46127</v>
      </c>
      <c r="D1486" t="inlineStr">
        <is>
          <t>VÄSTERNORRLANDS LÄN</t>
        </is>
      </c>
      <c r="E1486" t="inlineStr">
        <is>
          <t>ÅNGE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42044-2024</t>
        </is>
      </c>
      <c r="B1487" s="1" t="n">
        <v>45561</v>
      </c>
      <c r="C1487" s="1" t="n">
        <v>46127</v>
      </c>
      <c r="D1487" t="inlineStr">
        <is>
          <t>VÄSTERNORRLANDS LÄN</t>
        </is>
      </c>
      <c r="E1487" t="inlineStr">
        <is>
          <t>ÅNGE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16768-2026</t>
        </is>
      </c>
      <c r="B1488" s="1" t="n">
        <v>46113.42771990741</v>
      </c>
      <c r="C1488" s="1" t="n">
        <v>46127</v>
      </c>
      <c r="D1488" t="inlineStr">
        <is>
          <t>VÄSTERNORRLANDS LÄN</t>
        </is>
      </c>
      <c r="E1488" t="inlineStr">
        <is>
          <t>ÅNGE</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11461-2026</t>
        </is>
      </c>
      <c r="B1489" s="1" t="n">
        <v>46083.57335648148</v>
      </c>
      <c r="C1489" s="1" t="n">
        <v>46127</v>
      </c>
      <c r="D1489" t="inlineStr">
        <is>
          <t>VÄSTERNORRLANDS LÄN</t>
        </is>
      </c>
      <c r="E1489" t="inlineStr">
        <is>
          <t>ÅNGE</t>
        </is>
      </c>
      <c r="F1489" t="inlineStr">
        <is>
          <t>SCA</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11764-2024</t>
        </is>
      </c>
      <c r="B1490" s="1" t="n">
        <v>45373.94837962963</v>
      </c>
      <c r="C1490" s="1" t="n">
        <v>46127</v>
      </c>
      <c r="D1490" t="inlineStr">
        <is>
          <t>VÄSTERNORRLANDS LÄN</t>
        </is>
      </c>
      <c r="E1490" t="inlineStr">
        <is>
          <t>ÅNGE</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18144-2026</t>
        </is>
      </c>
      <c r="B1491" s="1" t="n">
        <v>46125.61525462963</v>
      </c>
      <c r="C1491" s="1" t="n">
        <v>46127</v>
      </c>
      <c r="D1491" t="inlineStr">
        <is>
          <t>VÄSTERNORRLANDS LÄN</t>
        </is>
      </c>
      <c r="E1491" t="inlineStr">
        <is>
          <t>ÅNGE</t>
        </is>
      </c>
      <c r="F1491" t="inlineStr">
        <is>
          <t>SCA</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25035-2023</t>
        </is>
      </c>
      <c r="B1492" s="1" t="n">
        <v>45085</v>
      </c>
      <c r="C1492" s="1" t="n">
        <v>46127</v>
      </c>
      <c r="D1492" t="inlineStr">
        <is>
          <t>VÄSTERNORRLANDS LÄN</t>
        </is>
      </c>
      <c r="E1492" t="inlineStr">
        <is>
          <t>ÅNGE</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10195-2024</t>
        </is>
      </c>
      <c r="B1493" s="1" t="n">
        <v>45364</v>
      </c>
      <c r="C1493" s="1" t="n">
        <v>46127</v>
      </c>
      <c r="D1493" t="inlineStr">
        <is>
          <t>VÄSTERNORRLANDS LÄN</t>
        </is>
      </c>
      <c r="E1493" t="inlineStr">
        <is>
          <t>ÅNGE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11564-2026</t>
        </is>
      </c>
      <c r="B1494" s="1" t="n">
        <v>46084.36503472222</v>
      </c>
      <c r="C1494" s="1" t="n">
        <v>46127</v>
      </c>
      <c r="D1494" t="inlineStr">
        <is>
          <t>VÄSTERNORRLANDS LÄN</t>
        </is>
      </c>
      <c r="E1494" t="inlineStr">
        <is>
          <t>ÅNGE</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42488-2024</t>
        </is>
      </c>
      <c r="B1495" s="1" t="n">
        <v>45565.49420138889</v>
      </c>
      <c r="C1495" s="1" t="n">
        <v>46127</v>
      </c>
      <c r="D1495" t="inlineStr">
        <is>
          <t>VÄSTERNORRLANDS LÄN</t>
        </is>
      </c>
      <c r="E1495" t="inlineStr">
        <is>
          <t>ÅNGE</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42529-2024</t>
        </is>
      </c>
      <c r="B1496" s="1" t="n">
        <v>45565.57324074074</v>
      </c>
      <c r="C1496" s="1" t="n">
        <v>46127</v>
      </c>
      <c r="D1496" t="inlineStr">
        <is>
          <t>VÄSTERNORRLANDS LÄN</t>
        </is>
      </c>
      <c r="E1496" t="inlineStr">
        <is>
          <t>ÅNGE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9211-2023</t>
        </is>
      </c>
      <c r="B1497" s="1" t="n">
        <v>44980</v>
      </c>
      <c r="C1497" s="1" t="n">
        <v>46127</v>
      </c>
      <c r="D1497" t="inlineStr">
        <is>
          <t>VÄSTERNORRLANDS LÄN</t>
        </is>
      </c>
      <c r="E1497" t="inlineStr">
        <is>
          <t>ÅNGE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29193-2024</t>
        </is>
      </c>
      <c r="B1498" s="1" t="n">
        <v>45482.56510416666</v>
      </c>
      <c r="C1498" s="1" t="n">
        <v>46127</v>
      </c>
      <c r="D1498" t="inlineStr">
        <is>
          <t>VÄSTERNORRLANDS LÄN</t>
        </is>
      </c>
      <c r="E1498" t="inlineStr">
        <is>
          <t>ÅNGE</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18212-2026</t>
        </is>
      </c>
      <c r="B1499" s="1" t="n">
        <v>46126.23800925926</v>
      </c>
      <c r="C1499" s="1" t="n">
        <v>46127</v>
      </c>
      <c r="D1499" t="inlineStr">
        <is>
          <t>VÄSTERNORRLANDS LÄN</t>
        </is>
      </c>
      <c r="E1499" t="inlineStr">
        <is>
          <t>ÅNGE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18213-2026</t>
        </is>
      </c>
      <c r="B1500" s="1" t="n">
        <v>46126.24059027778</v>
      </c>
      <c r="C1500" s="1" t="n">
        <v>46127</v>
      </c>
      <c r="D1500" t="inlineStr">
        <is>
          <t>VÄSTERNORRLANDS LÄN</t>
        </is>
      </c>
      <c r="E1500" t="inlineStr">
        <is>
          <t>ÅNGE</t>
        </is>
      </c>
      <c r="F1500" t="inlineStr">
        <is>
          <t>Övriga Aktiebolag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11472-2026</t>
        </is>
      </c>
      <c r="B1501" s="1" t="n">
        <v>46083.59460648148</v>
      </c>
      <c r="C1501" s="1" t="n">
        <v>46127</v>
      </c>
      <c r="D1501" t="inlineStr">
        <is>
          <t>VÄSTERNORRLANDS LÄN</t>
        </is>
      </c>
      <c r="E1501" t="inlineStr">
        <is>
          <t>ÅNGE</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3023-2023</t>
        </is>
      </c>
      <c r="B1502" s="1" t="n">
        <v>44945</v>
      </c>
      <c r="C1502" s="1" t="n">
        <v>46127</v>
      </c>
      <c r="D1502" t="inlineStr">
        <is>
          <t>VÄSTERNORRLANDS LÄN</t>
        </is>
      </c>
      <c r="E1502" t="inlineStr">
        <is>
          <t>ÅNGE</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3025-2023</t>
        </is>
      </c>
      <c r="B1503" s="1" t="n">
        <v>44945</v>
      </c>
      <c r="C1503" s="1" t="n">
        <v>46127</v>
      </c>
      <c r="D1503" t="inlineStr">
        <is>
          <t>VÄSTERNORRLANDS LÄN</t>
        </is>
      </c>
      <c r="E1503" t="inlineStr">
        <is>
          <t>ÅNGE</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56232-2024</t>
        </is>
      </c>
      <c r="B1504" s="1" t="n">
        <v>45624</v>
      </c>
      <c r="C1504" s="1" t="n">
        <v>46127</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11473-2026</t>
        </is>
      </c>
      <c r="B1505" s="1" t="n">
        <v>46083.59467592592</v>
      </c>
      <c r="C1505" s="1" t="n">
        <v>46127</v>
      </c>
      <c r="D1505" t="inlineStr">
        <is>
          <t>VÄSTERNORRLANDS LÄN</t>
        </is>
      </c>
      <c r="E1505" t="inlineStr">
        <is>
          <t>ÅNGE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16853-2023</t>
        </is>
      </c>
      <c r="B1506" s="1" t="n">
        <v>45033</v>
      </c>
      <c r="C1506" s="1" t="n">
        <v>46127</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7528-2023</t>
        </is>
      </c>
      <c r="B1507" s="1" t="n">
        <v>44971.97662037037</v>
      </c>
      <c r="C1507" s="1" t="n">
        <v>46127</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53988-2024</t>
        </is>
      </c>
      <c r="B1508" s="1" t="n">
        <v>45616.34408564815</v>
      </c>
      <c r="C1508" s="1" t="n">
        <v>46127</v>
      </c>
      <c r="D1508" t="inlineStr">
        <is>
          <t>VÄSTERNORRLANDS LÄN</t>
        </is>
      </c>
      <c r="E1508" t="inlineStr">
        <is>
          <t>ÅNGE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54002-2024</t>
        </is>
      </c>
      <c r="B1509" s="1" t="n">
        <v>45616.36491898148</v>
      </c>
      <c r="C1509" s="1" t="n">
        <v>46127</v>
      </c>
      <c r="D1509" t="inlineStr">
        <is>
          <t>VÄSTERNORRLANDS LÄN</t>
        </is>
      </c>
      <c r="E1509" t="inlineStr">
        <is>
          <t>ÅNGE</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54059-2024</t>
        </is>
      </c>
      <c r="B1510" s="1" t="n">
        <v>45616.46943287037</v>
      </c>
      <c r="C1510" s="1" t="n">
        <v>46127</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18390-2026</t>
        </is>
      </c>
      <c r="B1511" s="1" t="n">
        <v>46126.65739583333</v>
      </c>
      <c r="C1511" s="1" t="n">
        <v>46127</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50235-2021</t>
        </is>
      </c>
      <c r="B1512" s="1" t="n">
        <v>44457</v>
      </c>
      <c r="C1512" s="1" t="n">
        <v>46127</v>
      </c>
      <c r="D1512" t="inlineStr">
        <is>
          <t>VÄSTERNORRLANDS LÄN</t>
        </is>
      </c>
      <c r="E1512" t="inlineStr">
        <is>
          <t>ÅNGE</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44600-2024</t>
        </is>
      </c>
      <c r="B1513" s="1" t="n">
        <v>45574.51113425926</v>
      </c>
      <c r="C1513" s="1" t="n">
        <v>46127</v>
      </c>
      <c r="D1513" t="inlineStr">
        <is>
          <t>VÄSTERNORRLANDS LÄN</t>
        </is>
      </c>
      <c r="E1513" t="inlineStr">
        <is>
          <t>ÅNGE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12806-2025</t>
        </is>
      </c>
      <c r="B1514" s="1" t="n">
        <v>45733.61518518518</v>
      </c>
      <c r="C1514" s="1" t="n">
        <v>46127</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45890-2021</t>
        </is>
      </c>
      <c r="B1515" s="1" t="n">
        <v>44441</v>
      </c>
      <c r="C1515" s="1" t="n">
        <v>46127</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1869-2022</t>
        </is>
      </c>
      <c r="B1516" s="1" t="n">
        <v>44574</v>
      </c>
      <c r="C1516" s="1" t="n">
        <v>46127</v>
      </c>
      <c r="D1516" t="inlineStr">
        <is>
          <t>VÄSTERNORRLANDS LÄN</t>
        </is>
      </c>
      <c r="E1516" t="inlineStr">
        <is>
          <t>ÅNGE</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48988-2021</t>
        </is>
      </c>
      <c r="B1517" s="1" t="n">
        <v>44453.43</v>
      </c>
      <c r="C1517" s="1" t="n">
        <v>46127</v>
      </c>
      <c r="D1517" t="inlineStr">
        <is>
          <t>VÄSTERNORRLANDS LÄN</t>
        </is>
      </c>
      <c r="E1517" t="inlineStr">
        <is>
          <t>ÅNGE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60812-2024</t>
        </is>
      </c>
      <c r="B1518" s="1" t="n">
        <v>45644</v>
      </c>
      <c r="C1518" s="1" t="n">
        <v>46127</v>
      </c>
      <c r="D1518" t="inlineStr">
        <is>
          <t>VÄSTERNORRLANDS LÄN</t>
        </is>
      </c>
      <c r="E1518" t="inlineStr">
        <is>
          <t>ÅNGE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54611-2023</t>
        </is>
      </c>
      <c r="B1519" s="1" t="n">
        <v>45233</v>
      </c>
      <c r="C1519" s="1" t="n">
        <v>46127</v>
      </c>
      <c r="D1519" t="inlineStr">
        <is>
          <t>VÄSTERNORRLANDS LÄN</t>
        </is>
      </c>
      <c r="E1519" t="inlineStr">
        <is>
          <t>ÅNGE</t>
        </is>
      </c>
      <c r="F1519" t="inlineStr">
        <is>
          <t>SCA</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49187-2024</t>
        </is>
      </c>
      <c r="B1520" s="1" t="n">
        <v>45595.34490740741</v>
      </c>
      <c r="C1520" s="1" t="n">
        <v>46127</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51810-2023</t>
        </is>
      </c>
      <c r="B1521" s="1" t="n">
        <v>45222.96583333334</v>
      </c>
      <c r="C1521" s="1" t="n">
        <v>46127</v>
      </c>
      <c r="D1521" t="inlineStr">
        <is>
          <t>VÄSTERNORRLANDS LÄN</t>
        </is>
      </c>
      <c r="E1521" t="inlineStr">
        <is>
          <t>ÅNGE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5520-2022</t>
        </is>
      </c>
      <c r="B1522" s="1" t="n">
        <v>44595</v>
      </c>
      <c r="C1522" s="1" t="n">
        <v>46127</v>
      </c>
      <c r="D1522" t="inlineStr">
        <is>
          <t>VÄSTERNORRLANDS LÄN</t>
        </is>
      </c>
      <c r="E1522" t="inlineStr">
        <is>
          <t>ÅNGE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58469-2023</t>
        </is>
      </c>
      <c r="B1523" s="1" t="n">
        <v>45250</v>
      </c>
      <c r="C1523" s="1" t="n">
        <v>46127</v>
      </c>
      <c r="D1523" t="inlineStr">
        <is>
          <t>VÄSTERNORRLANDS LÄN</t>
        </is>
      </c>
      <c r="E1523" t="inlineStr">
        <is>
          <t>ÅNGE</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31177-2024</t>
        </is>
      </c>
      <c r="B1524" s="1" t="n">
        <v>45503</v>
      </c>
      <c r="C1524" s="1" t="n">
        <v>46127</v>
      </c>
      <c r="D1524" t="inlineStr">
        <is>
          <t>VÄSTERNORRLANDS LÄN</t>
        </is>
      </c>
      <c r="E1524" t="inlineStr">
        <is>
          <t>ÅNGE</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29063-2023</t>
        </is>
      </c>
      <c r="B1525" s="1" t="n">
        <v>45104.94068287037</v>
      </c>
      <c r="C1525" s="1" t="n">
        <v>46127</v>
      </c>
      <c r="D1525" t="inlineStr">
        <is>
          <t>VÄSTERNORRLANDS LÄN</t>
        </is>
      </c>
      <c r="E1525" t="inlineStr">
        <is>
          <t>ÅNGE</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59412-2024</t>
        </is>
      </c>
      <c r="B1526" s="1" t="n">
        <v>45638</v>
      </c>
      <c r="C1526" s="1" t="n">
        <v>46127</v>
      </c>
      <c r="D1526" t="inlineStr">
        <is>
          <t>VÄSTERNORRLANDS LÄN</t>
        </is>
      </c>
      <c r="E1526" t="inlineStr">
        <is>
          <t>ÅNGE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9567-2024</t>
        </is>
      </c>
      <c r="B1527" s="1" t="n">
        <v>45360.03635416667</v>
      </c>
      <c r="C1527" s="1" t="n">
        <v>46127</v>
      </c>
      <c r="D1527" t="inlineStr">
        <is>
          <t>VÄSTERNORRLANDS LÄN</t>
        </is>
      </c>
      <c r="E1527" t="inlineStr">
        <is>
          <t>ÅNGE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22988-2024</t>
        </is>
      </c>
      <c r="B1528" s="1" t="n">
        <v>45449.94530092592</v>
      </c>
      <c r="C1528" s="1" t="n">
        <v>46127</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56908-2021</t>
        </is>
      </c>
      <c r="B1529" s="1" t="n">
        <v>44481.93844907408</v>
      </c>
      <c r="C1529" s="1" t="n">
        <v>46127</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17210-2022</t>
        </is>
      </c>
      <c r="B1530" s="1" t="n">
        <v>44677.92701388889</v>
      </c>
      <c r="C1530" s="1" t="n">
        <v>46127</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56574-2024</t>
        </is>
      </c>
      <c r="B1531" s="1" t="n">
        <v>45625.59616898148</v>
      </c>
      <c r="C1531" s="1" t="n">
        <v>46127</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31568-2024</t>
        </is>
      </c>
      <c r="B1532" s="1" t="n">
        <v>45505.96721064814</v>
      </c>
      <c r="C1532" s="1" t="n">
        <v>46127</v>
      </c>
      <c r="D1532" t="inlineStr">
        <is>
          <t>VÄSTERNORRLANDS LÄN</t>
        </is>
      </c>
      <c r="E1532" t="inlineStr">
        <is>
          <t>ÅNGE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27468-2024</t>
        </is>
      </c>
      <c r="B1533" s="1" t="n">
        <v>45474</v>
      </c>
      <c r="C1533" s="1" t="n">
        <v>46127</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12123-2024</t>
        </is>
      </c>
      <c r="B1534" s="1" t="n">
        <v>45377</v>
      </c>
      <c r="C1534" s="1" t="n">
        <v>46127</v>
      </c>
      <c r="D1534" t="inlineStr">
        <is>
          <t>VÄSTERNORRLANDS LÄN</t>
        </is>
      </c>
      <c r="E1534" t="inlineStr">
        <is>
          <t>ÅNGE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11299-2023</t>
        </is>
      </c>
      <c r="B1535" s="1" t="n">
        <v>44993.01074074074</v>
      </c>
      <c r="C1535" s="1" t="n">
        <v>46127</v>
      </c>
      <c r="D1535" t="inlineStr">
        <is>
          <t>VÄSTERNORRLANDS LÄN</t>
        </is>
      </c>
      <c r="E1535" t="inlineStr">
        <is>
          <t>ÅNGE</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11309-2023</t>
        </is>
      </c>
      <c r="B1536" s="1" t="n">
        <v>44993.0118287037</v>
      </c>
      <c r="C1536" s="1" t="n">
        <v>46127</v>
      </c>
      <c r="D1536" t="inlineStr">
        <is>
          <t>VÄSTERNORRLANDS LÄN</t>
        </is>
      </c>
      <c r="E1536" t="inlineStr">
        <is>
          <t>ÅNGE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45932-2023</t>
        </is>
      </c>
      <c r="B1537" s="1" t="n">
        <v>45195</v>
      </c>
      <c r="C1537" s="1" t="n">
        <v>46127</v>
      </c>
      <c r="D1537" t="inlineStr">
        <is>
          <t>VÄSTERNORRLANDS LÄN</t>
        </is>
      </c>
      <c r="E1537" t="inlineStr">
        <is>
          <t>ÅNGE</t>
        </is>
      </c>
      <c r="F1537" t="inlineStr">
        <is>
          <t>SCA</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8648-2025</t>
        </is>
      </c>
      <c r="B1538" s="1" t="n">
        <v>45712.34501157407</v>
      </c>
      <c r="C1538" s="1" t="n">
        <v>46127</v>
      </c>
      <c r="D1538" t="inlineStr">
        <is>
          <t>VÄSTERNORRLANDS LÄN</t>
        </is>
      </c>
      <c r="E1538" t="inlineStr">
        <is>
          <t>ÅNGE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24541-2023</t>
        </is>
      </c>
      <c r="B1539" s="1" t="n">
        <v>45082.94135416667</v>
      </c>
      <c r="C1539" s="1" t="n">
        <v>46127</v>
      </c>
      <c r="D1539" t="inlineStr">
        <is>
          <t>VÄSTERNORRLANDS LÄN</t>
        </is>
      </c>
      <c r="E1539" t="inlineStr">
        <is>
          <t>ÅNGE</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51131-2022</t>
        </is>
      </c>
      <c r="B1540" s="1" t="n">
        <v>44868</v>
      </c>
      <c r="C1540" s="1" t="n">
        <v>46127</v>
      </c>
      <c r="D1540" t="inlineStr">
        <is>
          <t>VÄSTERNORRLANDS LÄN</t>
        </is>
      </c>
      <c r="E1540" t="inlineStr">
        <is>
          <t>ÅNGE</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33631-2024</t>
        </is>
      </c>
      <c r="B1541" s="1" t="n">
        <v>45520</v>
      </c>
      <c r="C1541" s="1" t="n">
        <v>46127</v>
      </c>
      <c r="D1541" t="inlineStr">
        <is>
          <t>VÄSTERNORRLANDS LÄN</t>
        </is>
      </c>
      <c r="E1541" t="inlineStr">
        <is>
          <t>ÅNGE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63522-2021</t>
        </is>
      </c>
      <c r="B1542" s="1" t="n">
        <v>44508</v>
      </c>
      <c r="C1542" s="1" t="n">
        <v>46127</v>
      </c>
      <c r="D1542" t="inlineStr">
        <is>
          <t>VÄSTERNORRLANDS LÄN</t>
        </is>
      </c>
      <c r="E1542" t="inlineStr">
        <is>
          <t>ÅNGE</t>
        </is>
      </c>
      <c r="F1542" t="inlineStr">
        <is>
          <t>Övriga Aktiebolag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51411-2023</t>
        </is>
      </c>
      <c r="B1543" s="1" t="n">
        <v>45219</v>
      </c>
      <c r="C1543" s="1" t="n">
        <v>46127</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31229-2023</t>
        </is>
      </c>
      <c r="B1544" s="1" t="n">
        <v>45114</v>
      </c>
      <c r="C1544" s="1" t="n">
        <v>46127</v>
      </c>
      <c r="D1544" t="inlineStr">
        <is>
          <t>VÄSTERNORRLANDS LÄN</t>
        </is>
      </c>
      <c r="E1544" t="inlineStr">
        <is>
          <t>ÅNGE</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53336-2024</t>
        </is>
      </c>
      <c r="B1545" s="1" t="n">
        <v>45614.42753472222</v>
      </c>
      <c r="C1545" s="1" t="n">
        <v>46127</v>
      </c>
      <c r="D1545" t="inlineStr">
        <is>
          <t>VÄSTERNORRLANDS LÄN</t>
        </is>
      </c>
      <c r="E1545" t="inlineStr">
        <is>
          <t>ÅNGE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7692-2024</t>
        </is>
      </c>
      <c r="B1546" s="1" t="n">
        <v>45349</v>
      </c>
      <c r="C1546" s="1" t="n">
        <v>46127</v>
      </c>
      <c r="D1546" t="inlineStr">
        <is>
          <t>VÄSTERNORRLANDS LÄN</t>
        </is>
      </c>
      <c r="E1546" t="inlineStr">
        <is>
          <t>ÅNGE</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47950-2024</t>
        </is>
      </c>
      <c r="B1547" s="1" t="n">
        <v>45589.36511574074</v>
      </c>
      <c r="C1547" s="1" t="n">
        <v>46127</v>
      </c>
      <c r="D1547" t="inlineStr">
        <is>
          <t>VÄSTERNORRLANDS LÄN</t>
        </is>
      </c>
      <c r="E1547" t="inlineStr">
        <is>
          <t>ÅNGE</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39589-2022</t>
        </is>
      </c>
      <c r="B1548" s="1" t="n">
        <v>44818</v>
      </c>
      <c r="C1548" s="1" t="n">
        <v>46127</v>
      </c>
      <c r="D1548" t="inlineStr">
        <is>
          <t>VÄSTERNORRLANDS LÄN</t>
        </is>
      </c>
      <c r="E1548" t="inlineStr">
        <is>
          <t>ÅNGE</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42098-2024</t>
        </is>
      </c>
      <c r="B1549" s="1" t="n">
        <v>45562.34532407407</v>
      </c>
      <c r="C1549" s="1" t="n">
        <v>46127</v>
      </c>
      <c r="D1549" t="inlineStr">
        <is>
          <t>VÄSTERNORRLANDS LÄN</t>
        </is>
      </c>
      <c r="E1549" t="inlineStr">
        <is>
          <t>ÅNGE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10071-2023</t>
        </is>
      </c>
      <c r="B1550" s="1" t="n">
        <v>44985.92418981482</v>
      </c>
      <c r="C1550" s="1" t="n">
        <v>46127</v>
      </c>
      <c r="D1550" t="inlineStr">
        <is>
          <t>VÄSTERNORRLANDS LÄN</t>
        </is>
      </c>
      <c r="E1550" t="inlineStr">
        <is>
          <t>ÅNGE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44518-2024</t>
        </is>
      </c>
      <c r="B1551" s="1" t="n">
        <v>45574.43376157407</v>
      </c>
      <c r="C1551" s="1" t="n">
        <v>46127</v>
      </c>
      <c r="D1551" t="inlineStr">
        <is>
          <t>VÄSTERNORRLANDS LÄN</t>
        </is>
      </c>
      <c r="E1551" t="inlineStr">
        <is>
          <t>ÅNGE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15822-2025</t>
        </is>
      </c>
      <c r="B1552" s="1" t="n">
        <v>45748.70172453704</v>
      </c>
      <c r="C1552" s="1" t="n">
        <v>46127</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41083-2024</t>
        </is>
      </c>
      <c r="B1553" s="1" t="n">
        <v>45559.40684027778</v>
      </c>
      <c r="C1553" s="1" t="n">
        <v>46127</v>
      </c>
      <c r="D1553" t="inlineStr">
        <is>
          <t>VÄSTERNORRLANDS LÄN</t>
        </is>
      </c>
      <c r="E1553" t="inlineStr">
        <is>
          <t>ÅNGE</t>
        </is>
      </c>
      <c r="F1553" t="inlineStr">
        <is>
          <t>SCA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4094-2025</t>
        </is>
      </c>
      <c r="B1554" s="1" t="n">
        <v>45684.6778125</v>
      </c>
      <c r="C1554" s="1" t="n">
        <v>46127</v>
      </c>
      <c r="D1554" t="inlineStr">
        <is>
          <t>VÄSTERNORRLANDS LÄN</t>
        </is>
      </c>
      <c r="E1554" t="inlineStr">
        <is>
          <t>ÅNGE</t>
        </is>
      </c>
      <c r="F1554" t="inlineStr">
        <is>
          <t>SCA</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41507-2024</t>
        </is>
      </c>
      <c r="B1555" s="1" t="n">
        <v>45560</v>
      </c>
      <c r="C1555" s="1" t="n">
        <v>46127</v>
      </c>
      <c r="D1555" t="inlineStr">
        <is>
          <t>VÄSTERNORRLANDS LÄN</t>
        </is>
      </c>
      <c r="E1555" t="inlineStr">
        <is>
          <t>ÅNGE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26019-2024</t>
        </is>
      </c>
      <c r="B1556" s="1" t="n">
        <v>45467.96015046296</v>
      </c>
      <c r="C1556" s="1" t="n">
        <v>46127</v>
      </c>
      <c r="D1556" t="inlineStr">
        <is>
          <t>VÄSTERNORRLANDS LÄN</t>
        </is>
      </c>
      <c r="E1556" t="inlineStr">
        <is>
          <t>ÅNGE</t>
        </is>
      </c>
      <c r="F1556" t="inlineStr">
        <is>
          <t>SCA</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8747-2022</t>
        </is>
      </c>
      <c r="B1557" s="1" t="n">
        <v>44614.33912037037</v>
      </c>
      <c r="C1557" s="1" t="n">
        <v>46127</v>
      </c>
      <c r="D1557" t="inlineStr">
        <is>
          <t>VÄSTERNORRLANDS LÄN</t>
        </is>
      </c>
      <c r="E1557" t="inlineStr">
        <is>
          <t>ÅNGE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8755-2022</t>
        </is>
      </c>
      <c r="B1558" s="1" t="n">
        <v>44614</v>
      </c>
      <c r="C1558" s="1" t="n">
        <v>46127</v>
      </c>
      <c r="D1558" t="inlineStr">
        <is>
          <t>VÄSTERNORRLANDS LÄN</t>
        </is>
      </c>
      <c r="E1558" t="inlineStr">
        <is>
          <t>ÅNGE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6690-2024</t>
        </is>
      </c>
      <c r="B1559" s="1" t="n">
        <v>45341</v>
      </c>
      <c r="C1559" s="1" t="n">
        <v>46127</v>
      </c>
      <c r="D1559" t="inlineStr">
        <is>
          <t>VÄSTERNORRLANDS LÄN</t>
        </is>
      </c>
      <c r="E1559" t="inlineStr">
        <is>
          <t>ÅNGE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64375-2023</t>
        </is>
      </c>
      <c r="B1560" s="1" t="n">
        <v>45280</v>
      </c>
      <c r="C1560" s="1" t="n">
        <v>46127</v>
      </c>
      <c r="D1560" t="inlineStr">
        <is>
          <t>VÄSTERNORRLANDS LÄN</t>
        </is>
      </c>
      <c r="E1560" t="inlineStr">
        <is>
          <t>ÅNGE</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1235-2023</t>
        </is>
      </c>
      <c r="B1561" s="1" t="n">
        <v>44935</v>
      </c>
      <c r="C1561" s="1" t="n">
        <v>46127</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62261-2022</t>
        </is>
      </c>
      <c r="B1562" s="1" t="n">
        <v>44922.94378472222</v>
      </c>
      <c r="C1562" s="1" t="n">
        <v>46127</v>
      </c>
      <c r="D1562" t="inlineStr">
        <is>
          <t>VÄSTERNORRLANDS LÄN</t>
        </is>
      </c>
      <c r="E1562" t="inlineStr">
        <is>
          <t>ÅNGE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41302-2024</t>
        </is>
      </c>
      <c r="B1563" s="1" t="n">
        <v>45559.62077546296</v>
      </c>
      <c r="C1563" s="1" t="n">
        <v>46127</v>
      </c>
      <c r="D1563" t="inlineStr">
        <is>
          <t>VÄSTERNORRLANDS LÄN</t>
        </is>
      </c>
      <c r="E1563" t="inlineStr">
        <is>
          <t>ÅNGE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5249-2025</t>
        </is>
      </c>
      <c r="B1564" s="1" t="n">
        <v>45692.34465277778</v>
      </c>
      <c r="C1564" s="1" t="n">
        <v>46127</v>
      </c>
      <c r="D1564" t="inlineStr">
        <is>
          <t>VÄSTERNORRLANDS LÄN</t>
        </is>
      </c>
      <c r="E1564" t="inlineStr">
        <is>
          <t>ÅNGE</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43366-2024</t>
        </is>
      </c>
      <c r="B1565" s="1" t="n">
        <v>45568</v>
      </c>
      <c r="C1565" s="1" t="n">
        <v>46127</v>
      </c>
      <c r="D1565" t="inlineStr">
        <is>
          <t>VÄSTERNORRLANDS LÄN</t>
        </is>
      </c>
      <c r="E1565" t="inlineStr">
        <is>
          <t>ÅNGE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35577-2024</t>
        </is>
      </c>
      <c r="B1566" s="1" t="n">
        <v>45531</v>
      </c>
      <c r="C1566" s="1" t="n">
        <v>46127</v>
      </c>
      <c r="D1566" t="inlineStr">
        <is>
          <t>VÄSTERNORRLANDS LÄN</t>
        </is>
      </c>
      <c r="E1566" t="inlineStr">
        <is>
          <t>ÅNGE</t>
        </is>
      </c>
      <c r="F1566" t="inlineStr">
        <is>
          <t>SCA</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35580-2024</t>
        </is>
      </c>
      <c r="B1567" s="1" t="n">
        <v>45531</v>
      </c>
      <c r="C1567" s="1" t="n">
        <v>46127</v>
      </c>
      <c r="D1567" t="inlineStr">
        <is>
          <t>VÄSTERNORRLANDS LÄN</t>
        </is>
      </c>
      <c r="E1567" t="inlineStr">
        <is>
          <t>ÅNGE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28428-2023</t>
        </is>
      </c>
      <c r="B1568" s="1" t="n">
        <v>45102</v>
      </c>
      <c r="C1568" s="1" t="n">
        <v>46127</v>
      </c>
      <c r="D1568" t="inlineStr">
        <is>
          <t>VÄSTERNORRLANDS LÄN</t>
        </is>
      </c>
      <c r="E1568" t="inlineStr">
        <is>
          <t>ÅNGE</t>
        </is>
      </c>
      <c r="F1568" t="inlineStr">
        <is>
          <t>Kyrkan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72239-2021</t>
        </is>
      </c>
      <c r="B1569" s="1" t="n">
        <v>44544.9203587963</v>
      </c>
      <c r="C1569" s="1" t="n">
        <v>46127</v>
      </c>
      <c r="D1569" t="inlineStr">
        <is>
          <t>VÄSTERNORRLANDS LÄN</t>
        </is>
      </c>
      <c r="E1569" t="inlineStr">
        <is>
          <t>ÅNGE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59986-2021</t>
        </is>
      </c>
      <c r="B1570" s="1" t="n">
        <v>44494</v>
      </c>
      <c r="C1570" s="1" t="n">
        <v>46127</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30556-2023</t>
        </is>
      </c>
      <c r="B1571" s="1" t="n">
        <v>45111.87935185185</v>
      </c>
      <c r="C1571" s="1" t="n">
        <v>46127</v>
      </c>
      <c r="D1571" t="inlineStr">
        <is>
          <t>VÄSTERNORRLANDS LÄN</t>
        </is>
      </c>
      <c r="E1571" t="inlineStr">
        <is>
          <t>ÅNGE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53549-2023</t>
        </is>
      </c>
      <c r="B1572" s="1" t="n">
        <v>45230</v>
      </c>
      <c r="C1572" s="1" t="n">
        <v>46127</v>
      </c>
      <c r="D1572" t="inlineStr">
        <is>
          <t>VÄSTERNORRLANDS LÄN</t>
        </is>
      </c>
      <c r="E1572" t="inlineStr">
        <is>
          <t>ÅNGE</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34705-2023</t>
        </is>
      </c>
      <c r="B1573" s="1" t="n">
        <v>45140.96452546296</v>
      </c>
      <c r="C1573" s="1" t="n">
        <v>46127</v>
      </c>
      <c r="D1573" t="inlineStr">
        <is>
          <t>VÄSTERNORRLANDS LÄN</t>
        </is>
      </c>
      <c r="E1573" t="inlineStr">
        <is>
          <t>ÅNGE</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50186-2021</t>
        </is>
      </c>
      <c r="B1574" s="1" t="n">
        <v>44456</v>
      </c>
      <c r="C1574" s="1" t="n">
        <v>46127</v>
      </c>
      <c r="D1574" t="inlineStr">
        <is>
          <t>VÄSTERNORRLANDS LÄN</t>
        </is>
      </c>
      <c r="E1574" t="inlineStr">
        <is>
          <t>ÅNGE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35392-2024</t>
        </is>
      </c>
      <c r="B1575" s="1" t="n">
        <v>45531.4025462963</v>
      </c>
      <c r="C1575" s="1" t="n">
        <v>46127</v>
      </c>
      <c r="D1575" t="inlineStr">
        <is>
          <t>VÄSTERNORRLANDS LÄN</t>
        </is>
      </c>
      <c r="E1575" t="inlineStr">
        <is>
          <t>ÅNGE</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27952-2024</t>
        </is>
      </c>
      <c r="B1576" s="1" t="n">
        <v>45476.33063657407</v>
      </c>
      <c r="C1576" s="1" t="n">
        <v>46127</v>
      </c>
      <c r="D1576" t="inlineStr">
        <is>
          <t>VÄSTERNORRLANDS LÄN</t>
        </is>
      </c>
      <c r="E1576" t="inlineStr">
        <is>
          <t>ÅNGE</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58634-2023</t>
        </is>
      </c>
      <c r="B1577" s="1" t="n">
        <v>45251</v>
      </c>
      <c r="C1577" s="1" t="n">
        <v>46127</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41825-2022</t>
        </is>
      </c>
      <c r="B1578" s="1" t="n">
        <v>44827</v>
      </c>
      <c r="C1578" s="1" t="n">
        <v>46127</v>
      </c>
      <c r="D1578" t="inlineStr">
        <is>
          <t>VÄSTERNORRLANDS LÄN</t>
        </is>
      </c>
      <c r="E1578" t="inlineStr">
        <is>
          <t>ÅNGE</t>
        </is>
      </c>
      <c r="F1578" t="inlineStr">
        <is>
          <t>SCA</t>
        </is>
      </c>
      <c r="G1578" t="n">
        <v>3.3</v>
      </c>
      <c r="H1578" t="n">
        <v>0</v>
      </c>
      <c r="I1578" t="n">
        <v>0</v>
      </c>
      <c r="J1578" t="n">
        <v>0</v>
      </c>
      <c r="K1578" t="n">
        <v>0</v>
      </c>
      <c r="L1578" t="n">
        <v>0</v>
      </c>
      <c r="M1578" t="n">
        <v>0</v>
      </c>
      <c r="N1578" t="n">
        <v>0</v>
      </c>
      <c r="O1578" t="n">
        <v>0</v>
      </c>
      <c r="P1578" t="n">
        <v>0</v>
      </c>
      <c r="Q1578" t="n">
        <v>0</v>
      </c>
      <c r="R1578" s="2" t="inlineStr"/>
      <c r="U1578">
        <f>HYPERLINK("https://klasma.github.io/Logging_2260/knärot/A 41825-2022 karta knärot.png", "A 41825-2022")</f>
        <v/>
      </c>
      <c r="V1578">
        <f>HYPERLINK("https://klasma.github.io/Logging_2260/klagomål/A 41825-2022 FSC-klagomål.docx", "A 41825-2022")</f>
        <v/>
      </c>
      <c r="W1578">
        <f>HYPERLINK("https://klasma.github.io/Logging_2260/klagomålsmail/A 41825-2022 FSC-klagomål mail.docx", "A 41825-2022")</f>
        <v/>
      </c>
      <c r="X1578">
        <f>HYPERLINK("https://klasma.github.io/Logging_2260/tillsyn/A 41825-2022 tillsynsbegäran.docx", "A 41825-2022")</f>
        <v/>
      </c>
      <c r="Y1578">
        <f>HYPERLINK("https://klasma.github.io/Logging_2260/tillsynsmail/A 41825-2022 tillsynsbegäran mail.docx", "A 41825-2022")</f>
        <v/>
      </c>
    </row>
    <row r="1579" ht="15" customHeight="1">
      <c r="A1579" t="inlineStr">
        <is>
          <t>A 35581-2024</t>
        </is>
      </c>
      <c r="B1579" s="1" t="n">
        <v>45531</v>
      </c>
      <c r="C1579" s="1" t="n">
        <v>46127</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35582-2024</t>
        </is>
      </c>
      <c r="B1580" s="1" t="n">
        <v>45531.64800925926</v>
      </c>
      <c r="C1580" s="1" t="n">
        <v>46127</v>
      </c>
      <c r="D1580" t="inlineStr">
        <is>
          <t>VÄSTERNORRLANDS LÄN</t>
        </is>
      </c>
      <c r="E1580" t="inlineStr">
        <is>
          <t>ÅNGE</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4904-2024</t>
        </is>
      </c>
      <c r="B1581" s="1" t="n">
        <v>45329.47856481482</v>
      </c>
      <c r="C1581" s="1" t="n">
        <v>46127</v>
      </c>
      <c r="D1581" t="inlineStr">
        <is>
          <t>VÄSTERNORRLANDS LÄN</t>
        </is>
      </c>
      <c r="E1581" t="inlineStr">
        <is>
          <t>ÅNGE</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57592-2022</t>
        </is>
      </c>
      <c r="B1582" s="1" t="n">
        <v>44896.97841435186</v>
      </c>
      <c r="C1582" s="1" t="n">
        <v>46127</v>
      </c>
      <c r="D1582" t="inlineStr">
        <is>
          <t>VÄSTERNORRLANDS LÄN</t>
        </is>
      </c>
      <c r="E1582" t="inlineStr">
        <is>
          <t>ÅNGE</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57602-2022</t>
        </is>
      </c>
      <c r="B1583" s="1" t="n">
        <v>44896</v>
      </c>
      <c r="C1583" s="1" t="n">
        <v>46127</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22680-2024</t>
        </is>
      </c>
      <c r="B1584" s="1" t="n">
        <v>45447.94548611111</v>
      </c>
      <c r="C1584" s="1" t="n">
        <v>46127</v>
      </c>
      <c r="D1584" t="inlineStr">
        <is>
          <t>VÄSTERNORRLANDS LÄN</t>
        </is>
      </c>
      <c r="E1584" t="inlineStr">
        <is>
          <t>ÅNGE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18430-2025</t>
        </is>
      </c>
      <c r="B1585" s="1" t="n">
        <v>45762.63576388889</v>
      </c>
      <c r="C1585" s="1" t="n">
        <v>46127</v>
      </c>
      <c r="D1585" t="inlineStr">
        <is>
          <t>VÄSTERNORRLANDS LÄN</t>
        </is>
      </c>
      <c r="E1585" t="inlineStr">
        <is>
          <t>ÅNGE</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3624-2024</t>
        </is>
      </c>
      <c r="B1586" s="1" t="n">
        <v>45320.95305555555</v>
      </c>
      <c r="C1586" s="1" t="n">
        <v>46127</v>
      </c>
      <c r="D1586" t="inlineStr">
        <is>
          <t>VÄSTERNORRLANDS LÄN</t>
        </is>
      </c>
      <c r="E1586" t="inlineStr">
        <is>
          <t>ÅNGE</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10922-2024</t>
        </is>
      </c>
      <c r="B1587" s="1" t="n">
        <v>45370</v>
      </c>
      <c r="C1587" s="1" t="n">
        <v>46127</v>
      </c>
      <c r="D1587" t="inlineStr">
        <is>
          <t>VÄSTERNORRLANDS LÄN</t>
        </is>
      </c>
      <c r="E1587" t="inlineStr">
        <is>
          <t>ÅNGE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46681-2023</t>
        </is>
      </c>
      <c r="B1588" s="1" t="n">
        <v>45198</v>
      </c>
      <c r="C1588" s="1" t="n">
        <v>46127</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46255-2023</t>
        </is>
      </c>
      <c r="B1589" s="1" t="n">
        <v>45196</v>
      </c>
      <c r="C1589" s="1" t="n">
        <v>46127</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55197-2022</t>
        </is>
      </c>
      <c r="B1590" s="1" t="n">
        <v>44886.93714120371</v>
      </c>
      <c r="C1590" s="1" t="n">
        <v>46127</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18617-2024</t>
        </is>
      </c>
      <c r="B1591" s="1" t="n">
        <v>45425</v>
      </c>
      <c r="C1591" s="1" t="n">
        <v>46127</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18869-2024</t>
        </is>
      </c>
      <c r="B1592" s="1" t="n">
        <v>45426</v>
      </c>
      <c r="C1592" s="1" t="n">
        <v>46127</v>
      </c>
      <c r="D1592" t="inlineStr">
        <is>
          <t>VÄSTERNORRLANDS LÄN</t>
        </is>
      </c>
      <c r="E1592" t="inlineStr">
        <is>
          <t>ÅNGE</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37540-2024</t>
        </is>
      </c>
      <c r="B1593" s="1" t="n">
        <v>45541.42111111111</v>
      </c>
      <c r="C1593" s="1" t="n">
        <v>46127</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42958-2024</t>
        </is>
      </c>
      <c r="B1594" s="1" t="n">
        <v>45567.37131944444</v>
      </c>
      <c r="C1594" s="1" t="n">
        <v>46127</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42969-2024</t>
        </is>
      </c>
      <c r="B1595" s="1" t="n">
        <v>45567.37300925926</v>
      </c>
      <c r="C1595" s="1" t="n">
        <v>46127</v>
      </c>
      <c r="D1595" t="inlineStr">
        <is>
          <t>VÄSTERNORRLANDS LÄN</t>
        </is>
      </c>
      <c r="E1595" t="inlineStr">
        <is>
          <t>ÅNGE</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49502-2022</t>
        </is>
      </c>
      <c r="B1596" s="1" t="n">
        <v>44861.92613425926</v>
      </c>
      <c r="C1596" s="1" t="n">
        <v>46127</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38795-2023</t>
        </is>
      </c>
      <c r="B1597" s="1" t="n">
        <v>45162</v>
      </c>
      <c r="C1597" s="1" t="n">
        <v>46127</v>
      </c>
      <c r="D1597" t="inlineStr">
        <is>
          <t>VÄSTERNORRLANDS LÄN</t>
        </is>
      </c>
      <c r="E1597" t="inlineStr">
        <is>
          <t>ÅNGE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17601-2024</t>
        </is>
      </c>
      <c r="B1598" s="1" t="n">
        <v>45415</v>
      </c>
      <c r="C1598" s="1" t="n">
        <v>46127</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34649-2024</t>
        </is>
      </c>
      <c r="B1599" s="1" t="n">
        <v>45526.48325231481</v>
      </c>
      <c r="C1599" s="1" t="n">
        <v>46127</v>
      </c>
      <c r="D1599" t="inlineStr">
        <is>
          <t>VÄSTERNORRLANDS LÄN</t>
        </is>
      </c>
      <c r="E1599" t="inlineStr">
        <is>
          <t>ÅNGE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13091-2024</t>
        </is>
      </c>
      <c r="B1600" s="1" t="n">
        <v>45385</v>
      </c>
      <c r="C1600" s="1" t="n">
        <v>46127</v>
      </c>
      <c r="D1600" t="inlineStr">
        <is>
          <t>VÄSTERNORRLANDS LÄN</t>
        </is>
      </c>
      <c r="E1600" t="inlineStr">
        <is>
          <t>ÅNGE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20108-2025</t>
        </is>
      </c>
      <c r="B1601" s="1" t="n">
        <v>45772.47006944445</v>
      </c>
      <c r="C1601" s="1" t="n">
        <v>46127</v>
      </c>
      <c r="D1601" t="inlineStr">
        <is>
          <t>VÄSTERNORRLANDS LÄN</t>
        </is>
      </c>
      <c r="E1601" t="inlineStr">
        <is>
          <t>ÅNGE</t>
        </is>
      </c>
      <c r="F1601" t="inlineStr">
        <is>
          <t>Naturvårdsverket</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50419-2022</t>
        </is>
      </c>
      <c r="B1602" s="1" t="n">
        <v>44861</v>
      </c>
      <c r="C1602" s="1" t="n">
        <v>46127</v>
      </c>
      <c r="D1602" t="inlineStr">
        <is>
          <t>VÄSTERNORRLANDS LÄN</t>
        </is>
      </c>
      <c r="E1602" t="inlineStr">
        <is>
          <t>ÅNGE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8627-2023</t>
        </is>
      </c>
      <c r="B1603" s="1" t="n">
        <v>44977</v>
      </c>
      <c r="C1603" s="1" t="n">
        <v>46127</v>
      </c>
      <c r="D1603" t="inlineStr">
        <is>
          <t>VÄSTERNORRLANDS LÄN</t>
        </is>
      </c>
      <c r="E1603" t="inlineStr">
        <is>
          <t>ÅNGE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49532-2024</t>
        </is>
      </c>
      <c r="B1604" s="1" t="n">
        <v>45596.41797453703</v>
      </c>
      <c r="C1604" s="1" t="n">
        <v>46127</v>
      </c>
      <c r="D1604" t="inlineStr">
        <is>
          <t>VÄSTERNORRLANDS LÄN</t>
        </is>
      </c>
      <c r="E1604" t="inlineStr">
        <is>
          <t>ÅNGE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11088-2024</t>
        </is>
      </c>
      <c r="B1605" s="1" t="n">
        <v>45370</v>
      </c>
      <c r="C1605" s="1" t="n">
        <v>46127</v>
      </c>
      <c r="D1605" t="inlineStr">
        <is>
          <t>VÄSTERNORRLANDS LÄN</t>
        </is>
      </c>
      <c r="E1605" t="inlineStr">
        <is>
          <t>ÅNGE</t>
        </is>
      </c>
      <c r="F1605" t="inlineStr">
        <is>
          <t>SCA</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13773-2024</t>
        </is>
      </c>
      <c r="B1606" s="1" t="n">
        <v>45390.95297453704</v>
      </c>
      <c r="C1606" s="1" t="n">
        <v>46127</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30348-2024</t>
        </is>
      </c>
      <c r="B1607" s="1" t="n">
        <v>45490.95524305556</v>
      </c>
      <c r="C1607" s="1" t="n">
        <v>46127</v>
      </c>
      <c r="D1607" t="inlineStr">
        <is>
          <t>VÄSTERNORRLANDS LÄN</t>
        </is>
      </c>
      <c r="E1607" t="inlineStr">
        <is>
          <t>ÅNGE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54210-2024</t>
        </is>
      </c>
      <c r="B1608" s="1" t="n">
        <v>45616.65662037037</v>
      </c>
      <c r="C1608" s="1" t="n">
        <v>46127</v>
      </c>
      <c r="D1608" t="inlineStr">
        <is>
          <t>VÄSTERNORRLANDS LÄN</t>
        </is>
      </c>
      <c r="E1608" t="inlineStr">
        <is>
          <t>ÅNGE</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12807-2025</t>
        </is>
      </c>
      <c r="B1609" s="1" t="n">
        <v>45733.61537037037</v>
      </c>
      <c r="C1609" s="1" t="n">
        <v>46127</v>
      </c>
      <c r="D1609" t="inlineStr">
        <is>
          <t>VÄSTERNORRLANDS LÄN</t>
        </is>
      </c>
      <c r="E1609" t="inlineStr">
        <is>
          <t>ÅNGE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5602-2025</t>
        </is>
      </c>
      <c r="B1610" s="1" t="n">
        <v>45693</v>
      </c>
      <c r="C1610" s="1" t="n">
        <v>46127</v>
      </c>
      <c r="D1610" t="inlineStr">
        <is>
          <t>VÄSTERNORRLANDS LÄN</t>
        </is>
      </c>
      <c r="E1610" t="inlineStr">
        <is>
          <t>ÅNGE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60578-2024</t>
        </is>
      </c>
      <c r="B1611" s="1" t="n">
        <v>45644.34434027778</v>
      </c>
      <c r="C1611" s="1" t="n">
        <v>46127</v>
      </c>
      <c r="D1611" t="inlineStr">
        <is>
          <t>VÄSTERNORRLANDS LÄN</t>
        </is>
      </c>
      <c r="E1611" t="inlineStr">
        <is>
          <t>ÅNGE</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33302-2024</t>
        </is>
      </c>
      <c r="B1612" s="1" t="n">
        <v>45518.96967592592</v>
      </c>
      <c r="C1612" s="1" t="n">
        <v>46127</v>
      </c>
      <c r="D1612" t="inlineStr">
        <is>
          <t>VÄSTERNORRLANDS LÄN</t>
        </is>
      </c>
      <c r="E1612" t="inlineStr">
        <is>
          <t>ÅNGE</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16593-2023</t>
        </is>
      </c>
      <c r="B1613" s="1" t="n">
        <v>45030</v>
      </c>
      <c r="C1613" s="1" t="n">
        <v>46127</v>
      </c>
      <c r="D1613" t="inlineStr">
        <is>
          <t>VÄSTERNORRLANDS LÄN</t>
        </is>
      </c>
      <c r="E1613" t="inlineStr">
        <is>
          <t>ÅNGE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16600-2023</t>
        </is>
      </c>
      <c r="B1614" s="1" t="n">
        <v>45030</v>
      </c>
      <c r="C1614" s="1" t="n">
        <v>46127</v>
      </c>
      <c r="D1614" t="inlineStr">
        <is>
          <t>VÄSTERNORRLANDS LÄN</t>
        </is>
      </c>
      <c r="E1614" t="inlineStr">
        <is>
          <t>ÅNGE</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10917-2024</t>
        </is>
      </c>
      <c r="B1615" s="1" t="n">
        <v>45370</v>
      </c>
      <c r="C1615" s="1" t="n">
        <v>46127</v>
      </c>
      <c r="D1615" t="inlineStr">
        <is>
          <t>VÄSTERNORRLANDS LÄN</t>
        </is>
      </c>
      <c r="E1615" t="inlineStr">
        <is>
          <t>ÅNGE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3022-2023</t>
        </is>
      </c>
      <c r="B1616" s="1" t="n">
        <v>44945</v>
      </c>
      <c r="C1616" s="1" t="n">
        <v>46127</v>
      </c>
      <c r="D1616" t="inlineStr">
        <is>
          <t>VÄSTERNORRLANDS LÄN</t>
        </is>
      </c>
      <c r="E1616" t="inlineStr">
        <is>
          <t>ÅNGE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34491-2023</t>
        </is>
      </c>
      <c r="B1617" s="1" t="n">
        <v>45139.94775462963</v>
      </c>
      <c r="C1617" s="1" t="n">
        <v>46127</v>
      </c>
      <c r="D1617" t="inlineStr">
        <is>
          <t>VÄSTERNORRLANDS LÄN</t>
        </is>
      </c>
      <c r="E1617" t="inlineStr">
        <is>
          <t>ÅNGE</t>
        </is>
      </c>
      <c r="F1617" t="inlineStr">
        <is>
          <t>SCA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3947-2025</t>
        </is>
      </c>
      <c r="B1618" s="1" t="n">
        <v>45684.49001157407</v>
      </c>
      <c r="C1618" s="1" t="n">
        <v>46127</v>
      </c>
      <c r="D1618" t="inlineStr">
        <is>
          <t>VÄSTERNORRLANDS LÄN</t>
        </is>
      </c>
      <c r="E1618" t="inlineStr">
        <is>
          <t>ÅNGE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65633-2021</t>
        </is>
      </c>
      <c r="B1619" s="1" t="n">
        <v>44516.56181712963</v>
      </c>
      <c r="C1619" s="1" t="n">
        <v>46127</v>
      </c>
      <c r="D1619" t="inlineStr">
        <is>
          <t>VÄSTERNORRLANDS LÄN</t>
        </is>
      </c>
      <c r="E1619" t="inlineStr">
        <is>
          <t>ÅNGE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36457-2021</t>
        </is>
      </c>
      <c r="B1620" s="1" t="n">
        <v>44390.93858796296</v>
      </c>
      <c r="C1620" s="1" t="n">
        <v>46127</v>
      </c>
      <c r="D1620" t="inlineStr">
        <is>
          <t>VÄSTERNORRLANDS LÄN</t>
        </is>
      </c>
      <c r="E1620" t="inlineStr">
        <is>
          <t>ÅNGE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14927-2025</t>
        </is>
      </c>
      <c r="B1621" s="1" t="n">
        <v>45743</v>
      </c>
      <c r="C1621" s="1" t="n">
        <v>46127</v>
      </c>
      <c r="D1621" t="inlineStr">
        <is>
          <t>VÄSTERNORRLANDS LÄN</t>
        </is>
      </c>
      <c r="E1621" t="inlineStr">
        <is>
          <t>ÅNGE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15167-2025</t>
        </is>
      </c>
      <c r="B1622" s="1" t="n">
        <v>45744.49009259259</v>
      </c>
      <c r="C1622" s="1" t="n">
        <v>46127</v>
      </c>
      <c r="D1622" t="inlineStr">
        <is>
          <t>VÄSTERNORRLANDS LÄN</t>
        </is>
      </c>
      <c r="E1622" t="inlineStr">
        <is>
          <t>ÅNGE</t>
        </is>
      </c>
      <c r="F1622" t="inlineStr">
        <is>
          <t>SCA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24063-2023</t>
        </is>
      </c>
      <c r="B1623" s="1" t="n">
        <v>45078.94140046297</v>
      </c>
      <c r="C1623" s="1" t="n">
        <v>46127</v>
      </c>
      <c r="D1623" t="inlineStr">
        <is>
          <t>VÄSTERNORRLANDS LÄN</t>
        </is>
      </c>
      <c r="E1623" t="inlineStr">
        <is>
          <t>ÅNGE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49711-2024</t>
        </is>
      </c>
      <c r="B1624" s="1" t="n">
        <v>45596.69891203703</v>
      </c>
      <c r="C1624" s="1" t="n">
        <v>46127</v>
      </c>
      <c r="D1624" t="inlineStr">
        <is>
          <t>VÄSTERNORRLANDS LÄN</t>
        </is>
      </c>
      <c r="E1624" t="inlineStr">
        <is>
          <t>ÅNGE</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3323-2023</t>
        </is>
      </c>
      <c r="B1625" s="1" t="n">
        <v>44945</v>
      </c>
      <c r="C1625" s="1" t="n">
        <v>46127</v>
      </c>
      <c r="D1625" t="inlineStr">
        <is>
          <t>VÄSTERNORRLANDS LÄN</t>
        </is>
      </c>
      <c r="E1625" t="inlineStr">
        <is>
          <t>ÅNGE</t>
        </is>
      </c>
      <c r="G1625" t="n">
        <v>9.699999999999999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1711-2025</t>
        </is>
      </c>
      <c r="B1626" s="1" t="n">
        <v>45671.31184027778</v>
      </c>
      <c r="C1626" s="1" t="n">
        <v>46127</v>
      </c>
      <c r="D1626" t="inlineStr">
        <is>
          <t>VÄSTERNORRLANDS LÄN</t>
        </is>
      </c>
      <c r="E1626" t="inlineStr">
        <is>
          <t>ÅNGE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1714-2025</t>
        </is>
      </c>
      <c r="B1627" s="1" t="n">
        <v>45671.32474537037</v>
      </c>
      <c r="C1627" s="1" t="n">
        <v>46127</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31866-2024</t>
        </is>
      </c>
      <c r="B1628" s="1" t="n">
        <v>45509</v>
      </c>
      <c r="C1628" s="1" t="n">
        <v>46127</v>
      </c>
      <c r="D1628" t="inlineStr">
        <is>
          <t>VÄSTERNORRLANDS LÄN</t>
        </is>
      </c>
      <c r="E1628" t="inlineStr">
        <is>
          <t>ÅNGE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31867-2024</t>
        </is>
      </c>
      <c r="B1629" s="1" t="n">
        <v>45509</v>
      </c>
      <c r="C1629" s="1" t="n">
        <v>46127</v>
      </c>
      <c r="D1629" t="inlineStr">
        <is>
          <t>VÄSTERNORRLANDS LÄN</t>
        </is>
      </c>
      <c r="E1629" t="inlineStr">
        <is>
          <t>ÅNGE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33428-2023</t>
        </is>
      </c>
      <c r="B1630" s="1" t="n">
        <v>45128.94976851852</v>
      </c>
      <c r="C1630" s="1" t="n">
        <v>46127</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10557-2023</t>
        </is>
      </c>
      <c r="B1631" s="1" t="n">
        <v>44987</v>
      </c>
      <c r="C1631" s="1" t="n">
        <v>46127</v>
      </c>
      <c r="D1631" t="inlineStr">
        <is>
          <t>VÄSTERNORRLANDS LÄN</t>
        </is>
      </c>
      <c r="E1631" t="inlineStr">
        <is>
          <t>ÅNGE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19926-2025</t>
        </is>
      </c>
      <c r="B1632" s="1" t="n">
        <v>45771.6357175926</v>
      </c>
      <c r="C1632" s="1" t="n">
        <v>46127</v>
      </c>
      <c r="D1632" t="inlineStr">
        <is>
          <t>VÄSTERNORRLANDS LÄN</t>
        </is>
      </c>
      <c r="E1632" t="inlineStr">
        <is>
          <t>ÅNGE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6610-2025</t>
        </is>
      </c>
      <c r="B1633" s="1" t="n">
        <v>45700</v>
      </c>
      <c r="C1633" s="1" t="n">
        <v>46127</v>
      </c>
      <c r="D1633" t="inlineStr">
        <is>
          <t>VÄSTERNORRLANDS LÄN</t>
        </is>
      </c>
      <c r="E1633" t="inlineStr">
        <is>
          <t>ÅNGE</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58997-2023</t>
        </is>
      </c>
      <c r="B1634" s="1" t="n">
        <v>45252.6352662037</v>
      </c>
      <c r="C1634" s="1" t="n">
        <v>46127</v>
      </c>
      <c r="D1634" t="inlineStr">
        <is>
          <t>VÄSTERNORRLANDS LÄN</t>
        </is>
      </c>
      <c r="E1634" t="inlineStr">
        <is>
          <t>ÅNGE</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44639-2023</t>
        </is>
      </c>
      <c r="B1635" s="1" t="n">
        <v>45184</v>
      </c>
      <c r="C1635" s="1" t="n">
        <v>46127</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43552-2023</t>
        </is>
      </c>
      <c r="B1636" s="1" t="n">
        <v>45181</v>
      </c>
      <c r="C1636" s="1" t="n">
        <v>46127</v>
      </c>
      <c r="D1636" t="inlineStr">
        <is>
          <t>VÄSTERNORRLANDS LÄN</t>
        </is>
      </c>
      <c r="E1636" t="inlineStr">
        <is>
          <t>ÅNGE</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1735-2025</t>
        </is>
      </c>
      <c r="B1637" s="1" t="n">
        <v>45671.38594907407</v>
      </c>
      <c r="C1637" s="1" t="n">
        <v>46127</v>
      </c>
      <c r="D1637" t="inlineStr">
        <is>
          <t>VÄSTERNORRLANDS LÄN</t>
        </is>
      </c>
      <c r="E1637" t="inlineStr">
        <is>
          <t>ÅNGE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23018-2021</t>
        </is>
      </c>
      <c r="B1638" s="1" t="n">
        <v>44328</v>
      </c>
      <c r="C1638" s="1" t="n">
        <v>46127</v>
      </c>
      <c r="D1638" t="inlineStr">
        <is>
          <t>VÄSTERNORRLANDS LÄN</t>
        </is>
      </c>
      <c r="E1638" t="inlineStr">
        <is>
          <t>ÅNGE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50231-2024</t>
        </is>
      </c>
      <c r="B1639" s="1" t="n">
        <v>45600.55251157407</v>
      </c>
      <c r="C1639" s="1" t="n">
        <v>46127</v>
      </c>
      <c r="D1639" t="inlineStr">
        <is>
          <t>VÄSTERNORRLANDS LÄN</t>
        </is>
      </c>
      <c r="E1639" t="inlineStr">
        <is>
          <t>ÅNGE</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60205-2023</t>
        </is>
      </c>
      <c r="B1640" s="1" t="n">
        <v>45257</v>
      </c>
      <c r="C1640" s="1" t="n">
        <v>46127</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15287-2025</t>
        </is>
      </c>
      <c r="B1641" s="1" t="n">
        <v>45745</v>
      </c>
      <c r="C1641" s="1" t="n">
        <v>46127</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4186-2025</t>
        </is>
      </c>
      <c r="B1642" s="1" t="n">
        <v>45685.44827546296</v>
      </c>
      <c r="C1642" s="1" t="n">
        <v>46127</v>
      </c>
      <c r="D1642" t="inlineStr">
        <is>
          <t>VÄSTERNORRLANDS LÄN</t>
        </is>
      </c>
      <c r="E1642" t="inlineStr">
        <is>
          <t>ÅNGE</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39991-2023</t>
        </is>
      </c>
      <c r="B1643" s="1" t="n">
        <v>45168.6043287037</v>
      </c>
      <c r="C1643" s="1" t="n">
        <v>46127</v>
      </c>
      <c r="D1643" t="inlineStr">
        <is>
          <t>VÄSTERNORRLANDS LÄN</t>
        </is>
      </c>
      <c r="E1643" t="inlineStr">
        <is>
          <t>ÅNGE</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1775-2023</t>
        </is>
      </c>
      <c r="B1644" s="1" t="n">
        <v>44938</v>
      </c>
      <c r="C1644" s="1" t="n">
        <v>46127</v>
      </c>
      <c r="D1644" t="inlineStr">
        <is>
          <t>VÄSTERNORRLANDS LÄN</t>
        </is>
      </c>
      <c r="E1644" t="inlineStr">
        <is>
          <t>ÅNGE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31182-2024</t>
        </is>
      </c>
      <c r="B1645" s="1" t="n">
        <v>45503</v>
      </c>
      <c r="C1645" s="1" t="n">
        <v>46127</v>
      </c>
      <c r="D1645" t="inlineStr">
        <is>
          <t>VÄSTERNORRLANDS LÄN</t>
        </is>
      </c>
      <c r="E1645" t="inlineStr">
        <is>
          <t>ÅNGE</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56956-2022</t>
        </is>
      </c>
      <c r="B1646" s="1" t="n">
        <v>44894</v>
      </c>
      <c r="C1646" s="1" t="n">
        <v>46127</v>
      </c>
      <c r="D1646" t="inlineStr">
        <is>
          <t>VÄSTERNORRLANDS LÄN</t>
        </is>
      </c>
      <c r="E1646" t="inlineStr">
        <is>
          <t>ÅNGE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27321-2024</t>
        </is>
      </c>
      <c r="B1647" s="1" t="n">
        <v>45471</v>
      </c>
      <c r="C1647" s="1" t="n">
        <v>46127</v>
      </c>
      <c r="D1647" t="inlineStr">
        <is>
          <t>VÄSTERNORRLANDS LÄN</t>
        </is>
      </c>
      <c r="E1647" t="inlineStr">
        <is>
          <t>ÅNGE</t>
        </is>
      </c>
      <c r="F1647" t="inlineStr">
        <is>
          <t>SCA</t>
        </is>
      </c>
      <c r="G1647" t="n">
        <v>14.1</v>
      </c>
      <c r="H1647" t="n">
        <v>0</v>
      </c>
      <c r="I1647" t="n">
        <v>0</v>
      </c>
      <c r="J1647" t="n">
        <v>0</v>
      </c>
      <c r="K1647" t="n">
        <v>0</v>
      </c>
      <c r="L1647" t="n">
        <v>0</v>
      </c>
      <c r="M1647" t="n">
        <v>0</v>
      </c>
      <c r="N1647" t="n">
        <v>0</v>
      </c>
      <c r="O1647" t="n">
        <v>0</v>
      </c>
      <c r="P1647" t="n">
        <v>0</v>
      </c>
      <c r="Q1647" t="n">
        <v>0</v>
      </c>
      <c r="R1647" s="2" t="inlineStr"/>
    </row>
    <row r="1648" ht="15" customHeight="1">
      <c r="A1648" t="inlineStr">
        <is>
          <t>A 29667-2024</t>
        </is>
      </c>
      <c r="B1648" s="1" t="n">
        <v>45484.94041666666</v>
      </c>
      <c r="C1648" s="1" t="n">
        <v>46127</v>
      </c>
      <c r="D1648" t="inlineStr">
        <is>
          <t>VÄSTERNORRLANDS LÄN</t>
        </is>
      </c>
      <c r="E1648" t="inlineStr">
        <is>
          <t>ÅNGE</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8418-2023</t>
        </is>
      </c>
      <c r="B1649" s="1" t="n">
        <v>44971</v>
      </c>
      <c r="C1649" s="1" t="n">
        <v>46127</v>
      </c>
      <c r="D1649" t="inlineStr">
        <is>
          <t>VÄSTERNORRLANDS LÄN</t>
        </is>
      </c>
      <c r="E1649" t="inlineStr">
        <is>
          <t>ÅNGE</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20024-2023</t>
        </is>
      </c>
      <c r="B1650" s="1" t="n">
        <v>45051</v>
      </c>
      <c r="C1650" s="1" t="n">
        <v>46127</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54982-2023</t>
        </is>
      </c>
      <c r="B1651" s="1" t="n">
        <v>45236</v>
      </c>
      <c r="C1651" s="1" t="n">
        <v>46127</v>
      </c>
      <c r="D1651" t="inlineStr">
        <is>
          <t>VÄSTERNORRLANDS LÄN</t>
        </is>
      </c>
      <c r="E1651" t="inlineStr">
        <is>
          <t>ÅNGE</t>
        </is>
      </c>
      <c r="F1651" t="inlineStr">
        <is>
          <t>SCA</t>
        </is>
      </c>
      <c r="G1651" t="n">
        <v>26.2</v>
      </c>
      <c r="H1651" t="n">
        <v>0</v>
      </c>
      <c r="I1651" t="n">
        <v>0</v>
      </c>
      <c r="J1651" t="n">
        <v>0</v>
      </c>
      <c r="K1651" t="n">
        <v>0</v>
      </c>
      <c r="L1651" t="n">
        <v>0</v>
      </c>
      <c r="M1651" t="n">
        <v>0</v>
      </c>
      <c r="N1651" t="n">
        <v>0</v>
      </c>
      <c r="O1651" t="n">
        <v>0</v>
      </c>
      <c r="P1651" t="n">
        <v>0</v>
      </c>
      <c r="Q1651" t="n">
        <v>0</v>
      </c>
      <c r="R1651" s="2" t="inlineStr"/>
    </row>
    <row r="1652" ht="15" customHeight="1">
      <c r="A1652" t="inlineStr">
        <is>
          <t>A 45939-2023</t>
        </is>
      </c>
      <c r="B1652" s="1" t="n">
        <v>45195.94578703704</v>
      </c>
      <c r="C1652" s="1" t="n">
        <v>46127</v>
      </c>
      <c r="D1652" t="inlineStr">
        <is>
          <t>VÄSTERNORRLANDS LÄN</t>
        </is>
      </c>
      <c r="E1652" t="inlineStr">
        <is>
          <t>ÅNGE</t>
        </is>
      </c>
      <c r="F1652" t="inlineStr">
        <is>
          <t>SCA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51311-2022</t>
        </is>
      </c>
      <c r="B1653" s="1" t="n">
        <v>44868</v>
      </c>
      <c r="C1653" s="1" t="n">
        <v>46127</v>
      </c>
      <c r="D1653" t="inlineStr">
        <is>
          <t>VÄSTERNORRLANDS LÄN</t>
        </is>
      </c>
      <c r="E1653" t="inlineStr">
        <is>
          <t>ÅNGE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63216-2023</t>
        </is>
      </c>
      <c r="B1654" s="1" t="n">
        <v>45273.62721064815</v>
      </c>
      <c r="C1654" s="1" t="n">
        <v>46127</v>
      </c>
      <c r="D1654" t="inlineStr">
        <is>
          <t>VÄSTERNORRLANDS LÄN</t>
        </is>
      </c>
      <c r="E1654" t="inlineStr">
        <is>
          <t>ÅNGE</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43916-2023</t>
        </is>
      </c>
      <c r="B1655" s="1" t="n">
        <v>45187.72152777778</v>
      </c>
      <c r="C1655" s="1" t="n">
        <v>46127</v>
      </c>
      <c r="D1655" t="inlineStr">
        <is>
          <t>VÄSTERNORRLANDS LÄN</t>
        </is>
      </c>
      <c r="E1655" t="inlineStr">
        <is>
          <t>ÅNGE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19065-2025</t>
        </is>
      </c>
      <c r="B1656" s="1" t="n">
        <v>45765</v>
      </c>
      <c r="C1656" s="1" t="n">
        <v>46127</v>
      </c>
      <c r="D1656" t="inlineStr">
        <is>
          <t>VÄSTERNORRLANDS LÄN</t>
        </is>
      </c>
      <c r="E1656" t="inlineStr">
        <is>
          <t>ÅNGE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36492-2023</t>
        </is>
      </c>
      <c r="B1657" s="1" t="n">
        <v>45152.92479166666</v>
      </c>
      <c r="C1657" s="1" t="n">
        <v>46127</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46332-2023</t>
        </is>
      </c>
      <c r="B1658" s="1" t="n">
        <v>45196</v>
      </c>
      <c r="C1658" s="1" t="n">
        <v>46127</v>
      </c>
      <c r="D1658" t="inlineStr">
        <is>
          <t>VÄSTERNORRLANDS LÄN</t>
        </is>
      </c>
      <c r="E1658" t="inlineStr">
        <is>
          <t>ÅNGE</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26943-2024</t>
        </is>
      </c>
      <c r="B1659" s="1" t="n">
        <v>45470</v>
      </c>
      <c r="C1659" s="1" t="n">
        <v>46127</v>
      </c>
      <c r="D1659" t="inlineStr">
        <is>
          <t>VÄSTERNORRLANDS LÄN</t>
        </is>
      </c>
      <c r="E1659" t="inlineStr">
        <is>
          <t>ÅNGE</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55882-2022</t>
        </is>
      </c>
      <c r="B1660" s="1" t="n">
        <v>44888</v>
      </c>
      <c r="C1660" s="1" t="n">
        <v>46127</v>
      </c>
      <c r="D1660" t="inlineStr">
        <is>
          <t>VÄSTERNORRLANDS LÄN</t>
        </is>
      </c>
      <c r="E1660" t="inlineStr">
        <is>
          <t>ÅNGE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6686-2024</t>
        </is>
      </c>
      <c r="B1661" s="1" t="n">
        <v>45341</v>
      </c>
      <c r="C1661" s="1" t="n">
        <v>46127</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63556-2021</t>
        </is>
      </c>
      <c r="B1662" s="1" t="n">
        <v>44508.70231481481</v>
      </c>
      <c r="C1662" s="1" t="n">
        <v>46127</v>
      </c>
      <c r="D1662" t="inlineStr">
        <is>
          <t>VÄSTERNORRLANDS LÄN</t>
        </is>
      </c>
      <c r="E1662" t="inlineStr">
        <is>
          <t>ÅNGE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6608-2025</t>
        </is>
      </c>
      <c r="B1663" s="1" t="n">
        <v>45700.34415509259</v>
      </c>
      <c r="C1663" s="1" t="n">
        <v>46127</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30682-2024</t>
        </is>
      </c>
      <c r="B1664" s="1" t="n">
        <v>45495.95109953704</v>
      </c>
      <c r="C1664" s="1" t="n">
        <v>46127</v>
      </c>
      <c r="D1664" t="inlineStr">
        <is>
          <t>VÄSTERNORRLANDS LÄN</t>
        </is>
      </c>
      <c r="E1664" t="inlineStr">
        <is>
          <t>ÅNGE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3253-2024</t>
        </is>
      </c>
      <c r="B1665" s="1" t="n">
        <v>45316</v>
      </c>
      <c r="C1665" s="1" t="n">
        <v>46127</v>
      </c>
      <c r="D1665" t="inlineStr">
        <is>
          <t>VÄSTERNORRLANDS LÄN</t>
        </is>
      </c>
      <c r="E1665" t="inlineStr">
        <is>
          <t>ÅNGE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34783-2021</t>
        </is>
      </c>
      <c r="B1666" s="1" t="n">
        <v>44382</v>
      </c>
      <c r="C1666" s="1" t="n">
        <v>46127</v>
      </c>
      <c r="D1666" t="inlineStr">
        <is>
          <t>VÄSTERNORRLANDS LÄN</t>
        </is>
      </c>
      <c r="E1666" t="inlineStr">
        <is>
          <t>ÅNGE</t>
        </is>
      </c>
      <c r="F1666" t="inlineStr">
        <is>
          <t>SCA</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58748-2023</t>
        </is>
      </c>
      <c r="B1667" s="1" t="n">
        <v>45251.92936342592</v>
      </c>
      <c r="C1667" s="1" t="n">
        <v>46127</v>
      </c>
      <c r="D1667" t="inlineStr">
        <is>
          <t>VÄSTERNORRLANDS LÄN</t>
        </is>
      </c>
      <c r="E1667" t="inlineStr">
        <is>
          <t>ÅNGE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51070-2024</t>
        </is>
      </c>
      <c r="B1668" s="1" t="n">
        <v>45603</v>
      </c>
      <c r="C1668" s="1" t="n">
        <v>46127</v>
      </c>
      <c r="D1668" t="inlineStr">
        <is>
          <t>VÄSTERNORRLANDS LÄN</t>
        </is>
      </c>
      <c r="E1668" t="inlineStr">
        <is>
          <t>ÅNGE</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51871-2024</t>
        </is>
      </c>
      <c r="B1669" s="1" t="n">
        <v>45607</v>
      </c>
      <c r="C1669" s="1" t="n">
        <v>46127</v>
      </c>
      <c r="D1669" t="inlineStr">
        <is>
          <t>VÄSTERNORRLANDS LÄN</t>
        </is>
      </c>
      <c r="E1669" t="inlineStr">
        <is>
          <t>ÅNGE</t>
        </is>
      </c>
      <c r="F1669" t="inlineStr">
        <is>
          <t>SCA</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57636-2022</t>
        </is>
      </c>
      <c r="B1670" s="1" t="n">
        <v>44897</v>
      </c>
      <c r="C1670" s="1" t="n">
        <v>46127</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34971-2023</t>
        </is>
      </c>
      <c r="B1671" s="1" t="n">
        <v>45142.61635416667</v>
      </c>
      <c r="C1671" s="1" t="n">
        <v>46127</v>
      </c>
      <c r="D1671" t="inlineStr">
        <is>
          <t>VÄSTERNORRLANDS LÄN</t>
        </is>
      </c>
      <c r="E1671" t="inlineStr">
        <is>
          <t>ÅNGE</t>
        </is>
      </c>
      <c r="F1671" t="inlineStr">
        <is>
          <t>Sveaskog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55329-2023</t>
        </is>
      </c>
      <c r="B1672" s="1" t="n">
        <v>45237</v>
      </c>
      <c r="C1672" s="1" t="n">
        <v>46127</v>
      </c>
      <c r="D1672" t="inlineStr">
        <is>
          <t>VÄSTERNORRLANDS LÄN</t>
        </is>
      </c>
      <c r="E1672" t="inlineStr">
        <is>
          <t>ÅNGE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44178-2023</t>
        </is>
      </c>
      <c r="B1673" s="1" t="n">
        <v>45183</v>
      </c>
      <c r="C1673" s="1" t="n">
        <v>46127</v>
      </c>
      <c r="D1673" t="inlineStr">
        <is>
          <t>VÄSTERNORRLANDS LÄN</t>
        </is>
      </c>
      <c r="E1673" t="inlineStr">
        <is>
          <t>ÅNGE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52804-2024</t>
        </is>
      </c>
      <c r="B1674" s="1" t="n">
        <v>45610.57322916666</v>
      </c>
      <c r="C1674" s="1" t="n">
        <v>46127</v>
      </c>
      <c r="D1674" t="inlineStr">
        <is>
          <t>VÄSTERNORRLANDS LÄN</t>
        </is>
      </c>
      <c r="E1674" t="inlineStr">
        <is>
          <t>ÅNGE</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30055-2024</t>
        </is>
      </c>
      <c r="B1675" s="1" t="n">
        <v>45488.94767361111</v>
      </c>
      <c r="C1675" s="1" t="n">
        <v>46127</v>
      </c>
      <c r="D1675" t="inlineStr">
        <is>
          <t>VÄSTERNORRLANDS LÄN</t>
        </is>
      </c>
      <c r="E1675" t="inlineStr">
        <is>
          <t>ÅNGE</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42346-2023</t>
        </is>
      </c>
      <c r="B1676" s="1" t="n">
        <v>45180</v>
      </c>
      <c r="C1676" s="1" t="n">
        <v>46127</v>
      </c>
      <c r="D1676" t="inlineStr">
        <is>
          <t>VÄSTERNORRLANDS LÄN</t>
        </is>
      </c>
      <c r="E1676" t="inlineStr">
        <is>
          <t>ÅNGE</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137-2025</t>
        </is>
      </c>
      <c r="B1677" s="1" t="n">
        <v>45659.57684027778</v>
      </c>
      <c r="C1677" s="1" t="n">
        <v>46127</v>
      </c>
      <c r="D1677" t="inlineStr">
        <is>
          <t>VÄSTERNORRLANDS LÄN</t>
        </is>
      </c>
      <c r="E1677" t="inlineStr">
        <is>
          <t>ÅNGE</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55380-2024</t>
        </is>
      </c>
      <c r="B1678" s="1" t="n">
        <v>45622.28810185185</v>
      </c>
      <c r="C1678" s="1" t="n">
        <v>46127</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56615-2023</t>
        </is>
      </c>
      <c r="B1679" s="1" t="n">
        <v>45243</v>
      </c>
      <c r="C1679" s="1" t="n">
        <v>46127</v>
      </c>
      <c r="D1679" t="inlineStr">
        <is>
          <t>VÄSTERNORRLANDS LÄN</t>
        </is>
      </c>
      <c r="E1679" t="inlineStr">
        <is>
          <t>ÅNGE</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57601-2022</t>
        </is>
      </c>
      <c r="B1680" s="1" t="n">
        <v>44896</v>
      </c>
      <c r="C1680" s="1" t="n">
        <v>46127</v>
      </c>
      <c r="D1680" t="inlineStr">
        <is>
          <t>VÄSTERNORRLANDS LÄN</t>
        </is>
      </c>
      <c r="E1680" t="inlineStr">
        <is>
          <t>ÅNGE</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22678-2024</t>
        </is>
      </c>
      <c r="B1681" s="1" t="n">
        <v>45447.94533564815</v>
      </c>
      <c r="C1681" s="1" t="n">
        <v>46127</v>
      </c>
      <c r="D1681" t="inlineStr">
        <is>
          <t>VÄSTERNORRLANDS LÄN</t>
        </is>
      </c>
      <c r="E1681" t="inlineStr">
        <is>
          <t>ÅNGE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64121-2021</t>
        </is>
      </c>
      <c r="B1682" s="1" t="n">
        <v>44510.4730787037</v>
      </c>
      <c r="C1682" s="1" t="n">
        <v>46127</v>
      </c>
      <c r="D1682" t="inlineStr">
        <is>
          <t>VÄSTERNORRLANDS LÄN</t>
        </is>
      </c>
      <c r="E1682" t="inlineStr">
        <is>
          <t>ÅNGE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71965-2021</t>
        </is>
      </c>
      <c r="B1683" s="1" t="n">
        <v>44544.32483796297</v>
      </c>
      <c r="C1683" s="1" t="n">
        <v>46127</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62834-2021</t>
        </is>
      </c>
      <c r="B1684" s="1" t="n">
        <v>44503</v>
      </c>
      <c r="C1684" s="1" t="n">
        <v>46127</v>
      </c>
      <c r="D1684" t="inlineStr">
        <is>
          <t>VÄSTERNORRLANDS LÄN</t>
        </is>
      </c>
      <c r="E1684" t="inlineStr">
        <is>
          <t>ÅNGE</t>
        </is>
      </c>
      <c r="F1684" t="inlineStr">
        <is>
          <t>Övriga statliga verk och myndigheter</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7535-2023</t>
        </is>
      </c>
      <c r="B1685" s="1" t="n">
        <v>44971</v>
      </c>
      <c r="C1685" s="1" t="n">
        <v>46127</v>
      </c>
      <c r="D1685" t="inlineStr">
        <is>
          <t>VÄSTERNORRLANDS LÄN</t>
        </is>
      </c>
      <c r="E1685" t="inlineStr">
        <is>
          <t>ÅNGE</t>
        </is>
      </c>
      <c r="F1685" t="inlineStr">
        <is>
          <t>SCA</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41586-2024</t>
        </is>
      </c>
      <c r="B1686" s="1" t="n">
        <v>45560.56089120371</v>
      </c>
      <c r="C1686" s="1" t="n">
        <v>46127</v>
      </c>
      <c r="D1686" t="inlineStr">
        <is>
          <t>VÄSTERNORRLANDS LÄN</t>
        </is>
      </c>
      <c r="E1686" t="inlineStr">
        <is>
          <t>ÅNGE</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48946-2024</t>
        </is>
      </c>
      <c r="B1687" s="1" t="n">
        <v>45594.42736111111</v>
      </c>
      <c r="C1687" s="1" t="n">
        <v>46127</v>
      </c>
      <c r="D1687" t="inlineStr">
        <is>
          <t>VÄSTERNORRLANDS LÄN</t>
        </is>
      </c>
      <c r="E1687" t="inlineStr">
        <is>
          <t>ÅNGE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33429-2023</t>
        </is>
      </c>
      <c r="B1688" s="1" t="n">
        <v>45128.94983796297</v>
      </c>
      <c r="C1688" s="1" t="n">
        <v>46127</v>
      </c>
      <c r="D1688" t="inlineStr">
        <is>
          <t>VÄSTERNORRLANDS LÄN</t>
        </is>
      </c>
      <c r="E1688" t="inlineStr">
        <is>
          <t>ÅNGE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22597-2021</t>
        </is>
      </c>
      <c r="B1689" s="1" t="n">
        <v>44326</v>
      </c>
      <c r="C1689" s="1" t="n">
        <v>46127</v>
      </c>
      <c r="D1689" t="inlineStr">
        <is>
          <t>VÄSTERNORRLANDS LÄN</t>
        </is>
      </c>
      <c r="E1689" t="inlineStr">
        <is>
          <t>ÅNGE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20255-2023</t>
        </is>
      </c>
      <c r="B1690" s="1" t="n">
        <v>45055</v>
      </c>
      <c r="C1690" s="1" t="n">
        <v>46127</v>
      </c>
      <c r="D1690" t="inlineStr">
        <is>
          <t>VÄSTERNORRLANDS LÄN</t>
        </is>
      </c>
      <c r="E1690" t="inlineStr">
        <is>
          <t>ÅNGE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11871-2025</t>
        </is>
      </c>
      <c r="B1691" s="1" t="n">
        <v>45728.42740740741</v>
      </c>
      <c r="C1691" s="1" t="n">
        <v>46127</v>
      </c>
      <c r="D1691" t="inlineStr">
        <is>
          <t>VÄSTERNORRLANDS LÄN</t>
        </is>
      </c>
      <c r="E1691" t="inlineStr">
        <is>
          <t>ÅNGE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16934-2025</t>
        </is>
      </c>
      <c r="B1692" s="1" t="n">
        <v>45755.40671296296</v>
      </c>
      <c r="C1692" s="1" t="n">
        <v>46127</v>
      </c>
      <c r="D1692" t="inlineStr">
        <is>
          <t>VÄSTERNORRLANDS LÄN</t>
        </is>
      </c>
      <c r="E1692" t="inlineStr">
        <is>
          <t>ÅNGE</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16281-2023</t>
        </is>
      </c>
      <c r="B1693" s="1" t="n">
        <v>45028</v>
      </c>
      <c r="C1693" s="1" t="n">
        <v>46127</v>
      </c>
      <c r="D1693" t="inlineStr">
        <is>
          <t>VÄSTERNORRLANDS LÄN</t>
        </is>
      </c>
      <c r="E1693" t="inlineStr">
        <is>
          <t>ÅNGE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26015-2024</t>
        </is>
      </c>
      <c r="B1694" s="1" t="n">
        <v>45467.95872685185</v>
      </c>
      <c r="C1694" s="1" t="n">
        <v>46127</v>
      </c>
      <c r="D1694" t="inlineStr">
        <is>
          <t>VÄSTERNORRLANDS LÄN</t>
        </is>
      </c>
      <c r="E1694" t="inlineStr">
        <is>
          <t>ÅNGE</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48697-2024</t>
        </is>
      </c>
      <c r="B1695" s="1" t="n">
        <v>45593.51136574074</v>
      </c>
      <c r="C1695" s="1" t="n">
        <v>46127</v>
      </c>
      <c r="D1695" t="inlineStr">
        <is>
          <t>VÄSTERNORRLANDS LÄN</t>
        </is>
      </c>
      <c r="E1695" t="inlineStr">
        <is>
          <t>ÅNGE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1095-2023</t>
        </is>
      </c>
      <c r="B1696" s="1" t="n">
        <v>44929</v>
      </c>
      <c r="C1696" s="1" t="n">
        <v>46127</v>
      </c>
      <c r="D1696" t="inlineStr">
        <is>
          <t>VÄSTERNORRLANDS LÄN</t>
        </is>
      </c>
      <c r="E1696" t="inlineStr">
        <is>
          <t>ÅNGE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46795-2023</t>
        </is>
      </c>
      <c r="B1697" s="1" t="n">
        <v>45198</v>
      </c>
      <c r="C1697" s="1" t="n">
        <v>46127</v>
      </c>
      <c r="D1697" t="inlineStr">
        <is>
          <t>VÄSTERNORRLANDS LÄN</t>
        </is>
      </c>
      <c r="E1697" t="inlineStr">
        <is>
          <t>ÅNGE</t>
        </is>
      </c>
      <c r="F1697" t="inlineStr">
        <is>
          <t>Holmen skog AB</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16657-2025</t>
        </is>
      </c>
      <c r="B1698" s="1" t="n">
        <v>45754.40700231482</v>
      </c>
      <c r="C1698" s="1" t="n">
        <v>46127</v>
      </c>
      <c r="D1698" t="inlineStr">
        <is>
          <t>VÄSTERNORRLANDS LÄN</t>
        </is>
      </c>
      <c r="E1698" t="inlineStr">
        <is>
          <t>ÅNGE</t>
        </is>
      </c>
      <c r="F1698" t="inlineStr">
        <is>
          <t>SCA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63709-2023</t>
        </is>
      </c>
      <c r="B1699" s="1" t="n">
        <v>45275.95069444444</v>
      </c>
      <c r="C1699" s="1" t="n">
        <v>46127</v>
      </c>
      <c r="D1699" t="inlineStr">
        <is>
          <t>VÄSTERNORRLANDS LÄN</t>
        </is>
      </c>
      <c r="E1699" t="inlineStr">
        <is>
          <t>ÅNGE</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30353-2024</t>
        </is>
      </c>
      <c r="B1700" s="1" t="n">
        <v>45490.95567129629</v>
      </c>
      <c r="C1700" s="1" t="n">
        <v>46127</v>
      </c>
      <c r="D1700" t="inlineStr">
        <is>
          <t>VÄSTERNORRLANDS LÄN</t>
        </is>
      </c>
      <c r="E1700" t="inlineStr">
        <is>
          <t>ÅNGE</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4187-2025</t>
        </is>
      </c>
      <c r="B1701" s="1" t="n">
        <v>45685.44842592593</v>
      </c>
      <c r="C1701" s="1" t="n">
        <v>46127</v>
      </c>
      <c r="D1701" t="inlineStr">
        <is>
          <t>VÄSTERNORRLANDS LÄN</t>
        </is>
      </c>
      <c r="E1701" t="inlineStr">
        <is>
          <t>ÅNGE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58929-2024</t>
        </is>
      </c>
      <c r="B1702" s="1" t="n">
        <v>45636.51090277778</v>
      </c>
      <c r="C1702" s="1" t="n">
        <v>46127</v>
      </c>
      <c r="D1702" t="inlineStr">
        <is>
          <t>VÄSTERNORRLANDS LÄN</t>
        </is>
      </c>
      <c r="E1702" t="inlineStr">
        <is>
          <t>ÅNGE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42100-2023</t>
        </is>
      </c>
      <c r="B1703" s="1" t="n">
        <v>45174</v>
      </c>
      <c r="C1703" s="1" t="n">
        <v>46127</v>
      </c>
      <c r="D1703" t="inlineStr">
        <is>
          <t>VÄSTERNORRLANDS LÄN</t>
        </is>
      </c>
      <c r="E1703" t="inlineStr">
        <is>
          <t>ÅNGE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2365-2024</t>
        </is>
      </c>
      <c r="B1704" s="1" t="n">
        <v>45310.59778935185</v>
      </c>
      <c r="C1704" s="1" t="n">
        <v>46127</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2372-2024</t>
        </is>
      </c>
      <c r="B1705" s="1" t="n">
        <v>45310.6115625</v>
      </c>
      <c r="C1705" s="1" t="n">
        <v>46127</v>
      </c>
      <c r="D1705" t="inlineStr">
        <is>
          <t>VÄSTERNORRLANDS LÄN</t>
        </is>
      </c>
      <c r="E1705" t="inlineStr">
        <is>
          <t>ÅNGE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21068-2025</t>
        </is>
      </c>
      <c r="B1706" s="1" t="n">
        <v>45777.59413194445</v>
      </c>
      <c r="C1706" s="1" t="n">
        <v>46127</v>
      </c>
      <c r="D1706" t="inlineStr">
        <is>
          <t>VÄSTERNORRLANDS LÄN</t>
        </is>
      </c>
      <c r="E1706" t="inlineStr">
        <is>
          <t>ÅNGE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20864-2025</t>
        </is>
      </c>
      <c r="B1707" s="1" t="n">
        <v>45777.34417824074</v>
      </c>
      <c r="C1707" s="1" t="n">
        <v>46127</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20868-2025</t>
        </is>
      </c>
      <c r="B1708" s="1" t="n">
        <v>45777.34483796296</v>
      </c>
      <c r="C1708" s="1" t="n">
        <v>46127</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20718-2025</t>
        </is>
      </c>
      <c r="B1709" s="1" t="n">
        <v>45776.49047453704</v>
      </c>
      <c r="C1709" s="1" t="n">
        <v>46127</v>
      </c>
      <c r="D1709" t="inlineStr">
        <is>
          <t>VÄSTERNORRLANDS LÄN</t>
        </is>
      </c>
      <c r="E1709" t="inlineStr">
        <is>
          <t>ÅNGE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20776-2025</t>
        </is>
      </c>
      <c r="B1710" s="1" t="n">
        <v>45776.59410879629</v>
      </c>
      <c r="C1710" s="1" t="n">
        <v>46127</v>
      </c>
      <c r="D1710" t="inlineStr">
        <is>
          <t>VÄSTERNORRLANDS LÄN</t>
        </is>
      </c>
      <c r="E1710" t="inlineStr">
        <is>
          <t>ÅNGE</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21174-2025</t>
        </is>
      </c>
      <c r="B1711" s="1" t="n">
        <v>45779.42746527777</v>
      </c>
      <c r="C1711" s="1" t="n">
        <v>46127</v>
      </c>
      <c r="D1711" t="inlineStr">
        <is>
          <t>VÄSTERNORRLANDS LÄN</t>
        </is>
      </c>
      <c r="E1711" t="inlineStr">
        <is>
          <t>ÅNGE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21197-2025</t>
        </is>
      </c>
      <c r="B1712" s="1" t="n">
        <v>45779.46949074074</v>
      </c>
      <c r="C1712" s="1" t="n">
        <v>46127</v>
      </c>
      <c r="D1712" t="inlineStr">
        <is>
          <t>VÄSTERNORRLANDS LÄN</t>
        </is>
      </c>
      <c r="E1712" t="inlineStr">
        <is>
          <t>ÅNGE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45030-2024</t>
        </is>
      </c>
      <c r="B1713" s="1" t="n">
        <v>45575.52089120371</v>
      </c>
      <c r="C1713" s="1" t="n">
        <v>46127</v>
      </c>
      <c r="D1713" t="inlineStr">
        <is>
          <t>VÄSTERNORRLANDS LÄN</t>
        </is>
      </c>
      <c r="E1713" t="inlineStr">
        <is>
          <t>ÅNGE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21263-2025</t>
        </is>
      </c>
      <c r="B1714" s="1" t="n">
        <v>45779.61233796296</v>
      </c>
      <c r="C1714" s="1" t="n">
        <v>46127</v>
      </c>
      <c r="D1714" t="inlineStr">
        <is>
          <t>VÄSTERNORRLANDS LÄN</t>
        </is>
      </c>
      <c r="E1714" t="inlineStr">
        <is>
          <t>ÅNGE</t>
        </is>
      </c>
      <c r="F1714" t="inlineStr">
        <is>
          <t>Sveaskog</t>
        </is>
      </c>
      <c r="G1714" t="n">
        <v>14.9</v>
      </c>
      <c r="H1714" t="n">
        <v>0</v>
      </c>
      <c r="I1714" t="n">
        <v>0</v>
      </c>
      <c r="J1714" t="n">
        <v>0</v>
      </c>
      <c r="K1714" t="n">
        <v>0</v>
      </c>
      <c r="L1714" t="n">
        <v>0</v>
      </c>
      <c r="M1714" t="n">
        <v>0</v>
      </c>
      <c r="N1714" t="n">
        <v>0</v>
      </c>
      <c r="O1714" t="n">
        <v>0</v>
      </c>
      <c r="P1714" t="n">
        <v>0</v>
      </c>
      <c r="Q1714" t="n">
        <v>0</v>
      </c>
      <c r="R1714" s="2" t="inlineStr"/>
    </row>
    <row r="1715" ht="15" customHeight="1">
      <c r="A1715" t="inlineStr">
        <is>
          <t>A 21251-2025</t>
        </is>
      </c>
      <c r="B1715" s="1" t="n">
        <v>45779.57417824074</v>
      </c>
      <c r="C1715" s="1" t="n">
        <v>46127</v>
      </c>
      <c r="D1715" t="inlineStr">
        <is>
          <t>VÄSTERNORRLANDS LÄN</t>
        </is>
      </c>
      <c r="E1715" t="inlineStr">
        <is>
          <t>ÅNGE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21176-2025</t>
        </is>
      </c>
      <c r="B1716" s="1" t="n">
        <v>45779.42798611111</v>
      </c>
      <c r="C1716" s="1" t="n">
        <v>46127</v>
      </c>
      <c r="D1716" t="inlineStr">
        <is>
          <t>VÄSTERNORRLANDS LÄN</t>
        </is>
      </c>
      <c r="E1716" t="inlineStr">
        <is>
          <t>ÅNGE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21741-2025</t>
        </is>
      </c>
      <c r="B1717" s="1" t="n">
        <v>45783.59415509259</v>
      </c>
      <c r="C1717" s="1" t="n">
        <v>46127</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21685-2025</t>
        </is>
      </c>
      <c r="B1718" s="1" t="n">
        <v>45783.49050925926</v>
      </c>
      <c r="C1718" s="1" t="n">
        <v>46127</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21597-2025</t>
        </is>
      </c>
      <c r="B1719" s="1" t="n">
        <v>45783.34493055556</v>
      </c>
      <c r="C1719" s="1" t="n">
        <v>46127</v>
      </c>
      <c r="D1719" t="inlineStr">
        <is>
          <t>VÄSTERNORRLANDS LÄN</t>
        </is>
      </c>
      <c r="E1719" t="inlineStr">
        <is>
          <t>ÅNGE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17669-2023</t>
        </is>
      </c>
      <c r="B1720" s="1" t="n">
        <v>45036.94457175926</v>
      </c>
      <c r="C1720" s="1" t="n">
        <v>46127</v>
      </c>
      <c r="D1720" t="inlineStr">
        <is>
          <t>VÄSTERNORRLANDS LÄN</t>
        </is>
      </c>
      <c r="E1720" t="inlineStr">
        <is>
          <t>ÅNGE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25867-2024</t>
        </is>
      </c>
      <c r="B1721" s="1" t="n">
        <v>45463</v>
      </c>
      <c r="C1721" s="1" t="n">
        <v>46127</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2539-2025</t>
        </is>
      </c>
      <c r="B1722" s="1" t="n">
        <v>45674.61581018518</v>
      </c>
      <c r="C1722" s="1" t="n">
        <v>46127</v>
      </c>
      <c r="D1722" t="inlineStr">
        <is>
          <t>VÄSTERNORRLANDS LÄN</t>
        </is>
      </c>
      <c r="E1722" t="inlineStr">
        <is>
          <t>ÅNGE</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21686-2025</t>
        </is>
      </c>
      <c r="B1723" s="1" t="n">
        <v>45783.490625</v>
      </c>
      <c r="C1723" s="1" t="n">
        <v>46127</v>
      </c>
      <c r="D1723" t="inlineStr">
        <is>
          <t>VÄSTERNORRLANDS LÄN</t>
        </is>
      </c>
      <c r="E1723" t="inlineStr">
        <is>
          <t>ÅNGE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54295-2024</t>
        </is>
      </c>
      <c r="B1724" s="1" t="n">
        <v>45617</v>
      </c>
      <c r="C1724" s="1" t="n">
        <v>46127</v>
      </c>
      <c r="D1724" t="inlineStr">
        <is>
          <t>VÄSTERNORRLANDS LÄN</t>
        </is>
      </c>
      <c r="E1724" t="inlineStr">
        <is>
          <t>ÅNGE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21563-2025</t>
        </is>
      </c>
      <c r="B1725" s="1" t="n">
        <v>45782.69822916666</v>
      </c>
      <c r="C1725" s="1" t="n">
        <v>46127</v>
      </c>
      <c r="D1725" t="inlineStr">
        <is>
          <t>VÄSTERNORRLANDS LÄN</t>
        </is>
      </c>
      <c r="E1725" t="inlineStr">
        <is>
          <t>ÅNGE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21712-2025</t>
        </is>
      </c>
      <c r="B1726" s="1" t="n">
        <v>45783.53210648148</v>
      </c>
      <c r="C1726" s="1" t="n">
        <v>46127</v>
      </c>
      <c r="D1726" t="inlineStr">
        <is>
          <t>VÄSTERNORRLANDS LÄN</t>
        </is>
      </c>
      <c r="E1726" t="inlineStr">
        <is>
          <t>ÅNGE</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26640-2024</t>
        </is>
      </c>
      <c r="B1727" s="1" t="n">
        <v>45469.92831018518</v>
      </c>
      <c r="C1727" s="1" t="n">
        <v>46127</v>
      </c>
      <c r="D1727" t="inlineStr">
        <is>
          <t>VÄSTERNORRLANDS LÄN</t>
        </is>
      </c>
      <c r="E1727" t="inlineStr">
        <is>
          <t>ÅNGE</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39119-2024</t>
        </is>
      </c>
      <c r="B1728" s="1" t="n">
        <v>45548.58939814815</v>
      </c>
      <c r="C1728" s="1" t="n">
        <v>46127</v>
      </c>
      <c r="D1728" t="inlineStr">
        <is>
          <t>VÄSTERNORRLANDS LÄN</t>
        </is>
      </c>
      <c r="E1728" t="inlineStr">
        <is>
          <t>ÅNGE</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32257-2024</t>
        </is>
      </c>
      <c r="B1729" s="1" t="n">
        <v>45511</v>
      </c>
      <c r="C1729" s="1" t="n">
        <v>46127</v>
      </c>
      <c r="D1729" t="inlineStr">
        <is>
          <t>VÄSTERNORRLANDS LÄN</t>
        </is>
      </c>
      <c r="E1729" t="inlineStr">
        <is>
          <t>ÅNGE</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20880-2025</t>
        </is>
      </c>
      <c r="B1730" s="1" t="n">
        <v>45777</v>
      </c>
      <c r="C1730" s="1" t="n">
        <v>46127</v>
      </c>
      <c r="D1730" t="inlineStr">
        <is>
          <t>VÄSTERNORRLANDS LÄN</t>
        </is>
      </c>
      <c r="E1730" t="inlineStr">
        <is>
          <t>ÅNGE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22219-2025</t>
        </is>
      </c>
      <c r="B1731" s="1" t="n">
        <v>45785.65849537037</v>
      </c>
      <c r="C1731" s="1" t="n">
        <v>46127</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21862-2025</t>
        </is>
      </c>
      <c r="B1732" s="1" t="n">
        <v>45784.36519675926</v>
      </c>
      <c r="C1732" s="1" t="n">
        <v>46127</v>
      </c>
      <c r="D1732" t="inlineStr">
        <is>
          <t>VÄSTERNORRLANDS LÄN</t>
        </is>
      </c>
      <c r="E1732" t="inlineStr">
        <is>
          <t>ÅNGE</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22206-2025</t>
        </is>
      </c>
      <c r="B1733" s="1" t="n">
        <v>45785.65699074074</v>
      </c>
      <c r="C1733" s="1" t="n">
        <v>46127</v>
      </c>
      <c r="D1733" t="inlineStr">
        <is>
          <t>VÄSTERNORRLANDS LÄN</t>
        </is>
      </c>
      <c r="E1733" t="inlineStr">
        <is>
          <t>ÅNGE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29395-2023</t>
        </is>
      </c>
      <c r="B1734" s="1" t="n">
        <v>45106.4359837963</v>
      </c>
      <c r="C1734" s="1" t="n">
        <v>46127</v>
      </c>
      <c r="D1734" t="inlineStr">
        <is>
          <t>VÄSTERNORRLANDS LÄN</t>
        </is>
      </c>
      <c r="E1734" t="inlineStr">
        <is>
          <t>ÅNGE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38800-2024</t>
        </is>
      </c>
      <c r="B1735" s="1" t="n">
        <v>45547</v>
      </c>
      <c r="C1735" s="1" t="n">
        <v>46127</v>
      </c>
      <c r="D1735" t="inlineStr">
        <is>
          <t>VÄSTERNORRLANDS LÄN</t>
        </is>
      </c>
      <c r="E1735" t="inlineStr">
        <is>
          <t>ÅNGE</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21883-2025</t>
        </is>
      </c>
      <c r="B1736" s="1" t="n">
        <v>45784.41361111111</v>
      </c>
      <c r="C1736" s="1" t="n">
        <v>46127</v>
      </c>
      <c r="D1736" t="inlineStr">
        <is>
          <t>VÄSTERNORRLANDS LÄN</t>
        </is>
      </c>
      <c r="E1736" t="inlineStr">
        <is>
          <t>ÅNGE</t>
        </is>
      </c>
      <c r="G1736" t="n">
        <v>1.7</v>
      </c>
      <c r="H1736" t="n">
        <v>0</v>
      </c>
      <c r="I1736" t="n">
        <v>0</v>
      </c>
      <c r="J1736" t="n">
        <v>0</v>
      </c>
      <c r="K1736" t="n">
        <v>0</v>
      </c>
      <c r="L1736" t="n">
        <v>0</v>
      </c>
      <c r="M1736" t="n">
        <v>0</v>
      </c>
      <c r="N1736" t="n">
        <v>0</v>
      </c>
      <c r="O1736" t="n">
        <v>0</v>
      </c>
      <c r="P1736" t="n">
        <v>0</v>
      </c>
      <c r="Q1736" t="n">
        <v>0</v>
      </c>
      <c r="R1736" s="2" t="inlineStr"/>
    </row>
    <row r="1737">
      <c r="A1737" t="inlineStr">
        <is>
          <t>A 31492-2024</t>
        </is>
      </c>
      <c r="B1737" s="1" t="n">
        <v>45505</v>
      </c>
      <c r="C1737" s="1" t="n">
        <v>46127</v>
      </c>
      <c r="D1737" t="inlineStr">
        <is>
          <t>VÄSTERNORRLANDS LÄN</t>
        </is>
      </c>
      <c r="E1737" t="inlineStr">
        <is>
          <t>ÅNGE</t>
        </is>
      </c>
      <c r="F1737" t="inlineStr">
        <is>
          <t>SCA</t>
        </is>
      </c>
      <c r="G1737" t="n">
        <v>5.5</v>
      </c>
      <c r="H1737" t="n">
        <v>0</v>
      </c>
      <c r="I1737" t="n">
        <v>0</v>
      </c>
      <c r="J1737" t="n">
        <v>0</v>
      </c>
      <c r="K1737" t="n">
        <v>0</v>
      </c>
      <c r="L1737" t="n">
        <v>0</v>
      </c>
      <c r="M1737" t="n">
        <v>0</v>
      </c>
      <c r="N1737" t="n">
        <v>0</v>
      </c>
      <c r="O1737" t="n">
        <v>0</v>
      </c>
      <c r="P1737" t="n">
        <v>0</v>
      </c>
      <c r="Q1737" t="n">
        <v>0</v>
      </c>
      <c r="R1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2026-04-15T14:30:40Z</dcterms:created>
  <dcterms:modified xmlns:dcterms="http://purl.org/dc/terms/" xmlns:xsi="http://www.w3.org/2001/XMLSchema-instance" xsi:type="dcterms:W3CDTF">2026-04-15T14:30:42Z</dcterms:modified>
</cp:coreProperties>
</file>