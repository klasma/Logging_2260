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46046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46046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46046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46046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46046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46046</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46046</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46046</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46046</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46046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46046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46046</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46046</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46046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46046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46046</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46046</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46046</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46046</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46046</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46046</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48738-2024</t>
        </is>
      </c>
      <c r="B34" s="1" t="n">
        <v>45593</v>
      </c>
      <c r="C34" s="1" t="n">
        <v>46046</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11894-2022</t>
        </is>
      </c>
      <c r="B35" s="1" t="n">
        <v>44635</v>
      </c>
      <c r="C35" s="1" t="n">
        <v>46046</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33783-2025</t>
        </is>
      </c>
      <c r="B36" s="1" t="n">
        <v>45842.40699074074</v>
      </c>
      <c r="C36" s="1" t="n">
        <v>46046</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41874-2025</t>
        </is>
      </c>
      <c r="B37" s="1" t="n">
        <v>45903.3452662037</v>
      </c>
      <c r="C37" s="1" t="n">
        <v>46046</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46046</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46046</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46046</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46046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46046</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46046</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46046</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34786-2021</t>
        </is>
      </c>
      <c r="B45" s="1" t="n">
        <v>44382</v>
      </c>
      <c r="C45" s="1" t="n">
        <v>46046</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42962-2024</t>
        </is>
      </c>
      <c r="B46" s="1" t="n">
        <v>45567.37194444444</v>
      </c>
      <c r="C46" s="1" t="n">
        <v>46046</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46046</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40545-2024</t>
        </is>
      </c>
      <c r="B48" s="1" t="n">
        <v>45555</v>
      </c>
      <c r="C48" s="1" t="n">
        <v>46046</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34519-2022</t>
        </is>
      </c>
      <c r="B49" s="1" t="n">
        <v>44792</v>
      </c>
      <c r="C49" s="1" t="n">
        <v>46046</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46046</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46046</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46046</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57843-2024</t>
        </is>
      </c>
      <c r="B53" s="1" t="n">
        <v>45631</v>
      </c>
      <c r="C53" s="1" t="n">
        <v>46046</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31113-2025</t>
        </is>
      </c>
      <c r="B54" s="1" t="n">
        <v>45832.61501157407</v>
      </c>
      <c r="C54" s="1" t="n">
        <v>46046</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46046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46046</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46046</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46046</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37450-2025</t>
        </is>
      </c>
      <c r="B59" s="1" t="n">
        <v>45877.55261574074</v>
      </c>
      <c r="C59" s="1" t="n">
        <v>46046</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25898-2022</t>
        </is>
      </c>
      <c r="B60" s="1" t="n">
        <v>44733</v>
      </c>
      <c r="C60" s="1" t="n">
        <v>46046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46046</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46046</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46046</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60116-2025</t>
        </is>
      </c>
      <c r="B64" s="1" t="n">
        <v>45994.318125</v>
      </c>
      <c r="C64" s="1" t="n">
        <v>46046</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60240-2025</t>
        </is>
      </c>
      <c r="B65" s="1" t="n">
        <v>45994.57857638889</v>
      </c>
      <c r="C65" s="1" t="n">
        <v>46046</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55176-2024</t>
        </is>
      </c>
      <c r="B66" s="1" t="n">
        <v>45621</v>
      </c>
      <c r="C66" s="1" t="n">
        <v>46046</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10085-2023</t>
        </is>
      </c>
      <c r="B67" s="1" t="n">
        <v>44985.9447337963</v>
      </c>
      <c r="C67" s="1" t="n">
        <v>46046</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4130-2023</t>
        </is>
      </c>
      <c r="B68" s="1" t="n">
        <v>44952</v>
      </c>
      <c r="C68" s="1" t="n">
        <v>46046</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Spetsvaxing
Ängsfingersvamp</t>
        </is>
      </c>
      <c r="S68">
        <f>HYPERLINK("https://klasma.github.io/Logging_2260/artfynd/A 4130-2023 artfynd.xlsx", "A 4130-2023")</f>
        <v/>
      </c>
      <c r="T68">
        <f>HYPERLINK("https://klasma.github.io/Logging_2260/kartor/A 4130-2023 karta.png", "A 4130-2023")</f>
        <v/>
      </c>
      <c r="U68">
        <f>HYPERLINK("https://klasma.github.io/Logging_2260/knärot/A 4130-2023 karta knärot.png",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53456-2023</t>
        </is>
      </c>
      <c r="B69" s="1" t="n">
        <v>45229</v>
      </c>
      <c r="C69" s="1" t="n">
        <v>46046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46046</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46046</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27955-2021</t>
        </is>
      </c>
      <c r="B72" s="1" t="n">
        <v>44354</v>
      </c>
      <c r="C72" s="1" t="n">
        <v>46046</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39570-2025</t>
        </is>
      </c>
      <c r="B73" s="1" t="n">
        <v>45890.49009259259</v>
      </c>
      <c r="C73" s="1" t="n">
        <v>46046</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34694-2023</t>
        </is>
      </c>
      <c r="B74" s="1" t="n">
        <v>45140.96324074074</v>
      </c>
      <c r="C74" s="1" t="n">
        <v>46046</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45402-2025</t>
        </is>
      </c>
      <c r="B75" s="1" t="n">
        <v>45922.4278587963</v>
      </c>
      <c r="C75" s="1" t="n">
        <v>46046</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46046</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46046</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26363-2023</t>
        </is>
      </c>
      <c r="B78" s="1" t="n">
        <v>45091</v>
      </c>
      <c r="C78" s="1" t="n">
        <v>46046</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46046</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46046</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46046</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46046</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26958-2024</t>
        </is>
      </c>
      <c r="B83" s="1" t="n">
        <v>45470</v>
      </c>
      <c r="C83" s="1" t="n">
        <v>46046</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27914-2024</t>
        </is>
      </c>
      <c r="B84" s="1" t="n">
        <v>45475</v>
      </c>
      <c r="C84" s="1" t="n">
        <v>46046</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38322-2025</t>
        </is>
      </c>
      <c r="B85" s="1" t="n">
        <v>45883.49003472222</v>
      </c>
      <c r="C85" s="1" t="n">
        <v>46046</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38327-2025</t>
        </is>
      </c>
      <c r="B86" s="1" t="n">
        <v>45883.49084490741</v>
      </c>
      <c r="C86" s="1" t="n">
        <v>46046</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55004-2023</t>
        </is>
      </c>
      <c r="B87" s="1" t="n">
        <v>45236</v>
      </c>
      <c r="C87" s="1" t="n">
        <v>46046</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43520-2025</t>
        </is>
      </c>
      <c r="B88" s="1" t="n">
        <v>45911.57364583333</v>
      </c>
      <c r="C88" s="1" t="n">
        <v>46046</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46046</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46046</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46375-2025</t>
        </is>
      </c>
      <c r="B91" s="1" t="n">
        <v>45925.51097222222</v>
      </c>
      <c r="C91" s="1" t="n">
        <v>46046</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2451-2024</t>
        </is>
      </c>
      <c r="B92" s="1" t="n">
        <v>45312.58627314815</v>
      </c>
      <c r="C92" s="1" t="n">
        <v>46046</v>
      </c>
      <c r="D92" t="inlineStr">
        <is>
          <t>VÄSTERNORRLANDS LÄN</t>
        </is>
      </c>
      <c r="E92" t="inlineStr">
        <is>
          <t>ÅNGE</t>
        </is>
      </c>
      <c r="G92" t="n">
        <v>3.5</v>
      </c>
      <c r="H92" t="n">
        <v>0</v>
      </c>
      <c r="I92" t="n">
        <v>1</v>
      </c>
      <c r="J92" t="n">
        <v>4</v>
      </c>
      <c r="K92" t="n">
        <v>0</v>
      </c>
      <c r="L92" t="n">
        <v>0</v>
      </c>
      <c r="M92" t="n">
        <v>0</v>
      </c>
      <c r="N92" t="n">
        <v>0</v>
      </c>
      <c r="O92" t="n">
        <v>4</v>
      </c>
      <c r="P92" t="n">
        <v>0</v>
      </c>
      <c r="Q92" t="n">
        <v>5</v>
      </c>
      <c r="R92" s="2" t="inlineStr">
        <is>
          <t>Garnlav
Mörk kolflarnlav
Rosenticka
Ullticka
Dropptaggsvamp</t>
        </is>
      </c>
      <c r="S92">
        <f>HYPERLINK("https://klasma.github.io/Logging_2260/artfynd/A 2451-2024 artfynd.xlsx", "A 2451-2024")</f>
        <v/>
      </c>
      <c r="T92">
        <f>HYPERLINK("https://klasma.github.io/Logging_2260/kartor/A 2451-2024 karta.png", "A 2451-2024")</f>
        <v/>
      </c>
      <c r="V92">
        <f>HYPERLINK("https://klasma.github.io/Logging_2260/klagomål/A 2451-2024 FSC-klagomål.docx", "A 2451-2024")</f>
        <v/>
      </c>
      <c r="W92">
        <f>HYPERLINK("https://klasma.github.io/Logging_2260/klagomålsmail/A 2451-2024 FSC-klagomål mail.docx", "A 2451-2024")</f>
        <v/>
      </c>
      <c r="X92">
        <f>HYPERLINK("https://klasma.github.io/Logging_2260/tillsyn/A 2451-2024 tillsynsbegäran.docx", "A 2451-2024")</f>
        <v/>
      </c>
      <c r="Y92">
        <f>HYPERLINK("https://klasma.github.io/Logging_2260/tillsynsmail/A 2451-2024 tillsynsbegäran mail.docx", "A 2451-2024")</f>
        <v/>
      </c>
    </row>
    <row r="93" ht="15" customHeight="1">
      <c r="A93" t="inlineStr">
        <is>
          <t>A 47102-2025</t>
        </is>
      </c>
      <c r="B93" s="1" t="n">
        <v>45929</v>
      </c>
      <c r="C93" s="1" t="n">
        <v>46046</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46046</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59971-2025</t>
        </is>
      </c>
      <c r="B95" s="1" t="n">
        <v>45993.49002314815</v>
      </c>
      <c r="C95" s="1" t="n">
        <v>46046</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26953-2024</t>
        </is>
      </c>
      <c r="B96" s="1" t="n">
        <v>45470</v>
      </c>
      <c r="C96" s="1" t="n">
        <v>46046</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24796-2024</t>
        </is>
      </c>
      <c r="B97" s="1" t="n">
        <v>45460</v>
      </c>
      <c r="C97" s="1" t="n">
        <v>46046</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46046</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46046</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44558-2024</t>
        </is>
      </c>
      <c r="B100" s="1" t="n">
        <v>45574.47001157407</v>
      </c>
      <c r="C100" s="1" t="n">
        <v>46046</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57299-2022</t>
        </is>
      </c>
      <c r="B101" s="1" t="n">
        <v>44895.95090277777</v>
      </c>
      <c r="C101" s="1" t="n">
        <v>46046</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55179-2024</t>
        </is>
      </c>
      <c r="B102" s="1" t="n">
        <v>45621.53204861111</v>
      </c>
      <c r="C102" s="1" t="n">
        <v>46046</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38713-2025</t>
        </is>
      </c>
      <c r="B103" s="1" t="n">
        <v>45886.34479166667</v>
      </c>
      <c r="C103" s="1" t="n">
        <v>46046</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39176-2024</t>
        </is>
      </c>
      <c r="B104" s="1" t="n">
        <v>45548</v>
      </c>
      <c r="C104" s="1" t="n">
        <v>46046</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11029-2025</t>
        </is>
      </c>
      <c r="B105" s="1" t="n">
        <v>45723</v>
      </c>
      <c r="C105" s="1" t="n">
        <v>46046</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723-2025</t>
        </is>
      </c>
      <c r="B106" s="1" t="n">
        <v>45665.38576388889</v>
      </c>
      <c r="C106" s="1" t="n">
        <v>46046</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54095-2025</t>
        </is>
      </c>
      <c r="B107" s="1" t="n">
        <v>45964.40685185185</v>
      </c>
      <c r="C107" s="1" t="n">
        <v>46046</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61007-2025</t>
        </is>
      </c>
      <c r="B108" s="1" t="n">
        <v>45998</v>
      </c>
      <c r="C108" s="1" t="n">
        <v>46046</v>
      </c>
      <c r="D108" t="inlineStr">
        <is>
          <t>VÄSTERNORRLANDS LÄN</t>
        </is>
      </c>
      <c r="E108" t="inlineStr">
        <is>
          <t>ÅNGE</t>
        </is>
      </c>
      <c r="F108" t="inlineStr">
        <is>
          <t>SCA</t>
        </is>
      </c>
      <c r="G108" t="n">
        <v>5.6</v>
      </c>
      <c r="H108" t="n">
        <v>0</v>
      </c>
      <c r="I108" t="n">
        <v>0</v>
      </c>
      <c r="J108" t="n">
        <v>4</v>
      </c>
      <c r="K108" t="n">
        <v>0</v>
      </c>
      <c r="L108" t="n">
        <v>0</v>
      </c>
      <c r="M108" t="n">
        <v>0</v>
      </c>
      <c r="N108" t="n">
        <v>0</v>
      </c>
      <c r="O108" t="n">
        <v>4</v>
      </c>
      <c r="P108" t="n">
        <v>0</v>
      </c>
      <c r="Q108" t="n">
        <v>4</v>
      </c>
      <c r="R108" s="2" t="inlineStr">
        <is>
          <t>Gammelgransskål
Garnlav
Granticka
Violettgrå tagellav</t>
        </is>
      </c>
      <c r="S108">
        <f>HYPERLINK("https://klasma.github.io/Logging_2260/artfynd/A 61007-2025 artfynd.xlsx", "A 61007-2025")</f>
        <v/>
      </c>
      <c r="T108">
        <f>HYPERLINK("https://klasma.github.io/Logging_2260/kartor/A 61007-2025 karta.png", "A 61007-2025")</f>
        <v/>
      </c>
      <c r="V108">
        <f>HYPERLINK("https://klasma.github.io/Logging_2260/klagomål/A 61007-2025 FSC-klagomål.docx", "A 61007-2025")</f>
        <v/>
      </c>
      <c r="W108">
        <f>HYPERLINK("https://klasma.github.io/Logging_2260/klagomålsmail/A 61007-2025 FSC-klagomål mail.docx", "A 61007-2025")</f>
        <v/>
      </c>
      <c r="X108">
        <f>HYPERLINK("https://klasma.github.io/Logging_2260/tillsyn/A 61007-2025 tillsynsbegäran.docx", "A 61007-2025")</f>
        <v/>
      </c>
      <c r="Y108">
        <f>HYPERLINK("https://klasma.github.io/Logging_2260/tillsynsmail/A 61007-2025 tillsynsbegäran mail.docx", "A 61007-2025")</f>
        <v/>
      </c>
    </row>
    <row r="109" ht="15" customHeight="1">
      <c r="A109" t="inlineStr">
        <is>
          <t>A 61487-2025</t>
        </is>
      </c>
      <c r="B109" s="1" t="n">
        <v>46001.63628472222</v>
      </c>
      <c r="C109" s="1" t="n">
        <v>46046</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27956-2021</t>
        </is>
      </c>
      <c r="B110" s="1" t="n">
        <v>44354</v>
      </c>
      <c r="C110" s="1" t="n">
        <v>46046</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46046</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21267-2025</t>
        </is>
      </c>
      <c r="B112" s="1" t="n">
        <v>45779</v>
      </c>
      <c r="C112" s="1" t="n">
        <v>46046</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7533-2023</t>
        </is>
      </c>
      <c r="B113" s="1" t="n">
        <v>44971</v>
      </c>
      <c r="C113" s="1" t="n">
        <v>46046</v>
      </c>
      <c r="D113" t="inlineStr">
        <is>
          <t>VÄSTERNORRLANDS LÄN</t>
        </is>
      </c>
      <c r="E113" t="inlineStr">
        <is>
          <t>ÅNGE</t>
        </is>
      </c>
      <c r="F113" t="inlineStr">
        <is>
          <t>SCA</t>
        </is>
      </c>
      <c r="G113" t="n">
        <v>15.7</v>
      </c>
      <c r="H113" t="n">
        <v>2</v>
      </c>
      <c r="I113" t="n">
        <v>0</v>
      </c>
      <c r="J113" t="n">
        <v>1</v>
      </c>
      <c r="K113" t="n">
        <v>1</v>
      </c>
      <c r="L113" t="n">
        <v>0</v>
      </c>
      <c r="M113" t="n">
        <v>0</v>
      </c>
      <c r="N113" t="n">
        <v>0</v>
      </c>
      <c r="O113" t="n">
        <v>2</v>
      </c>
      <c r="P113" t="n">
        <v>1</v>
      </c>
      <c r="Q113" t="n">
        <v>3</v>
      </c>
      <c r="R113" s="2" t="inlineStr">
        <is>
          <t>Doftticka
Lunglav
Blåsippa</t>
        </is>
      </c>
      <c r="S113">
        <f>HYPERLINK("https://klasma.github.io/Logging_2260/artfynd/A 7533-2023 artfynd.xlsx", "A 7533-2023")</f>
        <v/>
      </c>
      <c r="T113">
        <f>HYPERLINK("https://klasma.github.io/Logging_2260/kartor/A 7533-2023 karta.png", "A 7533-2023")</f>
        <v/>
      </c>
      <c r="V113">
        <f>HYPERLINK("https://klasma.github.io/Logging_2260/klagomål/A 7533-2023 FSC-klagomål.docx", "A 7533-2023")</f>
        <v/>
      </c>
      <c r="W113">
        <f>HYPERLINK("https://klasma.github.io/Logging_2260/klagomålsmail/A 7533-2023 FSC-klagomål mail.docx", "A 7533-2023")</f>
        <v/>
      </c>
      <c r="X113">
        <f>HYPERLINK("https://klasma.github.io/Logging_2260/tillsyn/A 7533-2023 tillsynsbegäran.docx", "A 7533-2023")</f>
        <v/>
      </c>
      <c r="Y113">
        <f>HYPERLINK("https://klasma.github.io/Logging_2260/tillsynsmail/A 7533-2023 tillsynsbegäran mail.docx", "A 7533-2023")</f>
        <v/>
      </c>
    </row>
    <row r="114" ht="15" customHeight="1">
      <c r="A114" t="inlineStr">
        <is>
          <t>A 29665-2024</t>
        </is>
      </c>
      <c r="B114" s="1" t="n">
        <v>45484</v>
      </c>
      <c r="C114" s="1" t="n">
        <v>46046</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23754-2025</t>
        </is>
      </c>
      <c r="B115" s="1" t="n">
        <v>45793.45782407407</v>
      </c>
      <c r="C115" s="1" t="n">
        <v>46046</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46046</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39179-2024</t>
        </is>
      </c>
      <c r="B117" s="1" t="n">
        <v>45548.65703703704</v>
      </c>
      <c r="C117" s="1" t="n">
        <v>46046</v>
      </c>
      <c r="D117" t="inlineStr">
        <is>
          <t>VÄSTERNORRLANDS LÄN</t>
        </is>
      </c>
      <c r="E117" t="inlineStr">
        <is>
          <t>ÅNGE</t>
        </is>
      </c>
      <c r="F117" t="inlineStr">
        <is>
          <t>SCA</t>
        </is>
      </c>
      <c r="G117" t="n">
        <v>4.2</v>
      </c>
      <c r="H117" t="n">
        <v>1</v>
      </c>
      <c r="I117" t="n">
        <v>2</v>
      </c>
      <c r="J117" t="n">
        <v>1</v>
      </c>
      <c r="K117" t="n">
        <v>0</v>
      </c>
      <c r="L117" t="n">
        <v>0</v>
      </c>
      <c r="M117" t="n">
        <v>0</v>
      </c>
      <c r="N117" t="n">
        <v>0</v>
      </c>
      <c r="O117" t="n">
        <v>1</v>
      </c>
      <c r="P117" t="n">
        <v>0</v>
      </c>
      <c r="Q117" t="n">
        <v>3</v>
      </c>
      <c r="R117" s="2" t="inlineStr">
        <is>
          <t>Rosenticka
Fjällig taggsvamp s.str.
Spindelblomster</t>
        </is>
      </c>
      <c r="S117">
        <f>HYPERLINK("https://klasma.github.io/Logging_2260/artfynd/A 39179-2024 artfynd.xlsx", "A 39179-2024")</f>
        <v/>
      </c>
      <c r="T117">
        <f>HYPERLINK("https://klasma.github.io/Logging_2260/kartor/A 39179-2024 karta.png", "A 39179-2024")</f>
        <v/>
      </c>
      <c r="V117">
        <f>HYPERLINK("https://klasma.github.io/Logging_2260/klagomål/A 39179-2024 FSC-klagomål.docx", "A 39179-2024")</f>
        <v/>
      </c>
      <c r="W117">
        <f>HYPERLINK("https://klasma.github.io/Logging_2260/klagomålsmail/A 39179-2024 FSC-klagomål mail.docx", "A 39179-2024")</f>
        <v/>
      </c>
      <c r="X117">
        <f>HYPERLINK("https://klasma.github.io/Logging_2260/tillsyn/A 39179-2024 tillsynsbegäran.docx", "A 39179-2024")</f>
        <v/>
      </c>
      <c r="Y117">
        <f>HYPERLINK("https://klasma.github.io/Logging_2260/tillsynsmail/A 39179-2024 tillsynsbegäran mail.docx", "A 39179-2024")</f>
        <v/>
      </c>
    </row>
    <row r="118" ht="15" customHeight="1">
      <c r="A118" t="inlineStr">
        <is>
          <t>A 22996-2023</t>
        </is>
      </c>
      <c r="B118" s="1" t="n">
        <v>45072</v>
      </c>
      <c r="C118" s="1" t="n">
        <v>46046</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26679-2025</t>
        </is>
      </c>
      <c r="B119" s="1" t="n">
        <v>45810</v>
      </c>
      <c r="C119" s="1" t="n">
        <v>46046</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16307-2025</t>
        </is>
      </c>
      <c r="B120" s="1" t="n">
        <v>45751.34686342593</v>
      </c>
      <c r="C120" s="1" t="n">
        <v>46046</v>
      </c>
      <c r="D120" t="inlineStr">
        <is>
          <t>VÄSTERNORRLANDS LÄN</t>
        </is>
      </c>
      <c r="E120" t="inlineStr">
        <is>
          <t>ÅNGE</t>
        </is>
      </c>
      <c r="F120" t="inlineStr">
        <is>
          <t>SCA</t>
        </is>
      </c>
      <c r="G120" t="n">
        <v>12.3</v>
      </c>
      <c r="H120" t="n">
        <v>1</v>
      </c>
      <c r="I120" t="n">
        <v>2</v>
      </c>
      <c r="J120" t="n">
        <v>0</v>
      </c>
      <c r="K120" t="n">
        <v>0</v>
      </c>
      <c r="L120" t="n">
        <v>0</v>
      </c>
      <c r="M120" t="n">
        <v>0</v>
      </c>
      <c r="N120" t="n">
        <v>0</v>
      </c>
      <c r="O120" t="n">
        <v>0</v>
      </c>
      <c r="P120" t="n">
        <v>0</v>
      </c>
      <c r="Q120" t="n">
        <v>3</v>
      </c>
      <c r="R120" s="2" t="inlineStr">
        <is>
          <t>Stor aspticka
Vårärt
Blåsippa</t>
        </is>
      </c>
      <c r="S120">
        <f>HYPERLINK("https://klasma.github.io/Logging_2260/artfynd/A 16307-2025 artfynd.xlsx", "A 16307-2025")</f>
        <v/>
      </c>
      <c r="T120">
        <f>HYPERLINK("https://klasma.github.io/Logging_2260/kartor/A 16307-2025 karta.png", "A 16307-2025")</f>
        <v/>
      </c>
      <c r="V120">
        <f>HYPERLINK("https://klasma.github.io/Logging_2260/klagomål/A 16307-2025 FSC-klagomål.docx", "A 16307-2025")</f>
        <v/>
      </c>
      <c r="W120">
        <f>HYPERLINK("https://klasma.github.io/Logging_2260/klagomålsmail/A 16307-2025 FSC-klagomål mail.docx", "A 16307-2025")</f>
        <v/>
      </c>
      <c r="X120">
        <f>HYPERLINK("https://klasma.github.io/Logging_2260/tillsyn/A 16307-2025 tillsynsbegäran.docx", "A 16307-2025")</f>
        <v/>
      </c>
      <c r="Y120">
        <f>HYPERLINK("https://klasma.github.io/Logging_2260/tillsynsmail/A 16307-2025 tillsynsbegäran mail.docx", "A 16307-2025")</f>
        <v/>
      </c>
    </row>
    <row r="121" ht="15" customHeight="1">
      <c r="A121" t="inlineStr">
        <is>
          <t>A 47617-2024</t>
        </is>
      </c>
      <c r="B121" s="1" t="n">
        <v>45588.32125</v>
      </c>
      <c r="C121" s="1" t="n">
        <v>46046</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31212-2025</t>
        </is>
      </c>
      <c r="B122" s="1" t="n">
        <v>45832.71978009259</v>
      </c>
      <c r="C122" s="1" t="n">
        <v>46046</v>
      </c>
      <c r="D122" t="inlineStr">
        <is>
          <t>VÄSTERNORRLANDS LÄN</t>
        </is>
      </c>
      <c r="E122" t="inlineStr">
        <is>
          <t>ÅNGE</t>
        </is>
      </c>
      <c r="F122" t="inlineStr">
        <is>
          <t>SCA</t>
        </is>
      </c>
      <c r="G122" t="n">
        <v>1.6</v>
      </c>
      <c r="H122" t="n">
        <v>0</v>
      </c>
      <c r="I122" t="n">
        <v>2</v>
      </c>
      <c r="J122" t="n">
        <v>1</v>
      </c>
      <c r="K122" t="n">
        <v>0</v>
      </c>
      <c r="L122" t="n">
        <v>0</v>
      </c>
      <c r="M122" t="n">
        <v>0</v>
      </c>
      <c r="N122" t="n">
        <v>0</v>
      </c>
      <c r="O122" t="n">
        <v>1</v>
      </c>
      <c r="P122" t="n">
        <v>0</v>
      </c>
      <c r="Q122" t="n">
        <v>3</v>
      </c>
      <c r="R122" s="2" t="inlineStr">
        <is>
          <t>Ullticka
Barkticka
Korallblylav</t>
        </is>
      </c>
      <c r="S122">
        <f>HYPERLINK("https://klasma.github.io/Logging_2260/artfynd/A 31212-2025 artfynd.xlsx", "A 31212-2025")</f>
        <v/>
      </c>
      <c r="T122">
        <f>HYPERLINK("https://klasma.github.io/Logging_2260/kartor/A 31212-2025 karta.png", "A 31212-2025")</f>
        <v/>
      </c>
      <c r="V122">
        <f>HYPERLINK("https://klasma.github.io/Logging_2260/klagomål/A 31212-2025 FSC-klagomål.docx", "A 31212-2025")</f>
        <v/>
      </c>
      <c r="W122">
        <f>HYPERLINK("https://klasma.github.io/Logging_2260/klagomålsmail/A 31212-2025 FSC-klagomål mail.docx", "A 31212-2025")</f>
        <v/>
      </c>
      <c r="X122">
        <f>HYPERLINK("https://klasma.github.io/Logging_2260/tillsyn/A 31212-2025 tillsynsbegäran.docx", "A 31212-2025")</f>
        <v/>
      </c>
      <c r="Y122">
        <f>HYPERLINK("https://klasma.github.io/Logging_2260/tillsynsmail/A 31212-2025 tillsynsbegäran mail.docx", "A 31212-2025")</f>
        <v/>
      </c>
    </row>
    <row r="123" ht="15" customHeight="1">
      <c r="A123" t="inlineStr">
        <is>
          <t>A 39708-2024</t>
        </is>
      </c>
      <c r="B123" s="1" t="n">
        <v>45552.59408564815</v>
      </c>
      <c r="C123" s="1" t="n">
        <v>46046</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33806-2025</t>
        </is>
      </c>
      <c r="B124" s="1" t="n">
        <v>45842.44865740741</v>
      </c>
      <c r="C124" s="1" t="n">
        <v>46046</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37184-2025</t>
        </is>
      </c>
      <c r="B125" s="1" t="n">
        <v>45875.63591435185</v>
      </c>
      <c r="C125" s="1" t="n">
        <v>46046</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46046</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38664-2025</t>
        </is>
      </c>
      <c r="B127" s="1" t="n">
        <v>45884.61503472222</v>
      </c>
      <c r="C127" s="1" t="n">
        <v>46046</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39029-2025</t>
        </is>
      </c>
      <c r="B128" s="1" t="n">
        <v>45888.40684027778</v>
      </c>
      <c r="C128" s="1" t="n">
        <v>46046</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29691-2024</t>
        </is>
      </c>
      <c r="B129" s="1" t="n">
        <v>45484.9446875</v>
      </c>
      <c r="C129" s="1" t="n">
        <v>46046</v>
      </c>
      <c r="D129" t="inlineStr">
        <is>
          <t>VÄSTERNORRLANDS LÄN</t>
        </is>
      </c>
      <c r="E129" t="inlineStr">
        <is>
          <t>ÅNGE</t>
        </is>
      </c>
      <c r="F129" t="inlineStr">
        <is>
          <t>SCA</t>
        </is>
      </c>
      <c r="G129" t="n">
        <v>6.8</v>
      </c>
      <c r="H129" t="n">
        <v>0</v>
      </c>
      <c r="I129" t="n">
        <v>1</v>
      </c>
      <c r="J129" t="n">
        <v>2</v>
      </c>
      <c r="K129" t="n">
        <v>0</v>
      </c>
      <c r="L129" t="n">
        <v>0</v>
      </c>
      <c r="M129" t="n">
        <v>0</v>
      </c>
      <c r="N129" t="n">
        <v>0</v>
      </c>
      <c r="O129" t="n">
        <v>2</v>
      </c>
      <c r="P129" t="n">
        <v>0</v>
      </c>
      <c r="Q129" t="n">
        <v>3</v>
      </c>
      <c r="R129" s="2" t="inlineStr">
        <is>
          <t>Lunglav
Rosenticka
Vedticka</t>
        </is>
      </c>
      <c r="S129">
        <f>HYPERLINK("https://klasma.github.io/Logging_2260/artfynd/A 29691-2024 artfynd.xlsx", "A 29691-2024")</f>
        <v/>
      </c>
      <c r="T129">
        <f>HYPERLINK("https://klasma.github.io/Logging_2260/kartor/A 29691-2024 karta.png", "A 29691-2024")</f>
        <v/>
      </c>
      <c r="V129">
        <f>HYPERLINK("https://klasma.github.io/Logging_2260/klagomål/A 29691-2024 FSC-klagomål.docx", "A 29691-2024")</f>
        <v/>
      </c>
      <c r="W129">
        <f>HYPERLINK("https://klasma.github.io/Logging_2260/klagomålsmail/A 29691-2024 FSC-klagomål mail.docx", "A 29691-2024")</f>
        <v/>
      </c>
      <c r="X129">
        <f>HYPERLINK("https://klasma.github.io/Logging_2260/tillsyn/A 29691-2024 tillsynsbegäran.docx", "A 29691-2024")</f>
        <v/>
      </c>
      <c r="Y129">
        <f>HYPERLINK("https://klasma.github.io/Logging_2260/tillsynsmail/A 29691-2024 tillsynsbegäran mail.docx", "A 29691-2024")</f>
        <v/>
      </c>
    </row>
    <row r="130" ht="15" customHeight="1">
      <c r="A130" t="inlineStr">
        <is>
          <t>A 41868-2025</t>
        </is>
      </c>
      <c r="B130" s="1" t="n">
        <v>45903.34429398148</v>
      </c>
      <c r="C130" s="1" t="n">
        <v>46046</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46046</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39181-2024</t>
        </is>
      </c>
      <c r="B132" s="1" t="n">
        <v>45548</v>
      </c>
      <c r="C132" s="1" t="n">
        <v>46046</v>
      </c>
      <c r="D132" t="inlineStr">
        <is>
          <t>VÄSTERNORRLANDS LÄN</t>
        </is>
      </c>
      <c r="E132" t="inlineStr">
        <is>
          <t>ÅNGE</t>
        </is>
      </c>
      <c r="F132" t="inlineStr">
        <is>
          <t>SCA</t>
        </is>
      </c>
      <c r="G132" t="n">
        <v>21.1</v>
      </c>
      <c r="H132" t="n">
        <v>1</v>
      </c>
      <c r="I132" t="n">
        <v>1</v>
      </c>
      <c r="J132" t="n">
        <v>1</v>
      </c>
      <c r="K132" t="n">
        <v>1</v>
      </c>
      <c r="L132" t="n">
        <v>0</v>
      </c>
      <c r="M132" t="n">
        <v>0</v>
      </c>
      <c r="N132" t="n">
        <v>0</v>
      </c>
      <c r="O132" t="n">
        <v>2</v>
      </c>
      <c r="P132" t="n">
        <v>1</v>
      </c>
      <c r="Q132" t="n">
        <v>3</v>
      </c>
      <c r="R132" s="2" t="inlineStr">
        <is>
          <t>Knärot
Granticka
Kransrams</t>
        </is>
      </c>
      <c r="S132">
        <f>HYPERLINK("https://klasma.github.io/Logging_2260/artfynd/A 39181-2024 artfynd.xlsx", "A 39181-2024")</f>
        <v/>
      </c>
      <c r="T132">
        <f>HYPERLINK("https://klasma.github.io/Logging_2260/kartor/A 39181-2024 karta.png", "A 39181-2024")</f>
        <v/>
      </c>
      <c r="U132">
        <f>HYPERLINK("https://klasma.github.io/Logging_2260/knärot/A 39181-2024 karta knärot.png", "A 39181-2024")</f>
        <v/>
      </c>
      <c r="V132">
        <f>HYPERLINK("https://klasma.github.io/Logging_2260/klagomål/A 39181-2024 FSC-klagomål.docx", "A 39181-2024")</f>
        <v/>
      </c>
      <c r="W132">
        <f>HYPERLINK("https://klasma.github.io/Logging_2260/klagomålsmail/A 39181-2024 FSC-klagomål mail.docx", "A 39181-2024")</f>
        <v/>
      </c>
      <c r="X132">
        <f>HYPERLINK("https://klasma.github.io/Logging_2260/tillsyn/A 39181-2024 tillsynsbegäran.docx", "A 39181-2024")</f>
        <v/>
      </c>
      <c r="Y132">
        <f>HYPERLINK("https://klasma.github.io/Logging_2260/tillsynsmail/A 39181-2024 tillsynsbegäran mail.docx", "A 39181-2024")</f>
        <v/>
      </c>
    </row>
    <row r="133" ht="15" customHeight="1">
      <c r="A133" t="inlineStr">
        <is>
          <t>A 43880-2025</t>
        </is>
      </c>
      <c r="B133" s="1" t="n">
        <v>45912</v>
      </c>
      <c r="C133" s="1" t="n">
        <v>46046</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24795-2024</t>
        </is>
      </c>
      <c r="B134" s="1" t="n">
        <v>45460.95252314815</v>
      </c>
      <c r="C134" s="1" t="n">
        <v>46046</v>
      </c>
      <c r="D134" t="inlineStr">
        <is>
          <t>VÄSTERNORRLANDS LÄN</t>
        </is>
      </c>
      <c r="E134" t="inlineStr">
        <is>
          <t>ÅNGE</t>
        </is>
      </c>
      <c r="F134" t="inlineStr">
        <is>
          <t>SCA</t>
        </is>
      </c>
      <c r="G134" t="n">
        <v>2.2</v>
      </c>
      <c r="H134" t="n">
        <v>1</v>
      </c>
      <c r="I134" t="n">
        <v>2</v>
      </c>
      <c r="J134" t="n">
        <v>1</v>
      </c>
      <c r="K134" t="n">
        <v>0</v>
      </c>
      <c r="L134" t="n">
        <v>0</v>
      </c>
      <c r="M134" t="n">
        <v>0</v>
      </c>
      <c r="N134" t="n">
        <v>0</v>
      </c>
      <c r="O134" t="n">
        <v>1</v>
      </c>
      <c r="P134" t="n">
        <v>0</v>
      </c>
      <c r="Q134" t="n">
        <v>3</v>
      </c>
      <c r="R134" s="2" t="inlineStr">
        <is>
          <t>Lunglav
Plattlummer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46417-2025</t>
        </is>
      </c>
      <c r="B135" s="1" t="n">
        <v>45925.59454861111</v>
      </c>
      <c r="C135" s="1" t="n">
        <v>46046</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28274-2023</t>
        </is>
      </c>
      <c r="B136" s="1" t="n">
        <v>45099</v>
      </c>
      <c r="C136" s="1" t="n">
        <v>46046</v>
      </c>
      <c r="D136" t="inlineStr">
        <is>
          <t>VÄSTERNORRLANDS LÄN</t>
        </is>
      </c>
      <c r="E136" t="inlineStr">
        <is>
          <t>ÅNGE</t>
        </is>
      </c>
      <c r="G136" t="n">
        <v>19.2</v>
      </c>
      <c r="H136" t="n">
        <v>1</v>
      </c>
      <c r="I136" t="n">
        <v>1</v>
      </c>
      <c r="J136" t="n">
        <v>1</v>
      </c>
      <c r="K136" t="n">
        <v>1</v>
      </c>
      <c r="L136" t="n">
        <v>0</v>
      </c>
      <c r="M136" t="n">
        <v>0</v>
      </c>
      <c r="N136" t="n">
        <v>0</v>
      </c>
      <c r="O136" t="n">
        <v>2</v>
      </c>
      <c r="P136" t="n">
        <v>1</v>
      </c>
      <c r="Q136" t="n">
        <v>3</v>
      </c>
      <c r="R136" s="2" t="inlineStr">
        <is>
          <t>Knärot
Lunglav
Grönpyrola</t>
        </is>
      </c>
      <c r="S136">
        <f>HYPERLINK("https://klasma.github.io/Logging_2260/artfynd/A 28274-2023 artfynd.xlsx", "A 28274-2023")</f>
        <v/>
      </c>
      <c r="T136">
        <f>HYPERLINK("https://klasma.github.io/Logging_2260/kartor/A 28274-2023 karta.png", "A 28274-2023")</f>
        <v/>
      </c>
      <c r="U136">
        <f>HYPERLINK("https://klasma.github.io/Logging_2260/knärot/A 28274-2023 karta knärot.png", "A 28274-2023")</f>
        <v/>
      </c>
      <c r="V136">
        <f>HYPERLINK("https://klasma.github.io/Logging_2260/klagomål/A 28274-2023 FSC-klagomål.docx", "A 28274-2023")</f>
        <v/>
      </c>
      <c r="W136">
        <f>HYPERLINK("https://klasma.github.io/Logging_2260/klagomålsmail/A 28274-2023 FSC-klagomål mail.docx", "A 28274-2023")</f>
        <v/>
      </c>
      <c r="X136">
        <f>HYPERLINK("https://klasma.github.io/Logging_2260/tillsyn/A 28274-2023 tillsynsbegäran.docx", "A 28274-2023")</f>
        <v/>
      </c>
      <c r="Y136">
        <f>HYPERLINK("https://klasma.github.io/Logging_2260/tillsynsmail/A 28274-2023 tillsynsbegäran mail.docx", "A 28274-2023")</f>
        <v/>
      </c>
    </row>
    <row r="137" ht="15" customHeight="1">
      <c r="A137" t="inlineStr">
        <is>
          <t>A 49530-2025</t>
        </is>
      </c>
      <c r="B137" s="1" t="n">
        <v>45939.40700231482</v>
      </c>
      <c r="C137" s="1" t="n">
        <v>46046</v>
      </c>
      <c r="D137" t="inlineStr">
        <is>
          <t>VÄSTERNORRLANDS LÄN</t>
        </is>
      </c>
      <c r="E137" t="inlineStr">
        <is>
          <t>ÅNGE</t>
        </is>
      </c>
      <c r="F137" t="inlineStr">
        <is>
          <t>SCA</t>
        </is>
      </c>
      <c r="G137" t="n">
        <v>5.1</v>
      </c>
      <c r="H137" t="n">
        <v>1</v>
      </c>
      <c r="I137" t="n">
        <v>1</v>
      </c>
      <c r="J137" t="n">
        <v>1</v>
      </c>
      <c r="K137" t="n">
        <v>0</v>
      </c>
      <c r="L137" t="n">
        <v>0</v>
      </c>
      <c r="M137" t="n">
        <v>0</v>
      </c>
      <c r="N137" t="n">
        <v>0</v>
      </c>
      <c r="O137" t="n">
        <v>1</v>
      </c>
      <c r="P137" t="n">
        <v>0</v>
      </c>
      <c r="Q137" t="n">
        <v>3</v>
      </c>
      <c r="R137" s="2" t="inlineStr">
        <is>
          <t>Lunglav
Strutbräken
Revlummer</t>
        </is>
      </c>
      <c r="S137">
        <f>HYPERLINK("https://klasma.github.io/Logging_2260/artfynd/A 49530-2025 artfynd.xlsx", "A 49530-2025")</f>
        <v/>
      </c>
      <c r="T137">
        <f>HYPERLINK("https://klasma.github.io/Logging_2260/kartor/A 49530-2025 karta.png", "A 49530-2025")</f>
        <v/>
      </c>
      <c r="V137">
        <f>HYPERLINK("https://klasma.github.io/Logging_2260/klagomål/A 49530-2025 FSC-klagomål.docx", "A 49530-2025")</f>
        <v/>
      </c>
      <c r="W137">
        <f>HYPERLINK("https://klasma.github.io/Logging_2260/klagomålsmail/A 49530-2025 FSC-klagomål mail.docx", "A 49530-2025")</f>
        <v/>
      </c>
      <c r="X137">
        <f>HYPERLINK("https://klasma.github.io/Logging_2260/tillsyn/A 49530-2025 tillsynsbegäran.docx", "A 49530-2025")</f>
        <v/>
      </c>
      <c r="Y137">
        <f>HYPERLINK("https://klasma.github.io/Logging_2260/tillsynsmail/A 49530-2025 tillsynsbegäran mail.docx", "A 49530-2025")</f>
        <v/>
      </c>
    </row>
    <row r="138" ht="15" customHeight="1">
      <c r="A138" t="inlineStr">
        <is>
          <t>A 50259-2025</t>
        </is>
      </c>
      <c r="B138" s="1" t="n">
        <v>45944.34498842592</v>
      </c>
      <c r="C138" s="1" t="n">
        <v>46046</v>
      </c>
      <c r="D138" t="inlineStr">
        <is>
          <t>VÄSTERNORRLANDS LÄN</t>
        </is>
      </c>
      <c r="E138" t="inlineStr">
        <is>
          <t>ÅNGE</t>
        </is>
      </c>
      <c r="F138" t="inlineStr">
        <is>
          <t>SCA</t>
        </is>
      </c>
      <c r="G138" t="n">
        <v>1.7</v>
      </c>
      <c r="H138" t="n">
        <v>1</v>
      </c>
      <c r="I138" t="n">
        <v>1</v>
      </c>
      <c r="J138" t="n">
        <v>1</v>
      </c>
      <c r="K138" t="n">
        <v>0</v>
      </c>
      <c r="L138" t="n">
        <v>0</v>
      </c>
      <c r="M138" t="n">
        <v>0</v>
      </c>
      <c r="N138" t="n">
        <v>0</v>
      </c>
      <c r="O138" t="n">
        <v>1</v>
      </c>
      <c r="P138" t="n">
        <v>0</v>
      </c>
      <c r="Q138" t="n">
        <v>3</v>
      </c>
      <c r="R138" s="2" t="inlineStr">
        <is>
          <t>Lunglav
Bollvitmossa
Fläcknycklar</t>
        </is>
      </c>
      <c r="S138">
        <f>HYPERLINK("https://klasma.github.io/Logging_2260/artfynd/A 50259-2025 artfynd.xlsx", "A 50259-2025")</f>
        <v/>
      </c>
      <c r="T138">
        <f>HYPERLINK("https://klasma.github.io/Logging_2260/kartor/A 50259-2025 karta.png", "A 50259-2025")</f>
        <v/>
      </c>
      <c r="V138">
        <f>HYPERLINK("https://klasma.github.io/Logging_2260/klagomål/A 50259-2025 FSC-klagomål.docx", "A 50259-2025")</f>
        <v/>
      </c>
      <c r="W138">
        <f>HYPERLINK("https://klasma.github.io/Logging_2260/klagomålsmail/A 50259-2025 FSC-klagomål mail.docx", "A 50259-2025")</f>
        <v/>
      </c>
      <c r="X138">
        <f>HYPERLINK("https://klasma.github.io/Logging_2260/tillsyn/A 50259-2025 tillsynsbegäran.docx", "A 50259-2025")</f>
        <v/>
      </c>
      <c r="Y138">
        <f>HYPERLINK("https://klasma.github.io/Logging_2260/tillsynsmail/A 50259-2025 tillsynsbegäran mail.docx", "A 50259-2025")</f>
        <v/>
      </c>
    </row>
    <row r="139" ht="15" customHeight="1">
      <c r="A139" t="inlineStr">
        <is>
          <t>A 53710-2025</t>
        </is>
      </c>
      <c r="B139" s="1" t="n">
        <v>45960.6153125</v>
      </c>
      <c r="C139" s="1" t="n">
        <v>46046</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63330-2025</t>
        </is>
      </c>
      <c r="B140" s="1" t="n">
        <v>46010</v>
      </c>
      <c r="C140" s="1" t="n">
        <v>46046</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36635-2021</t>
        </is>
      </c>
      <c r="B141" s="1" t="n">
        <v>44391</v>
      </c>
      <c r="C141" s="1" t="n">
        <v>46046</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46046</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46046</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46046</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46046</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46046</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46046</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46046</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21453-2025</t>
        </is>
      </c>
      <c r="B149" s="1" t="n">
        <v>45782.55311342593</v>
      </c>
      <c r="C149" s="1" t="n">
        <v>46046</v>
      </c>
      <c r="D149" t="inlineStr">
        <is>
          <t>VÄSTERNORRLANDS LÄN</t>
        </is>
      </c>
      <c r="E149" t="inlineStr">
        <is>
          <t>ÅNGE</t>
        </is>
      </c>
      <c r="F149" t="inlineStr">
        <is>
          <t>SCA</t>
        </is>
      </c>
      <c r="G149" t="n">
        <v>1</v>
      </c>
      <c r="H149" t="n">
        <v>0</v>
      </c>
      <c r="I149" t="n">
        <v>2</v>
      </c>
      <c r="J149" t="n">
        <v>0</v>
      </c>
      <c r="K149" t="n">
        <v>0</v>
      </c>
      <c r="L149" t="n">
        <v>0</v>
      </c>
      <c r="M149" t="n">
        <v>0</v>
      </c>
      <c r="N149" t="n">
        <v>0</v>
      </c>
      <c r="O149" t="n">
        <v>0</v>
      </c>
      <c r="P149" t="n">
        <v>0</v>
      </c>
      <c r="Q149" t="n">
        <v>2</v>
      </c>
      <c r="R149" s="2" t="inlineStr">
        <is>
          <t>Svart trolldruva
Tibast</t>
        </is>
      </c>
      <c r="S149">
        <f>HYPERLINK("https://klasma.github.io/Logging_2260/artfynd/A 21453-2025 artfynd.xlsx", "A 21453-2025")</f>
        <v/>
      </c>
      <c r="T149">
        <f>HYPERLINK("https://klasma.github.io/Logging_2260/kartor/A 21453-2025 karta.png", "A 21453-2025")</f>
        <v/>
      </c>
      <c r="V149">
        <f>HYPERLINK("https://klasma.github.io/Logging_2260/klagomål/A 21453-2025 FSC-klagomål.docx", "A 21453-2025")</f>
        <v/>
      </c>
      <c r="W149">
        <f>HYPERLINK("https://klasma.github.io/Logging_2260/klagomålsmail/A 21453-2025 FSC-klagomål mail.docx", "A 21453-2025")</f>
        <v/>
      </c>
      <c r="X149">
        <f>HYPERLINK("https://klasma.github.io/Logging_2260/tillsyn/A 21453-2025 tillsynsbegäran.docx", "A 21453-2025")</f>
        <v/>
      </c>
      <c r="Y149">
        <f>HYPERLINK("https://klasma.github.io/Logging_2260/tillsynsmail/A 21453-2025 tillsynsbegäran mail.docx", "A 21453-2025")</f>
        <v/>
      </c>
    </row>
    <row r="150" ht="15" customHeight="1">
      <c r="A150" t="inlineStr">
        <is>
          <t>A 18081-2025</t>
        </is>
      </c>
      <c r="B150" s="1" t="n">
        <v>45761.51086805556</v>
      </c>
      <c r="C150" s="1" t="n">
        <v>46046</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57597-2022</t>
        </is>
      </c>
      <c r="B151" s="1" t="n">
        <v>44896.97878472223</v>
      </c>
      <c r="C151" s="1" t="n">
        <v>46046</v>
      </c>
      <c r="D151" t="inlineStr">
        <is>
          <t>VÄSTERNORRLANDS LÄN</t>
        </is>
      </c>
      <c r="E151" t="inlineStr">
        <is>
          <t>ÅNGE</t>
        </is>
      </c>
      <c r="F151" t="inlineStr">
        <is>
          <t>SCA</t>
        </is>
      </c>
      <c r="G151" t="n">
        <v>6.2</v>
      </c>
      <c r="H151" t="n">
        <v>0</v>
      </c>
      <c r="I151" t="n">
        <v>0</v>
      </c>
      <c r="J151" t="n">
        <v>2</v>
      </c>
      <c r="K151" t="n">
        <v>0</v>
      </c>
      <c r="L151" t="n">
        <v>0</v>
      </c>
      <c r="M151" t="n">
        <v>0</v>
      </c>
      <c r="N151" t="n">
        <v>0</v>
      </c>
      <c r="O151" t="n">
        <v>2</v>
      </c>
      <c r="P151" t="n">
        <v>0</v>
      </c>
      <c r="Q151" t="n">
        <v>2</v>
      </c>
      <c r="R151" s="2" t="inlineStr">
        <is>
          <t>Garnlav
Lunglav</t>
        </is>
      </c>
      <c r="S151">
        <f>HYPERLINK("https://klasma.github.io/Logging_2260/artfynd/A 57597-2022 artfynd.xlsx", "A 57597-2022")</f>
        <v/>
      </c>
      <c r="T151">
        <f>HYPERLINK("https://klasma.github.io/Logging_2260/kartor/A 57597-2022 karta.png", "A 57597-2022")</f>
        <v/>
      </c>
      <c r="V151">
        <f>HYPERLINK("https://klasma.github.io/Logging_2260/klagomål/A 57597-2022 FSC-klagomål.docx", "A 57597-2022")</f>
        <v/>
      </c>
      <c r="W151">
        <f>HYPERLINK("https://klasma.github.io/Logging_2260/klagomålsmail/A 57597-2022 FSC-klagomål mail.docx", "A 57597-2022")</f>
        <v/>
      </c>
      <c r="X151">
        <f>HYPERLINK("https://klasma.github.io/Logging_2260/tillsyn/A 57597-2022 tillsynsbegäran.docx", "A 57597-2022")</f>
        <v/>
      </c>
      <c r="Y151">
        <f>HYPERLINK("https://klasma.github.io/Logging_2260/tillsynsmail/A 57597-2022 tillsynsbegäran mail.docx", "A 57597-2022")</f>
        <v/>
      </c>
    </row>
    <row r="152" ht="15" customHeight="1">
      <c r="A152" t="inlineStr">
        <is>
          <t>A 24176-2025</t>
        </is>
      </c>
      <c r="B152" s="1" t="n">
        <v>45796.69832175926</v>
      </c>
      <c r="C152" s="1" t="n">
        <v>46046</v>
      </c>
      <c r="D152" t="inlineStr">
        <is>
          <t>VÄSTERNORRLANDS LÄN</t>
        </is>
      </c>
      <c r="E152" t="inlineStr">
        <is>
          <t>ÅNGE</t>
        </is>
      </c>
      <c r="F152" t="inlineStr">
        <is>
          <t>SCA</t>
        </is>
      </c>
      <c r="G152" t="n">
        <v>3.9</v>
      </c>
      <c r="H152" t="n">
        <v>0</v>
      </c>
      <c r="I152" t="n">
        <v>1</v>
      </c>
      <c r="J152" t="n">
        <v>1</v>
      </c>
      <c r="K152" t="n">
        <v>0</v>
      </c>
      <c r="L152" t="n">
        <v>0</v>
      </c>
      <c r="M152" t="n">
        <v>0</v>
      </c>
      <c r="N152" t="n">
        <v>0</v>
      </c>
      <c r="O152" t="n">
        <v>1</v>
      </c>
      <c r="P152" t="n">
        <v>0</v>
      </c>
      <c r="Q152" t="n">
        <v>2</v>
      </c>
      <c r="R152" s="2" t="inlineStr">
        <is>
          <t>Vitgrynig nållav
Vedticka</t>
        </is>
      </c>
      <c r="S152">
        <f>HYPERLINK("https://klasma.github.io/Logging_2260/artfynd/A 24176-2025 artfynd.xlsx", "A 24176-2025")</f>
        <v/>
      </c>
      <c r="T152">
        <f>HYPERLINK("https://klasma.github.io/Logging_2260/kartor/A 24176-2025 karta.png", "A 24176-2025")</f>
        <v/>
      </c>
      <c r="V152">
        <f>HYPERLINK("https://klasma.github.io/Logging_2260/klagomål/A 24176-2025 FSC-klagomål.docx", "A 24176-2025")</f>
        <v/>
      </c>
      <c r="W152">
        <f>HYPERLINK("https://klasma.github.io/Logging_2260/klagomålsmail/A 24176-2025 FSC-klagomål mail.docx", "A 24176-2025")</f>
        <v/>
      </c>
      <c r="X152">
        <f>HYPERLINK("https://klasma.github.io/Logging_2260/tillsyn/A 24176-2025 tillsynsbegäran.docx", "A 24176-2025")</f>
        <v/>
      </c>
      <c r="Y152">
        <f>HYPERLINK("https://klasma.github.io/Logging_2260/tillsynsmail/A 24176-2025 tillsynsbegäran mail.docx", "A 24176-2025")</f>
        <v/>
      </c>
    </row>
    <row r="153" ht="15" customHeight="1">
      <c r="A153" t="inlineStr">
        <is>
          <t>A 62861-2021</t>
        </is>
      </c>
      <c r="B153" s="1" t="n">
        <v>44503</v>
      </c>
      <c r="C153" s="1" t="n">
        <v>46046</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48695-2024</t>
        </is>
      </c>
      <c r="B154" s="1" t="n">
        <v>45593.5109837963</v>
      </c>
      <c r="C154" s="1" t="n">
        <v>46046</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4873-2025</t>
        </is>
      </c>
      <c r="B155" s="1" t="n">
        <v>45688.67633101852</v>
      </c>
      <c r="C155" s="1" t="n">
        <v>46046</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4873-2025 artfynd.xlsx", "A 4873-2025")</f>
        <v/>
      </c>
      <c r="T155">
        <f>HYPERLINK("https://klasma.github.io/Logging_2260/kartor/A 4873-2025 karta.png", "A 4873-2025")</f>
        <v/>
      </c>
      <c r="V155">
        <f>HYPERLINK("https://klasma.github.io/Logging_2260/klagomål/A 4873-2025 FSC-klagomål.docx", "A 4873-2025")</f>
        <v/>
      </c>
      <c r="W155">
        <f>HYPERLINK("https://klasma.github.io/Logging_2260/klagomålsmail/A 4873-2025 FSC-klagomål mail.docx", "A 4873-2025")</f>
        <v/>
      </c>
      <c r="X155">
        <f>HYPERLINK("https://klasma.github.io/Logging_2260/tillsyn/A 4873-2025 tillsynsbegäran.docx", "A 4873-2025")</f>
        <v/>
      </c>
      <c r="Y155">
        <f>HYPERLINK("https://klasma.github.io/Logging_2260/tillsynsmail/A 4873-2025 tillsynsbegäran mail.docx", "A 4873-2025")</f>
        <v/>
      </c>
    </row>
    <row r="156" ht="15" customHeight="1">
      <c r="A156" t="inlineStr">
        <is>
          <t>A 25034-2024</t>
        </is>
      </c>
      <c r="B156" s="1" t="n">
        <v>45461.96458333333</v>
      </c>
      <c r="C156" s="1" t="n">
        <v>46046</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46046</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26906-2025</t>
        </is>
      </c>
      <c r="B158" s="1" t="n">
        <v>45811.34552083333</v>
      </c>
      <c r="C158" s="1" t="n">
        <v>46046</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55178-2024</t>
        </is>
      </c>
      <c r="B159" s="1" t="n">
        <v>45621</v>
      </c>
      <c r="C159" s="1" t="n">
        <v>46046</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49871-2024</t>
        </is>
      </c>
      <c r="B160" s="1" t="n">
        <v>45597.4903125</v>
      </c>
      <c r="C160" s="1" t="n">
        <v>46046</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29325-2023</t>
        </is>
      </c>
      <c r="B161" s="1" t="n">
        <v>45105</v>
      </c>
      <c r="C161" s="1" t="n">
        <v>46046</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57089-2024</t>
        </is>
      </c>
      <c r="B162" s="1" t="n">
        <v>45629.35665509259</v>
      </c>
      <c r="C162" s="1" t="n">
        <v>46046</v>
      </c>
      <c r="D162" t="inlineStr">
        <is>
          <t>VÄSTERNORRLANDS LÄN</t>
        </is>
      </c>
      <c r="E162" t="inlineStr">
        <is>
          <t>ÅNGE</t>
        </is>
      </c>
      <c r="F162" t="inlineStr">
        <is>
          <t>SCA</t>
        </is>
      </c>
      <c r="G162" t="n">
        <v>1.5</v>
      </c>
      <c r="H162" t="n">
        <v>0</v>
      </c>
      <c r="I162" t="n">
        <v>0</v>
      </c>
      <c r="J162" t="n">
        <v>2</v>
      </c>
      <c r="K162" t="n">
        <v>0</v>
      </c>
      <c r="L162" t="n">
        <v>0</v>
      </c>
      <c r="M162" t="n">
        <v>0</v>
      </c>
      <c r="N162" t="n">
        <v>0</v>
      </c>
      <c r="O162" t="n">
        <v>2</v>
      </c>
      <c r="P162" t="n">
        <v>0</v>
      </c>
      <c r="Q162" t="n">
        <v>2</v>
      </c>
      <c r="R162" s="2" t="inlineStr">
        <is>
          <t>Lunglav
Ullticka</t>
        </is>
      </c>
      <c r="S162">
        <f>HYPERLINK("https://klasma.github.io/Logging_2260/artfynd/A 57089-2024 artfynd.xlsx", "A 57089-2024")</f>
        <v/>
      </c>
      <c r="T162">
        <f>HYPERLINK("https://klasma.github.io/Logging_2260/kartor/A 57089-2024 karta.png", "A 57089-2024")</f>
        <v/>
      </c>
      <c r="V162">
        <f>HYPERLINK("https://klasma.github.io/Logging_2260/klagomål/A 57089-2024 FSC-klagomål.docx", "A 57089-2024")</f>
        <v/>
      </c>
      <c r="W162">
        <f>HYPERLINK("https://klasma.github.io/Logging_2260/klagomålsmail/A 57089-2024 FSC-klagomål mail.docx", "A 57089-2024")</f>
        <v/>
      </c>
      <c r="X162">
        <f>HYPERLINK("https://klasma.github.io/Logging_2260/tillsyn/A 57089-2024 tillsynsbegäran.docx", "A 57089-2024")</f>
        <v/>
      </c>
      <c r="Y162">
        <f>HYPERLINK("https://klasma.github.io/Logging_2260/tillsynsmail/A 57089-2024 tillsynsbegäran mail.docx", "A 57089-2024")</f>
        <v/>
      </c>
    </row>
    <row r="163" ht="15" customHeight="1">
      <c r="A163" t="inlineStr">
        <is>
          <t>A 26020-2024</t>
        </is>
      </c>
      <c r="B163" s="1" t="n">
        <v>45467.9603125</v>
      </c>
      <c r="C163" s="1" t="n">
        <v>46046</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47719-2024</t>
        </is>
      </c>
      <c r="B164" s="1" t="n">
        <v>45588.48996527777</v>
      </c>
      <c r="C164" s="1" t="n">
        <v>46046</v>
      </c>
      <c r="D164" t="inlineStr">
        <is>
          <t>VÄSTERNORRLANDS LÄN</t>
        </is>
      </c>
      <c r="E164" t="inlineStr">
        <is>
          <t>ÅNGE</t>
        </is>
      </c>
      <c r="F164" t="inlineStr">
        <is>
          <t>SCA</t>
        </is>
      </c>
      <c r="G164" t="n">
        <v>1.4</v>
      </c>
      <c r="H164" t="n">
        <v>0</v>
      </c>
      <c r="I164" t="n">
        <v>0</v>
      </c>
      <c r="J164" t="n">
        <v>2</v>
      </c>
      <c r="K164" t="n">
        <v>0</v>
      </c>
      <c r="L164" t="n">
        <v>0</v>
      </c>
      <c r="M164" t="n">
        <v>0</v>
      </c>
      <c r="N164" t="n">
        <v>0</v>
      </c>
      <c r="O164" t="n">
        <v>2</v>
      </c>
      <c r="P164" t="n">
        <v>0</v>
      </c>
      <c r="Q164" t="n">
        <v>2</v>
      </c>
      <c r="R164" s="2" t="inlineStr">
        <is>
          <t>Dvärgbägarlav
Vedskivlav</t>
        </is>
      </c>
      <c r="S164">
        <f>HYPERLINK("https://klasma.github.io/Logging_2260/artfynd/A 47719-2024 artfynd.xlsx", "A 47719-2024")</f>
        <v/>
      </c>
      <c r="T164">
        <f>HYPERLINK("https://klasma.github.io/Logging_2260/kartor/A 47719-2024 karta.png", "A 47719-2024")</f>
        <v/>
      </c>
      <c r="V164">
        <f>HYPERLINK("https://klasma.github.io/Logging_2260/klagomål/A 47719-2024 FSC-klagomål.docx", "A 47719-2024")</f>
        <v/>
      </c>
      <c r="W164">
        <f>HYPERLINK("https://klasma.github.io/Logging_2260/klagomålsmail/A 47719-2024 FSC-klagomål mail.docx", "A 47719-2024")</f>
        <v/>
      </c>
      <c r="X164">
        <f>HYPERLINK("https://klasma.github.io/Logging_2260/tillsyn/A 47719-2024 tillsynsbegäran.docx", "A 47719-2024")</f>
        <v/>
      </c>
      <c r="Y164">
        <f>HYPERLINK("https://klasma.github.io/Logging_2260/tillsynsmail/A 47719-2024 tillsynsbegäran mail.docx", "A 47719-2024")</f>
        <v/>
      </c>
    </row>
    <row r="165" ht="15" customHeight="1">
      <c r="A165" t="inlineStr">
        <is>
          <t>A 36414-2025</t>
        </is>
      </c>
      <c r="B165" s="1" t="n">
        <v>45868.69246527777</v>
      </c>
      <c r="C165" s="1" t="n">
        <v>46046</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8324-2025</t>
        </is>
      </c>
      <c r="B166" s="1" t="n">
        <v>45708.63621527778</v>
      </c>
      <c r="C166" s="1" t="n">
        <v>46046</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37800-2025</t>
        </is>
      </c>
      <c r="B167" s="1" t="n">
        <v>45881.34420138889</v>
      </c>
      <c r="C167" s="1" t="n">
        <v>46046</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46046</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57594-2022</t>
        </is>
      </c>
      <c r="B169" s="1" t="n">
        <v>44896.97854166666</v>
      </c>
      <c r="C169" s="1" t="n">
        <v>46046</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4093-2025</t>
        </is>
      </c>
      <c r="B170" s="1" t="n">
        <v>45684.67762731481</v>
      </c>
      <c r="C170" s="1" t="n">
        <v>46046</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31493-2024</t>
        </is>
      </c>
      <c r="B171" s="1" t="n">
        <v>45505</v>
      </c>
      <c r="C171" s="1" t="n">
        <v>46046</v>
      </c>
      <c r="D171" t="inlineStr">
        <is>
          <t>VÄSTERNORRLANDS LÄN</t>
        </is>
      </c>
      <c r="E171" t="inlineStr">
        <is>
          <t>ÅNGE</t>
        </is>
      </c>
      <c r="F171" t="inlineStr">
        <is>
          <t>SCA</t>
        </is>
      </c>
      <c r="G171" t="n">
        <v>4.4</v>
      </c>
      <c r="H171" t="n">
        <v>1</v>
      </c>
      <c r="I171" t="n">
        <v>1</v>
      </c>
      <c r="J171" t="n">
        <v>0</v>
      </c>
      <c r="K171" t="n">
        <v>1</v>
      </c>
      <c r="L171" t="n">
        <v>0</v>
      </c>
      <c r="M171" t="n">
        <v>0</v>
      </c>
      <c r="N171" t="n">
        <v>0</v>
      </c>
      <c r="O171" t="n">
        <v>1</v>
      </c>
      <c r="P171" t="n">
        <v>1</v>
      </c>
      <c r="Q171" t="n">
        <v>2</v>
      </c>
      <c r="R171" s="2" t="inlineStr">
        <is>
          <t>Knärot
Korallblylav</t>
        </is>
      </c>
      <c r="S171">
        <f>HYPERLINK("https://klasma.github.io/Logging_2260/artfynd/A 31493-2024 artfynd.xlsx", "A 31493-2024")</f>
        <v/>
      </c>
      <c r="T171">
        <f>HYPERLINK("https://klasma.github.io/Logging_2260/kartor/A 31493-2024 karta.png", "A 31493-2024")</f>
        <v/>
      </c>
      <c r="U171">
        <f>HYPERLINK("https://klasma.github.io/Logging_2260/knärot/A 31493-2024 karta knärot.png", "A 31493-2024")</f>
        <v/>
      </c>
      <c r="V171">
        <f>HYPERLINK("https://klasma.github.io/Logging_2260/klagomål/A 31493-2024 FSC-klagomål.docx", "A 31493-2024")</f>
        <v/>
      </c>
      <c r="W171">
        <f>HYPERLINK("https://klasma.github.io/Logging_2260/klagomålsmail/A 31493-2024 FSC-klagomål mail.docx", "A 31493-2024")</f>
        <v/>
      </c>
      <c r="X171">
        <f>HYPERLINK("https://klasma.github.io/Logging_2260/tillsyn/A 31493-2024 tillsynsbegäran.docx", "A 31493-2024")</f>
        <v/>
      </c>
      <c r="Y171">
        <f>HYPERLINK("https://klasma.github.io/Logging_2260/tillsynsmail/A 31493-2024 tillsynsbegäran mail.docx", "A 31493-2024")</f>
        <v/>
      </c>
    </row>
    <row r="172" ht="15" customHeight="1">
      <c r="A172" t="inlineStr">
        <is>
          <t>A 42864-2025</t>
        </is>
      </c>
      <c r="B172" s="1" t="n">
        <v>45908</v>
      </c>
      <c r="C172" s="1" t="n">
        <v>46046</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Mörk kolflarnlav
Vedflamlav</t>
        </is>
      </c>
      <c r="S172">
        <f>HYPERLINK("https://klasma.github.io/Logging_2260/artfynd/A 42864-2025 artfynd.xlsx", "A 42864-2025")</f>
        <v/>
      </c>
      <c r="T172">
        <f>HYPERLINK("https://klasma.github.io/Logging_2260/kartor/A 42864-2025 karta.png", "A 42864-2025")</f>
        <v/>
      </c>
      <c r="V172">
        <f>HYPERLINK("https://klasma.github.io/Logging_2260/klagomål/A 42864-2025 FSC-klagomål.docx", "A 42864-2025")</f>
        <v/>
      </c>
      <c r="W172">
        <f>HYPERLINK("https://klasma.github.io/Logging_2260/klagomålsmail/A 42864-2025 FSC-klagomål mail.docx", "A 42864-2025")</f>
        <v/>
      </c>
      <c r="X172">
        <f>HYPERLINK("https://klasma.github.io/Logging_2260/tillsyn/A 42864-2025 tillsynsbegäran.docx", "A 42864-2025")</f>
        <v/>
      </c>
      <c r="Y172">
        <f>HYPERLINK("https://klasma.github.io/Logging_2260/tillsynsmail/A 42864-2025 tillsynsbegäran mail.docx", "A 42864-2025")</f>
        <v/>
      </c>
    </row>
    <row r="173" ht="15" customHeight="1">
      <c r="A173" t="inlineStr">
        <is>
          <t>A 43721-2025</t>
        </is>
      </c>
      <c r="B173" s="1" t="n">
        <v>45912.42800925926</v>
      </c>
      <c r="C173" s="1" t="n">
        <v>46046</v>
      </c>
      <c r="D173" t="inlineStr">
        <is>
          <t>VÄSTERNORRLANDS LÄN</t>
        </is>
      </c>
      <c r="E173" t="inlineStr">
        <is>
          <t>ÅNGE</t>
        </is>
      </c>
      <c r="F173" t="inlineStr">
        <is>
          <t>SCA</t>
        </is>
      </c>
      <c r="G173" t="n">
        <v>9.9</v>
      </c>
      <c r="H173" t="n">
        <v>1</v>
      </c>
      <c r="I173" t="n">
        <v>1</v>
      </c>
      <c r="J173" t="n">
        <v>0</v>
      </c>
      <c r="K173" t="n">
        <v>1</v>
      </c>
      <c r="L173" t="n">
        <v>0</v>
      </c>
      <c r="M173" t="n">
        <v>0</v>
      </c>
      <c r="N173" t="n">
        <v>0</v>
      </c>
      <c r="O173" t="n">
        <v>1</v>
      </c>
      <c r="P173" t="n">
        <v>1</v>
      </c>
      <c r="Q173" t="n">
        <v>2</v>
      </c>
      <c r="R173" s="2" t="inlineStr">
        <is>
          <t>Knärot
Svavelriska</t>
        </is>
      </c>
      <c r="S173">
        <f>HYPERLINK("https://klasma.github.io/Logging_2260/artfynd/A 43721-2025 artfynd.xlsx", "A 43721-2025")</f>
        <v/>
      </c>
      <c r="T173">
        <f>HYPERLINK("https://klasma.github.io/Logging_2260/kartor/A 43721-2025 karta.png", "A 43721-2025")</f>
        <v/>
      </c>
      <c r="U173">
        <f>HYPERLINK("https://klasma.github.io/Logging_2260/knärot/A 43721-2025 karta knärot.png", "A 43721-2025")</f>
        <v/>
      </c>
      <c r="V173">
        <f>HYPERLINK("https://klasma.github.io/Logging_2260/klagomål/A 43721-2025 FSC-klagomål.docx", "A 43721-2025")</f>
        <v/>
      </c>
      <c r="W173">
        <f>HYPERLINK("https://klasma.github.io/Logging_2260/klagomålsmail/A 43721-2025 FSC-klagomål mail.docx", "A 43721-2025")</f>
        <v/>
      </c>
      <c r="X173">
        <f>HYPERLINK("https://klasma.github.io/Logging_2260/tillsyn/A 43721-2025 tillsynsbegäran.docx", "A 43721-2025")</f>
        <v/>
      </c>
      <c r="Y173">
        <f>HYPERLINK("https://klasma.github.io/Logging_2260/tillsynsmail/A 43721-2025 tillsynsbegäran mail.docx", "A 43721-2025")</f>
        <v/>
      </c>
    </row>
    <row r="174" ht="15" customHeight="1">
      <c r="A174" t="inlineStr">
        <is>
          <t>A 165-2025</t>
        </is>
      </c>
      <c r="B174" s="1" t="n">
        <v>45659</v>
      </c>
      <c r="C174" s="1" t="n">
        <v>46046</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46046</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46046</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54625-2025</t>
        </is>
      </c>
      <c r="B177" s="1" t="n">
        <v>45966.34552083333</v>
      </c>
      <c r="C177" s="1" t="n">
        <v>46046</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20367-2022</t>
        </is>
      </c>
      <c r="B178" s="1" t="n">
        <v>44699</v>
      </c>
      <c r="C178" s="1" t="n">
        <v>46046</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46046</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46046</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46046</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46046</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46046</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25705-2024</t>
        </is>
      </c>
      <c r="B184" s="1" t="n">
        <v>45463.9428587963</v>
      </c>
      <c r="C184" s="1" t="n">
        <v>46046</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20192-2025</t>
        </is>
      </c>
      <c r="B185" s="1" t="n">
        <v>45772.60177083333</v>
      </c>
      <c r="C185" s="1" t="n">
        <v>46046</v>
      </c>
      <c r="D185" t="inlineStr">
        <is>
          <t>VÄSTERNORRLANDS LÄN</t>
        </is>
      </c>
      <c r="E185" t="inlineStr">
        <is>
          <t>ÅNGE</t>
        </is>
      </c>
      <c r="F185" t="inlineStr">
        <is>
          <t>Sveaskog</t>
        </is>
      </c>
      <c r="G185" t="n">
        <v>8.800000000000001</v>
      </c>
      <c r="H185" t="n">
        <v>1</v>
      </c>
      <c r="I185" t="n">
        <v>0</v>
      </c>
      <c r="J185" t="n">
        <v>0</v>
      </c>
      <c r="K185" t="n">
        <v>0</v>
      </c>
      <c r="L185" t="n">
        <v>0</v>
      </c>
      <c r="M185" t="n">
        <v>0</v>
      </c>
      <c r="N185" t="n">
        <v>0</v>
      </c>
      <c r="O185" t="n">
        <v>0</v>
      </c>
      <c r="P185" t="n">
        <v>0</v>
      </c>
      <c r="Q185" t="n">
        <v>1</v>
      </c>
      <c r="R185" s="2" t="inlineStr">
        <is>
          <t>Blåsippa</t>
        </is>
      </c>
      <c r="S185">
        <f>HYPERLINK("https://klasma.github.io/Logging_2260/artfynd/A 20192-2025 artfynd.xlsx", "A 20192-2025")</f>
        <v/>
      </c>
      <c r="T185">
        <f>HYPERLINK("https://klasma.github.io/Logging_2260/kartor/A 20192-2025 karta.png", "A 20192-2025")</f>
        <v/>
      </c>
      <c r="V185">
        <f>HYPERLINK("https://klasma.github.io/Logging_2260/klagomål/A 20192-2025 FSC-klagomål.docx", "A 20192-2025")</f>
        <v/>
      </c>
      <c r="W185">
        <f>HYPERLINK("https://klasma.github.io/Logging_2260/klagomålsmail/A 20192-2025 FSC-klagomål mail.docx", "A 20192-2025")</f>
        <v/>
      </c>
      <c r="X185">
        <f>HYPERLINK("https://klasma.github.io/Logging_2260/tillsyn/A 20192-2025 tillsynsbegäran.docx", "A 20192-2025")</f>
        <v/>
      </c>
      <c r="Y185">
        <f>HYPERLINK("https://klasma.github.io/Logging_2260/tillsynsmail/A 20192-2025 tillsynsbegäran mail.docx", "A 20192-2025")</f>
        <v/>
      </c>
    </row>
    <row r="186" ht="15" customHeight="1">
      <c r="A186" t="inlineStr">
        <is>
          <t>A 39638-2024</t>
        </is>
      </c>
      <c r="B186" s="1" t="n">
        <v>45552</v>
      </c>
      <c r="C186" s="1" t="n">
        <v>46046</v>
      </c>
      <c r="D186" t="inlineStr">
        <is>
          <t>VÄSTERNORRLANDS LÄN</t>
        </is>
      </c>
      <c r="E186" t="inlineStr">
        <is>
          <t>ÅNGE</t>
        </is>
      </c>
      <c r="G186" t="n">
        <v>3</v>
      </c>
      <c r="H186" t="n">
        <v>1</v>
      </c>
      <c r="I186" t="n">
        <v>0</v>
      </c>
      <c r="J186" t="n">
        <v>0</v>
      </c>
      <c r="K186" t="n">
        <v>0</v>
      </c>
      <c r="L186" t="n">
        <v>0</v>
      </c>
      <c r="M186" t="n">
        <v>0</v>
      </c>
      <c r="N186" t="n">
        <v>0</v>
      </c>
      <c r="O186" t="n">
        <v>0</v>
      </c>
      <c r="P186" t="n">
        <v>0</v>
      </c>
      <c r="Q186" t="n">
        <v>1</v>
      </c>
      <c r="R186" s="2" t="inlineStr">
        <is>
          <t>Tjäder</t>
        </is>
      </c>
      <c r="S186">
        <f>HYPERLINK("https://klasma.github.io/Logging_2260/artfynd/A 39638-2024 artfynd.xlsx", "A 39638-2024")</f>
        <v/>
      </c>
      <c r="T186">
        <f>HYPERLINK("https://klasma.github.io/Logging_2260/kartor/A 39638-2024 karta.png", "A 39638-2024")</f>
        <v/>
      </c>
      <c r="V186">
        <f>HYPERLINK("https://klasma.github.io/Logging_2260/klagomål/A 39638-2024 FSC-klagomål.docx", "A 39638-2024")</f>
        <v/>
      </c>
      <c r="W186">
        <f>HYPERLINK("https://klasma.github.io/Logging_2260/klagomålsmail/A 39638-2024 FSC-klagomål mail.docx", "A 39638-2024")</f>
        <v/>
      </c>
      <c r="X186">
        <f>HYPERLINK("https://klasma.github.io/Logging_2260/tillsyn/A 39638-2024 tillsynsbegäran.docx", "A 39638-2024")</f>
        <v/>
      </c>
      <c r="Y186">
        <f>HYPERLINK("https://klasma.github.io/Logging_2260/tillsynsmail/A 39638-2024 tillsynsbegäran mail.docx", "A 39638-2024")</f>
        <v/>
      </c>
      <c r="Z186">
        <f>HYPERLINK("https://klasma.github.io/Logging_2260/fåglar/A 39638-2024 prioriterade fågelarter.docx", "A 39638-2024")</f>
        <v/>
      </c>
    </row>
    <row r="187" ht="15" customHeight="1">
      <c r="A187" t="inlineStr">
        <is>
          <t>A 13934-2024</t>
        </is>
      </c>
      <c r="B187" s="1" t="n">
        <v>45391</v>
      </c>
      <c r="C187" s="1" t="n">
        <v>46046</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57272-2024</t>
        </is>
      </c>
      <c r="B188" s="1" t="n">
        <v>45629.57380787037</v>
      </c>
      <c r="C188" s="1" t="n">
        <v>46046</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71366-2021</t>
        </is>
      </c>
      <c r="B189" s="1" t="n">
        <v>44539</v>
      </c>
      <c r="C189" s="1" t="n">
        <v>46046</v>
      </c>
      <c r="D189" t="inlineStr">
        <is>
          <t>VÄSTERNORRLANDS LÄN</t>
        </is>
      </c>
      <c r="E189" t="inlineStr">
        <is>
          <t>ÅNGE</t>
        </is>
      </c>
      <c r="F189" t="inlineStr">
        <is>
          <t>SCA</t>
        </is>
      </c>
      <c r="G189" t="n">
        <v>2.3</v>
      </c>
      <c r="H189" t="n">
        <v>1</v>
      </c>
      <c r="I189" t="n">
        <v>0</v>
      </c>
      <c r="J189" t="n">
        <v>0</v>
      </c>
      <c r="K189" t="n">
        <v>1</v>
      </c>
      <c r="L189" t="n">
        <v>0</v>
      </c>
      <c r="M189" t="n">
        <v>0</v>
      </c>
      <c r="N189" t="n">
        <v>0</v>
      </c>
      <c r="O189" t="n">
        <v>1</v>
      </c>
      <c r="P189" t="n">
        <v>1</v>
      </c>
      <c r="Q189" t="n">
        <v>1</v>
      </c>
      <c r="R189" s="2" t="inlineStr">
        <is>
          <t>Knärot</t>
        </is>
      </c>
      <c r="S189">
        <f>HYPERLINK("https://klasma.github.io/Logging_2260/artfynd/A 71366-2021 artfynd.xlsx", "A 71366-2021")</f>
        <v/>
      </c>
      <c r="T189">
        <f>HYPERLINK("https://klasma.github.io/Logging_2260/kartor/A 71366-2021 karta.png", "A 71366-2021")</f>
        <v/>
      </c>
      <c r="U189">
        <f>HYPERLINK("https://klasma.github.io/Logging_2260/knärot/A 71366-2021 karta knärot.png", "A 71366-2021")</f>
        <v/>
      </c>
      <c r="V189">
        <f>HYPERLINK("https://klasma.github.io/Logging_2260/klagomål/A 71366-2021 FSC-klagomål.docx", "A 71366-2021")</f>
        <v/>
      </c>
      <c r="W189">
        <f>HYPERLINK("https://klasma.github.io/Logging_2260/klagomålsmail/A 71366-2021 FSC-klagomål mail.docx", "A 71366-2021")</f>
        <v/>
      </c>
      <c r="X189">
        <f>HYPERLINK("https://klasma.github.io/Logging_2260/tillsyn/A 71366-2021 tillsynsbegäran.docx", "A 71366-2021")</f>
        <v/>
      </c>
      <c r="Y189">
        <f>HYPERLINK("https://klasma.github.io/Logging_2260/tillsynsmail/A 71366-2021 tillsynsbegäran mail.docx", "A 71366-2021")</f>
        <v/>
      </c>
    </row>
    <row r="190" ht="15" customHeight="1">
      <c r="A190" t="inlineStr">
        <is>
          <t>A 32457-2024</t>
        </is>
      </c>
      <c r="B190" s="1" t="n">
        <v>45512</v>
      </c>
      <c r="C190" s="1" t="n">
        <v>46046</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Ullticka</t>
        </is>
      </c>
      <c r="S190">
        <f>HYPERLINK("https://klasma.github.io/Logging_2260/artfynd/A 32457-2024 artfynd.xlsx", "A 32457-2024")</f>
        <v/>
      </c>
      <c r="T190">
        <f>HYPERLINK("https://klasma.github.io/Logging_2260/kartor/A 32457-2024 karta.png", "A 32457-2024")</f>
        <v/>
      </c>
      <c r="V190">
        <f>HYPERLINK("https://klasma.github.io/Logging_2260/klagomål/A 32457-2024 FSC-klagomål.docx", "A 32457-2024")</f>
        <v/>
      </c>
      <c r="W190">
        <f>HYPERLINK("https://klasma.github.io/Logging_2260/klagomålsmail/A 32457-2024 FSC-klagomål mail.docx", "A 32457-2024")</f>
        <v/>
      </c>
      <c r="X190">
        <f>HYPERLINK("https://klasma.github.io/Logging_2260/tillsyn/A 32457-2024 tillsynsbegäran.docx", "A 32457-2024")</f>
        <v/>
      </c>
      <c r="Y190">
        <f>HYPERLINK("https://klasma.github.io/Logging_2260/tillsynsmail/A 32457-2024 tillsynsbegäran mail.docx", "A 32457-2024")</f>
        <v/>
      </c>
    </row>
    <row r="191" ht="15" customHeight="1">
      <c r="A191" t="inlineStr">
        <is>
          <t>A 30774-2024</t>
        </is>
      </c>
      <c r="B191" s="1" t="n">
        <v>45496.949375</v>
      </c>
      <c r="C191" s="1" t="n">
        <v>46046</v>
      </c>
      <c r="D191" t="inlineStr">
        <is>
          <t>VÄSTERNORRLANDS LÄN</t>
        </is>
      </c>
      <c r="E191" t="inlineStr">
        <is>
          <t>ÅNGE</t>
        </is>
      </c>
      <c r="F191" t="inlineStr">
        <is>
          <t>SCA</t>
        </is>
      </c>
      <c r="G191" t="n">
        <v>2.2</v>
      </c>
      <c r="H191" t="n">
        <v>1</v>
      </c>
      <c r="I191" t="n">
        <v>0</v>
      </c>
      <c r="J191" t="n">
        <v>0</v>
      </c>
      <c r="K191" t="n">
        <v>0</v>
      </c>
      <c r="L191" t="n">
        <v>0</v>
      </c>
      <c r="M191" t="n">
        <v>0</v>
      </c>
      <c r="N191" t="n">
        <v>0</v>
      </c>
      <c r="O191" t="n">
        <v>0</v>
      </c>
      <c r="P191" t="n">
        <v>0</v>
      </c>
      <c r="Q191" t="n">
        <v>1</v>
      </c>
      <c r="R191" s="2" t="inlineStr">
        <is>
          <t>Tjäder</t>
        </is>
      </c>
      <c r="S191">
        <f>HYPERLINK("https://klasma.github.io/Logging_2260/artfynd/A 30774-2024 artfynd.xlsx", "A 30774-2024")</f>
        <v/>
      </c>
      <c r="T191">
        <f>HYPERLINK("https://klasma.github.io/Logging_2260/kartor/A 30774-2024 karta.png", "A 30774-2024")</f>
        <v/>
      </c>
      <c r="V191">
        <f>HYPERLINK("https://klasma.github.io/Logging_2260/klagomål/A 30774-2024 FSC-klagomål.docx", "A 30774-2024")</f>
        <v/>
      </c>
      <c r="W191">
        <f>HYPERLINK("https://klasma.github.io/Logging_2260/klagomålsmail/A 30774-2024 FSC-klagomål mail.docx", "A 30774-2024")</f>
        <v/>
      </c>
      <c r="X191">
        <f>HYPERLINK("https://klasma.github.io/Logging_2260/tillsyn/A 30774-2024 tillsynsbegäran.docx", "A 30774-2024")</f>
        <v/>
      </c>
      <c r="Y191">
        <f>HYPERLINK("https://klasma.github.io/Logging_2260/tillsynsmail/A 30774-2024 tillsynsbegäran mail.docx", "A 30774-2024")</f>
        <v/>
      </c>
      <c r="Z191">
        <f>HYPERLINK("https://klasma.github.io/Logging_2260/fåglar/A 30774-2024 prioriterade fågelarter.docx", "A 30774-2024")</f>
        <v/>
      </c>
    </row>
    <row r="192" ht="15" customHeight="1">
      <c r="A192" t="inlineStr">
        <is>
          <t>A 1449-2025</t>
        </is>
      </c>
      <c r="B192" s="1" t="n">
        <v>45670.27537037037</v>
      </c>
      <c r="C192" s="1" t="n">
        <v>46046</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50651-2021</t>
        </is>
      </c>
      <c r="B193" s="1" t="n">
        <v>44459</v>
      </c>
      <c r="C193" s="1" t="n">
        <v>46046</v>
      </c>
      <c r="D193" t="inlineStr">
        <is>
          <t>VÄSTERNORRLANDS LÄN</t>
        </is>
      </c>
      <c r="E193" t="inlineStr">
        <is>
          <t>ÅNGE</t>
        </is>
      </c>
      <c r="G193" t="n">
        <v>20.6</v>
      </c>
      <c r="H193" t="n">
        <v>0</v>
      </c>
      <c r="I193" t="n">
        <v>0</v>
      </c>
      <c r="J193" t="n">
        <v>1</v>
      </c>
      <c r="K193" t="n">
        <v>0</v>
      </c>
      <c r="L193" t="n">
        <v>0</v>
      </c>
      <c r="M193" t="n">
        <v>0</v>
      </c>
      <c r="N193" t="n">
        <v>0</v>
      </c>
      <c r="O193" t="n">
        <v>1</v>
      </c>
      <c r="P193" t="n">
        <v>0</v>
      </c>
      <c r="Q193" t="n">
        <v>1</v>
      </c>
      <c r="R193" s="2" t="inlineStr">
        <is>
          <t>Garnlav</t>
        </is>
      </c>
      <c r="S193">
        <f>HYPERLINK("https://klasma.github.io/Logging_2260/artfynd/A 50651-2021 artfynd.xlsx", "A 50651-2021")</f>
        <v/>
      </c>
      <c r="T193">
        <f>HYPERLINK("https://klasma.github.io/Logging_2260/kartor/A 50651-2021 karta.png", "A 50651-2021")</f>
        <v/>
      </c>
      <c r="V193">
        <f>HYPERLINK("https://klasma.github.io/Logging_2260/klagomål/A 50651-2021 FSC-klagomål.docx", "A 50651-2021")</f>
        <v/>
      </c>
      <c r="W193">
        <f>HYPERLINK("https://klasma.github.io/Logging_2260/klagomålsmail/A 50651-2021 FSC-klagomål mail.docx", "A 50651-2021")</f>
        <v/>
      </c>
      <c r="X193">
        <f>HYPERLINK("https://klasma.github.io/Logging_2260/tillsyn/A 50651-2021 tillsynsbegäran.docx", "A 50651-2021")</f>
        <v/>
      </c>
      <c r="Y193">
        <f>HYPERLINK("https://klasma.github.io/Logging_2260/tillsynsmail/A 50651-2021 tillsynsbegäran mail.docx", "A 50651-2021")</f>
        <v/>
      </c>
    </row>
    <row r="194" ht="15" customHeight="1">
      <c r="A194" t="inlineStr">
        <is>
          <t>A 23490-2025</t>
        </is>
      </c>
      <c r="B194" s="1" t="n">
        <v>45792.46907407408</v>
      </c>
      <c r="C194" s="1" t="n">
        <v>46046</v>
      </c>
      <c r="D194" t="inlineStr">
        <is>
          <t>VÄSTERNORRLANDS LÄN</t>
        </is>
      </c>
      <c r="E194" t="inlineStr">
        <is>
          <t>ÅNGE</t>
        </is>
      </c>
      <c r="F194" t="inlineStr">
        <is>
          <t>SCA</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HYPERLINK("https://klasma.github.io/Logging_2260/artfynd/A 23490-2025 artfynd.xlsx", "A 23490-2025")</f>
        <v/>
      </c>
      <c r="T194">
        <f>HYPERLINK("https://klasma.github.io/Logging_2260/kartor/A 23490-2025 karta.png", "A 23490-2025")</f>
        <v/>
      </c>
      <c r="V194">
        <f>HYPERLINK("https://klasma.github.io/Logging_2260/klagomål/A 23490-2025 FSC-klagomål.docx", "A 23490-2025")</f>
        <v/>
      </c>
      <c r="W194">
        <f>HYPERLINK("https://klasma.github.io/Logging_2260/klagomålsmail/A 23490-2025 FSC-klagomål mail.docx", "A 23490-2025")</f>
        <v/>
      </c>
      <c r="X194">
        <f>HYPERLINK("https://klasma.github.io/Logging_2260/tillsyn/A 23490-2025 tillsynsbegäran.docx", "A 23490-2025")</f>
        <v/>
      </c>
      <c r="Y194">
        <f>HYPERLINK("https://klasma.github.io/Logging_2260/tillsynsmail/A 23490-2025 tillsynsbegäran mail.docx", "A 23490-2025")</f>
        <v/>
      </c>
    </row>
    <row r="195" ht="15" customHeight="1">
      <c r="A195" t="inlineStr">
        <is>
          <t>A 4351-2024</t>
        </is>
      </c>
      <c r="B195" s="1" t="n">
        <v>45324</v>
      </c>
      <c r="C195" s="1" t="n">
        <v>46046</v>
      </c>
      <c r="D195" t="inlineStr">
        <is>
          <t>VÄSTERNORRLANDS LÄN</t>
        </is>
      </c>
      <c r="E195" t="inlineStr">
        <is>
          <t>ÅNGE</t>
        </is>
      </c>
      <c r="F195" t="inlineStr">
        <is>
          <t>SCA</t>
        </is>
      </c>
      <c r="G195" t="n">
        <v>0.5</v>
      </c>
      <c r="H195" t="n">
        <v>0</v>
      </c>
      <c r="I195" t="n">
        <v>0</v>
      </c>
      <c r="J195" t="n">
        <v>1</v>
      </c>
      <c r="K195" t="n">
        <v>0</v>
      </c>
      <c r="L195" t="n">
        <v>0</v>
      </c>
      <c r="M195" t="n">
        <v>0</v>
      </c>
      <c r="N195" t="n">
        <v>0</v>
      </c>
      <c r="O195" t="n">
        <v>1</v>
      </c>
      <c r="P195" t="n">
        <v>0</v>
      </c>
      <c r="Q195" t="n">
        <v>1</v>
      </c>
      <c r="R195" s="2" t="inlineStr">
        <is>
          <t>Garnlav</t>
        </is>
      </c>
      <c r="S195">
        <f>HYPERLINK("https://klasma.github.io/Logging_2260/artfynd/A 4351-2024 artfynd.xlsx", "A 4351-2024")</f>
        <v/>
      </c>
      <c r="T195">
        <f>HYPERLINK("https://klasma.github.io/Logging_2260/kartor/A 4351-2024 karta.png", "A 4351-2024")</f>
        <v/>
      </c>
      <c r="V195">
        <f>HYPERLINK("https://klasma.github.io/Logging_2260/klagomål/A 4351-2024 FSC-klagomål.docx", "A 4351-2024")</f>
        <v/>
      </c>
      <c r="W195">
        <f>HYPERLINK("https://klasma.github.io/Logging_2260/klagomålsmail/A 4351-2024 FSC-klagomål mail.docx", "A 4351-2024")</f>
        <v/>
      </c>
      <c r="X195">
        <f>HYPERLINK("https://klasma.github.io/Logging_2260/tillsyn/A 4351-2024 tillsynsbegäran.docx", "A 4351-2024")</f>
        <v/>
      </c>
      <c r="Y195">
        <f>HYPERLINK("https://klasma.github.io/Logging_2260/tillsynsmail/A 4351-2024 tillsynsbegäran mail.docx", "A 4351-2024")</f>
        <v/>
      </c>
    </row>
    <row r="196" ht="15" customHeight="1">
      <c r="A196" t="inlineStr">
        <is>
          <t>A 39933-2022</t>
        </is>
      </c>
      <c r="B196" s="1" t="n">
        <v>44819</v>
      </c>
      <c r="C196" s="1" t="n">
        <v>46046</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40214-2024</t>
        </is>
      </c>
      <c r="B197" s="1" t="n">
        <v>45554.59460648148</v>
      </c>
      <c r="C197" s="1" t="n">
        <v>46046</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54386-2024</t>
        </is>
      </c>
      <c r="B198" s="1" t="n">
        <v>45617.44822916666</v>
      </c>
      <c r="C198" s="1" t="n">
        <v>46046</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38606-2024</t>
        </is>
      </c>
      <c r="B199" s="1" t="n">
        <v>45546.67804398148</v>
      </c>
      <c r="C199" s="1" t="n">
        <v>46046</v>
      </c>
      <c r="D199" t="inlineStr">
        <is>
          <t>VÄSTERNORRLANDS LÄN</t>
        </is>
      </c>
      <c r="E199" t="inlineStr">
        <is>
          <t>ÅNGE</t>
        </is>
      </c>
      <c r="F199" t="inlineStr">
        <is>
          <t>SCA</t>
        </is>
      </c>
      <c r="G199" t="n">
        <v>2.4</v>
      </c>
      <c r="H199" t="n">
        <v>0</v>
      </c>
      <c r="I199" t="n">
        <v>0</v>
      </c>
      <c r="J199" t="n">
        <v>1</v>
      </c>
      <c r="K199" t="n">
        <v>0</v>
      </c>
      <c r="L199" t="n">
        <v>0</v>
      </c>
      <c r="M199" t="n">
        <v>0</v>
      </c>
      <c r="N199" t="n">
        <v>0</v>
      </c>
      <c r="O199" t="n">
        <v>1</v>
      </c>
      <c r="P199" t="n">
        <v>0</v>
      </c>
      <c r="Q199" t="n">
        <v>1</v>
      </c>
      <c r="R199" s="2" t="inlineStr">
        <is>
          <t>Ullticka</t>
        </is>
      </c>
      <c r="S199">
        <f>HYPERLINK("https://klasma.github.io/Logging_2260/artfynd/A 38606-2024 artfynd.xlsx", "A 38606-2024")</f>
        <v/>
      </c>
      <c r="T199">
        <f>HYPERLINK("https://klasma.github.io/Logging_2260/kartor/A 38606-2024 karta.png", "A 38606-2024")</f>
        <v/>
      </c>
      <c r="V199">
        <f>HYPERLINK("https://klasma.github.io/Logging_2260/klagomål/A 38606-2024 FSC-klagomål.docx", "A 38606-2024")</f>
        <v/>
      </c>
      <c r="W199">
        <f>HYPERLINK("https://klasma.github.io/Logging_2260/klagomålsmail/A 38606-2024 FSC-klagomål mail.docx", "A 38606-2024")</f>
        <v/>
      </c>
      <c r="X199">
        <f>HYPERLINK("https://klasma.github.io/Logging_2260/tillsyn/A 38606-2024 tillsynsbegäran.docx", "A 38606-2024")</f>
        <v/>
      </c>
      <c r="Y199">
        <f>HYPERLINK("https://klasma.github.io/Logging_2260/tillsynsmail/A 38606-2024 tillsynsbegäran mail.docx", "A 38606-2024")</f>
        <v/>
      </c>
    </row>
    <row r="200" ht="15" customHeight="1">
      <c r="A200" t="inlineStr">
        <is>
          <t>A 52424-2023</t>
        </is>
      </c>
      <c r="B200" s="1" t="n">
        <v>45217</v>
      </c>
      <c r="C200" s="1" t="n">
        <v>46046</v>
      </c>
      <c r="D200" t="inlineStr">
        <is>
          <t>VÄSTERNORRLANDS LÄN</t>
        </is>
      </c>
      <c r="E200" t="inlineStr">
        <is>
          <t>ÅNGE</t>
        </is>
      </c>
      <c r="F200" t="inlineStr">
        <is>
          <t>SCA</t>
        </is>
      </c>
      <c r="G200" t="n">
        <v>3.8</v>
      </c>
      <c r="H200" t="n">
        <v>1</v>
      </c>
      <c r="I200" t="n">
        <v>0</v>
      </c>
      <c r="J200" t="n">
        <v>0</v>
      </c>
      <c r="K200" t="n">
        <v>0</v>
      </c>
      <c r="L200" t="n">
        <v>0</v>
      </c>
      <c r="M200" t="n">
        <v>0</v>
      </c>
      <c r="N200" t="n">
        <v>0</v>
      </c>
      <c r="O200" t="n">
        <v>0</v>
      </c>
      <c r="P200" t="n">
        <v>0</v>
      </c>
      <c r="Q200" t="n">
        <v>1</v>
      </c>
      <c r="R200" s="2" t="inlineStr">
        <is>
          <t>Revlummer</t>
        </is>
      </c>
      <c r="S200">
        <f>HYPERLINK("https://klasma.github.io/Logging_2260/artfynd/A 52424-2023 artfynd.xlsx", "A 52424-2023")</f>
        <v/>
      </c>
      <c r="T200">
        <f>HYPERLINK("https://klasma.github.io/Logging_2260/kartor/A 52424-2023 karta.png", "A 52424-2023")</f>
        <v/>
      </c>
      <c r="V200">
        <f>HYPERLINK("https://klasma.github.io/Logging_2260/klagomål/A 52424-2023 FSC-klagomål.docx", "A 52424-2023")</f>
        <v/>
      </c>
      <c r="W200">
        <f>HYPERLINK("https://klasma.github.io/Logging_2260/klagomålsmail/A 52424-2023 FSC-klagomål mail.docx", "A 52424-2023")</f>
        <v/>
      </c>
      <c r="X200">
        <f>HYPERLINK("https://klasma.github.io/Logging_2260/tillsyn/A 52424-2023 tillsynsbegäran.docx", "A 52424-2023")</f>
        <v/>
      </c>
      <c r="Y200">
        <f>HYPERLINK("https://klasma.github.io/Logging_2260/tillsynsmail/A 52424-2023 tillsynsbegäran mail.docx", "A 52424-2023")</f>
        <v/>
      </c>
    </row>
    <row r="201" ht="15" customHeight="1">
      <c r="A201" t="inlineStr">
        <is>
          <t>A 43171-2024</t>
        </is>
      </c>
      <c r="B201" s="1" t="n">
        <v>45567</v>
      </c>
      <c r="C201" s="1" t="n">
        <v>46046</v>
      </c>
      <c r="D201" t="inlineStr">
        <is>
          <t>VÄSTERNORRLANDS LÄN</t>
        </is>
      </c>
      <c r="E201" t="inlineStr">
        <is>
          <t>ÅNGE</t>
        </is>
      </c>
      <c r="F201" t="inlineStr">
        <is>
          <t>SCA</t>
        </is>
      </c>
      <c r="G201" t="n">
        <v>3.4</v>
      </c>
      <c r="H201" t="n">
        <v>0</v>
      </c>
      <c r="I201" t="n">
        <v>0</v>
      </c>
      <c r="J201" t="n">
        <v>1</v>
      </c>
      <c r="K201" t="n">
        <v>0</v>
      </c>
      <c r="L201" t="n">
        <v>0</v>
      </c>
      <c r="M201" t="n">
        <v>0</v>
      </c>
      <c r="N201" t="n">
        <v>0</v>
      </c>
      <c r="O201" t="n">
        <v>1</v>
      </c>
      <c r="P201" t="n">
        <v>0</v>
      </c>
      <c r="Q201" t="n">
        <v>1</v>
      </c>
      <c r="R201" s="2" t="inlineStr">
        <is>
          <t>Rosenticka</t>
        </is>
      </c>
      <c r="S201">
        <f>HYPERLINK("https://klasma.github.io/Logging_2260/artfynd/A 43171-2024 artfynd.xlsx", "A 43171-2024")</f>
        <v/>
      </c>
      <c r="T201">
        <f>HYPERLINK("https://klasma.github.io/Logging_2260/kartor/A 43171-2024 karta.png", "A 43171-2024")</f>
        <v/>
      </c>
      <c r="V201">
        <f>HYPERLINK("https://klasma.github.io/Logging_2260/klagomål/A 43171-2024 FSC-klagomål.docx", "A 43171-2024")</f>
        <v/>
      </c>
      <c r="W201">
        <f>HYPERLINK("https://klasma.github.io/Logging_2260/klagomålsmail/A 43171-2024 FSC-klagomål mail.docx", "A 43171-2024")</f>
        <v/>
      </c>
      <c r="X201">
        <f>HYPERLINK("https://klasma.github.io/Logging_2260/tillsyn/A 43171-2024 tillsynsbegäran.docx", "A 43171-2024")</f>
        <v/>
      </c>
      <c r="Y201">
        <f>HYPERLINK("https://klasma.github.io/Logging_2260/tillsynsmail/A 43171-2024 tillsynsbegäran mail.docx", "A 43171-2024")</f>
        <v/>
      </c>
    </row>
    <row r="202" ht="15" customHeight="1">
      <c r="A202" t="inlineStr">
        <is>
          <t>A 27025-2025</t>
        </is>
      </c>
      <c r="B202" s="1" t="n">
        <v>45811</v>
      </c>
      <c r="C202" s="1" t="n">
        <v>46046</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31544-2024</t>
        </is>
      </c>
      <c r="B203" s="1" t="n">
        <v>45505</v>
      </c>
      <c r="C203" s="1" t="n">
        <v>46046</v>
      </c>
      <c r="D203" t="inlineStr">
        <is>
          <t>VÄSTERNORRLANDS LÄN</t>
        </is>
      </c>
      <c r="E203" t="inlineStr">
        <is>
          <t>ÅNGE</t>
        </is>
      </c>
      <c r="F203" t="inlineStr">
        <is>
          <t>SCA</t>
        </is>
      </c>
      <c r="G203" t="n">
        <v>3.5</v>
      </c>
      <c r="H203" t="n">
        <v>0</v>
      </c>
      <c r="I203" t="n">
        <v>0</v>
      </c>
      <c r="J203" t="n">
        <v>1</v>
      </c>
      <c r="K203" t="n">
        <v>0</v>
      </c>
      <c r="L203" t="n">
        <v>0</v>
      </c>
      <c r="M203" t="n">
        <v>0</v>
      </c>
      <c r="N203" t="n">
        <v>0</v>
      </c>
      <c r="O203" t="n">
        <v>1</v>
      </c>
      <c r="P203" t="n">
        <v>0</v>
      </c>
      <c r="Q203" t="n">
        <v>1</v>
      </c>
      <c r="R203" s="2" t="inlineStr">
        <is>
          <t>Granticka</t>
        </is>
      </c>
      <c r="S203">
        <f>HYPERLINK("https://klasma.github.io/Logging_2260/artfynd/A 31544-2024 artfynd.xlsx", "A 31544-2024")</f>
        <v/>
      </c>
      <c r="T203">
        <f>HYPERLINK("https://klasma.github.io/Logging_2260/kartor/A 31544-2024 karta.png", "A 31544-2024")</f>
        <v/>
      </c>
      <c r="V203">
        <f>HYPERLINK("https://klasma.github.io/Logging_2260/klagomål/A 31544-2024 FSC-klagomål.docx", "A 31544-2024")</f>
        <v/>
      </c>
      <c r="W203">
        <f>HYPERLINK("https://klasma.github.io/Logging_2260/klagomålsmail/A 31544-2024 FSC-klagomål mail.docx", "A 31544-2024")</f>
        <v/>
      </c>
      <c r="X203">
        <f>HYPERLINK("https://klasma.github.io/Logging_2260/tillsyn/A 31544-2024 tillsynsbegäran.docx", "A 31544-2024")</f>
        <v/>
      </c>
      <c r="Y203">
        <f>HYPERLINK("https://klasma.github.io/Logging_2260/tillsynsmail/A 31544-2024 tillsynsbegäran mail.docx", "A 31544-2024")</f>
        <v/>
      </c>
    </row>
    <row r="204" ht="15" customHeight="1">
      <c r="A204" t="inlineStr">
        <is>
          <t>A 64510-2023</t>
        </is>
      </c>
      <c r="B204" s="1" t="n">
        <v>45281</v>
      </c>
      <c r="C204" s="1" t="n">
        <v>46046</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46046</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46046</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27308-2024</t>
        </is>
      </c>
      <c r="B207" s="1" t="n">
        <v>45471</v>
      </c>
      <c r="C207" s="1" t="n">
        <v>46046</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38603-2024</t>
        </is>
      </c>
      <c r="B208" s="1" t="n">
        <v>45546</v>
      </c>
      <c r="C208" s="1" t="n">
        <v>46046</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34696-2024</t>
        </is>
      </c>
      <c r="B209" s="1" t="n">
        <v>45526</v>
      </c>
      <c r="C209" s="1" t="n">
        <v>46046</v>
      </c>
      <c r="D209" t="inlineStr">
        <is>
          <t>VÄSTERNORRLANDS LÄN</t>
        </is>
      </c>
      <c r="E209" t="inlineStr">
        <is>
          <t>ÅNGE</t>
        </is>
      </c>
      <c r="G209" t="n">
        <v>3.6</v>
      </c>
      <c r="H209" t="n">
        <v>1</v>
      </c>
      <c r="I209" t="n">
        <v>0</v>
      </c>
      <c r="J209" t="n">
        <v>0</v>
      </c>
      <c r="K209" t="n">
        <v>0</v>
      </c>
      <c r="L209" t="n">
        <v>0</v>
      </c>
      <c r="M209" t="n">
        <v>0</v>
      </c>
      <c r="N209" t="n">
        <v>0</v>
      </c>
      <c r="O209" t="n">
        <v>0</v>
      </c>
      <c r="P209" t="n">
        <v>0</v>
      </c>
      <c r="Q209" t="n">
        <v>1</v>
      </c>
      <c r="R209" s="2" t="inlineStr">
        <is>
          <t>Revlummer</t>
        </is>
      </c>
      <c r="S209">
        <f>HYPERLINK("https://klasma.github.io/Logging_2260/artfynd/A 34696-2024 artfynd.xlsx", "A 34696-2024")</f>
        <v/>
      </c>
      <c r="T209">
        <f>HYPERLINK("https://klasma.github.io/Logging_2260/kartor/A 34696-2024 karta.png", "A 34696-2024")</f>
        <v/>
      </c>
      <c r="V209">
        <f>HYPERLINK("https://klasma.github.io/Logging_2260/klagomål/A 34696-2024 FSC-klagomål.docx", "A 34696-2024")</f>
        <v/>
      </c>
      <c r="W209">
        <f>HYPERLINK("https://klasma.github.io/Logging_2260/klagomålsmail/A 34696-2024 FSC-klagomål mail.docx", "A 34696-2024")</f>
        <v/>
      </c>
      <c r="X209">
        <f>HYPERLINK("https://klasma.github.io/Logging_2260/tillsyn/A 34696-2024 tillsynsbegäran.docx", "A 34696-2024")</f>
        <v/>
      </c>
      <c r="Y209">
        <f>HYPERLINK("https://klasma.github.io/Logging_2260/tillsynsmail/A 34696-2024 tillsynsbegäran mail.docx", "A 34696-2024")</f>
        <v/>
      </c>
    </row>
    <row r="210" ht="15" customHeight="1">
      <c r="A210" t="inlineStr">
        <is>
          <t>A 35648-2025</t>
        </is>
      </c>
      <c r="B210" s="1" t="n">
        <v>45859.51670138889</v>
      </c>
      <c r="C210" s="1" t="n">
        <v>46046</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46046</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29327-2023</t>
        </is>
      </c>
      <c r="B212" s="1" t="n">
        <v>45105.94349537037</v>
      </c>
      <c r="C212" s="1" t="n">
        <v>46046</v>
      </c>
      <c r="D212" t="inlineStr">
        <is>
          <t>VÄSTERNORRLANDS LÄN</t>
        </is>
      </c>
      <c r="E212" t="inlineStr">
        <is>
          <t>ÅNGE</t>
        </is>
      </c>
      <c r="G212" t="n">
        <v>7.8</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29327-2023 artfynd.xlsx", "A 29327-2023")</f>
        <v/>
      </c>
      <c r="T212">
        <f>HYPERLINK("https://klasma.github.io/Logging_2260/kartor/A 29327-2023 karta.png", "A 29327-2023")</f>
        <v/>
      </c>
      <c r="V212">
        <f>HYPERLINK("https://klasma.github.io/Logging_2260/klagomål/A 29327-2023 FSC-klagomål.docx", "A 29327-2023")</f>
        <v/>
      </c>
      <c r="W212">
        <f>HYPERLINK("https://klasma.github.io/Logging_2260/klagomålsmail/A 29327-2023 FSC-klagomål mail.docx", "A 29327-2023")</f>
        <v/>
      </c>
      <c r="X212">
        <f>HYPERLINK("https://klasma.github.io/Logging_2260/tillsyn/A 29327-2023 tillsynsbegäran.docx", "A 29327-2023")</f>
        <v/>
      </c>
      <c r="Y212">
        <f>HYPERLINK("https://klasma.github.io/Logging_2260/tillsynsmail/A 29327-2023 tillsynsbegäran mail.docx", "A 29327-2023")</f>
        <v/>
      </c>
    </row>
    <row r="213" ht="15" customHeight="1">
      <c r="A213" t="inlineStr">
        <is>
          <t>A 31878-2024</t>
        </is>
      </c>
      <c r="B213" s="1" t="n">
        <v>45509</v>
      </c>
      <c r="C213" s="1" t="n">
        <v>46046</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56091-2024</t>
        </is>
      </c>
      <c r="B214" s="1" t="n">
        <v>45624.40678240741</v>
      </c>
      <c r="C214" s="1" t="n">
        <v>46046</v>
      </c>
      <c r="D214" t="inlineStr">
        <is>
          <t>VÄSTERNORRLANDS LÄN</t>
        </is>
      </c>
      <c r="E214" t="inlineStr">
        <is>
          <t>ÅNGE</t>
        </is>
      </c>
      <c r="F214" t="inlineStr">
        <is>
          <t>SCA</t>
        </is>
      </c>
      <c r="G214" t="n">
        <v>2.5</v>
      </c>
      <c r="H214" t="n">
        <v>0</v>
      </c>
      <c r="I214" t="n">
        <v>0</v>
      </c>
      <c r="J214" t="n">
        <v>1</v>
      </c>
      <c r="K214" t="n">
        <v>0</v>
      </c>
      <c r="L214" t="n">
        <v>0</v>
      </c>
      <c r="M214" t="n">
        <v>0</v>
      </c>
      <c r="N214" t="n">
        <v>0</v>
      </c>
      <c r="O214" t="n">
        <v>1</v>
      </c>
      <c r="P214" t="n">
        <v>0</v>
      </c>
      <c r="Q214" t="n">
        <v>1</v>
      </c>
      <c r="R214" s="2" t="inlineStr">
        <is>
          <t>Mörk kolflarnlav</t>
        </is>
      </c>
      <c r="S214">
        <f>HYPERLINK("https://klasma.github.io/Logging_2260/artfynd/A 56091-2024 artfynd.xlsx", "A 56091-2024")</f>
        <v/>
      </c>
      <c r="T214">
        <f>HYPERLINK("https://klasma.github.io/Logging_2260/kartor/A 56091-2024 karta.png", "A 56091-2024")</f>
        <v/>
      </c>
      <c r="V214">
        <f>HYPERLINK("https://klasma.github.io/Logging_2260/klagomål/A 56091-2024 FSC-klagomål.docx", "A 56091-2024")</f>
        <v/>
      </c>
      <c r="W214">
        <f>HYPERLINK("https://klasma.github.io/Logging_2260/klagomålsmail/A 56091-2024 FSC-klagomål mail.docx", "A 56091-2024")</f>
        <v/>
      </c>
      <c r="X214">
        <f>HYPERLINK("https://klasma.github.io/Logging_2260/tillsyn/A 56091-2024 tillsynsbegäran.docx", "A 56091-2024")</f>
        <v/>
      </c>
      <c r="Y214">
        <f>HYPERLINK("https://klasma.github.io/Logging_2260/tillsynsmail/A 56091-2024 tillsynsbegäran mail.docx", "A 56091-2024")</f>
        <v/>
      </c>
    </row>
    <row r="215" ht="15" customHeight="1">
      <c r="A215" t="inlineStr">
        <is>
          <t>A 37432-2025</t>
        </is>
      </c>
      <c r="B215" s="1" t="n">
        <v>45877.51106481482</v>
      </c>
      <c r="C215" s="1" t="n">
        <v>46046</v>
      </c>
      <c r="D215" t="inlineStr">
        <is>
          <t>VÄSTERNORRLANDS LÄN</t>
        </is>
      </c>
      <c r="E215" t="inlineStr">
        <is>
          <t>ÅNGE</t>
        </is>
      </c>
      <c r="F215" t="inlineStr">
        <is>
          <t>SCA</t>
        </is>
      </c>
      <c r="G215" t="n">
        <v>1.2</v>
      </c>
      <c r="H215" t="n">
        <v>1</v>
      </c>
      <c r="I215" t="n">
        <v>1</v>
      </c>
      <c r="J215" t="n">
        <v>0</v>
      </c>
      <c r="K215" t="n">
        <v>0</v>
      </c>
      <c r="L215" t="n">
        <v>0</v>
      </c>
      <c r="M215" t="n">
        <v>0</v>
      </c>
      <c r="N215" t="n">
        <v>0</v>
      </c>
      <c r="O215" t="n">
        <v>0</v>
      </c>
      <c r="P215" t="n">
        <v>0</v>
      </c>
      <c r="Q215" t="n">
        <v>1</v>
      </c>
      <c r="R215" s="2" t="inlineStr">
        <is>
          <t>Spindelblomster</t>
        </is>
      </c>
      <c r="S215">
        <f>HYPERLINK("https://klasma.github.io/Logging_2260/artfynd/A 37432-2025 artfynd.xlsx", "A 37432-2025")</f>
        <v/>
      </c>
      <c r="T215">
        <f>HYPERLINK("https://klasma.github.io/Logging_2260/kartor/A 37432-2025 karta.png", "A 37432-2025")</f>
        <v/>
      </c>
      <c r="V215">
        <f>HYPERLINK("https://klasma.github.io/Logging_2260/klagomål/A 37432-2025 FSC-klagomål.docx", "A 37432-2025")</f>
        <v/>
      </c>
      <c r="W215">
        <f>HYPERLINK("https://klasma.github.io/Logging_2260/klagomålsmail/A 37432-2025 FSC-klagomål mail.docx", "A 37432-2025")</f>
        <v/>
      </c>
      <c r="X215">
        <f>HYPERLINK("https://klasma.github.io/Logging_2260/tillsyn/A 37432-2025 tillsynsbegäran.docx", "A 37432-2025")</f>
        <v/>
      </c>
      <c r="Y215">
        <f>HYPERLINK("https://klasma.github.io/Logging_2260/tillsynsmail/A 37432-2025 tillsynsbegäran mail.docx", "A 37432-2025")</f>
        <v/>
      </c>
    </row>
    <row r="216" ht="15" customHeight="1">
      <c r="A216" t="inlineStr">
        <is>
          <t>A 55015-2023</t>
        </is>
      </c>
      <c r="B216" s="1" t="n">
        <v>45237.32185185186</v>
      </c>
      <c r="C216" s="1" t="n">
        <v>46046</v>
      </c>
      <c r="D216" t="inlineStr">
        <is>
          <t>VÄSTERNORRLANDS LÄN</t>
        </is>
      </c>
      <c r="E216" t="inlineStr">
        <is>
          <t>ÅNGE</t>
        </is>
      </c>
      <c r="F216" t="inlineStr">
        <is>
          <t>Sveaskog</t>
        </is>
      </c>
      <c r="G216" t="n">
        <v>2.7</v>
      </c>
      <c r="H216" t="n">
        <v>0</v>
      </c>
      <c r="I216" t="n">
        <v>0</v>
      </c>
      <c r="J216" t="n">
        <v>1</v>
      </c>
      <c r="K216" t="n">
        <v>0</v>
      </c>
      <c r="L216" t="n">
        <v>0</v>
      </c>
      <c r="M216" t="n">
        <v>0</v>
      </c>
      <c r="N216" t="n">
        <v>0</v>
      </c>
      <c r="O216" t="n">
        <v>1</v>
      </c>
      <c r="P216" t="n">
        <v>0</v>
      </c>
      <c r="Q216" t="n">
        <v>1</v>
      </c>
      <c r="R216" s="2" t="inlineStr">
        <is>
          <t>Lunglav</t>
        </is>
      </c>
      <c r="S216">
        <f>HYPERLINK("https://klasma.github.io/Logging_2260/artfynd/A 55015-2023 artfynd.xlsx", "A 55015-2023")</f>
        <v/>
      </c>
      <c r="T216">
        <f>HYPERLINK("https://klasma.github.io/Logging_2260/kartor/A 55015-2023 karta.png", "A 55015-2023")</f>
        <v/>
      </c>
      <c r="V216">
        <f>HYPERLINK("https://klasma.github.io/Logging_2260/klagomål/A 55015-2023 FSC-klagomål.docx", "A 55015-2023")</f>
        <v/>
      </c>
      <c r="W216">
        <f>HYPERLINK("https://klasma.github.io/Logging_2260/klagomålsmail/A 55015-2023 FSC-klagomål mail.docx", "A 55015-2023")</f>
        <v/>
      </c>
      <c r="X216">
        <f>HYPERLINK("https://klasma.github.io/Logging_2260/tillsyn/A 55015-2023 tillsynsbegäran.docx", "A 55015-2023")</f>
        <v/>
      </c>
      <c r="Y216">
        <f>HYPERLINK("https://klasma.github.io/Logging_2260/tillsynsmail/A 55015-2023 tillsynsbegäran mail.docx", "A 55015-2023")</f>
        <v/>
      </c>
    </row>
    <row r="217" ht="15" customHeight="1">
      <c r="A217" t="inlineStr">
        <is>
          <t>A 41493-2021</t>
        </is>
      </c>
      <c r="B217" s="1" t="n">
        <v>44424</v>
      </c>
      <c r="C217" s="1" t="n">
        <v>46046</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31510-2024</t>
        </is>
      </c>
      <c r="B218" s="1" t="n">
        <v>45505</v>
      </c>
      <c r="C218" s="1" t="n">
        <v>46046</v>
      </c>
      <c r="D218" t="inlineStr">
        <is>
          <t>VÄSTERNORRLANDS LÄN</t>
        </is>
      </c>
      <c r="E218" t="inlineStr">
        <is>
          <t>ÅNGE</t>
        </is>
      </c>
      <c r="F218" t="inlineStr">
        <is>
          <t>SCA</t>
        </is>
      </c>
      <c r="G218" t="n">
        <v>6</v>
      </c>
      <c r="H218" t="n">
        <v>1</v>
      </c>
      <c r="I218" t="n">
        <v>0</v>
      </c>
      <c r="J218" t="n">
        <v>0</v>
      </c>
      <c r="K218" t="n">
        <v>1</v>
      </c>
      <c r="L218" t="n">
        <v>0</v>
      </c>
      <c r="M218" t="n">
        <v>0</v>
      </c>
      <c r="N218" t="n">
        <v>0</v>
      </c>
      <c r="O218" t="n">
        <v>1</v>
      </c>
      <c r="P218" t="n">
        <v>1</v>
      </c>
      <c r="Q218" t="n">
        <v>1</v>
      </c>
      <c r="R218" s="2" t="inlineStr">
        <is>
          <t>Doftticka</t>
        </is>
      </c>
      <c r="S218">
        <f>HYPERLINK("https://klasma.github.io/Logging_2260/artfynd/A 31510-2024 artfynd.xlsx", "A 31510-2024")</f>
        <v/>
      </c>
      <c r="T218">
        <f>HYPERLINK("https://klasma.github.io/Logging_2260/kartor/A 31510-2024 karta.png", "A 31510-2024")</f>
        <v/>
      </c>
      <c r="V218">
        <f>HYPERLINK("https://klasma.github.io/Logging_2260/klagomål/A 31510-2024 FSC-klagomål.docx", "A 31510-2024")</f>
        <v/>
      </c>
      <c r="W218">
        <f>HYPERLINK("https://klasma.github.io/Logging_2260/klagomålsmail/A 31510-2024 FSC-klagomål mail.docx", "A 31510-2024")</f>
        <v/>
      </c>
      <c r="X218">
        <f>HYPERLINK("https://klasma.github.io/Logging_2260/tillsyn/A 31510-2024 tillsynsbegäran.docx", "A 31510-2024")</f>
        <v/>
      </c>
      <c r="Y218">
        <f>HYPERLINK("https://klasma.github.io/Logging_2260/tillsynsmail/A 31510-2024 tillsynsbegäran mail.docx", "A 31510-2024")</f>
        <v/>
      </c>
    </row>
    <row r="219" ht="15" customHeight="1">
      <c r="A219" t="inlineStr">
        <is>
          <t>A 37914-2024</t>
        </is>
      </c>
      <c r="B219" s="1" t="n">
        <v>45544</v>
      </c>
      <c r="C219" s="1" t="n">
        <v>46046</v>
      </c>
      <c r="D219" t="inlineStr">
        <is>
          <t>VÄSTERNORRLANDS LÄN</t>
        </is>
      </c>
      <c r="E219" t="inlineStr">
        <is>
          <t>ÅNGE</t>
        </is>
      </c>
      <c r="F219" t="inlineStr">
        <is>
          <t>SCA</t>
        </is>
      </c>
      <c r="G219" t="n">
        <v>9</v>
      </c>
      <c r="H219" t="n">
        <v>0</v>
      </c>
      <c r="I219" t="n">
        <v>0</v>
      </c>
      <c r="J219" t="n">
        <v>1</v>
      </c>
      <c r="K219" t="n">
        <v>0</v>
      </c>
      <c r="L219" t="n">
        <v>0</v>
      </c>
      <c r="M219" t="n">
        <v>0</v>
      </c>
      <c r="N219" t="n">
        <v>0</v>
      </c>
      <c r="O219" t="n">
        <v>1</v>
      </c>
      <c r="P219" t="n">
        <v>0</v>
      </c>
      <c r="Q219" t="n">
        <v>1</v>
      </c>
      <c r="R219" s="2" t="inlineStr">
        <is>
          <t>Granticka</t>
        </is>
      </c>
      <c r="S219">
        <f>HYPERLINK("https://klasma.github.io/Logging_2260/artfynd/A 37914-2024 artfynd.xlsx", "A 37914-2024")</f>
        <v/>
      </c>
      <c r="T219">
        <f>HYPERLINK("https://klasma.github.io/Logging_2260/kartor/A 37914-2024 karta.png", "A 37914-2024")</f>
        <v/>
      </c>
      <c r="V219">
        <f>HYPERLINK("https://klasma.github.io/Logging_2260/klagomål/A 37914-2024 FSC-klagomål.docx", "A 37914-2024")</f>
        <v/>
      </c>
      <c r="W219">
        <f>HYPERLINK("https://klasma.github.io/Logging_2260/klagomålsmail/A 37914-2024 FSC-klagomål mail.docx", "A 37914-2024")</f>
        <v/>
      </c>
      <c r="X219">
        <f>HYPERLINK("https://klasma.github.io/Logging_2260/tillsyn/A 37914-2024 tillsynsbegäran.docx", "A 37914-2024")</f>
        <v/>
      </c>
      <c r="Y219">
        <f>HYPERLINK("https://klasma.github.io/Logging_2260/tillsynsmail/A 37914-2024 tillsynsbegäran mail.docx", "A 37914-2024")</f>
        <v/>
      </c>
    </row>
    <row r="220" ht="15" customHeight="1">
      <c r="A220" t="inlineStr">
        <is>
          <t>A 42524-2025</t>
        </is>
      </c>
      <c r="B220" s="1" t="n">
        <v>45905.55262731481</v>
      </c>
      <c r="C220" s="1" t="n">
        <v>46046</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HYPERLINK("https://klasma.github.io/Logging_2260/artfynd/A 42524-2025 artfynd.xlsx", "A 42524-2025")</f>
        <v/>
      </c>
      <c r="T220">
        <f>HYPERLINK("https://klasma.github.io/Logging_2260/kartor/A 42524-2025 karta.png", "A 42524-2025")</f>
        <v/>
      </c>
      <c r="V220">
        <f>HYPERLINK("https://klasma.github.io/Logging_2260/klagomål/A 42524-2025 FSC-klagomål.docx", "A 42524-2025")</f>
        <v/>
      </c>
      <c r="W220">
        <f>HYPERLINK("https://klasma.github.io/Logging_2260/klagomålsmail/A 42524-2025 FSC-klagomål mail.docx", "A 42524-2025")</f>
        <v/>
      </c>
      <c r="X220">
        <f>HYPERLINK("https://klasma.github.io/Logging_2260/tillsyn/A 42524-2025 tillsynsbegäran.docx", "A 42524-2025")</f>
        <v/>
      </c>
      <c r="Y220">
        <f>HYPERLINK("https://klasma.github.io/Logging_2260/tillsynsmail/A 42524-2025 tillsynsbegäran mail.docx", "A 42524-2025")</f>
        <v/>
      </c>
    </row>
    <row r="221" ht="15" customHeight="1">
      <c r="A221" t="inlineStr">
        <is>
          <t>A 43590-2025</t>
        </is>
      </c>
      <c r="B221" s="1" t="n">
        <v>45911.65665509259</v>
      </c>
      <c r="C221" s="1" t="n">
        <v>46046</v>
      </c>
      <c r="D221" t="inlineStr">
        <is>
          <t>VÄSTERNORRLANDS LÄN</t>
        </is>
      </c>
      <c r="E221" t="inlineStr">
        <is>
          <t>ÅNGE</t>
        </is>
      </c>
      <c r="F221" t="inlineStr">
        <is>
          <t>SCA</t>
        </is>
      </c>
      <c r="G221" t="n">
        <v>2.9</v>
      </c>
      <c r="H221" t="n">
        <v>0</v>
      </c>
      <c r="I221" t="n">
        <v>0</v>
      </c>
      <c r="J221" t="n">
        <v>1</v>
      </c>
      <c r="K221" t="n">
        <v>0</v>
      </c>
      <c r="L221" t="n">
        <v>0</v>
      </c>
      <c r="M221" t="n">
        <v>0</v>
      </c>
      <c r="N221" t="n">
        <v>0</v>
      </c>
      <c r="O221" t="n">
        <v>1</v>
      </c>
      <c r="P221" t="n">
        <v>0</v>
      </c>
      <c r="Q221" t="n">
        <v>1</v>
      </c>
      <c r="R221" s="2" t="inlineStr">
        <is>
          <t>Granticka</t>
        </is>
      </c>
      <c r="S221">
        <f>HYPERLINK("https://klasma.github.io/Logging_2260/artfynd/A 43590-2025 artfynd.xlsx", "A 43590-2025")</f>
        <v/>
      </c>
      <c r="T221">
        <f>HYPERLINK("https://klasma.github.io/Logging_2260/kartor/A 43590-2025 karta.png", "A 43590-2025")</f>
        <v/>
      </c>
      <c r="V221">
        <f>HYPERLINK("https://klasma.github.io/Logging_2260/klagomål/A 43590-2025 FSC-klagomål.docx", "A 43590-2025")</f>
        <v/>
      </c>
      <c r="W221">
        <f>HYPERLINK("https://klasma.github.io/Logging_2260/klagomålsmail/A 43590-2025 FSC-klagomål mail.docx", "A 43590-2025")</f>
        <v/>
      </c>
      <c r="X221">
        <f>HYPERLINK("https://klasma.github.io/Logging_2260/tillsyn/A 43590-2025 tillsynsbegäran.docx", "A 43590-2025")</f>
        <v/>
      </c>
      <c r="Y221">
        <f>HYPERLINK("https://klasma.github.io/Logging_2260/tillsynsmail/A 43590-2025 tillsynsbegäran mail.docx", "A 43590-2025")</f>
        <v/>
      </c>
    </row>
    <row r="222" ht="15" customHeight="1">
      <c r="A222" t="inlineStr">
        <is>
          <t>A 54751-2021</t>
        </is>
      </c>
      <c r="B222" s="1" t="n">
        <v>44473</v>
      </c>
      <c r="C222" s="1" t="n">
        <v>46046</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39180-2024</t>
        </is>
      </c>
      <c r="B223" s="1" t="n">
        <v>45548.6571412037</v>
      </c>
      <c r="C223" s="1" t="n">
        <v>46046</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46094-2025</t>
        </is>
      </c>
      <c r="B224" s="1" t="n">
        <v>45924</v>
      </c>
      <c r="C224" s="1" t="n">
        <v>46046</v>
      </c>
      <c r="D224" t="inlineStr">
        <is>
          <t>VÄSTERNORRLANDS LÄN</t>
        </is>
      </c>
      <c r="E224" t="inlineStr">
        <is>
          <t>ÅNGE</t>
        </is>
      </c>
      <c r="F224" t="inlineStr">
        <is>
          <t>SCA</t>
        </is>
      </c>
      <c r="G224" t="n">
        <v>1.1</v>
      </c>
      <c r="H224" t="n">
        <v>1</v>
      </c>
      <c r="I224" t="n">
        <v>0</v>
      </c>
      <c r="J224" t="n">
        <v>1</v>
      </c>
      <c r="K224" t="n">
        <v>0</v>
      </c>
      <c r="L224" t="n">
        <v>0</v>
      </c>
      <c r="M224" t="n">
        <v>0</v>
      </c>
      <c r="N224" t="n">
        <v>0</v>
      </c>
      <c r="O224" t="n">
        <v>1</v>
      </c>
      <c r="P224" t="n">
        <v>0</v>
      </c>
      <c r="Q224" t="n">
        <v>1</v>
      </c>
      <c r="R224" s="2" t="inlineStr">
        <is>
          <t>Utter</t>
        </is>
      </c>
      <c r="S224">
        <f>HYPERLINK("https://klasma.github.io/Logging_2260/artfynd/A 46094-2025 artfynd.xlsx", "A 46094-2025")</f>
        <v/>
      </c>
      <c r="T224">
        <f>HYPERLINK("https://klasma.github.io/Logging_2260/kartor/A 46094-2025 karta.png", "A 46094-2025")</f>
        <v/>
      </c>
      <c r="V224">
        <f>HYPERLINK("https://klasma.github.io/Logging_2260/klagomål/A 46094-2025 FSC-klagomål.docx", "A 46094-2025")</f>
        <v/>
      </c>
      <c r="W224">
        <f>HYPERLINK("https://klasma.github.io/Logging_2260/klagomålsmail/A 46094-2025 FSC-klagomål mail.docx", "A 46094-2025")</f>
        <v/>
      </c>
      <c r="X224">
        <f>HYPERLINK("https://klasma.github.io/Logging_2260/tillsyn/A 46094-2025 tillsynsbegäran.docx", "A 46094-2025")</f>
        <v/>
      </c>
      <c r="Y224">
        <f>HYPERLINK("https://klasma.github.io/Logging_2260/tillsynsmail/A 46094-2025 tillsynsbegäran mail.docx", "A 46094-2025")</f>
        <v/>
      </c>
    </row>
    <row r="225" ht="15" customHeight="1">
      <c r="A225" t="inlineStr">
        <is>
          <t>A 47857-2025</t>
        </is>
      </c>
      <c r="B225" s="1" t="n">
        <v>45932.4068287037</v>
      </c>
      <c r="C225" s="1" t="n">
        <v>46046</v>
      </c>
      <c r="D225" t="inlineStr">
        <is>
          <t>VÄSTERNORRLANDS LÄN</t>
        </is>
      </c>
      <c r="E225" t="inlineStr">
        <is>
          <t>ÅNGE</t>
        </is>
      </c>
      <c r="G225" t="n">
        <v>2.5</v>
      </c>
      <c r="H225" t="n">
        <v>1</v>
      </c>
      <c r="I225" t="n">
        <v>0</v>
      </c>
      <c r="J225" t="n">
        <v>1</v>
      </c>
      <c r="K225" t="n">
        <v>0</v>
      </c>
      <c r="L225" t="n">
        <v>0</v>
      </c>
      <c r="M225" t="n">
        <v>0</v>
      </c>
      <c r="N225" t="n">
        <v>0</v>
      </c>
      <c r="O225" t="n">
        <v>1</v>
      </c>
      <c r="P225" t="n">
        <v>0</v>
      </c>
      <c r="Q225" t="n">
        <v>1</v>
      </c>
      <c r="R225" s="2" t="inlineStr">
        <is>
          <t>Kungsörn</t>
        </is>
      </c>
      <c r="S225">
        <f>HYPERLINK("https://klasma.github.io/Logging_2260/artfynd/A 47857-2025 artfynd.xlsx", "A 47857-2025")</f>
        <v/>
      </c>
      <c r="T225">
        <f>HYPERLINK("https://klasma.github.io/Logging_2260/kartor/A 47857-2025 karta.png", "A 47857-2025")</f>
        <v/>
      </c>
      <c r="V225">
        <f>HYPERLINK("https://klasma.github.io/Logging_2260/klagomål/A 47857-2025 FSC-klagomål.docx", "A 47857-2025")</f>
        <v/>
      </c>
      <c r="W225">
        <f>HYPERLINK("https://klasma.github.io/Logging_2260/klagomålsmail/A 47857-2025 FSC-klagomål mail.docx", "A 47857-2025")</f>
        <v/>
      </c>
      <c r="X225">
        <f>HYPERLINK("https://klasma.github.io/Logging_2260/tillsyn/A 47857-2025 tillsynsbegäran.docx", "A 47857-2025")</f>
        <v/>
      </c>
      <c r="Y225">
        <f>HYPERLINK("https://klasma.github.io/Logging_2260/tillsynsmail/A 47857-2025 tillsynsbegäran mail.docx", "A 47857-2025")</f>
        <v/>
      </c>
      <c r="Z225">
        <f>HYPERLINK("https://klasma.github.io/Logging_2260/fåglar/A 47857-2025 prioriterade fågelarter.docx", "A 47857-2025")</f>
        <v/>
      </c>
    </row>
    <row r="226" ht="15" customHeight="1">
      <c r="A226" t="inlineStr">
        <is>
          <t>A 48237-2025</t>
        </is>
      </c>
      <c r="B226" s="1" t="n">
        <v>45933</v>
      </c>
      <c r="C226" s="1" t="n">
        <v>46046</v>
      </c>
      <c r="D226" t="inlineStr">
        <is>
          <t>VÄSTERNORRLANDS LÄN</t>
        </is>
      </c>
      <c r="E226" t="inlineStr">
        <is>
          <t>ÅNGE</t>
        </is>
      </c>
      <c r="F226" t="inlineStr">
        <is>
          <t>SCA</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HYPERLINK("https://klasma.github.io/Logging_2260/artfynd/A 48237-2025 artfynd.xlsx", "A 48237-2025")</f>
        <v/>
      </c>
      <c r="T226">
        <f>HYPERLINK("https://klasma.github.io/Logging_2260/kartor/A 48237-2025 karta.png", "A 48237-2025")</f>
        <v/>
      </c>
      <c r="U226">
        <f>HYPERLINK("https://klasma.github.io/Logging_2260/knärot/A 48237-2025 karta knärot.png", "A 48237-2025")</f>
        <v/>
      </c>
      <c r="V226">
        <f>HYPERLINK("https://klasma.github.io/Logging_2260/klagomål/A 48237-2025 FSC-klagomål.docx", "A 48237-2025")</f>
        <v/>
      </c>
      <c r="W226">
        <f>HYPERLINK("https://klasma.github.io/Logging_2260/klagomålsmail/A 48237-2025 FSC-klagomål mail.docx", "A 48237-2025")</f>
        <v/>
      </c>
      <c r="X226">
        <f>HYPERLINK("https://klasma.github.io/Logging_2260/tillsyn/A 48237-2025 tillsynsbegäran.docx", "A 48237-2025")</f>
        <v/>
      </c>
      <c r="Y226">
        <f>HYPERLINK("https://klasma.github.io/Logging_2260/tillsynsmail/A 48237-2025 tillsynsbegäran mail.docx", "A 48237-2025")</f>
        <v/>
      </c>
    </row>
    <row r="227" ht="15" customHeight="1">
      <c r="A227" t="inlineStr">
        <is>
          <t>A 53683-2025</t>
        </is>
      </c>
      <c r="B227" s="1" t="n">
        <v>45960</v>
      </c>
      <c r="C227" s="1" t="n">
        <v>46046</v>
      </c>
      <c r="D227" t="inlineStr">
        <is>
          <t>VÄSTERNORRLANDS LÄN</t>
        </is>
      </c>
      <c r="E227" t="inlineStr">
        <is>
          <t>ÅNGE</t>
        </is>
      </c>
      <c r="F227" t="inlineStr">
        <is>
          <t>SCA</t>
        </is>
      </c>
      <c r="G227" t="n">
        <v>3.6</v>
      </c>
      <c r="H227" t="n">
        <v>0</v>
      </c>
      <c r="I227" t="n">
        <v>1</v>
      </c>
      <c r="J227" t="n">
        <v>0</v>
      </c>
      <c r="K227" t="n">
        <v>0</v>
      </c>
      <c r="L227" t="n">
        <v>0</v>
      </c>
      <c r="M227" t="n">
        <v>0</v>
      </c>
      <c r="N227" t="n">
        <v>0</v>
      </c>
      <c r="O227" t="n">
        <v>0</v>
      </c>
      <c r="P227" t="n">
        <v>0</v>
      </c>
      <c r="Q227" t="n">
        <v>1</v>
      </c>
      <c r="R227" s="2" t="inlineStr">
        <is>
          <t>Ögonpyrola</t>
        </is>
      </c>
      <c r="S227">
        <f>HYPERLINK("https://klasma.github.io/Logging_2260/artfynd/A 53683-2025 artfynd.xlsx", "A 53683-2025")</f>
        <v/>
      </c>
      <c r="T227">
        <f>HYPERLINK("https://klasma.github.io/Logging_2260/kartor/A 53683-2025 karta.png", "A 53683-2025")</f>
        <v/>
      </c>
      <c r="U227">
        <f>HYPERLINK("https://klasma.github.io/Logging_2260/knärot/A 53683-2025 karta knärot.png", "A 53683-2025")</f>
        <v/>
      </c>
      <c r="V227">
        <f>HYPERLINK("https://klasma.github.io/Logging_2260/klagomål/A 53683-2025 FSC-klagomål.docx", "A 53683-2025")</f>
        <v/>
      </c>
      <c r="W227">
        <f>HYPERLINK("https://klasma.github.io/Logging_2260/klagomålsmail/A 53683-2025 FSC-klagomål mail.docx", "A 53683-2025")</f>
        <v/>
      </c>
      <c r="X227">
        <f>HYPERLINK("https://klasma.github.io/Logging_2260/tillsyn/A 53683-2025 tillsynsbegäran.docx", "A 53683-2025")</f>
        <v/>
      </c>
      <c r="Y227">
        <f>HYPERLINK("https://klasma.github.io/Logging_2260/tillsynsmail/A 53683-2025 tillsynsbegäran mail.docx", "A 53683-2025")</f>
        <v/>
      </c>
    </row>
    <row r="228" ht="15" customHeight="1">
      <c r="A228" t="inlineStr">
        <is>
          <t>A 329-2026</t>
        </is>
      </c>
      <c r="B228" s="1" t="n">
        <v>46027.59431712963</v>
      </c>
      <c r="C228" s="1" t="n">
        <v>46046</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58534-2025</t>
        </is>
      </c>
      <c r="B229" s="1" t="n">
        <v>45985.80396990741</v>
      </c>
      <c r="C229" s="1" t="n">
        <v>46046</v>
      </c>
      <c r="D229" t="inlineStr">
        <is>
          <t>VÄSTERNORRLANDS LÄN</t>
        </is>
      </c>
      <c r="E229" t="inlineStr">
        <is>
          <t>ÅNGE</t>
        </is>
      </c>
      <c r="F229" t="inlineStr">
        <is>
          <t>Holmen skog AB</t>
        </is>
      </c>
      <c r="G229" t="n">
        <v>2.2</v>
      </c>
      <c r="H229" t="n">
        <v>0</v>
      </c>
      <c r="I229" t="n">
        <v>0</v>
      </c>
      <c r="J229" t="n">
        <v>1</v>
      </c>
      <c r="K229" t="n">
        <v>0</v>
      </c>
      <c r="L229" t="n">
        <v>0</v>
      </c>
      <c r="M229" t="n">
        <v>0</v>
      </c>
      <c r="N229" t="n">
        <v>0</v>
      </c>
      <c r="O229" t="n">
        <v>1</v>
      </c>
      <c r="P229" t="n">
        <v>0</v>
      </c>
      <c r="Q229" t="n">
        <v>1</v>
      </c>
      <c r="R229" s="2" t="inlineStr">
        <is>
          <t>Ullticka</t>
        </is>
      </c>
      <c r="S229">
        <f>HYPERLINK("https://klasma.github.io/Logging_2260/artfynd/A 58534-2025 artfynd.xlsx", "A 58534-2025")</f>
        <v/>
      </c>
      <c r="T229">
        <f>HYPERLINK("https://klasma.github.io/Logging_2260/kartor/A 58534-2025 karta.png", "A 58534-2025")</f>
        <v/>
      </c>
      <c r="V229">
        <f>HYPERLINK("https://klasma.github.io/Logging_2260/klagomål/A 58534-2025 FSC-klagomål.docx", "A 58534-2025")</f>
        <v/>
      </c>
      <c r="W229">
        <f>HYPERLINK("https://klasma.github.io/Logging_2260/klagomålsmail/A 58534-2025 FSC-klagomål mail.docx", "A 58534-2025")</f>
        <v/>
      </c>
      <c r="X229">
        <f>HYPERLINK("https://klasma.github.io/Logging_2260/tillsyn/A 58534-2025 tillsynsbegäran.docx", "A 58534-2025")</f>
        <v/>
      </c>
      <c r="Y229">
        <f>HYPERLINK("https://klasma.github.io/Logging_2260/tillsynsmail/A 58534-2025 tillsynsbegäran mail.docx", "A 58534-2025")</f>
        <v/>
      </c>
    </row>
    <row r="230" ht="15" customHeight="1">
      <c r="A230" t="inlineStr">
        <is>
          <t>A 61076-2025</t>
        </is>
      </c>
      <c r="B230" s="1" t="n">
        <v>46000.39689814814</v>
      </c>
      <c r="C230" s="1" t="n">
        <v>46046</v>
      </c>
      <c r="D230" t="inlineStr">
        <is>
          <t>VÄSTERNORRLANDS LÄN</t>
        </is>
      </c>
      <c r="E230" t="inlineStr">
        <is>
          <t>ÅNGE</t>
        </is>
      </c>
      <c r="F230" t="inlineStr">
        <is>
          <t>Holmen skog AB</t>
        </is>
      </c>
      <c r="G230" t="n">
        <v>2.7</v>
      </c>
      <c r="H230" t="n">
        <v>0</v>
      </c>
      <c r="I230" t="n">
        <v>1</v>
      </c>
      <c r="J230" t="n">
        <v>0</v>
      </c>
      <c r="K230" t="n">
        <v>0</v>
      </c>
      <c r="L230" t="n">
        <v>0</v>
      </c>
      <c r="M230" t="n">
        <v>0</v>
      </c>
      <c r="N230" t="n">
        <v>0</v>
      </c>
      <c r="O230" t="n">
        <v>0</v>
      </c>
      <c r="P230" t="n">
        <v>0</v>
      </c>
      <c r="Q230" t="n">
        <v>1</v>
      </c>
      <c r="R230" s="2" t="inlineStr">
        <is>
          <t>Stor aspticka</t>
        </is>
      </c>
      <c r="S230">
        <f>HYPERLINK("https://klasma.github.io/Logging_2260/artfynd/A 61076-2025 artfynd.xlsx", "A 61076-2025")</f>
        <v/>
      </c>
      <c r="T230">
        <f>HYPERLINK("https://klasma.github.io/Logging_2260/kartor/A 61076-2025 karta.png", "A 61076-2025")</f>
        <v/>
      </c>
      <c r="V230">
        <f>HYPERLINK("https://klasma.github.io/Logging_2260/klagomål/A 61076-2025 FSC-klagomål.docx", "A 61076-2025")</f>
        <v/>
      </c>
      <c r="W230">
        <f>HYPERLINK("https://klasma.github.io/Logging_2260/klagomålsmail/A 61076-2025 FSC-klagomål mail.docx", "A 61076-2025")</f>
        <v/>
      </c>
      <c r="X230">
        <f>HYPERLINK("https://klasma.github.io/Logging_2260/tillsyn/A 61076-2025 tillsynsbegäran.docx", "A 61076-2025")</f>
        <v/>
      </c>
      <c r="Y230">
        <f>HYPERLINK("https://klasma.github.io/Logging_2260/tillsynsmail/A 61076-2025 tillsynsbegäran mail.docx", "A 61076-2025")</f>
        <v/>
      </c>
    </row>
    <row r="231" ht="15" customHeight="1">
      <c r="A231" t="inlineStr">
        <is>
          <t>A 8057-2021</t>
        </is>
      </c>
      <c r="B231" s="1" t="n">
        <v>44238</v>
      </c>
      <c r="C231" s="1" t="n">
        <v>46046</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46046</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46046</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46046</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46046</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46046</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46046</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46046</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46046</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46046</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46046</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46046</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46046</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46046</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46046</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46046</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46046</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46046</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46046</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46046</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46046</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46046</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46046</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46046</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46046</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46046</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46046</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46046</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58941-2021</t>
        </is>
      </c>
      <c r="B259" s="1" t="n">
        <v>44489.92215277778</v>
      </c>
      <c r="C259" s="1" t="n">
        <v>46046</v>
      </c>
      <c r="D259" t="inlineStr">
        <is>
          <t>VÄSTERNORRLANDS LÄN</t>
        </is>
      </c>
      <c r="E259" t="inlineStr">
        <is>
          <t>ÅNGE</t>
        </is>
      </c>
      <c r="G259" t="n">
        <v>6.7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46046</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46046</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46046</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46046</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46046</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46046</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46046</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46046</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46046</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46046</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46046</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46046</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46046</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46046</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46046</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46046</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46046</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46046</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5279-2022</t>
        </is>
      </c>
      <c r="B278" s="1" t="n">
        <v>44594</v>
      </c>
      <c r="C278" s="1" t="n">
        <v>46046</v>
      </c>
      <c r="D278" t="inlineStr">
        <is>
          <t>VÄSTERNORRLANDS LÄN</t>
        </is>
      </c>
      <c r="E278" t="inlineStr">
        <is>
          <t>ÅNGE</t>
        </is>
      </c>
      <c r="G278" t="n">
        <v>0.9</v>
      </c>
      <c r="H278" t="n">
        <v>0</v>
      </c>
      <c r="I278" t="n">
        <v>0</v>
      </c>
      <c r="J278" t="n">
        <v>0</v>
      </c>
      <c r="K278" t="n">
        <v>0</v>
      </c>
      <c r="L278" t="n">
        <v>0</v>
      </c>
      <c r="M278" t="n">
        <v>0</v>
      </c>
      <c r="N278" t="n">
        <v>0</v>
      </c>
      <c r="O278" t="n">
        <v>0</v>
      </c>
      <c r="P278" t="n">
        <v>0</v>
      </c>
      <c r="Q278" t="n">
        <v>0</v>
      </c>
      <c r="R278" s="2" t="inlineStr"/>
    </row>
    <row r="279" ht="15" customHeight="1">
      <c r="A279" t="inlineStr">
        <is>
          <t>A 49137-2021</t>
        </is>
      </c>
      <c r="B279" s="1" t="n">
        <v>44453</v>
      </c>
      <c r="C279" s="1" t="n">
        <v>46046</v>
      </c>
      <c r="D279" t="inlineStr">
        <is>
          <t>VÄSTERNORRLANDS LÄN</t>
        </is>
      </c>
      <c r="E279" t="inlineStr">
        <is>
          <t>ÅNGE</t>
        </is>
      </c>
      <c r="G279" t="n">
        <v>2.3</v>
      </c>
      <c r="H279" t="n">
        <v>0</v>
      </c>
      <c r="I279" t="n">
        <v>0</v>
      </c>
      <c r="J279" t="n">
        <v>0</v>
      </c>
      <c r="K279" t="n">
        <v>0</v>
      </c>
      <c r="L279" t="n">
        <v>0</v>
      </c>
      <c r="M279" t="n">
        <v>0</v>
      </c>
      <c r="N279" t="n">
        <v>0</v>
      </c>
      <c r="O279" t="n">
        <v>0</v>
      </c>
      <c r="P279" t="n">
        <v>0</v>
      </c>
      <c r="Q279" t="n">
        <v>0</v>
      </c>
      <c r="R279" s="2" t="inlineStr"/>
    </row>
    <row r="280" ht="15" customHeight="1">
      <c r="A280" t="inlineStr">
        <is>
          <t>A 57162-2021</t>
        </is>
      </c>
      <c r="B280" s="1" t="n">
        <v>44482</v>
      </c>
      <c r="C280" s="1" t="n">
        <v>46046</v>
      </c>
      <c r="D280" t="inlineStr">
        <is>
          <t>VÄSTERNORRLANDS LÄN</t>
        </is>
      </c>
      <c r="E280" t="inlineStr">
        <is>
          <t>ÅNGE</t>
        </is>
      </c>
      <c r="G280" t="n">
        <v>2.5</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46046</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46046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50333-2021</t>
        </is>
      </c>
      <c r="B283" s="1" t="n">
        <v>44454</v>
      </c>
      <c r="C283" s="1" t="n">
        <v>46046</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46046</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55907-2022</t>
        </is>
      </c>
      <c r="B285" s="1" t="n">
        <v>44888.95457175926</v>
      </c>
      <c r="C285" s="1" t="n">
        <v>46046</v>
      </c>
      <c r="D285" t="inlineStr">
        <is>
          <t>VÄSTERNORRLANDS LÄN</t>
        </is>
      </c>
      <c r="E285" t="inlineStr">
        <is>
          <t>ÅNGE</t>
        </is>
      </c>
      <c r="F285" t="inlineStr">
        <is>
          <t>SCA</t>
        </is>
      </c>
      <c r="G285" t="n">
        <v>8.4</v>
      </c>
      <c r="H285" t="n">
        <v>0</v>
      </c>
      <c r="I285" t="n">
        <v>0</v>
      </c>
      <c r="J285" t="n">
        <v>0</v>
      </c>
      <c r="K285" t="n">
        <v>0</v>
      </c>
      <c r="L285" t="n">
        <v>0</v>
      </c>
      <c r="M285" t="n">
        <v>0</v>
      </c>
      <c r="N285" t="n">
        <v>0</v>
      </c>
      <c r="O285" t="n">
        <v>0</v>
      </c>
      <c r="P285" t="n">
        <v>0</v>
      </c>
      <c r="Q285" t="n">
        <v>0</v>
      </c>
      <c r="R285" s="2" t="inlineStr"/>
    </row>
    <row r="286" ht="15" customHeight="1">
      <c r="A286" t="inlineStr">
        <is>
          <t>A 31647-2022</t>
        </is>
      </c>
      <c r="B286" s="1" t="n">
        <v>44775.94328703704</v>
      </c>
      <c r="C286" s="1" t="n">
        <v>46046</v>
      </c>
      <c r="D286" t="inlineStr">
        <is>
          <t>VÄSTERNORRLANDS LÄN</t>
        </is>
      </c>
      <c r="E286" t="inlineStr">
        <is>
          <t>ÅNGE</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66560-2021</t>
        </is>
      </c>
      <c r="B287" s="1" t="n">
        <v>44519</v>
      </c>
      <c r="C287" s="1" t="n">
        <v>46046</v>
      </c>
      <c r="D287" t="inlineStr">
        <is>
          <t>VÄSTERNORRLANDS LÄN</t>
        </is>
      </c>
      <c r="E287" t="inlineStr">
        <is>
          <t>ÅNGE</t>
        </is>
      </c>
      <c r="G287" t="n">
        <v>2.6</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46046</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46046</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55905-2021</t>
        </is>
      </c>
      <c r="B290" s="1" t="n">
        <v>44476.91895833334</v>
      </c>
      <c r="C290" s="1" t="n">
        <v>46046</v>
      </c>
      <c r="D290" t="inlineStr">
        <is>
          <t>VÄSTERNORRLANDS LÄN</t>
        </is>
      </c>
      <c r="E290" t="inlineStr">
        <is>
          <t>ÅNGE</t>
        </is>
      </c>
      <c r="G290" t="n">
        <v>0.9</v>
      </c>
      <c r="H290" t="n">
        <v>0</v>
      </c>
      <c r="I290" t="n">
        <v>0</v>
      </c>
      <c r="J290" t="n">
        <v>0</v>
      </c>
      <c r="K290" t="n">
        <v>0</v>
      </c>
      <c r="L290" t="n">
        <v>0</v>
      </c>
      <c r="M290" t="n">
        <v>0</v>
      </c>
      <c r="N290" t="n">
        <v>0</v>
      </c>
      <c r="O290" t="n">
        <v>0</v>
      </c>
      <c r="P290" t="n">
        <v>0</v>
      </c>
      <c r="Q290" t="n">
        <v>0</v>
      </c>
      <c r="R290" s="2" t="inlineStr"/>
    </row>
    <row r="291" ht="15" customHeight="1">
      <c r="A291" t="inlineStr">
        <is>
          <t>A 17580-2022</t>
        </is>
      </c>
      <c r="B291" s="1" t="n">
        <v>44679</v>
      </c>
      <c r="C291" s="1" t="n">
        <v>46046</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24355-2022</t>
        </is>
      </c>
      <c r="B292" s="1" t="n">
        <v>44726.3816087963</v>
      </c>
      <c r="C292" s="1" t="n">
        <v>46046</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35507-2022</t>
        </is>
      </c>
      <c r="B293" s="1" t="n">
        <v>44798</v>
      </c>
      <c r="C293" s="1" t="n">
        <v>46046</v>
      </c>
      <c r="D293" t="inlineStr">
        <is>
          <t>VÄSTERNORRLANDS LÄN</t>
        </is>
      </c>
      <c r="E293" t="inlineStr">
        <is>
          <t>ÅNGE</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10680-2022</t>
        </is>
      </c>
      <c r="B294" s="1" t="n">
        <v>44624</v>
      </c>
      <c r="C294" s="1" t="n">
        <v>46046</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10686-2022</t>
        </is>
      </c>
      <c r="B295" s="1" t="n">
        <v>44624.92680555556</v>
      </c>
      <c r="C295" s="1" t="n">
        <v>46046</v>
      </c>
      <c r="D295" t="inlineStr">
        <is>
          <t>VÄSTERNORRLANDS LÄN</t>
        </is>
      </c>
      <c r="E295" t="inlineStr">
        <is>
          <t>ÅNGE</t>
        </is>
      </c>
      <c r="G295" t="n">
        <v>1.2</v>
      </c>
      <c r="H295" t="n">
        <v>0</v>
      </c>
      <c r="I295" t="n">
        <v>0</v>
      </c>
      <c r="J295" t="n">
        <v>0</v>
      </c>
      <c r="K295" t="n">
        <v>0</v>
      </c>
      <c r="L295" t="n">
        <v>0</v>
      </c>
      <c r="M295" t="n">
        <v>0</v>
      </c>
      <c r="N295" t="n">
        <v>0</v>
      </c>
      <c r="O295" t="n">
        <v>0</v>
      </c>
      <c r="P295" t="n">
        <v>0</v>
      </c>
      <c r="Q295" t="n">
        <v>0</v>
      </c>
      <c r="R295" s="2" t="inlineStr"/>
    </row>
    <row r="296" ht="15" customHeight="1">
      <c r="A296" t="inlineStr">
        <is>
          <t>A 62870-2021</t>
        </is>
      </c>
      <c r="B296" s="1" t="n">
        <v>44503</v>
      </c>
      <c r="C296" s="1" t="n">
        <v>46046</v>
      </c>
      <c r="D296" t="inlineStr">
        <is>
          <t>VÄSTERNORRLANDS LÄN</t>
        </is>
      </c>
      <c r="E296" t="inlineStr">
        <is>
          <t>ÅNGE</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46046</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14084-2022</t>
        </is>
      </c>
      <c r="B298" s="1" t="n">
        <v>44651</v>
      </c>
      <c r="C298" s="1" t="n">
        <v>46046</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14091-2022</t>
        </is>
      </c>
      <c r="B299" s="1" t="n">
        <v>44651</v>
      </c>
      <c r="C299" s="1" t="n">
        <v>46046</v>
      </c>
      <c r="D299" t="inlineStr">
        <is>
          <t>VÄSTERNORRLANDS LÄN</t>
        </is>
      </c>
      <c r="E299" t="inlineStr">
        <is>
          <t>ÅNGE</t>
        </is>
      </c>
      <c r="G299" t="n">
        <v>2.4</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46046</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21189-2021</t>
        </is>
      </c>
      <c r="B301" s="1" t="n">
        <v>44320</v>
      </c>
      <c r="C301" s="1" t="n">
        <v>46046</v>
      </c>
      <c r="D301" t="inlineStr">
        <is>
          <t>VÄSTERNORRLANDS LÄN</t>
        </is>
      </c>
      <c r="E301" t="inlineStr">
        <is>
          <t>ÅNGE</t>
        </is>
      </c>
      <c r="G301" t="n">
        <v>2.4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46046</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46046</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39723-2021</t>
        </is>
      </c>
      <c r="B304" s="1" t="n">
        <v>44417.47886574074</v>
      </c>
      <c r="C304" s="1" t="n">
        <v>46046</v>
      </c>
      <c r="D304" t="inlineStr">
        <is>
          <t>VÄSTERNORRLANDS LÄN</t>
        </is>
      </c>
      <c r="E304" t="inlineStr">
        <is>
          <t>ÅNGE</t>
        </is>
      </c>
      <c r="G304" t="n">
        <v>1.1</v>
      </c>
      <c r="H304" t="n">
        <v>0</v>
      </c>
      <c r="I304" t="n">
        <v>0</v>
      </c>
      <c r="J304" t="n">
        <v>0</v>
      </c>
      <c r="K304" t="n">
        <v>0</v>
      </c>
      <c r="L304" t="n">
        <v>0</v>
      </c>
      <c r="M304" t="n">
        <v>0</v>
      </c>
      <c r="N304" t="n">
        <v>0</v>
      </c>
      <c r="O304" t="n">
        <v>0</v>
      </c>
      <c r="P304" t="n">
        <v>0</v>
      </c>
      <c r="Q304" t="n">
        <v>0</v>
      </c>
      <c r="R304" s="2" t="inlineStr"/>
    </row>
    <row r="305" ht="15" customHeight="1">
      <c r="A305" t="inlineStr">
        <is>
          <t>A 5366-2022</t>
        </is>
      </c>
      <c r="B305" s="1" t="n">
        <v>44594.92107638889</v>
      </c>
      <c r="C305" s="1" t="n">
        <v>46046</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71651-2021</t>
        </is>
      </c>
      <c r="B306" s="1" t="n">
        <v>44538</v>
      </c>
      <c r="C306" s="1" t="n">
        <v>46046</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58942-2021</t>
        </is>
      </c>
      <c r="B307" s="1" t="n">
        <v>44489.9221875</v>
      </c>
      <c r="C307" s="1" t="n">
        <v>46046</v>
      </c>
      <c r="D307" t="inlineStr">
        <is>
          <t>VÄSTERNORRLANDS LÄN</t>
        </is>
      </c>
      <c r="E307" t="inlineStr">
        <is>
          <t>ÅNGE</t>
        </is>
      </c>
      <c r="G307" t="n">
        <v>5.6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46046</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35058-2021</t>
        </is>
      </c>
      <c r="B309" s="1" t="n">
        <v>44383</v>
      </c>
      <c r="C309" s="1" t="n">
        <v>46046</v>
      </c>
      <c r="D309" t="inlineStr">
        <is>
          <t>VÄSTERNORRLANDS LÄN</t>
        </is>
      </c>
      <c r="E309" t="inlineStr">
        <is>
          <t>ÅNGE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35079-2021</t>
        </is>
      </c>
      <c r="B310" s="1" t="n">
        <v>44383</v>
      </c>
      <c r="C310" s="1" t="n">
        <v>46046</v>
      </c>
      <c r="D310" t="inlineStr">
        <is>
          <t>VÄSTERNORRLANDS LÄN</t>
        </is>
      </c>
      <c r="E310" t="inlineStr">
        <is>
          <t>ÅNGE</t>
        </is>
      </c>
      <c r="G310" t="n">
        <v>2.8</v>
      </c>
      <c r="H310" t="n">
        <v>0</v>
      </c>
      <c r="I310" t="n">
        <v>0</v>
      </c>
      <c r="J310" t="n">
        <v>0</v>
      </c>
      <c r="K310" t="n">
        <v>0</v>
      </c>
      <c r="L310" t="n">
        <v>0</v>
      </c>
      <c r="M310" t="n">
        <v>0</v>
      </c>
      <c r="N310" t="n">
        <v>0</v>
      </c>
      <c r="O310" t="n">
        <v>0</v>
      </c>
      <c r="P310" t="n">
        <v>0</v>
      </c>
      <c r="Q310" t="n">
        <v>0</v>
      </c>
      <c r="R310" s="2" t="inlineStr"/>
    </row>
    <row r="311" ht="15" customHeight="1">
      <c r="A311" t="inlineStr">
        <is>
          <t>A 46351-2022</t>
        </is>
      </c>
      <c r="B311" s="1" t="n">
        <v>44847</v>
      </c>
      <c r="C311" s="1" t="n">
        <v>46046</v>
      </c>
      <c r="D311" t="inlineStr">
        <is>
          <t>VÄSTERNORRLANDS LÄN</t>
        </is>
      </c>
      <c r="E311" t="inlineStr">
        <is>
          <t>ÅNGE</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44413-2022</t>
        </is>
      </c>
      <c r="B312" s="1" t="n">
        <v>44839.92630787037</v>
      </c>
      <c r="C312" s="1" t="n">
        <v>46046</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4939-2022</t>
        </is>
      </c>
      <c r="B313" s="1" t="n">
        <v>44593.50019675926</v>
      </c>
      <c r="C313" s="1" t="n">
        <v>46046</v>
      </c>
      <c r="D313" t="inlineStr">
        <is>
          <t>VÄSTERNORRLANDS LÄN</t>
        </is>
      </c>
      <c r="E313" t="inlineStr">
        <is>
          <t>ÅNGE</t>
        </is>
      </c>
      <c r="G313" t="n">
        <v>1.7</v>
      </c>
      <c r="H313" t="n">
        <v>0</v>
      </c>
      <c r="I313" t="n">
        <v>0</v>
      </c>
      <c r="J313" t="n">
        <v>0</v>
      </c>
      <c r="K313" t="n">
        <v>0</v>
      </c>
      <c r="L313" t="n">
        <v>0</v>
      </c>
      <c r="M313" t="n">
        <v>0</v>
      </c>
      <c r="N313" t="n">
        <v>0</v>
      </c>
      <c r="O313" t="n">
        <v>0</v>
      </c>
      <c r="P313" t="n">
        <v>0</v>
      </c>
      <c r="Q313" t="n">
        <v>0</v>
      </c>
      <c r="R313" s="2" t="inlineStr"/>
    </row>
    <row r="314" ht="15" customHeight="1">
      <c r="A314" t="inlineStr">
        <is>
          <t>A 30345-2021</t>
        </is>
      </c>
      <c r="B314" s="1" t="n">
        <v>44364</v>
      </c>
      <c r="C314" s="1" t="n">
        <v>46046</v>
      </c>
      <c r="D314" t="inlineStr">
        <is>
          <t>VÄSTERNORRLANDS LÄN</t>
        </is>
      </c>
      <c r="E314" t="inlineStr">
        <is>
          <t>ÅNGE</t>
        </is>
      </c>
      <c r="G314" t="n">
        <v>7.7</v>
      </c>
      <c r="H314" t="n">
        <v>0</v>
      </c>
      <c r="I314" t="n">
        <v>0</v>
      </c>
      <c r="J314" t="n">
        <v>0</v>
      </c>
      <c r="K314" t="n">
        <v>0</v>
      </c>
      <c r="L314" t="n">
        <v>0</v>
      </c>
      <c r="M314" t="n">
        <v>0</v>
      </c>
      <c r="N314" t="n">
        <v>0</v>
      </c>
      <c r="O314" t="n">
        <v>0</v>
      </c>
      <c r="P314" t="n">
        <v>0</v>
      </c>
      <c r="Q314" t="n">
        <v>0</v>
      </c>
      <c r="R314" s="2" t="inlineStr"/>
    </row>
    <row r="315" ht="15" customHeight="1">
      <c r="A315" t="inlineStr">
        <is>
          <t>A 46865-2021</t>
        </is>
      </c>
      <c r="B315" s="1" t="n">
        <v>44446.39883101852</v>
      </c>
      <c r="C315" s="1" t="n">
        <v>46046</v>
      </c>
      <c r="D315" t="inlineStr">
        <is>
          <t>VÄSTERNORRLANDS LÄN</t>
        </is>
      </c>
      <c r="E315" t="inlineStr">
        <is>
          <t>ÅNGE</t>
        </is>
      </c>
      <c r="G315" t="n">
        <v>1.6</v>
      </c>
      <c r="H315" t="n">
        <v>0</v>
      </c>
      <c r="I315" t="n">
        <v>0</v>
      </c>
      <c r="J315" t="n">
        <v>0</v>
      </c>
      <c r="K315" t="n">
        <v>0</v>
      </c>
      <c r="L315" t="n">
        <v>0</v>
      </c>
      <c r="M315" t="n">
        <v>0</v>
      </c>
      <c r="N315" t="n">
        <v>0</v>
      </c>
      <c r="O315" t="n">
        <v>0</v>
      </c>
      <c r="P315" t="n">
        <v>0</v>
      </c>
      <c r="Q315" t="n">
        <v>0</v>
      </c>
      <c r="R315" s="2" t="inlineStr"/>
    </row>
    <row r="316" ht="15" customHeight="1">
      <c r="A316" t="inlineStr">
        <is>
          <t>A 37010-2021</t>
        </is>
      </c>
      <c r="B316" s="1" t="n">
        <v>44393</v>
      </c>
      <c r="C316" s="1" t="n">
        <v>46046</v>
      </c>
      <c r="D316" t="inlineStr">
        <is>
          <t>VÄSTERNORRLANDS LÄN</t>
        </is>
      </c>
      <c r="E316" t="inlineStr">
        <is>
          <t>ÅNGE</t>
        </is>
      </c>
      <c r="F316" t="inlineStr">
        <is>
          <t>Kyrkan</t>
        </is>
      </c>
      <c r="G316" t="n">
        <v>16.8</v>
      </c>
      <c r="H316" t="n">
        <v>0</v>
      </c>
      <c r="I316" t="n">
        <v>0</v>
      </c>
      <c r="J316" t="n">
        <v>0</v>
      </c>
      <c r="K316" t="n">
        <v>0</v>
      </c>
      <c r="L316" t="n">
        <v>0</v>
      </c>
      <c r="M316" t="n">
        <v>0</v>
      </c>
      <c r="N316" t="n">
        <v>0</v>
      </c>
      <c r="O316" t="n">
        <v>0</v>
      </c>
      <c r="P316" t="n">
        <v>0</v>
      </c>
      <c r="Q316" t="n">
        <v>0</v>
      </c>
      <c r="R316" s="2" t="inlineStr"/>
    </row>
    <row r="317" ht="15" customHeight="1">
      <c r="A317" t="inlineStr">
        <is>
          <t>A 71357-2021</t>
        </is>
      </c>
      <c r="B317" s="1" t="n">
        <v>44539.92232638889</v>
      </c>
      <c r="C317" s="1" t="n">
        <v>46046</v>
      </c>
      <c r="D317" t="inlineStr">
        <is>
          <t>VÄSTERNORRLANDS LÄN</t>
        </is>
      </c>
      <c r="E317" t="inlineStr">
        <is>
          <t>ÅNGE</t>
        </is>
      </c>
      <c r="G317" t="n">
        <v>5.4</v>
      </c>
      <c r="H317" t="n">
        <v>0</v>
      </c>
      <c r="I317" t="n">
        <v>0</v>
      </c>
      <c r="J317" t="n">
        <v>0</v>
      </c>
      <c r="K317" t="n">
        <v>0</v>
      </c>
      <c r="L317" t="n">
        <v>0</v>
      </c>
      <c r="M317" t="n">
        <v>0</v>
      </c>
      <c r="N317" t="n">
        <v>0</v>
      </c>
      <c r="O317" t="n">
        <v>0</v>
      </c>
      <c r="P317" t="n">
        <v>0</v>
      </c>
      <c r="Q317" t="n">
        <v>0</v>
      </c>
      <c r="R317" s="2" t="inlineStr"/>
    </row>
    <row r="318" ht="15" customHeight="1">
      <c r="A318" t="inlineStr">
        <is>
          <t>A 56907-2021</t>
        </is>
      </c>
      <c r="B318" s="1" t="n">
        <v>44481.93837962963</v>
      </c>
      <c r="C318" s="1" t="n">
        <v>46046</v>
      </c>
      <c r="D318" t="inlineStr">
        <is>
          <t>VÄSTERNORRLANDS LÄN</t>
        </is>
      </c>
      <c r="E318" t="inlineStr">
        <is>
          <t>ÅNGE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50125-2021</t>
        </is>
      </c>
      <c r="B319" s="1" t="n">
        <v>44456</v>
      </c>
      <c r="C319" s="1" t="n">
        <v>46046</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12800-2021</t>
        </is>
      </c>
      <c r="B320" s="1" t="n">
        <v>44270.92056712963</v>
      </c>
      <c r="C320" s="1" t="n">
        <v>46046</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6115-2022</t>
        </is>
      </c>
      <c r="B321" s="1" t="n">
        <v>44599</v>
      </c>
      <c r="C321" s="1" t="n">
        <v>46046</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6898-2022</t>
        </is>
      </c>
      <c r="B322" s="1" t="n">
        <v>44602.92141203704</v>
      </c>
      <c r="C322" s="1" t="n">
        <v>46046</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46046</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35276-2022</t>
        </is>
      </c>
      <c r="B324" s="1" t="n">
        <v>44798</v>
      </c>
      <c r="C324" s="1" t="n">
        <v>46046</v>
      </c>
      <c r="D324" t="inlineStr">
        <is>
          <t>VÄSTERNORRLANDS LÄN</t>
        </is>
      </c>
      <c r="E324" t="inlineStr">
        <is>
          <t>ÅNGE</t>
        </is>
      </c>
      <c r="G324" t="n">
        <v>15.2</v>
      </c>
      <c r="H324" t="n">
        <v>0</v>
      </c>
      <c r="I324" t="n">
        <v>0</v>
      </c>
      <c r="J324" t="n">
        <v>0</v>
      </c>
      <c r="K324" t="n">
        <v>0</v>
      </c>
      <c r="L324" t="n">
        <v>0</v>
      </c>
      <c r="M324" t="n">
        <v>0</v>
      </c>
      <c r="N324" t="n">
        <v>0</v>
      </c>
      <c r="O324" t="n">
        <v>0</v>
      </c>
      <c r="P324" t="n">
        <v>0</v>
      </c>
      <c r="Q324" t="n">
        <v>0</v>
      </c>
      <c r="R324" s="2" t="inlineStr"/>
    </row>
    <row r="325" ht="15" customHeight="1">
      <c r="A325" t="inlineStr">
        <is>
          <t>A 13149-2021</t>
        </is>
      </c>
      <c r="B325" s="1" t="n">
        <v>44272</v>
      </c>
      <c r="C325" s="1" t="n">
        <v>46046</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46046</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11098-2022</t>
        </is>
      </c>
      <c r="B327" s="1" t="n">
        <v>44628</v>
      </c>
      <c r="C327" s="1" t="n">
        <v>46046</v>
      </c>
      <c r="D327" t="inlineStr">
        <is>
          <t>VÄSTERNORRLANDS LÄN</t>
        </is>
      </c>
      <c r="E327" t="inlineStr">
        <is>
          <t>ÅNGE</t>
        </is>
      </c>
      <c r="G327" t="n">
        <v>8.9</v>
      </c>
      <c r="H327" t="n">
        <v>0</v>
      </c>
      <c r="I327" t="n">
        <v>0</v>
      </c>
      <c r="J327" t="n">
        <v>0</v>
      </c>
      <c r="K327" t="n">
        <v>0</v>
      </c>
      <c r="L327" t="n">
        <v>0</v>
      </c>
      <c r="M327" t="n">
        <v>0</v>
      </c>
      <c r="N327" t="n">
        <v>0</v>
      </c>
      <c r="O327" t="n">
        <v>0</v>
      </c>
      <c r="P327" t="n">
        <v>0</v>
      </c>
      <c r="Q327" t="n">
        <v>0</v>
      </c>
      <c r="R327" s="2" t="inlineStr"/>
    </row>
    <row r="328" ht="15" customHeight="1">
      <c r="A328" t="inlineStr">
        <is>
          <t>A 35283-2022</t>
        </is>
      </c>
      <c r="B328" s="1" t="n">
        <v>44798.39916666667</v>
      </c>
      <c r="C328" s="1" t="n">
        <v>46046</v>
      </c>
      <c r="D328" t="inlineStr">
        <is>
          <t>VÄSTERNORRLANDS LÄN</t>
        </is>
      </c>
      <c r="E328" t="inlineStr">
        <is>
          <t>ÅNGE</t>
        </is>
      </c>
      <c r="G328" t="n">
        <v>4.5</v>
      </c>
      <c r="H328" t="n">
        <v>0</v>
      </c>
      <c r="I328" t="n">
        <v>0</v>
      </c>
      <c r="J328" t="n">
        <v>0</v>
      </c>
      <c r="K328" t="n">
        <v>0</v>
      </c>
      <c r="L328" t="n">
        <v>0</v>
      </c>
      <c r="M328" t="n">
        <v>0</v>
      </c>
      <c r="N328" t="n">
        <v>0</v>
      </c>
      <c r="O328" t="n">
        <v>0</v>
      </c>
      <c r="P328" t="n">
        <v>0</v>
      </c>
      <c r="Q328" t="n">
        <v>0</v>
      </c>
      <c r="R328" s="2" t="inlineStr"/>
    </row>
    <row r="329" ht="15" customHeight="1">
      <c r="A329" t="inlineStr">
        <is>
          <t>A 29509-2021</t>
        </is>
      </c>
      <c r="B329" s="1" t="n">
        <v>44361</v>
      </c>
      <c r="C329" s="1" t="n">
        <v>46046</v>
      </c>
      <c r="D329" t="inlineStr">
        <is>
          <t>VÄSTERNORRLANDS LÄN</t>
        </is>
      </c>
      <c r="E329" t="inlineStr">
        <is>
          <t>ÅNGE</t>
        </is>
      </c>
      <c r="G329" t="n">
        <v>3.6</v>
      </c>
      <c r="H329" t="n">
        <v>0</v>
      </c>
      <c r="I329" t="n">
        <v>0</v>
      </c>
      <c r="J329" t="n">
        <v>0</v>
      </c>
      <c r="K329" t="n">
        <v>0</v>
      </c>
      <c r="L329" t="n">
        <v>0</v>
      </c>
      <c r="M329" t="n">
        <v>0</v>
      </c>
      <c r="N329" t="n">
        <v>0</v>
      </c>
      <c r="O329" t="n">
        <v>0</v>
      </c>
      <c r="P329" t="n">
        <v>0</v>
      </c>
      <c r="Q329" t="n">
        <v>0</v>
      </c>
      <c r="R329" s="2" t="inlineStr"/>
    </row>
    <row r="330" ht="15" customHeight="1">
      <c r="A330" t="inlineStr">
        <is>
          <t>A 33274-2022</t>
        </is>
      </c>
      <c r="B330" s="1" t="n">
        <v>44788</v>
      </c>
      <c r="C330" s="1" t="n">
        <v>46046</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46046</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7633-2022</t>
        </is>
      </c>
      <c r="B332" s="1" t="n">
        <v>44607.71378472223</v>
      </c>
      <c r="C332" s="1" t="n">
        <v>46046</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47660-2022</t>
        </is>
      </c>
      <c r="B333" s="1" t="n">
        <v>44854.45766203704</v>
      </c>
      <c r="C333" s="1" t="n">
        <v>46046</v>
      </c>
      <c r="D333" t="inlineStr">
        <is>
          <t>VÄSTERNORRLANDS LÄN</t>
        </is>
      </c>
      <c r="E333" t="inlineStr">
        <is>
          <t>ÅNGE</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50710-2021</t>
        </is>
      </c>
      <c r="B334" s="1" t="n">
        <v>44460.366875</v>
      </c>
      <c r="C334" s="1" t="n">
        <v>46046</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33408-2021</t>
        </is>
      </c>
      <c r="B335" s="1" t="n">
        <v>44377</v>
      </c>
      <c r="C335" s="1" t="n">
        <v>46046</v>
      </c>
      <c r="D335" t="inlineStr">
        <is>
          <t>VÄSTERNORRLANDS LÄN</t>
        </is>
      </c>
      <c r="E335" t="inlineStr">
        <is>
          <t>ÅNGE</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40476-2022</t>
        </is>
      </c>
      <c r="B336" s="1" t="n">
        <v>44823.54685185185</v>
      </c>
      <c r="C336" s="1" t="n">
        <v>46046</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14813-2022</t>
        </is>
      </c>
      <c r="B337" s="1" t="n">
        <v>44656</v>
      </c>
      <c r="C337" s="1" t="n">
        <v>46046</v>
      </c>
      <c r="D337" t="inlineStr">
        <is>
          <t>VÄSTERNORRLANDS LÄN</t>
        </is>
      </c>
      <c r="E337" t="inlineStr">
        <is>
          <t>ÅNGE</t>
        </is>
      </c>
      <c r="G337" t="n">
        <v>2.2</v>
      </c>
      <c r="H337" t="n">
        <v>0</v>
      </c>
      <c r="I337" t="n">
        <v>0</v>
      </c>
      <c r="J337" t="n">
        <v>0</v>
      </c>
      <c r="K337" t="n">
        <v>0</v>
      </c>
      <c r="L337" t="n">
        <v>0</v>
      </c>
      <c r="M337" t="n">
        <v>0</v>
      </c>
      <c r="N337" t="n">
        <v>0</v>
      </c>
      <c r="O337" t="n">
        <v>0</v>
      </c>
      <c r="P337" t="n">
        <v>0</v>
      </c>
      <c r="Q337" t="n">
        <v>0</v>
      </c>
      <c r="R337" s="2" t="inlineStr"/>
    </row>
    <row r="338" ht="15" customHeight="1">
      <c r="A338" t="inlineStr">
        <is>
          <t>A 14587-2021</t>
        </is>
      </c>
      <c r="B338" s="1" t="n">
        <v>44279.91825231481</v>
      </c>
      <c r="C338" s="1" t="n">
        <v>46046</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37605-2021</t>
        </is>
      </c>
      <c r="B339" s="1" t="n">
        <v>44399</v>
      </c>
      <c r="C339" s="1" t="n">
        <v>46046</v>
      </c>
      <c r="D339" t="inlineStr">
        <is>
          <t>VÄSTERNORRLANDS LÄN</t>
        </is>
      </c>
      <c r="E339" t="inlineStr">
        <is>
          <t>ÅNGE</t>
        </is>
      </c>
      <c r="G339" t="n">
        <v>0.5</v>
      </c>
      <c r="H339" t="n">
        <v>0</v>
      </c>
      <c r="I339" t="n">
        <v>0</v>
      </c>
      <c r="J339" t="n">
        <v>0</v>
      </c>
      <c r="K339" t="n">
        <v>0</v>
      </c>
      <c r="L339" t="n">
        <v>0</v>
      </c>
      <c r="M339" t="n">
        <v>0</v>
      </c>
      <c r="N339" t="n">
        <v>0</v>
      </c>
      <c r="O339" t="n">
        <v>0</v>
      </c>
      <c r="P339" t="n">
        <v>0</v>
      </c>
      <c r="Q339" t="n">
        <v>0</v>
      </c>
      <c r="R339" s="2" t="inlineStr"/>
    </row>
    <row r="340" ht="15" customHeight="1">
      <c r="A340" t="inlineStr">
        <is>
          <t>A 37620-2021</t>
        </is>
      </c>
      <c r="B340" s="1" t="n">
        <v>44399</v>
      </c>
      <c r="C340" s="1" t="n">
        <v>46046</v>
      </c>
      <c r="D340" t="inlineStr">
        <is>
          <t>VÄSTERNORRLANDS LÄN</t>
        </is>
      </c>
      <c r="E340" t="inlineStr">
        <is>
          <t>ÅNGE</t>
        </is>
      </c>
      <c r="G340" t="n">
        <v>4.3</v>
      </c>
      <c r="H340" t="n">
        <v>0</v>
      </c>
      <c r="I340" t="n">
        <v>0</v>
      </c>
      <c r="J340" t="n">
        <v>0</v>
      </c>
      <c r="K340" t="n">
        <v>0</v>
      </c>
      <c r="L340" t="n">
        <v>0</v>
      </c>
      <c r="M340" t="n">
        <v>0</v>
      </c>
      <c r="N340" t="n">
        <v>0</v>
      </c>
      <c r="O340" t="n">
        <v>0</v>
      </c>
      <c r="P340" t="n">
        <v>0</v>
      </c>
      <c r="Q340" t="n">
        <v>0</v>
      </c>
      <c r="R340" s="2" t="inlineStr"/>
    </row>
    <row r="341" ht="15" customHeight="1">
      <c r="A341" t="inlineStr">
        <is>
          <t>A 57418-2021</t>
        </is>
      </c>
      <c r="B341" s="1" t="n">
        <v>44483</v>
      </c>
      <c r="C341" s="1" t="n">
        <v>46046</v>
      </c>
      <c r="D341" t="inlineStr">
        <is>
          <t>VÄSTERNORRLANDS LÄN</t>
        </is>
      </c>
      <c r="E341" t="inlineStr">
        <is>
          <t>ÅNGE</t>
        </is>
      </c>
      <c r="G341" t="n">
        <v>4.4</v>
      </c>
      <c r="H341" t="n">
        <v>0</v>
      </c>
      <c r="I341" t="n">
        <v>0</v>
      </c>
      <c r="J341" t="n">
        <v>0</v>
      </c>
      <c r="K341" t="n">
        <v>0</v>
      </c>
      <c r="L341" t="n">
        <v>0</v>
      </c>
      <c r="M341" t="n">
        <v>0</v>
      </c>
      <c r="N341" t="n">
        <v>0</v>
      </c>
      <c r="O341" t="n">
        <v>0</v>
      </c>
      <c r="P341" t="n">
        <v>0</v>
      </c>
      <c r="Q341" t="n">
        <v>0</v>
      </c>
      <c r="R341" s="2" t="inlineStr"/>
    </row>
    <row r="342" ht="15" customHeight="1">
      <c r="A342" t="inlineStr">
        <is>
          <t>A 70899-2021</t>
        </is>
      </c>
      <c r="B342" s="1" t="n">
        <v>44537</v>
      </c>
      <c r="C342" s="1" t="n">
        <v>46046</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74194-2021</t>
        </is>
      </c>
      <c r="B343" s="1" t="n">
        <v>44558.47333333334</v>
      </c>
      <c r="C343" s="1" t="n">
        <v>46046</v>
      </c>
      <c r="D343" t="inlineStr">
        <is>
          <t>VÄSTERNORRLANDS LÄN</t>
        </is>
      </c>
      <c r="E343" t="inlineStr">
        <is>
          <t>ÅNGE</t>
        </is>
      </c>
      <c r="G343" t="n">
        <v>1.9</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46046</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13641-2022</t>
        </is>
      </c>
      <c r="B345" s="1" t="n">
        <v>44648</v>
      </c>
      <c r="C345" s="1" t="n">
        <v>46046</v>
      </c>
      <c r="D345" t="inlineStr">
        <is>
          <t>VÄSTERNORRLANDS LÄN</t>
        </is>
      </c>
      <c r="E345" t="inlineStr">
        <is>
          <t>ÅNGE</t>
        </is>
      </c>
      <c r="G345" t="n">
        <v>4.9</v>
      </c>
      <c r="H345" t="n">
        <v>0</v>
      </c>
      <c r="I345" t="n">
        <v>0</v>
      </c>
      <c r="J345" t="n">
        <v>0</v>
      </c>
      <c r="K345" t="n">
        <v>0</v>
      </c>
      <c r="L345" t="n">
        <v>0</v>
      </c>
      <c r="M345" t="n">
        <v>0</v>
      </c>
      <c r="N345" t="n">
        <v>0</v>
      </c>
      <c r="O345" t="n">
        <v>0</v>
      </c>
      <c r="P345" t="n">
        <v>0</v>
      </c>
      <c r="Q345" t="n">
        <v>0</v>
      </c>
      <c r="R345" s="2" t="inlineStr"/>
    </row>
    <row r="346" ht="15" customHeight="1">
      <c r="A346" t="inlineStr">
        <is>
          <t>A 46053-2021</t>
        </is>
      </c>
      <c r="B346" s="1" t="n">
        <v>44441</v>
      </c>
      <c r="C346" s="1" t="n">
        <v>46046</v>
      </c>
      <c r="D346" t="inlineStr">
        <is>
          <t>VÄSTERNORRLANDS LÄN</t>
        </is>
      </c>
      <c r="E346" t="inlineStr">
        <is>
          <t>ÅNGE</t>
        </is>
      </c>
      <c r="F346" t="inlineStr">
        <is>
          <t>SCA</t>
        </is>
      </c>
      <c r="G346" t="n">
        <v>0.2</v>
      </c>
      <c r="H346" t="n">
        <v>0</v>
      </c>
      <c r="I346" t="n">
        <v>0</v>
      </c>
      <c r="J346" t="n">
        <v>0</v>
      </c>
      <c r="K346" t="n">
        <v>0</v>
      </c>
      <c r="L346" t="n">
        <v>0</v>
      </c>
      <c r="M346" t="n">
        <v>0</v>
      </c>
      <c r="N346" t="n">
        <v>0</v>
      </c>
      <c r="O346" t="n">
        <v>0</v>
      </c>
      <c r="P346" t="n">
        <v>0</v>
      </c>
      <c r="Q346" t="n">
        <v>0</v>
      </c>
      <c r="R346" s="2" t="inlineStr"/>
    </row>
    <row r="347" ht="15" customHeight="1">
      <c r="A347" t="inlineStr">
        <is>
          <t>A 1297-2022</t>
        </is>
      </c>
      <c r="B347" s="1" t="n">
        <v>44572.69135416667</v>
      </c>
      <c r="C347" s="1" t="n">
        <v>46046</v>
      </c>
      <c r="D347" t="inlineStr">
        <is>
          <t>VÄSTERNORRLANDS LÄN</t>
        </is>
      </c>
      <c r="E347" t="inlineStr">
        <is>
          <t>ÅNGE</t>
        </is>
      </c>
      <c r="G347" t="n">
        <v>2.3</v>
      </c>
      <c r="H347" t="n">
        <v>0</v>
      </c>
      <c r="I347" t="n">
        <v>0</v>
      </c>
      <c r="J347" t="n">
        <v>0</v>
      </c>
      <c r="K347" t="n">
        <v>0</v>
      </c>
      <c r="L347" t="n">
        <v>0</v>
      </c>
      <c r="M347" t="n">
        <v>0</v>
      </c>
      <c r="N347" t="n">
        <v>0</v>
      </c>
      <c r="O347" t="n">
        <v>0</v>
      </c>
      <c r="P347" t="n">
        <v>0</v>
      </c>
      <c r="Q347" t="n">
        <v>0</v>
      </c>
      <c r="R347" s="2" t="inlineStr"/>
    </row>
    <row r="348" ht="15" customHeight="1">
      <c r="A348" t="inlineStr">
        <is>
          <t>A 45145-2021</t>
        </is>
      </c>
      <c r="B348" s="1" t="n">
        <v>44439</v>
      </c>
      <c r="C348" s="1" t="n">
        <v>46046</v>
      </c>
      <c r="D348" t="inlineStr">
        <is>
          <t>VÄSTERNORRLANDS LÄN</t>
        </is>
      </c>
      <c r="E348" t="inlineStr">
        <is>
          <t>ÅNGE</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10342-2021</t>
        </is>
      </c>
      <c r="B349" s="1" t="n">
        <v>44257</v>
      </c>
      <c r="C349" s="1" t="n">
        <v>46046</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71302-2021</t>
        </is>
      </c>
      <c r="B350" s="1" t="n">
        <v>44539.63871527778</v>
      </c>
      <c r="C350" s="1" t="n">
        <v>46046</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70893-2021</t>
        </is>
      </c>
      <c r="B351" s="1" t="n">
        <v>44538</v>
      </c>
      <c r="C351" s="1" t="n">
        <v>46046</v>
      </c>
      <c r="D351" t="inlineStr">
        <is>
          <t>VÄSTERNORRLANDS LÄN</t>
        </is>
      </c>
      <c r="E351" t="inlineStr">
        <is>
          <t>ÅNGE</t>
        </is>
      </c>
      <c r="G351" t="n">
        <v>6.2</v>
      </c>
      <c r="H351" t="n">
        <v>0</v>
      </c>
      <c r="I351" t="n">
        <v>0</v>
      </c>
      <c r="J351" t="n">
        <v>0</v>
      </c>
      <c r="K351" t="n">
        <v>0</v>
      </c>
      <c r="L351" t="n">
        <v>0</v>
      </c>
      <c r="M351" t="n">
        <v>0</v>
      </c>
      <c r="N351" t="n">
        <v>0</v>
      </c>
      <c r="O351" t="n">
        <v>0</v>
      </c>
      <c r="P351" t="n">
        <v>0</v>
      </c>
      <c r="Q351" t="n">
        <v>0</v>
      </c>
      <c r="R351" s="2" t="inlineStr"/>
    </row>
    <row r="352" ht="15" customHeight="1">
      <c r="A352" t="inlineStr">
        <is>
          <t>A 6732-2022</t>
        </is>
      </c>
      <c r="B352" s="1" t="n">
        <v>44602.46072916667</v>
      </c>
      <c r="C352" s="1" t="n">
        <v>46046</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20807-2021</t>
        </is>
      </c>
      <c r="B353" s="1" t="n">
        <v>44316.93965277778</v>
      </c>
      <c r="C353" s="1" t="n">
        <v>46046</v>
      </c>
      <c r="D353" t="inlineStr">
        <is>
          <t>VÄSTERNORRLANDS LÄN</t>
        </is>
      </c>
      <c r="E353" t="inlineStr">
        <is>
          <t>ÅNGE</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17594-2021</t>
        </is>
      </c>
      <c r="B354" s="1" t="n">
        <v>44299</v>
      </c>
      <c r="C354" s="1" t="n">
        <v>46046</v>
      </c>
      <c r="D354" t="inlineStr">
        <is>
          <t>VÄSTERNORRLANDS LÄN</t>
        </is>
      </c>
      <c r="E354" t="inlineStr">
        <is>
          <t>ÅNGE</t>
        </is>
      </c>
      <c r="G354" t="n">
        <v>0.8</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46046</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46046</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46046</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20369-2022</t>
        </is>
      </c>
      <c r="B358" s="1" t="n">
        <v>44699.41140046297</v>
      </c>
      <c r="C358" s="1" t="n">
        <v>46046</v>
      </c>
      <c r="D358" t="inlineStr">
        <is>
          <t>VÄSTERNORRLANDS LÄN</t>
        </is>
      </c>
      <c r="E358" t="inlineStr">
        <is>
          <t>ÅNGE</t>
        </is>
      </c>
      <c r="G358" t="n">
        <v>5.5</v>
      </c>
      <c r="H358" t="n">
        <v>0</v>
      </c>
      <c r="I358" t="n">
        <v>0</v>
      </c>
      <c r="J358" t="n">
        <v>0</v>
      </c>
      <c r="K358" t="n">
        <v>0</v>
      </c>
      <c r="L358" t="n">
        <v>0</v>
      </c>
      <c r="M358" t="n">
        <v>0</v>
      </c>
      <c r="N358" t="n">
        <v>0</v>
      </c>
      <c r="O358" t="n">
        <v>0</v>
      </c>
      <c r="P358" t="n">
        <v>0</v>
      </c>
      <c r="Q358" t="n">
        <v>0</v>
      </c>
      <c r="R358" s="2" t="inlineStr"/>
    </row>
    <row r="359" ht="15" customHeight="1">
      <c r="A359" t="inlineStr">
        <is>
          <t>A 6263-2022</t>
        </is>
      </c>
      <c r="B359" s="1" t="n">
        <v>44600</v>
      </c>
      <c r="C359" s="1" t="n">
        <v>46046</v>
      </c>
      <c r="D359" t="inlineStr">
        <is>
          <t>VÄSTERNORRLANDS LÄN</t>
        </is>
      </c>
      <c r="E359" t="inlineStr">
        <is>
          <t>ÅNGE</t>
        </is>
      </c>
      <c r="G359" t="n">
        <v>1.4</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46046</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27953-2021</t>
        </is>
      </c>
      <c r="B361" s="1" t="n">
        <v>44354.9209375</v>
      </c>
      <c r="C361" s="1" t="n">
        <v>46046</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5113-2022</t>
        </is>
      </c>
      <c r="B362" s="1" t="n">
        <v>44593.93362268519</v>
      </c>
      <c r="C362" s="1" t="n">
        <v>46046</v>
      </c>
      <c r="D362" t="inlineStr">
        <is>
          <t>VÄSTERNORRLANDS LÄN</t>
        </is>
      </c>
      <c r="E362" t="inlineStr">
        <is>
          <t>ÅNGE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31668-2021</t>
        </is>
      </c>
      <c r="B363" s="1" t="n">
        <v>44369</v>
      </c>
      <c r="C363" s="1" t="n">
        <v>46046</v>
      </c>
      <c r="D363" t="inlineStr">
        <is>
          <t>VÄSTERNORRLANDS LÄN</t>
        </is>
      </c>
      <c r="E363" t="inlineStr">
        <is>
          <t>ÅNGE</t>
        </is>
      </c>
      <c r="F363" t="inlineStr">
        <is>
          <t>Kyrkan</t>
        </is>
      </c>
      <c r="G363" t="n">
        <v>3.6</v>
      </c>
      <c r="H363" t="n">
        <v>0</v>
      </c>
      <c r="I363" t="n">
        <v>0</v>
      </c>
      <c r="J363" t="n">
        <v>0</v>
      </c>
      <c r="K363" t="n">
        <v>0</v>
      </c>
      <c r="L363" t="n">
        <v>0</v>
      </c>
      <c r="M363" t="n">
        <v>0</v>
      </c>
      <c r="N363" t="n">
        <v>0</v>
      </c>
      <c r="O363" t="n">
        <v>0</v>
      </c>
      <c r="P363" t="n">
        <v>0</v>
      </c>
      <c r="Q363" t="n">
        <v>0</v>
      </c>
      <c r="R363" s="2" t="inlineStr"/>
    </row>
    <row r="364" ht="15" customHeight="1">
      <c r="A364" t="inlineStr">
        <is>
          <t>A 18024-2022</t>
        </is>
      </c>
      <c r="B364" s="1" t="n">
        <v>44683.94383101852</v>
      </c>
      <c r="C364" s="1" t="n">
        <v>46046</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32328-2021</t>
        </is>
      </c>
      <c r="B365" s="1" t="n">
        <v>44371.55924768518</v>
      </c>
      <c r="C365" s="1" t="n">
        <v>46046</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17009-2023</t>
        </is>
      </c>
      <c r="B366" s="1" t="n">
        <v>45033.9455787037</v>
      </c>
      <c r="C366" s="1" t="n">
        <v>46046</v>
      </c>
      <c r="D366" t="inlineStr">
        <is>
          <t>VÄSTERNORRLANDS LÄN</t>
        </is>
      </c>
      <c r="E366" t="inlineStr">
        <is>
          <t>ÅNGE</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30365-2021</t>
        </is>
      </c>
      <c r="B367" s="1" t="n">
        <v>44364.45164351852</v>
      </c>
      <c r="C367" s="1" t="n">
        <v>46046</v>
      </c>
      <c r="D367" t="inlineStr">
        <is>
          <t>VÄSTERNORRLANDS LÄN</t>
        </is>
      </c>
      <c r="E367" t="inlineStr">
        <is>
          <t>ÅNGE</t>
        </is>
      </c>
      <c r="G367" t="n">
        <v>3.9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46046</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17044-2022</t>
        </is>
      </c>
      <c r="B369" s="1" t="n">
        <v>44676</v>
      </c>
      <c r="C369" s="1" t="n">
        <v>46046</v>
      </c>
      <c r="D369" t="inlineStr">
        <is>
          <t>VÄSTERNORRLANDS LÄN</t>
        </is>
      </c>
      <c r="E369" t="inlineStr">
        <is>
          <t>ÅNGE</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35496-2022</t>
        </is>
      </c>
      <c r="B370" s="1" t="n">
        <v>44798</v>
      </c>
      <c r="C370" s="1" t="n">
        <v>46046</v>
      </c>
      <c r="D370" t="inlineStr">
        <is>
          <t>VÄSTERNORRLANDS LÄN</t>
        </is>
      </c>
      <c r="E370" t="inlineStr">
        <is>
          <t>ÅNGE</t>
        </is>
      </c>
      <c r="F370" t="inlineStr">
        <is>
          <t>SCA</t>
        </is>
      </c>
      <c r="G370" t="n">
        <v>15.6</v>
      </c>
      <c r="H370" t="n">
        <v>0</v>
      </c>
      <c r="I370" t="n">
        <v>0</v>
      </c>
      <c r="J370" t="n">
        <v>0</v>
      </c>
      <c r="K370" t="n">
        <v>0</v>
      </c>
      <c r="L370" t="n">
        <v>0</v>
      </c>
      <c r="M370" t="n">
        <v>0</v>
      </c>
      <c r="N370" t="n">
        <v>0</v>
      </c>
      <c r="O370" t="n">
        <v>0</v>
      </c>
      <c r="P370" t="n">
        <v>0</v>
      </c>
      <c r="Q370" t="n">
        <v>0</v>
      </c>
      <c r="R370" s="2" t="inlineStr"/>
    </row>
    <row r="371" ht="15" customHeight="1">
      <c r="A371" t="inlineStr">
        <is>
          <t>A 24324-2022</t>
        </is>
      </c>
      <c r="B371" s="1" t="n">
        <v>44725.945</v>
      </c>
      <c r="C371" s="1" t="n">
        <v>46046</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24325-2022</t>
        </is>
      </c>
      <c r="B372" s="1" t="n">
        <v>44725.94506944445</v>
      </c>
      <c r="C372" s="1" t="n">
        <v>46046</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61761-2021</t>
        </is>
      </c>
      <c r="B373" s="1" t="n">
        <v>44501</v>
      </c>
      <c r="C373" s="1" t="n">
        <v>46046</v>
      </c>
      <c r="D373" t="inlineStr">
        <is>
          <t>VÄSTERNORRLANDS LÄN</t>
        </is>
      </c>
      <c r="E373" t="inlineStr">
        <is>
          <t>ÅNGE</t>
        </is>
      </c>
      <c r="G373" t="n">
        <v>0.3</v>
      </c>
      <c r="H373" t="n">
        <v>0</v>
      </c>
      <c r="I373" t="n">
        <v>0</v>
      </c>
      <c r="J373" t="n">
        <v>0</v>
      </c>
      <c r="K373" t="n">
        <v>0</v>
      </c>
      <c r="L373" t="n">
        <v>0</v>
      </c>
      <c r="M373" t="n">
        <v>0</v>
      </c>
      <c r="N373" t="n">
        <v>0</v>
      </c>
      <c r="O373" t="n">
        <v>0</v>
      </c>
      <c r="P373" t="n">
        <v>0</v>
      </c>
      <c r="Q373" t="n">
        <v>0</v>
      </c>
      <c r="R373" s="2" t="inlineStr"/>
    </row>
    <row r="374" ht="15" customHeight="1">
      <c r="A374" t="inlineStr">
        <is>
          <t>A 19829-2025</t>
        </is>
      </c>
      <c r="B374" s="1" t="n">
        <v>45771.46944444445</v>
      </c>
      <c r="C374" s="1" t="n">
        <v>46046</v>
      </c>
      <c r="D374" t="inlineStr">
        <is>
          <t>VÄSTERNORRLANDS LÄN</t>
        </is>
      </c>
      <c r="E374" t="inlineStr">
        <is>
          <t>ÅNGE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16362-2023</t>
        </is>
      </c>
      <c r="B375" s="1" t="n">
        <v>45028.9250462963</v>
      </c>
      <c r="C375" s="1" t="n">
        <v>46046</v>
      </c>
      <c r="D375" t="inlineStr">
        <is>
          <t>VÄSTERNORRLANDS LÄN</t>
        </is>
      </c>
      <c r="E375" t="inlineStr">
        <is>
          <t>ÅNGE</t>
        </is>
      </c>
      <c r="G375" t="n">
        <v>4.8</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46046</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46046</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46046</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39973-2023</t>
        </is>
      </c>
      <c r="B379" s="1" t="n">
        <v>45168.5858912037</v>
      </c>
      <c r="C379" s="1" t="n">
        <v>46046</v>
      </c>
      <c r="D379" t="inlineStr">
        <is>
          <t>VÄSTERNORRLANDS LÄN</t>
        </is>
      </c>
      <c r="E379" t="inlineStr">
        <is>
          <t>ÅNGE</t>
        </is>
      </c>
      <c r="G379" t="n">
        <v>3.6</v>
      </c>
      <c r="H379" t="n">
        <v>0</v>
      </c>
      <c r="I379" t="n">
        <v>0</v>
      </c>
      <c r="J379" t="n">
        <v>0</v>
      </c>
      <c r="K379" t="n">
        <v>0</v>
      </c>
      <c r="L379" t="n">
        <v>0</v>
      </c>
      <c r="M379" t="n">
        <v>0</v>
      </c>
      <c r="N379" t="n">
        <v>0</v>
      </c>
      <c r="O379" t="n">
        <v>0</v>
      </c>
      <c r="P379" t="n">
        <v>0</v>
      </c>
      <c r="Q379" t="n">
        <v>0</v>
      </c>
      <c r="R379" s="2" t="inlineStr"/>
    </row>
    <row r="380" ht="15" customHeight="1">
      <c r="A380" t="inlineStr">
        <is>
          <t>A 33747-2024</t>
        </is>
      </c>
      <c r="B380" s="1" t="n">
        <v>45520</v>
      </c>
      <c r="C380" s="1" t="n">
        <v>46046</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34851-2023</t>
        </is>
      </c>
      <c r="B381" s="1" t="n">
        <v>45141</v>
      </c>
      <c r="C381" s="1" t="n">
        <v>46046</v>
      </c>
      <c r="D381" t="inlineStr">
        <is>
          <t>VÄSTERNORRLANDS LÄN</t>
        </is>
      </c>
      <c r="E381" t="inlineStr">
        <is>
          <t>ÅNGE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48725-2024</t>
        </is>
      </c>
      <c r="B382" s="1" t="n">
        <v>45593.55793981482</v>
      </c>
      <c r="C382" s="1" t="n">
        <v>46046</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37621-2021</t>
        </is>
      </c>
      <c r="B383" s="1" t="n">
        <v>44399</v>
      </c>
      <c r="C383" s="1" t="n">
        <v>46046</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30768-2022</t>
        </is>
      </c>
      <c r="B384" s="1" t="n">
        <v>44764.53608796297</v>
      </c>
      <c r="C384" s="1" t="n">
        <v>46046</v>
      </c>
      <c r="D384" t="inlineStr">
        <is>
          <t>VÄSTERNORRLANDS LÄN</t>
        </is>
      </c>
      <c r="E384" t="inlineStr">
        <is>
          <t>ÅNGE</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46046</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113-2025</t>
        </is>
      </c>
      <c r="B386" s="1" t="n">
        <v>45659.5106712963</v>
      </c>
      <c r="C386" s="1" t="n">
        <v>46046</v>
      </c>
      <c r="D386" t="inlineStr">
        <is>
          <t>VÄSTERNORRLANDS LÄN</t>
        </is>
      </c>
      <c r="E386" t="inlineStr">
        <is>
          <t>ÅNGE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46046</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46046</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27002-2023</t>
        </is>
      </c>
      <c r="B389" s="1" t="n">
        <v>45093</v>
      </c>
      <c r="C389" s="1" t="n">
        <v>46046</v>
      </c>
      <c r="D389" t="inlineStr">
        <is>
          <t>VÄSTERNORRLANDS LÄN</t>
        </is>
      </c>
      <c r="E389" t="inlineStr">
        <is>
          <t>ÅNGE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46046</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39619-2024</t>
        </is>
      </c>
      <c r="B391" s="1" t="n">
        <v>45552</v>
      </c>
      <c r="C391" s="1" t="n">
        <v>46046</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39594-2022</t>
        </is>
      </c>
      <c r="B392" s="1" t="n">
        <v>44818</v>
      </c>
      <c r="C392" s="1" t="n">
        <v>46046</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37051-2021</t>
        </is>
      </c>
      <c r="B393" s="1" t="n">
        <v>44393</v>
      </c>
      <c r="C393" s="1" t="n">
        <v>46046</v>
      </c>
      <c r="D393" t="inlineStr">
        <is>
          <t>VÄSTERNORRLANDS LÄN</t>
        </is>
      </c>
      <c r="E393" t="inlineStr">
        <is>
          <t>ÅNGE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10313-2022</t>
        </is>
      </c>
      <c r="B394" s="1" t="n">
        <v>44622</v>
      </c>
      <c r="C394" s="1" t="n">
        <v>46046</v>
      </c>
      <c r="D394" t="inlineStr">
        <is>
          <t>VÄSTERNORRLANDS LÄN</t>
        </is>
      </c>
      <c r="E394" t="inlineStr">
        <is>
          <t>ÅNGE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66233-2021</t>
        </is>
      </c>
      <c r="B395" s="1" t="n">
        <v>44518.39234953704</v>
      </c>
      <c r="C395" s="1" t="n">
        <v>46046</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5613-2024</t>
        </is>
      </c>
      <c r="B396" s="1" t="n">
        <v>45334</v>
      </c>
      <c r="C396" s="1" t="n">
        <v>46046</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51555-2022</t>
        </is>
      </c>
      <c r="B397" s="1" t="n">
        <v>44869.9495949074</v>
      </c>
      <c r="C397" s="1" t="n">
        <v>46046</v>
      </c>
      <c r="D397" t="inlineStr">
        <is>
          <t>VÄSTERNORRLANDS LÄN</t>
        </is>
      </c>
      <c r="E397" t="inlineStr">
        <is>
          <t>ÅNGE</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61928-2021</t>
        </is>
      </c>
      <c r="B398" s="1" t="n">
        <v>44502.38475694445</v>
      </c>
      <c r="C398" s="1" t="n">
        <v>46046</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5367-2022</t>
        </is>
      </c>
      <c r="B399" s="1" t="n">
        <v>44594.92111111111</v>
      </c>
      <c r="C399" s="1" t="n">
        <v>46046</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54429-2024</t>
        </is>
      </c>
      <c r="B400" s="1" t="n">
        <v>45617.49087962963</v>
      </c>
      <c r="C400" s="1" t="n">
        <v>46046</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15368-2024</t>
        </is>
      </c>
      <c r="B401" s="1" t="n">
        <v>45400.92284722222</v>
      </c>
      <c r="C401" s="1" t="n">
        <v>46046</v>
      </c>
      <c r="D401" t="inlineStr">
        <is>
          <t>VÄSTERNORRLANDS LÄN</t>
        </is>
      </c>
      <c r="E401" t="inlineStr">
        <is>
          <t>ÅNGE</t>
        </is>
      </c>
      <c r="G401" t="n">
        <v>0.4</v>
      </c>
      <c r="H401" t="n">
        <v>0</v>
      </c>
      <c r="I401" t="n">
        <v>0</v>
      </c>
      <c r="J401" t="n">
        <v>0</v>
      </c>
      <c r="K401" t="n">
        <v>0</v>
      </c>
      <c r="L401" t="n">
        <v>0</v>
      </c>
      <c r="M401" t="n">
        <v>0</v>
      </c>
      <c r="N401" t="n">
        <v>0</v>
      </c>
      <c r="O401" t="n">
        <v>0</v>
      </c>
      <c r="P401" t="n">
        <v>0</v>
      </c>
      <c r="Q401" t="n">
        <v>0</v>
      </c>
      <c r="R401" s="2" t="inlineStr"/>
    </row>
    <row r="402" ht="15" customHeight="1">
      <c r="A402" t="inlineStr">
        <is>
          <t>A 24293-2023</t>
        </is>
      </c>
      <c r="B402" s="1" t="n">
        <v>45079.92756944444</v>
      </c>
      <c r="C402" s="1" t="n">
        <v>46046</v>
      </c>
      <c r="D402" t="inlineStr">
        <is>
          <t>VÄSTERNORRLANDS LÄN</t>
        </is>
      </c>
      <c r="E402" t="inlineStr">
        <is>
          <t>ÅNGE</t>
        </is>
      </c>
      <c r="G402" t="n">
        <v>0.8</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46046</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46046</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6680-2024</t>
        </is>
      </c>
      <c r="B405" s="1" t="n">
        <v>45341</v>
      </c>
      <c r="C405" s="1" t="n">
        <v>46046</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15799-2025</t>
        </is>
      </c>
      <c r="B406" s="1" t="n">
        <v>45748.64768518518</v>
      </c>
      <c r="C406" s="1" t="n">
        <v>46046</v>
      </c>
      <c r="D406" t="inlineStr">
        <is>
          <t>VÄSTERNORRLANDS LÄN</t>
        </is>
      </c>
      <c r="E406" t="inlineStr">
        <is>
          <t>ÅNGE</t>
        </is>
      </c>
      <c r="G406" t="n">
        <v>2.3</v>
      </c>
      <c r="H406" t="n">
        <v>0</v>
      </c>
      <c r="I406" t="n">
        <v>0</v>
      </c>
      <c r="J406" t="n">
        <v>0</v>
      </c>
      <c r="K406" t="n">
        <v>0</v>
      </c>
      <c r="L406" t="n">
        <v>0</v>
      </c>
      <c r="M406" t="n">
        <v>0</v>
      </c>
      <c r="N406" t="n">
        <v>0</v>
      </c>
      <c r="O406" t="n">
        <v>0</v>
      </c>
      <c r="P406" t="n">
        <v>0</v>
      </c>
      <c r="Q406" t="n">
        <v>0</v>
      </c>
      <c r="R406" s="2" t="inlineStr"/>
    </row>
    <row r="407" ht="15" customHeight="1">
      <c r="A407" t="inlineStr">
        <is>
          <t>A 6685-2024</t>
        </is>
      </c>
      <c r="B407" s="1" t="n">
        <v>45341</v>
      </c>
      <c r="C407" s="1" t="n">
        <v>46046</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6689-2024</t>
        </is>
      </c>
      <c r="B408" s="1" t="n">
        <v>45341.9259375</v>
      </c>
      <c r="C408" s="1" t="n">
        <v>46046</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51494-2022</t>
        </is>
      </c>
      <c r="B409" s="1" t="n">
        <v>44869</v>
      </c>
      <c r="C409" s="1" t="n">
        <v>46046</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361-2025</t>
        </is>
      </c>
      <c r="B410" s="1" t="n">
        <v>45660</v>
      </c>
      <c r="C410" s="1" t="n">
        <v>46046</v>
      </c>
      <c r="D410" t="inlineStr">
        <is>
          <t>VÄSTERNORRLANDS LÄN</t>
        </is>
      </c>
      <c r="E410" t="inlineStr">
        <is>
          <t>ÅNGE</t>
        </is>
      </c>
      <c r="G410" t="n">
        <v>4.2</v>
      </c>
      <c r="H410" t="n">
        <v>0</v>
      </c>
      <c r="I410" t="n">
        <v>0</v>
      </c>
      <c r="J410" t="n">
        <v>0</v>
      </c>
      <c r="K410" t="n">
        <v>0</v>
      </c>
      <c r="L410" t="n">
        <v>0</v>
      </c>
      <c r="M410" t="n">
        <v>0</v>
      </c>
      <c r="N410" t="n">
        <v>0</v>
      </c>
      <c r="O410" t="n">
        <v>0</v>
      </c>
      <c r="P410" t="n">
        <v>0</v>
      </c>
      <c r="Q410" t="n">
        <v>0</v>
      </c>
      <c r="R410" s="2" t="inlineStr"/>
    </row>
    <row r="411" ht="15" customHeight="1">
      <c r="A411" t="inlineStr">
        <is>
          <t>A 39985-2023</t>
        </is>
      </c>
      <c r="B411" s="1" t="n">
        <v>45168</v>
      </c>
      <c r="C411" s="1" t="n">
        <v>46046</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46046</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16303-2025</t>
        </is>
      </c>
      <c r="B413" s="1" t="n">
        <v>45751.3462037037</v>
      </c>
      <c r="C413" s="1" t="n">
        <v>46046</v>
      </c>
      <c r="D413" t="inlineStr">
        <is>
          <t>VÄSTERNORRLANDS LÄN</t>
        </is>
      </c>
      <c r="E413" t="inlineStr">
        <is>
          <t>ÅNGE</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46046</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36290-2023</t>
        </is>
      </c>
      <c r="B415" s="1" t="n">
        <v>45152.35467592593</v>
      </c>
      <c r="C415" s="1" t="n">
        <v>46046</v>
      </c>
      <c r="D415" t="inlineStr">
        <is>
          <t>VÄSTERNORRLANDS LÄN</t>
        </is>
      </c>
      <c r="E415" t="inlineStr">
        <is>
          <t>ÅNGE</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49945-2023</t>
        </is>
      </c>
      <c r="B416" s="1" t="n">
        <v>45215.3625462963</v>
      </c>
      <c r="C416" s="1" t="n">
        <v>46046</v>
      </c>
      <c r="D416" t="inlineStr">
        <is>
          <t>VÄSTERNORRLANDS LÄN</t>
        </is>
      </c>
      <c r="E416" t="inlineStr">
        <is>
          <t>ÅNGE</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1420-2023</t>
        </is>
      </c>
      <c r="B417" s="1" t="n">
        <v>44936.92762731481</v>
      </c>
      <c r="C417" s="1" t="n">
        <v>46046</v>
      </c>
      <c r="D417" t="inlineStr">
        <is>
          <t>VÄSTERNORRLANDS LÄN</t>
        </is>
      </c>
      <c r="E417" t="inlineStr">
        <is>
          <t>ÅNGE</t>
        </is>
      </c>
      <c r="G417" t="n">
        <v>3.7</v>
      </c>
      <c r="H417" t="n">
        <v>0</v>
      </c>
      <c r="I417" t="n">
        <v>0</v>
      </c>
      <c r="J417" t="n">
        <v>0</v>
      </c>
      <c r="K417" t="n">
        <v>0</v>
      </c>
      <c r="L417" t="n">
        <v>0</v>
      </c>
      <c r="M417" t="n">
        <v>0</v>
      </c>
      <c r="N417" t="n">
        <v>0</v>
      </c>
      <c r="O417" t="n">
        <v>0</v>
      </c>
      <c r="P417" t="n">
        <v>0</v>
      </c>
      <c r="Q417" t="n">
        <v>0</v>
      </c>
      <c r="R417" s="2" t="inlineStr"/>
    </row>
    <row r="418" ht="15" customHeight="1">
      <c r="A418" t="inlineStr">
        <is>
          <t>A 34691-2024</t>
        </is>
      </c>
      <c r="B418" s="1" t="n">
        <v>45526.54516203704</v>
      </c>
      <c r="C418" s="1" t="n">
        <v>46046</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46046</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15791-2025</t>
        </is>
      </c>
      <c r="B420" s="1" t="n">
        <v>45748.631875</v>
      </c>
      <c r="C420" s="1" t="n">
        <v>46046</v>
      </c>
      <c r="D420" t="inlineStr">
        <is>
          <t>VÄSTERNORRLANDS LÄN</t>
        </is>
      </c>
      <c r="E420" t="inlineStr">
        <is>
          <t>ÅNGE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30286-2021</t>
        </is>
      </c>
      <c r="B421" s="1" t="n">
        <v>44363</v>
      </c>
      <c r="C421" s="1" t="n">
        <v>46046</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30273-2023</t>
        </is>
      </c>
      <c r="B422" s="1" t="n">
        <v>45099</v>
      </c>
      <c r="C422" s="1" t="n">
        <v>46046</v>
      </c>
      <c r="D422" t="inlineStr">
        <is>
          <t>VÄSTERNORRLANDS LÄN</t>
        </is>
      </c>
      <c r="E422" t="inlineStr">
        <is>
          <t>ÅNGE</t>
        </is>
      </c>
      <c r="G422" t="n">
        <v>3.9</v>
      </c>
      <c r="H422" t="n">
        <v>0</v>
      </c>
      <c r="I422" t="n">
        <v>0</v>
      </c>
      <c r="J422" t="n">
        <v>0</v>
      </c>
      <c r="K422" t="n">
        <v>0</v>
      </c>
      <c r="L422" t="n">
        <v>0</v>
      </c>
      <c r="M422" t="n">
        <v>0</v>
      </c>
      <c r="N422" t="n">
        <v>0</v>
      </c>
      <c r="O422" t="n">
        <v>0</v>
      </c>
      <c r="P422" t="n">
        <v>0</v>
      </c>
      <c r="Q422" t="n">
        <v>0</v>
      </c>
      <c r="R422" s="2" t="inlineStr"/>
    </row>
    <row r="423" ht="15" customHeight="1">
      <c r="A423" t="inlineStr">
        <is>
          <t>A 54585-2024</t>
        </is>
      </c>
      <c r="B423" s="1" t="n">
        <v>45617.65762731482</v>
      </c>
      <c r="C423" s="1" t="n">
        <v>46046</v>
      </c>
      <c r="D423" t="inlineStr">
        <is>
          <t>VÄSTERNORRLANDS LÄN</t>
        </is>
      </c>
      <c r="E423" t="inlineStr">
        <is>
          <t>ÅNGE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29048-2021</t>
        </is>
      </c>
      <c r="B424" s="1" t="n">
        <v>44358</v>
      </c>
      <c r="C424" s="1" t="n">
        <v>46046</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14889-2022</t>
        </is>
      </c>
      <c r="B425" s="1" t="n">
        <v>44656</v>
      </c>
      <c r="C425" s="1" t="n">
        <v>46046</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46046</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46046</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17044-2023</t>
        </is>
      </c>
      <c r="B428" s="1" t="n">
        <v>45034</v>
      </c>
      <c r="C428" s="1" t="n">
        <v>46046</v>
      </c>
      <c r="D428" t="inlineStr">
        <is>
          <t>VÄSTERNORRLANDS LÄN</t>
        </is>
      </c>
      <c r="E428" t="inlineStr">
        <is>
          <t>ÅNGE</t>
        </is>
      </c>
      <c r="G428" t="n">
        <v>0.5</v>
      </c>
      <c r="H428" t="n">
        <v>0</v>
      </c>
      <c r="I428" t="n">
        <v>0</v>
      </c>
      <c r="J428" t="n">
        <v>0</v>
      </c>
      <c r="K428" t="n">
        <v>0</v>
      </c>
      <c r="L428" t="n">
        <v>0</v>
      </c>
      <c r="M428" t="n">
        <v>0</v>
      </c>
      <c r="N428" t="n">
        <v>0</v>
      </c>
      <c r="O428" t="n">
        <v>0</v>
      </c>
      <c r="P428" t="n">
        <v>0</v>
      </c>
      <c r="Q428" t="n">
        <v>0</v>
      </c>
      <c r="R428" s="2" t="inlineStr"/>
    </row>
    <row r="429" ht="15" customHeight="1">
      <c r="A429" t="inlineStr">
        <is>
          <t>A 16657-2025</t>
        </is>
      </c>
      <c r="B429" s="1" t="n">
        <v>45754.40700231482</v>
      </c>
      <c r="C429" s="1" t="n">
        <v>46046</v>
      </c>
      <c r="D429" t="inlineStr">
        <is>
          <t>VÄSTERNORRLANDS LÄN</t>
        </is>
      </c>
      <c r="E429" t="inlineStr">
        <is>
          <t>ÅNGE</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63709-2023</t>
        </is>
      </c>
      <c r="B430" s="1" t="n">
        <v>45275.95069444444</v>
      </c>
      <c r="C430" s="1" t="n">
        <v>46046</v>
      </c>
      <c r="D430" t="inlineStr">
        <is>
          <t>VÄSTERNORRLANDS LÄN</t>
        </is>
      </c>
      <c r="E430" t="inlineStr">
        <is>
          <t>ÅNGE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30353-2024</t>
        </is>
      </c>
      <c r="B431" s="1" t="n">
        <v>45490.95567129629</v>
      </c>
      <c r="C431" s="1" t="n">
        <v>46046</v>
      </c>
      <c r="D431" t="inlineStr">
        <is>
          <t>VÄSTERNORRLANDS LÄN</t>
        </is>
      </c>
      <c r="E431" t="inlineStr">
        <is>
          <t>ÅNGE</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4187-2025</t>
        </is>
      </c>
      <c r="B432" s="1" t="n">
        <v>45685.44842592593</v>
      </c>
      <c r="C432" s="1" t="n">
        <v>46046</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58929-2024</t>
        </is>
      </c>
      <c r="B433" s="1" t="n">
        <v>45636.51090277778</v>
      </c>
      <c r="C433" s="1" t="n">
        <v>46046</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42100-2023</t>
        </is>
      </c>
      <c r="B434" s="1" t="n">
        <v>45174</v>
      </c>
      <c r="C434" s="1" t="n">
        <v>46046</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3966-2025</t>
        </is>
      </c>
      <c r="B435" s="1" t="n">
        <v>45684.51072916666</v>
      </c>
      <c r="C435" s="1" t="n">
        <v>46046</v>
      </c>
      <c r="D435" t="inlineStr">
        <is>
          <t>VÄSTERNORRLANDS LÄN</t>
        </is>
      </c>
      <c r="E435" t="inlineStr">
        <is>
          <t>ÅNGE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46046</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46046</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10087-2023</t>
        </is>
      </c>
      <c r="B438" s="1" t="n">
        <v>44985</v>
      </c>
      <c r="C438" s="1" t="n">
        <v>46046</v>
      </c>
      <c r="D438" t="inlineStr">
        <is>
          <t>VÄSTERNORRLANDS LÄN</t>
        </is>
      </c>
      <c r="E438" t="inlineStr">
        <is>
          <t>ÅNGE</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18668-2023</t>
        </is>
      </c>
      <c r="B439" s="1" t="n">
        <v>45043.57108796296</v>
      </c>
      <c r="C439" s="1" t="n">
        <v>46046</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15288-2025</t>
        </is>
      </c>
      <c r="B440" s="1" t="n">
        <v>45745.34423611111</v>
      </c>
      <c r="C440" s="1" t="n">
        <v>46046</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57526-2024</t>
        </is>
      </c>
      <c r="B441" s="1" t="n">
        <v>45630</v>
      </c>
      <c r="C441" s="1" t="n">
        <v>46046</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17670-2023</t>
        </is>
      </c>
      <c r="B442" s="1" t="n">
        <v>45036</v>
      </c>
      <c r="C442" s="1" t="n">
        <v>46046</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57109-2023</t>
        </is>
      </c>
      <c r="B443" s="1" t="n">
        <v>45239</v>
      </c>
      <c r="C443" s="1" t="n">
        <v>46046</v>
      </c>
      <c r="D443" t="inlineStr">
        <is>
          <t>VÄSTERNORRLANDS LÄN</t>
        </is>
      </c>
      <c r="E443" t="inlineStr">
        <is>
          <t>ÅNGE</t>
        </is>
      </c>
      <c r="G443" t="n">
        <v>7</v>
      </c>
      <c r="H443" t="n">
        <v>0</v>
      </c>
      <c r="I443" t="n">
        <v>0</v>
      </c>
      <c r="J443" t="n">
        <v>0</v>
      </c>
      <c r="K443" t="n">
        <v>0</v>
      </c>
      <c r="L443" t="n">
        <v>0</v>
      </c>
      <c r="M443" t="n">
        <v>0</v>
      </c>
      <c r="N443" t="n">
        <v>0</v>
      </c>
      <c r="O443" t="n">
        <v>0</v>
      </c>
      <c r="P443" t="n">
        <v>0</v>
      </c>
      <c r="Q443" t="n">
        <v>0</v>
      </c>
      <c r="R443" s="2" t="inlineStr"/>
    </row>
    <row r="444" ht="15" customHeight="1">
      <c r="A444" t="inlineStr">
        <is>
          <t>A 5999-2025</t>
        </is>
      </c>
      <c r="B444" s="1" t="n">
        <v>45695</v>
      </c>
      <c r="C444" s="1" t="n">
        <v>46046</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35593-2024</t>
        </is>
      </c>
      <c r="B445" s="1" t="n">
        <v>45531</v>
      </c>
      <c r="C445" s="1" t="n">
        <v>46046</v>
      </c>
      <c r="D445" t="inlineStr">
        <is>
          <t>VÄSTERNORRLANDS LÄN</t>
        </is>
      </c>
      <c r="E445" t="inlineStr">
        <is>
          <t>ÅNGE</t>
        </is>
      </c>
      <c r="G445" t="n">
        <v>17.6</v>
      </c>
      <c r="H445" t="n">
        <v>0</v>
      </c>
      <c r="I445" t="n">
        <v>0</v>
      </c>
      <c r="J445" t="n">
        <v>0</v>
      </c>
      <c r="K445" t="n">
        <v>0</v>
      </c>
      <c r="L445" t="n">
        <v>0</v>
      </c>
      <c r="M445" t="n">
        <v>0</v>
      </c>
      <c r="N445" t="n">
        <v>0</v>
      </c>
      <c r="O445" t="n">
        <v>0</v>
      </c>
      <c r="P445" t="n">
        <v>0</v>
      </c>
      <c r="Q445" t="n">
        <v>0</v>
      </c>
      <c r="R445" s="2" t="inlineStr"/>
    </row>
    <row r="446" ht="15" customHeight="1">
      <c r="A446" t="inlineStr">
        <is>
          <t>A 61577-2023</t>
        </is>
      </c>
      <c r="B446" s="1" t="n">
        <v>45265.47366898148</v>
      </c>
      <c r="C446" s="1" t="n">
        <v>46046</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51024-2024</t>
        </is>
      </c>
      <c r="B447" s="1" t="n">
        <v>45603.4141087963</v>
      </c>
      <c r="C447" s="1" t="n">
        <v>46046</v>
      </c>
      <c r="D447" t="inlineStr">
        <is>
          <t>VÄSTERNORRLANDS LÄN</t>
        </is>
      </c>
      <c r="E447" t="inlineStr">
        <is>
          <t>ÅNGE</t>
        </is>
      </c>
      <c r="G447" t="n">
        <v>8.9</v>
      </c>
      <c r="H447" t="n">
        <v>0</v>
      </c>
      <c r="I447" t="n">
        <v>0</v>
      </c>
      <c r="J447" t="n">
        <v>0</v>
      </c>
      <c r="K447" t="n">
        <v>0</v>
      </c>
      <c r="L447" t="n">
        <v>0</v>
      </c>
      <c r="M447" t="n">
        <v>0</v>
      </c>
      <c r="N447" t="n">
        <v>0</v>
      </c>
      <c r="O447" t="n">
        <v>0</v>
      </c>
      <c r="P447" t="n">
        <v>0</v>
      </c>
      <c r="Q447" t="n">
        <v>0</v>
      </c>
      <c r="R447" s="2" t="inlineStr"/>
    </row>
    <row r="448" ht="15" customHeight="1">
      <c r="A448" t="inlineStr">
        <is>
          <t>A 21068-2025</t>
        </is>
      </c>
      <c r="B448" s="1" t="n">
        <v>45777.59413194445</v>
      </c>
      <c r="C448" s="1" t="n">
        <v>46046</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54456-2024</t>
        </is>
      </c>
      <c r="B449" s="1" t="n">
        <v>45617.53160879629</v>
      </c>
      <c r="C449" s="1" t="n">
        <v>46046</v>
      </c>
      <c r="D449" t="inlineStr">
        <is>
          <t>VÄSTERNORRLANDS LÄN</t>
        </is>
      </c>
      <c r="E449" t="inlineStr">
        <is>
          <t>ÅNGE</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20864-2025</t>
        </is>
      </c>
      <c r="B450" s="1" t="n">
        <v>45777.34417824074</v>
      </c>
      <c r="C450" s="1" t="n">
        <v>46046</v>
      </c>
      <c r="D450" t="inlineStr">
        <is>
          <t>VÄSTERNORRLANDS LÄN</t>
        </is>
      </c>
      <c r="E450" t="inlineStr">
        <is>
          <t>ÅNGE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36786-2024</t>
        </is>
      </c>
      <c r="B451" s="1" t="n">
        <v>45538</v>
      </c>
      <c r="C451" s="1" t="n">
        <v>46046</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23035-2024</t>
        </is>
      </c>
      <c r="B452" s="1" t="n">
        <v>45450.39016203704</v>
      </c>
      <c r="C452" s="1" t="n">
        <v>46046</v>
      </c>
      <c r="D452" t="inlineStr">
        <is>
          <t>VÄSTERNORRLANDS LÄN</t>
        </is>
      </c>
      <c r="E452" t="inlineStr">
        <is>
          <t>ÅNGE</t>
        </is>
      </c>
      <c r="G452" t="n">
        <v>12.1</v>
      </c>
      <c r="H452" t="n">
        <v>0</v>
      </c>
      <c r="I452" t="n">
        <v>0</v>
      </c>
      <c r="J452" t="n">
        <v>0</v>
      </c>
      <c r="K452" t="n">
        <v>0</v>
      </c>
      <c r="L452" t="n">
        <v>0</v>
      </c>
      <c r="M452" t="n">
        <v>0</v>
      </c>
      <c r="N452" t="n">
        <v>0</v>
      </c>
      <c r="O452" t="n">
        <v>0</v>
      </c>
      <c r="P452" t="n">
        <v>0</v>
      </c>
      <c r="Q452" t="n">
        <v>0</v>
      </c>
      <c r="R452" s="2" t="inlineStr"/>
    </row>
    <row r="453" ht="15" customHeight="1">
      <c r="A453" t="inlineStr">
        <is>
          <t>A 1964-2022</t>
        </is>
      </c>
      <c r="B453" s="1" t="n">
        <v>44575.5050462963</v>
      </c>
      <c r="C453" s="1" t="n">
        <v>46046</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20868-2025</t>
        </is>
      </c>
      <c r="B454" s="1" t="n">
        <v>45777.34483796296</v>
      </c>
      <c r="C454" s="1" t="n">
        <v>46046</v>
      </c>
      <c r="D454" t="inlineStr">
        <is>
          <t>VÄSTERNORRLANDS LÄN</t>
        </is>
      </c>
      <c r="E454" t="inlineStr">
        <is>
          <t>ÅNGE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20718-2025</t>
        </is>
      </c>
      <c r="B455" s="1" t="n">
        <v>45776.49047453704</v>
      </c>
      <c r="C455" s="1" t="n">
        <v>46046</v>
      </c>
      <c r="D455" t="inlineStr">
        <is>
          <t>VÄSTERNORRLANDS LÄN</t>
        </is>
      </c>
      <c r="E455" t="inlineStr">
        <is>
          <t>ÅNGE</t>
        </is>
      </c>
      <c r="G455" t="n">
        <v>4.7</v>
      </c>
      <c r="H455" t="n">
        <v>0</v>
      </c>
      <c r="I455" t="n">
        <v>0</v>
      </c>
      <c r="J455" t="n">
        <v>0</v>
      </c>
      <c r="K455" t="n">
        <v>0</v>
      </c>
      <c r="L455" t="n">
        <v>0</v>
      </c>
      <c r="M455" t="n">
        <v>0</v>
      </c>
      <c r="N455" t="n">
        <v>0</v>
      </c>
      <c r="O455" t="n">
        <v>0</v>
      </c>
      <c r="P455" t="n">
        <v>0</v>
      </c>
      <c r="Q455" t="n">
        <v>0</v>
      </c>
      <c r="R455" s="2" t="inlineStr"/>
    </row>
    <row r="456" ht="15" customHeight="1">
      <c r="A456" t="inlineStr">
        <is>
          <t>A 18880-2024</t>
        </is>
      </c>
      <c r="B456" s="1" t="n">
        <v>45426</v>
      </c>
      <c r="C456" s="1" t="n">
        <v>46046</v>
      </c>
      <c r="D456" t="inlineStr">
        <is>
          <t>VÄSTERNORRLANDS LÄN</t>
        </is>
      </c>
      <c r="E456" t="inlineStr">
        <is>
          <t>ÅNGE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34959-2023</t>
        </is>
      </c>
      <c r="B457" s="1" t="n">
        <v>45142</v>
      </c>
      <c r="C457" s="1" t="n">
        <v>46046</v>
      </c>
      <c r="D457" t="inlineStr">
        <is>
          <t>VÄSTERNORRLANDS LÄN</t>
        </is>
      </c>
      <c r="E457" t="inlineStr">
        <is>
          <t>ÅNGE</t>
        </is>
      </c>
      <c r="F457" t="inlineStr">
        <is>
          <t>Sveaskog</t>
        </is>
      </c>
      <c r="G457" t="n">
        <v>6.6</v>
      </c>
      <c r="H457" t="n">
        <v>0</v>
      </c>
      <c r="I457" t="n">
        <v>0</v>
      </c>
      <c r="J457" t="n">
        <v>0</v>
      </c>
      <c r="K457" t="n">
        <v>0</v>
      </c>
      <c r="L457" t="n">
        <v>0</v>
      </c>
      <c r="M457" t="n">
        <v>0</v>
      </c>
      <c r="N457" t="n">
        <v>0</v>
      </c>
      <c r="O457" t="n">
        <v>0</v>
      </c>
      <c r="P457" t="n">
        <v>0</v>
      </c>
      <c r="Q457" t="n">
        <v>0</v>
      </c>
      <c r="R457" s="2" t="inlineStr"/>
    </row>
    <row r="458" ht="15" customHeight="1">
      <c r="A458" t="inlineStr">
        <is>
          <t>A 20776-2025</t>
        </is>
      </c>
      <c r="B458" s="1" t="n">
        <v>45776.59410879629</v>
      </c>
      <c r="C458" s="1" t="n">
        <v>46046</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8406-2023</t>
        </is>
      </c>
      <c r="B459" s="1" t="n">
        <v>44971</v>
      </c>
      <c r="C459" s="1" t="n">
        <v>46046</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42857-2022</t>
        </is>
      </c>
      <c r="B460" s="1" t="n">
        <v>44832</v>
      </c>
      <c r="C460" s="1" t="n">
        <v>46046</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21174-2025</t>
        </is>
      </c>
      <c r="B461" s="1" t="n">
        <v>45779.42746527777</v>
      </c>
      <c r="C461" s="1" t="n">
        <v>46046</v>
      </c>
      <c r="D461" t="inlineStr">
        <is>
          <t>VÄSTERNORRLANDS LÄN</t>
        </is>
      </c>
      <c r="E461" t="inlineStr">
        <is>
          <t>ÅNGE</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21197-2025</t>
        </is>
      </c>
      <c r="B462" s="1" t="n">
        <v>45779.46949074074</v>
      </c>
      <c r="C462" s="1" t="n">
        <v>46046</v>
      </c>
      <c r="D462" t="inlineStr">
        <is>
          <t>VÄSTERNORRLANDS LÄN</t>
        </is>
      </c>
      <c r="E462" t="inlineStr">
        <is>
          <t>ÅNGE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45030-2024</t>
        </is>
      </c>
      <c r="B463" s="1" t="n">
        <v>45575.52089120371</v>
      </c>
      <c r="C463" s="1" t="n">
        <v>46046</v>
      </c>
      <c r="D463" t="inlineStr">
        <is>
          <t>VÄSTERNORRLANDS LÄN</t>
        </is>
      </c>
      <c r="E463" t="inlineStr">
        <is>
          <t>ÅNGE</t>
        </is>
      </c>
      <c r="G463" t="n">
        <v>1.7</v>
      </c>
      <c r="H463" t="n">
        <v>0</v>
      </c>
      <c r="I463" t="n">
        <v>0</v>
      </c>
      <c r="J463" t="n">
        <v>0</v>
      </c>
      <c r="K463" t="n">
        <v>0</v>
      </c>
      <c r="L463" t="n">
        <v>0</v>
      </c>
      <c r="M463" t="n">
        <v>0</v>
      </c>
      <c r="N463" t="n">
        <v>0</v>
      </c>
      <c r="O463" t="n">
        <v>0</v>
      </c>
      <c r="P463" t="n">
        <v>0</v>
      </c>
      <c r="Q463" t="n">
        <v>0</v>
      </c>
      <c r="R463" s="2" t="inlineStr"/>
    </row>
    <row r="464" ht="15" customHeight="1">
      <c r="A464" t="inlineStr">
        <is>
          <t>A 21263-2025</t>
        </is>
      </c>
      <c r="B464" s="1" t="n">
        <v>45779.61233796296</v>
      </c>
      <c r="C464" s="1" t="n">
        <v>46046</v>
      </c>
      <c r="D464" t="inlineStr">
        <is>
          <t>VÄSTERNORRLANDS LÄN</t>
        </is>
      </c>
      <c r="E464" t="inlineStr">
        <is>
          <t>ÅNGE</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21251-2025</t>
        </is>
      </c>
      <c r="B465" s="1" t="n">
        <v>45779.57417824074</v>
      </c>
      <c r="C465" s="1" t="n">
        <v>46046</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6487-2021</t>
        </is>
      </c>
      <c r="B466" s="1" t="n">
        <v>44235</v>
      </c>
      <c r="C466" s="1" t="n">
        <v>46046</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6-2025</t>
        </is>
      </c>
      <c r="B467" s="1" t="n">
        <v>45658.50759259259</v>
      </c>
      <c r="C467" s="1" t="n">
        <v>46046</v>
      </c>
      <c r="D467" t="inlineStr">
        <is>
          <t>VÄSTERNORRLANDS LÄN</t>
        </is>
      </c>
      <c r="E467" t="inlineStr">
        <is>
          <t>ÅNGE</t>
        </is>
      </c>
      <c r="G467" t="n">
        <v>4.3</v>
      </c>
      <c r="H467" t="n">
        <v>0</v>
      </c>
      <c r="I467" t="n">
        <v>0</v>
      </c>
      <c r="J467" t="n">
        <v>0</v>
      </c>
      <c r="K467" t="n">
        <v>0</v>
      </c>
      <c r="L467" t="n">
        <v>0</v>
      </c>
      <c r="M467" t="n">
        <v>0</v>
      </c>
      <c r="N467" t="n">
        <v>0</v>
      </c>
      <c r="O467" t="n">
        <v>0</v>
      </c>
      <c r="P467" t="n">
        <v>0</v>
      </c>
      <c r="Q467" t="n">
        <v>0</v>
      </c>
      <c r="R467" s="2" t="inlineStr"/>
    </row>
    <row r="468" ht="15" customHeight="1">
      <c r="A468" t="inlineStr">
        <is>
          <t>A 21176-2025</t>
        </is>
      </c>
      <c r="B468" s="1" t="n">
        <v>45779.42798611111</v>
      </c>
      <c r="C468" s="1" t="n">
        <v>46046</v>
      </c>
      <c r="D468" t="inlineStr">
        <is>
          <t>VÄSTERNORRLANDS LÄN</t>
        </is>
      </c>
      <c r="E468" t="inlineStr">
        <is>
          <t>ÅNGE</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48787-2024</t>
        </is>
      </c>
      <c r="B469" s="1" t="n">
        <v>45593.63888888889</v>
      </c>
      <c r="C469" s="1" t="n">
        <v>46046</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54908-2021</t>
        </is>
      </c>
      <c r="B470" s="1" t="n">
        <v>44474.39769675926</v>
      </c>
      <c r="C470" s="1" t="n">
        <v>46046</v>
      </c>
      <c r="D470" t="inlineStr">
        <is>
          <t>VÄSTERNORRLANDS LÄN</t>
        </is>
      </c>
      <c r="E470" t="inlineStr">
        <is>
          <t>ÅNGE</t>
        </is>
      </c>
      <c r="G470" t="n">
        <v>7.8</v>
      </c>
      <c r="H470" t="n">
        <v>0</v>
      </c>
      <c r="I470" t="n">
        <v>0</v>
      </c>
      <c r="J470" t="n">
        <v>0</v>
      </c>
      <c r="K470" t="n">
        <v>0</v>
      </c>
      <c r="L470" t="n">
        <v>0</v>
      </c>
      <c r="M470" t="n">
        <v>0</v>
      </c>
      <c r="N470" t="n">
        <v>0</v>
      </c>
      <c r="O470" t="n">
        <v>0</v>
      </c>
      <c r="P470" t="n">
        <v>0</v>
      </c>
      <c r="Q470" t="n">
        <v>0</v>
      </c>
      <c r="R470" s="2" t="inlineStr"/>
    </row>
    <row r="471" ht="15" customHeight="1">
      <c r="A471" t="inlineStr">
        <is>
          <t>A 21741-2025</t>
        </is>
      </c>
      <c r="B471" s="1" t="n">
        <v>45783.59415509259</v>
      </c>
      <c r="C471" s="1" t="n">
        <v>46046</v>
      </c>
      <c r="D471" t="inlineStr">
        <is>
          <t>VÄSTERNORRLANDS LÄN</t>
        </is>
      </c>
      <c r="E471" t="inlineStr">
        <is>
          <t>ÅNGE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21685-2025</t>
        </is>
      </c>
      <c r="B472" s="1" t="n">
        <v>45783.49050925926</v>
      </c>
      <c r="C472" s="1" t="n">
        <v>46046</v>
      </c>
      <c r="D472" t="inlineStr">
        <is>
          <t>VÄSTERNORRLANDS LÄN</t>
        </is>
      </c>
      <c r="E472" t="inlineStr">
        <is>
          <t>ÅNGE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21597-2025</t>
        </is>
      </c>
      <c r="B473" s="1" t="n">
        <v>45783.34493055556</v>
      </c>
      <c r="C473" s="1" t="n">
        <v>46046</v>
      </c>
      <c r="D473" t="inlineStr">
        <is>
          <t>VÄSTERNORRLANDS LÄN</t>
        </is>
      </c>
      <c r="E473" t="inlineStr">
        <is>
          <t>ÅNGE</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45933-2023</t>
        </is>
      </c>
      <c r="B474" s="1" t="n">
        <v>45195</v>
      </c>
      <c r="C474" s="1" t="n">
        <v>46046</v>
      </c>
      <c r="D474" t="inlineStr">
        <is>
          <t>VÄSTERNORRLANDS LÄN</t>
        </is>
      </c>
      <c r="E474" t="inlineStr">
        <is>
          <t>ÅNGE</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17669-2023</t>
        </is>
      </c>
      <c r="B475" s="1" t="n">
        <v>45036.94457175926</v>
      </c>
      <c r="C475" s="1" t="n">
        <v>46046</v>
      </c>
      <c r="D475" t="inlineStr">
        <is>
          <t>VÄSTERNORRLANDS LÄN</t>
        </is>
      </c>
      <c r="E475" t="inlineStr">
        <is>
          <t>ÅNGE</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25867-2024</t>
        </is>
      </c>
      <c r="B476" s="1" t="n">
        <v>45463</v>
      </c>
      <c r="C476" s="1" t="n">
        <v>46046</v>
      </c>
      <c r="D476" t="inlineStr">
        <is>
          <t>VÄSTERNORRLANDS LÄN</t>
        </is>
      </c>
      <c r="E476" t="inlineStr">
        <is>
          <t>ÅNGE</t>
        </is>
      </c>
      <c r="G476" t="n">
        <v>2.7</v>
      </c>
      <c r="H476" t="n">
        <v>0</v>
      </c>
      <c r="I476" t="n">
        <v>0</v>
      </c>
      <c r="J476" t="n">
        <v>0</v>
      </c>
      <c r="K476" t="n">
        <v>0</v>
      </c>
      <c r="L476" t="n">
        <v>0</v>
      </c>
      <c r="M476" t="n">
        <v>0</v>
      </c>
      <c r="N476" t="n">
        <v>0</v>
      </c>
      <c r="O476" t="n">
        <v>0</v>
      </c>
      <c r="P476" t="n">
        <v>0</v>
      </c>
      <c r="Q476" t="n">
        <v>0</v>
      </c>
      <c r="R476" s="2" t="inlineStr"/>
    </row>
    <row r="477" ht="15" customHeight="1">
      <c r="A477" t="inlineStr">
        <is>
          <t>A 24232-2024</t>
        </is>
      </c>
      <c r="B477" s="1" t="n">
        <v>45457.34686342593</v>
      </c>
      <c r="C477" s="1" t="n">
        <v>46046</v>
      </c>
      <c r="D477" t="inlineStr">
        <is>
          <t>VÄSTERNORRLANDS LÄN</t>
        </is>
      </c>
      <c r="E477" t="inlineStr">
        <is>
          <t>ÅNGE</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2539-2025</t>
        </is>
      </c>
      <c r="B478" s="1" t="n">
        <v>45674.61581018518</v>
      </c>
      <c r="C478" s="1" t="n">
        <v>46046</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31325-2022</t>
        </is>
      </c>
      <c r="B479" s="1" t="n">
        <v>44774.41421296296</v>
      </c>
      <c r="C479" s="1" t="n">
        <v>46046</v>
      </c>
      <c r="D479" t="inlineStr">
        <is>
          <t>VÄSTERNORRLANDS LÄN</t>
        </is>
      </c>
      <c r="E479" t="inlineStr">
        <is>
          <t>ÅNGE</t>
        </is>
      </c>
      <c r="G479" t="n">
        <v>6.3</v>
      </c>
      <c r="H479" t="n">
        <v>0</v>
      </c>
      <c r="I479" t="n">
        <v>0</v>
      </c>
      <c r="J479" t="n">
        <v>0</v>
      </c>
      <c r="K479" t="n">
        <v>0</v>
      </c>
      <c r="L479" t="n">
        <v>0</v>
      </c>
      <c r="M479" t="n">
        <v>0</v>
      </c>
      <c r="N479" t="n">
        <v>0</v>
      </c>
      <c r="O479" t="n">
        <v>0</v>
      </c>
      <c r="P479" t="n">
        <v>0</v>
      </c>
      <c r="Q479" t="n">
        <v>0</v>
      </c>
      <c r="R479" s="2" t="inlineStr"/>
    </row>
    <row r="480" ht="15" customHeight="1">
      <c r="A480" t="inlineStr">
        <is>
          <t>A 21686-2025</t>
        </is>
      </c>
      <c r="B480" s="1" t="n">
        <v>45783.490625</v>
      </c>
      <c r="C480" s="1" t="n">
        <v>46046</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54295-2024</t>
        </is>
      </c>
      <c r="B481" s="1" t="n">
        <v>45617</v>
      </c>
      <c r="C481" s="1" t="n">
        <v>46046</v>
      </c>
      <c r="D481" t="inlineStr">
        <is>
          <t>VÄSTERNORRLANDS LÄN</t>
        </is>
      </c>
      <c r="E481" t="inlineStr">
        <is>
          <t>ÅNGE</t>
        </is>
      </c>
      <c r="G481" t="n">
        <v>1.2</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46046</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1886-2024</t>
        </is>
      </c>
      <c r="B483" s="1" t="n">
        <v>45307.96335648148</v>
      </c>
      <c r="C483" s="1" t="n">
        <v>46046</v>
      </c>
      <c r="D483" t="inlineStr">
        <is>
          <t>VÄSTERNORRLANDS LÄN</t>
        </is>
      </c>
      <c r="E483" t="inlineStr">
        <is>
          <t>ÅNGE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41370-2023</t>
        </is>
      </c>
      <c r="B484" s="1" t="n">
        <v>45174.85951388889</v>
      </c>
      <c r="C484" s="1" t="n">
        <v>46046</v>
      </c>
      <c r="D484" t="inlineStr">
        <is>
          <t>VÄSTERNORRLANDS LÄN</t>
        </is>
      </c>
      <c r="E484" t="inlineStr">
        <is>
          <t>ÅNGE</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21563-2025</t>
        </is>
      </c>
      <c r="B485" s="1" t="n">
        <v>45782.69822916666</v>
      </c>
      <c r="C485" s="1" t="n">
        <v>46046</v>
      </c>
      <c r="D485" t="inlineStr">
        <is>
          <t>VÄSTERNORRLANDS LÄN</t>
        </is>
      </c>
      <c r="E485" t="inlineStr">
        <is>
          <t>ÅNGE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21712-2025</t>
        </is>
      </c>
      <c r="B486" s="1" t="n">
        <v>45783.53210648148</v>
      </c>
      <c r="C486" s="1" t="n">
        <v>46046</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26640-2024</t>
        </is>
      </c>
      <c r="B487" s="1" t="n">
        <v>45469.92831018518</v>
      </c>
      <c r="C487" s="1" t="n">
        <v>46046</v>
      </c>
      <c r="D487" t="inlineStr">
        <is>
          <t>VÄSTERNORRLANDS LÄN</t>
        </is>
      </c>
      <c r="E487" t="inlineStr">
        <is>
          <t>ÅNGE</t>
        </is>
      </c>
      <c r="G487" t="n">
        <v>9.9</v>
      </c>
      <c r="H487" t="n">
        <v>0</v>
      </c>
      <c r="I487" t="n">
        <v>0</v>
      </c>
      <c r="J487" t="n">
        <v>0</v>
      </c>
      <c r="K487" t="n">
        <v>0</v>
      </c>
      <c r="L487" t="n">
        <v>0</v>
      </c>
      <c r="M487" t="n">
        <v>0</v>
      </c>
      <c r="N487" t="n">
        <v>0</v>
      </c>
      <c r="O487" t="n">
        <v>0</v>
      </c>
      <c r="P487" t="n">
        <v>0</v>
      </c>
      <c r="Q487" t="n">
        <v>0</v>
      </c>
      <c r="R487" s="2" t="inlineStr"/>
    </row>
    <row r="488" ht="15" customHeight="1">
      <c r="A488" t="inlineStr">
        <is>
          <t>A 44636-2024</t>
        </is>
      </c>
      <c r="B488" s="1" t="n">
        <v>45574.51491898148</v>
      </c>
      <c r="C488" s="1" t="n">
        <v>46046</v>
      </c>
      <c r="D488" t="inlineStr">
        <is>
          <t>VÄSTERNORRLANDS LÄN</t>
        </is>
      </c>
      <c r="E488" t="inlineStr">
        <is>
          <t>ÅNGE</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44979-2023</t>
        </is>
      </c>
      <c r="B489" s="1" t="n">
        <v>45190.95752314815</v>
      </c>
      <c r="C489" s="1" t="n">
        <v>46046</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39119-2024</t>
        </is>
      </c>
      <c r="B490" s="1" t="n">
        <v>45548.58939814815</v>
      </c>
      <c r="C490" s="1" t="n">
        <v>46046</v>
      </c>
      <c r="D490" t="inlineStr">
        <is>
          <t>VÄSTERNORRLANDS LÄN</t>
        </is>
      </c>
      <c r="E490" t="inlineStr">
        <is>
          <t>ÅNGE</t>
        </is>
      </c>
      <c r="G490" t="n">
        <v>8</v>
      </c>
      <c r="H490" t="n">
        <v>0</v>
      </c>
      <c r="I490" t="n">
        <v>0</v>
      </c>
      <c r="J490" t="n">
        <v>0</v>
      </c>
      <c r="K490" t="n">
        <v>0</v>
      </c>
      <c r="L490" t="n">
        <v>0</v>
      </c>
      <c r="M490" t="n">
        <v>0</v>
      </c>
      <c r="N490" t="n">
        <v>0</v>
      </c>
      <c r="O490" t="n">
        <v>0</v>
      </c>
      <c r="P490" t="n">
        <v>0</v>
      </c>
      <c r="Q490" t="n">
        <v>0</v>
      </c>
      <c r="R490" s="2" t="inlineStr"/>
    </row>
    <row r="491" ht="15" customHeight="1">
      <c r="A491" t="inlineStr">
        <is>
          <t>A 32257-2024</t>
        </is>
      </c>
      <c r="B491" s="1" t="n">
        <v>45511</v>
      </c>
      <c r="C491" s="1" t="n">
        <v>46046</v>
      </c>
      <c r="D491" t="inlineStr">
        <is>
          <t>VÄSTERNORRLANDS LÄN</t>
        </is>
      </c>
      <c r="E491" t="inlineStr">
        <is>
          <t>ÅNGE</t>
        </is>
      </c>
      <c r="F491" t="inlineStr">
        <is>
          <t>SCA</t>
        </is>
      </c>
      <c r="G491" t="n">
        <v>4.7</v>
      </c>
      <c r="H491" t="n">
        <v>0</v>
      </c>
      <c r="I491" t="n">
        <v>0</v>
      </c>
      <c r="J491" t="n">
        <v>0</v>
      </c>
      <c r="K491" t="n">
        <v>0</v>
      </c>
      <c r="L491" t="n">
        <v>0</v>
      </c>
      <c r="M491" t="n">
        <v>0</v>
      </c>
      <c r="N491" t="n">
        <v>0</v>
      </c>
      <c r="O491" t="n">
        <v>0</v>
      </c>
      <c r="P491" t="n">
        <v>0</v>
      </c>
      <c r="Q491" t="n">
        <v>0</v>
      </c>
      <c r="R491" s="2" t="inlineStr"/>
    </row>
    <row r="492" ht="15" customHeight="1">
      <c r="A492" t="inlineStr">
        <is>
          <t>A 22411-2023</t>
        </is>
      </c>
      <c r="B492" s="1" t="n">
        <v>45070</v>
      </c>
      <c r="C492" s="1" t="n">
        <v>46046</v>
      </c>
      <c r="D492" t="inlineStr">
        <is>
          <t>VÄSTERNORRLANDS LÄN</t>
        </is>
      </c>
      <c r="E492" t="inlineStr">
        <is>
          <t>ÅNGE</t>
        </is>
      </c>
      <c r="G492" t="n">
        <v>2.8</v>
      </c>
      <c r="H492" t="n">
        <v>0</v>
      </c>
      <c r="I492" t="n">
        <v>0</v>
      </c>
      <c r="J492" t="n">
        <v>0</v>
      </c>
      <c r="K492" t="n">
        <v>0</v>
      </c>
      <c r="L492" t="n">
        <v>0</v>
      </c>
      <c r="M492" t="n">
        <v>0</v>
      </c>
      <c r="N492" t="n">
        <v>0</v>
      </c>
      <c r="O492" t="n">
        <v>0</v>
      </c>
      <c r="P492" t="n">
        <v>0</v>
      </c>
      <c r="Q492" t="n">
        <v>0</v>
      </c>
      <c r="R492" s="2" t="inlineStr"/>
    </row>
    <row r="493" ht="15" customHeight="1">
      <c r="A493" t="inlineStr">
        <is>
          <t>A 20880-2025</t>
        </is>
      </c>
      <c r="B493" s="1" t="n">
        <v>45777</v>
      </c>
      <c r="C493" s="1" t="n">
        <v>46046</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22219-2025</t>
        </is>
      </c>
      <c r="B494" s="1" t="n">
        <v>45785.65849537037</v>
      </c>
      <c r="C494" s="1" t="n">
        <v>46046</v>
      </c>
      <c r="D494" t="inlineStr">
        <is>
          <t>VÄSTERNORRLANDS LÄN</t>
        </is>
      </c>
      <c r="E494" t="inlineStr">
        <is>
          <t>ÅNGE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1582-2025</t>
        </is>
      </c>
      <c r="B495" s="1" t="n">
        <v>45670</v>
      </c>
      <c r="C495" s="1" t="n">
        <v>46046</v>
      </c>
      <c r="D495" t="inlineStr">
        <is>
          <t>VÄSTERNORRLANDS LÄN</t>
        </is>
      </c>
      <c r="E495" t="inlineStr">
        <is>
          <t>ÅNGE</t>
        </is>
      </c>
      <c r="G495" t="n">
        <v>7.3</v>
      </c>
      <c r="H495" t="n">
        <v>0</v>
      </c>
      <c r="I495" t="n">
        <v>0</v>
      </c>
      <c r="J495" t="n">
        <v>0</v>
      </c>
      <c r="K495" t="n">
        <v>0</v>
      </c>
      <c r="L495" t="n">
        <v>0</v>
      </c>
      <c r="M495" t="n">
        <v>0</v>
      </c>
      <c r="N495" t="n">
        <v>0</v>
      </c>
      <c r="O495" t="n">
        <v>0</v>
      </c>
      <c r="P495" t="n">
        <v>0</v>
      </c>
      <c r="Q495" t="n">
        <v>0</v>
      </c>
      <c r="R495" s="2" t="inlineStr"/>
      <c r="U495">
        <f>HYPERLINK("https://klasma.github.io/Logging_2260/knärot/A 1582-2025 karta knärot.png", "A 1582-2025")</f>
        <v/>
      </c>
      <c r="V495">
        <f>HYPERLINK("https://klasma.github.io/Logging_2260/klagomål/A 1582-2025 FSC-klagomål.docx", "A 1582-2025")</f>
        <v/>
      </c>
      <c r="W495">
        <f>HYPERLINK("https://klasma.github.io/Logging_2260/klagomålsmail/A 1582-2025 FSC-klagomål mail.docx", "A 1582-2025")</f>
        <v/>
      </c>
      <c r="X495">
        <f>HYPERLINK("https://klasma.github.io/Logging_2260/tillsyn/A 1582-2025 tillsynsbegäran.docx", "A 1582-2025")</f>
        <v/>
      </c>
      <c r="Y495">
        <f>HYPERLINK("https://klasma.github.io/Logging_2260/tillsynsmail/A 1582-2025 tillsynsbegäran mail.docx", "A 1582-2025")</f>
        <v/>
      </c>
    </row>
    <row r="496" ht="15" customHeight="1">
      <c r="A496" t="inlineStr">
        <is>
          <t>A 21862-2025</t>
        </is>
      </c>
      <c r="B496" s="1" t="n">
        <v>45784.36519675926</v>
      </c>
      <c r="C496" s="1" t="n">
        <v>46046</v>
      </c>
      <c r="D496" t="inlineStr">
        <is>
          <t>VÄSTERNORRLANDS LÄN</t>
        </is>
      </c>
      <c r="E496" t="inlineStr">
        <is>
          <t>ÅNGE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22206-2025</t>
        </is>
      </c>
      <c r="B497" s="1" t="n">
        <v>45785.65699074074</v>
      </c>
      <c r="C497" s="1" t="n">
        <v>46046</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25377-2024</t>
        </is>
      </c>
      <c r="B498" s="1" t="n">
        <v>45462.96211805556</v>
      </c>
      <c r="C498" s="1" t="n">
        <v>46046</v>
      </c>
      <c r="D498" t="inlineStr">
        <is>
          <t>VÄSTERNORRLANDS LÄN</t>
        </is>
      </c>
      <c r="E498" t="inlineStr">
        <is>
          <t>ÅNGE</t>
        </is>
      </c>
      <c r="F498" t="inlineStr">
        <is>
          <t>SCA</t>
        </is>
      </c>
      <c r="G498" t="n">
        <v>20.7</v>
      </c>
      <c r="H498" t="n">
        <v>0</v>
      </c>
      <c r="I498" t="n">
        <v>0</v>
      </c>
      <c r="J498" t="n">
        <v>0</v>
      </c>
      <c r="K498" t="n">
        <v>0</v>
      </c>
      <c r="L498" t="n">
        <v>0</v>
      </c>
      <c r="M498" t="n">
        <v>0</v>
      </c>
      <c r="N498" t="n">
        <v>0</v>
      </c>
      <c r="O498" t="n">
        <v>0</v>
      </c>
      <c r="P498" t="n">
        <v>0</v>
      </c>
      <c r="Q498" t="n">
        <v>0</v>
      </c>
      <c r="R498" s="2" t="inlineStr"/>
    </row>
    <row r="499" ht="15" customHeight="1">
      <c r="A499" t="inlineStr">
        <is>
          <t>A 29395-2023</t>
        </is>
      </c>
      <c r="B499" s="1" t="n">
        <v>45106.4359837963</v>
      </c>
      <c r="C499" s="1" t="n">
        <v>46046</v>
      </c>
      <c r="D499" t="inlineStr">
        <is>
          <t>VÄSTERNORRLANDS LÄN</t>
        </is>
      </c>
      <c r="E499" t="inlineStr">
        <is>
          <t>ÅNGE</t>
        </is>
      </c>
      <c r="G499" t="n">
        <v>3.5</v>
      </c>
      <c r="H499" t="n">
        <v>0</v>
      </c>
      <c r="I499" t="n">
        <v>0</v>
      </c>
      <c r="J499" t="n">
        <v>0</v>
      </c>
      <c r="K499" t="n">
        <v>0</v>
      </c>
      <c r="L499" t="n">
        <v>0</v>
      </c>
      <c r="M499" t="n">
        <v>0</v>
      </c>
      <c r="N499" t="n">
        <v>0</v>
      </c>
      <c r="O499" t="n">
        <v>0</v>
      </c>
      <c r="P499" t="n">
        <v>0</v>
      </c>
      <c r="Q499" t="n">
        <v>0</v>
      </c>
      <c r="R499" s="2" t="inlineStr"/>
    </row>
    <row r="500" ht="15" customHeight="1">
      <c r="A500" t="inlineStr">
        <is>
          <t>A 38800-2024</t>
        </is>
      </c>
      <c r="B500" s="1" t="n">
        <v>45547</v>
      </c>
      <c r="C500" s="1" t="n">
        <v>46046</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16606-2023</t>
        </is>
      </c>
      <c r="B501" s="1" t="n">
        <v>45030.3990625</v>
      </c>
      <c r="C501" s="1" t="n">
        <v>46046</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60368-2024</t>
        </is>
      </c>
      <c r="B502" s="1" t="n">
        <v>45643</v>
      </c>
      <c r="C502" s="1" t="n">
        <v>46046</v>
      </c>
      <c r="D502" t="inlineStr">
        <is>
          <t>VÄSTERNORRLANDS LÄN</t>
        </is>
      </c>
      <c r="E502" t="inlineStr">
        <is>
          <t>ÅNGE</t>
        </is>
      </c>
      <c r="G502" t="n">
        <v>1.8</v>
      </c>
      <c r="H502" t="n">
        <v>0</v>
      </c>
      <c r="I502" t="n">
        <v>0</v>
      </c>
      <c r="J502" t="n">
        <v>0</v>
      </c>
      <c r="K502" t="n">
        <v>0</v>
      </c>
      <c r="L502" t="n">
        <v>0</v>
      </c>
      <c r="M502" t="n">
        <v>0</v>
      </c>
      <c r="N502" t="n">
        <v>0</v>
      </c>
      <c r="O502" t="n">
        <v>0</v>
      </c>
      <c r="P502" t="n">
        <v>0</v>
      </c>
      <c r="Q502" t="n">
        <v>0</v>
      </c>
      <c r="R502" s="2" t="inlineStr"/>
    </row>
    <row r="503" ht="15" customHeight="1">
      <c r="A503" t="inlineStr">
        <is>
          <t>A 21883-2025</t>
        </is>
      </c>
      <c r="B503" s="1" t="n">
        <v>45784.41361111111</v>
      </c>
      <c r="C503" s="1" t="n">
        <v>46046</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31492-2024</t>
        </is>
      </c>
      <c r="B504" s="1" t="n">
        <v>45505</v>
      </c>
      <c r="C504" s="1" t="n">
        <v>46046</v>
      </c>
      <c r="D504" t="inlineStr">
        <is>
          <t>VÄSTERNORRLANDS LÄN</t>
        </is>
      </c>
      <c r="E504" t="inlineStr">
        <is>
          <t>ÅNGE</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21982-2025</t>
        </is>
      </c>
      <c r="B505" s="1" t="n">
        <v>45784.65660879629</v>
      </c>
      <c r="C505" s="1" t="n">
        <v>46046</v>
      </c>
      <c r="D505" t="inlineStr">
        <is>
          <t>VÄSTERNORRLANDS LÄN</t>
        </is>
      </c>
      <c r="E505" t="inlineStr">
        <is>
          <t>ÅNGE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22187-2024</t>
        </is>
      </c>
      <c r="B506" s="1" t="n">
        <v>45446.35222222222</v>
      </c>
      <c r="C506" s="1" t="n">
        <v>46046</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9382-2025</t>
        </is>
      </c>
      <c r="B507" s="1" t="n">
        <v>45715.34425925926</v>
      </c>
      <c r="C507" s="1" t="n">
        <v>46046</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39975-2023</t>
        </is>
      </c>
      <c r="B508" s="1" t="n">
        <v>45168.58844907407</v>
      </c>
      <c r="C508" s="1" t="n">
        <v>46046</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56434-2021</t>
        </is>
      </c>
      <c r="B509" s="1" t="n">
        <v>44477</v>
      </c>
      <c r="C509" s="1" t="n">
        <v>46046</v>
      </c>
      <c r="D509" t="inlineStr">
        <is>
          <t>VÄSTERNORRLANDS LÄN</t>
        </is>
      </c>
      <c r="E509" t="inlineStr">
        <is>
          <t>ÅNGE</t>
        </is>
      </c>
      <c r="G509" t="n">
        <v>2.7</v>
      </c>
      <c r="H509" t="n">
        <v>0</v>
      </c>
      <c r="I509" t="n">
        <v>0</v>
      </c>
      <c r="J509" t="n">
        <v>0</v>
      </c>
      <c r="K509" t="n">
        <v>0</v>
      </c>
      <c r="L509" t="n">
        <v>0</v>
      </c>
      <c r="M509" t="n">
        <v>0</v>
      </c>
      <c r="N509" t="n">
        <v>0</v>
      </c>
      <c r="O509" t="n">
        <v>0</v>
      </c>
      <c r="P509" t="n">
        <v>0</v>
      </c>
      <c r="Q509" t="n">
        <v>0</v>
      </c>
      <c r="R509" s="2" t="inlineStr"/>
    </row>
    <row r="510" ht="15" customHeight="1">
      <c r="A510" t="inlineStr">
        <is>
          <t>A 18067-2025</t>
        </is>
      </c>
      <c r="B510" s="1" t="n">
        <v>45761.49016203704</v>
      </c>
      <c r="C510" s="1" t="n">
        <v>46046</v>
      </c>
      <c r="D510" t="inlineStr">
        <is>
          <t>VÄSTERNORRLANDS LÄN</t>
        </is>
      </c>
      <c r="E510" t="inlineStr">
        <is>
          <t>ÅNGE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53970-2021</t>
        </is>
      </c>
      <c r="B511" s="1" t="n">
        <v>44469</v>
      </c>
      <c r="C511" s="1" t="n">
        <v>46046</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30235-2024</t>
        </is>
      </c>
      <c r="B512" s="1" t="n">
        <v>45490.49040509259</v>
      </c>
      <c r="C512" s="1" t="n">
        <v>46046</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11396-2024</t>
        </is>
      </c>
      <c r="B513" s="1" t="n">
        <v>45372</v>
      </c>
      <c r="C513" s="1" t="n">
        <v>46046</v>
      </c>
      <c r="D513" t="inlineStr">
        <is>
          <t>VÄSTERNORRLANDS LÄN</t>
        </is>
      </c>
      <c r="E513" t="inlineStr">
        <is>
          <t>ÅNGE</t>
        </is>
      </c>
      <c r="G513" t="n">
        <v>2.2</v>
      </c>
      <c r="H513" t="n">
        <v>0</v>
      </c>
      <c r="I513" t="n">
        <v>0</v>
      </c>
      <c r="J513" t="n">
        <v>0</v>
      </c>
      <c r="K513" t="n">
        <v>0</v>
      </c>
      <c r="L513" t="n">
        <v>0</v>
      </c>
      <c r="M513" t="n">
        <v>0</v>
      </c>
      <c r="N513" t="n">
        <v>0</v>
      </c>
      <c r="O513" t="n">
        <v>0</v>
      </c>
      <c r="P513" t="n">
        <v>0</v>
      </c>
      <c r="Q513" t="n">
        <v>0</v>
      </c>
      <c r="R513" s="2" t="inlineStr"/>
    </row>
    <row r="514" ht="15" customHeight="1">
      <c r="A514" t="inlineStr">
        <is>
          <t>A 15778-2025</t>
        </is>
      </c>
      <c r="B514" s="1" t="n">
        <v>45748.60030092593</v>
      </c>
      <c r="C514" s="1" t="n">
        <v>46046</v>
      </c>
      <c r="D514" t="inlineStr">
        <is>
          <t>VÄSTERNORRLANDS LÄN</t>
        </is>
      </c>
      <c r="E514" t="inlineStr">
        <is>
          <t>ÅNGE</t>
        </is>
      </c>
      <c r="F514" t="inlineStr">
        <is>
          <t>SCA</t>
        </is>
      </c>
      <c r="G514" t="n">
        <v>13.6</v>
      </c>
      <c r="H514" t="n">
        <v>0</v>
      </c>
      <c r="I514" t="n">
        <v>0</v>
      </c>
      <c r="J514" t="n">
        <v>0</v>
      </c>
      <c r="K514" t="n">
        <v>0</v>
      </c>
      <c r="L514" t="n">
        <v>0</v>
      </c>
      <c r="M514" t="n">
        <v>0</v>
      </c>
      <c r="N514" t="n">
        <v>0</v>
      </c>
      <c r="O514" t="n">
        <v>0</v>
      </c>
      <c r="P514" t="n">
        <v>0</v>
      </c>
      <c r="Q514" t="n">
        <v>0</v>
      </c>
      <c r="R514" s="2" t="inlineStr"/>
    </row>
    <row r="515" ht="15" customHeight="1">
      <c r="A515" t="inlineStr">
        <is>
          <t>A 13491-2023</t>
        </is>
      </c>
      <c r="B515" s="1" t="n">
        <v>45005.93929398148</v>
      </c>
      <c r="C515" s="1" t="n">
        <v>46046</v>
      </c>
      <c r="D515" t="inlineStr">
        <is>
          <t>VÄSTERNORRLANDS LÄN</t>
        </is>
      </c>
      <c r="E515" t="inlineStr">
        <is>
          <t>ÅNGE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33062-2022</t>
        </is>
      </c>
      <c r="B516" s="1" t="n">
        <v>44785</v>
      </c>
      <c r="C516" s="1" t="n">
        <v>46046</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39764-2024</t>
        </is>
      </c>
      <c r="B517" s="1" t="n">
        <v>45552.7190162037</v>
      </c>
      <c r="C517" s="1" t="n">
        <v>46046</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60817-2024</t>
        </is>
      </c>
      <c r="B518" s="1" t="n">
        <v>45644</v>
      </c>
      <c r="C518" s="1" t="n">
        <v>46046</v>
      </c>
      <c r="D518" t="inlineStr">
        <is>
          <t>VÄSTERNORRLANDS LÄN</t>
        </is>
      </c>
      <c r="E518" t="inlineStr">
        <is>
          <t>ÅNGE</t>
        </is>
      </c>
      <c r="G518" t="n">
        <v>3.2</v>
      </c>
      <c r="H518" t="n">
        <v>0</v>
      </c>
      <c r="I518" t="n">
        <v>0</v>
      </c>
      <c r="J518" t="n">
        <v>0</v>
      </c>
      <c r="K518" t="n">
        <v>0</v>
      </c>
      <c r="L518" t="n">
        <v>0</v>
      </c>
      <c r="M518" t="n">
        <v>0</v>
      </c>
      <c r="N518" t="n">
        <v>0</v>
      </c>
      <c r="O518" t="n">
        <v>0</v>
      </c>
      <c r="P518" t="n">
        <v>0</v>
      </c>
      <c r="Q518" t="n">
        <v>0</v>
      </c>
      <c r="R518" s="2" t="inlineStr"/>
    </row>
    <row r="519" ht="15" customHeight="1">
      <c r="A519" t="inlineStr">
        <is>
          <t>A 30347-2024</t>
        </is>
      </c>
      <c r="B519" s="1" t="n">
        <v>45490.95515046296</v>
      </c>
      <c r="C519" s="1" t="n">
        <v>46046</v>
      </c>
      <c r="D519" t="inlineStr">
        <is>
          <t>VÄSTERNORRLANDS LÄN</t>
        </is>
      </c>
      <c r="E519" t="inlineStr">
        <is>
          <t>ÅNGE</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18456-2024</t>
        </is>
      </c>
      <c r="B520" s="1" t="n">
        <v>45425.46831018518</v>
      </c>
      <c r="C520" s="1" t="n">
        <v>46046</v>
      </c>
      <c r="D520" t="inlineStr">
        <is>
          <t>VÄSTERNORRLANDS LÄN</t>
        </is>
      </c>
      <c r="E520" t="inlineStr">
        <is>
          <t>ÅNGE</t>
        </is>
      </c>
      <c r="G520" t="n">
        <v>0.6</v>
      </c>
      <c r="H520" t="n">
        <v>0</v>
      </c>
      <c r="I520" t="n">
        <v>0</v>
      </c>
      <c r="J520" t="n">
        <v>0</v>
      </c>
      <c r="K520" t="n">
        <v>0</v>
      </c>
      <c r="L520" t="n">
        <v>0</v>
      </c>
      <c r="M520" t="n">
        <v>0</v>
      </c>
      <c r="N520" t="n">
        <v>0</v>
      </c>
      <c r="O520" t="n">
        <v>0</v>
      </c>
      <c r="P520" t="n">
        <v>0</v>
      </c>
      <c r="Q520" t="n">
        <v>0</v>
      </c>
      <c r="R520" s="2" t="inlineStr"/>
    </row>
    <row r="521" ht="15" customHeight="1">
      <c r="A521" t="inlineStr">
        <is>
          <t>A 22489-2025</t>
        </is>
      </c>
      <c r="B521" s="1" t="n">
        <v>45786.64946759259</v>
      </c>
      <c r="C521" s="1" t="n">
        <v>46046</v>
      </c>
      <c r="D521" t="inlineStr">
        <is>
          <t>VÄSTERNORRLANDS LÄN</t>
        </is>
      </c>
      <c r="E521" t="inlineStr">
        <is>
          <t>ÅNGE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45128-2022</t>
        </is>
      </c>
      <c r="B522" s="1" t="n">
        <v>44844.3146412037</v>
      </c>
      <c r="C522" s="1" t="n">
        <v>46046</v>
      </c>
      <c r="D522" t="inlineStr">
        <is>
          <t>VÄSTERNORRLANDS LÄN</t>
        </is>
      </c>
      <c r="E522" t="inlineStr">
        <is>
          <t>ÅNGE</t>
        </is>
      </c>
      <c r="G522" t="n">
        <v>4.1</v>
      </c>
      <c r="H522" t="n">
        <v>0</v>
      </c>
      <c r="I522" t="n">
        <v>0</v>
      </c>
      <c r="J522" t="n">
        <v>0</v>
      </c>
      <c r="K522" t="n">
        <v>0</v>
      </c>
      <c r="L522" t="n">
        <v>0</v>
      </c>
      <c r="M522" t="n">
        <v>0</v>
      </c>
      <c r="N522" t="n">
        <v>0</v>
      </c>
      <c r="O522" t="n">
        <v>0</v>
      </c>
      <c r="P522" t="n">
        <v>0</v>
      </c>
      <c r="Q522" t="n">
        <v>0</v>
      </c>
      <c r="R522" s="2" t="inlineStr"/>
    </row>
    <row r="523" ht="15" customHeight="1">
      <c r="A523" t="inlineStr">
        <is>
          <t>A 42040-2024</t>
        </is>
      </c>
      <c r="B523" s="1" t="n">
        <v>45561.80983796297</v>
      </c>
      <c r="C523" s="1" t="n">
        <v>46046</v>
      </c>
      <c r="D523" t="inlineStr">
        <is>
          <t>VÄSTERNORRLANDS LÄN</t>
        </is>
      </c>
      <c r="E523" t="inlineStr">
        <is>
          <t>ÅNGE</t>
        </is>
      </c>
      <c r="G523" t="n">
        <v>0.6</v>
      </c>
      <c r="H523" t="n">
        <v>0</v>
      </c>
      <c r="I523" t="n">
        <v>0</v>
      </c>
      <c r="J523" t="n">
        <v>0</v>
      </c>
      <c r="K523" t="n">
        <v>0</v>
      </c>
      <c r="L523" t="n">
        <v>0</v>
      </c>
      <c r="M523" t="n">
        <v>0</v>
      </c>
      <c r="N523" t="n">
        <v>0</v>
      </c>
      <c r="O523" t="n">
        <v>0</v>
      </c>
      <c r="P523" t="n">
        <v>0</v>
      </c>
      <c r="Q523" t="n">
        <v>0</v>
      </c>
      <c r="R523" s="2" t="inlineStr"/>
    </row>
    <row r="524" ht="15" customHeight="1">
      <c r="A524" t="inlineStr">
        <is>
          <t>A 22791-2025</t>
        </is>
      </c>
      <c r="B524" s="1" t="n">
        <v>45789.65663194445</v>
      </c>
      <c r="C524" s="1" t="n">
        <v>46046</v>
      </c>
      <c r="D524" t="inlineStr">
        <is>
          <t>VÄSTERNORRLANDS LÄN</t>
        </is>
      </c>
      <c r="E524" t="inlineStr">
        <is>
          <t>ÅNGE</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46775-2024</t>
        </is>
      </c>
      <c r="B525" s="1" t="n">
        <v>45583.49711805556</v>
      </c>
      <c r="C525" s="1" t="n">
        <v>46046</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46780-2024</t>
        </is>
      </c>
      <c r="B526" s="1" t="n">
        <v>45583.51076388889</v>
      </c>
      <c r="C526" s="1" t="n">
        <v>46046</v>
      </c>
      <c r="D526" t="inlineStr">
        <is>
          <t>VÄSTERNORRLANDS LÄN</t>
        </is>
      </c>
      <c r="E526" t="inlineStr">
        <is>
          <t>ÅNGE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22549-2025</t>
        </is>
      </c>
      <c r="B527" s="1" t="n">
        <v>45788.48113425926</v>
      </c>
      <c r="C527" s="1" t="n">
        <v>46046</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41355-2024</t>
        </is>
      </c>
      <c r="B528" s="1" t="n">
        <v>45559.69833333333</v>
      </c>
      <c r="C528" s="1" t="n">
        <v>46046</v>
      </c>
      <c r="D528" t="inlineStr">
        <is>
          <t>VÄSTERNORRLANDS LÄN</t>
        </is>
      </c>
      <c r="E528" t="inlineStr">
        <is>
          <t>ÅNGE</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23091-2025</t>
        </is>
      </c>
      <c r="B529" s="1" t="n">
        <v>45791.34456018519</v>
      </c>
      <c r="C529" s="1" t="n">
        <v>46046</v>
      </c>
      <c r="D529" t="inlineStr">
        <is>
          <t>VÄSTERNORRLANDS LÄN</t>
        </is>
      </c>
      <c r="E529" t="inlineStr">
        <is>
          <t>ÅNGE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732-2023</t>
        </is>
      </c>
      <c r="B530" s="1" t="n">
        <v>44931.29981481482</v>
      </c>
      <c r="C530" s="1" t="n">
        <v>46046</v>
      </c>
      <c r="D530" t="inlineStr">
        <is>
          <t>VÄSTERNORRLANDS LÄN</t>
        </is>
      </c>
      <c r="E530" t="inlineStr">
        <is>
          <t>ÅNGE</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5433-2024</t>
        </is>
      </c>
      <c r="B531" s="1" t="n">
        <v>45331</v>
      </c>
      <c r="C531" s="1" t="n">
        <v>46046</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5456-2024</t>
        </is>
      </c>
      <c r="B532" s="1" t="n">
        <v>45331</v>
      </c>
      <c r="C532" s="1" t="n">
        <v>46046</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3357-2024</t>
        </is>
      </c>
      <c r="B533" s="1" t="n">
        <v>45317</v>
      </c>
      <c r="C533" s="1" t="n">
        <v>46046</v>
      </c>
      <c r="D533" t="inlineStr">
        <is>
          <t>VÄSTERNORRLANDS LÄN</t>
        </is>
      </c>
      <c r="E533" t="inlineStr">
        <is>
          <t>ÅNGE</t>
        </is>
      </c>
      <c r="G533" t="n">
        <v>8</v>
      </c>
      <c r="H533" t="n">
        <v>0</v>
      </c>
      <c r="I533" t="n">
        <v>0</v>
      </c>
      <c r="J533" t="n">
        <v>0</v>
      </c>
      <c r="K533" t="n">
        <v>0</v>
      </c>
      <c r="L533" t="n">
        <v>0</v>
      </c>
      <c r="M533" t="n">
        <v>0</v>
      </c>
      <c r="N533" t="n">
        <v>0</v>
      </c>
      <c r="O533" t="n">
        <v>0</v>
      </c>
      <c r="P533" t="n">
        <v>0</v>
      </c>
      <c r="Q533" t="n">
        <v>0</v>
      </c>
      <c r="R533" s="2" t="inlineStr"/>
    </row>
    <row r="534" ht="15" customHeight="1">
      <c r="A534" t="inlineStr">
        <is>
          <t>A 23343-2025</t>
        </is>
      </c>
      <c r="B534" s="1" t="n">
        <v>45791.65702546296</v>
      </c>
      <c r="C534" s="1" t="n">
        <v>46046</v>
      </c>
      <c r="D534" t="inlineStr">
        <is>
          <t>VÄSTERNORRLANDS LÄN</t>
        </is>
      </c>
      <c r="E534" t="inlineStr">
        <is>
          <t>ÅNGE</t>
        </is>
      </c>
      <c r="F534" t="inlineStr">
        <is>
          <t>SCA</t>
        </is>
      </c>
      <c r="G534" t="n">
        <v>12.6</v>
      </c>
      <c r="H534" t="n">
        <v>0</v>
      </c>
      <c r="I534" t="n">
        <v>0</v>
      </c>
      <c r="J534" t="n">
        <v>0</v>
      </c>
      <c r="K534" t="n">
        <v>0</v>
      </c>
      <c r="L534" t="n">
        <v>0</v>
      </c>
      <c r="M534" t="n">
        <v>0</v>
      </c>
      <c r="N534" t="n">
        <v>0</v>
      </c>
      <c r="O534" t="n">
        <v>0</v>
      </c>
      <c r="P534" t="n">
        <v>0</v>
      </c>
      <c r="Q534" t="n">
        <v>0</v>
      </c>
      <c r="R534" s="2" t="inlineStr"/>
    </row>
    <row r="535" ht="15" customHeight="1">
      <c r="A535" t="inlineStr">
        <is>
          <t>A 4095-2023</t>
        </is>
      </c>
      <c r="B535" s="1" t="n">
        <v>44952</v>
      </c>
      <c r="C535" s="1" t="n">
        <v>46046</v>
      </c>
      <c r="D535" t="inlineStr">
        <is>
          <t>VÄSTERNORRLANDS LÄN</t>
        </is>
      </c>
      <c r="E535" t="inlineStr">
        <is>
          <t>ÅNGE</t>
        </is>
      </c>
      <c r="G535" t="n">
        <v>13.4</v>
      </c>
      <c r="H535" t="n">
        <v>0</v>
      </c>
      <c r="I535" t="n">
        <v>0</v>
      </c>
      <c r="J535" t="n">
        <v>0</v>
      </c>
      <c r="K535" t="n">
        <v>0</v>
      </c>
      <c r="L535" t="n">
        <v>0</v>
      </c>
      <c r="M535" t="n">
        <v>0</v>
      </c>
      <c r="N535" t="n">
        <v>0</v>
      </c>
      <c r="O535" t="n">
        <v>0</v>
      </c>
      <c r="P535" t="n">
        <v>0</v>
      </c>
      <c r="Q535" t="n">
        <v>0</v>
      </c>
      <c r="R535" s="2" t="inlineStr"/>
    </row>
    <row r="536" ht="15" customHeight="1">
      <c r="A536" t="inlineStr">
        <is>
          <t>A 58943-2022</t>
        </is>
      </c>
      <c r="B536" s="1" t="n">
        <v>44903.64400462963</v>
      </c>
      <c r="C536" s="1" t="n">
        <v>46046</v>
      </c>
      <c r="D536" t="inlineStr">
        <is>
          <t>VÄSTERNORRLANDS LÄN</t>
        </is>
      </c>
      <c r="E536" t="inlineStr">
        <is>
          <t>ÅNGE</t>
        </is>
      </c>
      <c r="G536" t="n">
        <v>5.6</v>
      </c>
      <c r="H536" t="n">
        <v>0</v>
      </c>
      <c r="I536" t="n">
        <v>0</v>
      </c>
      <c r="J536" t="n">
        <v>0</v>
      </c>
      <c r="K536" t="n">
        <v>0</v>
      </c>
      <c r="L536" t="n">
        <v>0</v>
      </c>
      <c r="M536" t="n">
        <v>0</v>
      </c>
      <c r="N536" t="n">
        <v>0</v>
      </c>
      <c r="O536" t="n">
        <v>0</v>
      </c>
      <c r="P536" t="n">
        <v>0</v>
      </c>
      <c r="Q536" t="n">
        <v>0</v>
      </c>
      <c r="R536" s="2" t="inlineStr"/>
    </row>
    <row r="537" ht="15" customHeight="1">
      <c r="A537" t="inlineStr">
        <is>
          <t>A 29462-2024</t>
        </is>
      </c>
      <c r="B537" s="1" t="n">
        <v>45483.96979166667</v>
      </c>
      <c r="C537" s="1" t="n">
        <v>46046</v>
      </c>
      <c r="D537" t="inlineStr">
        <is>
          <t>VÄSTERNORRLANDS LÄN</t>
        </is>
      </c>
      <c r="E537" t="inlineStr">
        <is>
          <t>ÅNGE</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22752-2023</t>
        </is>
      </c>
      <c r="B538" s="1" t="n">
        <v>45071.94104166667</v>
      </c>
      <c r="C538" s="1" t="n">
        <v>46046</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11032-2025</t>
        </is>
      </c>
      <c r="B539" s="1" t="n">
        <v>45723.47601851852</v>
      </c>
      <c r="C539" s="1" t="n">
        <v>46046</v>
      </c>
      <c r="D539" t="inlineStr">
        <is>
          <t>VÄSTERNORRLANDS LÄN</t>
        </is>
      </c>
      <c r="E539" t="inlineStr">
        <is>
          <t>ÅNGE</t>
        </is>
      </c>
      <c r="G539" t="n">
        <v>4.4</v>
      </c>
      <c r="H539" t="n">
        <v>0</v>
      </c>
      <c r="I539" t="n">
        <v>0</v>
      </c>
      <c r="J539" t="n">
        <v>0</v>
      </c>
      <c r="K539" t="n">
        <v>0</v>
      </c>
      <c r="L539" t="n">
        <v>0</v>
      </c>
      <c r="M539" t="n">
        <v>0</v>
      </c>
      <c r="N539" t="n">
        <v>0</v>
      </c>
      <c r="O539" t="n">
        <v>0</v>
      </c>
      <c r="P539" t="n">
        <v>0</v>
      </c>
      <c r="Q539" t="n">
        <v>0</v>
      </c>
      <c r="R539" s="2" t="inlineStr"/>
    </row>
    <row r="540" ht="15" customHeight="1">
      <c r="A540" t="inlineStr">
        <is>
          <t>A 23252-2025</t>
        </is>
      </c>
      <c r="B540" s="1" t="n">
        <v>45791.53157407408</v>
      </c>
      <c r="C540" s="1" t="n">
        <v>46046</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25047-2023</t>
        </is>
      </c>
      <c r="B541" s="1" t="n">
        <v>45085.94569444445</v>
      </c>
      <c r="C541" s="1" t="n">
        <v>46046</v>
      </c>
      <c r="D541" t="inlineStr">
        <is>
          <t>VÄSTERNORRLANDS LÄN</t>
        </is>
      </c>
      <c r="E541" t="inlineStr">
        <is>
          <t>ÅNGE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55177-2024</t>
        </is>
      </c>
      <c r="B542" s="1" t="n">
        <v>45621.53179398148</v>
      </c>
      <c r="C542" s="1" t="n">
        <v>46046</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60779-2024</t>
        </is>
      </c>
      <c r="B543" s="1" t="n">
        <v>45644</v>
      </c>
      <c r="C543" s="1" t="n">
        <v>46046</v>
      </c>
      <c r="D543" t="inlineStr">
        <is>
          <t>VÄSTERNORRLANDS LÄN</t>
        </is>
      </c>
      <c r="E543" t="inlineStr">
        <is>
          <t>ÅNGE</t>
        </is>
      </c>
      <c r="G543" t="n">
        <v>3.1</v>
      </c>
      <c r="H543" t="n">
        <v>0</v>
      </c>
      <c r="I543" t="n">
        <v>0</v>
      </c>
      <c r="J543" t="n">
        <v>0</v>
      </c>
      <c r="K543" t="n">
        <v>0</v>
      </c>
      <c r="L543" t="n">
        <v>0</v>
      </c>
      <c r="M543" t="n">
        <v>0</v>
      </c>
      <c r="N543" t="n">
        <v>0</v>
      </c>
      <c r="O543" t="n">
        <v>0</v>
      </c>
      <c r="P543" t="n">
        <v>0</v>
      </c>
      <c r="Q543" t="n">
        <v>0</v>
      </c>
      <c r="R543" s="2" t="inlineStr"/>
    </row>
    <row r="544" ht="15" customHeight="1">
      <c r="A544" t="inlineStr">
        <is>
          <t>A 33305-2024</t>
        </is>
      </c>
      <c r="B544" s="1" t="n">
        <v>45518</v>
      </c>
      <c r="C544" s="1" t="n">
        <v>46046</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33306-2024</t>
        </is>
      </c>
      <c r="B545" s="1" t="n">
        <v>45518</v>
      </c>
      <c r="C545" s="1" t="n">
        <v>46046</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29270-2024</t>
        </is>
      </c>
      <c r="B546" s="1" t="n">
        <v>45482.94979166667</v>
      </c>
      <c r="C546" s="1" t="n">
        <v>46046</v>
      </c>
      <c r="D546" t="inlineStr">
        <is>
          <t>VÄSTERNORRLANDS LÄN</t>
        </is>
      </c>
      <c r="E546" t="inlineStr">
        <is>
          <t>ÅNGE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28506-2024</t>
        </is>
      </c>
      <c r="B547" s="1" t="n">
        <v>45477.9475</v>
      </c>
      <c r="C547" s="1" t="n">
        <v>46046</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22926-2025</t>
        </is>
      </c>
      <c r="B548" s="1" t="n">
        <v>45790</v>
      </c>
      <c r="C548" s="1" t="n">
        <v>46046</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22928-2025</t>
        </is>
      </c>
      <c r="B549" s="1" t="n">
        <v>45790.44825231482</v>
      </c>
      <c r="C549" s="1" t="n">
        <v>46046</v>
      </c>
      <c r="D549" t="inlineStr">
        <is>
          <t>VÄSTERNORRLANDS LÄN</t>
        </is>
      </c>
      <c r="E549" t="inlineStr">
        <is>
          <t>ÅNGE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57815-2024</t>
        </is>
      </c>
      <c r="B550" s="1" t="n">
        <v>45631.37068287037</v>
      </c>
      <c r="C550" s="1" t="n">
        <v>46046</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23748-2025</t>
        </is>
      </c>
      <c r="B551" s="1" t="n">
        <v>45793.44755787037</v>
      </c>
      <c r="C551" s="1" t="n">
        <v>46046</v>
      </c>
      <c r="D551" t="inlineStr">
        <is>
          <t>VÄSTERNORRLANDS LÄN</t>
        </is>
      </c>
      <c r="E551" t="inlineStr">
        <is>
          <t>ÅNGE</t>
        </is>
      </c>
      <c r="F551" t="inlineStr">
        <is>
          <t>Sveaskog</t>
        </is>
      </c>
      <c r="G551" t="n">
        <v>6.5</v>
      </c>
      <c r="H551" t="n">
        <v>0</v>
      </c>
      <c r="I551" t="n">
        <v>0</v>
      </c>
      <c r="J551" t="n">
        <v>0</v>
      </c>
      <c r="K551" t="n">
        <v>0</v>
      </c>
      <c r="L551" t="n">
        <v>0</v>
      </c>
      <c r="M551" t="n">
        <v>0</v>
      </c>
      <c r="N551" t="n">
        <v>0</v>
      </c>
      <c r="O551" t="n">
        <v>0</v>
      </c>
      <c r="P551" t="n">
        <v>0</v>
      </c>
      <c r="Q551" t="n">
        <v>0</v>
      </c>
      <c r="R551" s="2" t="inlineStr"/>
    </row>
    <row r="552" ht="15" customHeight="1">
      <c r="A552" t="inlineStr">
        <is>
          <t>A 23589-2025</t>
        </is>
      </c>
      <c r="B552" s="1" t="n">
        <v>45792.63618055556</v>
      </c>
      <c r="C552" s="1" t="n">
        <v>46046</v>
      </c>
      <c r="D552" t="inlineStr">
        <is>
          <t>VÄSTERNORRLANDS LÄN</t>
        </is>
      </c>
      <c r="E552" t="inlineStr">
        <is>
          <t>ÅNGE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34861-2024</t>
        </is>
      </c>
      <c r="B553" s="1" t="n">
        <v>45527.339375</v>
      </c>
      <c r="C553" s="1" t="n">
        <v>46046</v>
      </c>
      <c r="D553" t="inlineStr">
        <is>
          <t>VÄSTERNORRLANDS LÄN</t>
        </is>
      </c>
      <c r="E553" t="inlineStr">
        <is>
          <t>ÅNGE</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23495-2025</t>
        </is>
      </c>
      <c r="B554" s="1" t="n">
        <v>45792.46967592592</v>
      </c>
      <c r="C554" s="1" t="n">
        <v>46046</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23580-2025</t>
        </is>
      </c>
      <c r="B555" s="1" t="n">
        <v>45792.62555555555</v>
      </c>
      <c r="C555" s="1" t="n">
        <v>46046</v>
      </c>
      <c r="D555" t="inlineStr">
        <is>
          <t>VÄSTERNORRLANDS LÄN</t>
        </is>
      </c>
      <c r="E555" t="inlineStr">
        <is>
          <t>ÅNGE</t>
        </is>
      </c>
      <c r="F555" t="inlineStr">
        <is>
          <t>Kyrkan</t>
        </is>
      </c>
      <c r="G555" t="n">
        <v>2.6</v>
      </c>
      <c r="H555" t="n">
        <v>0</v>
      </c>
      <c r="I555" t="n">
        <v>0</v>
      </c>
      <c r="J555" t="n">
        <v>0</v>
      </c>
      <c r="K555" t="n">
        <v>0</v>
      </c>
      <c r="L555" t="n">
        <v>0</v>
      </c>
      <c r="M555" t="n">
        <v>0</v>
      </c>
      <c r="N555" t="n">
        <v>0</v>
      </c>
      <c r="O555" t="n">
        <v>0</v>
      </c>
      <c r="P555" t="n">
        <v>0</v>
      </c>
      <c r="Q555" t="n">
        <v>0</v>
      </c>
      <c r="R555" s="2" t="inlineStr"/>
    </row>
    <row r="556" ht="15" customHeight="1">
      <c r="A556" t="inlineStr">
        <is>
          <t>A 23590-2025</t>
        </is>
      </c>
      <c r="B556" s="1" t="n">
        <v>45792.63627314815</v>
      </c>
      <c r="C556" s="1" t="n">
        <v>46046</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60003-2023</t>
        </is>
      </c>
      <c r="B557" s="1" t="n">
        <v>45257</v>
      </c>
      <c r="C557" s="1" t="n">
        <v>46046</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4876-2023</t>
        </is>
      </c>
      <c r="B558" s="1" t="n">
        <v>44957.94023148148</v>
      </c>
      <c r="C558" s="1" t="n">
        <v>46046</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23573-2025</t>
        </is>
      </c>
      <c r="B559" s="1" t="n">
        <v>45792.61497685185</v>
      </c>
      <c r="C559" s="1" t="n">
        <v>46046</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55751-2024</t>
        </is>
      </c>
      <c r="B560" s="1" t="n">
        <v>45623.34409722222</v>
      </c>
      <c r="C560" s="1" t="n">
        <v>46046</v>
      </c>
      <c r="D560" t="inlineStr">
        <is>
          <t>VÄSTERNORRLANDS LÄN</t>
        </is>
      </c>
      <c r="E560" t="inlineStr">
        <is>
          <t>ÅNGE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57591-2022</t>
        </is>
      </c>
      <c r="B561" s="1" t="n">
        <v>44896.97834490741</v>
      </c>
      <c r="C561" s="1" t="n">
        <v>46046</v>
      </c>
      <c r="D561" t="inlineStr">
        <is>
          <t>VÄSTERNORRLANDS LÄN</t>
        </is>
      </c>
      <c r="E561" t="inlineStr">
        <is>
          <t>ÅNGE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23552-2025</t>
        </is>
      </c>
      <c r="B562" s="1" t="n">
        <v>45792.5738425926</v>
      </c>
      <c r="C562" s="1" t="n">
        <v>46046</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25034-2023</t>
        </is>
      </c>
      <c r="B563" s="1" t="n">
        <v>45085</v>
      </c>
      <c r="C563" s="1" t="n">
        <v>46046</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13875-2022</t>
        </is>
      </c>
      <c r="B564" s="1" t="n">
        <v>44649</v>
      </c>
      <c r="C564" s="1" t="n">
        <v>46046</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61461-2023</t>
        </is>
      </c>
      <c r="B565" s="1" t="n">
        <v>45264.9261574074</v>
      </c>
      <c r="C565" s="1" t="n">
        <v>46046</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39005-2024</t>
        </is>
      </c>
      <c r="B566" s="1" t="n">
        <v>45548.42743055556</v>
      </c>
      <c r="C566" s="1" t="n">
        <v>46046</v>
      </c>
      <c r="D566" t="inlineStr">
        <is>
          <t>VÄSTERNORRLANDS LÄN</t>
        </is>
      </c>
      <c r="E566" t="inlineStr">
        <is>
          <t>ÅNGE</t>
        </is>
      </c>
      <c r="F566" t="inlineStr">
        <is>
          <t>SCA</t>
        </is>
      </c>
      <c r="G566" t="n">
        <v>2.6</v>
      </c>
      <c r="H566" t="n">
        <v>0</v>
      </c>
      <c r="I566" t="n">
        <v>0</v>
      </c>
      <c r="J566" t="n">
        <v>0</v>
      </c>
      <c r="K566" t="n">
        <v>0</v>
      </c>
      <c r="L566" t="n">
        <v>0</v>
      </c>
      <c r="M566" t="n">
        <v>0</v>
      </c>
      <c r="N566" t="n">
        <v>0</v>
      </c>
      <c r="O566" t="n">
        <v>0</v>
      </c>
      <c r="P566" t="n">
        <v>0</v>
      </c>
      <c r="Q566" t="n">
        <v>0</v>
      </c>
      <c r="R566" s="2" t="inlineStr"/>
      <c r="U566">
        <f>HYPERLINK("https://klasma.github.io/Logging_2260/knärot/A 39005-2024 karta knärot.png", "A 39005-2024")</f>
        <v/>
      </c>
      <c r="V566">
        <f>HYPERLINK("https://klasma.github.io/Logging_2260/klagomål/A 39005-2024 FSC-klagomål.docx", "A 39005-2024")</f>
        <v/>
      </c>
      <c r="W566">
        <f>HYPERLINK("https://klasma.github.io/Logging_2260/klagomålsmail/A 39005-2024 FSC-klagomål mail.docx", "A 39005-2024")</f>
        <v/>
      </c>
      <c r="X566">
        <f>HYPERLINK("https://klasma.github.io/Logging_2260/tillsyn/A 39005-2024 tillsynsbegäran.docx", "A 39005-2024")</f>
        <v/>
      </c>
      <c r="Y566">
        <f>HYPERLINK("https://klasma.github.io/Logging_2260/tillsynsmail/A 39005-2024 tillsynsbegäran mail.docx", "A 39005-2024")</f>
        <v/>
      </c>
    </row>
    <row r="567" ht="15" customHeight="1">
      <c r="A567" t="inlineStr">
        <is>
          <t>A 23529-2025</t>
        </is>
      </c>
      <c r="B567" s="1" t="n">
        <v>45792.53158564815</v>
      </c>
      <c r="C567" s="1" t="n">
        <v>46046</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60004-2023</t>
        </is>
      </c>
      <c r="B568" s="1" t="n">
        <v>45257</v>
      </c>
      <c r="C568" s="1" t="n">
        <v>46046</v>
      </c>
      <c r="D568" t="inlineStr">
        <is>
          <t>VÄSTERNORRLANDS LÄN</t>
        </is>
      </c>
      <c r="E568" t="inlineStr">
        <is>
          <t>ÅNGE</t>
        </is>
      </c>
      <c r="F568" t="inlineStr">
        <is>
          <t>SCA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4142-2024</t>
        </is>
      </c>
      <c r="B569" s="1" t="n">
        <v>45323</v>
      </c>
      <c r="C569" s="1" t="n">
        <v>46046</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9605-2025</t>
        </is>
      </c>
      <c r="B570" s="1" t="n">
        <v>45715.65657407408</v>
      </c>
      <c r="C570" s="1" t="n">
        <v>46046</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39843-2023</t>
        </is>
      </c>
      <c r="B571" s="1" t="n">
        <v>45168</v>
      </c>
      <c r="C571" s="1" t="n">
        <v>46046</v>
      </c>
      <c r="D571" t="inlineStr">
        <is>
          <t>VÄSTERNORRLANDS LÄN</t>
        </is>
      </c>
      <c r="E571" t="inlineStr">
        <is>
          <t>ÅNGE</t>
        </is>
      </c>
      <c r="G571" t="n">
        <v>2.1</v>
      </c>
      <c r="H571" t="n">
        <v>0</v>
      </c>
      <c r="I571" t="n">
        <v>0</v>
      </c>
      <c r="J571" t="n">
        <v>0</v>
      </c>
      <c r="K571" t="n">
        <v>0</v>
      </c>
      <c r="L571" t="n">
        <v>0</v>
      </c>
      <c r="M571" t="n">
        <v>0</v>
      </c>
      <c r="N571" t="n">
        <v>0</v>
      </c>
      <c r="O571" t="n">
        <v>0</v>
      </c>
      <c r="P571" t="n">
        <v>0</v>
      </c>
      <c r="Q571" t="n">
        <v>0</v>
      </c>
      <c r="R571" s="2" t="inlineStr"/>
    </row>
    <row r="572" ht="15" customHeight="1">
      <c r="A572" t="inlineStr">
        <is>
          <t>A 23899-2025</t>
        </is>
      </c>
      <c r="B572" s="1" t="n">
        <v>45794.34414351852</v>
      </c>
      <c r="C572" s="1" t="n">
        <v>46046</v>
      </c>
      <c r="D572" t="inlineStr">
        <is>
          <t>VÄSTERNORRLANDS LÄN</t>
        </is>
      </c>
      <c r="E572" t="inlineStr">
        <is>
          <t>ÅNGE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16563-2025</t>
        </is>
      </c>
      <c r="B573" s="1" t="n">
        <v>45752.34430555555</v>
      </c>
      <c r="C573" s="1" t="n">
        <v>46046</v>
      </c>
      <c r="D573" t="inlineStr">
        <is>
          <t>VÄSTERNORRLANDS LÄN</t>
        </is>
      </c>
      <c r="E573" t="inlineStr">
        <is>
          <t>ÅNGE</t>
        </is>
      </c>
      <c r="F573" t="inlineStr">
        <is>
          <t>SCA</t>
        </is>
      </c>
      <c r="G573" t="n">
        <v>24.7</v>
      </c>
      <c r="H573" t="n">
        <v>0</v>
      </c>
      <c r="I573" t="n">
        <v>0</v>
      </c>
      <c r="J573" t="n">
        <v>0</v>
      </c>
      <c r="K573" t="n">
        <v>0</v>
      </c>
      <c r="L573" t="n">
        <v>0</v>
      </c>
      <c r="M573" t="n">
        <v>0</v>
      </c>
      <c r="N573" t="n">
        <v>0</v>
      </c>
      <c r="O573" t="n">
        <v>0</v>
      </c>
      <c r="P573" t="n">
        <v>0</v>
      </c>
      <c r="Q573" t="n">
        <v>0</v>
      </c>
      <c r="R573" s="2" t="inlineStr"/>
    </row>
    <row r="574" ht="15" customHeight="1">
      <c r="A574" t="inlineStr">
        <is>
          <t>A 54079-2023</t>
        </is>
      </c>
      <c r="B574" s="1" t="n">
        <v>45231</v>
      </c>
      <c r="C574" s="1" t="n">
        <v>46046</v>
      </c>
      <c r="D574" t="inlineStr">
        <is>
          <t>VÄSTERNORRLANDS LÄN</t>
        </is>
      </c>
      <c r="E574" t="inlineStr">
        <is>
          <t>ÅNGE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24357-2025</t>
        </is>
      </c>
      <c r="B575" s="1" t="n">
        <v>45797.59467592592</v>
      </c>
      <c r="C575" s="1" t="n">
        <v>46046</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24292-2025</t>
        </is>
      </c>
      <c r="B576" s="1" t="n">
        <v>45797.46657407407</v>
      </c>
      <c r="C576" s="1" t="n">
        <v>46046</v>
      </c>
      <c r="D576" t="inlineStr">
        <is>
          <t>VÄSTERNORRLANDS LÄN</t>
        </is>
      </c>
      <c r="E576" t="inlineStr">
        <is>
          <t>ÅNGE</t>
        </is>
      </c>
      <c r="G576" t="n">
        <v>2.8</v>
      </c>
      <c r="H576" t="n">
        <v>0</v>
      </c>
      <c r="I576" t="n">
        <v>0</v>
      </c>
      <c r="J576" t="n">
        <v>0</v>
      </c>
      <c r="K576" t="n">
        <v>0</v>
      </c>
      <c r="L576" t="n">
        <v>0</v>
      </c>
      <c r="M576" t="n">
        <v>0</v>
      </c>
      <c r="N576" t="n">
        <v>0</v>
      </c>
      <c r="O576" t="n">
        <v>0</v>
      </c>
      <c r="P576" t="n">
        <v>0</v>
      </c>
      <c r="Q576" t="n">
        <v>0</v>
      </c>
      <c r="R576" s="2" t="inlineStr"/>
    </row>
    <row r="577" ht="15" customHeight="1">
      <c r="A577" t="inlineStr">
        <is>
          <t>A 42881-2024</t>
        </is>
      </c>
      <c r="B577" s="1" t="n">
        <v>45566.70916666667</v>
      </c>
      <c r="C577" s="1" t="n">
        <v>46046</v>
      </c>
      <c r="D577" t="inlineStr">
        <is>
          <t>VÄSTERNORRLANDS LÄN</t>
        </is>
      </c>
      <c r="E577" t="inlineStr">
        <is>
          <t>ÅNGE</t>
        </is>
      </c>
      <c r="G577" t="n">
        <v>1.9</v>
      </c>
      <c r="H577" t="n">
        <v>0</v>
      </c>
      <c r="I577" t="n">
        <v>0</v>
      </c>
      <c r="J577" t="n">
        <v>0</v>
      </c>
      <c r="K577" t="n">
        <v>0</v>
      </c>
      <c r="L577" t="n">
        <v>0</v>
      </c>
      <c r="M577" t="n">
        <v>0</v>
      </c>
      <c r="N577" t="n">
        <v>0</v>
      </c>
      <c r="O577" t="n">
        <v>0</v>
      </c>
      <c r="P577" t="n">
        <v>0</v>
      </c>
      <c r="Q577" t="n">
        <v>0</v>
      </c>
      <c r="R577" s="2" t="inlineStr"/>
    </row>
    <row r="578" ht="15" customHeight="1">
      <c r="A578" t="inlineStr">
        <is>
          <t>A 54316-2024</t>
        </is>
      </c>
      <c r="B578" s="1" t="n">
        <v>45617.34443287037</v>
      </c>
      <c r="C578" s="1" t="n">
        <v>46046</v>
      </c>
      <c r="D578" t="inlineStr">
        <is>
          <t>VÄSTERNORRLANDS LÄN</t>
        </is>
      </c>
      <c r="E578" t="inlineStr">
        <is>
          <t>ÅNGE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42044-2024</t>
        </is>
      </c>
      <c r="B579" s="1" t="n">
        <v>45561</v>
      </c>
      <c r="C579" s="1" t="n">
        <v>46046</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42090-2024</t>
        </is>
      </c>
      <c r="B580" s="1" t="n">
        <v>45562</v>
      </c>
      <c r="C580" s="1" t="n">
        <v>46046</v>
      </c>
      <c r="D580" t="inlineStr">
        <is>
          <t>VÄSTERNORRLANDS LÄN</t>
        </is>
      </c>
      <c r="E580" t="inlineStr">
        <is>
          <t>ÅNGE</t>
        </is>
      </c>
      <c r="F580" t="inlineStr">
        <is>
          <t>SCA</t>
        </is>
      </c>
      <c r="G580" t="n">
        <v>20.2</v>
      </c>
      <c r="H580" t="n">
        <v>0</v>
      </c>
      <c r="I580" t="n">
        <v>0</v>
      </c>
      <c r="J580" t="n">
        <v>0</v>
      </c>
      <c r="K580" t="n">
        <v>0</v>
      </c>
      <c r="L580" t="n">
        <v>0</v>
      </c>
      <c r="M580" t="n">
        <v>0</v>
      </c>
      <c r="N580" t="n">
        <v>0</v>
      </c>
      <c r="O580" t="n">
        <v>0</v>
      </c>
      <c r="P580" t="n">
        <v>0</v>
      </c>
      <c r="Q580" t="n">
        <v>0</v>
      </c>
      <c r="R580" s="2" t="inlineStr"/>
    </row>
    <row r="581" ht="15" customHeight="1">
      <c r="A581" t="inlineStr">
        <is>
          <t>A 24008-2025</t>
        </is>
      </c>
      <c r="B581" s="1" t="n">
        <v>45796.43841435185</v>
      </c>
      <c r="C581" s="1" t="n">
        <v>46046</v>
      </c>
      <c r="D581" t="inlineStr">
        <is>
          <t>VÄSTERNORRLANDS LÄN</t>
        </is>
      </c>
      <c r="E581" t="inlineStr">
        <is>
          <t>ÅNGE</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17718-2025</t>
        </is>
      </c>
      <c r="B582" s="1" t="n">
        <v>45758.44815972223</v>
      </c>
      <c r="C582" s="1" t="n">
        <v>46046</v>
      </c>
      <c r="D582" t="inlineStr">
        <is>
          <t>VÄSTERNORRLANDS LÄN</t>
        </is>
      </c>
      <c r="E582" t="inlineStr">
        <is>
          <t>ÅNGE</t>
        </is>
      </c>
      <c r="G582" t="n">
        <v>5.1</v>
      </c>
      <c r="H582" t="n">
        <v>0</v>
      </c>
      <c r="I582" t="n">
        <v>0</v>
      </c>
      <c r="J582" t="n">
        <v>0</v>
      </c>
      <c r="K582" t="n">
        <v>0</v>
      </c>
      <c r="L582" t="n">
        <v>0</v>
      </c>
      <c r="M582" t="n">
        <v>0</v>
      </c>
      <c r="N582" t="n">
        <v>0</v>
      </c>
      <c r="O582" t="n">
        <v>0</v>
      </c>
      <c r="P582" t="n">
        <v>0</v>
      </c>
      <c r="Q582" t="n">
        <v>0</v>
      </c>
      <c r="R582" s="2" t="inlineStr"/>
    </row>
    <row r="583" ht="15" customHeight="1">
      <c r="A583" t="inlineStr">
        <is>
          <t>A 57593-2022</t>
        </is>
      </c>
      <c r="B583" s="1" t="n">
        <v>44896.97847222222</v>
      </c>
      <c r="C583" s="1" t="n">
        <v>46046</v>
      </c>
      <c r="D583" t="inlineStr">
        <is>
          <t>VÄSTERNORRLANDS LÄN</t>
        </is>
      </c>
      <c r="E583" t="inlineStr">
        <is>
          <t>ÅNGE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57596-2022</t>
        </is>
      </c>
      <c r="B584" s="1" t="n">
        <v>44896.97871527778</v>
      </c>
      <c r="C584" s="1" t="n">
        <v>46046</v>
      </c>
      <c r="D584" t="inlineStr">
        <is>
          <t>VÄSTERNORRLANDS LÄN</t>
        </is>
      </c>
      <c r="E584" t="inlineStr">
        <is>
          <t>ÅNGE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57598-2022</t>
        </is>
      </c>
      <c r="B585" s="1" t="n">
        <v>44896</v>
      </c>
      <c r="C585" s="1" t="n">
        <v>46046</v>
      </c>
      <c r="D585" t="inlineStr">
        <is>
          <t>VÄSTERNORRLANDS LÄN</t>
        </is>
      </c>
      <c r="E585" t="inlineStr">
        <is>
          <t>ÅNGE</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41575-2024</t>
        </is>
      </c>
      <c r="B586" s="1" t="n">
        <v>45560.55106481481</v>
      </c>
      <c r="C586" s="1" t="n">
        <v>46046</v>
      </c>
      <c r="D586" t="inlineStr">
        <is>
          <t>VÄSTERNORRLANDS LÄN</t>
        </is>
      </c>
      <c r="E586" t="inlineStr">
        <is>
          <t>ÅNGE</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8650-2024</t>
        </is>
      </c>
      <c r="B587" s="1" t="n">
        <v>45356</v>
      </c>
      <c r="C587" s="1" t="n">
        <v>46046</v>
      </c>
      <c r="D587" t="inlineStr">
        <is>
          <t>VÄSTERNORRLANDS LÄN</t>
        </is>
      </c>
      <c r="E587" t="inlineStr">
        <is>
          <t>ÅNGE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19007-2025</t>
        </is>
      </c>
      <c r="B588" s="1" t="n">
        <v>45764.58515046296</v>
      </c>
      <c r="C588" s="1" t="n">
        <v>46046</v>
      </c>
      <c r="D588" t="inlineStr">
        <is>
          <t>VÄSTERNORRLANDS LÄN</t>
        </is>
      </c>
      <c r="E588" t="inlineStr">
        <is>
          <t>ÅNGE</t>
        </is>
      </c>
      <c r="G588" t="n">
        <v>3.7</v>
      </c>
      <c r="H588" t="n">
        <v>0</v>
      </c>
      <c r="I588" t="n">
        <v>0</v>
      </c>
      <c r="J588" t="n">
        <v>0</v>
      </c>
      <c r="K588" t="n">
        <v>0</v>
      </c>
      <c r="L588" t="n">
        <v>0</v>
      </c>
      <c r="M588" t="n">
        <v>0</v>
      </c>
      <c r="N588" t="n">
        <v>0</v>
      </c>
      <c r="O588" t="n">
        <v>0</v>
      </c>
      <c r="P588" t="n">
        <v>0</v>
      </c>
      <c r="Q588" t="n">
        <v>0</v>
      </c>
      <c r="R588" s="2" t="inlineStr"/>
    </row>
    <row r="589" ht="15" customHeight="1">
      <c r="A589" t="inlineStr">
        <is>
          <t>A 23063-2024</t>
        </is>
      </c>
      <c r="B589" s="1" t="n">
        <v>45450.44278935185</v>
      </c>
      <c r="C589" s="1" t="n">
        <v>46046</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41741-2023</t>
        </is>
      </c>
      <c r="B590" s="1" t="n">
        <v>45176.42164351852</v>
      </c>
      <c r="C590" s="1" t="n">
        <v>46046</v>
      </c>
      <c r="D590" t="inlineStr">
        <is>
          <t>VÄSTERNORRLANDS LÄN</t>
        </is>
      </c>
      <c r="E590" t="inlineStr">
        <is>
          <t>ÅNGE</t>
        </is>
      </c>
      <c r="G590" t="n">
        <v>7.8</v>
      </c>
      <c r="H590" t="n">
        <v>0</v>
      </c>
      <c r="I590" t="n">
        <v>0</v>
      </c>
      <c r="J590" t="n">
        <v>0</v>
      </c>
      <c r="K590" t="n">
        <v>0</v>
      </c>
      <c r="L590" t="n">
        <v>0</v>
      </c>
      <c r="M590" t="n">
        <v>0</v>
      </c>
      <c r="N590" t="n">
        <v>0</v>
      </c>
      <c r="O590" t="n">
        <v>0</v>
      </c>
      <c r="P590" t="n">
        <v>0</v>
      </c>
      <c r="Q590" t="n">
        <v>0</v>
      </c>
      <c r="R590" s="2" t="inlineStr"/>
    </row>
    <row r="591" ht="15" customHeight="1">
      <c r="A591" t="inlineStr">
        <is>
          <t>A 29702-2024</t>
        </is>
      </c>
      <c r="B591" s="1" t="n">
        <v>45485.31525462963</v>
      </c>
      <c r="C591" s="1" t="n">
        <v>46046</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23069-2024</t>
        </is>
      </c>
      <c r="B592" s="1" t="n">
        <v>45450</v>
      </c>
      <c r="C592" s="1" t="n">
        <v>46046</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10558-2023</t>
        </is>
      </c>
      <c r="B593" s="1" t="n">
        <v>44987.94438657408</v>
      </c>
      <c r="C593" s="1" t="n">
        <v>46046</v>
      </c>
      <c r="D593" t="inlineStr">
        <is>
          <t>VÄSTERNORRLANDS LÄN</t>
        </is>
      </c>
      <c r="E593" t="inlineStr">
        <is>
          <t>ÅNGE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24209-2025</t>
        </is>
      </c>
      <c r="B594" s="1" t="n">
        <v>45797.3446875</v>
      </c>
      <c r="C594" s="1" t="n">
        <v>46046</v>
      </c>
      <c r="D594" t="inlineStr">
        <is>
          <t>VÄSTERNORRLANDS LÄN</t>
        </is>
      </c>
      <c r="E594" t="inlineStr">
        <is>
          <t>ÅNGE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10781-2024</t>
        </is>
      </c>
      <c r="B595" s="1" t="n">
        <v>45369.59635416666</v>
      </c>
      <c r="C595" s="1" t="n">
        <v>46046</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11764-2024</t>
        </is>
      </c>
      <c r="B596" s="1" t="n">
        <v>45373.94837962963</v>
      </c>
      <c r="C596" s="1" t="n">
        <v>46046</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44158-2024</t>
        </is>
      </c>
      <c r="B597" s="1" t="n">
        <v>45572</v>
      </c>
      <c r="C597" s="1" t="n">
        <v>46046</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45631-2021</t>
        </is>
      </c>
      <c r="B598" s="1" t="n">
        <v>44440.98045138889</v>
      </c>
      <c r="C598" s="1" t="n">
        <v>46046</v>
      </c>
      <c r="D598" t="inlineStr">
        <is>
          <t>VÄSTERNORRLANDS LÄN</t>
        </is>
      </c>
      <c r="E598" t="inlineStr">
        <is>
          <t>ÅNGE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23975-2025</t>
        </is>
      </c>
      <c r="B599" s="1" t="n">
        <v>45796.38614583333</v>
      </c>
      <c r="C599" s="1" t="n">
        <v>46046</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23976-2025</t>
        </is>
      </c>
      <c r="B600" s="1" t="n">
        <v>45796.38625</v>
      </c>
      <c r="C600" s="1" t="n">
        <v>46046</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57516-2023</t>
        </is>
      </c>
      <c r="B601" s="1" t="n">
        <v>45246.44665509259</v>
      </c>
      <c r="C601" s="1" t="n">
        <v>46046</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27951-2021</t>
        </is>
      </c>
      <c r="B602" s="1" t="n">
        <v>44354</v>
      </c>
      <c r="C602" s="1" t="n">
        <v>46046</v>
      </c>
      <c r="D602" t="inlineStr">
        <is>
          <t>VÄSTERNORRLANDS LÄN</t>
        </is>
      </c>
      <c r="E602" t="inlineStr">
        <is>
          <t>ÅNGE</t>
        </is>
      </c>
      <c r="G602" t="n">
        <v>3</v>
      </c>
      <c r="H602" t="n">
        <v>0</v>
      </c>
      <c r="I602" t="n">
        <v>0</v>
      </c>
      <c r="J602" t="n">
        <v>0</v>
      </c>
      <c r="K602" t="n">
        <v>0</v>
      </c>
      <c r="L602" t="n">
        <v>0</v>
      </c>
      <c r="M602" t="n">
        <v>0</v>
      </c>
      <c r="N602" t="n">
        <v>0</v>
      </c>
      <c r="O602" t="n">
        <v>0</v>
      </c>
      <c r="P602" t="n">
        <v>0</v>
      </c>
      <c r="Q602" t="n">
        <v>0</v>
      </c>
      <c r="R602" s="2" t="inlineStr"/>
    </row>
    <row r="603" ht="15" customHeight="1">
      <c r="A603" t="inlineStr">
        <is>
          <t>A 26641-2024</t>
        </is>
      </c>
      <c r="B603" s="1" t="n">
        <v>45469.92836805555</v>
      </c>
      <c r="C603" s="1" t="n">
        <v>46046</v>
      </c>
      <c r="D603" t="inlineStr">
        <is>
          <t>VÄSTERNORRLANDS LÄN</t>
        </is>
      </c>
      <c r="E603" t="inlineStr">
        <is>
          <t>ÅNGE</t>
        </is>
      </c>
      <c r="G603" t="n">
        <v>4.5</v>
      </c>
      <c r="H603" t="n">
        <v>0</v>
      </c>
      <c r="I603" t="n">
        <v>0</v>
      </c>
      <c r="J603" t="n">
        <v>0</v>
      </c>
      <c r="K603" t="n">
        <v>0</v>
      </c>
      <c r="L603" t="n">
        <v>0</v>
      </c>
      <c r="M603" t="n">
        <v>0</v>
      </c>
      <c r="N603" t="n">
        <v>0</v>
      </c>
      <c r="O603" t="n">
        <v>0</v>
      </c>
      <c r="P603" t="n">
        <v>0</v>
      </c>
      <c r="Q603" t="n">
        <v>0</v>
      </c>
      <c r="R603" s="2" t="inlineStr"/>
    </row>
    <row r="604" ht="15" customHeight="1">
      <c r="A604" t="inlineStr">
        <is>
          <t>A 25035-2023</t>
        </is>
      </c>
      <c r="B604" s="1" t="n">
        <v>45085</v>
      </c>
      <c r="C604" s="1" t="n">
        <v>46046</v>
      </c>
      <c r="D604" t="inlineStr">
        <is>
          <t>VÄSTERNORRLANDS LÄN</t>
        </is>
      </c>
      <c r="E604" t="inlineStr">
        <is>
          <t>ÅNGE</t>
        </is>
      </c>
      <c r="G604" t="n">
        <v>0.3</v>
      </c>
      <c r="H604" t="n">
        <v>0</v>
      </c>
      <c r="I604" t="n">
        <v>0</v>
      </c>
      <c r="J604" t="n">
        <v>0</v>
      </c>
      <c r="K604" t="n">
        <v>0</v>
      </c>
      <c r="L604" t="n">
        <v>0</v>
      </c>
      <c r="M604" t="n">
        <v>0</v>
      </c>
      <c r="N604" t="n">
        <v>0</v>
      </c>
      <c r="O604" t="n">
        <v>0</v>
      </c>
      <c r="P604" t="n">
        <v>0</v>
      </c>
      <c r="Q604" t="n">
        <v>0</v>
      </c>
      <c r="R604" s="2" t="inlineStr"/>
    </row>
    <row r="605" ht="15" customHeight="1">
      <c r="A605" t="inlineStr">
        <is>
          <t>A 37992-2024</t>
        </is>
      </c>
      <c r="B605" s="1" t="n">
        <v>45544.59524305556</v>
      </c>
      <c r="C605" s="1" t="n">
        <v>46046</v>
      </c>
      <c r="D605" t="inlineStr">
        <is>
          <t>VÄSTERNORRLANDS LÄN</t>
        </is>
      </c>
      <c r="E605" t="inlineStr">
        <is>
          <t>ÅNGE</t>
        </is>
      </c>
      <c r="G605" t="n">
        <v>3.9</v>
      </c>
      <c r="H605" t="n">
        <v>0</v>
      </c>
      <c r="I605" t="n">
        <v>0</v>
      </c>
      <c r="J605" t="n">
        <v>0</v>
      </c>
      <c r="K605" t="n">
        <v>0</v>
      </c>
      <c r="L605" t="n">
        <v>0</v>
      </c>
      <c r="M605" t="n">
        <v>0</v>
      </c>
      <c r="N605" t="n">
        <v>0</v>
      </c>
      <c r="O605" t="n">
        <v>0</v>
      </c>
      <c r="P605" t="n">
        <v>0</v>
      </c>
      <c r="Q605" t="n">
        <v>0</v>
      </c>
      <c r="R605" s="2" t="inlineStr"/>
    </row>
    <row r="606" ht="15" customHeight="1">
      <c r="A606" t="inlineStr">
        <is>
          <t>A 41829-2021</t>
        </is>
      </c>
      <c r="B606" s="1" t="n">
        <v>44425.92202546296</v>
      </c>
      <c r="C606" s="1" t="n">
        <v>46046</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10195-2024</t>
        </is>
      </c>
      <c r="B607" s="1" t="n">
        <v>45364</v>
      </c>
      <c r="C607" s="1" t="n">
        <v>46046</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10878-2024</t>
        </is>
      </c>
      <c r="B608" s="1" t="n">
        <v>45370</v>
      </c>
      <c r="C608" s="1" t="n">
        <v>46046</v>
      </c>
      <c r="D608" t="inlineStr">
        <is>
          <t>VÄSTERNORRLANDS LÄN</t>
        </is>
      </c>
      <c r="E608" t="inlineStr">
        <is>
          <t>ÅNGE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24207-2025</t>
        </is>
      </c>
      <c r="B609" s="1" t="n">
        <v>45797.34439814815</v>
      </c>
      <c r="C609" s="1" t="n">
        <v>46046</v>
      </c>
      <c r="D609" t="inlineStr">
        <is>
          <t>VÄSTERNORRLANDS LÄN</t>
        </is>
      </c>
      <c r="E609" t="inlineStr">
        <is>
          <t>ÅNGE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42488-2024</t>
        </is>
      </c>
      <c r="B610" s="1" t="n">
        <v>45565.49420138889</v>
      </c>
      <c r="C610" s="1" t="n">
        <v>46046</v>
      </c>
      <c r="D610" t="inlineStr">
        <is>
          <t>VÄSTERNORRLANDS LÄN</t>
        </is>
      </c>
      <c r="E610" t="inlineStr">
        <is>
          <t>ÅNGE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42529-2024</t>
        </is>
      </c>
      <c r="B611" s="1" t="n">
        <v>45565.57324074074</v>
      </c>
      <c r="C611" s="1" t="n">
        <v>46046</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25903-2022</t>
        </is>
      </c>
      <c r="B612" s="1" t="n">
        <v>44733</v>
      </c>
      <c r="C612" s="1" t="n">
        <v>46046</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1103-2023</t>
        </is>
      </c>
      <c r="B613" s="1" t="n">
        <v>44929</v>
      </c>
      <c r="C613" s="1" t="n">
        <v>46046</v>
      </c>
      <c r="D613" t="inlineStr">
        <is>
          <t>VÄSTERNORRLANDS LÄN</t>
        </is>
      </c>
      <c r="E613" t="inlineStr">
        <is>
          <t>ÅNGE</t>
        </is>
      </c>
      <c r="G613" t="n">
        <v>7.3</v>
      </c>
      <c r="H613" t="n">
        <v>0</v>
      </c>
      <c r="I613" t="n">
        <v>0</v>
      </c>
      <c r="J613" t="n">
        <v>0</v>
      </c>
      <c r="K613" t="n">
        <v>0</v>
      </c>
      <c r="L613" t="n">
        <v>0</v>
      </c>
      <c r="M613" t="n">
        <v>0</v>
      </c>
      <c r="N613" t="n">
        <v>0</v>
      </c>
      <c r="O613" t="n">
        <v>0</v>
      </c>
      <c r="P613" t="n">
        <v>0</v>
      </c>
      <c r="Q613" t="n">
        <v>0</v>
      </c>
      <c r="R613" s="2" t="inlineStr"/>
    </row>
    <row r="614" ht="15" customHeight="1">
      <c r="A614" t="inlineStr">
        <is>
          <t>A 4006-2022</t>
        </is>
      </c>
      <c r="B614" s="1" t="n">
        <v>44587.92019675926</v>
      </c>
      <c r="C614" s="1" t="n">
        <v>46046</v>
      </c>
      <c r="D614" t="inlineStr">
        <is>
          <t>VÄSTERNORRLANDS LÄN</t>
        </is>
      </c>
      <c r="E614" t="inlineStr">
        <is>
          <t>ÅNGE</t>
        </is>
      </c>
      <c r="G614" t="n">
        <v>5</v>
      </c>
      <c r="H614" t="n">
        <v>0</v>
      </c>
      <c r="I614" t="n">
        <v>0</v>
      </c>
      <c r="J614" t="n">
        <v>0</v>
      </c>
      <c r="K614" t="n">
        <v>0</v>
      </c>
      <c r="L614" t="n">
        <v>0</v>
      </c>
      <c r="M614" t="n">
        <v>0</v>
      </c>
      <c r="N614" t="n">
        <v>0</v>
      </c>
      <c r="O614" t="n">
        <v>0</v>
      </c>
      <c r="P614" t="n">
        <v>0</v>
      </c>
      <c r="Q614" t="n">
        <v>0</v>
      </c>
      <c r="R614" s="2" t="inlineStr"/>
    </row>
    <row r="615" ht="15" customHeight="1">
      <c r="A615" t="inlineStr">
        <is>
          <t>A 61781-2023</t>
        </is>
      </c>
      <c r="B615" s="1" t="n">
        <v>45265.95708333333</v>
      </c>
      <c r="C615" s="1" t="n">
        <v>46046</v>
      </c>
      <c r="D615" t="inlineStr">
        <is>
          <t>VÄSTERNORRLANDS LÄN</t>
        </is>
      </c>
      <c r="E615" t="inlineStr">
        <is>
          <t>ÅNGE</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9211-2023</t>
        </is>
      </c>
      <c r="B616" s="1" t="n">
        <v>44980</v>
      </c>
      <c r="C616" s="1" t="n">
        <v>46046</v>
      </c>
      <c r="D616" t="inlineStr">
        <is>
          <t>VÄSTERNORRLANDS LÄN</t>
        </is>
      </c>
      <c r="E616" t="inlineStr">
        <is>
          <t>ÅNGE</t>
        </is>
      </c>
      <c r="G616" t="n">
        <v>2.3</v>
      </c>
      <c r="H616" t="n">
        <v>0</v>
      </c>
      <c r="I616" t="n">
        <v>0</v>
      </c>
      <c r="J616" t="n">
        <v>0</v>
      </c>
      <c r="K616" t="n">
        <v>0</v>
      </c>
      <c r="L616" t="n">
        <v>0</v>
      </c>
      <c r="M616" t="n">
        <v>0</v>
      </c>
      <c r="N616" t="n">
        <v>0</v>
      </c>
      <c r="O616" t="n">
        <v>0</v>
      </c>
      <c r="P616" t="n">
        <v>0</v>
      </c>
      <c r="Q616" t="n">
        <v>0</v>
      </c>
      <c r="R616" s="2" t="inlineStr"/>
    </row>
    <row r="617" ht="15" customHeight="1">
      <c r="A617" t="inlineStr">
        <is>
          <t>A 43145-2024</t>
        </is>
      </c>
      <c r="B617" s="1" t="n">
        <v>45567.63030092593</v>
      </c>
      <c r="C617" s="1" t="n">
        <v>46046</v>
      </c>
      <c r="D617" t="inlineStr">
        <is>
          <t>VÄSTERNORRLANDS LÄN</t>
        </is>
      </c>
      <c r="E617" t="inlineStr">
        <is>
          <t>ÅNGE</t>
        </is>
      </c>
      <c r="G617" t="n">
        <v>1.4</v>
      </c>
      <c r="H617" t="n">
        <v>0</v>
      </c>
      <c r="I617" t="n">
        <v>0</v>
      </c>
      <c r="J617" t="n">
        <v>0</v>
      </c>
      <c r="K617" t="n">
        <v>0</v>
      </c>
      <c r="L617" t="n">
        <v>0</v>
      </c>
      <c r="M617" t="n">
        <v>0</v>
      </c>
      <c r="N617" t="n">
        <v>0</v>
      </c>
      <c r="O617" t="n">
        <v>0</v>
      </c>
      <c r="P617" t="n">
        <v>0</v>
      </c>
      <c r="Q617" t="n">
        <v>0</v>
      </c>
      <c r="R617" s="2" t="inlineStr"/>
    </row>
    <row r="618" ht="15" customHeight="1">
      <c r="A618" t="inlineStr">
        <is>
          <t>A 23917-2025</t>
        </is>
      </c>
      <c r="B618" s="1" t="n">
        <v>45795.34481481482</v>
      </c>
      <c r="C618" s="1" t="n">
        <v>46046</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23921-2025</t>
        </is>
      </c>
      <c r="B619" s="1" t="n">
        <v>45795.34513888889</v>
      </c>
      <c r="C619" s="1" t="n">
        <v>46046</v>
      </c>
      <c r="D619" t="inlineStr">
        <is>
          <t>VÄSTERNORRLANDS LÄN</t>
        </is>
      </c>
      <c r="E619" t="inlineStr">
        <is>
          <t>ÅNGE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29193-2024</t>
        </is>
      </c>
      <c r="B620" s="1" t="n">
        <v>45482.56510416666</v>
      </c>
      <c r="C620" s="1" t="n">
        <v>46046</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24232-2025</t>
        </is>
      </c>
      <c r="B621" s="1" t="n">
        <v>45797.37846064815</v>
      </c>
      <c r="C621" s="1" t="n">
        <v>46046</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56188-2024</t>
        </is>
      </c>
      <c r="B622" s="1" t="n">
        <v>45624.57800925926</v>
      </c>
      <c r="C622" s="1" t="n">
        <v>46046</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17744-2025</t>
        </is>
      </c>
      <c r="B623" s="1" t="n">
        <v>45758</v>
      </c>
      <c r="C623" s="1" t="n">
        <v>46046</v>
      </c>
      <c r="D623" t="inlineStr">
        <is>
          <t>VÄSTERNORRLANDS LÄN</t>
        </is>
      </c>
      <c r="E623" t="inlineStr">
        <is>
          <t>ÅNGE</t>
        </is>
      </c>
      <c r="G623" t="n">
        <v>5</v>
      </c>
      <c r="H623" t="n">
        <v>0</v>
      </c>
      <c r="I623" t="n">
        <v>0</v>
      </c>
      <c r="J623" t="n">
        <v>0</v>
      </c>
      <c r="K623" t="n">
        <v>0</v>
      </c>
      <c r="L623" t="n">
        <v>0</v>
      </c>
      <c r="M623" t="n">
        <v>0</v>
      </c>
      <c r="N623" t="n">
        <v>0</v>
      </c>
      <c r="O623" t="n">
        <v>0</v>
      </c>
      <c r="P623" t="n">
        <v>0</v>
      </c>
      <c r="Q623" t="n">
        <v>0</v>
      </c>
      <c r="R623" s="2" t="inlineStr"/>
    </row>
    <row r="624" ht="15" customHeight="1">
      <c r="A624" t="inlineStr">
        <is>
          <t>A 2140-2023</t>
        </is>
      </c>
      <c r="B624" s="1" t="n">
        <v>44940</v>
      </c>
      <c r="C624" s="1" t="n">
        <v>46046</v>
      </c>
      <c r="D624" t="inlineStr">
        <is>
          <t>VÄSTERNORRLANDS LÄN</t>
        </is>
      </c>
      <c r="E624" t="inlineStr">
        <is>
          <t>ÅNGE</t>
        </is>
      </c>
      <c r="G624" t="n">
        <v>2.9</v>
      </c>
      <c r="H624" t="n">
        <v>0</v>
      </c>
      <c r="I624" t="n">
        <v>0</v>
      </c>
      <c r="J624" t="n">
        <v>0</v>
      </c>
      <c r="K624" t="n">
        <v>0</v>
      </c>
      <c r="L624" t="n">
        <v>0</v>
      </c>
      <c r="M624" t="n">
        <v>0</v>
      </c>
      <c r="N624" t="n">
        <v>0</v>
      </c>
      <c r="O624" t="n">
        <v>0</v>
      </c>
      <c r="P624" t="n">
        <v>0</v>
      </c>
      <c r="Q624" t="n">
        <v>0</v>
      </c>
      <c r="R624" s="2" t="inlineStr"/>
    </row>
    <row r="625" ht="15" customHeight="1">
      <c r="A625" t="inlineStr">
        <is>
          <t>A 24458-2025</t>
        </is>
      </c>
      <c r="B625" s="1" t="n">
        <v>45798.34476851852</v>
      </c>
      <c r="C625" s="1" t="n">
        <v>46046</v>
      </c>
      <c r="D625" t="inlineStr">
        <is>
          <t>VÄSTERNORRLANDS LÄN</t>
        </is>
      </c>
      <c r="E625" t="inlineStr">
        <is>
          <t>ÅNGE</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47488-2023</t>
        </is>
      </c>
      <c r="B626" s="1" t="n">
        <v>45202.94168981481</v>
      </c>
      <c r="C626" s="1" t="n">
        <v>46046</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34754-2024</t>
        </is>
      </c>
      <c r="B627" s="1" t="n">
        <v>45526</v>
      </c>
      <c r="C627" s="1" t="n">
        <v>46046</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24627-2025</t>
        </is>
      </c>
      <c r="B628" s="1" t="n">
        <v>45798.59471064815</v>
      </c>
      <c r="C628" s="1" t="n">
        <v>46046</v>
      </c>
      <c r="D628" t="inlineStr">
        <is>
          <t>VÄSTERNORRLANDS LÄN</t>
        </is>
      </c>
      <c r="E628" t="inlineStr">
        <is>
          <t>ÅNGE</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3362-2023</t>
        </is>
      </c>
      <c r="B629" s="1" t="n">
        <v>44945</v>
      </c>
      <c r="C629" s="1" t="n">
        <v>46046</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3023-2023</t>
        </is>
      </c>
      <c r="B630" s="1" t="n">
        <v>44945</v>
      </c>
      <c r="C630" s="1" t="n">
        <v>46046</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3025-2023</t>
        </is>
      </c>
      <c r="B631" s="1" t="n">
        <v>44945</v>
      </c>
      <c r="C631" s="1" t="n">
        <v>46046</v>
      </c>
      <c r="D631" t="inlineStr">
        <is>
          <t>VÄSTERNORRLANDS LÄN</t>
        </is>
      </c>
      <c r="E631" t="inlineStr">
        <is>
          <t>ÅNGE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33783-2024</t>
        </is>
      </c>
      <c r="B632" s="1" t="n">
        <v>45520</v>
      </c>
      <c r="C632" s="1" t="n">
        <v>46046</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59600-2024</t>
        </is>
      </c>
      <c r="B633" s="1" t="n">
        <v>45638.71763888889</v>
      </c>
      <c r="C633" s="1" t="n">
        <v>46046</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63170-2023</t>
        </is>
      </c>
      <c r="B634" s="1" t="n">
        <v>45273.57087962963</v>
      </c>
      <c r="C634" s="1" t="n">
        <v>46046</v>
      </c>
      <c r="D634" t="inlineStr">
        <is>
          <t>VÄSTERNORRLANDS LÄN</t>
        </is>
      </c>
      <c r="E634" t="inlineStr">
        <is>
          <t>ÅNGE</t>
        </is>
      </c>
      <c r="F634" t="inlineStr">
        <is>
          <t>Holmen skog AB</t>
        </is>
      </c>
      <c r="G634" t="n">
        <v>4.1</v>
      </c>
      <c r="H634" t="n">
        <v>0</v>
      </c>
      <c r="I634" t="n">
        <v>0</v>
      </c>
      <c r="J634" t="n">
        <v>0</v>
      </c>
      <c r="K634" t="n">
        <v>0</v>
      </c>
      <c r="L634" t="n">
        <v>0</v>
      </c>
      <c r="M634" t="n">
        <v>0</v>
      </c>
      <c r="N634" t="n">
        <v>0</v>
      </c>
      <c r="O634" t="n">
        <v>0</v>
      </c>
      <c r="P634" t="n">
        <v>0</v>
      </c>
      <c r="Q634" t="n">
        <v>0</v>
      </c>
      <c r="R634" s="2" t="inlineStr"/>
    </row>
    <row r="635" ht="15" customHeight="1">
      <c r="A635" t="inlineStr">
        <is>
          <t>A 27853-2024</t>
        </is>
      </c>
      <c r="B635" s="1" t="n">
        <v>45475</v>
      </c>
      <c r="C635" s="1" t="n">
        <v>46046</v>
      </c>
      <c r="D635" t="inlineStr">
        <is>
          <t>VÄSTERNORRLANDS LÄN</t>
        </is>
      </c>
      <c r="E635" t="inlineStr">
        <is>
          <t>ÅNGE</t>
        </is>
      </c>
      <c r="G635" t="n">
        <v>3.7</v>
      </c>
      <c r="H635" t="n">
        <v>0</v>
      </c>
      <c r="I635" t="n">
        <v>0</v>
      </c>
      <c r="J635" t="n">
        <v>0</v>
      </c>
      <c r="K635" t="n">
        <v>0</v>
      </c>
      <c r="L635" t="n">
        <v>0</v>
      </c>
      <c r="M635" t="n">
        <v>0</v>
      </c>
      <c r="N635" t="n">
        <v>0</v>
      </c>
      <c r="O635" t="n">
        <v>0</v>
      </c>
      <c r="P635" t="n">
        <v>0</v>
      </c>
      <c r="Q635" t="n">
        <v>0</v>
      </c>
      <c r="R635" s="2" t="inlineStr"/>
    </row>
    <row r="636" ht="15" customHeight="1">
      <c r="A636" t="inlineStr">
        <is>
          <t>A 56232-2024</t>
        </is>
      </c>
      <c r="B636" s="1" t="n">
        <v>45624</v>
      </c>
      <c r="C636" s="1" t="n">
        <v>46046</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52685-2024</t>
        </is>
      </c>
      <c r="B637" s="1" t="n">
        <v>45610</v>
      </c>
      <c r="C637" s="1" t="n">
        <v>46046</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16853-2023</t>
        </is>
      </c>
      <c r="B638" s="1" t="n">
        <v>45033</v>
      </c>
      <c r="C638" s="1" t="n">
        <v>46046</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47792-2022</t>
        </is>
      </c>
      <c r="B639" s="1" t="n">
        <v>44854.95238425926</v>
      </c>
      <c r="C639" s="1" t="n">
        <v>46046</v>
      </c>
      <c r="D639" t="inlineStr">
        <is>
          <t>VÄSTERNORRLANDS LÄN</t>
        </is>
      </c>
      <c r="E639" t="inlineStr">
        <is>
          <t>ÅNGE</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7528-2023</t>
        </is>
      </c>
      <c r="B640" s="1" t="n">
        <v>44971.97662037037</v>
      </c>
      <c r="C640" s="1" t="n">
        <v>46046</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53988-2024</t>
        </is>
      </c>
      <c r="B641" s="1" t="n">
        <v>45616.34408564815</v>
      </c>
      <c r="C641" s="1" t="n">
        <v>46046</v>
      </c>
      <c r="D641" t="inlineStr">
        <is>
          <t>VÄSTERNORRLANDS LÄN</t>
        </is>
      </c>
      <c r="E641" t="inlineStr">
        <is>
          <t>ÅNGE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54002-2024</t>
        </is>
      </c>
      <c r="B642" s="1" t="n">
        <v>45616.36491898148</v>
      </c>
      <c r="C642" s="1" t="n">
        <v>46046</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54059-2024</t>
        </is>
      </c>
      <c r="B643" s="1" t="n">
        <v>45616.46943287037</v>
      </c>
      <c r="C643" s="1" t="n">
        <v>46046</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24847-2025</t>
        </is>
      </c>
      <c r="B644" s="1" t="n">
        <v>45799.46907407408</v>
      </c>
      <c r="C644" s="1" t="n">
        <v>46046</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25017-2025</t>
        </is>
      </c>
      <c r="B645" s="1" t="n">
        <v>45799.63791666667</v>
      </c>
      <c r="C645" s="1" t="n">
        <v>46046</v>
      </c>
      <c r="D645" t="inlineStr">
        <is>
          <t>VÄSTERNORRLANDS LÄN</t>
        </is>
      </c>
      <c r="E645" t="inlineStr">
        <is>
          <t>ÅNGE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36466-2024</t>
        </is>
      </c>
      <c r="B646" s="1" t="n">
        <v>45537.35872685185</v>
      </c>
      <c r="C646" s="1" t="n">
        <v>46046</v>
      </c>
      <c r="D646" t="inlineStr">
        <is>
          <t>VÄSTERNORRLANDS LÄN</t>
        </is>
      </c>
      <c r="E646" t="inlineStr">
        <is>
          <t>ÅNGE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1975-2025</t>
        </is>
      </c>
      <c r="B647" s="1" t="n">
        <v>45672.39332175926</v>
      </c>
      <c r="C647" s="1" t="n">
        <v>46046</v>
      </c>
      <c r="D647" t="inlineStr">
        <is>
          <t>VÄSTERNORRLANDS LÄN</t>
        </is>
      </c>
      <c r="E647" t="inlineStr">
        <is>
          <t>ÅNGE</t>
        </is>
      </c>
      <c r="G647" t="n">
        <v>6.2</v>
      </c>
      <c r="H647" t="n">
        <v>0</v>
      </c>
      <c r="I647" t="n">
        <v>0</v>
      </c>
      <c r="J647" t="n">
        <v>0</v>
      </c>
      <c r="K647" t="n">
        <v>0</v>
      </c>
      <c r="L647" t="n">
        <v>0</v>
      </c>
      <c r="M647" t="n">
        <v>0</v>
      </c>
      <c r="N647" t="n">
        <v>0</v>
      </c>
      <c r="O647" t="n">
        <v>0</v>
      </c>
      <c r="P647" t="n">
        <v>0</v>
      </c>
      <c r="Q647" t="n">
        <v>0</v>
      </c>
      <c r="R647" s="2" t="inlineStr"/>
    </row>
    <row r="648" ht="15" customHeight="1">
      <c r="A648" t="inlineStr">
        <is>
          <t>A 50235-2021</t>
        </is>
      </c>
      <c r="B648" s="1" t="n">
        <v>44457</v>
      </c>
      <c r="C648" s="1" t="n">
        <v>46046</v>
      </c>
      <c r="D648" t="inlineStr">
        <is>
          <t>VÄSTERNORRLANDS LÄN</t>
        </is>
      </c>
      <c r="E648" t="inlineStr">
        <is>
          <t>ÅNGE</t>
        </is>
      </c>
      <c r="G648" t="n">
        <v>3.8</v>
      </c>
      <c r="H648" t="n">
        <v>0</v>
      </c>
      <c r="I648" t="n">
        <v>0</v>
      </c>
      <c r="J648" t="n">
        <v>0</v>
      </c>
      <c r="K648" t="n">
        <v>0</v>
      </c>
      <c r="L648" t="n">
        <v>0</v>
      </c>
      <c r="M648" t="n">
        <v>0</v>
      </c>
      <c r="N648" t="n">
        <v>0</v>
      </c>
      <c r="O648" t="n">
        <v>0</v>
      </c>
      <c r="P648" t="n">
        <v>0</v>
      </c>
      <c r="Q648" t="n">
        <v>0</v>
      </c>
      <c r="R648" s="2" t="inlineStr"/>
    </row>
    <row r="649" ht="15" customHeight="1">
      <c r="A649" t="inlineStr">
        <is>
          <t>A 15404-2025</t>
        </is>
      </c>
      <c r="B649" s="1" t="n">
        <v>45747.44665509259</v>
      </c>
      <c r="C649" s="1" t="n">
        <v>46046</v>
      </c>
      <c r="D649" t="inlineStr">
        <is>
          <t>VÄSTERNORRLANDS LÄN</t>
        </is>
      </c>
      <c r="E649" t="inlineStr">
        <is>
          <t>ÅNGE</t>
        </is>
      </c>
      <c r="G649" t="n">
        <v>11.8</v>
      </c>
      <c r="H649" t="n">
        <v>0</v>
      </c>
      <c r="I649" t="n">
        <v>0</v>
      </c>
      <c r="J649" t="n">
        <v>0</v>
      </c>
      <c r="K649" t="n">
        <v>0</v>
      </c>
      <c r="L649" t="n">
        <v>0</v>
      </c>
      <c r="M649" t="n">
        <v>0</v>
      </c>
      <c r="N649" t="n">
        <v>0</v>
      </c>
      <c r="O649" t="n">
        <v>0</v>
      </c>
      <c r="P649" t="n">
        <v>0</v>
      </c>
      <c r="Q649" t="n">
        <v>0</v>
      </c>
      <c r="R649" s="2" t="inlineStr"/>
    </row>
    <row r="650" ht="15" customHeight="1">
      <c r="A650" t="inlineStr">
        <is>
          <t>A 30054-2024</t>
        </is>
      </c>
      <c r="B650" s="1" t="n">
        <v>45488.94758101852</v>
      </c>
      <c r="C650" s="1" t="n">
        <v>46046</v>
      </c>
      <c r="D650" t="inlineStr">
        <is>
          <t>VÄSTERNORRLANDS LÄN</t>
        </is>
      </c>
      <c r="E650" t="inlineStr">
        <is>
          <t>ÅNGE</t>
        </is>
      </c>
      <c r="F650" t="inlineStr">
        <is>
          <t>SCA</t>
        </is>
      </c>
      <c r="G650" t="n">
        <v>11.7</v>
      </c>
      <c r="H650" t="n">
        <v>0</v>
      </c>
      <c r="I650" t="n">
        <v>0</v>
      </c>
      <c r="J650" t="n">
        <v>0</v>
      </c>
      <c r="K650" t="n">
        <v>0</v>
      </c>
      <c r="L650" t="n">
        <v>0</v>
      </c>
      <c r="M650" t="n">
        <v>0</v>
      </c>
      <c r="N650" t="n">
        <v>0</v>
      </c>
      <c r="O650" t="n">
        <v>0</v>
      </c>
      <c r="P650" t="n">
        <v>0</v>
      </c>
      <c r="Q650" t="n">
        <v>0</v>
      </c>
      <c r="R650" s="2" t="inlineStr"/>
    </row>
    <row r="651" ht="15" customHeight="1">
      <c r="A651" t="inlineStr">
        <is>
          <t>A 54720-2024</t>
        </is>
      </c>
      <c r="B651" s="1" t="n">
        <v>45618.43715277778</v>
      </c>
      <c r="C651" s="1" t="n">
        <v>46046</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44600-2024</t>
        </is>
      </c>
      <c r="B652" s="1" t="n">
        <v>45574.51113425926</v>
      </c>
      <c r="C652" s="1" t="n">
        <v>46046</v>
      </c>
      <c r="D652" t="inlineStr">
        <is>
          <t>VÄSTERNORRLANDS LÄN</t>
        </is>
      </c>
      <c r="E652" t="inlineStr">
        <is>
          <t>ÅNGE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35650-2024</t>
        </is>
      </c>
      <c r="B653" s="1" t="n">
        <v>45532.34123842593</v>
      </c>
      <c r="C653" s="1" t="n">
        <v>46046</v>
      </c>
      <c r="D653" t="inlineStr">
        <is>
          <t>VÄSTERNORRLANDS LÄN</t>
        </is>
      </c>
      <c r="E653" t="inlineStr">
        <is>
          <t>ÅNGE</t>
        </is>
      </c>
      <c r="G653" t="n">
        <v>3.8</v>
      </c>
      <c r="H653" t="n">
        <v>0</v>
      </c>
      <c r="I653" t="n">
        <v>0</v>
      </c>
      <c r="J653" t="n">
        <v>0</v>
      </c>
      <c r="K653" t="n">
        <v>0</v>
      </c>
      <c r="L653" t="n">
        <v>0</v>
      </c>
      <c r="M653" t="n">
        <v>0</v>
      </c>
      <c r="N653" t="n">
        <v>0</v>
      </c>
      <c r="O653" t="n">
        <v>0</v>
      </c>
      <c r="P653" t="n">
        <v>0</v>
      </c>
      <c r="Q653" t="n">
        <v>0</v>
      </c>
      <c r="R653" s="2" t="inlineStr"/>
    </row>
    <row r="654" ht="15" customHeight="1">
      <c r="A654" t="inlineStr">
        <is>
          <t>A 38099-2024</t>
        </is>
      </c>
      <c r="B654" s="1" t="n">
        <v>45545.35920138889</v>
      </c>
      <c r="C654" s="1" t="n">
        <v>46046</v>
      </c>
      <c r="D654" t="inlineStr">
        <is>
          <t>VÄSTERNORRLANDS LÄN</t>
        </is>
      </c>
      <c r="E654" t="inlineStr">
        <is>
          <t>ÅNGE</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19709-2025</t>
        </is>
      </c>
      <c r="B655" s="1" t="n">
        <v>45771.34263888889</v>
      </c>
      <c r="C655" s="1" t="n">
        <v>46046</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24852-2025</t>
        </is>
      </c>
      <c r="B656" s="1" t="n">
        <v>45799.46975694445</v>
      </c>
      <c r="C656" s="1" t="n">
        <v>46046</v>
      </c>
      <c r="D656" t="inlineStr">
        <is>
          <t>VÄSTERNORRLANDS LÄN</t>
        </is>
      </c>
      <c r="E656" t="inlineStr">
        <is>
          <t>ÅNGE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43622-2023</t>
        </is>
      </c>
      <c r="B657" s="1" t="n">
        <v>45184.70777777778</v>
      </c>
      <c r="C657" s="1" t="n">
        <v>46046</v>
      </c>
      <c r="D657" t="inlineStr">
        <is>
          <t>VÄSTERNORRLANDS LÄN</t>
        </is>
      </c>
      <c r="E657" t="inlineStr">
        <is>
          <t>ÅNGE</t>
        </is>
      </c>
      <c r="F657" t="inlineStr">
        <is>
          <t>Holmen skog AB</t>
        </is>
      </c>
      <c r="G657" t="n">
        <v>5.9</v>
      </c>
      <c r="H657" t="n">
        <v>0</v>
      </c>
      <c r="I657" t="n">
        <v>0</v>
      </c>
      <c r="J657" t="n">
        <v>0</v>
      </c>
      <c r="K657" t="n">
        <v>0</v>
      </c>
      <c r="L657" t="n">
        <v>0</v>
      </c>
      <c r="M657" t="n">
        <v>0</v>
      </c>
      <c r="N657" t="n">
        <v>0</v>
      </c>
      <c r="O657" t="n">
        <v>0</v>
      </c>
      <c r="P657" t="n">
        <v>0</v>
      </c>
      <c r="Q657" t="n">
        <v>0</v>
      </c>
      <c r="R657" s="2" t="inlineStr"/>
    </row>
    <row r="658" ht="15" customHeight="1">
      <c r="A658" t="inlineStr">
        <is>
          <t>A 25067-2025</t>
        </is>
      </c>
      <c r="B658" s="1" t="n">
        <v>45799.71908564815</v>
      </c>
      <c r="C658" s="1" t="n">
        <v>46046</v>
      </c>
      <c r="D658" t="inlineStr">
        <is>
          <t>VÄSTERNORRLANDS LÄN</t>
        </is>
      </c>
      <c r="E658" t="inlineStr">
        <is>
          <t>ÅNGE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12806-2025</t>
        </is>
      </c>
      <c r="B659" s="1" t="n">
        <v>45733.61518518518</v>
      </c>
      <c r="C659" s="1" t="n">
        <v>46046</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29390-2021</t>
        </is>
      </c>
      <c r="B660" s="1" t="n">
        <v>44361</v>
      </c>
      <c r="C660" s="1" t="n">
        <v>46046</v>
      </c>
      <c r="D660" t="inlineStr">
        <is>
          <t>VÄSTERNORRLANDS LÄN</t>
        </is>
      </c>
      <c r="E660" t="inlineStr">
        <is>
          <t>ÅNGE</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11531-2023</t>
        </is>
      </c>
      <c r="B661" s="1" t="n">
        <v>44993.77038194444</v>
      </c>
      <c r="C661" s="1" t="n">
        <v>46046</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11532-2023</t>
        </is>
      </c>
      <c r="B662" s="1" t="n">
        <v>44993.77212962963</v>
      </c>
      <c r="C662" s="1" t="n">
        <v>46046</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45459-2022</t>
        </is>
      </c>
      <c r="B663" s="1" t="n">
        <v>44845</v>
      </c>
      <c r="C663" s="1" t="n">
        <v>46046</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41758-2024</t>
        </is>
      </c>
      <c r="B664" s="1" t="n">
        <v>45561.34478009259</v>
      </c>
      <c r="C664" s="1" t="n">
        <v>46046</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45890-2021</t>
        </is>
      </c>
      <c r="B665" s="1" t="n">
        <v>44441</v>
      </c>
      <c r="C665" s="1" t="n">
        <v>46046</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9759-2024</t>
        </is>
      </c>
      <c r="B666" s="1" t="n">
        <v>45362</v>
      </c>
      <c r="C666" s="1" t="n">
        <v>46046</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1869-2022</t>
        </is>
      </c>
      <c r="B667" s="1" t="n">
        <v>44574</v>
      </c>
      <c r="C667" s="1" t="n">
        <v>46046</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55328-2023</t>
        </is>
      </c>
      <c r="B668" s="1" t="n">
        <v>45237</v>
      </c>
      <c r="C668" s="1" t="n">
        <v>46046</v>
      </c>
      <c r="D668" t="inlineStr">
        <is>
          <t>VÄSTERNORRLANDS LÄN</t>
        </is>
      </c>
      <c r="E668" t="inlineStr">
        <is>
          <t>ÅNGE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36877-2024</t>
        </is>
      </c>
      <c r="B669" s="1" t="n">
        <v>45538.59418981482</v>
      </c>
      <c r="C669" s="1" t="n">
        <v>46046</v>
      </c>
      <c r="D669" t="inlineStr">
        <is>
          <t>VÄSTERNORRLANDS LÄN</t>
        </is>
      </c>
      <c r="E669" t="inlineStr">
        <is>
          <t>ÅNGE</t>
        </is>
      </c>
      <c r="G669" t="n">
        <v>3.3</v>
      </c>
      <c r="H669" t="n">
        <v>0</v>
      </c>
      <c r="I669" t="n">
        <v>0</v>
      </c>
      <c r="J669" t="n">
        <v>0</v>
      </c>
      <c r="K669" t="n">
        <v>0</v>
      </c>
      <c r="L669" t="n">
        <v>0</v>
      </c>
      <c r="M669" t="n">
        <v>0</v>
      </c>
      <c r="N669" t="n">
        <v>0</v>
      </c>
      <c r="O669" t="n">
        <v>0</v>
      </c>
      <c r="P669" t="n">
        <v>0</v>
      </c>
      <c r="Q669" t="n">
        <v>0</v>
      </c>
      <c r="R669" s="2" t="inlineStr"/>
    </row>
    <row r="670" ht="15" customHeight="1">
      <c r="A670" t="inlineStr">
        <is>
          <t>A 25352-2025</t>
        </is>
      </c>
      <c r="B670" s="1" t="n">
        <v>45800.61552083334</v>
      </c>
      <c r="C670" s="1" t="n">
        <v>46046</v>
      </c>
      <c r="D670" t="inlineStr">
        <is>
          <t>VÄSTERNORRLANDS LÄN</t>
        </is>
      </c>
      <c r="E670" t="inlineStr">
        <is>
          <t>ÅNGE</t>
        </is>
      </c>
      <c r="F670" t="inlineStr">
        <is>
          <t>SCA</t>
        </is>
      </c>
      <c r="G670" t="n">
        <v>6.3</v>
      </c>
      <c r="H670" t="n">
        <v>0</v>
      </c>
      <c r="I670" t="n">
        <v>0</v>
      </c>
      <c r="J670" t="n">
        <v>0</v>
      </c>
      <c r="K670" t="n">
        <v>0</v>
      </c>
      <c r="L670" t="n">
        <v>0</v>
      </c>
      <c r="M670" t="n">
        <v>0</v>
      </c>
      <c r="N670" t="n">
        <v>0</v>
      </c>
      <c r="O670" t="n">
        <v>0</v>
      </c>
      <c r="P670" t="n">
        <v>0</v>
      </c>
      <c r="Q670" t="n">
        <v>0</v>
      </c>
      <c r="R670" s="2" t="inlineStr"/>
    </row>
    <row r="671" ht="15" customHeight="1">
      <c r="A671" t="inlineStr">
        <is>
          <t>A 5369-2022</t>
        </is>
      </c>
      <c r="B671" s="1" t="n">
        <v>44594.92113425926</v>
      </c>
      <c r="C671" s="1" t="n">
        <v>46046</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46046</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48988-2021</t>
        </is>
      </c>
      <c r="B673" s="1" t="n">
        <v>44453.43</v>
      </c>
      <c r="C673" s="1" t="n">
        <v>46046</v>
      </c>
      <c r="D673" t="inlineStr">
        <is>
          <t>VÄSTERNORRLANDS LÄN</t>
        </is>
      </c>
      <c r="E673" t="inlineStr">
        <is>
          <t>ÅNGE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53651-2023</t>
        </is>
      </c>
      <c r="B674" s="1" t="n">
        <v>45230.60815972222</v>
      </c>
      <c r="C674" s="1" t="n">
        <v>46046</v>
      </c>
      <c r="D674" t="inlineStr">
        <is>
          <t>VÄSTERNORRLANDS LÄN</t>
        </is>
      </c>
      <c r="E674" t="inlineStr">
        <is>
          <t>ÅNGE</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60812-2024</t>
        </is>
      </c>
      <c r="B675" s="1" t="n">
        <v>45644</v>
      </c>
      <c r="C675" s="1" t="n">
        <v>46046</v>
      </c>
      <c r="D675" t="inlineStr">
        <is>
          <t>VÄSTERNORRLANDS LÄN</t>
        </is>
      </c>
      <c r="E675" t="inlineStr">
        <is>
          <t>ÅNGE</t>
        </is>
      </c>
      <c r="G675" t="n">
        <v>3.6</v>
      </c>
      <c r="H675" t="n">
        <v>0</v>
      </c>
      <c r="I675" t="n">
        <v>0</v>
      </c>
      <c r="J675" t="n">
        <v>0</v>
      </c>
      <c r="K675" t="n">
        <v>0</v>
      </c>
      <c r="L675" t="n">
        <v>0</v>
      </c>
      <c r="M675" t="n">
        <v>0</v>
      </c>
      <c r="N675" t="n">
        <v>0</v>
      </c>
      <c r="O675" t="n">
        <v>0</v>
      </c>
      <c r="P675" t="n">
        <v>0</v>
      </c>
      <c r="Q675" t="n">
        <v>0</v>
      </c>
      <c r="R675" s="2" t="inlineStr"/>
    </row>
    <row r="676" ht="15" customHeight="1">
      <c r="A676" t="inlineStr">
        <is>
          <t>A 25340-2025</t>
        </is>
      </c>
      <c r="B676" s="1" t="n">
        <v>45800.60074074074</v>
      </c>
      <c r="C676" s="1" t="n">
        <v>46046</v>
      </c>
      <c r="D676" t="inlineStr">
        <is>
          <t>VÄSTERNORRLANDS LÄN</t>
        </is>
      </c>
      <c r="E676" t="inlineStr">
        <is>
          <t>ÅNGE</t>
        </is>
      </c>
      <c r="G676" t="n">
        <v>2.7</v>
      </c>
      <c r="H676" t="n">
        <v>0</v>
      </c>
      <c r="I676" t="n">
        <v>0</v>
      </c>
      <c r="J676" t="n">
        <v>0</v>
      </c>
      <c r="K676" t="n">
        <v>0</v>
      </c>
      <c r="L676" t="n">
        <v>0</v>
      </c>
      <c r="M676" t="n">
        <v>0</v>
      </c>
      <c r="N676" t="n">
        <v>0</v>
      </c>
      <c r="O676" t="n">
        <v>0</v>
      </c>
      <c r="P676" t="n">
        <v>0</v>
      </c>
      <c r="Q676" t="n">
        <v>0</v>
      </c>
      <c r="R676" s="2" t="inlineStr"/>
    </row>
    <row r="677" ht="15" customHeight="1">
      <c r="A677" t="inlineStr">
        <is>
          <t>A 25532-2025</t>
        </is>
      </c>
      <c r="B677" s="1" t="n">
        <v>45803.4065162037</v>
      </c>
      <c r="C677" s="1" t="n">
        <v>46046</v>
      </c>
      <c r="D677" t="inlineStr">
        <is>
          <t>VÄSTERNORRLANDS LÄN</t>
        </is>
      </c>
      <c r="E677" t="inlineStr">
        <is>
          <t>ÅNGE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54611-2023</t>
        </is>
      </c>
      <c r="B678" s="1" t="n">
        <v>45233</v>
      </c>
      <c r="C678" s="1" t="n">
        <v>46046</v>
      </c>
      <c r="D678" t="inlineStr">
        <is>
          <t>VÄSTERNORRLANDS LÄN</t>
        </is>
      </c>
      <c r="E678" t="inlineStr">
        <is>
          <t>ÅNGE</t>
        </is>
      </c>
      <c r="F678" t="inlineStr">
        <is>
          <t>SCA</t>
        </is>
      </c>
      <c r="G678" t="n">
        <v>6.2</v>
      </c>
      <c r="H678" t="n">
        <v>0</v>
      </c>
      <c r="I678" t="n">
        <v>0</v>
      </c>
      <c r="J678" t="n">
        <v>0</v>
      </c>
      <c r="K678" t="n">
        <v>0</v>
      </c>
      <c r="L678" t="n">
        <v>0</v>
      </c>
      <c r="M678" t="n">
        <v>0</v>
      </c>
      <c r="N678" t="n">
        <v>0</v>
      </c>
      <c r="O678" t="n">
        <v>0</v>
      </c>
      <c r="P678" t="n">
        <v>0</v>
      </c>
      <c r="Q678" t="n">
        <v>0</v>
      </c>
      <c r="R678" s="2" t="inlineStr"/>
    </row>
    <row r="679" ht="15" customHeight="1">
      <c r="A679" t="inlineStr">
        <is>
          <t>A 25499-2025</t>
        </is>
      </c>
      <c r="B679" s="1" t="n">
        <v>45803.344375</v>
      </c>
      <c r="C679" s="1" t="n">
        <v>46046</v>
      </c>
      <c r="D679" t="inlineStr">
        <is>
          <t>VÄSTERNORRLANDS LÄN</t>
        </is>
      </c>
      <c r="E679" t="inlineStr">
        <is>
          <t>ÅNGE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25274-2025</t>
        </is>
      </c>
      <c r="B680" s="1" t="n">
        <v>45800.55276620371</v>
      </c>
      <c r="C680" s="1" t="n">
        <v>46046</v>
      </c>
      <c r="D680" t="inlineStr">
        <is>
          <t>VÄSTERNORRLANDS LÄN</t>
        </is>
      </c>
      <c r="E680" t="inlineStr">
        <is>
          <t>ÅNGE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4872-2025</t>
        </is>
      </c>
      <c r="B681" s="1" t="n">
        <v>45688.67619212963</v>
      </c>
      <c r="C681" s="1" t="n">
        <v>46046</v>
      </c>
      <c r="D681" t="inlineStr">
        <is>
          <t>VÄSTERNORRLANDS LÄN</t>
        </is>
      </c>
      <c r="E681" t="inlineStr">
        <is>
          <t>ÅNGE</t>
        </is>
      </c>
      <c r="F681" t="inlineStr">
        <is>
          <t>SCA</t>
        </is>
      </c>
      <c r="G681" t="n">
        <v>31.3</v>
      </c>
      <c r="H681" t="n">
        <v>0</v>
      </c>
      <c r="I681" t="n">
        <v>0</v>
      </c>
      <c r="J681" t="n">
        <v>0</v>
      </c>
      <c r="K681" t="n">
        <v>0</v>
      </c>
      <c r="L681" t="n">
        <v>0</v>
      </c>
      <c r="M681" t="n">
        <v>0</v>
      </c>
      <c r="N681" t="n">
        <v>0</v>
      </c>
      <c r="O681" t="n">
        <v>0</v>
      </c>
      <c r="P681" t="n">
        <v>0</v>
      </c>
      <c r="Q681" t="n">
        <v>0</v>
      </c>
      <c r="R681" s="2" t="inlineStr"/>
      <c r="U681">
        <f>HYPERLINK("https://klasma.github.io/Logging_2260/knärot/A 4872-2025 karta knärot.png", "A 4872-2025")</f>
        <v/>
      </c>
      <c r="V681">
        <f>HYPERLINK("https://klasma.github.io/Logging_2260/klagomål/A 4872-2025 FSC-klagomål.docx", "A 4872-2025")</f>
        <v/>
      </c>
      <c r="W681">
        <f>HYPERLINK("https://klasma.github.io/Logging_2260/klagomålsmail/A 4872-2025 FSC-klagomål mail.docx", "A 4872-2025")</f>
        <v/>
      </c>
      <c r="X681">
        <f>HYPERLINK("https://klasma.github.io/Logging_2260/tillsyn/A 4872-2025 tillsynsbegäran.docx", "A 4872-2025")</f>
        <v/>
      </c>
      <c r="Y681">
        <f>HYPERLINK("https://klasma.github.io/Logging_2260/tillsynsmail/A 4872-2025 tillsynsbegäran mail.docx", "A 4872-2025")</f>
        <v/>
      </c>
    </row>
    <row r="682" ht="15" customHeight="1">
      <c r="A682" t="inlineStr">
        <is>
          <t>A 1403-2025</t>
        </is>
      </c>
      <c r="B682" s="1" t="n">
        <v>45667.70548611111</v>
      </c>
      <c r="C682" s="1" t="n">
        <v>46046</v>
      </c>
      <c r="D682" t="inlineStr">
        <is>
          <t>VÄSTERNORRLANDS LÄN</t>
        </is>
      </c>
      <c r="E682" t="inlineStr">
        <is>
          <t>ÅNGE</t>
        </is>
      </c>
      <c r="G682" t="n">
        <v>1.3</v>
      </c>
      <c r="H682" t="n">
        <v>0</v>
      </c>
      <c r="I682" t="n">
        <v>0</v>
      </c>
      <c r="J682" t="n">
        <v>0</v>
      </c>
      <c r="K682" t="n">
        <v>0</v>
      </c>
      <c r="L682" t="n">
        <v>0</v>
      </c>
      <c r="M682" t="n">
        <v>0</v>
      </c>
      <c r="N682" t="n">
        <v>0</v>
      </c>
      <c r="O682" t="n">
        <v>0</v>
      </c>
      <c r="P682" t="n">
        <v>0</v>
      </c>
      <c r="Q682" t="n">
        <v>0</v>
      </c>
      <c r="R682" s="2" t="inlineStr"/>
    </row>
    <row r="683" ht="15" customHeight="1">
      <c r="A683" t="inlineStr">
        <is>
          <t>A 25241-2025</t>
        </is>
      </c>
      <c r="B683" s="1" t="n">
        <v>45800.49053240741</v>
      </c>
      <c r="C683" s="1" t="n">
        <v>46046</v>
      </c>
      <c r="D683" t="inlineStr">
        <is>
          <t>VÄSTERNORRLANDS LÄN</t>
        </is>
      </c>
      <c r="E683" t="inlineStr">
        <is>
          <t>ÅNGE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35426-2024</t>
        </is>
      </c>
      <c r="B684" s="1" t="n">
        <v>45531</v>
      </c>
      <c r="C684" s="1" t="n">
        <v>46046</v>
      </c>
      <c r="D684" t="inlineStr">
        <is>
          <t>VÄSTERNORRLANDS LÄN</t>
        </is>
      </c>
      <c r="E684" t="inlineStr">
        <is>
          <t>ÅNGE</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35488-2024</t>
        </is>
      </c>
      <c r="B685" s="1" t="n">
        <v>45531</v>
      </c>
      <c r="C685" s="1" t="n">
        <v>46046</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3347-2024</t>
        </is>
      </c>
      <c r="B686" s="1" t="n">
        <v>45317</v>
      </c>
      <c r="C686" s="1" t="n">
        <v>46046</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31563-2024</t>
        </is>
      </c>
      <c r="B687" s="1" t="n">
        <v>45505</v>
      </c>
      <c r="C687" s="1" t="n">
        <v>46046</v>
      </c>
      <c r="D687" t="inlineStr">
        <is>
          <t>VÄSTERNORRLANDS LÄN</t>
        </is>
      </c>
      <c r="E687" t="inlineStr">
        <is>
          <t>ÅNGE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49187-2024</t>
        </is>
      </c>
      <c r="B688" s="1" t="n">
        <v>45595.34490740741</v>
      </c>
      <c r="C688" s="1" t="n">
        <v>46046</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60365-2024</t>
        </is>
      </c>
      <c r="B689" s="1" t="n">
        <v>45643</v>
      </c>
      <c r="C689" s="1" t="n">
        <v>46046</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31863-2024</t>
        </is>
      </c>
      <c r="B690" s="1" t="n">
        <v>45509.74121527778</v>
      </c>
      <c r="C690" s="1" t="n">
        <v>46046</v>
      </c>
      <c r="D690" t="inlineStr">
        <is>
          <t>VÄSTERNORRLANDS LÄN</t>
        </is>
      </c>
      <c r="E690" t="inlineStr">
        <is>
          <t>ÅNGE</t>
        </is>
      </c>
      <c r="G690" t="n">
        <v>4.5</v>
      </c>
      <c r="H690" t="n">
        <v>0</v>
      </c>
      <c r="I690" t="n">
        <v>0</v>
      </c>
      <c r="J690" t="n">
        <v>0</v>
      </c>
      <c r="K690" t="n">
        <v>0</v>
      </c>
      <c r="L690" t="n">
        <v>0</v>
      </c>
      <c r="M690" t="n">
        <v>0</v>
      </c>
      <c r="N690" t="n">
        <v>0</v>
      </c>
      <c r="O690" t="n">
        <v>0</v>
      </c>
      <c r="P690" t="n">
        <v>0</v>
      </c>
      <c r="Q690" t="n">
        <v>0</v>
      </c>
      <c r="R690" s="2" t="inlineStr"/>
    </row>
    <row r="691" ht="15" customHeight="1">
      <c r="A691" t="inlineStr">
        <is>
          <t>A 20393-2022</t>
        </is>
      </c>
      <c r="B691" s="1" t="n">
        <v>44699</v>
      </c>
      <c r="C691" s="1" t="n">
        <v>46046</v>
      </c>
      <c r="D691" t="inlineStr">
        <is>
          <t>VÄSTERNORRLANDS LÄN</t>
        </is>
      </c>
      <c r="E691" t="inlineStr">
        <is>
          <t>ÅNGE</t>
        </is>
      </c>
      <c r="G691" t="n">
        <v>6.9</v>
      </c>
      <c r="H691" t="n">
        <v>0</v>
      </c>
      <c r="I691" t="n">
        <v>0</v>
      </c>
      <c r="J691" t="n">
        <v>0</v>
      </c>
      <c r="K691" t="n">
        <v>0</v>
      </c>
      <c r="L691" t="n">
        <v>0</v>
      </c>
      <c r="M691" t="n">
        <v>0</v>
      </c>
      <c r="N691" t="n">
        <v>0</v>
      </c>
      <c r="O691" t="n">
        <v>0</v>
      </c>
      <c r="P691" t="n">
        <v>0</v>
      </c>
      <c r="Q691" t="n">
        <v>0</v>
      </c>
      <c r="R691" s="2" t="inlineStr"/>
    </row>
    <row r="692" ht="15" customHeight="1">
      <c r="A692" t="inlineStr">
        <is>
          <t>A 25320-2023</t>
        </is>
      </c>
      <c r="B692" s="1" t="n">
        <v>45086.93929398148</v>
      </c>
      <c r="C692" s="1" t="n">
        <v>46046</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25273-2025</t>
        </is>
      </c>
      <c r="B693" s="1" t="n">
        <v>45800.55253472222</v>
      </c>
      <c r="C693" s="1" t="n">
        <v>46046</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25332-2025</t>
        </is>
      </c>
      <c r="B694" s="1" t="n">
        <v>45800.59418981482</v>
      </c>
      <c r="C694" s="1" t="n">
        <v>46046</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59626-2022</t>
        </is>
      </c>
      <c r="B695" s="1" t="n">
        <v>44907.92354166666</v>
      </c>
      <c r="C695" s="1" t="n">
        <v>46046</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25772-2025</t>
        </is>
      </c>
      <c r="B696" s="1" t="n">
        <v>45804.34520833333</v>
      </c>
      <c r="C696" s="1" t="n">
        <v>46046</v>
      </c>
      <c r="D696" t="inlineStr">
        <is>
          <t>VÄSTERNORRLANDS LÄN</t>
        </is>
      </c>
      <c r="E696" t="inlineStr">
        <is>
          <t>ÅNGE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21262-2025</t>
        </is>
      </c>
      <c r="B697" s="1" t="n">
        <v>45779</v>
      </c>
      <c r="C697" s="1" t="n">
        <v>46046</v>
      </c>
      <c r="D697" t="inlineStr">
        <is>
          <t>VÄSTERNORRLANDS LÄN</t>
        </is>
      </c>
      <c r="E697" t="inlineStr">
        <is>
          <t>ÅNGE</t>
        </is>
      </c>
      <c r="F697" t="inlineStr">
        <is>
          <t>Sveaskog</t>
        </is>
      </c>
      <c r="G697" t="n">
        <v>9</v>
      </c>
      <c r="H697" t="n">
        <v>0</v>
      </c>
      <c r="I697" t="n">
        <v>0</v>
      </c>
      <c r="J697" t="n">
        <v>0</v>
      </c>
      <c r="K697" t="n">
        <v>0</v>
      </c>
      <c r="L697" t="n">
        <v>0</v>
      </c>
      <c r="M697" t="n">
        <v>0</v>
      </c>
      <c r="N697" t="n">
        <v>0</v>
      </c>
      <c r="O697" t="n">
        <v>0</v>
      </c>
      <c r="P697" t="n">
        <v>0</v>
      </c>
      <c r="Q697" t="n">
        <v>0</v>
      </c>
      <c r="R697" s="2" t="inlineStr"/>
    </row>
    <row r="698" ht="15" customHeight="1">
      <c r="A698" t="inlineStr">
        <is>
          <t>A 51810-2023</t>
        </is>
      </c>
      <c r="B698" s="1" t="n">
        <v>45222.96583333334</v>
      </c>
      <c r="C698" s="1" t="n">
        <v>46046</v>
      </c>
      <c r="D698" t="inlineStr">
        <is>
          <t>VÄSTERNORRLANDS LÄN</t>
        </is>
      </c>
      <c r="E698" t="inlineStr">
        <is>
          <t>ÅNGE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5520-2022</t>
        </is>
      </c>
      <c r="B699" s="1" t="n">
        <v>44595</v>
      </c>
      <c r="C699" s="1" t="n">
        <v>46046</v>
      </c>
      <c r="D699" t="inlineStr">
        <is>
          <t>VÄSTERNORRLANDS LÄN</t>
        </is>
      </c>
      <c r="E699" t="inlineStr">
        <is>
          <t>ÅNGE</t>
        </is>
      </c>
      <c r="G699" t="n">
        <v>4.9</v>
      </c>
      <c r="H699" t="n">
        <v>0</v>
      </c>
      <c r="I699" t="n">
        <v>0</v>
      </c>
      <c r="J699" t="n">
        <v>0</v>
      </c>
      <c r="K699" t="n">
        <v>0</v>
      </c>
      <c r="L699" t="n">
        <v>0</v>
      </c>
      <c r="M699" t="n">
        <v>0</v>
      </c>
      <c r="N699" t="n">
        <v>0</v>
      </c>
      <c r="O699" t="n">
        <v>0</v>
      </c>
      <c r="P699" t="n">
        <v>0</v>
      </c>
      <c r="Q699" t="n">
        <v>0</v>
      </c>
      <c r="R699" s="2" t="inlineStr"/>
    </row>
    <row r="700" ht="15" customHeight="1">
      <c r="A700" t="inlineStr">
        <is>
          <t>A 34852-2023</t>
        </is>
      </c>
      <c r="B700" s="1" t="n">
        <v>45141</v>
      </c>
      <c r="C700" s="1" t="n">
        <v>46046</v>
      </c>
      <c r="D700" t="inlineStr">
        <is>
          <t>VÄSTERNORRLANDS LÄN</t>
        </is>
      </c>
      <c r="E700" t="inlineStr">
        <is>
          <t>ÅNGE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15032-2025</t>
        </is>
      </c>
      <c r="B701" s="1" t="n">
        <v>45743.67748842593</v>
      </c>
      <c r="C701" s="1" t="n">
        <v>46046</v>
      </c>
      <c r="D701" t="inlineStr">
        <is>
          <t>VÄSTERNORRLANDS LÄN</t>
        </is>
      </c>
      <c r="E701" t="inlineStr">
        <is>
          <t>ÅNGE</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15863-2022</t>
        </is>
      </c>
      <c r="B702" s="1" t="n">
        <v>44664</v>
      </c>
      <c r="C702" s="1" t="n">
        <v>46046</v>
      </c>
      <c r="D702" t="inlineStr">
        <is>
          <t>VÄSTERNORRLANDS LÄN</t>
        </is>
      </c>
      <c r="E702" t="inlineStr">
        <is>
          <t>ÅNGE</t>
        </is>
      </c>
      <c r="G702" t="n">
        <v>3.6</v>
      </c>
      <c r="H702" t="n">
        <v>0</v>
      </c>
      <c r="I702" t="n">
        <v>0</v>
      </c>
      <c r="J702" t="n">
        <v>0</v>
      </c>
      <c r="K702" t="n">
        <v>0</v>
      </c>
      <c r="L702" t="n">
        <v>0</v>
      </c>
      <c r="M702" t="n">
        <v>0</v>
      </c>
      <c r="N702" t="n">
        <v>0</v>
      </c>
      <c r="O702" t="n">
        <v>0</v>
      </c>
      <c r="P702" t="n">
        <v>0</v>
      </c>
      <c r="Q702" t="n">
        <v>0</v>
      </c>
      <c r="R702" s="2" t="inlineStr"/>
    </row>
    <row r="703" ht="15" customHeight="1">
      <c r="A703" t="inlineStr">
        <is>
          <t>A 58469-2023</t>
        </is>
      </c>
      <c r="B703" s="1" t="n">
        <v>45250</v>
      </c>
      <c r="C703" s="1" t="n">
        <v>46046</v>
      </c>
      <c r="D703" t="inlineStr">
        <is>
          <t>VÄSTERNORRLANDS LÄN</t>
        </is>
      </c>
      <c r="E703" t="inlineStr">
        <is>
          <t>ÅNGE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46046</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25810-2025</t>
        </is>
      </c>
      <c r="B705" s="1" t="n">
        <v>45804.42083333333</v>
      </c>
      <c r="C705" s="1" t="n">
        <v>46046</v>
      </c>
      <c r="D705" t="inlineStr">
        <is>
          <t>VÄSTERNORRLANDS LÄN</t>
        </is>
      </c>
      <c r="E705" t="inlineStr">
        <is>
          <t>ÅNGE</t>
        </is>
      </c>
      <c r="G705" t="n">
        <v>6.2</v>
      </c>
      <c r="H705" t="n">
        <v>0</v>
      </c>
      <c r="I705" t="n">
        <v>0</v>
      </c>
      <c r="J705" t="n">
        <v>0</v>
      </c>
      <c r="K705" t="n">
        <v>0</v>
      </c>
      <c r="L705" t="n">
        <v>0</v>
      </c>
      <c r="M705" t="n">
        <v>0</v>
      </c>
      <c r="N705" t="n">
        <v>0</v>
      </c>
      <c r="O705" t="n">
        <v>0</v>
      </c>
      <c r="P705" t="n">
        <v>0</v>
      </c>
      <c r="Q705" t="n">
        <v>0</v>
      </c>
      <c r="R705" s="2" t="inlineStr"/>
    </row>
    <row r="706" ht="15" customHeight="1">
      <c r="A706" t="inlineStr">
        <is>
          <t>A 741-2024</t>
        </is>
      </c>
      <c r="B706" s="1" t="n">
        <v>45300.46591435185</v>
      </c>
      <c r="C706" s="1" t="n">
        <v>46046</v>
      </c>
      <c r="D706" t="inlineStr">
        <is>
          <t>VÄSTERNORRLANDS LÄN</t>
        </is>
      </c>
      <c r="E706" t="inlineStr">
        <is>
          <t>ÅNGE</t>
        </is>
      </c>
      <c r="G706" t="n">
        <v>8</v>
      </c>
      <c r="H706" t="n">
        <v>0</v>
      </c>
      <c r="I706" t="n">
        <v>0</v>
      </c>
      <c r="J706" t="n">
        <v>0</v>
      </c>
      <c r="K706" t="n">
        <v>0</v>
      </c>
      <c r="L706" t="n">
        <v>0</v>
      </c>
      <c r="M706" t="n">
        <v>0</v>
      </c>
      <c r="N706" t="n">
        <v>0</v>
      </c>
      <c r="O706" t="n">
        <v>0</v>
      </c>
      <c r="P706" t="n">
        <v>0</v>
      </c>
      <c r="Q706" t="n">
        <v>0</v>
      </c>
      <c r="R706" s="2" t="inlineStr"/>
    </row>
    <row r="707" ht="15" customHeight="1">
      <c r="A707" t="inlineStr">
        <is>
          <t>A 48369-2024</t>
        </is>
      </c>
      <c r="B707" s="1" t="n">
        <v>45590.57960648148</v>
      </c>
      <c r="C707" s="1" t="n">
        <v>46046</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40788-2024</t>
        </is>
      </c>
      <c r="B708" s="1" t="n">
        <v>45558.50974537037</v>
      </c>
      <c r="C708" s="1" t="n">
        <v>46046</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27306-2024</t>
        </is>
      </c>
      <c r="B709" s="1" t="n">
        <v>45471.94454861111</v>
      </c>
      <c r="C709" s="1" t="n">
        <v>46046</v>
      </c>
      <c r="D709" t="inlineStr">
        <is>
          <t>VÄSTERNORRLANDS LÄN</t>
        </is>
      </c>
      <c r="E709" t="inlineStr">
        <is>
          <t>ÅNGE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26193-2025</t>
        </is>
      </c>
      <c r="B710" s="1" t="n">
        <v>45805.48922453704</v>
      </c>
      <c r="C710" s="1" t="n">
        <v>46046</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16524-2025</t>
        </is>
      </c>
      <c r="B711" s="1" t="n">
        <v>45751.64310185185</v>
      </c>
      <c r="C711" s="1" t="n">
        <v>46046</v>
      </c>
      <c r="D711" t="inlineStr">
        <is>
          <t>VÄSTERNORRLANDS LÄN</t>
        </is>
      </c>
      <c r="E711" t="inlineStr">
        <is>
          <t>ÅNGE</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59818-2024</t>
        </is>
      </c>
      <c r="B712" s="1" t="n">
        <v>45639.63572916666</v>
      </c>
      <c r="C712" s="1" t="n">
        <v>46046</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52683-2024</t>
        </is>
      </c>
      <c r="B713" s="1" t="n">
        <v>45610</v>
      </c>
      <c r="C713" s="1" t="n">
        <v>46046</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16978-2024</t>
        </is>
      </c>
      <c r="B714" s="1" t="n">
        <v>45412.02416666667</v>
      </c>
      <c r="C714" s="1" t="n">
        <v>46046</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40790-2023</t>
        </is>
      </c>
      <c r="B715" s="1" t="n">
        <v>45170.95814814815</v>
      </c>
      <c r="C715" s="1" t="n">
        <v>46046</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57286-2022</t>
        </is>
      </c>
      <c r="B716" s="1" t="n">
        <v>44895.94991898148</v>
      </c>
      <c r="C716" s="1" t="n">
        <v>46046</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38002-2024</t>
        </is>
      </c>
      <c r="B717" s="1" t="n">
        <v>45544.61484953704</v>
      </c>
      <c r="C717" s="1" t="n">
        <v>46046</v>
      </c>
      <c r="D717" t="inlineStr">
        <is>
          <t>VÄSTERNORRLANDS LÄN</t>
        </is>
      </c>
      <c r="E717" t="inlineStr">
        <is>
          <t>ÅNGE</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60514-2024</t>
        </is>
      </c>
      <c r="B718" s="1" t="n">
        <v>45643.67474537037</v>
      </c>
      <c r="C718" s="1" t="n">
        <v>46046</v>
      </c>
      <c r="D718" t="inlineStr">
        <is>
          <t>VÄSTERNORRLANDS LÄN</t>
        </is>
      </c>
      <c r="E718" t="inlineStr">
        <is>
          <t>ÅNGE</t>
        </is>
      </c>
      <c r="G718" t="n">
        <v>2.4</v>
      </c>
      <c r="H718" t="n">
        <v>0</v>
      </c>
      <c r="I718" t="n">
        <v>0</v>
      </c>
      <c r="J718" t="n">
        <v>0</v>
      </c>
      <c r="K718" t="n">
        <v>0</v>
      </c>
      <c r="L718" t="n">
        <v>0</v>
      </c>
      <c r="M718" t="n">
        <v>0</v>
      </c>
      <c r="N718" t="n">
        <v>0</v>
      </c>
      <c r="O718" t="n">
        <v>0</v>
      </c>
      <c r="P718" t="n">
        <v>0</v>
      </c>
      <c r="Q718" t="n">
        <v>0</v>
      </c>
      <c r="R718" s="2" t="inlineStr"/>
    </row>
    <row r="719" ht="15" customHeight="1">
      <c r="A719" t="inlineStr">
        <is>
          <t>A 6684-2024</t>
        </is>
      </c>
      <c r="B719" s="1" t="n">
        <v>45341.92555555556</v>
      </c>
      <c r="C719" s="1" t="n">
        <v>46046</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6691-2024</t>
        </is>
      </c>
      <c r="B720" s="1" t="n">
        <v>45341</v>
      </c>
      <c r="C720" s="1" t="n">
        <v>46046</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26365-2025</t>
        </is>
      </c>
      <c r="B721" s="1" t="n">
        <v>45806.34412037037</v>
      </c>
      <c r="C721" s="1" t="n">
        <v>46046</v>
      </c>
      <c r="D721" t="inlineStr">
        <is>
          <t>VÄSTERNORRLANDS LÄN</t>
        </is>
      </c>
      <c r="E721" t="inlineStr">
        <is>
          <t>ÅNGE</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26389-2025</t>
        </is>
      </c>
      <c r="B722" s="1" t="n">
        <v>45806.51078703703</v>
      </c>
      <c r="C722" s="1" t="n">
        <v>46046</v>
      </c>
      <c r="D722" t="inlineStr">
        <is>
          <t>VÄSTERNORRLANDS LÄN</t>
        </is>
      </c>
      <c r="E722" t="inlineStr">
        <is>
          <t>ÅNGE</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31177-2024</t>
        </is>
      </c>
      <c r="B723" s="1" t="n">
        <v>45503</v>
      </c>
      <c r="C723" s="1" t="n">
        <v>46046</v>
      </c>
      <c r="D723" t="inlineStr">
        <is>
          <t>VÄSTERNORRLANDS LÄN</t>
        </is>
      </c>
      <c r="E723" t="inlineStr">
        <is>
          <t>ÅNGE</t>
        </is>
      </c>
      <c r="G723" t="n">
        <v>10.2</v>
      </c>
      <c r="H723" t="n">
        <v>0</v>
      </c>
      <c r="I723" t="n">
        <v>0</v>
      </c>
      <c r="J723" t="n">
        <v>0</v>
      </c>
      <c r="K723" t="n">
        <v>0</v>
      </c>
      <c r="L723" t="n">
        <v>0</v>
      </c>
      <c r="M723" t="n">
        <v>0</v>
      </c>
      <c r="N723" t="n">
        <v>0</v>
      </c>
      <c r="O723" t="n">
        <v>0</v>
      </c>
      <c r="P723" t="n">
        <v>0</v>
      </c>
      <c r="Q723" t="n">
        <v>0</v>
      </c>
      <c r="R723" s="2" t="inlineStr"/>
    </row>
    <row r="724" ht="15" customHeight="1">
      <c r="A724" t="inlineStr">
        <is>
          <t>A 26388-2025</t>
        </is>
      </c>
      <c r="B724" s="1" t="n">
        <v>45806.51069444444</v>
      </c>
      <c r="C724" s="1" t="n">
        <v>46046</v>
      </c>
      <c r="D724" t="inlineStr">
        <is>
          <t>VÄSTERNORRLANDS LÄN</t>
        </is>
      </c>
      <c r="E724" t="inlineStr">
        <is>
          <t>ÅNGE</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26366-2025</t>
        </is>
      </c>
      <c r="B725" s="1" t="n">
        <v>45806.34424768519</v>
      </c>
      <c r="C725" s="1" t="n">
        <v>46046</v>
      </c>
      <c r="D725" t="inlineStr">
        <is>
          <t>VÄSTERNORRLANDS LÄN</t>
        </is>
      </c>
      <c r="E725" t="inlineStr">
        <is>
          <t>ÅNGE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26734-2025</t>
        </is>
      </c>
      <c r="B726" s="1" t="n">
        <v>45810.51087962963</v>
      </c>
      <c r="C726" s="1" t="n">
        <v>46046</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56874-2024</t>
        </is>
      </c>
      <c r="B727" s="1" t="n">
        <v>45628</v>
      </c>
      <c r="C727" s="1" t="n">
        <v>46046</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58087-2024</t>
        </is>
      </c>
      <c r="B728" s="1" t="n">
        <v>45632.34502314815</v>
      </c>
      <c r="C728" s="1" t="n">
        <v>46046</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26901-2025</t>
        </is>
      </c>
      <c r="B729" s="1" t="n">
        <v>45811.34457175926</v>
      </c>
      <c r="C729" s="1" t="n">
        <v>46046</v>
      </c>
      <c r="D729" t="inlineStr">
        <is>
          <t>VÄSTERNORRLANDS LÄN</t>
        </is>
      </c>
      <c r="E729" t="inlineStr">
        <is>
          <t>ÅNGE</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46046</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46046</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1127-2023</t>
        </is>
      </c>
      <c r="B732" s="1" t="n">
        <v>44929</v>
      </c>
      <c r="C732" s="1" t="n">
        <v>46046</v>
      </c>
      <c r="D732" t="inlineStr">
        <is>
          <t>VÄSTERNORRLANDS LÄN</t>
        </is>
      </c>
      <c r="E732" t="inlineStr">
        <is>
          <t>ÅNGE</t>
        </is>
      </c>
      <c r="G732" t="n">
        <v>10.5</v>
      </c>
      <c r="H732" t="n">
        <v>0</v>
      </c>
      <c r="I732" t="n">
        <v>0</v>
      </c>
      <c r="J732" t="n">
        <v>0</v>
      </c>
      <c r="K732" t="n">
        <v>0</v>
      </c>
      <c r="L732" t="n">
        <v>0</v>
      </c>
      <c r="M732" t="n">
        <v>0</v>
      </c>
      <c r="N732" t="n">
        <v>0</v>
      </c>
      <c r="O732" t="n">
        <v>0</v>
      </c>
      <c r="P732" t="n">
        <v>0</v>
      </c>
      <c r="Q732" t="n">
        <v>0</v>
      </c>
      <c r="R732" s="2" t="inlineStr"/>
    </row>
    <row r="733" ht="15" customHeight="1">
      <c r="A733" t="inlineStr">
        <is>
          <t>A 22755-2023</t>
        </is>
      </c>
      <c r="B733" s="1" t="n">
        <v>45071.94127314815</v>
      </c>
      <c r="C733" s="1" t="n">
        <v>46046</v>
      </c>
      <c r="D733" t="inlineStr">
        <is>
          <t>VÄSTERNORRLANDS LÄN</t>
        </is>
      </c>
      <c r="E733" t="inlineStr">
        <is>
          <t>ÅNGE</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26655-2025</t>
        </is>
      </c>
      <c r="B734" s="1" t="n">
        <v>45810.39047453704</v>
      </c>
      <c r="C734" s="1" t="n">
        <v>46046</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4727-2023</t>
        </is>
      </c>
      <c r="B735" s="1" t="n">
        <v>44953</v>
      </c>
      <c r="C735" s="1" t="n">
        <v>46046</v>
      </c>
      <c r="D735" t="inlineStr">
        <is>
          <t>VÄSTERNORRLANDS LÄN</t>
        </is>
      </c>
      <c r="E735" t="inlineStr">
        <is>
          <t>ÅNGE</t>
        </is>
      </c>
      <c r="G735" t="n">
        <v>0.4</v>
      </c>
      <c r="H735" t="n">
        <v>0</v>
      </c>
      <c r="I735" t="n">
        <v>0</v>
      </c>
      <c r="J735" t="n">
        <v>0</v>
      </c>
      <c r="K735" t="n">
        <v>0</v>
      </c>
      <c r="L735" t="n">
        <v>0</v>
      </c>
      <c r="M735" t="n">
        <v>0</v>
      </c>
      <c r="N735" t="n">
        <v>0</v>
      </c>
      <c r="O735" t="n">
        <v>0</v>
      </c>
      <c r="P735" t="n">
        <v>0</v>
      </c>
      <c r="Q735" t="n">
        <v>0</v>
      </c>
      <c r="R735" s="2" t="inlineStr"/>
    </row>
    <row r="736" ht="15" customHeight="1">
      <c r="A736" t="inlineStr">
        <is>
          <t>A 5931-2025</t>
        </is>
      </c>
      <c r="B736" s="1" t="n">
        <v>45695.44827546296</v>
      </c>
      <c r="C736" s="1" t="n">
        <v>46046</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41766-2024</t>
        </is>
      </c>
      <c r="B737" s="1" t="n">
        <v>45561.34594907407</v>
      </c>
      <c r="C737" s="1" t="n">
        <v>46046</v>
      </c>
      <c r="D737" t="inlineStr">
        <is>
          <t>VÄSTERNORRLANDS LÄN</t>
        </is>
      </c>
      <c r="E737" t="inlineStr">
        <is>
          <t>ÅNGE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42881-2023</t>
        </is>
      </c>
      <c r="B738" s="1" t="n">
        <v>45182.45256944445</v>
      </c>
      <c r="C738" s="1" t="n">
        <v>46046</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39178-2024</t>
        </is>
      </c>
      <c r="B739" s="1" t="n">
        <v>45548.65692129629</v>
      </c>
      <c r="C739" s="1" t="n">
        <v>46046</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29063-2023</t>
        </is>
      </c>
      <c r="B740" s="1" t="n">
        <v>45104.94068287037</v>
      </c>
      <c r="C740" s="1" t="n">
        <v>46046</v>
      </c>
      <c r="D740" t="inlineStr">
        <is>
          <t>VÄSTERNORRLANDS LÄN</t>
        </is>
      </c>
      <c r="E740" t="inlineStr">
        <is>
          <t>ÅNGE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30474-2024</t>
        </is>
      </c>
      <c r="B741" s="1" t="n">
        <v>45491</v>
      </c>
      <c r="C741" s="1" t="n">
        <v>46046</v>
      </c>
      <c r="D741" t="inlineStr">
        <is>
          <t>VÄSTERNORRLANDS LÄN</t>
        </is>
      </c>
      <c r="E741" t="inlineStr">
        <is>
          <t>ÅNGE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30475-2024</t>
        </is>
      </c>
      <c r="B742" s="1" t="n">
        <v>45491</v>
      </c>
      <c r="C742" s="1" t="n">
        <v>46046</v>
      </c>
      <c r="D742" t="inlineStr">
        <is>
          <t>VÄSTERNORRLANDS LÄN</t>
        </is>
      </c>
      <c r="E742" t="inlineStr">
        <is>
          <t>ÅNGE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47243-2024</t>
        </is>
      </c>
      <c r="B743" s="1" t="n">
        <v>45586.6987962963</v>
      </c>
      <c r="C743" s="1" t="n">
        <v>46046</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26608-2025</t>
        </is>
      </c>
      <c r="B744" s="1" t="n">
        <v>45809.98600694445</v>
      </c>
      <c r="C744" s="1" t="n">
        <v>46046</v>
      </c>
      <c r="D744" t="inlineStr">
        <is>
          <t>VÄSTERNORRLANDS LÄN</t>
        </is>
      </c>
      <c r="E744" t="inlineStr">
        <is>
          <t>ÅNGE</t>
        </is>
      </c>
      <c r="G744" t="n">
        <v>4.5</v>
      </c>
      <c r="H744" t="n">
        <v>0</v>
      </c>
      <c r="I744" t="n">
        <v>0</v>
      </c>
      <c r="J744" t="n">
        <v>0</v>
      </c>
      <c r="K744" t="n">
        <v>0</v>
      </c>
      <c r="L744" t="n">
        <v>0</v>
      </c>
      <c r="M744" t="n">
        <v>0</v>
      </c>
      <c r="N744" t="n">
        <v>0</v>
      </c>
      <c r="O744" t="n">
        <v>0</v>
      </c>
      <c r="P744" t="n">
        <v>0</v>
      </c>
      <c r="Q744" t="n">
        <v>0</v>
      </c>
      <c r="R744" s="2" t="inlineStr"/>
    </row>
    <row r="745" ht="15" customHeight="1">
      <c r="A745" t="inlineStr">
        <is>
          <t>A 51383-2022</t>
        </is>
      </c>
      <c r="B745" s="1" t="n">
        <v>44866</v>
      </c>
      <c r="C745" s="1" t="n">
        <v>46046</v>
      </c>
      <c r="D745" t="inlineStr">
        <is>
          <t>VÄSTERNORRLANDS LÄN</t>
        </is>
      </c>
      <c r="E745" t="inlineStr">
        <is>
          <t>ÅNGE</t>
        </is>
      </c>
      <c r="G745" t="n">
        <v>1.5</v>
      </c>
      <c r="H745" t="n">
        <v>0</v>
      </c>
      <c r="I745" t="n">
        <v>0</v>
      </c>
      <c r="J745" t="n">
        <v>0</v>
      </c>
      <c r="K745" t="n">
        <v>0</v>
      </c>
      <c r="L745" t="n">
        <v>0</v>
      </c>
      <c r="M745" t="n">
        <v>0</v>
      </c>
      <c r="N745" t="n">
        <v>0</v>
      </c>
      <c r="O745" t="n">
        <v>0</v>
      </c>
      <c r="P745" t="n">
        <v>0</v>
      </c>
      <c r="Q745" t="n">
        <v>0</v>
      </c>
      <c r="R745" s="2" t="inlineStr"/>
    </row>
    <row r="746" ht="15" customHeight="1">
      <c r="A746" t="inlineStr">
        <is>
          <t>A 27023-2025</t>
        </is>
      </c>
      <c r="B746" s="1" t="n">
        <v>45811.57342592593</v>
      </c>
      <c r="C746" s="1" t="n">
        <v>46046</v>
      </c>
      <c r="D746" t="inlineStr">
        <is>
          <t>VÄSTERNORRLANDS LÄN</t>
        </is>
      </c>
      <c r="E746" t="inlineStr">
        <is>
          <t>ÅNGE</t>
        </is>
      </c>
      <c r="G746" t="n">
        <v>0.3</v>
      </c>
      <c r="H746" t="n">
        <v>0</v>
      </c>
      <c r="I746" t="n">
        <v>0</v>
      </c>
      <c r="J746" t="n">
        <v>0</v>
      </c>
      <c r="K746" t="n">
        <v>0</v>
      </c>
      <c r="L746" t="n">
        <v>0</v>
      </c>
      <c r="M746" t="n">
        <v>0</v>
      </c>
      <c r="N746" t="n">
        <v>0</v>
      </c>
      <c r="O746" t="n">
        <v>0</v>
      </c>
      <c r="P746" t="n">
        <v>0</v>
      </c>
      <c r="Q746" t="n">
        <v>0</v>
      </c>
      <c r="R746" s="2" t="inlineStr"/>
    </row>
    <row r="747" ht="15" customHeight="1">
      <c r="A747" t="inlineStr">
        <is>
          <t>A 51393-2022</t>
        </is>
      </c>
      <c r="B747" s="1" t="n">
        <v>44869.43277777778</v>
      </c>
      <c r="C747" s="1" t="n">
        <v>46046</v>
      </c>
      <c r="D747" t="inlineStr">
        <is>
          <t>VÄSTERNORRLANDS LÄN</t>
        </is>
      </c>
      <c r="E747" t="inlineStr">
        <is>
          <t>ÅNGE</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42043-2024</t>
        </is>
      </c>
      <c r="B748" s="1" t="n">
        <v>45561</v>
      </c>
      <c r="C748" s="1" t="n">
        <v>46046</v>
      </c>
      <c r="D748" t="inlineStr">
        <is>
          <t>VÄSTERNORRLANDS LÄN</t>
        </is>
      </c>
      <c r="E748" t="inlineStr">
        <is>
          <t>ÅNGE</t>
        </is>
      </c>
      <c r="G748" t="n">
        <v>3.1</v>
      </c>
      <c r="H748" t="n">
        <v>0</v>
      </c>
      <c r="I748" t="n">
        <v>0</v>
      </c>
      <c r="J748" t="n">
        <v>0</v>
      </c>
      <c r="K748" t="n">
        <v>0</v>
      </c>
      <c r="L748" t="n">
        <v>0</v>
      </c>
      <c r="M748" t="n">
        <v>0</v>
      </c>
      <c r="N748" t="n">
        <v>0</v>
      </c>
      <c r="O748" t="n">
        <v>0</v>
      </c>
      <c r="P748" t="n">
        <v>0</v>
      </c>
      <c r="Q748" t="n">
        <v>0</v>
      </c>
      <c r="R748" s="2" t="inlineStr"/>
    </row>
    <row r="749" ht="15" customHeight="1">
      <c r="A749" t="inlineStr">
        <is>
          <t>A 42046-2024</t>
        </is>
      </c>
      <c r="B749" s="1" t="n">
        <v>45561.83422453704</v>
      </c>
      <c r="C749" s="1" t="n">
        <v>46046</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4236-2025</t>
        </is>
      </c>
      <c r="B750" s="1" t="n">
        <v>45685.56534722223</v>
      </c>
      <c r="C750" s="1" t="n">
        <v>46046</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2415-2024</t>
        </is>
      </c>
      <c r="B751" s="1" t="n">
        <v>45310</v>
      </c>
      <c r="C751" s="1" t="n">
        <v>46046</v>
      </c>
      <c r="D751" t="inlineStr">
        <is>
          <t>VÄSTERNORRLANDS LÄN</t>
        </is>
      </c>
      <c r="E751" t="inlineStr">
        <is>
          <t>ÅNGE</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59412-2024</t>
        </is>
      </c>
      <c r="B752" s="1" t="n">
        <v>45638</v>
      </c>
      <c r="C752" s="1" t="n">
        <v>46046</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4361-2024</t>
        </is>
      </c>
      <c r="B753" s="1" t="n">
        <v>45325.65047453704</v>
      </c>
      <c r="C753" s="1" t="n">
        <v>46046</v>
      </c>
      <c r="D753" t="inlineStr">
        <is>
          <t>VÄSTERNORRLANDS LÄN</t>
        </is>
      </c>
      <c r="E753" t="inlineStr">
        <is>
          <t>ÅNGE</t>
        </is>
      </c>
      <c r="G753" t="n">
        <v>1.3</v>
      </c>
      <c r="H753" t="n">
        <v>0</v>
      </c>
      <c r="I753" t="n">
        <v>0</v>
      </c>
      <c r="J753" t="n">
        <v>0</v>
      </c>
      <c r="K753" t="n">
        <v>0</v>
      </c>
      <c r="L753" t="n">
        <v>0</v>
      </c>
      <c r="M753" t="n">
        <v>0</v>
      </c>
      <c r="N753" t="n">
        <v>0</v>
      </c>
      <c r="O753" t="n">
        <v>0</v>
      </c>
      <c r="P753" t="n">
        <v>0</v>
      </c>
      <c r="Q753" t="n">
        <v>0</v>
      </c>
      <c r="R753" s="2" t="inlineStr"/>
    </row>
    <row r="754" ht="15" customHeight="1">
      <c r="A754" t="inlineStr">
        <is>
          <t>A 26490-2024</t>
        </is>
      </c>
      <c r="B754" s="1" t="n">
        <v>45469</v>
      </c>
      <c r="C754" s="1" t="n">
        <v>46046</v>
      </c>
      <c r="D754" t="inlineStr">
        <is>
          <t>VÄSTERNORRLANDS LÄN</t>
        </is>
      </c>
      <c r="E754" t="inlineStr">
        <is>
          <t>ÅNGE</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36790-2023</t>
        </is>
      </c>
      <c r="B755" s="1" t="n">
        <v>45154.36418981481</v>
      </c>
      <c r="C755" s="1" t="n">
        <v>46046</v>
      </c>
      <c r="D755" t="inlineStr">
        <is>
          <t>VÄSTERNORRLANDS LÄN</t>
        </is>
      </c>
      <c r="E755" t="inlineStr">
        <is>
          <t>ÅNGE</t>
        </is>
      </c>
      <c r="G755" t="n">
        <v>1.4</v>
      </c>
      <c r="H755" t="n">
        <v>0</v>
      </c>
      <c r="I755" t="n">
        <v>0</v>
      </c>
      <c r="J755" t="n">
        <v>0</v>
      </c>
      <c r="K755" t="n">
        <v>0</v>
      </c>
      <c r="L755" t="n">
        <v>0</v>
      </c>
      <c r="M755" t="n">
        <v>0</v>
      </c>
      <c r="N755" t="n">
        <v>0</v>
      </c>
      <c r="O755" t="n">
        <v>0</v>
      </c>
      <c r="P755" t="n">
        <v>0</v>
      </c>
      <c r="Q755" t="n">
        <v>0</v>
      </c>
      <c r="R755" s="2" t="inlineStr"/>
    </row>
    <row r="756" ht="15" customHeight="1">
      <c r="A756" t="inlineStr">
        <is>
          <t>A 47779-2023</t>
        </is>
      </c>
      <c r="B756" s="1" t="n">
        <v>45203.92232638889</v>
      </c>
      <c r="C756" s="1" t="n">
        <v>46046</v>
      </c>
      <c r="D756" t="inlineStr">
        <is>
          <t>VÄSTERNORRLANDS LÄN</t>
        </is>
      </c>
      <c r="E756" t="inlineStr">
        <is>
          <t>ÅNGE</t>
        </is>
      </c>
      <c r="G756" t="n">
        <v>9.6</v>
      </c>
      <c r="H756" t="n">
        <v>0</v>
      </c>
      <c r="I756" t="n">
        <v>0</v>
      </c>
      <c r="J756" t="n">
        <v>0</v>
      </c>
      <c r="K756" t="n">
        <v>0</v>
      </c>
      <c r="L756" t="n">
        <v>0</v>
      </c>
      <c r="M756" t="n">
        <v>0</v>
      </c>
      <c r="N756" t="n">
        <v>0</v>
      </c>
      <c r="O756" t="n">
        <v>0</v>
      </c>
      <c r="P756" t="n">
        <v>0</v>
      </c>
      <c r="Q756" t="n">
        <v>0</v>
      </c>
      <c r="R756" s="2" t="inlineStr"/>
    </row>
    <row r="757" ht="15" customHeight="1">
      <c r="A757" t="inlineStr">
        <is>
          <t>A 42242-2023</t>
        </is>
      </c>
      <c r="B757" s="1" t="n">
        <v>45180.35025462963</v>
      </c>
      <c r="C757" s="1" t="n">
        <v>46046</v>
      </c>
      <c r="D757" t="inlineStr">
        <is>
          <t>VÄSTERNORRLANDS LÄN</t>
        </is>
      </c>
      <c r="E757" t="inlineStr">
        <is>
          <t>ÅNGE</t>
        </is>
      </c>
      <c r="G757" t="n">
        <v>5.7</v>
      </c>
      <c r="H757" t="n">
        <v>0</v>
      </c>
      <c r="I757" t="n">
        <v>0</v>
      </c>
      <c r="J757" t="n">
        <v>0</v>
      </c>
      <c r="K757" t="n">
        <v>0</v>
      </c>
      <c r="L757" t="n">
        <v>0</v>
      </c>
      <c r="M757" t="n">
        <v>0</v>
      </c>
      <c r="N757" t="n">
        <v>0</v>
      </c>
      <c r="O757" t="n">
        <v>0</v>
      </c>
      <c r="P757" t="n">
        <v>0</v>
      </c>
      <c r="Q757" t="n">
        <v>0</v>
      </c>
      <c r="R757" s="2" t="inlineStr"/>
    </row>
    <row r="758" ht="15" customHeight="1">
      <c r="A758" t="inlineStr">
        <is>
          <t>A 38246-2024</t>
        </is>
      </c>
      <c r="B758" s="1" t="n">
        <v>45545.57327546296</v>
      </c>
      <c r="C758" s="1" t="n">
        <v>46046</v>
      </c>
      <c r="D758" t="inlineStr">
        <is>
          <t>VÄSTERNORRLANDS LÄN</t>
        </is>
      </c>
      <c r="E758" t="inlineStr">
        <is>
          <t>ÅNGE</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64946-2023</t>
        </is>
      </c>
      <c r="B759" s="1" t="n">
        <v>45282.94678240741</v>
      </c>
      <c r="C759" s="1" t="n">
        <v>46046</v>
      </c>
      <c r="D759" t="inlineStr">
        <is>
          <t>VÄSTERNORRLANDS LÄN</t>
        </is>
      </c>
      <c r="E759" t="inlineStr">
        <is>
          <t>ÅNGE</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55664-2023</t>
        </is>
      </c>
      <c r="B760" s="1" t="n">
        <v>45238.96748842593</v>
      </c>
      <c r="C760" s="1" t="n">
        <v>46046</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25973-2022</t>
        </is>
      </c>
      <c r="B761" s="1" t="n">
        <v>44734</v>
      </c>
      <c r="C761" s="1" t="n">
        <v>46046</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61585-2022</t>
        </is>
      </c>
      <c r="B762" s="1" t="n">
        <v>44916.63380787037</v>
      </c>
      <c r="C762" s="1" t="n">
        <v>46046</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57595-2022</t>
        </is>
      </c>
      <c r="B763" s="1" t="n">
        <v>44896.97862268519</v>
      </c>
      <c r="C763" s="1" t="n">
        <v>46046</v>
      </c>
      <c r="D763" t="inlineStr">
        <is>
          <t>VÄSTERNORRLANDS LÄN</t>
        </is>
      </c>
      <c r="E763" t="inlineStr">
        <is>
          <t>ÅNGE</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30747-2024</t>
        </is>
      </c>
      <c r="B764" s="1" t="n">
        <v>45496</v>
      </c>
      <c r="C764" s="1" t="n">
        <v>46046</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16365-2023</t>
        </is>
      </c>
      <c r="B765" s="1" t="n">
        <v>45028</v>
      </c>
      <c r="C765" s="1" t="n">
        <v>46046</v>
      </c>
      <c r="D765" t="inlineStr">
        <is>
          <t>VÄSTERNORRLANDS LÄN</t>
        </is>
      </c>
      <c r="E765" t="inlineStr">
        <is>
          <t>ÅNGE</t>
        </is>
      </c>
      <c r="G765" t="n">
        <v>1.5</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46046</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44532.605625</v>
      </c>
      <c r="C767" s="1" t="n">
        <v>46046</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46046</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27606-2025</t>
        </is>
      </c>
      <c r="B769" s="1" t="n">
        <v>45813.53200231482</v>
      </c>
      <c r="C769" s="1" t="n">
        <v>46046</v>
      </c>
      <c r="D769" t="inlineStr">
        <is>
          <t>VÄSTERNORRLANDS LÄN</t>
        </is>
      </c>
      <c r="E769" t="inlineStr">
        <is>
          <t>ÅNGE</t>
        </is>
      </c>
      <c r="F769" t="inlineStr">
        <is>
          <t>SCA</t>
        </is>
      </c>
      <c r="G769" t="n">
        <v>6.3</v>
      </c>
      <c r="H769" t="n">
        <v>0</v>
      </c>
      <c r="I769" t="n">
        <v>0</v>
      </c>
      <c r="J769" t="n">
        <v>0</v>
      </c>
      <c r="K769" t="n">
        <v>0</v>
      </c>
      <c r="L769" t="n">
        <v>0</v>
      </c>
      <c r="M769" t="n">
        <v>0</v>
      </c>
      <c r="N769" t="n">
        <v>0</v>
      </c>
      <c r="O769" t="n">
        <v>0</v>
      </c>
      <c r="P769" t="n">
        <v>0</v>
      </c>
      <c r="Q769" t="n">
        <v>0</v>
      </c>
      <c r="R769" s="2" t="inlineStr"/>
    </row>
    <row r="770" ht="15" customHeight="1">
      <c r="A770" t="inlineStr">
        <is>
          <t>A 53209-2024</t>
        </is>
      </c>
      <c r="B770" s="1" t="n">
        <v>45612.51079861111</v>
      </c>
      <c r="C770" s="1" t="n">
        <v>46046</v>
      </c>
      <c r="D770" t="inlineStr">
        <is>
          <t>VÄSTERNORRLANDS LÄN</t>
        </is>
      </c>
      <c r="E770" t="inlineStr">
        <is>
          <t>ÅNGE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3574-2025</t>
        </is>
      </c>
      <c r="B771" s="1" t="n">
        <v>45680.71916666667</v>
      </c>
      <c r="C771" s="1" t="n">
        <v>46046</v>
      </c>
      <c r="D771" t="inlineStr">
        <is>
          <t>VÄSTERNORRLANDS LÄN</t>
        </is>
      </c>
      <c r="E771" t="inlineStr">
        <is>
          <t>ÅNGE</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30803-2022</t>
        </is>
      </c>
      <c r="B772" s="1" t="n">
        <v>44764</v>
      </c>
      <c r="C772" s="1" t="n">
        <v>46046</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58639-2023</t>
        </is>
      </c>
      <c r="B773" s="1" t="n">
        <v>45251</v>
      </c>
      <c r="C773" s="1" t="n">
        <v>46046</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33750-2024</t>
        </is>
      </c>
      <c r="B774" s="1" t="n">
        <v>45520.56475694444</v>
      </c>
      <c r="C774" s="1" t="n">
        <v>46046</v>
      </c>
      <c r="D774" t="inlineStr">
        <is>
          <t>VÄSTERNORRLANDS LÄN</t>
        </is>
      </c>
      <c r="E774" t="inlineStr">
        <is>
          <t>ÅNGE</t>
        </is>
      </c>
      <c r="G774" t="n">
        <v>1.3</v>
      </c>
      <c r="H774" t="n">
        <v>0</v>
      </c>
      <c r="I774" t="n">
        <v>0</v>
      </c>
      <c r="J774" t="n">
        <v>0</v>
      </c>
      <c r="K774" t="n">
        <v>0</v>
      </c>
      <c r="L774" t="n">
        <v>0</v>
      </c>
      <c r="M774" t="n">
        <v>0</v>
      </c>
      <c r="N774" t="n">
        <v>0</v>
      </c>
      <c r="O774" t="n">
        <v>0</v>
      </c>
      <c r="P774" t="n">
        <v>0</v>
      </c>
      <c r="Q774" t="n">
        <v>0</v>
      </c>
      <c r="R774" s="2" t="inlineStr"/>
    </row>
    <row r="775" ht="15" customHeight="1">
      <c r="A775" t="inlineStr">
        <is>
          <t>A 44635-2024</t>
        </is>
      </c>
      <c r="B775" s="1" t="n">
        <v>45574.51488425926</v>
      </c>
      <c r="C775" s="1" t="n">
        <v>46046</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9567-2024</t>
        </is>
      </c>
      <c r="B776" s="1" t="n">
        <v>45360.03635416667</v>
      </c>
      <c r="C776" s="1" t="n">
        <v>46046</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22988-2024</t>
        </is>
      </c>
      <c r="B777" s="1" t="n">
        <v>45449.94530092592</v>
      </c>
      <c r="C777" s="1" t="n">
        <v>46046</v>
      </c>
      <c r="D777" t="inlineStr">
        <is>
          <t>VÄSTERNORRLANDS LÄN</t>
        </is>
      </c>
      <c r="E777" t="inlineStr">
        <is>
          <t>ÅNGE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27639-2025</t>
        </is>
      </c>
      <c r="B778" s="1" t="n">
        <v>45813</v>
      </c>
      <c r="C778" s="1" t="n">
        <v>46046</v>
      </c>
      <c r="D778" t="inlineStr">
        <is>
          <t>VÄSTERNORRLANDS LÄN</t>
        </is>
      </c>
      <c r="E778" t="inlineStr">
        <is>
          <t>ÅNGE</t>
        </is>
      </c>
      <c r="G778" t="n">
        <v>22.9</v>
      </c>
      <c r="H778" t="n">
        <v>0</v>
      </c>
      <c r="I778" t="n">
        <v>0</v>
      </c>
      <c r="J778" t="n">
        <v>0</v>
      </c>
      <c r="K778" t="n">
        <v>0</v>
      </c>
      <c r="L778" t="n">
        <v>0</v>
      </c>
      <c r="M778" t="n">
        <v>0</v>
      </c>
      <c r="N778" t="n">
        <v>0</v>
      </c>
      <c r="O778" t="n">
        <v>0</v>
      </c>
      <c r="P778" t="n">
        <v>0</v>
      </c>
      <c r="Q778" t="n">
        <v>0</v>
      </c>
      <c r="R778" s="2" t="inlineStr"/>
    </row>
    <row r="779" ht="15" customHeight="1">
      <c r="A779" t="inlineStr">
        <is>
          <t>A 27572-2025</t>
        </is>
      </c>
      <c r="B779" s="1" t="n">
        <v>45813.49049768518</v>
      </c>
      <c r="C779" s="1" t="n">
        <v>46046</v>
      </c>
      <c r="D779" t="inlineStr">
        <is>
          <t>VÄSTERNORRLANDS LÄN</t>
        </is>
      </c>
      <c r="E779" t="inlineStr">
        <is>
          <t>ÅNGE</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27165-2025</t>
        </is>
      </c>
      <c r="B780" s="1" t="n">
        <v>45812.34440972222</v>
      </c>
      <c r="C780" s="1" t="n">
        <v>46046</v>
      </c>
      <c r="D780" t="inlineStr">
        <is>
          <t>VÄSTERNORRLANDS LÄN</t>
        </is>
      </c>
      <c r="E780" t="inlineStr">
        <is>
          <t>ÅNGE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27545-2025</t>
        </is>
      </c>
      <c r="B781" s="1" t="n">
        <v>45813.46942129629</v>
      </c>
      <c r="C781" s="1" t="n">
        <v>46046</v>
      </c>
      <c r="D781" t="inlineStr">
        <is>
          <t>VÄSTERNORRLANDS LÄN</t>
        </is>
      </c>
      <c r="E781" t="inlineStr">
        <is>
          <t>ÅNGE</t>
        </is>
      </c>
      <c r="F781" t="inlineStr">
        <is>
          <t>SCA</t>
        </is>
      </c>
      <c r="G781" t="n">
        <v>14.3</v>
      </c>
      <c r="H781" t="n">
        <v>0</v>
      </c>
      <c r="I781" t="n">
        <v>0</v>
      </c>
      <c r="J781" t="n">
        <v>0</v>
      </c>
      <c r="K781" t="n">
        <v>0</v>
      </c>
      <c r="L781" t="n">
        <v>0</v>
      </c>
      <c r="M781" t="n">
        <v>0</v>
      </c>
      <c r="N781" t="n">
        <v>0</v>
      </c>
      <c r="O781" t="n">
        <v>0</v>
      </c>
      <c r="P781" t="n">
        <v>0</v>
      </c>
      <c r="Q781" t="n">
        <v>0</v>
      </c>
      <c r="R781" s="2" t="inlineStr"/>
    </row>
    <row r="782" ht="15" customHeight="1">
      <c r="A782" t="inlineStr">
        <is>
          <t>A 34750-2023</t>
        </is>
      </c>
      <c r="B782" s="1" t="n">
        <v>45139</v>
      </c>
      <c r="C782" s="1" t="n">
        <v>46046</v>
      </c>
      <c r="D782" t="inlineStr">
        <is>
          <t>VÄSTERNORRLANDS LÄN</t>
        </is>
      </c>
      <c r="E782" t="inlineStr">
        <is>
          <t>ÅNGE</t>
        </is>
      </c>
      <c r="G782" t="n">
        <v>2.9</v>
      </c>
      <c r="H782" t="n">
        <v>0</v>
      </c>
      <c r="I782" t="n">
        <v>0</v>
      </c>
      <c r="J782" t="n">
        <v>0</v>
      </c>
      <c r="K782" t="n">
        <v>0</v>
      </c>
      <c r="L782" t="n">
        <v>0</v>
      </c>
      <c r="M782" t="n">
        <v>0</v>
      </c>
      <c r="N782" t="n">
        <v>0</v>
      </c>
      <c r="O782" t="n">
        <v>0</v>
      </c>
      <c r="P782" t="n">
        <v>0</v>
      </c>
      <c r="Q782" t="n">
        <v>0</v>
      </c>
      <c r="R782" s="2" t="inlineStr"/>
    </row>
    <row r="783" ht="15" customHeight="1">
      <c r="A783" t="inlineStr">
        <is>
          <t>A 43066-2022</t>
        </is>
      </c>
      <c r="B783" s="1" t="n">
        <v>44833</v>
      </c>
      <c r="C783" s="1" t="n">
        <v>46046</v>
      </c>
      <c r="D783" t="inlineStr">
        <is>
          <t>VÄSTERNORRLANDS LÄN</t>
        </is>
      </c>
      <c r="E783" t="inlineStr">
        <is>
          <t>ÅNGE</t>
        </is>
      </c>
      <c r="G783" t="n">
        <v>1.2</v>
      </c>
      <c r="H783" t="n">
        <v>0</v>
      </c>
      <c r="I783" t="n">
        <v>0</v>
      </c>
      <c r="J783" t="n">
        <v>0</v>
      </c>
      <c r="K783" t="n">
        <v>0</v>
      </c>
      <c r="L783" t="n">
        <v>0</v>
      </c>
      <c r="M783" t="n">
        <v>0</v>
      </c>
      <c r="N783" t="n">
        <v>0</v>
      </c>
      <c r="O783" t="n">
        <v>0</v>
      </c>
      <c r="P783" t="n">
        <v>0</v>
      </c>
      <c r="Q783" t="n">
        <v>0</v>
      </c>
      <c r="R783" s="2" t="inlineStr"/>
    </row>
    <row r="784" ht="15" customHeight="1">
      <c r="A784" t="inlineStr">
        <is>
          <t>A 44180-2023</t>
        </is>
      </c>
      <c r="B784" s="1" t="n">
        <v>45183</v>
      </c>
      <c r="C784" s="1" t="n">
        <v>46046</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46046</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14888-2022</t>
        </is>
      </c>
      <c r="B786" s="1" t="n">
        <v>44656</v>
      </c>
      <c r="C786" s="1" t="n">
        <v>46046</v>
      </c>
      <c r="D786" t="inlineStr">
        <is>
          <t>VÄSTERNORRLANDS LÄN</t>
        </is>
      </c>
      <c r="E786" t="inlineStr">
        <is>
          <t>ÅNGE</t>
        </is>
      </c>
      <c r="G786" t="n">
        <v>6.2</v>
      </c>
      <c r="H786" t="n">
        <v>0</v>
      </c>
      <c r="I786" t="n">
        <v>0</v>
      </c>
      <c r="J786" t="n">
        <v>0</v>
      </c>
      <c r="K786" t="n">
        <v>0</v>
      </c>
      <c r="L786" t="n">
        <v>0</v>
      </c>
      <c r="M786" t="n">
        <v>0</v>
      </c>
      <c r="N786" t="n">
        <v>0</v>
      </c>
      <c r="O786" t="n">
        <v>0</v>
      </c>
      <c r="P786" t="n">
        <v>0</v>
      </c>
      <c r="Q786" t="n">
        <v>0</v>
      </c>
      <c r="R786" s="2" t="inlineStr"/>
    </row>
    <row r="787" ht="15" customHeight="1">
      <c r="A787" t="inlineStr">
        <is>
          <t>A 63530-2023</t>
        </is>
      </c>
      <c r="B787" s="1" t="n">
        <v>45274</v>
      </c>
      <c r="C787" s="1" t="n">
        <v>46046</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28085-2025</t>
        </is>
      </c>
      <c r="B788" s="1" t="n">
        <v>45817.71924768519</v>
      </c>
      <c r="C788" s="1" t="n">
        <v>46046</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22990-2024</t>
        </is>
      </c>
      <c r="B789" s="1" t="n">
        <v>45449.94548611111</v>
      </c>
      <c r="C789" s="1" t="n">
        <v>46046</v>
      </c>
      <c r="D789" t="inlineStr">
        <is>
          <t>VÄSTERNORRLANDS LÄN</t>
        </is>
      </c>
      <c r="E789" t="inlineStr">
        <is>
          <t>ÅNGE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27260-2023</t>
        </is>
      </c>
      <c r="B790" s="1" t="n">
        <v>45092</v>
      </c>
      <c r="C790" s="1" t="n">
        <v>46046</v>
      </c>
      <c r="D790" t="inlineStr">
        <is>
          <t>VÄSTERNORRLANDS LÄN</t>
        </is>
      </c>
      <c r="E790" t="inlineStr">
        <is>
          <t>ÅNGE</t>
        </is>
      </c>
      <c r="G790" t="n">
        <v>2.7</v>
      </c>
      <c r="H790" t="n">
        <v>0</v>
      </c>
      <c r="I790" t="n">
        <v>0</v>
      </c>
      <c r="J790" t="n">
        <v>0</v>
      </c>
      <c r="K790" t="n">
        <v>0</v>
      </c>
      <c r="L790" t="n">
        <v>0</v>
      </c>
      <c r="M790" t="n">
        <v>0</v>
      </c>
      <c r="N790" t="n">
        <v>0</v>
      </c>
      <c r="O790" t="n">
        <v>0</v>
      </c>
      <c r="P790" t="n">
        <v>0</v>
      </c>
      <c r="Q790" t="n">
        <v>0</v>
      </c>
      <c r="R790" s="2" t="inlineStr"/>
    </row>
    <row r="791" ht="15" customHeight="1">
      <c r="A791" t="inlineStr">
        <is>
          <t>A 58637-2023</t>
        </is>
      </c>
      <c r="B791" s="1" t="n">
        <v>45251</v>
      </c>
      <c r="C791" s="1" t="n">
        <v>46046</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28070-2025</t>
        </is>
      </c>
      <c r="B792" s="1" t="n">
        <v>45817.67739583334</v>
      </c>
      <c r="C792" s="1" t="n">
        <v>46046</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30753-2024</t>
        </is>
      </c>
      <c r="B793" s="1" t="n">
        <v>45496</v>
      </c>
      <c r="C793" s="1" t="n">
        <v>46046</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30754-2024</t>
        </is>
      </c>
      <c r="B794" s="1" t="n">
        <v>45496</v>
      </c>
      <c r="C794" s="1" t="n">
        <v>46046</v>
      </c>
      <c r="D794" t="inlineStr">
        <is>
          <t>VÄSTERNORRLANDS LÄN</t>
        </is>
      </c>
      <c r="E794" t="inlineStr">
        <is>
          <t>ÅNGE</t>
        </is>
      </c>
      <c r="G794" t="n">
        <v>3.8</v>
      </c>
      <c r="H794" t="n">
        <v>0</v>
      </c>
      <c r="I794" t="n">
        <v>0</v>
      </c>
      <c r="J794" t="n">
        <v>0</v>
      </c>
      <c r="K794" t="n">
        <v>0</v>
      </c>
      <c r="L794" t="n">
        <v>0</v>
      </c>
      <c r="M794" t="n">
        <v>0</v>
      </c>
      <c r="N794" t="n">
        <v>0</v>
      </c>
      <c r="O794" t="n">
        <v>0</v>
      </c>
      <c r="P794" t="n">
        <v>0</v>
      </c>
      <c r="Q794" t="n">
        <v>0</v>
      </c>
      <c r="R794" s="2" t="inlineStr"/>
    </row>
    <row r="795" ht="15" customHeight="1">
      <c r="A795" t="inlineStr">
        <is>
          <t>A 56908-2021</t>
        </is>
      </c>
      <c r="B795" s="1" t="n">
        <v>44481.93844907408</v>
      </c>
      <c r="C795" s="1" t="n">
        <v>46046</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3249-2024</t>
        </is>
      </c>
      <c r="B796" s="1" t="n">
        <v>45316</v>
      </c>
      <c r="C796" s="1" t="n">
        <v>46046</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58275-2022</t>
        </is>
      </c>
      <c r="B797" s="1" t="n">
        <v>44901.47865740741</v>
      </c>
      <c r="C797" s="1" t="n">
        <v>46046</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42948-2024</t>
        </is>
      </c>
      <c r="B798" s="1" t="n">
        <v>45567.36628472222</v>
      </c>
      <c r="C798" s="1" t="n">
        <v>46046</v>
      </c>
      <c r="D798" t="inlineStr">
        <is>
          <t>VÄSTERNORRLANDS LÄN</t>
        </is>
      </c>
      <c r="E798" t="inlineStr">
        <is>
          <t>ÅNGE</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42953-2024</t>
        </is>
      </c>
      <c r="B799" s="1" t="n">
        <v>45567</v>
      </c>
      <c r="C799" s="1" t="n">
        <v>46046</v>
      </c>
      <c r="D799" t="inlineStr">
        <is>
          <t>VÄSTERNORRLANDS LÄN</t>
        </is>
      </c>
      <c r="E799" t="inlineStr">
        <is>
          <t>ÅNGE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42968-2024</t>
        </is>
      </c>
      <c r="B800" s="1" t="n">
        <v>45567</v>
      </c>
      <c r="C800" s="1" t="n">
        <v>46046</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14673-2025</t>
        </is>
      </c>
      <c r="B801" s="1" t="n">
        <v>45742.55309027778</v>
      </c>
      <c r="C801" s="1" t="n">
        <v>46046</v>
      </c>
      <c r="D801" t="inlineStr">
        <is>
          <t>VÄSTERNORRLANDS LÄN</t>
        </is>
      </c>
      <c r="E801" t="inlineStr">
        <is>
          <t>ÅNGE</t>
        </is>
      </c>
      <c r="G801" t="n">
        <v>2.5</v>
      </c>
      <c r="H801" t="n">
        <v>0</v>
      </c>
      <c r="I801" t="n">
        <v>0</v>
      </c>
      <c r="J801" t="n">
        <v>0</v>
      </c>
      <c r="K801" t="n">
        <v>0</v>
      </c>
      <c r="L801" t="n">
        <v>0</v>
      </c>
      <c r="M801" t="n">
        <v>0</v>
      </c>
      <c r="N801" t="n">
        <v>0</v>
      </c>
      <c r="O801" t="n">
        <v>0</v>
      </c>
      <c r="P801" t="n">
        <v>0</v>
      </c>
      <c r="Q801" t="n">
        <v>0</v>
      </c>
      <c r="R801" s="2" t="inlineStr"/>
    </row>
    <row r="802" ht="15" customHeight="1">
      <c r="A802" t="inlineStr">
        <is>
          <t>A 16191-2023</t>
        </is>
      </c>
      <c r="B802" s="1" t="n">
        <v>45027.94111111111</v>
      </c>
      <c r="C802" s="1" t="n">
        <v>46046</v>
      </c>
      <c r="D802" t="inlineStr">
        <is>
          <t>VÄSTERNORRLANDS LÄN</t>
        </is>
      </c>
      <c r="E802" t="inlineStr">
        <is>
          <t>ÅNGE</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35498-2022</t>
        </is>
      </c>
      <c r="B803" s="1" t="n">
        <v>44798.94810185185</v>
      </c>
      <c r="C803" s="1" t="n">
        <v>46046</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57271-2024</t>
        </is>
      </c>
      <c r="B804" s="1" t="n">
        <v>45629.57364583333</v>
      </c>
      <c r="C804" s="1" t="n">
        <v>46046</v>
      </c>
      <c r="D804" t="inlineStr">
        <is>
          <t>VÄSTERNORRLANDS LÄN</t>
        </is>
      </c>
      <c r="E804" t="inlineStr">
        <is>
          <t>ÅNGE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9480-2022</t>
        </is>
      </c>
      <c r="B805" s="1" t="n">
        <v>44616</v>
      </c>
      <c r="C805" s="1" t="n">
        <v>46046</v>
      </c>
      <c r="D805" t="inlineStr">
        <is>
          <t>VÄSTERNORRLANDS LÄN</t>
        </is>
      </c>
      <c r="E805" t="inlineStr">
        <is>
          <t>ÅNGE</t>
        </is>
      </c>
      <c r="G805" t="n">
        <v>0.3</v>
      </c>
      <c r="H805" t="n">
        <v>0</v>
      </c>
      <c r="I805" t="n">
        <v>0</v>
      </c>
      <c r="J805" t="n">
        <v>0</v>
      </c>
      <c r="K805" t="n">
        <v>0</v>
      </c>
      <c r="L805" t="n">
        <v>0</v>
      </c>
      <c r="M805" t="n">
        <v>0</v>
      </c>
      <c r="N805" t="n">
        <v>0</v>
      </c>
      <c r="O805" t="n">
        <v>0</v>
      </c>
      <c r="P805" t="n">
        <v>0</v>
      </c>
      <c r="Q805" t="n">
        <v>0</v>
      </c>
      <c r="R805" s="2" t="inlineStr"/>
    </row>
    <row r="806" ht="15" customHeight="1">
      <c r="A806" t="inlineStr">
        <is>
          <t>A 37503-2023</t>
        </is>
      </c>
      <c r="B806" s="1" t="n">
        <v>45157.5796875</v>
      </c>
      <c r="C806" s="1" t="n">
        <v>46046</v>
      </c>
      <c r="D806" t="inlineStr">
        <is>
          <t>VÄSTERNORRLANDS LÄN</t>
        </is>
      </c>
      <c r="E806" t="inlineStr">
        <is>
          <t>ÅNGE</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2299-2025</t>
        </is>
      </c>
      <c r="B807" s="1" t="n">
        <v>45673.59516203704</v>
      </c>
      <c r="C807" s="1" t="n">
        <v>46046</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51124-2024</t>
        </is>
      </c>
      <c r="B808" s="1" t="n">
        <v>45603.50716435185</v>
      </c>
      <c r="C808" s="1" t="n">
        <v>46046</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28143-2025</t>
        </is>
      </c>
      <c r="B809" s="1" t="n">
        <v>45818.34546296296</v>
      </c>
      <c r="C809" s="1" t="n">
        <v>46046</v>
      </c>
      <c r="D809" t="inlineStr">
        <is>
          <t>VÄSTERNORRLANDS LÄN</t>
        </is>
      </c>
      <c r="E809" t="inlineStr">
        <is>
          <t>ÅNGE</t>
        </is>
      </c>
      <c r="F809" t="inlineStr">
        <is>
          <t>SCA</t>
        </is>
      </c>
      <c r="G809" t="n">
        <v>6.8</v>
      </c>
      <c r="H809" t="n">
        <v>0</v>
      </c>
      <c r="I809" t="n">
        <v>0</v>
      </c>
      <c r="J809" t="n">
        <v>0</v>
      </c>
      <c r="K809" t="n">
        <v>0</v>
      </c>
      <c r="L809" t="n">
        <v>0</v>
      </c>
      <c r="M809" t="n">
        <v>0</v>
      </c>
      <c r="N809" t="n">
        <v>0</v>
      </c>
      <c r="O809" t="n">
        <v>0</v>
      </c>
      <c r="P809" t="n">
        <v>0</v>
      </c>
      <c r="Q809" t="n">
        <v>0</v>
      </c>
      <c r="R809" s="2" t="inlineStr"/>
    </row>
    <row r="810" ht="15" customHeight="1">
      <c r="A810" t="inlineStr">
        <is>
          <t>A 28404-2025</t>
        </is>
      </c>
      <c r="B810" s="1" t="n">
        <v>45819.34532407407</v>
      </c>
      <c r="C810" s="1" t="n">
        <v>46046</v>
      </c>
      <c r="D810" t="inlineStr">
        <is>
          <t>VÄSTERNORRLANDS LÄN</t>
        </is>
      </c>
      <c r="E810" t="inlineStr">
        <is>
          <t>ÅNGE</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31457-2024</t>
        </is>
      </c>
      <c r="B811" s="1" t="n">
        <v>45505</v>
      </c>
      <c r="C811" s="1" t="n">
        <v>46046</v>
      </c>
      <c r="D811" t="inlineStr">
        <is>
          <t>VÄSTERNORRLANDS LÄN</t>
        </is>
      </c>
      <c r="E811" t="inlineStr">
        <is>
          <t>ÅNGE</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29153-2025</t>
        </is>
      </c>
      <c r="B812" s="1" t="n">
        <v>45821.63574074074</v>
      </c>
      <c r="C812" s="1" t="n">
        <v>46046</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28896-2025</t>
        </is>
      </c>
      <c r="B813" s="1" t="n">
        <v>45820.63584490741</v>
      </c>
      <c r="C813" s="1" t="n">
        <v>46046</v>
      </c>
      <c r="D813" t="inlineStr">
        <is>
          <t>VÄSTERNORRLANDS LÄN</t>
        </is>
      </c>
      <c r="E813" t="inlineStr">
        <is>
          <t>ÅNGE</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28814-2025</t>
        </is>
      </c>
      <c r="B814" s="1" t="n">
        <v>45820.52846064815</v>
      </c>
      <c r="C814" s="1" t="n">
        <v>46046</v>
      </c>
      <c r="D814" t="inlineStr">
        <is>
          <t>VÄSTERNORRLANDS LÄN</t>
        </is>
      </c>
      <c r="E814" t="inlineStr">
        <is>
          <t>ÅNGE</t>
        </is>
      </c>
      <c r="G814" t="n">
        <v>2.6</v>
      </c>
      <c r="H814" t="n">
        <v>0</v>
      </c>
      <c r="I814" t="n">
        <v>0</v>
      </c>
      <c r="J814" t="n">
        <v>0</v>
      </c>
      <c r="K814" t="n">
        <v>0</v>
      </c>
      <c r="L814" t="n">
        <v>0</v>
      </c>
      <c r="M814" t="n">
        <v>0</v>
      </c>
      <c r="N814" t="n">
        <v>0</v>
      </c>
      <c r="O814" t="n">
        <v>0</v>
      </c>
      <c r="P814" t="n">
        <v>0</v>
      </c>
      <c r="Q814" t="n">
        <v>0</v>
      </c>
      <c r="R814" s="2" t="inlineStr"/>
    </row>
    <row r="815" ht="15" customHeight="1">
      <c r="A815" t="inlineStr">
        <is>
          <t>A 51377-2024</t>
        </is>
      </c>
      <c r="B815" s="1" t="n">
        <v>45604.38142361111</v>
      </c>
      <c r="C815" s="1" t="n">
        <v>46046</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44876-2024</t>
        </is>
      </c>
      <c r="B816" s="1" t="n">
        <v>45575.34474537037</v>
      </c>
      <c r="C816" s="1" t="n">
        <v>46046</v>
      </c>
      <c r="D816" t="inlineStr">
        <is>
          <t>VÄSTERNORRLANDS LÄN</t>
        </is>
      </c>
      <c r="E816" t="inlineStr">
        <is>
          <t>ÅNGE</t>
        </is>
      </c>
      <c r="F816" t="inlineStr">
        <is>
          <t>SCA</t>
        </is>
      </c>
      <c r="G816" t="n">
        <v>12.4</v>
      </c>
      <c r="H816" t="n">
        <v>0</v>
      </c>
      <c r="I816" t="n">
        <v>0</v>
      </c>
      <c r="J816" t="n">
        <v>0</v>
      </c>
      <c r="K816" t="n">
        <v>0</v>
      </c>
      <c r="L816" t="n">
        <v>0</v>
      </c>
      <c r="M816" t="n">
        <v>0</v>
      </c>
      <c r="N816" t="n">
        <v>0</v>
      </c>
      <c r="O816" t="n">
        <v>0</v>
      </c>
      <c r="P816" t="n">
        <v>0</v>
      </c>
      <c r="Q816" t="n">
        <v>0</v>
      </c>
      <c r="R816" s="2" t="inlineStr"/>
    </row>
    <row r="817" ht="15" customHeight="1">
      <c r="A817" t="inlineStr">
        <is>
          <t>A 54771-2023</t>
        </is>
      </c>
      <c r="B817" s="1" t="n">
        <v>45229</v>
      </c>
      <c r="C817" s="1" t="n">
        <v>46046</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28717-2025</t>
        </is>
      </c>
      <c r="B818" s="1" t="n">
        <v>45820</v>
      </c>
      <c r="C818" s="1" t="n">
        <v>46046</v>
      </c>
      <c r="D818" t="inlineStr">
        <is>
          <t>VÄSTERNORRLANDS LÄN</t>
        </is>
      </c>
      <c r="E818" t="inlineStr">
        <is>
          <t>ÅNGE</t>
        </is>
      </c>
      <c r="F818" t="inlineStr">
        <is>
          <t>SCA</t>
        </is>
      </c>
      <c r="G818" t="n">
        <v>6.2</v>
      </c>
      <c r="H818" t="n">
        <v>0</v>
      </c>
      <c r="I818" t="n">
        <v>0</v>
      </c>
      <c r="J818" t="n">
        <v>0</v>
      </c>
      <c r="K818" t="n">
        <v>0</v>
      </c>
      <c r="L818" t="n">
        <v>0</v>
      </c>
      <c r="M818" t="n">
        <v>0</v>
      </c>
      <c r="N818" t="n">
        <v>0</v>
      </c>
      <c r="O818" t="n">
        <v>0</v>
      </c>
      <c r="P818" t="n">
        <v>0</v>
      </c>
      <c r="Q818" t="n">
        <v>0</v>
      </c>
      <c r="R818" s="2" t="inlineStr"/>
    </row>
    <row r="819" ht="15" customHeight="1">
      <c r="A819" t="inlineStr">
        <is>
          <t>A 20229-2022</t>
        </is>
      </c>
      <c r="B819" s="1" t="n">
        <v>44698.61150462963</v>
      </c>
      <c r="C819" s="1" t="n">
        <v>46046</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46046</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26011-2024</t>
        </is>
      </c>
      <c r="B821" s="1" t="n">
        <v>45467.95828703704</v>
      </c>
      <c r="C821" s="1" t="n">
        <v>46046</v>
      </c>
      <c r="D821" t="inlineStr">
        <is>
          <t>VÄSTERNORRLANDS LÄN</t>
        </is>
      </c>
      <c r="E821" t="inlineStr">
        <is>
          <t>ÅNGE</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26014-2024</t>
        </is>
      </c>
      <c r="B822" s="1" t="n">
        <v>45467.95862268518</v>
      </c>
      <c r="C822" s="1" t="n">
        <v>46046</v>
      </c>
      <c r="D822" t="inlineStr">
        <is>
          <t>VÄSTERNORRLANDS LÄN</t>
        </is>
      </c>
      <c r="E822" t="inlineStr">
        <is>
          <t>ÅNGE</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32901-2023</t>
        </is>
      </c>
      <c r="B823" s="1" t="n">
        <v>45124.95063657407</v>
      </c>
      <c r="C823" s="1" t="n">
        <v>46046</v>
      </c>
      <c r="D823" t="inlineStr">
        <is>
          <t>VÄSTERNORRLANDS LÄN</t>
        </is>
      </c>
      <c r="E823" t="inlineStr">
        <is>
          <t>ÅNGE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3629-2023</t>
        </is>
      </c>
      <c r="B824" s="1" t="n">
        <v>44950</v>
      </c>
      <c r="C824" s="1" t="n">
        <v>46046</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3631-2023</t>
        </is>
      </c>
      <c r="B825" s="1" t="n">
        <v>44950</v>
      </c>
      <c r="C825" s="1" t="n">
        <v>46046</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15603-2024</t>
        </is>
      </c>
      <c r="B826" s="1" t="n">
        <v>45401.92501157407</v>
      </c>
      <c r="C826" s="1" t="n">
        <v>46046</v>
      </c>
      <c r="D826" t="inlineStr">
        <is>
          <t>VÄSTERNORRLANDS LÄN</t>
        </is>
      </c>
      <c r="E826" t="inlineStr">
        <is>
          <t>ÅNGE</t>
        </is>
      </c>
      <c r="G826" t="n">
        <v>0.8</v>
      </c>
      <c r="H826" t="n">
        <v>0</v>
      </c>
      <c r="I826" t="n">
        <v>0</v>
      </c>
      <c r="J826" t="n">
        <v>0</v>
      </c>
      <c r="K826" t="n">
        <v>0</v>
      </c>
      <c r="L826" t="n">
        <v>0</v>
      </c>
      <c r="M826" t="n">
        <v>0</v>
      </c>
      <c r="N826" t="n">
        <v>0</v>
      </c>
      <c r="O826" t="n">
        <v>0</v>
      </c>
      <c r="P826" t="n">
        <v>0</v>
      </c>
      <c r="Q826" t="n">
        <v>0</v>
      </c>
      <c r="R826" s="2" t="inlineStr"/>
    </row>
    <row r="827" ht="15" customHeight="1">
      <c r="A827" t="inlineStr">
        <is>
          <t>A 28819-2025</t>
        </is>
      </c>
      <c r="B827" s="1" t="n">
        <v>45820.53758101852</v>
      </c>
      <c r="C827" s="1" t="n">
        <v>46046</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28845-2025</t>
        </is>
      </c>
      <c r="B828" s="1" t="n">
        <v>45820.57324074074</v>
      </c>
      <c r="C828" s="1" t="n">
        <v>46046</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29786-2025</t>
        </is>
      </c>
      <c r="B829" s="1" t="n">
        <v>45825.65663194445</v>
      </c>
      <c r="C829" s="1" t="n">
        <v>46046</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29350-2025</t>
        </is>
      </c>
      <c r="B830" s="1" t="n">
        <v>45824.53206018519</v>
      </c>
      <c r="C830" s="1" t="n">
        <v>46046</v>
      </c>
      <c r="D830" t="inlineStr">
        <is>
          <t>VÄSTERNORRLANDS LÄN</t>
        </is>
      </c>
      <c r="E830" t="inlineStr">
        <is>
          <t>ÅNGE</t>
        </is>
      </c>
      <c r="G830" t="n">
        <v>8.6</v>
      </c>
      <c r="H830" t="n">
        <v>0</v>
      </c>
      <c r="I830" t="n">
        <v>0</v>
      </c>
      <c r="J830" t="n">
        <v>0</v>
      </c>
      <c r="K830" t="n">
        <v>0</v>
      </c>
      <c r="L830" t="n">
        <v>0</v>
      </c>
      <c r="M830" t="n">
        <v>0</v>
      </c>
      <c r="N830" t="n">
        <v>0</v>
      </c>
      <c r="O830" t="n">
        <v>0</v>
      </c>
      <c r="P830" t="n">
        <v>0</v>
      </c>
      <c r="Q830" t="n">
        <v>0</v>
      </c>
      <c r="R830" s="2" t="inlineStr"/>
    </row>
    <row r="831" ht="15" customHeight="1">
      <c r="A831" t="inlineStr">
        <is>
          <t>A 17703-2025</t>
        </is>
      </c>
      <c r="B831" s="1" t="n">
        <v>45758.4275462963</v>
      </c>
      <c r="C831" s="1" t="n">
        <v>46046</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44677.92701388889</v>
      </c>
      <c r="C832" s="1" t="n">
        <v>46046</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46046</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25311-2023</t>
        </is>
      </c>
      <c r="B834" s="1" t="n">
        <v>45086.93869212963</v>
      </c>
      <c r="C834" s="1" t="n">
        <v>46046</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28873-2024</t>
        </is>
      </c>
      <c r="B835" s="1" t="n">
        <v>45478.94766203704</v>
      </c>
      <c r="C835" s="1" t="n">
        <v>46046</v>
      </c>
      <c r="D835" t="inlineStr">
        <is>
          <t>VÄSTERNORRLANDS LÄN</t>
        </is>
      </c>
      <c r="E835" t="inlineStr">
        <is>
          <t>ÅNGE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27682-2023</t>
        </is>
      </c>
      <c r="B836" s="1" t="n">
        <v>45097.93758101852</v>
      </c>
      <c r="C836" s="1" t="n">
        <v>46046</v>
      </c>
      <c r="D836" t="inlineStr">
        <is>
          <t>VÄSTERNORRLANDS LÄN</t>
        </is>
      </c>
      <c r="E836" t="inlineStr">
        <is>
          <t>ÅNGE</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50612-2024</t>
        </is>
      </c>
      <c r="B837" s="1" t="n">
        <v>45601</v>
      </c>
      <c r="C837" s="1" t="n">
        <v>46046</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56574-2024</t>
        </is>
      </c>
      <c r="B838" s="1" t="n">
        <v>45625.59616898148</v>
      </c>
      <c r="C838" s="1" t="n">
        <v>46046</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31568-2024</t>
        </is>
      </c>
      <c r="B839" s="1" t="n">
        <v>45505.96721064814</v>
      </c>
      <c r="C839" s="1" t="n">
        <v>46046</v>
      </c>
      <c r="D839" t="inlineStr">
        <is>
          <t>VÄSTERNORRLANDS LÄN</t>
        </is>
      </c>
      <c r="E839" t="inlineStr">
        <is>
          <t>ÅNGE</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27468-2024</t>
        </is>
      </c>
      <c r="B840" s="1" t="n">
        <v>45474</v>
      </c>
      <c r="C840" s="1" t="n">
        <v>46046</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29560-2025</t>
        </is>
      </c>
      <c r="B841" s="1" t="n">
        <v>45825.36497685185</v>
      </c>
      <c r="C841" s="1" t="n">
        <v>46046</v>
      </c>
      <c r="D841" t="inlineStr">
        <is>
          <t>VÄSTERNORRLANDS LÄN</t>
        </is>
      </c>
      <c r="E841" t="inlineStr">
        <is>
          <t>ÅNGE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11310-2023</t>
        </is>
      </c>
      <c r="B842" s="1" t="n">
        <v>44993.01190972222</v>
      </c>
      <c r="C842" s="1" t="n">
        <v>46046</v>
      </c>
      <c r="D842" t="inlineStr">
        <is>
          <t>VÄSTERNORRLANDS LÄN</t>
        </is>
      </c>
      <c r="E842" t="inlineStr">
        <is>
          <t>ÅNGE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56699-2023</t>
        </is>
      </c>
      <c r="B843" s="1" t="n">
        <v>45243</v>
      </c>
      <c r="C843" s="1" t="n">
        <v>46046</v>
      </c>
      <c r="D843" t="inlineStr">
        <is>
          <t>VÄSTERNORRLANDS LÄN</t>
        </is>
      </c>
      <c r="E843" t="inlineStr">
        <is>
          <t>ÅNGE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21409-2022</t>
        </is>
      </c>
      <c r="B844" s="1" t="n">
        <v>44705.9406712963</v>
      </c>
      <c r="C844" s="1" t="n">
        <v>46046</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48632-2023</t>
        </is>
      </c>
      <c r="B845" s="1" t="n">
        <v>45208.57944444445</v>
      </c>
      <c r="C845" s="1" t="n">
        <v>46046</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30751-2024</t>
        </is>
      </c>
      <c r="B846" s="1" t="n">
        <v>45496.69339120371</v>
      </c>
      <c r="C846" s="1" t="n">
        <v>46046</v>
      </c>
      <c r="D846" t="inlineStr">
        <is>
          <t>VÄSTERNORRLANDS LÄN</t>
        </is>
      </c>
      <c r="E846" t="inlineStr">
        <is>
          <t>ÅNGE</t>
        </is>
      </c>
      <c r="G846" t="n">
        <v>0.3</v>
      </c>
      <c r="H846" t="n">
        <v>0</v>
      </c>
      <c r="I846" t="n">
        <v>0</v>
      </c>
      <c r="J846" t="n">
        <v>0</v>
      </c>
      <c r="K846" t="n">
        <v>0</v>
      </c>
      <c r="L846" t="n">
        <v>0</v>
      </c>
      <c r="M846" t="n">
        <v>0</v>
      </c>
      <c r="N846" t="n">
        <v>0</v>
      </c>
      <c r="O846" t="n">
        <v>0</v>
      </c>
      <c r="P846" t="n">
        <v>0</v>
      </c>
      <c r="Q846" t="n">
        <v>0</v>
      </c>
      <c r="R846" s="2" t="inlineStr"/>
    </row>
    <row r="847" ht="15" customHeight="1">
      <c r="A847" t="inlineStr">
        <is>
          <t>A 55324-2023</t>
        </is>
      </c>
      <c r="B847" s="1" t="n">
        <v>45237.9734837963</v>
      </c>
      <c r="C847" s="1" t="n">
        <v>46046</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20761-2024</t>
        </is>
      </c>
      <c r="B848" s="1" t="n">
        <v>45436</v>
      </c>
      <c r="C848" s="1" t="n">
        <v>46046</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6619-2025</t>
        </is>
      </c>
      <c r="B849" s="1" t="n">
        <v>45700.36541666667</v>
      </c>
      <c r="C849" s="1" t="n">
        <v>46046</v>
      </c>
      <c r="D849" t="inlineStr">
        <is>
          <t>VÄSTERNORRLANDS LÄN</t>
        </is>
      </c>
      <c r="E849" t="inlineStr">
        <is>
          <t>ÅNGE</t>
        </is>
      </c>
      <c r="F849" t="inlineStr">
        <is>
          <t>SCA</t>
        </is>
      </c>
      <c r="G849" t="n">
        <v>10.3</v>
      </c>
      <c r="H849" t="n">
        <v>0</v>
      </c>
      <c r="I849" t="n">
        <v>0</v>
      </c>
      <c r="J849" t="n">
        <v>0</v>
      </c>
      <c r="K849" t="n">
        <v>0</v>
      </c>
      <c r="L849" t="n">
        <v>0</v>
      </c>
      <c r="M849" t="n">
        <v>0</v>
      </c>
      <c r="N849" t="n">
        <v>0</v>
      </c>
      <c r="O849" t="n">
        <v>0</v>
      </c>
      <c r="P849" t="n">
        <v>0</v>
      </c>
      <c r="Q849" t="n">
        <v>0</v>
      </c>
      <c r="R849" s="2" t="inlineStr"/>
    </row>
    <row r="850" ht="15" customHeight="1">
      <c r="A850" t="inlineStr">
        <is>
          <t>A 10339-2025</t>
        </is>
      </c>
      <c r="B850" s="1" t="n">
        <v>45720</v>
      </c>
      <c r="C850" s="1" t="n">
        <v>46046</v>
      </c>
      <c r="D850" t="inlineStr">
        <is>
          <t>VÄSTERNORRLANDS LÄN</t>
        </is>
      </c>
      <c r="E850" t="inlineStr">
        <is>
          <t>ÅNGE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58445-2022</t>
        </is>
      </c>
      <c r="B851" s="1" t="n">
        <v>44901.95453703704</v>
      </c>
      <c r="C851" s="1" t="n">
        <v>46046</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12581-2024</t>
        </is>
      </c>
      <c r="B852" s="1" t="n">
        <v>45379</v>
      </c>
      <c r="C852" s="1" t="n">
        <v>46046</v>
      </c>
      <c r="D852" t="inlineStr">
        <is>
          <t>VÄSTERNORRLANDS LÄN</t>
        </is>
      </c>
      <c r="E852" t="inlineStr">
        <is>
          <t>ÅNGE</t>
        </is>
      </c>
      <c r="G852" t="n">
        <v>1.7</v>
      </c>
      <c r="H852" t="n">
        <v>0</v>
      </c>
      <c r="I852" t="n">
        <v>0</v>
      </c>
      <c r="J852" t="n">
        <v>0</v>
      </c>
      <c r="K852" t="n">
        <v>0</v>
      </c>
      <c r="L852" t="n">
        <v>0</v>
      </c>
      <c r="M852" t="n">
        <v>0</v>
      </c>
      <c r="N852" t="n">
        <v>0</v>
      </c>
      <c r="O852" t="n">
        <v>0</v>
      </c>
      <c r="P852" t="n">
        <v>0</v>
      </c>
      <c r="Q852" t="n">
        <v>0</v>
      </c>
      <c r="R852" s="2" t="inlineStr"/>
    </row>
    <row r="853" ht="15" customHeight="1">
      <c r="A853" t="inlineStr">
        <is>
          <t>A 12123-2024</t>
        </is>
      </c>
      <c r="B853" s="1" t="n">
        <v>45377</v>
      </c>
      <c r="C853" s="1" t="n">
        <v>46046</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29862-2025</t>
        </is>
      </c>
      <c r="B854" s="1" t="n">
        <v>45826.3465625</v>
      </c>
      <c r="C854" s="1" t="n">
        <v>46046</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29882-2025</t>
        </is>
      </c>
      <c r="B855" s="1" t="n">
        <v>45826.36548611111</v>
      </c>
      <c r="C855" s="1" t="n">
        <v>46046</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55558-2024</t>
        </is>
      </c>
      <c r="B856" s="1" t="n">
        <v>45622.52586805556</v>
      </c>
      <c r="C856" s="1" t="n">
        <v>46046</v>
      </c>
      <c r="D856" t="inlineStr">
        <is>
          <t>VÄSTERNORRLANDS LÄN</t>
        </is>
      </c>
      <c r="E856" t="inlineStr">
        <is>
          <t>ÅNGE</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11299-2023</t>
        </is>
      </c>
      <c r="B857" s="1" t="n">
        <v>44993.01074074074</v>
      </c>
      <c r="C857" s="1" t="n">
        <v>46046</v>
      </c>
      <c r="D857" t="inlineStr">
        <is>
          <t>VÄSTERNORRLANDS LÄN</t>
        </is>
      </c>
      <c r="E857" t="inlineStr">
        <is>
          <t>ÅNGE</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11309-2023</t>
        </is>
      </c>
      <c r="B858" s="1" t="n">
        <v>44993.0118287037</v>
      </c>
      <c r="C858" s="1" t="n">
        <v>46046</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25680-2023</t>
        </is>
      </c>
      <c r="B859" s="1" t="n">
        <v>45089</v>
      </c>
      <c r="C859" s="1" t="n">
        <v>46046</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29916-2025</t>
        </is>
      </c>
      <c r="B860" s="1" t="n">
        <v>45826.41822916667</v>
      </c>
      <c r="C860" s="1" t="n">
        <v>46046</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52665-2024</t>
        </is>
      </c>
      <c r="B861" s="1" t="n">
        <v>45610.36549768518</v>
      </c>
      <c r="C861" s="1" t="n">
        <v>46046</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20338-2025</t>
        </is>
      </c>
      <c r="B862" s="1" t="n">
        <v>45775</v>
      </c>
      <c r="C862" s="1" t="n">
        <v>46046</v>
      </c>
      <c r="D862" t="inlineStr">
        <is>
          <t>VÄSTERNORRLANDS LÄN</t>
        </is>
      </c>
      <c r="E862" t="inlineStr">
        <is>
          <t>ÅNGE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46046</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30475-2025</t>
        </is>
      </c>
      <c r="B864" s="1" t="n">
        <v>45828.34444444445</v>
      </c>
      <c r="C864" s="1" t="n">
        <v>46046</v>
      </c>
      <c r="D864" t="inlineStr">
        <is>
          <t>VÄSTERNORRLANDS LÄN</t>
        </is>
      </c>
      <c r="E864" t="inlineStr">
        <is>
          <t>ÅNGE</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55007-2022</t>
        </is>
      </c>
      <c r="B865" s="1" t="n">
        <v>44881</v>
      </c>
      <c r="C865" s="1" t="n">
        <v>46046</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63607-2021</t>
        </is>
      </c>
      <c r="B866" s="1" t="n">
        <v>44508.94650462963</v>
      </c>
      <c r="C866" s="1" t="n">
        <v>46046</v>
      </c>
      <c r="D866" t="inlineStr">
        <is>
          <t>VÄSTERNORRLANDS LÄN</t>
        </is>
      </c>
      <c r="E866" t="inlineStr">
        <is>
          <t>ÅNGE</t>
        </is>
      </c>
      <c r="F866" t="inlineStr">
        <is>
          <t>SCA</t>
        </is>
      </c>
      <c r="G866" t="n">
        <v>6.7</v>
      </c>
      <c r="H866" t="n">
        <v>0</v>
      </c>
      <c r="I866" t="n">
        <v>0</v>
      </c>
      <c r="J866" t="n">
        <v>0</v>
      </c>
      <c r="K866" t="n">
        <v>0</v>
      </c>
      <c r="L866" t="n">
        <v>0</v>
      </c>
      <c r="M866" t="n">
        <v>0</v>
      </c>
      <c r="N866" t="n">
        <v>0</v>
      </c>
      <c r="O866" t="n">
        <v>0</v>
      </c>
      <c r="P866" t="n">
        <v>0</v>
      </c>
      <c r="Q866" t="n">
        <v>0</v>
      </c>
      <c r="R866" s="2" t="inlineStr"/>
    </row>
    <row r="867" ht="15" customHeight="1">
      <c r="A867" t="inlineStr">
        <is>
          <t>A 14751-2025</t>
        </is>
      </c>
      <c r="B867" s="1" t="n">
        <v>45742.65863425926</v>
      </c>
      <c r="C867" s="1" t="n">
        <v>46046</v>
      </c>
      <c r="D867" t="inlineStr">
        <is>
          <t>VÄSTERNORRLANDS LÄN</t>
        </is>
      </c>
      <c r="E867" t="inlineStr">
        <is>
          <t>ÅNGE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54342-2023</t>
        </is>
      </c>
      <c r="B868" s="1" t="n">
        <v>45232</v>
      </c>
      <c r="C868" s="1" t="n">
        <v>46046</v>
      </c>
      <c r="D868" t="inlineStr">
        <is>
          <t>VÄSTERNORRLANDS LÄN</t>
        </is>
      </c>
      <c r="E868" t="inlineStr">
        <is>
          <t>ÅNGE</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45932-2023</t>
        </is>
      </c>
      <c r="B869" s="1" t="n">
        <v>45195</v>
      </c>
      <c r="C869" s="1" t="n">
        <v>46046</v>
      </c>
      <c r="D869" t="inlineStr">
        <is>
          <t>VÄSTERNORRLANDS LÄN</t>
        </is>
      </c>
      <c r="E869" t="inlineStr">
        <is>
          <t>ÅNGE</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41222-2024</t>
        </is>
      </c>
      <c r="B870" s="1" t="n">
        <v>45559.55306712963</v>
      </c>
      <c r="C870" s="1" t="n">
        <v>46046</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13706-2023</t>
        </is>
      </c>
      <c r="B871" s="1" t="n">
        <v>45006</v>
      </c>
      <c r="C871" s="1" t="n">
        <v>46046</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34091-2022</t>
        </is>
      </c>
      <c r="B872" s="1" t="n">
        <v>44791</v>
      </c>
      <c r="C872" s="1" t="n">
        <v>46046</v>
      </c>
      <c r="D872" t="inlineStr">
        <is>
          <t>VÄSTERNORRLANDS LÄN</t>
        </is>
      </c>
      <c r="E872" t="inlineStr">
        <is>
          <t>ÅNGE</t>
        </is>
      </c>
      <c r="G872" t="n">
        <v>10.1</v>
      </c>
      <c r="H872" t="n">
        <v>0</v>
      </c>
      <c r="I872" t="n">
        <v>0</v>
      </c>
      <c r="J872" t="n">
        <v>0</v>
      </c>
      <c r="K872" t="n">
        <v>0</v>
      </c>
      <c r="L872" t="n">
        <v>0</v>
      </c>
      <c r="M872" t="n">
        <v>0</v>
      </c>
      <c r="N872" t="n">
        <v>0</v>
      </c>
      <c r="O872" t="n">
        <v>0</v>
      </c>
      <c r="P872" t="n">
        <v>0</v>
      </c>
      <c r="Q872" t="n">
        <v>0</v>
      </c>
      <c r="R872" s="2" t="inlineStr"/>
    </row>
    <row r="873" ht="15" customHeight="1">
      <c r="A873" t="inlineStr">
        <is>
          <t>A 30618-2025</t>
        </is>
      </c>
      <c r="B873" s="1" t="n">
        <v>45831.46909722222</v>
      </c>
      <c r="C873" s="1" t="n">
        <v>46046</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30598-2025</t>
        </is>
      </c>
      <c r="B874" s="1" t="n">
        <v>45831.44834490741</v>
      </c>
      <c r="C874" s="1" t="n">
        <v>46046</v>
      </c>
      <c r="D874" t="inlineStr">
        <is>
          <t>VÄSTERNORRLANDS LÄN</t>
        </is>
      </c>
      <c r="E874" t="inlineStr">
        <is>
          <t>ÅNGE</t>
        </is>
      </c>
      <c r="G874" t="n">
        <v>0.6</v>
      </c>
      <c r="H874" t="n">
        <v>0</v>
      </c>
      <c r="I874" t="n">
        <v>0</v>
      </c>
      <c r="J874" t="n">
        <v>0</v>
      </c>
      <c r="K874" t="n">
        <v>0</v>
      </c>
      <c r="L874" t="n">
        <v>0</v>
      </c>
      <c r="M874" t="n">
        <v>0</v>
      </c>
      <c r="N874" t="n">
        <v>0</v>
      </c>
      <c r="O874" t="n">
        <v>0</v>
      </c>
      <c r="P874" t="n">
        <v>0</v>
      </c>
      <c r="Q874" t="n">
        <v>0</v>
      </c>
      <c r="R874" s="2" t="inlineStr"/>
    </row>
    <row r="875" ht="15" customHeight="1">
      <c r="A875" t="inlineStr">
        <is>
          <t>A 19066-2024</t>
        </is>
      </c>
      <c r="B875" s="1" t="n">
        <v>45427</v>
      </c>
      <c r="C875" s="1" t="n">
        <v>46046</v>
      </c>
      <c r="D875" t="inlineStr">
        <is>
          <t>VÄSTERNORRLANDS LÄN</t>
        </is>
      </c>
      <c r="E875" t="inlineStr">
        <is>
          <t>ÅNGE</t>
        </is>
      </c>
      <c r="G875" t="n">
        <v>0.8</v>
      </c>
      <c r="H875" t="n">
        <v>0</v>
      </c>
      <c r="I875" t="n">
        <v>0</v>
      </c>
      <c r="J875" t="n">
        <v>0</v>
      </c>
      <c r="K875" t="n">
        <v>0</v>
      </c>
      <c r="L875" t="n">
        <v>0</v>
      </c>
      <c r="M875" t="n">
        <v>0</v>
      </c>
      <c r="N875" t="n">
        <v>0</v>
      </c>
      <c r="O875" t="n">
        <v>0</v>
      </c>
      <c r="P875" t="n">
        <v>0</v>
      </c>
      <c r="Q875" t="n">
        <v>0</v>
      </c>
      <c r="R875" s="2" t="inlineStr"/>
    </row>
    <row r="876" ht="15" customHeight="1">
      <c r="A876" t="inlineStr">
        <is>
          <t>A 14976-2025</t>
        </is>
      </c>
      <c r="B876" s="1" t="n">
        <v>45743</v>
      </c>
      <c r="C876" s="1" t="n">
        <v>46046</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36342-2024</t>
        </is>
      </c>
      <c r="B877" s="1" t="n">
        <v>45534.64315972223</v>
      </c>
      <c r="C877" s="1" t="n">
        <v>46046</v>
      </c>
      <c r="D877" t="inlineStr">
        <is>
          <t>VÄSTERNORRLANDS LÄN</t>
        </is>
      </c>
      <c r="E877" t="inlineStr">
        <is>
          <t>ÅNGE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30892-2025</t>
        </is>
      </c>
      <c r="B878" s="1" t="n">
        <v>45832.34663194444</v>
      </c>
      <c r="C878" s="1" t="n">
        <v>46046</v>
      </c>
      <c r="D878" t="inlineStr">
        <is>
          <t>VÄSTERNORRLANDS LÄN</t>
        </is>
      </c>
      <c r="E878" t="inlineStr">
        <is>
          <t>ÅNGE</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8070-2022</t>
        </is>
      </c>
      <c r="B879" s="1" t="n">
        <v>44609.48665509259</v>
      </c>
      <c r="C879" s="1" t="n">
        <v>46046</v>
      </c>
      <c r="D879" t="inlineStr">
        <is>
          <t>VÄSTERNORRLANDS LÄN</t>
        </is>
      </c>
      <c r="E879" t="inlineStr">
        <is>
          <t>ÅNGE</t>
        </is>
      </c>
      <c r="G879" t="n">
        <v>3.5</v>
      </c>
      <c r="H879" t="n">
        <v>0</v>
      </c>
      <c r="I879" t="n">
        <v>0</v>
      </c>
      <c r="J879" t="n">
        <v>0</v>
      </c>
      <c r="K879" t="n">
        <v>0</v>
      </c>
      <c r="L879" t="n">
        <v>0</v>
      </c>
      <c r="M879" t="n">
        <v>0</v>
      </c>
      <c r="N879" t="n">
        <v>0</v>
      </c>
      <c r="O879" t="n">
        <v>0</v>
      </c>
      <c r="P879" t="n">
        <v>0</v>
      </c>
      <c r="Q879" t="n">
        <v>0</v>
      </c>
      <c r="R879" s="2" t="inlineStr"/>
    </row>
    <row r="880" ht="15" customHeight="1">
      <c r="A880" t="inlineStr">
        <is>
          <t>A 31188-2025</t>
        </is>
      </c>
      <c r="B880" s="1" t="n">
        <v>45832.67842592593</v>
      </c>
      <c r="C880" s="1" t="n">
        <v>46046</v>
      </c>
      <c r="D880" t="inlineStr">
        <is>
          <t>VÄSTERNORRLANDS LÄN</t>
        </is>
      </c>
      <c r="E880" t="inlineStr">
        <is>
          <t>ÅNGE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52805-2024</t>
        </is>
      </c>
      <c r="B881" s="1" t="n">
        <v>45610.57344907407</v>
      </c>
      <c r="C881" s="1" t="n">
        <v>46046</v>
      </c>
      <c r="D881" t="inlineStr">
        <is>
          <t>VÄSTERNORRLANDS LÄN</t>
        </is>
      </c>
      <c r="E881" t="inlineStr">
        <is>
          <t>ÅNGE</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31452-2025</t>
        </is>
      </c>
      <c r="B882" s="1" t="n">
        <v>45833.53179398148</v>
      </c>
      <c r="C882" s="1" t="n">
        <v>46046</v>
      </c>
      <c r="D882" t="inlineStr">
        <is>
          <t>VÄSTERNORRLANDS LÄN</t>
        </is>
      </c>
      <c r="E882" t="inlineStr">
        <is>
          <t>ÅNGE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31544-2025</t>
        </is>
      </c>
      <c r="B883" s="1" t="n">
        <v>45833.63597222222</v>
      </c>
      <c r="C883" s="1" t="n">
        <v>46046</v>
      </c>
      <c r="D883" t="inlineStr">
        <is>
          <t>VÄSTERNORRLANDS LÄN</t>
        </is>
      </c>
      <c r="E883" t="inlineStr">
        <is>
          <t>ÅNGE</t>
        </is>
      </c>
      <c r="G883" t="n">
        <v>2.1</v>
      </c>
      <c r="H883" t="n">
        <v>0</v>
      </c>
      <c r="I883" t="n">
        <v>0</v>
      </c>
      <c r="J883" t="n">
        <v>0</v>
      </c>
      <c r="K883" t="n">
        <v>0</v>
      </c>
      <c r="L883" t="n">
        <v>0</v>
      </c>
      <c r="M883" t="n">
        <v>0</v>
      </c>
      <c r="N883" t="n">
        <v>0</v>
      </c>
      <c r="O883" t="n">
        <v>0</v>
      </c>
      <c r="P883" t="n">
        <v>0</v>
      </c>
      <c r="Q883" t="n">
        <v>0</v>
      </c>
      <c r="R883" s="2" t="inlineStr"/>
    </row>
    <row r="884" ht="15" customHeight="1">
      <c r="A884" t="inlineStr">
        <is>
          <t>A 4651-2022</t>
        </is>
      </c>
      <c r="B884" s="1" t="n">
        <v>44592</v>
      </c>
      <c r="C884" s="1" t="n">
        <v>46046</v>
      </c>
      <c r="D884" t="inlineStr">
        <is>
          <t>VÄSTERNORRLANDS LÄN</t>
        </is>
      </c>
      <c r="E884" t="inlineStr">
        <is>
          <t>ÅNGE</t>
        </is>
      </c>
      <c r="G884" t="n">
        <v>1.7</v>
      </c>
      <c r="H884" t="n">
        <v>0</v>
      </c>
      <c r="I884" t="n">
        <v>0</v>
      </c>
      <c r="J884" t="n">
        <v>0</v>
      </c>
      <c r="K884" t="n">
        <v>0</v>
      </c>
      <c r="L884" t="n">
        <v>0</v>
      </c>
      <c r="M884" t="n">
        <v>0</v>
      </c>
      <c r="N884" t="n">
        <v>0</v>
      </c>
      <c r="O884" t="n">
        <v>0</v>
      </c>
      <c r="P884" t="n">
        <v>0</v>
      </c>
      <c r="Q884" t="n">
        <v>0</v>
      </c>
      <c r="R884" s="2" t="inlineStr"/>
    </row>
    <row r="885" ht="15" customHeight="1">
      <c r="A885" t="inlineStr">
        <is>
          <t>A 19342-2024</t>
        </is>
      </c>
      <c r="B885" s="1" t="n">
        <v>45428</v>
      </c>
      <c r="C885" s="1" t="n">
        <v>46046</v>
      </c>
      <c r="D885" t="inlineStr">
        <is>
          <t>VÄSTERNORRLANDS LÄN</t>
        </is>
      </c>
      <c r="E885" t="inlineStr">
        <is>
          <t>ÅNGE</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31042-2025</t>
        </is>
      </c>
      <c r="B886" s="1" t="n">
        <v>45832.55267361111</v>
      </c>
      <c r="C886" s="1" t="n">
        <v>46046</v>
      </c>
      <c r="D886" t="inlineStr">
        <is>
          <t>VÄSTERNORRLANDS LÄN</t>
        </is>
      </c>
      <c r="E886" t="inlineStr">
        <is>
          <t>ÅNGE</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17749-2025</t>
        </is>
      </c>
      <c r="B887" s="1" t="n">
        <v>45758.48380787037</v>
      </c>
      <c r="C887" s="1" t="n">
        <v>46046</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31275-2025</t>
        </is>
      </c>
      <c r="B888" s="1" t="n">
        <v>45833.34459490741</v>
      </c>
      <c r="C888" s="1" t="n">
        <v>46046</v>
      </c>
      <c r="D888" t="inlineStr">
        <is>
          <t>VÄSTERNORRLANDS LÄN</t>
        </is>
      </c>
      <c r="E888" t="inlineStr">
        <is>
          <t>ÅNGE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24977-2021</t>
        </is>
      </c>
      <c r="B889" s="1" t="n">
        <v>44341.51386574074</v>
      </c>
      <c r="C889" s="1" t="n">
        <v>46046</v>
      </c>
      <c r="D889" t="inlineStr">
        <is>
          <t>VÄSTERNORRLANDS LÄN</t>
        </is>
      </c>
      <c r="E889" t="inlineStr">
        <is>
          <t>ÅNGE</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31135-2025</t>
        </is>
      </c>
      <c r="B890" s="1" t="n">
        <v>45832.63581018519</v>
      </c>
      <c r="C890" s="1" t="n">
        <v>46046</v>
      </c>
      <c r="D890" t="inlineStr">
        <is>
          <t>VÄSTERNORRLANDS LÄN</t>
        </is>
      </c>
      <c r="E890" t="inlineStr">
        <is>
          <t>ÅNGE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5246-2025</t>
        </is>
      </c>
      <c r="B891" s="1" t="n">
        <v>45692.34427083333</v>
      </c>
      <c r="C891" s="1" t="n">
        <v>46046</v>
      </c>
      <c r="D891" t="inlineStr">
        <is>
          <t>VÄSTERNORRLANDS LÄN</t>
        </is>
      </c>
      <c r="E891" t="inlineStr">
        <is>
          <t>ÅNGE</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30888-2025</t>
        </is>
      </c>
      <c r="B892" s="1" t="n">
        <v>45832.34606481482</v>
      </c>
      <c r="C892" s="1" t="n">
        <v>46046</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30875-2025</t>
        </is>
      </c>
      <c r="B893" s="1" t="n">
        <v>45832.34447916667</v>
      </c>
      <c r="C893" s="1" t="n">
        <v>46046</v>
      </c>
      <c r="D893" t="inlineStr">
        <is>
          <t>VÄSTERNORRLANDS LÄN</t>
        </is>
      </c>
      <c r="E893" t="inlineStr">
        <is>
          <t>ÅNGE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16973-2025</t>
        </is>
      </c>
      <c r="B894" s="1" t="n">
        <v>45755.46967592592</v>
      </c>
      <c r="C894" s="1" t="n">
        <v>46046</v>
      </c>
      <c r="D894" t="inlineStr">
        <is>
          <t>VÄSTERNORRLANDS LÄN</t>
        </is>
      </c>
      <c r="E894" t="inlineStr">
        <is>
          <t>ÅNGE</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8648-2025</t>
        </is>
      </c>
      <c r="B895" s="1" t="n">
        <v>45712.34501157407</v>
      </c>
      <c r="C895" s="1" t="n">
        <v>46046</v>
      </c>
      <c r="D895" t="inlineStr">
        <is>
          <t>VÄSTERNORRLANDS LÄN</t>
        </is>
      </c>
      <c r="E895" t="inlineStr">
        <is>
          <t>ÅNGE</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31211-2025</t>
        </is>
      </c>
      <c r="B896" s="1" t="n">
        <v>45832.71938657408</v>
      </c>
      <c r="C896" s="1" t="n">
        <v>46046</v>
      </c>
      <c r="D896" t="inlineStr">
        <is>
          <t>VÄSTERNORRLANDS LÄN</t>
        </is>
      </c>
      <c r="E896" t="inlineStr">
        <is>
          <t>ÅNGE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24541-2023</t>
        </is>
      </c>
      <c r="B897" s="1" t="n">
        <v>45082.94135416667</v>
      </c>
      <c r="C897" s="1" t="n">
        <v>46046</v>
      </c>
      <c r="D897" t="inlineStr">
        <is>
          <t>VÄSTERNORRLANDS LÄN</t>
        </is>
      </c>
      <c r="E897" t="inlineStr">
        <is>
          <t>ÅNGE</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31484-2025</t>
        </is>
      </c>
      <c r="B898" s="1" t="n">
        <v>45833.57418981481</v>
      </c>
      <c r="C898" s="1" t="n">
        <v>46046</v>
      </c>
      <c r="D898" t="inlineStr">
        <is>
          <t>VÄSTERNORRLANDS LÄN</t>
        </is>
      </c>
      <c r="E898" t="inlineStr">
        <is>
          <t>ÅNGE</t>
        </is>
      </c>
      <c r="F898" t="inlineStr">
        <is>
          <t>SCA</t>
        </is>
      </c>
      <c r="G898" t="n">
        <v>7</v>
      </c>
      <c r="H898" t="n">
        <v>0</v>
      </c>
      <c r="I898" t="n">
        <v>0</v>
      </c>
      <c r="J898" t="n">
        <v>0</v>
      </c>
      <c r="K898" t="n">
        <v>0</v>
      </c>
      <c r="L898" t="n">
        <v>0</v>
      </c>
      <c r="M898" t="n">
        <v>0</v>
      </c>
      <c r="N898" t="n">
        <v>0</v>
      </c>
      <c r="O898" t="n">
        <v>0</v>
      </c>
      <c r="P898" t="n">
        <v>0</v>
      </c>
      <c r="Q898" t="n">
        <v>0</v>
      </c>
      <c r="R898" s="2" t="inlineStr"/>
    </row>
    <row r="899" ht="15" customHeight="1">
      <c r="A899" t="inlineStr">
        <is>
          <t>A 30877-2025</t>
        </is>
      </c>
      <c r="B899" s="1" t="n">
        <v>45832.34478009259</v>
      </c>
      <c r="C899" s="1" t="n">
        <v>46046</v>
      </c>
      <c r="D899" t="inlineStr">
        <is>
          <t>VÄSTERNORRLANDS LÄN</t>
        </is>
      </c>
      <c r="E899" t="inlineStr">
        <is>
          <t>ÅNGE</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34679-2024</t>
        </is>
      </c>
      <c r="B900" s="1" t="n">
        <v>45526</v>
      </c>
      <c r="C900" s="1" t="n">
        <v>46046</v>
      </c>
      <c r="D900" t="inlineStr">
        <is>
          <t>VÄSTERNORRLANDS LÄN</t>
        </is>
      </c>
      <c r="E900" t="inlineStr">
        <is>
          <t>ÅNGE</t>
        </is>
      </c>
      <c r="G900" t="n">
        <v>1.4</v>
      </c>
      <c r="H900" t="n">
        <v>0</v>
      </c>
      <c r="I900" t="n">
        <v>0</v>
      </c>
      <c r="J900" t="n">
        <v>0</v>
      </c>
      <c r="K900" t="n">
        <v>0</v>
      </c>
      <c r="L900" t="n">
        <v>0</v>
      </c>
      <c r="M900" t="n">
        <v>0</v>
      </c>
      <c r="N900" t="n">
        <v>0</v>
      </c>
      <c r="O900" t="n">
        <v>0</v>
      </c>
      <c r="P900" t="n">
        <v>0</v>
      </c>
      <c r="Q900" t="n">
        <v>0</v>
      </c>
      <c r="R900" s="2" t="inlineStr"/>
    </row>
    <row r="901" ht="15" customHeight="1">
      <c r="A901" t="inlineStr">
        <is>
          <t>A 31139-2025</t>
        </is>
      </c>
      <c r="B901" s="1" t="n">
        <v>45832.63633101852</v>
      </c>
      <c r="C901" s="1" t="n">
        <v>46046</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31041-2025</t>
        </is>
      </c>
      <c r="B902" s="1" t="n">
        <v>45832.55247685185</v>
      </c>
      <c r="C902" s="1" t="n">
        <v>46046</v>
      </c>
      <c r="D902" t="inlineStr">
        <is>
          <t>VÄSTERNORRLANDS LÄN</t>
        </is>
      </c>
      <c r="E902" t="inlineStr">
        <is>
          <t>ÅNGE</t>
        </is>
      </c>
      <c r="F902" t="inlineStr">
        <is>
          <t>SCA</t>
        </is>
      </c>
      <c r="G902" t="n">
        <v>15.1</v>
      </c>
      <c r="H902" t="n">
        <v>0</v>
      </c>
      <c r="I902" t="n">
        <v>0</v>
      </c>
      <c r="J902" t="n">
        <v>0</v>
      </c>
      <c r="K902" t="n">
        <v>0</v>
      </c>
      <c r="L902" t="n">
        <v>0</v>
      </c>
      <c r="M902" t="n">
        <v>0</v>
      </c>
      <c r="N902" t="n">
        <v>0</v>
      </c>
      <c r="O902" t="n">
        <v>0</v>
      </c>
      <c r="P902" t="n">
        <v>0</v>
      </c>
      <c r="Q902" t="n">
        <v>0</v>
      </c>
      <c r="R902" s="2" t="inlineStr"/>
    </row>
    <row r="903" ht="15" customHeight="1">
      <c r="A903" t="inlineStr">
        <is>
          <t>A 43096-2023</t>
        </is>
      </c>
      <c r="B903" s="1" t="n">
        <v>45182</v>
      </c>
      <c r="C903" s="1" t="n">
        <v>46046</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60296-2021</t>
        </is>
      </c>
      <c r="B904" s="1" t="n">
        <v>44495</v>
      </c>
      <c r="C904" s="1" t="n">
        <v>46046</v>
      </c>
      <c r="D904" t="inlineStr">
        <is>
          <t>VÄSTERNORRLANDS LÄN</t>
        </is>
      </c>
      <c r="E904" t="inlineStr">
        <is>
          <t>ÅNGE</t>
        </is>
      </c>
      <c r="G904" t="n">
        <v>0.4</v>
      </c>
      <c r="H904" t="n">
        <v>0</v>
      </c>
      <c r="I904" t="n">
        <v>0</v>
      </c>
      <c r="J904" t="n">
        <v>0</v>
      </c>
      <c r="K904" t="n">
        <v>0</v>
      </c>
      <c r="L904" t="n">
        <v>0</v>
      </c>
      <c r="M904" t="n">
        <v>0</v>
      </c>
      <c r="N904" t="n">
        <v>0</v>
      </c>
      <c r="O904" t="n">
        <v>0</v>
      </c>
      <c r="P904" t="n">
        <v>0</v>
      </c>
      <c r="Q904" t="n">
        <v>0</v>
      </c>
      <c r="R904" s="2" t="inlineStr"/>
    </row>
    <row r="905" ht="15" customHeight="1">
      <c r="A905" t="inlineStr">
        <is>
          <t>A 41781-2024</t>
        </is>
      </c>
      <c r="B905" s="1" t="n">
        <v>45561.34938657407</v>
      </c>
      <c r="C905" s="1" t="n">
        <v>46046</v>
      </c>
      <c r="D905" t="inlineStr">
        <is>
          <t>VÄSTERNORRLANDS LÄN</t>
        </is>
      </c>
      <c r="E905" t="inlineStr">
        <is>
          <t>ÅNGE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31646-2025</t>
        </is>
      </c>
      <c r="B906" s="1" t="n">
        <v>45834.34563657407</v>
      </c>
      <c r="C906" s="1" t="n">
        <v>46046</v>
      </c>
      <c r="D906" t="inlineStr">
        <is>
          <t>VÄSTERNORRLANDS LÄN</t>
        </is>
      </c>
      <c r="E906" t="inlineStr">
        <is>
          <t>ÅNGE</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46046</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31642-2025</t>
        </is>
      </c>
      <c r="B908" s="1" t="n">
        <v>45834.34474537037</v>
      </c>
      <c r="C908" s="1" t="n">
        <v>46046</v>
      </c>
      <c r="D908" t="inlineStr">
        <is>
          <t>VÄSTERNORRLANDS LÄN</t>
        </is>
      </c>
      <c r="E908" t="inlineStr">
        <is>
          <t>ÅNGE</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31545-2024</t>
        </is>
      </c>
      <c r="B909" s="1" t="n">
        <v>45505</v>
      </c>
      <c r="C909" s="1" t="n">
        <v>46046</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32025-2025</t>
        </is>
      </c>
      <c r="B910" s="1" t="n">
        <v>45835.40721064815</v>
      </c>
      <c r="C910" s="1" t="n">
        <v>46046</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3330-2025</t>
        </is>
      </c>
      <c r="B911" s="1" t="n">
        <v>45679.70041666667</v>
      </c>
      <c r="C911" s="1" t="n">
        <v>46046</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51131-2022</t>
        </is>
      </c>
      <c r="B912" s="1" t="n">
        <v>44868</v>
      </c>
      <c r="C912" s="1" t="n">
        <v>46046</v>
      </c>
      <c r="D912" t="inlineStr">
        <is>
          <t>VÄSTERNORRLANDS LÄN</t>
        </is>
      </c>
      <c r="E912" t="inlineStr">
        <is>
          <t>ÅNGE</t>
        </is>
      </c>
      <c r="G912" t="n">
        <v>11.1</v>
      </c>
      <c r="H912" t="n">
        <v>0</v>
      </c>
      <c r="I912" t="n">
        <v>0</v>
      </c>
      <c r="J912" t="n">
        <v>0</v>
      </c>
      <c r="K912" t="n">
        <v>0</v>
      </c>
      <c r="L912" t="n">
        <v>0</v>
      </c>
      <c r="M912" t="n">
        <v>0</v>
      </c>
      <c r="N912" t="n">
        <v>0</v>
      </c>
      <c r="O912" t="n">
        <v>0</v>
      </c>
      <c r="P912" t="n">
        <v>0</v>
      </c>
      <c r="Q912" t="n">
        <v>0</v>
      </c>
      <c r="R912" s="2" t="inlineStr"/>
    </row>
    <row r="913" ht="15" customHeight="1">
      <c r="A913" t="inlineStr">
        <is>
          <t>A 32024-2025</t>
        </is>
      </c>
      <c r="B913" s="1" t="n">
        <v>45835.40706018519</v>
      </c>
      <c r="C913" s="1" t="n">
        <v>46046</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33631-2024</t>
        </is>
      </c>
      <c r="B914" s="1" t="n">
        <v>45520</v>
      </c>
      <c r="C914" s="1" t="n">
        <v>46046</v>
      </c>
      <c r="D914" t="inlineStr">
        <is>
          <t>VÄSTERNORRLANDS LÄN</t>
        </is>
      </c>
      <c r="E914" t="inlineStr">
        <is>
          <t>ÅNGE</t>
        </is>
      </c>
      <c r="G914" t="n">
        <v>1.7</v>
      </c>
      <c r="H914" t="n">
        <v>0</v>
      </c>
      <c r="I914" t="n">
        <v>0</v>
      </c>
      <c r="J914" t="n">
        <v>0</v>
      </c>
      <c r="K914" t="n">
        <v>0</v>
      </c>
      <c r="L914" t="n">
        <v>0</v>
      </c>
      <c r="M914" t="n">
        <v>0</v>
      </c>
      <c r="N914" t="n">
        <v>0</v>
      </c>
      <c r="O914" t="n">
        <v>0</v>
      </c>
      <c r="P914" t="n">
        <v>0</v>
      </c>
      <c r="Q914" t="n">
        <v>0</v>
      </c>
      <c r="R914" s="2" t="inlineStr"/>
    </row>
    <row r="915" ht="15" customHeight="1">
      <c r="A915" t="inlineStr">
        <is>
          <t>A 26092-2025</t>
        </is>
      </c>
      <c r="B915" s="1" t="n">
        <v>45805</v>
      </c>
      <c r="C915" s="1" t="n">
        <v>46046</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38272-2024</t>
        </is>
      </c>
      <c r="B916" s="1" t="n">
        <v>45545.60392361111</v>
      </c>
      <c r="C916" s="1" t="n">
        <v>46046</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31666-2025</t>
        </is>
      </c>
      <c r="B917" s="1" t="n">
        <v>45834.36519675926</v>
      </c>
      <c r="C917" s="1" t="n">
        <v>46046</v>
      </c>
      <c r="D917" t="inlineStr">
        <is>
          <t>VÄSTERNORRLANDS LÄN</t>
        </is>
      </c>
      <c r="E917" t="inlineStr">
        <is>
          <t>ÅNGE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5197-2025</t>
        </is>
      </c>
      <c r="B918" s="1" t="n">
        <v>45691.65701388889</v>
      </c>
      <c r="C918" s="1" t="n">
        <v>46046</v>
      </c>
      <c r="D918" t="inlineStr">
        <is>
          <t>VÄSTERNORRLANDS LÄN</t>
        </is>
      </c>
      <c r="E918" t="inlineStr">
        <is>
          <t>ÅNGE</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50179-2024</t>
        </is>
      </c>
      <c r="B919" s="1" t="n">
        <v>45600</v>
      </c>
      <c r="C919" s="1" t="n">
        <v>46046</v>
      </c>
      <c r="D919" t="inlineStr">
        <is>
          <t>VÄSTERNORRLANDS LÄN</t>
        </is>
      </c>
      <c r="E919" t="inlineStr">
        <is>
          <t>ÅNGE</t>
        </is>
      </c>
      <c r="G919" t="n">
        <v>3.6</v>
      </c>
      <c r="H919" t="n">
        <v>0</v>
      </c>
      <c r="I919" t="n">
        <v>0</v>
      </c>
      <c r="J919" t="n">
        <v>0</v>
      </c>
      <c r="K919" t="n">
        <v>0</v>
      </c>
      <c r="L919" t="n">
        <v>0</v>
      </c>
      <c r="M919" t="n">
        <v>0</v>
      </c>
      <c r="N919" t="n">
        <v>0</v>
      </c>
      <c r="O919" t="n">
        <v>0</v>
      </c>
      <c r="P919" t="n">
        <v>0</v>
      </c>
      <c r="Q919" t="n">
        <v>0</v>
      </c>
      <c r="R919" s="2" t="inlineStr"/>
    </row>
    <row r="920" ht="15" customHeight="1">
      <c r="A920" t="inlineStr">
        <is>
          <t>A 41831-2021</t>
        </is>
      </c>
      <c r="B920" s="1" t="n">
        <v>44425.92212962963</v>
      </c>
      <c r="C920" s="1" t="n">
        <v>46046</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44565-2024</t>
        </is>
      </c>
      <c r="B921" s="1" t="n">
        <v>45574.47518518518</v>
      </c>
      <c r="C921" s="1" t="n">
        <v>46046</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32922-2024</t>
        </is>
      </c>
      <c r="B922" s="1" t="n">
        <v>45516.95263888889</v>
      </c>
      <c r="C922" s="1" t="n">
        <v>46046</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63522-2021</t>
        </is>
      </c>
      <c r="B923" s="1" t="n">
        <v>44508</v>
      </c>
      <c r="C923" s="1" t="n">
        <v>46046</v>
      </c>
      <c r="D923" t="inlineStr">
        <is>
          <t>VÄSTERNORRLANDS LÄN</t>
        </is>
      </c>
      <c r="E923" t="inlineStr">
        <is>
          <t>ÅNGE</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51411-2023</t>
        </is>
      </c>
      <c r="B924" s="1" t="n">
        <v>45219</v>
      </c>
      <c r="C924" s="1" t="n">
        <v>46046</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31229-2023</t>
        </is>
      </c>
      <c r="B925" s="1" t="n">
        <v>45114</v>
      </c>
      <c r="C925" s="1" t="n">
        <v>46046</v>
      </c>
      <c r="D925" t="inlineStr">
        <is>
          <t>VÄSTERNORRLANDS LÄN</t>
        </is>
      </c>
      <c r="E925" t="inlineStr">
        <is>
          <t>ÅNGE</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40755-2023</t>
        </is>
      </c>
      <c r="B926" s="1" t="n">
        <v>45170</v>
      </c>
      <c r="C926" s="1" t="n">
        <v>46046</v>
      </c>
      <c r="D926" t="inlineStr">
        <is>
          <t>VÄSTERNORRLANDS LÄN</t>
        </is>
      </c>
      <c r="E926" t="inlineStr">
        <is>
          <t>ÅNGE</t>
        </is>
      </c>
      <c r="G926" t="n">
        <v>3.6</v>
      </c>
      <c r="H926" t="n">
        <v>0</v>
      </c>
      <c r="I926" t="n">
        <v>0</v>
      </c>
      <c r="J926" t="n">
        <v>0</v>
      </c>
      <c r="K926" t="n">
        <v>0</v>
      </c>
      <c r="L926" t="n">
        <v>0</v>
      </c>
      <c r="M926" t="n">
        <v>0</v>
      </c>
      <c r="N926" t="n">
        <v>0</v>
      </c>
      <c r="O926" t="n">
        <v>0</v>
      </c>
      <c r="P926" t="n">
        <v>0</v>
      </c>
      <c r="Q926" t="n">
        <v>0</v>
      </c>
      <c r="R926" s="2" t="inlineStr"/>
    </row>
    <row r="927" ht="15" customHeight="1">
      <c r="A927" t="inlineStr">
        <is>
          <t>A 31696-2022</t>
        </is>
      </c>
      <c r="B927" s="1" t="n">
        <v>44776</v>
      </c>
      <c r="C927" s="1" t="n">
        <v>46046</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10084-2023</t>
        </is>
      </c>
      <c r="B928" s="1" t="n">
        <v>44985.94465277778</v>
      </c>
      <c r="C928" s="1" t="n">
        <v>46046</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10282-2025</t>
        </is>
      </c>
      <c r="B929" s="1" t="n">
        <v>45720.40659722222</v>
      </c>
      <c r="C929" s="1" t="n">
        <v>46046</v>
      </c>
      <c r="D929" t="inlineStr">
        <is>
          <t>VÄSTERNORRLANDS LÄN</t>
        </is>
      </c>
      <c r="E929" t="inlineStr">
        <is>
          <t>ÅNGE</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37038-2024</t>
        </is>
      </c>
      <c r="B930" s="1" t="n">
        <v>45539.40881944444</v>
      </c>
      <c r="C930" s="1" t="n">
        <v>46046</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51055-2023</t>
        </is>
      </c>
      <c r="B931" s="1" t="n">
        <v>45218</v>
      </c>
      <c r="C931" s="1" t="n">
        <v>46046</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5455-2023</t>
        </is>
      </c>
      <c r="B932" s="1" t="n">
        <v>44959.93983796296</v>
      </c>
      <c r="C932" s="1" t="n">
        <v>46046</v>
      </c>
      <c r="D932" t="inlineStr">
        <is>
          <t>VÄSTERNORRLANDS LÄN</t>
        </is>
      </c>
      <c r="E932" t="inlineStr">
        <is>
          <t>ÅNGE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32847-2025</t>
        </is>
      </c>
      <c r="B933" s="1" t="n">
        <v>45839.57354166666</v>
      </c>
      <c r="C933" s="1" t="n">
        <v>46046</v>
      </c>
      <c r="D933" t="inlineStr">
        <is>
          <t>VÄSTERNORRLANDS LÄN</t>
        </is>
      </c>
      <c r="E933" t="inlineStr">
        <is>
          <t>ÅNGE</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44837.95053240741</v>
      </c>
      <c r="C934" s="1" t="n">
        <v>46046</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60860-2022</t>
        </is>
      </c>
      <c r="B935" s="1" t="n">
        <v>44914</v>
      </c>
      <c r="C935" s="1" t="n">
        <v>46046</v>
      </c>
      <c r="D935" t="inlineStr">
        <is>
          <t>VÄSTERNORRLANDS LÄN</t>
        </is>
      </c>
      <c r="E935" t="inlineStr">
        <is>
          <t>ÅNGE</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53336-2024</t>
        </is>
      </c>
      <c r="B936" s="1" t="n">
        <v>45614.42753472222</v>
      </c>
      <c r="C936" s="1" t="n">
        <v>46046</v>
      </c>
      <c r="D936" t="inlineStr">
        <is>
          <t>VÄSTERNORRLANDS LÄN</t>
        </is>
      </c>
      <c r="E936" t="inlineStr">
        <is>
          <t>ÅNGE</t>
        </is>
      </c>
      <c r="G936" t="n">
        <v>1.5</v>
      </c>
      <c r="H936" t="n">
        <v>0</v>
      </c>
      <c r="I936" t="n">
        <v>0</v>
      </c>
      <c r="J936" t="n">
        <v>0</v>
      </c>
      <c r="K936" t="n">
        <v>0</v>
      </c>
      <c r="L936" t="n">
        <v>0</v>
      </c>
      <c r="M936" t="n">
        <v>0</v>
      </c>
      <c r="N936" t="n">
        <v>0</v>
      </c>
      <c r="O936" t="n">
        <v>0</v>
      </c>
      <c r="P936" t="n">
        <v>0</v>
      </c>
      <c r="Q936" t="n">
        <v>0</v>
      </c>
      <c r="R936" s="2" t="inlineStr"/>
    </row>
    <row r="937" ht="15" customHeight="1">
      <c r="A937" t="inlineStr">
        <is>
          <t>A 17668-2023</t>
        </is>
      </c>
      <c r="B937" s="1" t="n">
        <v>45036</v>
      </c>
      <c r="C937" s="1" t="n">
        <v>46046</v>
      </c>
      <c r="D937" t="inlineStr">
        <is>
          <t>VÄSTERNORRLANDS LÄN</t>
        </is>
      </c>
      <c r="E937" t="inlineStr">
        <is>
          <t>ÅNGE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16915-2024</t>
        </is>
      </c>
      <c r="B938" s="1" t="n">
        <v>45411.65185185185</v>
      </c>
      <c r="C938" s="1" t="n">
        <v>46046</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57560-2023</t>
        </is>
      </c>
      <c r="B939" s="1" t="n">
        <v>45243</v>
      </c>
      <c r="C939" s="1" t="n">
        <v>46046</v>
      </c>
      <c r="D939" t="inlineStr">
        <is>
          <t>VÄSTERNORRLANDS LÄN</t>
        </is>
      </c>
      <c r="E939" t="inlineStr">
        <is>
          <t>ÅNGE</t>
        </is>
      </c>
      <c r="G939" t="n">
        <v>7.4</v>
      </c>
      <c r="H939" t="n">
        <v>0</v>
      </c>
      <c r="I939" t="n">
        <v>0</v>
      </c>
      <c r="J939" t="n">
        <v>0</v>
      </c>
      <c r="K939" t="n">
        <v>0</v>
      </c>
      <c r="L939" t="n">
        <v>0</v>
      </c>
      <c r="M939" t="n">
        <v>0</v>
      </c>
      <c r="N939" t="n">
        <v>0</v>
      </c>
      <c r="O939" t="n">
        <v>0</v>
      </c>
      <c r="P939" t="n">
        <v>0</v>
      </c>
      <c r="Q939" t="n">
        <v>0</v>
      </c>
      <c r="R939" s="2" t="inlineStr"/>
    </row>
    <row r="940" ht="15" customHeight="1">
      <c r="A940" t="inlineStr">
        <is>
          <t>A 57568-2023</t>
        </is>
      </c>
      <c r="B940" s="1" t="n">
        <v>45246.50484953704</v>
      </c>
      <c r="C940" s="1" t="n">
        <v>46046</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7692-2024</t>
        </is>
      </c>
      <c r="B941" s="1" t="n">
        <v>45349</v>
      </c>
      <c r="C941" s="1" t="n">
        <v>46046</v>
      </c>
      <c r="D941" t="inlineStr">
        <is>
          <t>VÄSTERNORRLANDS LÄN</t>
        </is>
      </c>
      <c r="E941" t="inlineStr">
        <is>
          <t>ÅNGE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16576-2023</t>
        </is>
      </c>
      <c r="B942" s="1" t="n">
        <v>45029.94251157407</v>
      </c>
      <c r="C942" s="1" t="n">
        <v>46046</v>
      </c>
      <c r="D942" t="inlineStr">
        <is>
          <t>VÄSTERNORRLANDS LÄN</t>
        </is>
      </c>
      <c r="E942" t="inlineStr">
        <is>
          <t>ÅNGE</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47950-2024</t>
        </is>
      </c>
      <c r="B943" s="1" t="n">
        <v>45589.36511574074</v>
      </c>
      <c r="C943" s="1" t="n">
        <v>46046</v>
      </c>
      <c r="D943" t="inlineStr">
        <is>
          <t>VÄSTERNORRLANDS LÄN</t>
        </is>
      </c>
      <c r="E943" t="inlineStr">
        <is>
          <t>ÅNGE</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39589-2022</t>
        </is>
      </c>
      <c r="B944" s="1" t="n">
        <v>44818</v>
      </c>
      <c r="C944" s="1" t="n">
        <v>46046</v>
      </c>
      <c r="D944" t="inlineStr">
        <is>
          <t>VÄSTERNORRLANDS LÄN</t>
        </is>
      </c>
      <c r="E944" t="inlineStr">
        <is>
          <t>ÅNGE</t>
        </is>
      </c>
      <c r="G944" t="n">
        <v>4.8</v>
      </c>
      <c r="H944" t="n">
        <v>0</v>
      </c>
      <c r="I944" t="n">
        <v>0</v>
      </c>
      <c r="J944" t="n">
        <v>0</v>
      </c>
      <c r="K944" t="n">
        <v>0</v>
      </c>
      <c r="L944" t="n">
        <v>0</v>
      </c>
      <c r="M944" t="n">
        <v>0</v>
      </c>
      <c r="N944" t="n">
        <v>0</v>
      </c>
      <c r="O944" t="n">
        <v>0</v>
      </c>
      <c r="P944" t="n">
        <v>0</v>
      </c>
      <c r="Q944" t="n">
        <v>0</v>
      </c>
      <c r="R944" s="2" t="inlineStr"/>
    </row>
    <row r="945" ht="15" customHeight="1">
      <c r="A945" t="inlineStr">
        <is>
          <t>A 4359-2025</t>
        </is>
      </c>
      <c r="B945" s="1" t="n">
        <v>45686.33072916666</v>
      </c>
      <c r="C945" s="1" t="n">
        <v>46046</v>
      </c>
      <c r="D945" t="inlineStr">
        <is>
          <t>VÄSTERNORRLANDS LÄN</t>
        </is>
      </c>
      <c r="E945" t="inlineStr">
        <is>
          <t>ÅNGE</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41284-2024</t>
        </is>
      </c>
      <c r="B946" s="1" t="n">
        <v>45559.59520833333</v>
      </c>
      <c r="C946" s="1" t="n">
        <v>46046</v>
      </c>
      <c r="D946" t="inlineStr">
        <is>
          <t>VÄSTERNORRLANDS LÄN</t>
        </is>
      </c>
      <c r="E946" t="inlineStr">
        <is>
          <t>ÅNGE</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24797-2024</t>
        </is>
      </c>
      <c r="B947" s="1" t="n">
        <v>45460.95269675926</v>
      </c>
      <c r="C947" s="1" t="n">
        <v>46046</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34031-2025</t>
        </is>
      </c>
      <c r="B948" s="1" t="n">
        <v>45845.36508101852</v>
      </c>
      <c r="C948" s="1" t="n">
        <v>46046</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32069-2023</t>
        </is>
      </c>
      <c r="B949" s="1" t="n">
        <v>45107</v>
      </c>
      <c r="C949" s="1" t="n">
        <v>46046</v>
      </c>
      <c r="D949" t="inlineStr">
        <is>
          <t>VÄSTERNORRLANDS LÄN</t>
        </is>
      </c>
      <c r="E949" t="inlineStr">
        <is>
          <t>ÅNGE</t>
        </is>
      </c>
      <c r="G949" t="n">
        <v>4.4</v>
      </c>
      <c r="H949" t="n">
        <v>0</v>
      </c>
      <c r="I949" t="n">
        <v>0</v>
      </c>
      <c r="J949" t="n">
        <v>0</v>
      </c>
      <c r="K949" t="n">
        <v>0</v>
      </c>
      <c r="L949" t="n">
        <v>0</v>
      </c>
      <c r="M949" t="n">
        <v>0</v>
      </c>
      <c r="N949" t="n">
        <v>0</v>
      </c>
      <c r="O949" t="n">
        <v>0</v>
      </c>
      <c r="P949" t="n">
        <v>0</v>
      </c>
      <c r="Q949" t="n">
        <v>0</v>
      </c>
      <c r="R949" s="2" t="inlineStr"/>
    </row>
    <row r="950" ht="15" customHeight="1">
      <c r="A950" t="inlineStr">
        <is>
          <t>A 26013-2024</t>
        </is>
      </c>
      <c r="B950" s="1" t="n">
        <v>45467</v>
      </c>
      <c r="C950" s="1" t="n">
        <v>46046</v>
      </c>
      <c r="D950" t="inlineStr">
        <is>
          <t>VÄSTERNORRLANDS LÄN</t>
        </is>
      </c>
      <c r="E950" t="inlineStr">
        <is>
          <t>ÅNGE</t>
        </is>
      </c>
      <c r="F950" t="inlineStr">
        <is>
          <t>SCA</t>
        </is>
      </c>
      <c r="G950" t="n">
        <v>6.8</v>
      </c>
      <c r="H950" t="n">
        <v>0</v>
      </c>
      <c r="I950" t="n">
        <v>0</v>
      </c>
      <c r="J950" t="n">
        <v>0</v>
      </c>
      <c r="K950" t="n">
        <v>0</v>
      </c>
      <c r="L950" t="n">
        <v>0</v>
      </c>
      <c r="M950" t="n">
        <v>0</v>
      </c>
      <c r="N950" t="n">
        <v>0</v>
      </c>
      <c r="O950" t="n">
        <v>0</v>
      </c>
      <c r="P950" t="n">
        <v>0</v>
      </c>
      <c r="Q950" t="n">
        <v>0</v>
      </c>
      <c r="R950" s="2" t="inlineStr"/>
    </row>
    <row r="951" ht="15" customHeight="1">
      <c r="A951" t="inlineStr">
        <is>
          <t>A 39682-2024</t>
        </is>
      </c>
      <c r="B951" s="1" t="n">
        <v>45552</v>
      </c>
      <c r="C951" s="1" t="n">
        <v>46046</v>
      </c>
      <c r="D951" t="inlineStr">
        <is>
          <t>VÄSTERNORRLANDS LÄN</t>
        </is>
      </c>
      <c r="E951" t="inlineStr">
        <is>
          <t>ÅNGE</t>
        </is>
      </c>
      <c r="G951" t="n">
        <v>35.4</v>
      </c>
      <c r="H951" t="n">
        <v>0</v>
      </c>
      <c r="I951" t="n">
        <v>0</v>
      </c>
      <c r="J951" t="n">
        <v>0</v>
      </c>
      <c r="K951" t="n">
        <v>0</v>
      </c>
      <c r="L951" t="n">
        <v>0</v>
      </c>
      <c r="M951" t="n">
        <v>0</v>
      </c>
      <c r="N951" t="n">
        <v>0</v>
      </c>
      <c r="O951" t="n">
        <v>0</v>
      </c>
      <c r="P951" t="n">
        <v>0</v>
      </c>
      <c r="Q951" t="n">
        <v>0</v>
      </c>
      <c r="R951" s="2" t="inlineStr"/>
    </row>
    <row r="952" ht="15" customHeight="1">
      <c r="A952" t="inlineStr">
        <is>
          <t>A 42098-2024</t>
        </is>
      </c>
      <c r="B952" s="1" t="n">
        <v>45562.34532407407</v>
      </c>
      <c r="C952" s="1" t="n">
        <v>46046</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33738-2025</t>
        </is>
      </c>
      <c r="B953" s="1" t="n">
        <v>45842.33795138889</v>
      </c>
      <c r="C953" s="1" t="n">
        <v>46046</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19798-2025</t>
        </is>
      </c>
      <c r="B954" s="1" t="n">
        <v>45771.44824074074</v>
      </c>
      <c r="C954" s="1" t="n">
        <v>46046</v>
      </c>
      <c r="D954" t="inlineStr">
        <is>
          <t>VÄSTERNORRLANDS LÄN</t>
        </is>
      </c>
      <c r="E954" t="inlineStr">
        <is>
          <t>ÅNGE</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2984-2025</t>
        </is>
      </c>
      <c r="B955" s="1" t="n">
        <v>45678.51094907407</v>
      </c>
      <c r="C955" s="1" t="n">
        <v>46046</v>
      </c>
      <c r="D955" t="inlineStr">
        <is>
          <t>VÄSTERNORRLANDS LÄN</t>
        </is>
      </c>
      <c r="E955" t="inlineStr">
        <is>
          <t>ÅNGE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33782-2025</t>
        </is>
      </c>
      <c r="B956" s="1" t="n">
        <v>45842.40678240741</v>
      </c>
      <c r="C956" s="1" t="n">
        <v>46046</v>
      </c>
      <c r="D956" t="inlineStr">
        <is>
          <t>VÄSTERNORRLANDS LÄN</t>
        </is>
      </c>
      <c r="E956" t="inlineStr">
        <is>
          <t>ÅNGE</t>
        </is>
      </c>
      <c r="F956" t="inlineStr">
        <is>
          <t>SCA</t>
        </is>
      </c>
      <c r="G956" t="n">
        <v>8.4</v>
      </c>
      <c r="H956" t="n">
        <v>0</v>
      </c>
      <c r="I956" t="n">
        <v>0</v>
      </c>
      <c r="J956" t="n">
        <v>0</v>
      </c>
      <c r="K956" t="n">
        <v>0</v>
      </c>
      <c r="L956" t="n">
        <v>0</v>
      </c>
      <c r="M956" t="n">
        <v>0</v>
      </c>
      <c r="N956" t="n">
        <v>0</v>
      </c>
      <c r="O956" t="n">
        <v>0</v>
      </c>
      <c r="P956" t="n">
        <v>0</v>
      </c>
      <c r="Q956" t="n">
        <v>0</v>
      </c>
      <c r="R956" s="2" t="inlineStr"/>
    </row>
    <row r="957" ht="15" customHeight="1">
      <c r="A957" t="inlineStr">
        <is>
          <t>A 3133-2024</t>
        </is>
      </c>
      <c r="B957" s="1" t="n">
        <v>45316.55885416667</v>
      </c>
      <c r="C957" s="1" t="n">
        <v>46046</v>
      </c>
      <c r="D957" t="inlineStr">
        <is>
          <t>VÄSTERNORRLANDS LÄN</t>
        </is>
      </c>
      <c r="E957" t="inlineStr">
        <is>
          <t>ÅNGE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34019-2025</t>
        </is>
      </c>
      <c r="B958" s="1" t="n">
        <v>45845.34416666667</v>
      </c>
      <c r="C958" s="1" t="n">
        <v>46046</v>
      </c>
      <c r="D958" t="inlineStr">
        <is>
          <t>VÄSTERNORRLANDS LÄN</t>
        </is>
      </c>
      <c r="E958" t="inlineStr">
        <is>
          <t>ÅNGE</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33717-2025</t>
        </is>
      </c>
      <c r="B959" s="1" t="n">
        <v>45841.89357638889</v>
      </c>
      <c r="C959" s="1" t="n">
        <v>46046</v>
      </c>
      <c r="D959" t="inlineStr">
        <is>
          <t>VÄSTERNORRLANDS LÄN</t>
        </is>
      </c>
      <c r="E959" t="inlineStr">
        <is>
          <t>ÅNGE</t>
        </is>
      </c>
      <c r="G959" t="n">
        <v>14.3</v>
      </c>
      <c r="H959" t="n">
        <v>0</v>
      </c>
      <c r="I959" t="n">
        <v>0</v>
      </c>
      <c r="J959" t="n">
        <v>0</v>
      </c>
      <c r="K959" t="n">
        <v>0</v>
      </c>
      <c r="L959" t="n">
        <v>0</v>
      </c>
      <c r="M959" t="n">
        <v>0</v>
      </c>
      <c r="N959" t="n">
        <v>0</v>
      </c>
      <c r="O959" t="n">
        <v>0</v>
      </c>
      <c r="P959" t="n">
        <v>0</v>
      </c>
      <c r="Q959" t="n">
        <v>0</v>
      </c>
      <c r="R959" s="2" t="inlineStr"/>
    </row>
    <row r="960" ht="15" customHeight="1">
      <c r="A960" t="inlineStr">
        <is>
          <t>A 56569-2024</t>
        </is>
      </c>
      <c r="B960" s="1" t="n">
        <v>45625</v>
      </c>
      <c r="C960" s="1" t="n">
        <v>46046</v>
      </c>
      <c r="D960" t="inlineStr">
        <is>
          <t>VÄSTERNORRLANDS LÄN</t>
        </is>
      </c>
      <c r="E960" t="inlineStr">
        <is>
          <t>ÅNGE</t>
        </is>
      </c>
      <c r="G960" t="n">
        <v>4.8</v>
      </c>
      <c r="H960" t="n">
        <v>0</v>
      </c>
      <c r="I960" t="n">
        <v>0</v>
      </c>
      <c r="J960" t="n">
        <v>0</v>
      </c>
      <c r="K960" t="n">
        <v>0</v>
      </c>
      <c r="L960" t="n">
        <v>0</v>
      </c>
      <c r="M960" t="n">
        <v>0</v>
      </c>
      <c r="N960" t="n">
        <v>0</v>
      </c>
      <c r="O960" t="n">
        <v>0</v>
      </c>
      <c r="P960" t="n">
        <v>0</v>
      </c>
      <c r="Q960" t="n">
        <v>0</v>
      </c>
      <c r="R960" s="2" t="inlineStr"/>
    </row>
    <row r="961" ht="15" customHeight="1">
      <c r="A961" t="inlineStr">
        <is>
          <t>A 10071-2023</t>
        </is>
      </c>
      <c r="B961" s="1" t="n">
        <v>44985.92418981482</v>
      </c>
      <c r="C961" s="1" t="n">
        <v>46046</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16903-2024</t>
        </is>
      </c>
      <c r="B962" s="1" t="n">
        <v>45411.63106481481</v>
      </c>
      <c r="C962" s="1" t="n">
        <v>46046</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32439-2024</t>
        </is>
      </c>
      <c r="B963" s="1" t="n">
        <v>45512</v>
      </c>
      <c r="C963" s="1" t="n">
        <v>46046</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16572-2023</t>
        </is>
      </c>
      <c r="B964" s="1" t="n">
        <v>45029.94224537037</v>
      </c>
      <c r="C964" s="1" t="n">
        <v>46046</v>
      </c>
      <c r="D964" t="inlineStr">
        <is>
          <t>VÄSTERNORRLANDS LÄN</t>
        </is>
      </c>
      <c r="E964" t="inlineStr">
        <is>
          <t>ÅNGE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34591-2025</t>
        </is>
      </c>
      <c r="B965" s="1" t="n">
        <v>45847.62920138889</v>
      </c>
      <c r="C965" s="1" t="n">
        <v>46046</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34593-2025</t>
        </is>
      </c>
      <c r="B966" s="1" t="n">
        <v>45847.6316087963</v>
      </c>
      <c r="C966" s="1" t="n">
        <v>46046</v>
      </c>
      <c r="D966" t="inlineStr">
        <is>
          <t>VÄSTERNORRLANDS LÄN</t>
        </is>
      </c>
      <c r="E966" t="inlineStr">
        <is>
          <t>ÅNGE</t>
        </is>
      </c>
      <c r="G966" t="n">
        <v>5.3</v>
      </c>
      <c r="H966" t="n">
        <v>0</v>
      </c>
      <c r="I966" t="n">
        <v>0</v>
      </c>
      <c r="J966" t="n">
        <v>0</v>
      </c>
      <c r="K966" t="n">
        <v>0</v>
      </c>
      <c r="L966" t="n">
        <v>0</v>
      </c>
      <c r="M966" t="n">
        <v>0</v>
      </c>
      <c r="N966" t="n">
        <v>0</v>
      </c>
      <c r="O966" t="n">
        <v>0</v>
      </c>
      <c r="P966" t="n">
        <v>0</v>
      </c>
      <c r="Q966" t="n">
        <v>0</v>
      </c>
      <c r="R966" s="2" t="inlineStr"/>
    </row>
    <row r="967" ht="15" customHeight="1">
      <c r="A967" t="inlineStr">
        <is>
          <t>A 34785-2025</t>
        </is>
      </c>
      <c r="B967" s="1" t="n">
        <v>45848.67771990741</v>
      </c>
      <c r="C967" s="1" t="n">
        <v>46046</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3256-2024</t>
        </is>
      </c>
      <c r="B968" s="1" t="n">
        <v>45316</v>
      </c>
      <c r="C968" s="1" t="n">
        <v>46046</v>
      </c>
      <c r="D968" t="inlineStr">
        <is>
          <t>VÄSTERNORRLANDS LÄN</t>
        </is>
      </c>
      <c r="E968" t="inlineStr">
        <is>
          <t>ÅNGE</t>
        </is>
      </c>
      <c r="G968" t="n">
        <v>3.7</v>
      </c>
      <c r="H968" t="n">
        <v>0</v>
      </c>
      <c r="I968" t="n">
        <v>0</v>
      </c>
      <c r="J968" t="n">
        <v>0</v>
      </c>
      <c r="K968" t="n">
        <v>0</v>
      </c>
      <c r="L968" t="n">
        <v>0</v>
      </c>
      <c r="M968" t="n">
        <v>0</v>
      </c>
      <c r="N968" t="n">
        <v>0</v>
      </c>
      <c r="O968" t="n">
        <v>0</v>
      </c>
      <c r="P968" t="n">
        <v>0</v>
      </c>
      <c r="Q968" t="n">
        <v>0</v>
      </c>
      <c r="R968" s="2" t="inlineStr"/>
    </row>
    <row r="969" ht="15" customHeight="1">
      <c r="A969" t="inlineStr">
        <is>
          <t>A 49487-2024</t>
        </is>
      </c>
      <c r="B969" s="1" t="n">
        <v>45596.35813657408</v>
      </c>
      <c r="C969" s="1" t="n">
        <v>46046</v>
      </c>
      <c r="D969" t="inlineStr">
        <is>
          <t>VÄSTERNORRLANDS LÄN</t>
        </is>
      </c>
      <c r="E969" t="inlineStr">
        <is>
          <t>ÅNGE</t>
        </is>
      </c>
      <c r="G969" t="n">
        <v>4.3</v>
      </c>
      <c r="H969" t="n">
        <v>0</v>
      </c>
      <c r="I969" t="n">
        <v>0</v>
      </c>
      <c r="J969" t="n">
        <v>0</v>
      </c>
      <c r="K969" t="n">
        <v>0</v>
      </c>
      <c r="L969" t="n">
        <v>0</v>
      </c>
      <c r="M969" t="n">
        <v>0</v>
      </c>
      <c r="N969" t="n">
        <v>0</v>
      </c>
      <c r="O969" t="n">
        <v>0</v>
      </c>
      <c r="P969" t="n">
        <v>0</v>
      </c>
      <c r="Q969" t="n">
        <v>0</v>
      </c>
      <c r="R969" s="2" t="inlineStr"/>
    </row>
    <row r="970" ht="15" customHeight="1">
      <c r="A970" t="inlineStr">
        <is>
          <t>A 53663-2022</t>
        </is>
      </c>
      <c r="B970" s="1" t="n">
        <v>44879</v>
      </c>
      <c r="C970" s="1" t="n">
        <v>46046</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10089-2023</t>
        </is>
      </c>
      <c r="B971" s="1" t="n">
        <v>44985</v>
      </c>
      <c r="C971" s="1" t="n">
        <v>46046</v>
      </c>
      <c r="D971" t="inlineStr">
        <is>
          <t>VÄSTERNORRLANDS LÄN</t>
        </is>
      </c>
      <c r="E971" t="inlineStr">
        <is>
          <t>ÅNGE</t>
        </is>
      </c>
      <c r="F971" t="inlineStr">
        <is>
          <t>SCA</t>
        </is>
      </c>
      <c r="G971" t="n">
        <v>6.7</v>
      </c>
      <c r="H971" t="n">
        <v>0</v>
      </c>
      <c r="I971" t="n">
        <v>0</v>
      </c>
      <c r="J971" t="n">
        <v>0</v>
      </c>
      <c r="K971" t="n">
        <v>0</v>
      </c>
      <c r="L971" t="n">
        <v>0</v>
      </c>
      <c r="M971" t="n">
        <v>0</v>
      </c>
      <c r="N971" t="n">
        <v>0</v>
      </c>
      <c r="O971" t="n">
        <v>0</v>
      </c>
      <c r="P971" t="n">
        <v>0</v>
      </c>
      <c r="Q971" t="n">
        <v>0</v>
      </c>
      <c r="R971" s="2" t="inlineStr"/>
    </row>
    <row r="972" ht="15" customHeight="1">
      <c r="A972" t="inlineStr">
        <is>
          <t>A 10090-2023</t>
        </is>
      </c>
      <c r="B972" s="1" t="n">
        <v>44985.94511574074</v>
      </c>
      <c r="C972" s="1" t="n">
        <v>46046</v>
      </c>
      <c r="D972" t="inlineStr">
        <is>
          <t>VÄSTERNORRLANDS LÄN</t>
        </is>
      </c>
      <c r="E972" t="inlineStr">
        <is>
          <t>ÅNGE</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35143-2025</t>
        </is>
      </c>
      <c r="B973" s="1" t="n">
        <v>45852.65660879629</v>
      </c>
      <c r="C973" s="1" t="n">
        <v>46046</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35061-2025</t>
        </is>
      </c>
      <c r="B974" s="1" t="n">
        <v>45852</v>
      </c>
      <c r="C974" s="1" t="n">
        <v>46046</v>
      </c>
      <c r="D974" t="inlineStr">
        <is>
          <t>VÄSTERNORRLANDS LÄN</t>
        </is>
      </c>
      <c r="E974" t="inlineStr">
        <is>
          <t>ÅNGE</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44518-2024</t>
        </is>
      </c>
      <c r="B975" s="1" t="n">
        <v>45574.43376157407</v>
      </c>
      <c r="C975" s="1" t="n">
        <v>46046</v>
      </c>
      <c r="D975" t="inlineStr">
        <is>
          <t>VÄSTERNORRLANDS LÄN</t>
        </is>
      </c>
      <c r="E975" t="inlineStr">
        <is>
          <t>ÅNGE</t>
        </is>
      </c>
      <c r="G975" t="n">
        <v>2.6</v>
      </c>
      <c r="H975" t="n">
        <v>0</v>
      </c>
      <c r="I975" t="n">
        <v>0</v>
      </c>
      <c r="J975" t="n">
        <v>0</v>
      </c>
      <c r="K975" t="n">
        <v>0</v>
      </c>
      <c r="L975" t="n">
        <v>0</v>
      </c>
      <c r="M975" t="n">
        <v>0</v>
      </c>
      <c r="N975" t="n">
        <v>0</v>
      </c>
      <c r="O975" t="n">
        <v>0</v>
      </c>
      <c r="P975" t="n">
        <v>0</v>
      </c>
      <c r="Q975" t="n">
        <v>0</v>
      </c>
      <c r="R975" s="2" t="inlineStr"/>
    </row>
    <row r="976" ht="15" customHeight="1">
      <c r="A976" t="inlineStr">
        <is>
          <t>A 15822-2025</t>
        </is>
      </c>
      <c r="B976" s="1" t="n">
        <v>45748.70172453704</v>
      </c>
      <c r="C976" s="1" t="n">
        <v>46046</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57287-2022</t>
        </is>
      </c>
      <c r="B977" s="1" t="n">
        <v>44895.95</v>
      </c>
      <c r="C977" s="1" t="n">
        <v>46046</v>
      </c>
      <c r="D977" t="inlineStr">
        <is>
          <t>VÄSTERNORRLANDS LÄN</t>
        </is>
      </c>
      <c r="E977" t="inlineStr">
        <is>
          <t>ÅNGE</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20576-2021</t>
        </is>
      </c>
      <c r="B978" s="1" t="n">
        <v>44316.3290162037</v>
      </c>
      <c r="C978" s="1" t="n">
        <v>46046</v>
      </c>
      <c r="D978" t="inlineStr">
        <is>
          <t>VÄSTERNORRLANDS LÄN</t>
        </is>
      </c>
      <c r="E978" t="inlineStr">
        <is>
          <t>ÅNGE</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41083-2024</t>
        </is>
      </c>
      <c r="B979" s="1" t="n">
        <v>45559.40684027778</v>
      </c>
      <c r="C979" s="1" t="n">
        <v>46046</v>
      </c>
      <c r="D979" t="inlineStr">
        <is>
          <t>VÄSTERNORRLANDS LÄN</t>
        </is>
      </c>
      <c r="E979" t="inlineStr">
        <is>
          <t>ÅNGE</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1090-2023</t>
        </is>
      </c>
      <c r="B980" s="1" t="n">
        <v>44929</v>
      </c>
      <c r="C980" s="1" t="n">
        <v>46046</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1116-2023</t>
        </is>
      </c>
      <c r="B981" s="1" t="n">
        <v>44929</v>
      </c>
      <c r="C981" s="1" t="n">
        <v>46046</v>
      </c>
      <c r="D981" t="inlineStr">
        <is>
          <t>VÄSTERNORRLANDS LÄN</t>
        </is>
      </c>
      <c r="E981" t="inlineStr">
        <is>
          <t>ÅNGE</t>
        </is>
      </c>
      <c r="G981" t="n">
        <v>17.2</v>
      </c>
      <c r="H981" t="n">
        <v>0</v>
      </c>
      <c r="I981" t="n">
        <v>0</v>
      </c>
      <c r="J981" t="n">
        <v>0</v>
      </c>
      <c r="K981" t="n">
        <v>0</v>
      </c>
      <c r="L981" t="n">
        <v>0</v>
      </c>
      <c r="M981" t="n">
        <v>0</v>
      </c>
      <c r="N981" t="n">
        <v>0</v>
      </c>
      <c r="O981" t="n">
        <v>0</v>
      </c>
      <c r="P981" t="n">
        <v>0</v>
      </c>
      <c r="Q981" t="n">
        <v>0</v>
      </c>
      <c r="R981" s="2" t="inlineStr"/>
    </row>
    <row r="982" ht="15" customHeight="1">
      <c r="A982" t="inlineStr">
        <is>
          <t>A 19997-2023</t>
        </is>
      </c>
      <c r="B982" s="1" t="n">
        <v>45054</v>
      </c>
      <c r="C982" s="1" t="n">
        <v>46046</v>
      </c>
      <c r="D982" t="inlineStr">
        <is>
          <t>VÄSTERNORRLANDS LÄN</t>
        </is>
      </c>
      <c r="E982" t="inlineStr">
        <is>
          <t>ÅNGE</t>
        </is>
      </c>
      <c r="G982" t="n">
        <v>0.3</v>
      </c>
      <c r="H982" t="n">
        <v>0</v>
      </c>
      <c r="I982" t="n">
        <v>0</v>
      </c>
      <c r="J982" t="n">
        <v>0</v>
      </c>
      <c r="K982" t="n">
        <v>0</v>
      </c>
      <c r="L982" t="n">
        <v>0</v>
      </c>
      <c r="M982" t="n">
        <v>0</v>
      </c>
      <c r="N982" t="n">
        <v>0</v>
      </c>
      <c r="O982" t="n">
        <v>0</v>
      </c>
      <c r="P982" t="n">
        <v>0</v>
      </c>
      <c r="Q982" t="n">
        <v>0</v>
      </c>
      <c r="R982" s="2" t="inlineStr"/>
    </row>
    <row r="983" ht="15" customHeight="1">
      <c r="A983" t="inlineStr">
        <is>
          <t>A 51609-2023</t>
        </is>
      </c>
      <c r="B983" s="1" t="n">
        <v>45215</v>
      </c>
      <c r="C983" s="1" t="n">
        <v>46046</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27661-2024</t>
        </is>
      </c>
      <c r="B984" s="1" t="n">
        <v>45474.95365740741</v>
      </c>
      <c r="C984" s="1" t="n">
        <v>46046</v>
      </c>
      <c r="D984" t="inlineStr">
        <is>
          <t>VÄSTERNORRLANDS LÄN</t>
        </is>
      </c>
      <c r="E984" t="inlineStr">
        <is>
          <t>ÅNGE</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27668-2024</t>
        </is>
      </c>
      <c r="B985" s="1" t="n">
        <v>45474.95435185185</v>
      </c>
      <c r="C985" s="1" t="n">
        <v>46046</v>
      </c>
      <c r="D985" t="inlineStr">
        <is>
          <t>VÄSTERNORRLANDS LÄN</t>
        </is>
      </c>
      <c r="E985" t="inlineStr">
        <is>
          <t>ÅNGE</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38284-2022</t>
        </is>
      </c>
      <c r="B986" s="1" t="n">
        <v>44812.55149305556</v>
      </c>
      <c r="C986" s="1" t="n">
        <v>46046</v>
      </c>
      <c r="D986" t="inlineStr">
        <is>
          <t>VÄSTERNORRLANDS LÄN</t>
        </is>
      </c>
      <c r="E986" t="inlineStr">
        <is>
          <t>ÅNGE</t>
        </is>
      </c>
      <c r="G986" t="n">
        <v>2.4</v>
      </c>
      <c r="H986" t="n">
        <v>0</v>
      </c>
      <c r="I986" t="n">
        <v>0</v>
      </c>
      <c r="J986" t="n">
        <v>0</v>
      </c>
      <c r="K986" t="n">
        <v>0</v>
      </c>
      <c r="L986" t="n">
        <v>0</v>
      </c>
      <c r="M986" t="n">
        <v>0</v>
      </c>
      <c r="N986" t="n">
        <v>0</v>
      </c>
      <c r="O986" t="n">
        <v>0</v>
      </c>
      <c r="P986" t="n">
        <v>0</v>
      </c>
      <c r="Q986" t="n">
        <v>0</v>
      </c>
      <c r="R986" s="2" t="inlineStr"/>
    </row>
    <row r="987" ht="15" customHeight="1">
      <c r="A987" t="inlineStr">
        <is>
          <t>A 35432-2025</t>
        </is>
      </c>
      <c r="B987" s="1" t="n">
        <v>45855.44831018519</v>
      </c>
      <c r="C987" s="1" t="n">
        <v>46046</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12021-2022</t>
        </is>
      </c>
      <c r="B988" s="1" t="n">
        <v>44635</v>
      </c>
      <c r="C988" s="1" t="n">
        <v>46046</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35497-2025</t>
        </is>
      </c>
      <c r="B989" s="1" t="n">
        <v>45856.29752314815</v>
      </c>
      <c r="C989" s="1" t="n">
        <v>46046</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35577-2025</t>
        </is>
      </c>
      <c r="B990" s="1" t="n">
        <v>45856.67762731481</v>
      </c>
      <c r="C990" s="1" t="n">
        <v>46046</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5393-2025</t>
        </is>
      </c>
      <c r="B991" s="1" t="n">
        <v>45692.63574074074</v>
      </c>
      <c r="C991" s="1" t="n">
        <v>46046</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35548-2025</t>
        </is>
      </c>
      <c r="B992" s="1" t="n">
        <v>45856.48995370371</v>
      </c>
      <c r="C992" s="1" t="n">
        <v>46046</v>
      </c>
      <c r="D992" t="inlineStr">
        <is>
          <t>VÄSTERNORRLANDS LÄN</t>
        </is>
      </c>
      <c r="E992" t="inlineStr">
        <is>
          <t>ÅNGE</t>
        </is>
      </c>
      <c r="F992" t="inlineStr">
        <is>
          <t>SCA</t>
        </is>
      </c>
      <c r="G992" t="n">
        <v>14.6</v>
      </c>
      <c r="H992" t="n">
        <v>0</v>
      </c>
      <c r="I992" t="n">
        <v>0</v>
      </c>
      <c r="J992" t="n">
        <v>0</v>
      </c>
      <c r="K992" t="n">
        <v>0</v>
      </c>
      <c r="L992" t="n">
        <v>0</v>
      </c>
      <c r="M992" t="n">
        <v>0</v>
      </c>
      <c r="N992" t="n">
        <v>0</v>
      </c>
      <c r="O992" t="n">
        <v>0</v>
      </c>
      <c r="P992" t="n">
        <v>0</v>
      </c>
      <c r="Q992" t="n">
        <v>0</v>
      </c>
      <c r="R992" s="2" t="inlineStr"/>
    </row>
    <row r="993" ht="15" customHeight="1">
      <c r="A993" t="inlineStr">
        <is>
          <t>A 35575-2025</t>
        </is>
      </c>
      <c r="B993" s="1" t="n">
        <v>45856.63591435185</v>
      </c>
      <c r="C993" s="1" t="n">
        <v>46046</v>
      </c>
      <c r="D993" t="inlineStr">
        <is>
          <t>VÄSTERNORRLANDS LÄN</t>
        </is>
      </c>
      <c r="E993" t="inlineStr">
        <is>
          <t>ÅNGE</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57529-2024</t>
        </is>
      </c>
      <c r="B994" s="1" t="n">
        <v>45630</v>
      </c>
      <c r="C994" s="1" t="n">
        <v>46046</v>
      </c>
      <c r="D994" t="inlineStr">
        <is>
          <t>VÄSTERNORRLANDS LÄN</t>
        </is>
      </c>
      <c r="E994" t="inlineStr">
        <is>
          <t>ÅNGE</t>
        </is>
      </c>
      <c r="G994" t="n">
        <v>1.4</v>
      </c>
      <c r="H994" t="n">
        <v>0</v>
      </c>
      <c r="I994" t="n">
        <v>0</v>
      </c>
      <c r="J994" t="n">
        <v>0</v>
      </c>
      <c r="K994" t="n">
        <v>0</v>
      </c>
      <c r="L994" t="n">
        <v>0</v>
      </c>
      <c r="M994" t="n">
        <v>0</v>
      </c>
      <c r="N994" t="n">
        <v>0</v>
      </c>
      <c r="O994" t="n">
        <v>0</v>
      </c>
      <c r="P994" t="n">
        <v>0</v>
      </c>
      <c r="Q994" t="n">
        <v>0</v>
      </c>
      <c r="R994" s="2" t="inlineStr"/>
    </row>
    <row r="995" ht="15" customHeight="1">
      <c r="A995" t="inlineStr">
        <is>
          <t>A 35399-2024</t>
        </is>
      </c>
      <c r="B995" s="1" t="n">
        <v>45531.40438657408</v>
      </c>
      <c r="C995" s="1" t="n">
        <v>46046</v>
      </c>
      <c r="D995" t="inlineStr">
        <is>
          <t>VÄSTERNORRLANDS LÄN</t>
        </is>
      </c>
      <c r="E995" t="inlineStr">
        <is>
          <t>ÅNGE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35503-2025</t>
        </is>
      </c>
      <c r="B996" s="1" t="n">
        <v>45856</v>
      </c>
      <c r="C996" s="1" t="n">
        <v>46046</v>
      </c>
      <c r="D996" t="inlineStr">
        <is>
          <t>VÄSTERNORRLANDS LÄN</t>
        </is>
      </c>
      <c r="E996" t="inlineStr">
        <is>
          <t>ÅNGE</t>
        </is>
      </c>
      <c r="G996" t="n">
        <v>5.2</v>
      </c>
      <c r="H996" t="n">
        <v>0</v>
      </c>
      <c r="I996" t="n">
        <v>0</v>
      </c>
      <c r="J996" t="n">
        <v>0</v>
      </c>
      <c r="K996" t="n">
        <v>0</v>
      </c>
      <c r="L996" t="n">
        <v>0</v>
      </c>
      <c r="M996" t="n">
        <v>0</v>
      </c>
      <c r="N996" t="n">
        <v>0</v>
      </c>
      <c r="O996" t="n">
        <v>0</v>
      </c>
      <c r="P996" t="n">
        <v>0</v>
      </c>
      <c r="Q996" t="n">
        <v>0</v>
      </c>
      <c r="R996" s="2" t="inlineStr"/>
    </row>
    <row r="997" ht="15" customHeight="1">
      <c r="A997" t="inlineStr">
        <is>
          <t>A 35540-2025</t>
        </is>
      </c>
      <c r="B997" s="1" t="n">
        <v>45856.46912037037</v>
      </c>
      <c r="C997" s="1" t="n">
        <v>46046</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1769-2023</t>
        </is>
      </c>
      <c r="B998" s="1" t="n">
        <v>44938.58025462963</v>
      </c>
      <c r="C998" s="1" t="n">
        <v>46046</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32776-2022</t>
        </is>
      </c>
      <c r="B999" s="1" t="n">
        <v>44783.94607638889</v>
      </c>
      <c r="C999" s="1" t="n">
        <v>46046</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4094-2025</t>
        </is>
      </c>
      <c r="B1000" s="1" t="n">
        <v>45684.6778125</v>
      </c>
      <c r="C1000" s="1" t="n">
        <v>46046</v>
      </c>
      <c r="D1000" t="inlineStr">
        <is>
          <t>VÄSTERNORRLANDS LÄN</t>
        </is>
      </c>
      <c r="E1000" t="inlineStr">
        <is>
          <t>ÅNGE</t>
        </is>
      </c>
      <c r="F1000" t="inlineStr">
        <is>
          <t>SCA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35838-2025</t>
        </is>
      </c>
      <c r="B1001" s="1" t="n">
        <v>45861.53829861111</v>
      </c>
      <c r="C1001" s="1" t="n">
        <v>46046</v>
      </c>
      <c r="D1001" t="inlineStr">
        <is>
          <t>VÄSTERNORRLANDS LÄN</t>
        </is>
      </c>
      <c r="E1001" t="inlineStr">
        <is>
          <t>ÅNGE</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30683-2024</t>
        </is>
      </c>
      <c r="B1002" s="1" t="n">
        <v>45495</v>
      </c>
      <c r="C1002" s="1" t="n">
        <v>46046</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46046</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35826-2025</t>
        </is>
      </c>
      <c r="B1004" s="1" t="n">
        <v>45861.48997685185</v>
      </c>
      <c r="C1004" s="1" t="n">
        <v>46046</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25779-2023</t>
        </is>
      </c>
      <c r="B1005" s="1" t="n">
        <v>45090.47439814815</v>
      </c>
      <c r="C1005" s="1" t="n">
        <v>46046</v>
      </c>
      <c r="D1005" t="inlineStr">
        <is>
          <t>VÄSTERNORRLANDS LÄN</t>
        </is>
      </c>
      <c r="E1005" t="inlineStr">
        <is>
          <t>ÅNGE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35827-2025</t>
        </is>
      </c>
      <c r="B1006" s="1" t="n">
        <v>45861.49017361111</v>
      </c>
      <c r="C1006" s="1" t="n">
        <v>46046</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41507-2024</t>
        </is>
      </c>
      <c r="B1007" s="1" t="n">
        <v>45560</v>
      </c>
      <c r="C1007" s="1" t="n">
        <v>46046</v>
      </c>
      <c r="D1007" t="inlineStr">
        <is>
          <t>VÄSTERNORRLANDS LÄN</t>
        </is>
      </c>
      <c r="E1007" t="inlineStr">
        <is>
          <t>ÅNGE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23225-2024</t>
        </is>
      </c>
      <c r="B1008" s="1" t="n">
        <v>45452.9490162037</v>
      </c>
      <c r="C1008" s="1" t="n">
        <v>46046</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29696-2024</t>
        </is>
      </c>
      <c r="B1009" s="1" t="n">
        <v>45484.94524305555</v>
      </c>
      <c r="C1009" s="1" t="n">
        <v>46046</v>
      </c>
      <c r="D1009" t="inlineStr">
        <is>
          <t>VÄSTERNORRLANDS LÄN</t>
        </is>
      </c>
      <c r="E1009" t="inlineStr">
        <is>
          <t>ÅNGE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26019-2024</t>
        </is>
      </c>
      <c r="B1010" s="1" t="n">
        <v>45467.96015046296</v>
      </c>
      <c r="C1010" s="1" t="n">
        <v>46046</v>
      </c>
      <c r="D1010" t="inlineStr">
        <is>
          <t>VÄSTERNORRLANDS LÄN</t>
        </is>
      </c>
      <c r="E1010" t="inlineStr">
        <is>
          <t>ÅNGE</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35690-2025</t>
        </is>
      </c>
      <c r="B1011" s="1" t="n">
        <v>45860.34421296296</v>
      </c>
      <c r="C1011" s="1" t="n">
        <v>46046</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8747-2022</t>
        </is>
      </c>
      <c r="B1012" s="1" t="n">
        <v>44614.33912037037</v>
      </c>
      <c r="C1012" s="1" t="n">
        <v>46046</v>
      </c>
      <c r="D1012" t="inlineStr">
        <is>
          <t>VÄSTERNORRLANDS LÄN</t>
        </is>
      </c>
      <c r="E1012" t="inlineStr">
        <is>
          <t>ÅNGE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8755-2022</t>
        </is>
      </c>
      <c r="B1013" s="1" t="n">
        <v>44614</v>
      </c>
      <c r="C1013" s="1" t="n">
        <v>46046</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35766-2025</t>
        </is>
      </c>
      <c r="B1014" s="1" t="n">
        <v>45860.63077546296</v>
      </c>
      <c r="C1014" s="1" t="n">
        <v>46046</v>
      </c>
      <c r="D1014" t="inlineStr">
        <is>
          <t>VÄSTERNORRLANDS LÄN</t>
        </is>
      </c>
      <c r="E1014" t="inlineStr">
        <is>
          <t>ÅNGE</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6462-2024</t>
        </is>
      </c>
      <c r="B1015" s="1" t="n">
        <v>45338</v>
      </c>
      <c r="C1015" s="1" t="n">
        <v>46046</v>
      </c>
      <c r="D1015" t="inlineStr">
        <is>
          <t>VÄSTERNORRLANDS LÄN</t>
        </is>
      </c>
      <c r="E1015" t="inlineStr">
        <is>
          <t>ÅNGE</t>
        </is>
      </c>
      <c r="F1015" t="inlineStr">
        <is>
          <t>Kyrkan</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34815-2024</t>
        </is>
      </c>
      <c r="B1016" s="1" t="n">
        <v>45526.70732638889</v>
      </c>
      <c r="C1016" s="1" t="n">
        <v>46046</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36237-2025</t>
        </is>
      </c>
      <c r="B1017" s="1" t="n">
        <v>45867.55263888889</v>
      </c>
      <c r="C1017" s="1" t="n">
        <v>46046</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36240-2025</t>
        </is>
      </c>
      <c r="B1018" s="1" t="n">
        <v>45867.55298611111</v>
      </c>
      <c r="C1018" s="1" t="n">
        <v>46046</v>
      </c>
      <c r="D1018" t="inlineStr">
        <is>
          <t>VÄSTERNORRLANDS LÄN</t>
        </is>
      </c>
      <c r="E1018" t="inlineStr">
        <is>
          <t>ÅNGE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26018-2024</t>
        </is>
      </c>
      <c r="B1019" s="1" t="n">
        <v>45467.95998842592</v>
      </c>
      <c r="C1019" s="1" t="n">
        <v>46046</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26021-2024</t>
        </is>
      </c>
      <c r="B1020" s="1" t="n">
        <v>45467</v>
      </c>
      <c r="C1020" s="1" t="n">
        <v>46046</v>
      </c>
      <c r="D1020" t="inlineStr">
        <is>
          <t>VÄSTERNORRLANDS LÄN</t>
        </is>
      </c>
      <c r="E1020" t="inlineStr">
        <is>
          <t>ÅNGE</t>
        </is>
      </c>
      <c r="F1020" t="inlineStr">
        <is>
          <t>SCA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36210-2025</t>
        </is>
      </c>
      <c r="B1021" s="1" t="n">
        <v>45867.46930555555</v>
      </c>
      <c r="C1021" s="1" t="n">
        <v>46046</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29673-2024</t>
        </is>
      </c>
      <c r="B1022" s="1" t="n">
        <v>45484.94210648148</v>
      </c>
      <c r="C1022" s="1" t="n">
        <v>46046</v>
      </c>
      <c r="D1022" t="inlineStr">
        <is>
          <t>VÄSTERNORRLANDS LÄN</t>
        </is>
      </c>
      <c r="E1022" t="inlineStr">
        <is>
          <t>ÅNGE</t>
        </is>
      </c>
      <c r="F1022" t="inlineStr">
        <is>
          <t>SCA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48690-2024</t>
        </is>
      </c>
      <c r="B1023" s="1" t="n">
        <v>45593.50704861111</v>
      </c>
      <c r="C1023" s="1" t="n">
        <v>46046</v>
      </c>
      <c r="D1023" t="inlineStr">
        <is>
          <t>VÄSTERNORRLANDS LÄN</t>
        </is>
      </c>
      <c r="E1023" t="inlineStr">
        <is>
          <t>ÅNGE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36236-2025</t>
        </is>
      </c>
      <c r="B1024" s="1" t="n">
        <v>45867.55245370371</v>
      </c>
      <c r="C1024" s="1" t="n">
        <v>46046</v>
      </c>
      <c r="D1024" t="inlineStr">
        <is>
          <t>VÄSTERNORRLANDS LÄN</t>
        </is>
      </c>
      <c r="E1024" t="inlineStr">
        <is>
          <t>ÅNGE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3977-2025</t>
        </is>
      </c>
      <c r="B1025" s="1" t="n">
        <v>45684</v>
      </c>
      <c r="C1025" s="1" t="n">
        <v>46046</v>
      </c>
      <c r="D1025" t="inlineStr">
        <is>
          <t>VÄSTERNORRLANDS LÄN</t>
        </is>
      </c>
      <c r="E1025" t="inlineStr">
        <is>
          <t>ÅNGE</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11399-2025</t>
        </is>
      </c>
      <c r="B1026" s="1" t="n">
        <v>45726.57364583333</v>
      </c>
      <c r="C1026" s="1" t="n">
        <v>46046</v>
      </c>
      <c r="D1026" t="inlineStr">
        <is>
          <t>VÄSTERNORRLANDS LÄN</t>
        </is>
      </c>
      <c r="E1026" t="inlineStr">
        <is>
          <t>ÅNGE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39021-2024</t>
        </is>
      </c>
      <c r="B1027" s="1" t="n">
        <v>45548</v>
      </c>
      <c r="C1027" s="1" t="n">
        <v>46046</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27915-2024</t>
        </is>
      </c>
      <c r="B1028" s="1" t="n">
        <v>45475</v>
      </c>
      <c r="C1028" s="1" t="n">
        <v>46046</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2433-2024</t>
        </is>
      </c>
      <c r="B1029" s="1" t="n">
        <v>45310</v>
      </c>
      <c r="C1029" s="1" t="n">
        <v>46046</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36248-2025</t>
        </is>
      </c>
      <c r="B1030" s="1" t="n">
        <v>45867.57326388889</v>
      </c>
      <c r="C1030" s="1" t="n">
        <v>46046</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36193-2025</t>
        </is>
      </c>
      <c r="B1031" s="1" t="n">
        <v>45867.42741898148</v>
      </c>
      <c r="C1031" s="1" t="n">
        <v>46046</v>
      </c>
      <c r="D1031" t="inlineStr">
        <is>
          <t>VÄSTERNORRLANDS LÄN</t>
        </is>
      </c>
      <c r="E1031" t="inlineStr">
        <is>
          <t>ÅNGE</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36205-2025</t>
        </is>
      </c>
      <c r="B1032" s="1" t="n">
        <v>45867.44855324074</v>
      </c>
      <c r="C1032" s="1" t="n">
        <v>46046</v>
      </c>
      <c r="D1032" t="inlineStr">
        <is>
          <t>VÄSTERNORRLANDS LÄN</t>
        </is>
      </c>
      <c r="E1032" t="inlineStr">
        <is>
          <t>ÅNGE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44897.95008101852</v>
      </c>
      <c r="C1033" s="1" t="n">
        <v>46046</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36491-2025</t>
        </is>
      </c>
      <c r="B1034" s="1" t="n">
        <v>45869.53173611111</v>
      </c>
      <c r="C1034" s="1" t="n">
        <v>46046</v>
      </c>
      <c r="D1034" t="inlineStr">
        <is>
          <t>VÄSTERNORRLANDS LÄN</t>
        </is>
      </c>
      <c r="E1034" t="inlineStr">
        <is>
          <t>ÅNGE</t>
        </is>
      </c>
      <c r="F1034" t="inlineStr">
        <is>
          <t>SCA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46249-2024</t>
        </is>
      </c>
      <c r="B1035" s="1" t="n">
        <v>45581.59409722222</v>
      </c>
      <c r="C1035" s="1" t="n">
        <v>46046</v>
      </c>
      <c r="D1035" t="inlineStr">
        <is>
          <t>VÄSTERNORRLANDS LÄN</t>
        </is>
      </c>
      <c r="E1035" t="inlineStr">
        <is>
          <t>ÅNGE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31864-2024</t>
        </is>
      </c>
      <c r="B1036" s="1" t="n">
        <v>45509.74791666667</v>
      </c>
      <c r="C1036" s="1" t="n">
        <v>46046</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8868-2023</t>
        </is>
      </c>
      <c r="B1037" s="1" t="n">
        <v>44978</v>
      </c>
      <c r="C1037" s="1" t="n">
        <v>46046</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36336-2025</t>
        </is>
      </c>
      <c r="B1038" s="1" t="n">
        <v>45868.44751157407</v>
      </c>
      <c r="C1038" s="1" t="n">
        <v>46046</v>
      </c>
      <c r="D1038" t="inlineStr">
        <is>
          <t>VÄSTERNORRLANDS LÄN</t>
        </is>
      </c>
      <c r="E1038" t="inlineStr">
        <is>
          <t>ÅNGE</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65229-2021</t>
        </is>
      </c>
      <c r="B1039" s="1" t="n">
        <v>44515</v>
      </c>
      <c r="C1039" s="1" t="n">
        <v>46046</v>
      </c>
      <c r="D1039" t="inlineStr">
        <is>
          <t>VÄSTERNORRLANDS LÄN</t>
        </is>
      </c>
      <c r="E1039" t="inlineStr">
        <is>
          <t>ÅNGE</t>
        </is>
      </c>
      <c r="G1039" t="n">
        <v>12.1</v>
      </c>
      <c r="H1039" t="n">
        <v>0</v>
      </c>
      <c r="I1039" t="n">
        <v>0</v>
      </c>
      <c r="J1039" t="n">
        <v>0</v>
      </c>
      <c r="K1039" t="n">
        <v>0</v>
      </c>
      <c r="L1039" t="n">
        <v>0</v>
      </c>
      <c r="M1039" t="n">
        <v>0</v>
      </c>
      <c r="N1039" t="n">
        <v>0</v>
      </c>
      <c r="O1039" t="n">
        <v>0</v>
      </c>
      <c r="P1039" t="n">
        <v>0</v>
      </c>
      <c r="Q1039" t="n">
        <v>0</v>
      </c>
      <c r="R1039" s="2" t="inlineStr"/>
    </row>
    <row r="1040" ht="15" customHeight="1">
      <c r="A1040" t="inlineStr">
        <is>
          <t>A 36457-2025</t>
        </is>
      </c>
      <c r="B1040" s="1" t="n">
        <v>45869.44842592593</v>
      </c>
      <c r="C1040" s="1" t="n">
        <v>46046</v>
      </c>
      <c r="D1040" t="inlineStr">
        <is>
          <t>VÄSTERNORRLANDS LÄN</t>
        </is>
      </c>
      <c r="E1040" t="inlineStr">
        <is>
          <t>ÅNGE</t>
        </is>
      </c>
      <c r="F1040" t="inlineStr">
        <is>
          <t>SCA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53512-2023</t>
        </is>
      </c>
      <c r="B1041" s="1" t="n">
        <v>45230</v>
      </c>
      <c r="C1041" s="1" t="n">
        <v>46046</v>
      </c>
      <c r="D1041" t="inlineStr">
        <is>
          <t>VÄSTERNORRLANDS LÄN</t>
        </is>
      </c>
      <c r="E1041" t="inlineStr">
        <is>
          <t>ÅNGE</t>
        </is>
      </c>
      <c r="F1041" t="inlineStr">
        <is>
          <t>Holmen skog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37558-2023</t>
        </is>
      </c>
      <c r="B1042" s="1" t="n">
        <v>45159.34511574074</v>
      </c>
      <c r="C1042" s="1" t="n">
        <v>46046</v>
      </c>
      <c r="D1042" t="inlineStr">
        <is>
          <t>VÄSTERNORRLANDS LÄN</t>
        </is>
      </c>
      <c r="E1042" t="inlineStr">
        <is>
          <t>ÅNGE</t>
        </is>
      </c>
      <c r="F1042" t="inlineStr">
        <is>
          <t>Kyrkan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6690-2024</t>
        </is>
      </c>
      <c r="B1043" s="1" t="n">
        <v>45341</v>
      </c>
      <c r="C1043" s="1" t="n">
        <v>46046</v>
      </c>
      <c r="D1043" t="inlineStr">
        <is>
          <t>VÄSTERNORRLANDS LÄN</t>
        </is>
      </c>
      <c r="E1043" t="inlineStr">
        <is>
          <t>ÅNGE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57291-2022</t>
        </is>
      </c>
      <c r="B1044" s="1" t="n">
        <v>44895</v>
      </c>
      <c r="C1044" s="1" t="n">
        <v>46046</v>
      </c>
      <c r="D1044" t="inlineStr">
        <is>
          <t>VÄSTERNORRLANDS LÄN</t>
        </is>
      </c>
      <c r="E1044" t="inlineStr">
        <is>
          <t>ÅNGE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4883-2023</t>
        </is>
      </c>
      <c r="B1045" s="1" t="n">
        <v>44957</v>
      </c>
      <c r="C1045" s="1" t="n">
        <v>46046</v>
      </c>
      <c r="D1045" t="inlineStr">
        <is>
          <t>VÄSTERNORRLANDS LÄN</t>
        </is>
      </c>
      <c r="E1045" t="inlineStr">
        <is>
          <t>ÅNGE</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58774-2023</t>
        </is>
      </c>
      <c r="B1046" s="1" t="n">
        <v>45251</v>
      </c>
      <c r="C1046" s="1" t="n">
        <v>46046</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21089-2024</t>
        </is>
      </c>
      <c r="B1047" s="1" t="n">
        <v>45439.94987268518</v>
      </c>
      <c r="C1047" s="1" t="n">
        <v>46046</v>
      </c>
      <c r="D1047" t="inlineStr">
        <is>
          <t>VÄSTERNORRLANDS LÄN</t>
        </is>
      </c>
      <c r="E1047" t="inlineStr">
        <is>
          <t>ÅNGE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21151-2024</t>
        </is>
      </c>
      <c r="B1048" s="1" t="n">
        <v>45440</v>
      </c>
      <c r="C1048" s="1" t="n">
        <v>46046</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64945-2023</t>
        </is>
      </c>
      <c r="B1049" s="1" t="n">
        <v>45282.94668981482</v>
      </c>
      <c r="C1049" s="1" t="n">
        <v>46046</v>
      </c>
      <c r="D1049" t="inlineStr">
        <is>
          <t>VÄSTERNORRLANDS LÄN</t>
        </is>
      </c>
      <c r="E1049" t="inlineStr">
        <is>
          <t>ÅNGE</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26951-2024</t>
        </is>
      </c>
      <c r="B1050" s="1" t="n">
        <v>45470.96991898148</v>
      </c>
      <c r="C1050" s="1" t="n">
        <v>46046</v>
      </c>
      <c r="D1050" t="inlineStr">
        <is>
          <t>VÄSTERNORRLANDS LÄN</t>
        </is>
      </c>
      <c r="E1050" t="inlineStr">
        <is>
          <t>ÅNGE</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26952-2024</t>
        </is>
      </c>
      <c r="B1051" s="1" t="n">
        <v>45470</v>
      </c>
      <c r="C1051" s="1" t="n">
        <v>46046</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64375-2023</t>
        </is>
      </c>
      <c r="B1052" s="1" t="n">
        <v>45280</v>
      </c>
      <c r="C1052" s="1" t="n">
        <v>46046</v>
      </c>
      <c r="D1052" t="inlineStr">
        <is>
          <t>VÄSTERNORRLANDS LÄN</t>
        </is>
      </c>
      <c r="E1052" t="inlineStr">
        <is>
          <t>ÅNGE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36723-2025</t>
        </is>
      </c>
      <c r="B1053" s="1" t="n">
        <v>45873.47770833333</v>
      </c>
      <c r="C1053" s="1" t="n">
        <v>46046</v>
      </c>
      <c r="D1053" t="inlineStr">
        <is>
          <t>VÄSTERNORRLANDS LÄN</t>
        </is>
      </c>
      <c r="E1053" t="inlineStr">
        <is>
          <t>ÅNGE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1235-2023</t>
        </is>
      </c>
      <c r="B1054" s="1" t="n">
        <v>44935</v>
      </c>
      <c r="C1054" s="1" t="n">
        <v>46046</v>
      </c>
      <c r="D1054" t="inlineStr">
        <is>
          <t>VÄSTERNORRLANDS LÄN</t>
        </is>
      </c>
      <c r="E1054" t="inlineStr">
        <is>
          <t>ÅNGE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17923-2025</t>
        </is>
      </c>
      <c r="B1055" s="1" t="n">
        <v>45759.34415509259</v>
      </c>
      <c r="C1055" s="1" t="n">
        <v>46046</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36674-2025</t>
        </is>
      </c>
      <c r="B1056" s="1" t="n">
        <v>45873.3930787037</v>
      </c>
      <c r="C1056" s="1" t="n">
        <v>46046</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13164-2022</t>
        </is>
      </c>
      <c r="B1057" s="1" t="n">
        <v>44644</v>
      </c>
      <c r="C1057" s="1" t="n">
        <v>46046</v>
      </c>
      <c r="D1057" t="inlineStr">
        <is>
          <t>VÄSTERNORRLANDS LÄN</t>
        </is>
      </c>
      <c r="E1057" t="inlineStr">
        <is>
          <t>ÅNGE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58613-2023</t>
        </is>
      </c>
      <c r="B1058" s="1" t="n">
        <v>45251.50709490741</v>
      </c>
      <c r="C1058" s="1" t="n">
        <v>46046</v>
      </c>
      <c r="D1058" t="inlineStr">
        <is>
          <t>VÄSTERNORRLANDS LÄN</t>
        </is>
      </c>
      <c r="E1058" t="inlineStr">
        <is>
          <t>ÅNGE</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56399-2022</t>
        </is>
      </c>
      <c r="B1059" s="1" t="n">
        <v>44890</v>
      </c>
      <c r="C1059" s="1" t="n">
        <v>46046</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62261-2022</t>
        </is>
      </c>
      <c r="B1060" s="1" t="n">
        <v>44922.94378472222</v>
      </c>
      <c r="C1060" s="1" t="n">
        <v>46046</v>
      </c>
      <c r="D1060" t="inlineStr">
        <is>
          <t>VÄSTERNORRLANDS LÄN</t>
        </is>
      </c>
      <c r="E1060" t="inlineStr">
        <is>
          <t>ÅNGE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41302-2024</t>
        </is>
      </c>
      <c r="B1061" s="1" t="n">
        <v>45559.62077546296</v>
      </c>
      <c r="C1061" s="1" t="n">
        <v>46046</v>
      </c>
      <c r="D1061" t="inlineStr">
        <is>
          <t>VÄSTERNORRLANDS LÄN</t>
        </is>
      </c>
      <c r="E1061" t="inlineStr">
        <is>
          <t>ÅNGE</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36740-2025</t>
        </is>
      </c>
      <c r="B1062" s="1" t="n">
        <v>45873.53237268519</v>
      </c>
      <c r="C1062" s="1" t="n">
        <v>46046</v>
      </c>
      <c r="D1062" t="inlineStr">
        <is>
          <t>VÄSTERNORRLANDS LÄN</t>
        </is>
      </c>
      <c r="E1062" t="inlineStr">
        <is>
          <t>ÅNGE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23058-2024</t>
        </is>
      </c>
      <c r="B1063" s="1" t="n">
        <v>45450.44020833333</v>
      </c>
      <c r="C1063" s="1" t="n">
        <v>46046</v>
      </c>
      <c r="D1063" t="inlineStr">
        <is>
          <t>VÄSTERNORRLANDS LÄN</t>
        </is>
      </c>
      <c r="E1063" t="inlineStr">
        <is>
          <t>ÅNGE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20231-2022</t>
        </is>
      </c>
      <c r="B1064" s="1" t="n">
        <v>44698</v>
      </c>
      <c r="C1064" s="1" t="n">
        <v>46046</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60363-2024</t>
        </is>
      </c>
      <c r="B1065" s="1" t="n">
        <v>45643</v>
      </c>
      <c r="C1065" s="1" t="n">
        <v>46046</v>
      </c>
      <c r="D1065" t="inlineStr">
        <is>
          <t>VÄSTERNORRLANDS LÄN</t>
        </is>
      </c>
      <c r="E1065" t="inlineStr">
        <is>
          <t>ÅNGE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15369-2024</t>
        </is>
      </c>
      <c r="B1066" s="1" t="n">
        <v>45400.92290509259</v>
      </c>
      <c r="C1066" s="1" t="n">
        <v>46046</v>
      </c>
      <c r="D1066" t="inlineStr">
        <is>
          <t>VÄSTERNORRLANDS LÄN</t>
        </is>
      </c>
      <c r="E1066" t="inlineStr">
        <is>
          <t>ÅNGE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36456-2025</t>
        </is>
      </c>
      <c r="B1067" s="1" t="n">
        <v>45869.44827546296</v>
      </c>
      <c r="C1067" s="1" t="n">
        <v>46046</v>
      </c>
      <c r="D1067" t="inlineStr">
        <is>
          <t>VÄSTERNORRLANDS LÄN</t>
        </is>
      </c>
      <c r="E1067" t="inlineStr">
        <is>
          <t>ÅNGE</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26010-2024</t>
        </is>
      </c>
      <c r="B1068" s="1" t="n">
        <v>45467.95819444444</v>
      </c>
      <c r="C1068" s="1" t="n">
        <v>46046</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36873-2025</t>
        </is>
      </c>
      <c r="B1069" s="1" t="n">
        <v>45874.42935185185</v>
      </c>
      <c r="C1069" s="1" t="n">
        <v>46046</v>
      </c>
      <c r="D1069" t="inlineStr">
        <is>
          <t>VÄSTERNORRLANDS LÄN</t>
        </is>
      </c>
      <c r="E1069" t="inlineStr">
        <is>
          <t>ÅNGE</t>
        </is>
      </c>
      <c r="F1069" t="inlineStr">
        <is>
          <t>SCA</t>
        </is>
      </c>
      <c r="G1069" t="n">
        <v>16.9</v>
      </c>
      <c r="H1069" t="n">
        <v>0</v>
      </c>
      <c r="I1069" t="n">
        <v>0</v>
      </c>
      <c r="J1069" t="n">
        <v>0</v>
      </c>
      <c r="K1069" t="n">
        <v>0</v>
      </c>
      <c r="L1069" t="n">
        <v>0</v>
      </c>
      <c r="M1069" t="n">
        <v>0</v>
      </c>
      <c r="N1069" t="n">
        <v>0</v>
      </c>
      <c r="O1069" t="n">
        <v>0</v>
      </c>
      <c r="P1069" t="n">
        <v>0</v>
      </c>
      <c r="Q1069" t="n">
        <v>0</v>
      </c>
      <c r="R1069" s="2" t="inlineStr"/>
    </row>
    <row r="1070" ht="15" customHeight="1">
      <c r="A1070" t="inlineStr">
        <is>
          <t>A 5249-2025</t>
        </is>
      </c>
      <c r="B1070" s="1" t="n">
        <v>45692.34465277778</v>
      </c>
      <c r="C1070" s="1" t="n">
        <v>46046</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37045-2025</t>
        </is>
      </c>
      <c r="B1071" s="1" t="n">
        <v>45875.34451388889</v>
      </c>
      <c r="C1071" s="1" t="n">
        <v>46046</v>
      </c>
      <c r="D1071" t="inlineStr">
        <is>
          <t>VÄSTERNORRLANDS LÄN</t>
        </is>
      </c>
      <c r="E1071" t="inlineStr">
        <is>
          <t>ÅNGE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37047-2025</t>
        </is>
      </c>
      <c r="B1072" s="1" t="n">
        <v>45875.34489583333</v>
      </c>
      <c r="C1072" s="1" t="n">
        <v>46046</v>
      </c>
      <c r="D1072" t="inlineStr">
        <is>
          <t>VÄSTERNORRLANDS LÄN</t>
        </is>
      </c>
      <c r="E1072" t="inlineStr">
        <is>
          <t>ÅNGE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35979-2023</t>
        </is>
      </c>
      <c r="B1073" s="1" t="n">
        <v>45148</v>
      </c>
      <c r="C1073" s="1" t="n">
        <v>46046</v>
      </c>
      <c r="D1073" t="inlineStr">
        <is>
          <t>VÄSTERNORRLANDS LÄN</t>
        </is>
      </c>
      <c r="E1073" t="inlineStr">
        <is>
          <t>ÅNGE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3986-2025</t>
        </is>
      </c>
      <c r="B1074" s="1" t="n">
        <v>45684.55262731481</v>
      </c>
      <c r="C1074" s="1" t="n">
        <v>46046</v>
      </c>
      <c r="D1074" t="inlineStr">
        <is>
          <t>VÄSTERNORRLANDS LÄN</t>
        </is>
      </c>
      <c r="E1074" t="inlineStr">
        <is>
          <t>ÅNGE</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43366-2024</t>
        </is>
      </c>
      <c r="B1075" s="1" t="n">
        <v>45568</v>
      </c>
      <c r="C1075" s="1" t="n">
        <v>46046</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52785-2024</t>
        </is>
      </c>
      <c r="B1076" s="1" t="n">
        <v>45610.55273148148</v>
      </c>
      <c r="C1076" s="1" t="n">
        <v>46046</v>
      </c>
      <c r="D1076" t="inlineStr">
        <is>
          <t>VÄSTERNORRLANDS LÄN</t>
        </is>
      </c>
      <c r="E1076" t="inlineStr">
        <is>
          <t>ÅNGE</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52786-2024</t>
        </is>
      </c>
      <c r="B1077" s="1" t="n">
        <v>45610.55283564814</v>
      </c>
      <c r="C1077" s="1" t="n">
        <v>46046</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50674-2024</t>
        </is>
      </c>
      <c r="B1078" s="1" t="n">
        <v>45601.85402777778</v>
      </c>
      <c r="C1078" s="1" t="n">
        <v>46046</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46254-2023</t>
        </is>
      </c>
      <c r="B1079" s="1" t="n">
        <v>45196</v>
      </c>
      <c r="C1079" s="1" t="n">
        <v>46046</v>
      </c>
      <c r="D1079" t="inlineStr">
        <is>
          <t>VÄSTERNORRLANDS LÄN</t>
        </is>
      </c>
      <c r="E1079" t="inlineStr">
        <is>
          <t>ÅNGE</t>
        </is>
      </c>
      <c r="F1079" t="inlineStr">
        <is>
          <t>SCA</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46262-2023</t>
        </is>
      </c>
      <c r="B1080" s="1" t="n">
        <v>45196.93855324074</v>
      </c>
      <c r="C1080" s="1" t="n">
        <v>46046</v>
      </c>
      <c r="D1080" t="inlineStr">
        <is>
          <t>VÄSTERNORRLANDS LÄN</t>
        </is>
      </c>
      <c r="E1080" t="inlineStr">
        <is>
          <t>ÅNGE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37108-2025</t>
        </is>
      </c>
      <c r="B1081" s="1" t="n">
        <v>45875</v>
      </c>
      <c r="C1081" s="1" t="n">
        <v>46046</v>
      </c>
      <c r="D1081" t="inlineStr">
        <is>
          <t>VÄSTERNORRLANDS LÄN</t>
        </is>
      </c>
      <c r="E1081" t="inlineStr">
        <is>
          <t>ÅNGE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36249-2025</t>
        </is>
      </c>
      <c r="B1082" s="1" t="n">
        <v>45867</v>
      </c>
      <c r="C1082" s="1" t="n">
        <v>46046</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37177-2025</t>
        </is>
      </c>
      <c r="B1083" s="1" t="n">
        <v>45875.61539351852</v>
      </c>
      <c r="C1083" s="1" t="n">
        <v>46046</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37275-2025</t>
        </is>
      </c>
      <c r="B1084" s="1" t="n">
        <v>45876.49003472222</v>
      </c>
      <c r="C1084" s="1" t="n">
        <v>46046</v>
      </c>
      <c r="D1084" t="inlineStr">
        <is>
          <t>VÄSTERNORRLANDS LÄN</t>
        </is>
      </c>
      <c r="E1084" t="inlineStr">
        <is>
          <t>ÅNGE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3322-2025</t>
        </is>
      </c>
      <c r="B1085" s="1" t="n">
        <v>45679.6989699074</v>
      </c>
      <c r="C1085" s="1" t="n">
        <v>46046</v>
      </c>
      <c r="D1085" t="inlineStr">
        <is>
          <t>VÄSTERNORRLANDS LÄN</t>
        </is>
      </c>
      <c r="E1085" t="inlineStr">
        <is>
          <t>ÅNGE</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37303-2025</t>
        </is>
      </c>
      <c r="B1086" s="1" t="n">
        <v>45876.59445601852</v>
      </c>
      <c r="C1086" s="1" t="n">
        <v>46046</v>
      </c>
      <c r="D1086" t="inlineStr">
        <is>
          <t>VÄSTERNORRLANDS LÄN</t>
        </is>
      </c>
      <c r="E1086" t="inlineStr">
        <is>
          <t>ÅNGE</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3327-2025</t>
        </is>
      </c>
      <c r="B1087" s="1" t="n">
        <v>45679.69967592593</v>
      </c>
      <c r="C1087" s="1" t="n">
        <v>46046</v>
      </c>
      <c r="D1087" t="inlineStr">
        <is>
          <t>VÄSTERNORRLANDS LÄN</t>
        </is>
      </c>
      <c r="E1087" t="inlineStr">
        <is>
          <t>ÅNGE</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35577-2024</t>
        </is>
      </c>
      <c r="B1088" s="1" t="n">
        <v>45531</v>
      </c>
      <c r="C1088" s="1" t="n">
        <v>46046</v>
      </c>
      <c r="D1088" t="inlineStr">
        <is>
          <t>VÄSTERNORRLANDS LÄN</t>
        </is>
      </c>
      <c r="E1088" t="inlineStr">
        <is>
          <t>ÅNGE</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35580-2024</t>
        </is>
      </c>
      <c r="B1089" s="1" t="n">
        <v>45531</v>
      </c>
      <c r="C1089" s="1" t="n">
        <v>46046</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28428-2023</t>
        </is>
      </c>
      <c r="B1090" s="1" t="n">
        <v>45102</v>
      </c>
      <c r="C1090" s="1" t="n">
        <v>46046</v>
      </c>
      <c r="D1090" t="inlineStr">
        <is>
          <t>VÄSTERNORRLANDS LÄN</t>
        </is>
      </c>
      <c r="E1090" t="inlineStr">
        <is>
          <t>ÅNGE</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37233-2025</t>
        </is>
      </c>
      <c r="B1091" s="1" t="n">
        <v>45876.34474537037</v>
      </c>
      <c r="C1091" s="1" t="n">
        <v>46046</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31729-2024</t>
        </is>
      </c>
      <c r="B1092" s="1" t="n">
        <v>45509.35844907408</v>
      </c>
      <c r="C1092" s="1" t="n">
        <v>46046</v>
      </c>
      <c r="D1092" t="inlineStr">
        <is>
          <t>VÄSTERNORRLANDS LÄN</t>
        </is>
      </c>
      <c r="E1092" t="inlineStr">
        <is>
          <t>ÅNGE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37384-2025</t>
        </is>
      </c>
      <c r="B1093" s="1" t="n">
        <v>45877.3859837963</v>
      </c>
      <c r="C1093" s="1" t="n">
        <v>46046</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4071-2025</t>
        </is>
      </c>
      <c r="B1094" s="1" t="n">
        <v>45684.63579861111</v>
      </c>
      <c r="C1094" s="1" t="n">
        <v>46046</v>
      </c>
      <c r="D1094" t="inlineStr">
        <is>
          <t>VÄSTERNORRLANDS LÄN</t>
        </is>
      </c>
      <c r="E1094" t="inlineStr">
        <is>
          <t>ÅNGE</t>
        </is>
      </c>
      <c r="F1094" t="inlineStr">
        <is>
          <t>SCA</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44606-2024</t>
        </is>
      </c>
      <c r="B1095" s="1" t="n">
        <v>45574.51195601852</v>
      </c>
      <c r="C1095" s="1" t="n">
        <v>46046</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44626-2024</t>
        </is>
      </c>
      <c r="B1096" s="1" t="n">
        <v>45574.51378472222</v>
      </c>
      <c r="C1096" s="1" t="n">
        <v>46046</v>
      </c>
      <c r="D1096" t="inlineStr">
        <is>
          <t>VÄSTERNORRLANDS LÄN</t>
        </is>
      </c>
      <c r="E1096" t="inlineStr">
        <is>
          <t>ÅNGE</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37371-2025</t>
        </is>
      </c>
      <c r="B1097" s="1" t="n">
        <v>45877.34472222222</v>
      </c>
      <c r="C1097" s="1" t="n">
        <v>46046</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37383-2025</t>
        </is>
      </c>
      <c r="B1098" s="1" t="n">
        <v>45877.38581018519</v>
      </c>
      <c r="C1098" s="1" t="n">
        <v>46046</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20716-2025</t>
        </is>
      </c>
      <c r="B1099" s="1" t="n">
        <v>45776.49026620371</v>
      </c>
      <c r="C1099" s="1" t="n">
        <v>46046</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37719-2025</t>
        </is>
      </c>
      <c r="B1100" s="1" t="n">
        <v>45880.61505787037</v>
      </c>
      <c r="C1100" s="1" t="n">
        <v>46046</v>
      </c>
      <c r="D1100" t="inlineStr">
        <is>
          <t>VÄSTERNORRLANDS LÄN</t>
        </is>
      </c>
      <c r="E1100" t="inlineStr">
        <is>
          <t>ÅNGE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37663-2025</t>
        </is>
      </c>
      <c r="B1101" s="1" t="n">
        <v>45880.51079861111</v>
      </c>
      <c r="C1101" s="1" t="n">
        <v>46046</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37723-2025</t>
        </is>
      </c>
      <c r="B1102" s="1" t="n">
        <v>45880.61528935185</v>
      </c>
      <c r="C1102" s="1" t="n">
        <v>46046</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72239-2021</t>
        </is>
      </c>
      <c r="B1103" s="1" t="n">
        <v>44544.9203587963</v>
      </c>
      <c r="C1103" s="1" t="n">
        <v>46046</v>
      </c>
      <c r="D1103" t="inlineStr">
        <is>
          <t>VÄSTERNORRLANDS LÄN</t>
        </is>
      </c>
      <c r="E1103" t="inlineStr">
        <is>
          <t>ÅNGE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34726-2024</t>
        </is>
      </c>
      <c r="B1104" s="1" t="n">
        <v>45526.5733912037</v>
      </c>
      <c r="C1104" s="1" t="n">
        <v>46046</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38693-2025</t>
        </is>
      </c>
      <c r="B1105" s="1" t="n">
        <v>45884.69829861111</v>
      </c>
      <c r="C1105" s="1" t="n">
        <v>46046</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38703-2025</t>
        </is>
      </c>
      <c r="B1106" s="1" t="n">
        <v>45885.34440972222</v>
      </c>
      <c r="C1106" s="1" t="n">
        <v>46046</v>
      </c>
      <c r="D1106" t="inlineStr">
        <is>
          <t>VÄSTERNORRLANDS LÄN</t>
        </is>
      </c>
      <c r="E1106" t="inlineStr">
        <is>
          <t>ÅNGE</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38711-2025</t>
        </is>
      </c>
      <c r="B1107" s="1" t="n">
        <v>45886.34450231482</v>
      </c>
      <c r="C1107" s="1" t="n">
        <v>46046</v>
      </c>
      <c r="D1107" t="inlineStr">
        <is>
          <t>VÄSTERNORRLANDS LÄN</t>
        </is>
      </c>
      <c r="E1107" t="inlineStr">
        <is>
          <t>ÅNGE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38715-2025</t>
        </is>
      </c>
      <c r="B1108" s="1" t="n">
        <v>45886.34501157407</v>
      </c>
      <c r="C1108" s="1" t="n">
        <v>46046</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59986-2021</t>
        </is>
      </c>
      <c r="B1109" s="1" t="n">
        <v>44494</v>
      </c>
      <c r="C1109" s="1" t="n">
        <v>46046</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20110-2023</t>
        </is>
      </c>
      <c r="B1110" s="1" t="n">
        <v>45051</v>
      </c>
      <c r="C1110" s="1" t="n">
        <v>46046</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38078-2025</t>
        </is>
      </c>
      <c r="B1111" s="1" t="n">
        <v>45882.46918981482</v>
      </c>
      <c r="C1111" s="1" t="n">
        <v>46046</v>
      </c>
      <c r="D1111" t="inlineStr">
        <is>
          <t>VÄSTERNORRLANDS LÄN</t>
        </is>
      </c>
      <c r="E1111" t="inlineStr">
        <is>
          <t>ÅNGE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30556-2023</t>
        </is>
      </c>
      <c r="B1112" s="1" t="n">
        <v>45111.87935185185</v>
      </c>
      <c r="C1112" s="1" t="n">
        <v>46046</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38686-2025</t>
        </is>
      </c>
      <c r="B1113" s="1" t="n">
        <v>45884.65658564815</v>
      </c>
      <c r="C1113" s="1" t="n">
        <v>46046</v>
      </c>
      <c r="D1113" t="inlineStr">
        <is>
          <t>VÄSTERNORRLANDS LÄN</t>
        </is>
      </c>
      <c r="E1113" t="inlineStr">
        <is>
          <t>ÅNGE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38332-2025</t>
        </is>
      </c>
      <c r="B1114" s="1" t="n">
        <v>45883.49151620371</v>
      </c>
      <c r="C1114" s="1" t="n">
        <v>46046</v>
      </c>
      <c r="D1114" t="inlineStr">
        <is>
          <t>VÄSTERNORRLANDS LÄN</t>
        </is>
      </c>
      <c r="E1114" t="inlineStr">
        <is>
          <t>ÅNGE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53549-2023</t>
        </is>
      </c>
      <c r="B1115" s="1" t="n">
        <v>45230</v>
      </c>
      <c r="C1115" s="1" t="n">
        <v>46046</v>
      </c>
      <c r="D1115" t="inlineStr">
        <is>
          <t>VÄSTERNORRLANDS LÄN</t>
        </is>
      </c>
      <c r="E1115" t="inlineStr">
        <is>
          <t>ÅNGE</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38386-2025</t>
        </is>
      </c>
      <c r="B1116" s="1" t="n">
        <v>45883.57430555556</v>
      </c>
      <c r="C1116" s="1" t="n">
        <v>46046</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38283-2025</t>
        </is>
      </c>
      <c r="B1117" s="1" t="n">
        <v>45883.42740740741</v>
      </c>
      <c r="C1117" s="1" t="n">
        <v>46046</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34705-2023</t>
        </is>
      </c>
      <c r="B1118" s="1" t="n">
        <v>45140.96452546296</v>
      </c>
      <c r="C1118" s="1" t="n">
        <v>46046</v>
      </c>
      <c r="D1118" t="inlineStr">
        <is>
          <t>VÄSTERNORRLANDS LÄN</t>
        </is>
      </c>
      <c r="E1118" t="inlineStr">
        <is>
          <t>ÅNGE</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50186-2021</t>
        </is>
      </c>
      <c r="B1119" s="1" t="n">
        <v>44456</v>
      </c>
      <c r="C1119" s="1" t="n">
        <v>46046</v>
      </c>
      <c r="D1119" t="inlineStr">
        <is>
          <t>VÄSTERNORRLANDS LÄN</t>
        </is>
      </c>
      <c r="E1119" t="inlineStr">
        <is>
          <t>ÅNGE</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37919-2025</t>
        </is>
      </c>
      <c r="B1120" s="1" t="n">
        <v>45881.57478009259</v>
      </c>
      <c r="C1120" s="1" t="n">
        <v>46046</v>
      </c>
      <c r="D1120" t="inlineStr">
        <is>
          <t>VÄSTERNORRLANDS LÄN</t>
        </is>
      </c>
      <c r="E1120" t="inlineStr">
        <is>
          <t>ÅNGE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37802-2025</t>
        </is>
      </c>
      <c r="B1121" s="1" t="n">
        <v>45881.34447916667</v>
      </c>
      <c r="C1121" s="1" t="n">
        <v>46046</v>
      </c>
      <c r="D1121" t="inlineStr">
        <is>
          <t>VÄSTERNORRLANDS LÄN</t>
        </is>
      </c>
      <c r="E1121" t="inlineStr">
        <is>
          <t>ÅNGE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38273-2025</t>
        </is>
      </c>
      <c r="B1122" s="1" t="n">
        <v>45883.40740740741</v>
      </c>
      <c r="C1122" s="1" t="n">
        <v>46046</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35392-2024</t>
        </is>
      </c>
      <c r="B1123" s="1" t="n">
        <v>45531.4025462963</v>
      </c>
      <c r="C1123" s="1" t="n">
        <v>46046</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27952-2024</t>
        </is>
      </c>
      <c r="B1124" s="1" t="n">
        <v>45476.33063657407</v>
      </c>
      <c r="C1124" s="1" t="n">
        <v>46046</v>
      </c>
      <c r="D1124" t="inlineStr">
        <is>
          <t>VÄSTERNORRLANDS LÄN</t>
        </is>
      </c>
      <c r="E1124" t="inlineStr">
        <is>
          <t>ÅNGE</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58634-2023</t>
        </is>
      </c>
      <c r="B1125" s="1" t="n">
        <v>45251</v>
      </c>
      <c r="C1125" s="1" t="n">
        <v>46046</v>
      </c>
      <c r="D1125" t="inlineStr">
        <is>
          <t>VÄSTERNORRLANDS LÄN</t>
        </is>
      </c>
      <c r="E1125" t="inlineStr">
        <is>
          <t>ÅNGE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41825-2022</t>
        </is>
      </c>
      <c r="B1126" s="1" t="n">
        <v>44827</v>
      </c>
      <c r="C1126" s="1" t="n">
        <v>46046</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c r="U1126">
        <f>HYPERLINK("https://klasma.github.io/Logging_2260/knärot/A 41825-2022 karta knärot.png", "A 41825-2022")</f>
        <v/>
      </c>
      <c r="V1126">
        <f>HYPERLINK("https://klasma.github.io/Logging_2260/klagomål/A 41825-2022 FSC-klagomål.docx", "A 41825-2022")</f>
        <v/>
      </c>
      <c r="W1126">
        <f>HYPERLINK("https://klasma.github.io/Logging_2260/klagomålsmail/A 41825-2022 FSC-klagomål mail.docx", "A 41825-2022")</f>
        <v/>
      </c>
      <c r="X1126">
        <f>HYPERLINK("https://klasma.github.io/Logging_2260/tillsyn/A 41825-2022 tillsynsbegäran.docx", "A 41825-2022")</f>
        <v/>
      </c>
      <c r="Y1126">
        <f>HYPERLINK("https://klasma.github.io/Logging_2260/tillsynsmail/A 41825-2022 tillsynsbegäran mail.docx", "A 41825-2022")</f>
        <v/>
      </c>
    </row>
    <row r="1127" ht="15" customHeight="1">
      <c r="A1127" t="inlineStr">
        <is>
          <t>A 35581-2024</t>
        </is>
      </c>
      <c r="B1127" s="1" t="n">
        <v>45531</v>
      </c>
      <c r="C1127" s="1" t="n">
        <v>46046</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35582-2024</t>
        </is>
      </c>
      <c r="B1128" s="1" t="n">
        <v>45531.64800925926</v>
      </c>
      <c r="C1128" s="1" t="n">
        <v>46046</v>
      </c>
      <c r="D1128" t="inlineStr">
        <is>
          <t>VÄSTERNORRLANDS LÄN</t>
        </is>
      </c>
      <c r="E1128" t="inlineStr">
        <is>
          <t>ÅNGE</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4904-2024</t>
        </is>
      </c>
      <c r="B1129" s="1" t="n">
        <v>45329.47856481482</v>
      </c>
      <c r="C1129" s="1" t="n">
        <v>46046</v>
      </c>
      <c r="D1129" t="inlineStr">
        <is>
          <t>VÄSTERNORRLANDS LÄN</t>
        </is>
      </c>
      <c r="E1129" t="inlineStr">
        <is>
          <t>ÅNGE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57592-2022</t>
        </is>
      </c>
      <c r="B1130" s="1" t="n">
        <v>44896.97841435186</v>
      </c>
      <c r="C1130" s="1" t="n">
        <v>46046</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57602-2022</t>
        </is>
      </c>
      <c r="B1131" s="1" t="n">
        <v>44896</v>
      </c>
      <c r="C1131" s="1" t="n">
        <v>46046</v>
      </c>
      <c r="D1131" t="inlineStr">
        <is>
          <t>VÄSTERNORRLANDS LÄN</t>
        </is>
      </c>
      <c r="E1131" t="inlineStr">
        <is>
          <t>ÅNGE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22680-2024</t>
        </is>
      </c>
      <c r="B1132" s="1" t="n">
        <v>45447.94548611111</v>
      </c>
      <c r="C1132" s="1" t="n">
        <v>46046</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46046</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13501-2021</t>
        </is>
      </c>
      <c r="B1134" s="1" t="n">
        <v>44273</v>
      </c>
      <c r="C1134" s="1" t="n">
        <v>46046</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3624-2024</t>
        </is>
      </c>
      <c r="B1135" s="1" t="n">
        <v>45320.95305555555</v>
      </c>
      <c r="C1135" s="1" t="n">
        <v>46046</v>
      </c>
      <c r="D1135" t="inlineStr">
        <is>
          <t>VÄSTERNORRLANDS LÄN</t>
        </is>
      </c>
      <c r="E1135" t="inlineStr">
        <is>
          <t>ÅNGE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10922-2024</t>
        </is>
      </c>
      <c r="B1136" s="1" t="n">
        <v>45370</v>
      </c>
      <c r="C1136" s="1" t="n">
        <v>46046</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39434-2025</t>
        </is>
      </c>
      <c r="B1137" s="1" t="n">
        <v>45889.67811342593</v>
      </c>
      <c r="C1137" s="1" t="n">
        <v>46046</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39444-2025</t>
        </is>
      </c>
      <c r="B1138" s="1" t="n">
        <v>45889.69826388889</v>
      </c>
      <c r="C1138" s="1" t="n">
        <v>46046</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46681-2023</t>
        </is>
      </c>
      <c r="B1139" s="1" t="n">
        <v>45198</v>
      </c>
      <c r="C1139" s="1" t="n">
        <v>46046</v>
      </c>
      <c r="D1139" t="inlineStr">
        <is>
          <t>VÄSTERNORRLANDS LÄN</t>
        </is>
      </c>
      <c r="E1139" t="inlineStr">
        <is>
          <t>ÅNGE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46255-2023</t>
        </is>
      </c>
      <c r="B1140" s="1" t="n">
        <v>45196</v>
      </c>
      <c r="C1140" s="1" t="n">
        <v>46046</v>
      </c>
      <c r="D1140" t="inlineStr">
        <is>
          <t>VÄSTERNORRLANDS LÄN</t>
        </is>
      </c>
      <c r="E1140" t="inlineStr">
        <is>
          <t>ÅNGE</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32051-2025</t>
        </is>
      </c>
      <c r="B1141" s="1" t="n">
        <v>45835.44185185185</v>
      </c>
      <c r="C1141" s="1" t="n">
        <v>46046</v>
      </c>
      <c r="D1141" t="inlineStr">
        <is>
          <t>VÄSTERNORRLANDS LÄN</t>
        </is>
      </c>
      <c r="E1141" t="inlineStr">
        <is>
          <t>ÅNGE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55197-2022</t>
        </is>
      </c>
      <c r="B1142" s="1" t="n">
        <v>44886.93714120371</v>
      </c>
      <c r="C1142" s="1" t="n">
        <v>46046</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18617-2024</t>
        </is>
      </c>
      <c r="B1143" s="1" t="n">
        <v>45425</v>
      </c>
      <c r="C1143" s="1" t="n">
        <v>46046</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18869-2024</t>
        </is>
      </c>
      <c r="B1144" s="1" t="n">
        <v>45426</v>
      </c>
      <c r="C1144" s="1" t="n">
        <v>46046</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37540-2024</t>
        </is>
      </c>
      <c r="B1145" s="1" t="n">
        <v>45541.42111111111</v>
      </c>
      <c r="C1145" s="1" t="n">
        <v>46046</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42958-2024</t>
        </is>
      </c>
      <c r="B1146" s="1" t="n">
        <v>45567.37131944444</v>
      </c>
      <c r="C1146" s="1" t="n">
        <v>46046</v>
      </c>
      <c r="D1146" t="inlineStr">
        <is>
          <t>VÄSTERNORRLANDS LÄN</t>
        </is>
      </c>
      <c r="E1146" t="inlineStr">
        <is>
          <t>ÅNGE</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42969-2024</t>
        </is>
      </c>
      <c r="B1147" s="1" t="n">
        <v>45567.37300925926</v>
      </c>
      <c r="C1147" s="1" t="n">
        <v>46046</v>
      </c>
      <c r="D1147" t="inlineStr">
        <is>
          <t>VÄSTERNORRLANDS LÄN</t>
        </is>
      </c>
      <c r="E1147" t="inlineStr">
        <is>
          <t>ÅNGE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39768-2025</t>
        </is>
      </c>
      <c r="B1148" s="1" t="n">
        <v>45891.44842592593</v>
      </c>
      <c r="C1148" s="1" t="n">
        <v>46046</v>
      </c>
      <c r="D1148" t="inlineStr">
        <is>
          <t>VÄSTERNORRLANDS LÄN</t>
        </is>
      </c>
      <c r="E1148" t="inlineStr">
        <is>
          <t>ÅNGE</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49502-2022</t>
        </is>
      </c>
      <c r="B1149" s="1" t="n">
        <v>44861.92613425926</v>
      </c>
      <c r="C1149" s="1" t="n">
        <v>46046</v>
      </c>
      <c r="D1149" t="inlineStr">
        <is>
          <t>VÄSTERNORRLANDS LÄN</t>
        </is>
      </c>
      <c r="E1149" t="inlineStr">
        <is>
          <t>ÅNGE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39729-2025</t>
        </is>
      </c>
      <c r="B1150" s="1" t="n">
        <v>45891</v>
      </c>
      <c r="C1150" s="1" t="n">
        <v>46046</v>
      </c>
      <c r="D1150" t="inlineStr">
        <is>
          <t>VÄSTERNORRLANDS LÄN</t>
        </is>
      </c>
      <c r="E1150" t="inlineStr">
        <is>
          <t>ÅNGE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16450-2025</t>
        </is>
      </c>
      <c r="B1151" s="1" t="n">
        <v>45751.51081018519</v>
      </c>
      <c r="C1151" s="1" t="n">
        <v>46046</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38795-2023</t>
        </is>
      </c>
      <c r="B1152" s="1" t="n">
        <v>45162</v>
      </c>
      <c r="C1152" s="1" t="n">
        <v>46046</v>
      </c>
      <c r="D1152" t="inlineStr">
        <is>
          <t>VÄSTERNORRLANDS LÄN</t>
        </is>
      </c>
      <c r="E1152" t="inlineStr">
        <is>
          <t>ÅNGE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17601-2024</t>
        </is>
      </c>
      <c r="B1153" s="1" t="n">
        <v>45415</v>
      </c>
      <c r="C1153" s="1" t="n">
        <v>46046</v>
      </c>
      <c r="D1153" t="inlineStr">
        <is>
          <t>VÄSTERNORRLANDS LÄN</t>
        </is>
      </c>
      <c r="E1153" t="inlineStr">
        <is>
          <t>ÅNGE</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34649-2024</t>
        </is>
      </c>
      <c r="B1154" s="1" t="n">
        <v>45526.48325231481</v>
      </c>
      <c r="C1154" s="1" t="n">
        <v>46046</v>
      </c>
      <c r="D1154" t="inlineStr">
        <is>
          <t>VÄSTERNORRLANDS LÄN</t>
        </is>
      </c>
      <c r="E1154" t="inlineStr">
        <is>
          <t>ÅNGE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13091-2024</t>
        </is>
      </c>
      <c r="B1155" s="1" t="n">
        <v>45385</v>
      </c>
      <c r="C1155" s="1" t="n">
        <v>46046</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20108-2025</t>
        </is>
      </c>
      <c r="B1156" s="1" t="n">
        <v>45772.47006944445</v>
      </c>
      <c r="C1156" s="1" t="n">
        <v>46046</v>
      </c>
      <c r="D1156" t="inlineStr">
        <is>
          <t>VÄSTERNORRLANDS LÄN</t>
        </is>
      </c>
      <c r="E1156" t="inlineStr">
        <is>
          <t>ÅNGE</t>
        </is>
      </c>
      <c r="F1156" t="inlineStr">
        <is>
          <t>Naturvårdsverket</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50419-2022</t>
        </is>
      </c>
      <c r="B1157" s="1" t="n">
        <v>44861</v>
      </c>
      <c r="C1157" s="1" t="n">
        <v>46046</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8627-2023</t>
        </is>
      </c>
      <c r="B1158" s="1" t="n">
        <v>44977</v>
      </c>
      <c r="C1158" s="1" t="n">
        <v>46046</v>
      </c>
      <c r="D1158" t="inlineStr">
        <is>
          <t>VÄSTERNORRLANDS LÄN</t>
        </is>
      </c>
      <c r="E1158" t="inlineStr">
        <is>
          <t>ÅNGE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49532-2024</t>
        </is>
      </c>
      <c r="B1159" s="1" t="n">
        <v>45596.41797453703</v>
      </c>
      <c r="C1159" s="1" t="n">
        <v>46046</v>
      </c>
      <c r="D1159" t="inlineStr">
        <is>
          <t>VÄSTERNORRLANDS LÄN</t>
        </is>
      </c>
      <c r="E1159" t="inlineStr">
        <is>
          <t>ÅNGE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11088-2024</t>
        </is>
      </c>
      <c r="B1160" s="1" t="n">
        <v>45370</v>
      </c>
      <c r="C1160" s="1" t="n">
        <v>46046</v>
      </c>
      <c r="D1160" t="inlineStr">
        <is>
          <t>VÄSTERNORRLANDS LÄN</t>
        </is>
      </c>
      <c r="E1160" t="inlineStr">
        <is>
          <t>ÅNGE</t>
        </is>
      </c>
      <c r="F1160" t="inlineStr">
        <is>
          <t>SCA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33720-2025</t>
        </is>
      </c>
      <c r="B1161" s="1" t="n">
        <v>45841.90605324074</v>
      </c>
      <c r="C1161" s="1" t="n">
        <v>46046</v>
      </c>
      <c r="D1161" t="inlineStr">
        <is>
          <t>VÄSTERNORRLANDS LÄN</t>
        </is>
      </c>
      <c r="E1161" t="inlineStr">
        <is>
          <t>ÅNGE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13773-2024</t>
        </is>
      </c>
      <c r="B1162" s="1" t="n">
        <v>45390.95297453704</v>
      </c>
      <c r="C1162" s="1" t="n">
        <v>46046</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30348-2024</t>
        </is>
      </c>
      <c r="B1163" s="1" t="n">
        <v>45490.95524305556</v>
      </c>
      <c r="C1163" s="1" t="n">
        <v>46046</v>
      </c>
      <c r="D1163" t="inlineStr">
        <is>
          <t>VÄSTERNORRLANDS LÄN</t>
        </is>
      </c>
      <c r="E1163" t="inlineStr">
        <is>
          <t>ÅNGE</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35578-2025</t>
        </is>
      </c>
      <c r="B1164" s="1" t="n">
        <v>45856.67797453704</v>
      </c>
      <c r="C1164" s="1" t="n">
        <v>46046</v>
      </c>
      <c r="D1164" t="inlineStr">
        <is>
          <t>VÄSTERNORRLANDS LÄN</t>
        </is>
      </c>
      <c r="E1164" t="inlineStr">
        <is>
          <t>ÅNGE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54210-2024</t>
        </is>
      </c>
      <c r="B1165" s="1" t="n">
        <v>45616.65662037037</v>
      </c>
      <c r="C1165" s="1" t="n">
        <v>46046</v>
      </c>
      <c r="D1165" t="inlineStr">
        <is>
          <t>VÄSTERNORRLANDS LÄN</t>
        </is>
      </c>
      <c r="E1165" t="inlineStr">
        <is>
          <t>ÅNGE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12807-2025</t>
        </is>
      </c>
      <c r="B1166" s="1" t="n">
        <v>45733.61537037037</v>
      </c>
      <c r="C1166" s="1" t="n">
        <v>46046</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40818-2025</t>
        </is>
      </c>
      <c r="B1167" s="1" t="n">
        <v>45897.48881944444</v>
      </c>
      <c r="C1167" s="1" t="n">
        <v>46046</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40830-2025</t>
        </is>
      </c>
      <c r="B1168" s="1" t="n">
        <v>45897.51079861111</v>
      </c>
      <c r="C1168" s="1" t="n">
        <v>46046</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5602-2025</t>
        </is>
      </c>
      <c r="B1169" s="1" t="n">
        <v>45693</v>
      </c>
      <c r="C1169" s="1" t="n">
        <v>46046</v>
      </c>
      <c r="D1169" t="inlineStr">
        <is>
          <t>VÄSTERNORRLANDS LÄN</t>
        </is>
      </c>
      <c r="E1169" t="inlineStr">
        <is>
          <t>ÅNGE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40872-2025</t>
        </is>
      </c>
      <c r="B1170" s="1" t="n">
        <v>45897.574375</v>
      </c>
      <c r="C1170" s="1" t="n">
        <v>46046</v>
      </c>
      <c r="D1170" t="inlineStr">
        <is>
          <t>VÄSTERNORRLANDS LÄN</t>
        </is>
      </c>
      <c r="E1170" t="inlineStr">
        <is>
          <t>ÅNGE</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60578-2024</t>
        </is>
      </c>
      <c r="B1171" s="1" t="n">
        <v>45644.34434027778</v>
      </c>
      <c r="C1171" s="1" t="n">
        <v>46046</v>
      </c>
      <c r="D1171" t="inlineStr">
        <is>
          <t>VÄSTERNORRLANDS LÄN</t>
        </is>
      </c>
      <c r="E1171" t="inlineStr">
        <is>
          <t>ÅNGE</t>
        </is>
      </c>
      <c r="F1171" t="inlineStr">
        <is>
          <t>SCA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40665-2025</t>
        </is>
      </c>
      <c r="B1172" s="1" t="n">
        <v>45896.65663194445</v>
      </c>
      <c r="C1172" s="1" t="n">
        <v>46046</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40898-2025</t>
        </is>
      </c>
      <c r="B1173" s="1" t="n">
        <v>45897.61503472222</v>
      </c>
      <c r="C1173" s="1" t="n">
        <v>46046</v>
      </c>
      <c r="D1173" t="inlineStr">
        <is>
          <t>VÄSTERNORRLANDS LÄN</t>
        </is>
      </c>
      <c r="E1173" t="inlineStr">
        <is>
          <t>ÅNGE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40899-2025</t>
        </is>
      </c>
      <c r="B1174" s="1" t="n">
        <v>45897.61528935185</v>
      </c>
      <c r="C1174" s="1" t="n">
        <v>46046</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41179-2025</t>
        </is>
      </c>
      <c r="B1175" s="1" t="n">
        <v>45898.55277777778</v>
      </c>
      <c r="C1175" s="1" t="n">
        <v>46046</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41173-2025</t>
        </is>
      </c>
      <c r="B1176" s="1" t="n">
        <v>45898</v>
      </c>
      <c r="C1176" s="1" t="n">
        <v>46046</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33302-2024</t>
        </is>
      </c>
      <c r="B1177" s="1" t="n">
        <v>45518.96967592592</v>
      </c>
      <c r="C1177" s="1" t="n">
        <v>46046</v>
      </c>
      <c r="D1177" t="inlineStr">
        <is>
          <t>VÄSTERNORRLANDS LÄN</t>
        </is>
      </c>
      <c r="E1177" t="inlineStr">
        <is>
          <t>ÅNGE</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16593-2023</t>
        </is>
      </c>
      <c r="B1178" s="1" t="n">
        <v>45030</v>
      </c>
      <c r="C1178" s="1" t="n">
        <v>46046</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16600-2023</t>
        </is>
      </c>
      <c r="B1179" s="1" t="n">
        <v>45030</v>
      </c>
      <c r="C1179" s="1" t="n">
        <v>46046</v>
      </c>
      <c r="D1179" t="inlineStr">
        <is>
          <t>VÄSTERNORRLANDS LÄN</t>
        </is>
      </c>
      <c r="E1179" t="inlineStr">
        <is>
          <t>ÅNGE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41355-2025</t>
        </is>
      </c>
      <c r="B1180" s="1" t="n">
        <v>45900.34425925926</v>
      </c>
      <c r="C1180" s="1" t="n">
        <v>46046</v>
      </c>
      <c r="D1180" t="inlineStr">
        <is>
          <t>VÄSTERNORRLANDS LÄN</t>
        </is>
      </c>
      <c r="E1180" t="inlineStr">
        <is>
          <t>ÅNGE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10917-2024</t>
        </is>
      </c>
      <c r="B1181" s="1" t="n">
        <v>45370</v>
      </c>
      <c r="C1181" s="1" t="n">
        <v>46046</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3022-2023</t>
        </is>
      </c>
      <c r="B1182" s="1" t="n">
        <v>44945</v>
      </c>
      <c r="C1182" s="1" t="n">
        <v>46046</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41872-2025</t>
        </is>
      </c>
      <c r="B1183" s="1" t="n">
        <v>45903.34497685185</v>
      </c>
      <c r="C1183" s="1" t="n">
        <v>46046</v>
      </c>
      <c r="D1183" t="inlineStr">
        <is>
          <t>VÄSTERNORRLANDS LÄN</t>
        </is>
      </c>
      <c r="E1183" t="inlineStr">
        <is>
          <t>ÅNGE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34491-2023</t>
        </is>
      </c>
      <c r="B1184" s="1" t="n">
        <v>45139.94775462963</v>
      </c>
      <c r="C1184" s="1" t="n">
        <v>46046</v>
      </c>
      <c r="D1184" t="inlineStr">
        <is>
          <t>VÄSTERNORRLANDS LÄN</t>
        </is>
      </c>
      <c r="E1184" t="inlineStr">
        <is>
          <t>ÅNGE</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3947-2025</t>
        </is>
      </c>
      <c r="B1185" s="1" t="n">
        <v>45684.49001157407</v>
      </c>
      <c r="C1185" s="1" t="n">
        <v>46046</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41870-2025</t>
        </is>
      </c>
      <c r="B1186" s="1" t="n">
        <v>45903.3446412037</v>
      </c>
      <c r="C1186" s="1" t="n">
        <v>46046</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65633-2021</t>
        </is>
      </c>
      <c r="B1187" s="1" t="n">
        <v>44516.56181712963</v>
      </c>
      <c r="C1187" s="1" t="n">
        <v>46046</v>
      </c>
      <c r="D1187" t="inlineStr">
        <is>
          <t>VÄSTERNORRLANDS LÄN</t>
        </is>
      </c>
      <c r="E1187" t="inlineStr">
        <is>
          <t>ÅNGE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36457-2021</t>
        </is>
      </c>
      <c r="B1188" s="1" t="n">
        <v>44390.93858796296</v>
      </c>
      <c r="C1188" s="1" t="n">
        <v>46046</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14927-2025</t>
        </is>
      </c>
      <c r="B1189" s="1" t="n">
        <v>45743</v>
      </c>
      <c r="C1189" s="1" t="n">
        <v>46046</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15167-2025</t>
        </is>
      </c>
      <c r="B1190" s="1" t="n">
        <v>45744.49009259259</v>
      </c>
      <c r="C1190" s="1" t="n">
        <v>46046</v>
      </c>
      <c r="D1190" t="inlineStr">
        <is>
          <t>VÄSTERNORRLANDS LÄN</t>
        </is>
      </c>
      <c r="E1190" t="inlineStr">
        <is>
          <t>ÅNGE</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64950-2023</t>
        </is>
      </c>
      <c r="B1191" s="1" t="n">
        <v>45282</v>
      </c>
      <c r="C1191" s="1" t="n">
        <v>46046</v>
      </c>
      <c r="D1191" t="inlineStr">
        <is>
          <t>VÄSTERNORRLANDS LÄN</t>
        </is>
      </c>
      <c r="E1191" t="inlineStr">
        <is>
          <t>ÅNGE</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24063-2023</t>
        </is>
      </c>
      <c r="B1192" s="1" t="n">
        <v>45078.94140046297</v>
      </c>
      <c r="C1192" s="1" t="n">
        <v>46046</v>
      </c>
      <c r="D1192" t="inlineStr">
        <is>
          <t>VÄSTERNORRLANDS LÄN</t>
        </is>
      </c>
      <c r="E1192" t="inlineStr">
        <is>
          <t>ÅNGE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5035-2025</t>
        </is>
      </c>
      <c r="B1193" s="1" t="n">
        <v>45691</v>
      </c>
      <c r="C1193" s="1" t="n">
        <v>46046</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21456-2025</t>
        </is>
      </c>
      <c r="B1194" s="1" t="n">
        <v>45782.55342592593</v>
      </c>
      <c r="C1194" s="1" t="n">
        <v>46046</v>
      </c>
      <c r="D1194" t="inlineStr">
        <is>
          <t>VÄSTERNORRLANDS LÄN</t>
        </is>
      </c>
      <c r="E1194" t="inlineStr">
        <is>
          <t>ÅNGE</t>
        </is>
      </c>
      <c r="F1194" t="inlineStr">
        <is>
          <t>SCA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42589-2025</t>
        </is>
      </c>
      <c r="B1195" s="1" t="n">
        <v>45905.63585648148</v>
      </c>
      <c r="C1195" s="1" t="n">
        <v>46046</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9619-2021</t>
        </is>
      </c>
      <c r="B1196" s="1" t="n">
        <v>44251</v>
      </c>
      <c r="C1196" s="1" t="n">
        <v>46046</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49711-2024</t>
        </is>
      </c>
      <c r="B1197" s="1" t="n">
        <v>45596.69891203703</v>
      </c>
      <c r="C1197" s="1" t="n">
        <v>46046</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3323-2023</t>
        </is>
      </c>
      <c r="B1198" s="1" t="n">
        <v>44945</v>
      </c>
      <c r="C1198" s="1" t="n">
        <v>46046</v>
      </c>
      <c r="D1198" t="inlineStr">
        <is>
          <t>VÄSTERNORRLANDS LÄN</t>
        </is>
      </c>
      <c r="E1198" t="inlineStr">
        <is>
          <t>ÅNGE</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1711-2025</t>
        </is>
      </c>
      <c r="B1199" s="1" t="n">
        <v>45671.31184027778</v>
      </c>
      <c r="C1199" s="1" t="n">
        <v>46046</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1714-2025</t>
        </is>
      </c>
      <c r="B1200" s="1" t="n">
        <v>45671.32474537037</v>
      </c>
      <c r="C1200" s="1" t="n">
        <v>46046</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31866-2024</t>
        </is>
      </c>
      <c r="B1201" s="1" t="n">
        <v>45509</v>
      </c>
      <c r="C1201" s="1" t="n">
        <v>46046</v>
      </c>
      <c r="D1201" t="inlineStr">
        <is>
          <t>VÄSTERNORRLANDS LÄN</t>
        </is>
      </c>
      <c r="E1201" t="inlineStr">
        <is>
          <t>ÅNGE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31867-2024</t>
        </is>
      </c>
      <c r="B1202" s="1" t="n">
        <v>45509</v>
      </c>
      <c r="C1202" s="1" t="n">
        <v>46046</v>
      </c>
      <c r="D1202" t="inlineStr">
        <is>
          <t>VÄSTERNORRLANDS LÄN</t>
        </is>
      </c>
      <c r="E1202" t="inlineStr">
        <is>
          <t>ÅNGE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33428-2023</t>
        </is>
      </c>
      <c r="B1203" s="1" t="n">
        <v>45128.94976851852</v>
      </c>
      <c r="C1203" s="1" t="n">
        <v>46046</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10557-2023</t>
        </is>
      </c>
      <c r="B1204" s="1" t="n">
        <v>44987</v>
      </c>
      <c r="C1204" s="1" t="n">
        <v>46046</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42786-2025</t>
        </is>
      </c>
      <c r="B1205" s="1" t="n">
        <v>45908.51097222222</v>
      </c>
      <c r="C1205" s="1" t="n">
        <v>46046</v>
      </c>
      <c r="D1205" t="inlineStr">
        <is>
          <t>VÄSTERNORRLANDS LÄN</t>
        </is>
      </c>
      <c r="E1205" t="inlineStr">
        <is>
          <t>ÅNGE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19926-2025</t>
        </is>
      </c>
      <c r="B1206" s="1" t="n">
        <v>45771.6357175926</v>
      </c>
      <c r="C1206" s="1" t="n">
        <v>46046</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42863-2025</t>
        </is>
      </c>
      <c r="B1207" s="1" t="n">
        <v>45908.61527777778</v>
      </c>
      <c r="C1207" s="1" t="n">
        <v>46046</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42785-2025</t>
        </is>
      </c>
      <c r="B1208" s="1" t="n">
        <v>45908.51083333333</v>
      </c>
      <c r="C1208" s="1" t="n">
        <v>46046</v>
      </c>
      <c r="D1208" t="inlineStr">
        <is>
          <t>VÄSTERNORRLANDS LÄN</t>
        </is>
      </c>
      <c r="E1208" t="inlineStr">
        <is>
          <t>ÅNGE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42889-2025</t>
        </is>
      </c>
      <c r="B1209" s="1" t="n">
        <v>45908.65546296296</v>
      </c>
      <c r="C1209" s="1" t="n">
        <v>46046</v>
      </c>
      <c r="D1209" t="inlineStr">
        <is>
          <t>VÄSTERNORRLANDS LÄN</t>
        </is>
      </c>
      <c r="E1209" t="inlineStr">
        <is>
          <t>ÅNGE</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6610-2025</t>
        </is>
      </c>
      <c r="B1210" s="1" t="n">
        <v>45700</v>
      </c>
      <c r="C1210" s="1" t="n">
        <v>46046</v>
      </c>
      <c r="D1210" t="inlineStr">
        <is>
          <t>VÄSTERNORRLANDS LÄN</t>
        </is>
      </c>
      <c r="E1210" t="inlineStr">
        <is>
          <t>ÅNGE</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42764-2025</t>
        </is>
      </c>
      <c r="B1211" s="1" t="n">
        <v>45908.46943287037</v>
      </c>
      <c r="C1211" s="1" t="n">
        <v>46046</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42731-2025</t>
        </is>
      </c>
      <c r="B1212" s="1" t="n">
        <v>45908.40686342592</v>
      </c>
      <c r="C1212" s="1" t="n">
        <v>46046</v>
      </c>
      <c r="D1212" t="inlineStr">
        <is>
          <t>VÄSTERNORRLANDS LÄN</t>
        </is>
      </c>
      <c r="E1212" t="inlineStr">
        <is>
          <t>ÅNGE</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43077-2025</t>
        </is>
      </c>
      <c r="B1213" s="1" t="n">
        <v>45909.6046412037</v>
      </c>
      <c r="C1213" s="1" t="n">
        <v>46046</v>
      </c>
      <c r="D1213" t="inlineStr">
        <is>
          <t>VÄSTERNORRLANDS LÄN</t>
        </is>
      </c>
      <c r="E1213" t="inlineStr">
        <is>
          <t>ÅNGE</t>
        </is>
      </c>
      <c r="F1213" t="inlineStr">
        <is>
          <t>Kyrkan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42880-2025</t>
        </is>
      </c>
      <c r="B1214" s="1" t="n">
        <v>45908.63599537037</v>
      </c>
      <c r="C1214" s="1" t="n">
        <v>46046</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46046</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58997-2023</t>
        </is>
      </c>
      <c r="B1216" s="1" t="n">
        <v>45252.6352662037</v>
      </c>
      <c r="C1216" s="1" t="n">
        <v>46046</v>
      </c>
      <c r="D1216" t="inlineStr">
        <is>
          <t>VÄSTERNORRLANDS LÄN</t>
        </is>
      </c>
      <c r="E1216" t="inlineStr">
        <is>
          <t>ÅNGE</t>
        </is>
      </c>
      <c r="F1216" t="inlineStr">
        <is>
          <t>Övriga Aktiebolag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3-2025</t>
        </is>
      </c>
      <c r="B1217" s="1" t="n">
        <v>45658.49819444444</v>
      </c>
      <c r="C1217" s="1" t="n">
        <v>46046</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44639-2023</t>
        </is>
      </c>
      <c r="B1218" s="1" t="n">
        <v>45184</v>
      </c>
      <c r="C1218" s="1" t="n">
        <v>46046</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43552-2023</t>
        </is>
      </c>
      <c r="B1219" s="1" t="n">
        <v>45181</v>
      </c>
      <c r="C1219" s="1" t="n">
        <v>46046</v>
      </c>
      <c r="D1219" t="inlineStr">
        <is>
          <t>VÄSTERNORRLANDS LÄN</t>
        </is>
      </c>
      <c r="E1219" t="inlineStr">
        <is>
          <t>ÅNGE</t>
        </is>
      </c>
      <c r="F1219" t="inlineStr">
        <is>
          <t>SCA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1735-2025</t>
        </is>
      </c>
      <c r="B1220" s="1" t="n">
        <v>45671.38594907407</v>
      </c>
      <c r="C1220" s="1" t="n">
        <v>46046</v>
      </c>
      <c r="D1220" t="inlineStr">
        <is>
          <t>VÄSTERNORRLANDS LÄN</t>
        </is>
      </c>
      <c r="E1220" t="inlineStr">
        <is>
          <t>ÅNGE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43091-2025</t>
        </is>
      </c>
      <c r="B1221" s="1" t="n">
        <v>45909.62511574074</v>
      </c>
      <c r="C1221" s="1" t="n">
        <v>46046</v>
      </c>
      <c r="D1221" t="inlineStr">
        <is>
          <t>VÄSTERNORRLANDS LÄN</t>
        </is>
      </c>
      <c r="E1221" t="inlineStr">
        <is>
          <t>ÅNGE</t>
        </is>
      </c>
      <c r="F1221" t="inlineStr">
        <is>
          <t>Kyrkan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23018-2021</t>
        </is>
      </c>
      <c r="B1222" s="1" t="n">
        <v>44328</v>
      </c>
      <c r="C1222" s="1" t="n">
        <v>46046</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42730-2025</t>
        </is>
      </c>
      <c r="B1223" s="1" t="n">
        <v>45908.40666666667</v>
      </c>
      <c r="C1223" s="1" t="n">
        <v>46046</v>
      </c>
      <c r="D1223" t="inlineStr">
        <is>
          <t>VÄSTERNORRLANDS LÄN</t>
        </is>
      </c>
      <c r="E1223" t="inlineStr">
        <is>
          <t>ÅNGE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43237-2025</t>
        </is>
      </c>
      <c r="B1224" s="1" t="n">
        <v>45910.51670138889</v>
      </c>
      <c r="C1224" s="1" t="n">
        <v>46046</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43250-2025</t>
        </is>
      </c>
      <c r="B1225" s="1" t="n">
        <v>45910.5525462963</v>
      </c>
      <c r="C1225" s="1" t="n">
        <v>46046</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50231-2024</t>
        </is>
      </c>
      <c r="B1226" s="1" t="n">
        <v>45600.55251157407</v>
      </c>
      <c r="C1226" s="1" t="n">
        <v>46046</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43252-2025</t>
        </is>
      </c>
      <c r="B1227" s="1" t="n">
        <v>45910.55292824074</v>
      </c>
      <c r="C1227" s="1" t="n">
        <v>46046</v>
      </c>
      <c r="D1227" t="inlineStr">
        <is>
          <t>VÄSTERNORRLANDS LÄN</t>
        </is>
      </c>
      <c r="E1227" t="inlineStr">
        <is>
          <t>ÅNGE</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43415-2025</t>
        </is>
      </c>
      <c r="B1228" s="1" t="n">
        <v>45911.40662037037</v>
      </c>
      <c r="C1228" s="1" t="n">
        <v>46046</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43386-2025</t>
        </is>
      </c>
      <c r="B1229" s="1" t="n">
        <v>45911.36520833334</v>
      </c>
      <c r="C1229" s="1" t="n">
        <v>46046</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43385-2025</t>
        </is>
      </c>
      <c r="B1230" s="1" t="n">
        <v>45911.36508101852</v>
      </c>
      <c r="C1230" s="1" t="n">
        <v>46046</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43546-2025</t>
        </is>
      </c>
      <c r="B1231" s="1" t="n">
        <v>45911.6153125</v>
      </c>
      <c r="C1231" s="1" t="n">
        <v>46046</v>
      </c>
      <c r="D1231" t="inlineStr">
        <is>
          <t>VÄSTERNORRLANDS LÄN</t>
        </is>
      </c>
      <c r="E1231" t="inlineStr">
        <is>
          <t>ÅNGE</t>
        </is>
      </c>
      <c r="F1231" t="inlineStr">
        <is>
          <t>SCA</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43389-2025</t>
        </is>
      </c>
      <c r="B1232" s="1" t="n">
        <v>45911.36560185185</v>
      </c>
      <c r="C1232" s="1" t="n">
        <v>46046</v>
      </c>
      <c r="D1232" t="inlineStr">
        <is>
          <t>VÄSTERNORRLANDS LÄN</t>
        </is>
      </c>
      <c r="E1232" t="inlineStr">
        <is>
          <t>ÅNGE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60205-2023</t>
        </is>
      </c>
      <c r="B1233" s="1" t="n">
        <v>45257</v>
      </c>
      <c r="C1233" s="1" t="n">
        <v>46046</v>
      </c>
      <c r="D1233" t="inlineStr">
        <is>
          <t>VÄSTERNORRLANDS LÄN</t>
        </is>
      </c>
      <c r="E1233" t="inlineStr">
        <is>
          <t>ÅNGE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15287-2025</t>
        </is>
      </c>
      <c r="B1234" s="1" t="n">
        <v>45745</v>
      </c>
      <c r="C1234" s="1" t="n">
        <v>46046</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43221-2025</t>
        </is>
      </c>
      <c r="B1235" s="1" t="n">
        <v>45910.47981481482</v>
      </c>
      <c r="C1235" s="1" t="n">
        <v>46046</v>
      </c>
      <c r="D1235" t="inlineStr">
        <is>
          <t>VÄSTERNORRLANDS LÄN</t>
        </is>
      </c>
      <c r="E1235" t="inlineStr">
        <is>
          <t>ÅNGE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43265-2025</t>
        </is>
      </c>
      <c r="B1236" s="1" t="n">
        <v>45910.57377314815</v>
      </c>
      <c r="C1236" s="1" t="n">
        <v>46046</v>
      </c>
      <c r="D1236" t="inlineStr">
        <is>
          <t>VÄSTERNORRLANDS LÄN</t>
        </is>
      </c>
      <c r="E1236" t="inlineStr">
        <is>
          <t>ÅNGE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4186-2025</t>
        </is>
      </c>
      <c r="B1237" s="1" t="n">
        <v>45685.44827546296</v>
      </c>
      <c r="C1237" s="1" t="n">
        <v>46046</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53856-2024</t>
        </is>
      </c>
      <c r="B1238" s="1" t="n">
        <v>45615</v>
      </c>
      <c r="C1238" s="1" t="n">
        <v>46046</v>
      </c>
      <c r="D1238" t="inlineStr">
        <is>
          <t>VÄSTERNORRLANDS LÄN</t>
        </is>
      </c>
      <c r="E1238" t="inlineStr">
        <is>
          <t>ÅNGE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39991-2023</t>
        </is>
      </c>
      <c r="B1239" s="1" t="n">
        <v>45168.6043287037</v>
      </c>
      <c r="C1239" s="1" t="n">
        <v>46046</v>
      </c>
      <c r="D1239" t="inlineStr">
        <is>
          <t>VÄSTERNORRLANDS LÄN</t>
        </is>
      </c>
      <c r="E1239" t="inlineStr">
        <is>
          <t>ÅNGE</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1775-2023</t>
        </is>
      </c>
      <c r="B1240" s="1" t="n">
        <v>44938</v>
      </c>
      <c r="C1240" s="1" t="n">
        <v>46046</v>
      </c>
      <c r="D1240" t="inlineStr">
        <is>
          <t>VÄSTERNORRLANDS LÄN</t>
        </is>
      </c>
      <c r="E1240" t="inlineStr">
        <is>
          <t>ÅNGE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31182-2024</t>
        </is>
      </c>
      <c r="B1241" s="1" t="n">
        <v>45503</v>
      </c>
      <c r="C1241" s="1" t="n">
        <v>46046</v>
      </c>
      <c r="D1241" t="inlineStr">
        <is>
          <t>VÄSTERNORRLANDS LÄN</t>
        </is>
      </c>
      <c r="E1241" t="inlineStr">
        <is>
          <t>ÅNGE</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44165-2025</t>
        </is>
      </c>
      <c r="B1242" s="1" t="n">
        <v>45915.59840277778</v>
      </c>
      <c r="C1242" s="1" t="n">
        <v>46046</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56956-2022</t>
        </is>
      </c>
      <c r="B1243" s="1" t="n">
        <v>44894</v>
      </c>
      <c r="C1243" s="1" t="n">
        <v>46046</v>
      </c>
      <c r="D1243" t="inlineStr">
        <is>
          <t>VÄSTERNORRLANDS LÄN</t>
        </is>
      </c>
      <c r="E1243" t="inlineStr">
        <is>
          <t>ÅNGE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51059-2024</t>
        </is>
      </c>
      <c r="B1244" s="1" t="n">
        <v>45603</v>
      </c>
      <c r="C1244" s="1" t="n">
        <v>46046</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51054-2024</t>
        </is>
      </c>
      <c r="B1245" s="1" t="n">
        <v>45603</v>
      </c>
      <c r="C1245" s="1" t="n">
        <v>46046</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43707-2025</t>
        </is>
      </c>
      <c r="B1246" s="1" t="n">
        <v>45912.40668981482</v>
      </c>
      <c r="C1246" s="1" t="n">
        <v>46046</v>
      </c>
      <c r="D1246" t="inlineStr">
        <is>
          <t>VÄSTERNORRLANDS LÄN</t>
        </is>
      </c>
      <c r="E1246" t="inlineStr">
        <is>
          <t>ÅNGE</t>
        </is>
      </c>
      <c r="F1246" t="inlineStr">
        <is>
          <t>SCA</t>
        </is>
      </c>
      <c r="G1246" t="n">
        <v>12.5</v>
      </c>
      <c r="H1246" t="n">
        <v>0</v>
      </c>
      <c r="I1246" t="n">
        <v>0</v>
      </c>
      <c r="J1246" t="n">
        <v>0</v>
      </c>
      <c r="K1246" t="n">
        <v>0</v>
      </c>
      <c r="L1246" t="n">
        <v>0</v>
      </c>
      <c r="M1246" t="n">
        <v>0</v>
      </c>
      <c r="N1246" t="n">
        <v>0</v>
      </c>
      <c r="O1246" t="n">
        <v>0</v>
      </c>
      <c r="P1246" t="n">
        <v>0</v>
      </c>
      <c r="Q1246" t="n">
        <v>0</v>
      </c>
      <c r="R1246" s="2" t="inlineStr"/>
      <c r="U1246">
        <f>HYPERLINK("https://klasma.github.io/Logging_2260/knärot/A 43707-2025 karta knärot.png", "A 43707-2025")</f>
        <v/>
      </c>
      <c r="V1246">
        <f>HYPERLINK("https://klasma.github.io/Logging_2260/klagomål/A 43707-2025 FSC-klagomål.docx", "A 43707-2025")</f>
        <v/>
      </c>
      <c r="W1246">
        <f>HYPERLINK("https://klasma.github.io/Logging_2260/klagomålsmail/A 43707-2025 FSC-klagomål mail.docx", "A 43707-2025")</f>
        <v/>
      </c>
      <c r="X1246">
        <f>HYPERLINK("https://klasma.github.io/Logging_2260/tillsyn/A 43707-2025 tillsynsbegäran.docx", "A 43707-2025")</f>
        <v/>
      </c>
      <c r="Y1246">
        <f>HYPERLINK("https://klasma.github.io/Logging_2260/tillsynsmail/A 43707-2025 tillsynsbegäran mail.docx", "A 43707-2025")</f>
        <v/>
      </c>
    </row>
    <row r="1247" ht="15" customHeight="1">
      <c r="A1247" t="inlineStr">
        <is>
          <t>A 27321-2024</t>
        </is>
      </c>
      <c r="B1247" s="1" t="n">
        <v>45471</v>
      </c>
      <c r="C1247" s="1" t="n">
        <v>46046</v>
      </c>
      <c r="D1247" t="inlineStr">
        <is>
          <t>VÄSTERNORRLANDS LÄN</t>
        </is>
      </c>
      <c r="E1247" t="inlineStr">
        <is>
          <t>ÅNGE</t>
        </is>
      </c>
      <c r="F1247" t="inlineStr">
        <is>
          <t>SCA</t>
        </is>
      </c>
      <c r="G1247" t="n">
        <v>14.1</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45082.94226851852</v>
      </c>
      <c r="C1248" s="1" t="n">
        <v>46046</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29667-2024</t>
        </is>
      </c>
      <c r="B1249" s="1" t="n">
        <v>45484.94041666666</v>
      </c>
      <c r="C1249" s="1" t="n">
        <v>46046</v>
      </c>
      <c r="D1249" t="inlineStr">
        <is>
          <t>VÄSTERNORRLANDS LÄN</t>
        </is>
      </c>
      <c r="E1249" t="inlineStr">
        <is>
          <t>ÅNGE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8418-2023</t>
        </is>
      </c>
      <c r="B1250" s="1" t="n">
        <v>44971</v>
      </c>
      <c r="C1250" s="1" t="n">
        <v>46046</v>
      </c>
      <c r="D1250" t="inlineStr">
        <is>
          <t>VÄSTERNORRLANDS LÄN</t>
        </is>
      </c>
      <c r="E1250" t="inlineStr">
        <is>
          <t>ÅNGE</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20024-2023</t>
        </is>
      </c>
      <c r="B1251" s="1" t="n">
        <v>45051</v>
      </c>
      <c r="C1251" s="1" t="n">
        <v>46046</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54982-2023</t>
        </is>
      </c>
      <c r="B1252" s="1" t="n">
        <v>45236</v>
      </c>
      <c r="C1252" s="1" t="n">
        <v>46046</v>
      </c>
      <c r="D1252" t="inlineStr">
        <is>
          <t>VÄSTERNORRLANDS LÄN</t>
        </is>
      </c>
      <c r="E1252" t="inlineStr">
        <is>
          <t>ÅNGE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44919-2025</t>
        </is>
      </c>
      <c r="B1253" s="1" t="n">
        <v>45918.55246527777</v>
      </c>
      <c r="C1253" s="1" t="n">
        <v>46046</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44935-2025</t>
        </is>
      </c>
      <c r="B1254" s="1" t="n">
        <v>45918.57392361111</v>
      </c>
      <c r="C1254" s="1" t="n">
        <v>46046</v>
      </c>
      <c r="D1254" t="inlineStr">
        <is>
          <t>VÄSTERNORRLANDS LÄN</t>
        </is>
      </c>
      <c r="E1254" t="inlineStr">
        <is>
          <t>ÅNGE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45939-2023</t>
        </is>
      </c>
      <c r="B1255" s="1" t="n">
        <v>45195.94578703704</v>
      </c>
      <c r="C1255" s="1" t="n">
        <v>46046</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51311-2022</t>
        </is>
      </c>
      <c r="B1256" s="1" t="n">
        <v>44868</v>
      </c>
      <c r="C1256" s="1" t="n">
        <v>46046</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63216-2023</t>
        </is>
      </c>
      <c r="B1257" s="1" t="n">
        <v>45273.62721064815</v>
      </c>
      <c r="C1257" s="1" t="n">
        <v>46046</v>
      </c>
      <c r="D1257" t="inlineStr">
        <is>
          <t>VÄSTERNORRLANDS LÄN</t>
        </is>
      </c>
      <c r="E1257" t="inlineStr">
        <is>
          <t>ÅNGE</t>
        </is>
      </c>
      <c r="F1257" t="inlineStr">
        <is>
          <t>Holmen skog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45403-2025</t>
        </is>
      </c>
      <c r="B1258" s="1" t="n">
        <v>45922.42803240741</v>
      </c>
      <c r="C1258" s="1" t="n">
        <v>46046</v>
      </c>
      <c r="D1258" t="inlineStr">
        <is>
          <t>VÄSTERNORRLANDS LÄN</t>
        </is>
      </c>
      <c r="E1258" t="inlineStr">
        <is>
          <t>ÅNGE</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43916-2023</t>
        </is>
      </c>
      <c r="B1259" s="1" t="n">
        <v>45187.72152777778</v>
      </c>
      <c r="C1259" s="1" t="n">
        <v>46046</v>
      </c>
      <c r="D1259" t="inlineStr">
        <is>
          <t>VÄSTERNORRLANDS LÄN</t>
        </is>
      </c>
      <c r="E1259" t="inlineStr">
        <is>
          <t>ÅNGE</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19065-2025</t>
        </is>
      </c>
      <c r="B1260" s="1" t="n">
        <v>45765</v>
      </c>
      <c r="C1260" s="1" t="n">
        <v>46046</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36492-2023</t>
        </is>
      </c>
      <c r="B1261" s="1" t="n">
        <v>45152.92479166666</v>
      </c>
      <c r="C1261" s="1" t="n">
        <v>46046</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45401-2025</t>
        </is>
      </c>
      <c r="B1262" s="1" t="n">
        <v>45922.42767361111</v>
      </c>
      <c r="C1262" s="1" t="n">
        <v>46046</v>
      </c>
      <c r="D1262" t="inlineStr">
        <is>
          <t>VÄSTERNORRLANDS LÄN</t>
        </is>
      </c>
      <c r="E1262" t="inlineStr">
        <is>
          <t>ÅNGE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46332-2023</t>
        </is>
      </c>
      <c r="B1263" s="1" t="n">
        <v>45196</v>
      </c>
      <c r="C1263" s="1" t="n">
        <v>46046</v>
      </c>
      <c r="D1263" t="inlineStr">
        <is>
          <t>VÄSTERNORRLANDS LÄN</t>
        </is>
      </c>
      <c r="E1263" t="inlineStr">
        <is>
          <t>ÅNGE</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26943-2024</t>
        </is>
      </c>
      <c r="B1264" s="1" t="n">
        <v>45470</v>
      </c>
      <c r="C1264" s="1" t="n">
        <v>46046</v>
      </c>
      <c r="D1264" t="inlineStr">
        <is>
          <t>VÄSTERNORRLANDS LÄN</t>
        </is>
      </c>
      <c r="E1264" t="inlineStr">
        <is>
          <t>ÅNGE</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45404-2025</t>
        </is>
      </c>
      <c r="B1265" s="1" t="n">
        <v>45922.42820601852</v>
      </c>
      <c r="C1265" s="1" t="n">
        <v>46046</v>
      </c>
      <c r="D1265" t="inlineStr">
        <is>
          <t>VÄSTERNORRLANDS LÄN</t>
        </is>
      </c>
      <c r="E1265" t="inlineStr">
        <is>
          <t>ÅNGE</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55882-2022</t>
        </is>
      </c>
      <c r="B1266" s="1" t="n">
        <v>44888</v>
      </c>
      <c r="C1266" s="1" t="n">
        <v>46046</v>
      </c>
      <c r="D1266" t="inlineStr">
        <is>
          <t>VÄSTERNORRLANDS LÄN</t>
        </is>
      </c>
      <c r="E1266" t="inlineStr">
        <is>
          <t>ÅNGE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45660-2025</t>
        </is>
      </c>
      <c r="B1267" s="1" t="n">
        <v>45923.34494212963</v>
      </c>
      <c r="C1267" s="1" t="n">
        <v>46046</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6686-2024</t>
        </is>
      </c>
      <c r="B1268" s="1" t="n">
        <v>45341</v>
      </c>
      <c r="C1268" s="1" t="n">
        <v>46046</v>
      </c>
      <c r="D1268" t="inlineStr">
        <is>
          <t>VÄSTERNORRLANDS LÄN</t>
        </is>
      </c>
      <c r="E1268" t="inlineStr">
        <is>
          <t>ÅNGE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63556-2021</t>
        </is>
      </c>
      <c r="B1269" s="1" t="n">
        <v>44508.70231481481</v>
      </c>
      <c r="C1269" s="1" t="n">
        <v>46046</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45875-2025</t>
        </is>
      </c>
      <c r="B1270" s="1" t="n">
        <v>45923.65690972222</v>
      </c>
      <c r="C1270" s="1" t="n">
        <v>46046</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45659-2025</t>
        </is>
      </c>
      <c r="B1271" s="1" t="n">
        <v>45923.34471064815</v>
      </c>
      <c r="C1271" s="1" t="n">
        <v>46046</v>
      </c>
      <c r="D1271" t="inlineStr">
        <is>
          <t>VÄSTERNORRLANDS LÄN</t>
        </is>
      </c>
      <c r="E1271" t="inlineStr">
        <is>
          <t>ÅNGE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46419-2025</t>
        </is>
      </c>
      <c r="B1272" s="1" t="n">
        <v>45925.5949537037</v>
      </c>
      <c r="C1272" s="1" t="n">
        <v>46046</v>
      </c>
      <c r="D1272" t="inlineStr">
        <is>
          <t>VÄSTERNORRLANDS LÄN</t>
        </is>
      </c>
      <c r="E1272" t="inlineStr">
        <is>
          <t>ÅNGE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46111-2025</t>
        </is>
      </c>
      <c r="B1273" s="1" t="n">
        <v>45924.56684027778</v>
      </c>
      <c r="C1273" s="1" t="n">
        <v>46046</v>
      </c>
      <c r="D1273" t="inlineStr">
        <is>
          <t>VÄSTERNORRLANDS LÄN</t>
        </is>
      </c>
      <c r="E1273" t="inlineStr">
        <is>
          <t>ÅNGE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46267-2025</t>
        </is>
      </c>
      <c r="B1274" s="1" t="n">
        <v>45925.36578703704</v>
      </c>
      <c r="C1274" s="1" t="n">
        <v>46046</v>
      </c>
      <c r="D1274" t="inlineStr">
        <is>
          <t>VÄSTERNORRLANDS LÄN</t>
        </is>
      </c>
      <c r="E1274" t="inlineStr">
        <is>
          <t>ÅNGE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46416-2025</t>
        </is>
      </c>
      <c r="B1275" s="1" t="n">
        <v>45925.594375</v>
      </c>
      <c r="C1275" s="1" t="n">
        <v>46046</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6608-2025</t>
        </is>
      </c>
      <c r="B1276" s="1" t="n">
        <v>45700.34415509259</v>
      </c>
      <c r="C1276" s="1" t="n">
        <v>46046</v>
      </c>
      <c r="D1276" t="inlineStr">
        <is>
          <t>VÄSTERNORRLANDS LÄN</t>
        </is>
      </c>
      <c r="E1276" t="inlineStr">
        <is>
          <t>ÅNGE</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30682-2024</t>
        </is>
      </c>
      <c r="B1277" s="1" t="n">
        <v>45495.95109953704</v>
      </c>
      <c r="C1277" s="1" t="n">
        <v>46046</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46109-2025</t>
        </is>
      </c>
      <c r="B1278" s="1" t="n">
        <v>45924.5596412037</v>
      </c>
      <c r="C1278" s="1" t="n">
        <v>46046</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45970-2025</t>
        </is>
      </c>
      <c r="B1279" s="1" t="n">
        <v>45924.36519675926</v>
      </c>
      <c r="C1279" s="1" t="n">
        <v>46046</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3253-2024</t>
        </is>
      </c>
      <c r="B1280" s="1" t="n">
        <v>45316</v>
      </c>
      <c r="C1280" s="1" t="n">
        <v>46046</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34783-2021</t>
        </is>
      </c>
      <c r="B1281" s="1" t="n">
        <v>44382</v>
      </c>
      <c r="C1281" s="1" t="n">
        <v>46046</v>
      </c>
      <c r="D1281" t="inlineStr">
        <is>
          <t>VÄSTERNORRLANDS LÄN</t>
        </is>
      </c>
      <c r="E1281" t="inlineStr">
        <is>
          <t>ÅNGE</t>
        </is>
      </c>
      <c r="F1281" t="inlineStr">
        <is>
          <t>SCA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46933-2025</t>
        </is>
      </c>
      <c r="B1282" s="1" t="n">
        <v>45929.44645833333</v>
      </c>
      <c r="C1282" s="1" t="n">
        <v>46046</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58748-2023</t>
        </is>
      </c>
      <c r="B1283" s="1" t="n">
        <v>45251.92936342592</v>
      </c>
      <c r="C1283" s="1" t="n">
        <v>46046</v>
      </c>
      <c r="D1283" t="inlineStr">
        <is>
          <t>VÄSTERNORRLANDS LÄN</t>
        </is>
      </c>
      <c r="E1283" t="inlineStr">
        <is>
          <t>ÅNGE</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46897-2025</t>
        </is>
      </c>
      <c r="B1284" s="1" t="n">
        <v>45929.38597222222</v>
      </c>
      <c r="C1284" s="1" t="n">
        <v>46046</v>
      </c>
      <c r="D1284" t="inlineStr">
        <is>
          <t>VÄSTERNORRLANDS LÄN</t>
        </is>
      </c>
      <c r="E1284" t="inlineStr">
        <is>
          <t>ÅNGE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51070-2024</t>
        </is>
      </c>
      <c r="B1285" s="1" t="n">
        <v>45603</v>
      </c>
      <c r="C1285" s="1" t="n">
        <v>46046</v>
      </c>
      <c r="D1285" t="inlineStr">
        <is>
          <t>VÄSTERNORRLANDS LÄN</t>
        </is>
      </c>
      <c r="E1285" t="inlineStr">
        <is>
          <t>ÅNGE</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51871-2024</t>
        </is>
      </c>
      <c r="B1286" s="1" t="n">
        <v>45607</v>
      </c>
      <c r="C1286" s="1" t="n">
        <v>46046</v>
      </c>
      <c r="D1286" t="inlineStr">
        <is>
          <t>VÄSTERNORRLANDS LÄN</t>
        </is>
      </c>
      <c r="E1286" t="inlineStr">
        <is>
          <t>ÅNGE</t>
        </is>
      </c>
      <c r="F1286" t="inlineStr">
        <is>
          <t>SCA</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57636-2022</t>
        </is>
      </c>
      <c r="B1287" s="1" t="n">
        <v>44897</v>
      </c>
      <c r="C1287" s="1" t="n">
        <v>46046</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34971-2023</t>
        </is>
      </c>
      <c r="B1288" s="1" t="n">
        <v>45142.61635416667</v>
      </c>
      <c r="C1288" s="1" t="n">
        <v>46046</v>
      </c>
      <c r="D1288" t="inlineStr">
        <is>
          <t>VÄSTERNORRLANDS LÄN</t>
        </is>
      </c>
      <c r="E1288" t="inlineStr">
        <is>
          <t>ÅNGE</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55329-2023</t>
        </is>
      </c>
      <c r="B1289" s="1" t="n">
        <v>45237</v>
      </c>
      <c r="C1289" s="1" t="n">
        <v>46046</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44178-2023</t>
        </is>
      </c>
      <c r="B1290" s="1" t="n">
        <v>45183</v>
      </c>
      <c r="C1290" s="1" t="n">
        <v>46046</v>
      </c>
      <c r="D1290" t="inlineStr">
        <is>
          <t>VÄSTERNORRLANDS LÄN</t>
        </is>
      </c>
      <c r="E1290" t="inlineStr">
        <is>
          <t>ÅNGE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52804-2024</t>
        </is>
      </c>
      <c r="B1291" s="1" t="n">
        <v>45610.57322916666</v>
      </c>
      <c r="C1291" s="1" t="n">
        <v>46046</v>
      </c>
      <c r="D1291" t="inlineStr">
        <is>
          <t>VÄSTERNORRLANDS LÄN</t>
        </is>
      </c>
      <c r="E1291" t="inlineStr">
        <is>
          <t>ÅNGE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30055-2024</t>
        </is>
      </c>
      <c r="B1292" s="1" t="n">
        <v>45488.94767361111</v>
      </c>
      <c r="C1292" s="1" t="n">
        <v>46046</v>
      </c>
      <c r="D1292" t="inlineStr">
        <is>
          <t>VÄSTERNORRLANDS LÄN</t>
        </is>
      </c>
      <c r="E1292" t="inlineStr">
        <is>
          <t>ÅNGE</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46829-2025</t>
        </is>
      </c>
      <c r="B1293" s="1" t="n">
        <v>45927.34513888889</v>
      </c>
      <c r="C1293" s="1" t="n">
        <v>46046</v>
      </c>
      <c r="D1293" t="inlineStr">
        <is>
          <t>VÄSTERNORRLANDS LÄN</t>
        </is>
      </c>
      <c r="E1293" t="inlineStr">
        <is>
          <t>ÅNGE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42346-2023</t>
        </is>
      </c>
      <c r="B1294" s="1" t="n">
        <v>45180</v>
      </c>
      <c r="C1294" s="1" t="n">
        <v>46046</v>
      </c>
      <c r="D1294" t="inlineStr">
        <is>
          <t>VÄSTERNORRLANDS LÄN</t>
        </is>
      </c>
      <c r="E1294" t="inlineStr">
        <is>
          <t>ÅNGE</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47118-2025</t>
        </is>
      </c>
      <c r="B1295" s="1" t="n">
        <v>45929.67770833334</v>
      </c>
      <c r="C1295" s="1" t="n">
        <v>46046</v>
      </c>
      <c r="D1295" t="inlineStr">
        <is>
          <t>VÄSTERNORRLANDS LÄN</t>
        </is>
      </c>
      <c r="E1295" t="inlineStr">
        <is>
          <t>ÅNGE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47305-2025</t>
        </is>
      </c>
      <c r="B1296" s="1" t="n">
        <v>45930</v>
      </c>
      <c r="C1296" s="1" t="n">
        <v>46046</v>
      </c>
      <c r="D1296" t="inlineStr">
        <is>
          <t>VÄSTERNORRLANDS LÄN</t>
        </is>
      </c>
      <c r="E1296" t="inlineStr">
        <is>
          <t>ÅNGE</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137-2025</t>
        </is>
      </c>
      <c r="B1297" s="1" t="n">
        <v>45659.57684027778</v>
      </c>
      <c r="C1297" s="1" t="n">
        <v>46046</v>
      </c>
      <c r="D1297" t="inlineStr">
        <is>
          <t>VÄSTERNORRLANDS LÄN</t>
        </is>
      </c>
      <c r="E1297" t="inlineStr">
        <is>
          <t>ÅNGE</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46046</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56615-2023</t>
        </is>
      </c>
      <c r="B1299" s="1" t="n">
        <v>45243</v>
      </c>
      <c r="C1299" s="1" t="n">
        <v>46046</v>
      </c>
      <c r="D1299" t="inlineStr">
        <is>
          <t>VÄSTERNORRLANDS LÄN</t>
        </is>
      </c>
      <c r="E1299" t="inlineStr">
        <is>
          <t>ÅNGE</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57601-2022</t>
        </is>
      </c>
      <c r="B1300" s="1" t="n">
        <v>44896</v>
      </c>
      <c r="C1300" s="1" t="n">
        <v>46046</v>
      </c>
      <c r="D1300" t="inlineStr">
        <is>
          <t>VÄSTERNORRLANDS LÄN</t>
        </is>
      </c>
      <c r="E1300" t="inlineStr">
        <is>
          <t>ÅNGE</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22678-2024</t>
        </is>
      </c>
      <c r="B1301" s="1" t="n">
        <v>45447.94533564815</v>
      </c>
      <c r="C1301" s="1" t="n">
        <v>46046</v>
      </c>
      <c r="D1301" t="inlineStr">
        <is>
          <t>VÄSTERNORRLANDS LÄN</t>
        </is>
      </c>
      <c r="E1301" t="inlineStr">
        <is>
          <t>ÅNGE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47752-2025</t>
        </is>
      </c>
      <c r="B1302" s="1" t="n">
        <v>45931.66358796296</v>
      </c>
      <c r="C1302" s="1" t="n">
        <v>46046</v>
      </c>
      <c r="D1302" t="inlineStr">
        <is>
          <t>VÄSTERNORRLANDS LÄN</t>
        </is>
      </c>
      <c r="E1302" t="inlineStr">
        <is>
          <t>ÅNGE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64121-2021</t>
        </is>
      </c>
      <c r="B1303" s="1" t="n">
        <v>44510.4730787037</v>
      </c>
      <c r="C1303" s="1" t="n">
        <v>46046</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71965-2021</t>
        </is>
      </c>
      <c r="B1304" s="1" t="n">
        <v>44544.32483796297</v>
      </c>
      <c r="C1304" s="1" t="n">
        <v>46046</v>
      </c>
      <c r="D1304" t="inlineStr">
        <is>
          <t>VÄSTERNORRLANDS LÄN</t>
        </is>
      </c>
      <c r="E1304" t="inlineStr">
        <is>
          <t>ÅNGE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47440-2025</t>
        </is>
      </c>
      <c r="B1305" s="1" t="n">
        <v>45930.63766203704</v>
      </c>
      <c r="C1305" s="1" t="n">
        <v>46046</v>
      </c>
      <c r="D1305" t="inlineStr">
        <is>
          <t>VÄSTERNORRLANDS LÄN</t>
        </is>
      </c>
      <c r="E1305" t="inlineStr">
        <is>
          <t>ÅNGE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47488-2025</t>
        </is>
      </c>
      <c r="B1306" s="1" t="n">
        <v>45930.69890046296</v>
      </c>
      <c r="C1306" s="1" t="n">
        <v>46046</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47196-2025</t>
        </is>
      </c>
      <c r="B1307" s="1" t="n">
        <v>45930.34520833333</v>
      </c>
      <c r="C1307" s="1" t="n">
        <v>46046</v>
      </c>
      <c r="D1307" t="inlineStr">
        <is>
          <t>VÄSTERNORRLANDS LÄN</t>
        </is>
      </c>
      <c r="E1307" t="inlineStr">
        <is>
          <t>ÅNGE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47377-2025</t>
        </is>
      </c>
      <c r="B1308" s="1" t="n">
        <v>45930.59469907408</v>
      </c>
      <c r="C1308" s="1" t="n">
        <v>46046</v>
      </c>
      <c r="D1308" t="inlineStr">
        <is>
          <t>VÄSTERNORRLANDS LÄN</t>
        </is>
      </c>
      <c r="E1308" t="inlineStr">
        <is>
          <t>ÅNGE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62834-2021</t>
        </is>
      </c>
      <c r="B1309" s="1" t="n">
        <v>44503</v>
      </c>
      <c r="C1309" s="1" t="n">
        <v>46046</v>
      </c>
      <c r="D1309" t="inlineStr">
        <is>
          <t>VÄSTERNORRLANDS LÄN</t>
        </is>
      </c>
      <c r="E1309" t="inlineStr">
        <is>
          <t>ÅNGE</t>
        </is>
      </c>
      <c r="F1309" t="inlineStr">
        <is>
          <t>Övriga statliga verk och myndigheter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7535-2023</t>
        </is>
      </c>
      <c r="B1310" s="1" t="n">
        <v>44971</v>
      </c>
      <c r="C1310" s="1" t="n">
        <v>46046</v>
      </c>
      <c r="D1310" t="inlineStr">
        <is>
          <t>VÄSTERNORRLANDS LÄN</t>
        </is>
      </c>
      <c r="E1310" t="inlineStr">
        <is>
          <t>ÅNGE</t>
        </is>
      </c>
      <c r="F1310" t="inlineStr">
        <is>
          <t>SCA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48234-2025</t>
        </is>
      </c>
      <c r="B1311" s="1" t="n">
        <v>45933.53211805555</v>
      </c>
      <c r="C1311" s="1" t="n">
        <v>46046</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48235-2025</t>
        </is>
      </c>
      <c r="B1312" s="1" t="n">
        <v>45933.5321412037</v>
      </c>
      <c r="C1312" s="1" t="n">
        <v>46046</v>
      </c>
      <c r="D1312" t="inlineStr">
        <is>
          <t>VÄSTERNORRLANDS LÄN</t>
        </is>
      </c>
      <c r="E1312" t="inlineStr">
        <is>
          <t>ÅNGE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41586-2024</t>
        </is>
      </c>
      <c r="B1313" s="1" t="n">
        <v>45560.56089120371</v>
      </c>
      <c r="C1313" s="1" t="n">
        <v>46046</v>
      </c>
      <c r="D1313" t="inlineStr">
        <is>
          <t>VÄSTERNORRLANDS LÄN</t>
        </is>
      </c>
      <c r="E1313" t="inlineStr">
        <is>
          <t>ÅNGE</t>
        </is>
      </c>
      <c r="F1313" t="inlineStr">
        <is>
          <t>Holmen skog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48946-2024</t>
        </is>
      </c>
      <c r="B1314" s="1" t="n">
        <v>45594.42736111111</v>
      </c>
      <c r="C1314" s="1" t="n">
        <v>46046</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33429-2023</t>
        </is>
      </c>
      <c r="B1315" s="1" t="n">
        <v>45128.94983796297</v>
      </c>
      <c r="C1315" s="1" t="n">
        <v>46046</v>
      </c>
      <c r="D1315" t="inlineStr">
        <is>
          <t>VÄSTERNORRLANDS LÄN</t>
        </is>
      </c>
      <c r="E1315" t="inlineStr">
        <is>
          <t>ÅNGE</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22597-2021</t>
        </is>
      </c>
      <c r="B1316" s="1" t="n">
        <v>44326</v>
      </c>
      <c r="C1316" s="1" t="n">
        <v>46046</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20255-2023</t>
        </is>
      </c>
      <c r="B1317" s="1" t="n">
        <v>45055</v>
      </c>
      <c r="C1317" s="1" t="n">
        <v>46046</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11871-2025</t>
        </is>
      </c>
      <c r="B1318" s="1" t="n">
        <v>45728.42740740741</v>
      </c>
      <c r="C1318" s="1" t="n">
        <v>46046</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16934-2025</t>
        </is>
      </c>
      <c r="B1319" s="1" t="n">
        <v>45755.40671296296</v>
      </c>
      <c r="C1319" s="1" t="n">
        <v>46046</v>
      </c>
      <c r="D1319" t="inlineStr">
        <is>
          <t>VÄSTERNORRLANDS LÄN</t>
        </is>
      </c>
      <c r="E1319" t="inlineStr">
        <is>
          <t>ÅNGE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16281-2023</t>
        </is>
      </c>
      <c r="B1320" s="1" t="n">
        <v>45028</v>
      </c>
      <c r="C1320" s="1" t="n">
        <v>46046</v>
      </c>
      <c r="D1320" t="inlineStr">
        <is>
          <t>VÄSTERNORRLANDS LÄN</t>
        </is>
      </c>
      <c r="E1320" t="inlineStr">
        <is>
          <t>ÅNGE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26012-2024</t>
        </is>
      </c>
      <c r="B1321" s="1" t="n">
        <v>45467</v>
      </c>
      <c r="C1321" s="1" t="n">
        <v>46046</v>
      </c>
      <c r="D1321" t="inlineStr">
        <is>
          <t>VÄSTERNORRLANDS LÄN</t>
        </is>
      </c>
      <c r="E1321" t="inlineStr">
        <is>
          <t>ÅNGE</t>
        </is>
      </c>
      <c r="F1321" t="inlineStr">
        <is>
          <t>SCA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26015-2024</t>
        </is>
      </c>
      <c r="B1322" s="1" t="n">
        <v>45467.95872685185</v>
      </c>
      <c r="C1322" s="1" t="n">
        <v>46046</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48697-2024</t>
        </is>
      </c>
      <c r="B1323" s="1" t="n">
        <v>45593.51136574074</v>
      </c>
      <c r="C1323" s="1" t="n">
        <v>46046</v>
      </c>
      <c r="D1323" t="inlineStr">
        <is>
          <t>VÄSTERNORRLANDS LÄN</t>
        </is>
      </c>
      <c r="E1323" t="inlineStr">
        <is>
          <t>ÅNGE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1095-2023</t>
        </is>
      </c>
      <c r="B1324" s="1" t="n">
        <v>44929</v>
      </c>
      <c r="C1324" s="1" t="n">
        <v>46046</v>
      </c>
      <c r="D1324" t="inlineStr">
        <is>
          <t>VÄSTERNORRLANDS LÄN</t>
        </is>
      </c>
      <c r="E1324" t="inlineStr">
        <is>
          <t>ÅNGE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46795-2023</t>
        </is>
      </c>
      <c r="B1325" s="1" t="n">
        <v>45198</v>
      </c>
      <c r="C1325" s="1" t="n">
        <v>46046</v>
      </c>
      <c r="D1325" t="inlineStr">
        <is>
          <t>VÄSTERNORRLANDS LÄN</t>
        </is>
      </c>
      <c r="E1325" t="inlineStr">
        <is>
          <t>ÅNGE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48055-2025</t>
        </is>
      </c>
      <c r="B1326" s="1" t="n">
        <v>45932.67922453704</v>
      </c>
      <c r="C1326" s="1" t="n">
        <v>46046</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48069-2025</t>
        </is>
      </c>
      <c r="B1327" s="1" t="n">
        <v>45932.69865740741</v>
      </c>
      <c r="C1327" s="1" t="n">
        <v>46046</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48679-2025</t>
        </is>
      </c>
      <c r="B1328" s="1" t="n">
        <v>45936.59196759259</v>
      </c>
      <c r="C1328" s="1" t="n">
        <v>46046</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49562-2025</t>
        </is>
      </c>
      <c r="B1329" s="1" t="n">
        <v>45939.46524305556</v>
      </c>
      <c r="C1329" s="1" t="n">
        <v>46046</v>
      </c>
      <c r="D1329" t="inlineStr">
        <is>
          <t>VÄSTERNORRLANDS LÄN</t>
        </is>
      </c>
      <c r="E1329" t="inlineStr">
        <is>
          <t>ÅNGE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49377-2025</t>
        </is>
      </c>
      <c r="B1330" s="1" t="n">
        <v>45938.63626157407</v>
      </c>
      <c r="C1330" s="1" t="n">
        <v>46046</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49156-2025</t>
        </is>
      </c>
      <c r="B1331" s="1" t="n">
        <v>45938.3458912037</v>
      </c>
      <c r="C1331" s="1" t="n">
        <v>46046</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49179-2025</t>
        </is>
      </c>
      <c r="B1332" s="1" t="n">
        <v>45938.38579861111</v>
      </c>
      <c r="C1332" s="1" t="n">
        <v>46046</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49669-2025</t>
        </is>
      </c>
      <c r="B1333" s="1" t="n">
        <v>45939.63710648148</v>
      </c>
      <c r="C1333" s="1" t="n">
        <v>46046</v>
      </c>
      <c r="D1333" t="inlineStr">
        <is>
          <t>VÄSTERNORRLANDS LÄN</t>
        </is>
      </c>
      <c r="E1333" t="inlineStr">
        <is>
          <t>ÅNGE</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18112-2025</t>
        </is>
      </c>
      <c r="B1334" s="1" t="n">
        <v>45761.57350694444</v>
      </c>
      <c r="C1334" s="1" t="n">
        <v>46046</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49603-2025</t>
        </is>
      </c>
      <c r="B1335" s="1" t="n">
        <v>45939.5484375</v>
      </c>
      <c r="C1335" s="1" t="n">
        <v>46046</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49381-2025</t>
        </is>
      </c>
      <c r="B1336" s="1" t="n">
        <v>45938.63694444444</v>
      </c>
      <c r="C1336" s="1" t="n">
        <v>46046</v>
      </c>
      <c r="D1336" t="inlineStr">
        <is>
          <t>VÄSTERNORRLANDS LÄN</t>
        </is>
      </c>
      <c r="E1336" t="inlineStr">
        <is>
          <t>ÅNGE</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49566-2025</t>
        </is>
      </c>
      <c r="B1337" s="1" t="n">
        <v>45939.46939814815</v>
      </c>
      <c r="C1337" s="1" t="n">
        <v>46046</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49476-2025</t>
        </is>
      </c>
      <c r="B1338" s="1" t="n">
        <v>45939.34506944445</v>
      </c>
      <c r="C1338" s="1" t="n">
        <v>46046</v>
      </c>
      <c r="D1338" t="inlineStr">
        <is>
          <t>VÄSTERNORRLANDS LÄN</t>
        </is>
      </c>
      <c r="E1338" t="inlineStr">
        <is>
          <t>ÅNGE</t>
        </is>
      </c>
      <c r="F1338" t="inlineStr">
        <is>
          <t>SCA</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49600-2025</t>
        </is>
      </c>
      <c r="B1339" s="1" t="n">
        <v>45939.54434027777</v>
      </c>
      <c r="C1339" s="1" t="n">
        <v>46046</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50009-2025</t>
        </is>
      </c>
      <c r="B1340" s="1" t="n">
        <v>45943.34527777778</v>
      </c>
      <c r="C1340" s="1" t="n">
        <v>46046</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50210-2025</t>
        </is>
      </c>
      <c r="B1341" s="1" t="n">
        <v>45943.67379629629</v>
      </c>
      <c r="C1341" s="1" t="n">
        <v>46046</v>
      </c>
      <c r="D1341" t="inlineStr">
        <is>
          <t>VÄSTERNORRLANDS LÄN</t>
        </is>
      </c>
      <c r="E1341" t="inlineStr">
        <is>
          <t>ÅNGE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50001-2025</t>
        </is>
      </c>
      <c r="B1342" s="1" t="n">
        <v>45943.34421296296</v>
      </c>
      <c r="C1342" s="1" t="n">
        <v>46046</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50008-2025</t>
        </is>
      </c>
      <c r="B1343" s="1" t="n">
        <v>45943.34515046296</v>
      </c>
      <c r="C1343" s="1" t="n">
        <v>46046</v>
      </c>
      <c r="D1343" t="inlineStr">
        <is>
          <t>VÄSTERNORRLANDS LÄN</t>
        </is>
      </c>
      <c r="E1343" t="inlineStr">
        <is>
          <t>ÅNGE</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50291-2025</t>
        </is>
      </c>
      <c r="B1344" s="1" t="n">
        <v>45944.40677083333</v>
      </c>
      <c r="C1344" s="1" t="n">
        <v>46046</v>
      </c>
      <c r="D1344" t="inlineStr">
        <is>
          <t>VÄSTERNORRLANDS LÄN</t>
        </is>
      </c>
      <c r="E1344" t="inlineStr">
        <is>
          <t>ÅNGE</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50460-2025</t>
        </is>
      </c>
      <c r="B1345" s="1" t="n">
        <v>45945.345</v>
      </c>
      <c r="C1345" s="1" t="n">
        <v>46046</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50571-2025</t>
        </is>
      </c>
      <c r="B1346" s="1" t="n">
        <v>45945.57443287037</v>
      </c>
      <c r="C1346" s="1" t="n">
        <v>46046</v>
      </c>
      <c r="D1346" t="inlineStr">
        <is>
          <t>VÄSTERNORRLANDS LÄN</t>
        </is>
      </c>
      <c r="E1346" t="inlineStr">
        <is>
          <t>ÅNGE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50767-2025</t>
        </is>
      </c>
      <c r="B1347" s="1" t="n">
        <v>45946</v>
      </c>
      <c r="C1347" s="1" t="n">
        <v>46046</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50769-2025</t>
        </is>
      </c>
      <c r="B1348" s="1" t="n">
        <v>45946.44864583333</v>
      </c>
      <c r="C1348" s="1" t="n">
        <v>46046</v>
      </c>
      <c r="D1348" t="inlineStr">
        <is>
          <t>VÄSTERNORRLANDS LÄN</t>
        </is>
      </c>
      <c r="E1348" t="inlineStr">
        <is>
          <t>ÅNGE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51109-2025</t>
        </is>
      </c>
      <c r="B1349" s="1" t="n">
        <v>45947.50263888889</v>
      </c>
      <c r="C1349" s="1" t="n">
        <v>46046</v>
      </c>
      <c r="D1349" t="inlineStr">
        <is>
          <t>VÄSTERNORRLANDS LÄN</t>
        </is>
      </c>
      <c r="E1349" t="inlineStr">
        <is>
          <t>ÅNGE</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51370-2025</t>
        </is>
      </c>
      <c r="B1350" s="1" t="n">
        <v>45950.44818287037</v>
      </c>
      <c r="C1350" s="1" t="n">
        <v>46046</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51382-2025</t>
        </is>
      </c>
      <c r="B1351" s="1" t="n">
        <v>45950.46019675926</v>
      </c>
      <c r="C1351" s="1" t="n">
        <v>46046</v>
      </c>
      <c r="D1351" t="inlineStr">
        <is>
          <t>VÄSTERNORRLANDS LÄN</t>
        </is>
      </c>
      <c r="E1351" t="inlineStr">
        <is>
          <t>ÅNGE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51416-2025</t>
        </is>
      </c>
      <c r="B1352" s="1" t="n">
        <v>45950.51097222222</v>
      </c>
      <c r="C1352" s="1" t="n">
        <v>46046</v>
      </c>
      <c r="D1352" t="inlineStr">
        <is>
          <t>VÄSTERNORRLANDS LÄN</t>
        </is>
      </c>
      <c r="E1352" t="inlineStr">
        <is>
          <t>ÅNGE</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51393-2025</t>
        </is>
      </c>
      <c r="B1353" s="1" t="n">
        <v>45950.46957175926</v>
      </c>
      <c r="C1353" s="1" t="n">
        <v>46046</v>
      </c>
      <c r="D1353" t="inlineStr">
        <is>
          <t>VÄSTERNORRLANDS LÄN</t>
        </is>
      </c>
      <c r="E1353" t="inlineStr">
        <is>
          <t>ÅNGE</t>
        </is>
      </c>
      <c r="F1353" t="inlineStr">
        <is>
          <t>SCA</t>
        </is>
      </c>
      <c r="G1353" t="n">
        <v>17.9</v>
      </c>
      <c r="H1353" t="n">
        <v>0</v>
      </c>
      <c r="I1353" t="n">
        <v>0</v>
      </c>
      <c r="J1353" t="n">
        <v>0</v>
      </c>
      <c r="K1353" t="n">
        <v>0</v>
      </c>
      <c r="L1353" t="n">
        <v>0</v>
      </c>
      <c r="M1353" t="n">
        <v>0</v>
      </c>
      <c r="N1353" t="n">
        <v>0</v>
      </c>
      <c r="O1353" t="n">
        <v>0</v>
      </c>
      <c r="P1353" t="n">
        <v>0</v>
      </c>
      <c r="Q1353" t="n">
        <v>0</v>
      </c>
      <c r="R1353" s="2" t="inlineStr"/>
    </row>
    <row r="1354" ht="15" customHeight="1">
      <c r="A1354" t="inlineStr">
        <is>
          <t>A 51389-2025</t>
        </is>
      </c>
      <c r="B1354" s="1" t="n">
        <v>45950.46767361111</v>
      </c>
      <c r="C1354" s="1" t="n">
        <v>46046</v>
      </c>
      <c r="D1354" t="inlineStr">
        <is>
          <t>VÄSTERNORRLANDS LÄN</t>
        </is>
      </c>
      <c r="E1354" t="inlineStr">
        <is>
          <t>ÅNGE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52060-2025</t>
        </is>
      </c>
      <c r="B1355" s="1" t="n">
        <v>45952.63641203703</v>
      </c>
      <c r="C1355" s="1" t="n">
        <v>46046</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52121-2025</t>
        </is>
      </c>
      <c r="B1356" s="1" t="n">
        <v>45952.71921296296</v>
      </c>
      <c r="C1356" s="1" t="n">
        <v>46046</v>
      </c>
      <c r="D1356" t="inlineStr">
        <is>
          <t>VÄSTERNORRLANDS LÄN</t>
        </is>
      </c>
      <c r="E1356" t="inlineStr">
        <is>
          <t>ÅNGE</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52306-2025</t>
        </is>
      </c>
      <c r="B1357" s="1" t="n">
        <v>45953.63600694444</v>
      </c>
      <c r="C1357" s="1" t="n">
        <v>46046</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51857-2025</t>
        </is>
      </c>
      <c r="B1358" s="1" t="n">
        <v>45952.36506944444</v>
      </c>
      <c r="C1358" s="1" t="n">
        <v>46046</v>
      </c>
      <c r="D1358" t="inlineStr">
        <is>
          <t>VÄSTERNORRLANDS LÄN</t>
        </is>
      </c>
      <c r="E1358" t="inlineStr">
        <is>
          <t>ÅNGE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51813-2025</t>
        </is>
      </c>
      <c r="B1359" s="1" t="n">
        <v>45951.83082175926</v>
      </c>
      <c r="C1359" s="1" t="n">
        <v>46046</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52335-2025</t>
        </is>
      </c>
      <c r="B1360" s="1" t="n">
        <v>45953.68591435185</v>
      </c>
      <c r="C1360" s="1" t="n">
        <v>46046</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52283-2025</t>
        </is>
      </c>
      <c r="B1361" s="1" t="n">
        <v>45953.57346064815</v>
      </c>
      <c r="C1361" s="1" t="n">
        <v>46046</v>
      </c>
      <c r="D1361" t="inlineStr">
        <is>
          <t>VÄSTERNORRLANDS LÄN</t>
        </is>
      </c>
      <c r="E1361" t="inlineStr">
        <is>
          <t>ÅNGE</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52392-2025</t>
        </is>
      </c>
      <c r="B1362" s="1" t="n">
        <v>45954.34424768519</v>
      </c>
      <c r="C1362" s="1" t="n">
        <v>46046</v>
      </c>
      <c r="D1362" t="inlineStr">
        <is>
          <t>VÄSTERNORRLANDS LÄN</t>
        </is>
      </c>
      <c r="E1362" t="inlineStr">
        <is>
          <t>ÅNGE</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52642-2025</t>
        </is>
      </c>
      <c r="B1363" s="1" t="n">
        <v>45955.34576388889</v>
      </c>
      <c r="C1363" s="1" t="n">
        <v>46046</v>
      </c>
      <c r="D1363" t="inlineStr">
        <is>
          <t>VÄSTERNORRLANDS LÄN</t>
        </is>
      </c>
      <c r="E1363" t="inlineStr">
        <is>
          <t>ÅNGE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52411-2025</t>
        </is>
      </c>
      <c r="B1364" s="1" t="n">
        <v>45954.36518518518</v>
      </c>
      <c r="C1364" s="1" t="n">
        <v>46046</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52858-2025</t>
        </is>
      </c>
      <c r="B1365" s="1" t="n">
        <v>45957.50284722223</v>
      </c>
      <c r="C1365" s="1" t="n">
        <v>46046</v>
      </c>
      <c r="D1365" t="inlineStr">
        <is>
          <t>VÄSTERNORRLANDS LÄN</t>
        </is>
      </c>
      <c r="E1365" t="inlineStr">
        <is>
          <t>ÅNGE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53381-2025</t>
        </is>
      </c>
      <c r="B1366" s="1" t="n">
        <v>45959.53690972222</v>
      </c>
      <c r="C1366" s="1" t="n">
        <v>46046</v>
      </c>
      <c r="D1366" t="inlineStr">
        <is>
          <t>VÄSTERNORRLANDS LÄN</t>
        </is>
      </c>
      <c r="E1366" t="inlineStr">
        <is>
          <t>ÅNGE</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53012-2025</t>
        </is>
      </c>
      <c r="B1367" s="1" t="n">
        <v>45957.80320601852</v>
      </c>
      <c r="C1367" s="1" t="n">
        <v>46046</v>
      </c>
      <c r="D1367" t="inlineStr">
        <is>
          <t>VÄSTERNORRLANDS LÄN</t>
        </is>
      </c>
      <c r="E1367" t="inlineStr">
        <is>
          <t>ÅNGE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53033-2025</t>
        </is>
      </c>
      <c r="B1368" s="1" t="n">
        <v>45958.34479166667</v>
      </c>
      <c r="C1368" s="1" t="n">
        <v>46046</v>
      </c>
      <c r="D1368" t="inlineStr">
        <is>
          <t>VÄSTERNORRLANDS LÄN</t>
        </is>
      </c>
      <c r="E1368" t="inlineStr">
        <is>
          <t>ÅNGE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53013-2025</t>
        </is>
      </c>
      <c r="B1369" s="1" t="n">
        <v>45957.81732638889</v>
      </c>
      <c r="C1369" s="1" t="n">
        <v>46046</v>
      </c>
      <c r="D1369" t="inlineStr">
        <is>
          <t>VÄSTERNORRLANDS LÄN</t>
        </is>
      </c>
      <c r="E1369" t="inlineStr">
        <is>
          <t>ÅNGE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53221-2025</t>
        </is>
      </c>
      <c r="B1370" s="1" t="n">
        <v>45958.60331018519</v>
      </c>
      <c r="C1370" s="1" t="n">
        <v>46046</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53999-2025</t>
        </is>
      </c>
      <c r="B1371" s="1" t="n">
        <v>45961</v>
      </c>
      <c r="C1371" s="1" t="n">
        <v>46046</v>
      </c>
      <c r="D1371" t="inlineStr">
        <is>
          <t>VÄSTERNORRLANDS LÄN</t>
        </is>
      </c>
      <c r="E1371" t="inlineStr">
        <is>
          <t>ÅNGE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53984-2025</t>
        </is>
      </c>
      <c r="B1372" s="1" t="n">
        <v>45961.5734837963</v>
      </c>
      <c r="C1372" s="1" t="n">
        <v>46046</v>
      </c>
      <c r="D1372" t="inlineStr">
        <is>
          <t>VÄSTERNORRLANDS LÄN</t>
        </is>
      </c>
      <c r="E1372" t="inlineStr">
        <is>
          <t>ÅNGE</t>
        </is>
      </c>
      <c r="F1372" t="inlineStr">
        <is>
          <t>SCA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53985-2025</t>
        </is>
      </c>
      <c r="B1373" s="1" t="n">
        <v>45961.57366898148</v>
      </c>
      <c r="C1373" s="1" t="n">
        <v>46046</v>
      </c>
      <c r="D1373" t="inlineStr">
        <is>
          <t>VÄSTERNORRLANDS LÄN</t>
        </is>
      </c>
      <c r="E1373" t="inlineStr">
        <is>
          <t>ÅNGE</t>
        </is>
      </c>
      <c r="F1373" t="inlineStr">
        <is>
          <t>SCA</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53509-2025</t>
        </is>
      </c>
      <c r="B1374" s="1" t="n">
        <v>45960.34506944445</v>
      </c>
      <c r="C1374" s="1" t="n">
        <v>46046</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53713-2025</t>
        </is>
      </c>
      <c r="B1375" s="1" t="n">
        <v>45960.61568287037</v>
      </c>
      <c r="C1375" s="1" t="n">
        <v>46046</v>
      </c>
      <c r="D1375" t="inlineStr">
        <is>
          <t>VÄSTERNORRLANDS LÄN</t>
        </is>
      </c>
      <c r="E1375" t="inlineStr">
        <is>
          <t>ÅNGE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54346-2025</t>
        </is>
      </c>
      <c r="B1376" s="1" t="n">
        <v>45965.36525462963</v>
      </c>
      <c r="C1376" s="1" t="n">
        <v>46046</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54357-2025</t>
        </is>
      </c>
      <c r="B1377" s="1" t="n">
        <v>45965.3858912037</v>
      </c>
      <c r="C1377" s="1" t="n">
        <v>46046</v>
      </c>
      <c r="D1377" t="inlineStr">
        <is>
          <t>VÄSTERNORRLANDS LÄN</t>
        </is>
      </c>
      <c r="E1377" t="inlineStr">
        <is>
          <t>ÅNGE</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62092-2025</t>
        </is>
      </c>
      <c r="B1378" s="1" t="n">
        <v>46006.38613425926</v>
      </c>
      <c r="C1378" s="1" t="n">
        <v>46046</v>
      </c>
      <c r="D1378" t="inlineStr">
        <is>
          <t>VÄSTERNORRLANDS LÄN</t>
        </is>
      </c>
      <c r="E1378" t="inlineStr">
        <is>
          <t>ÅNGE</t>
        </is>
      </c>
      <c r="F1378" t="inlineStr">
        <is>
          <t>SCA</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54197-2025</t>
        </is>
      </c>
      <c r="B1379" s="1" t="n">
        <v>45964</v>
      </c>
      <c r="C1379" s="1" t="n">
        <v>46046</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62091-2025</t>
        </is>
      </c>
      <c r="B1380" s="1" t="n">
        <v>46006.3859375</v>
      </c>
      <c r="C1380" s="1" t="n">
        <v>46046</v>
      </c>
      <c r="D1380" t="inlineStr">
        <is>
          <t>VÄSTERNORRLANDS LÄN</t>
        </is>
      </c>
      <c r="E1380" t="inlineStr">
        <is>
          <t>ÅNGE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62101-2025</t>
        </is>
      </c>
      <c r="B1381" s="1" t="n">
        <v>46006.40664351852</v>
      </c>
      <c r="C1381" s="1" t="n">
        <v>46046</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62257-2025</t>
        </is>
      </c>
      <c r="B1382" s="1" t="n">
        <v>46006.61524305555</v>
      </c>
      <c r="C1382" s="1" t="n">
        <v>46046</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62160-2025</t>
        </is>
      </c>
      <c r="B1383" s="1" t="n">
        <v>46006.49094907408</v>
      </c>
      <c r="C1383" s="1" t="n">
        <v>46046</v>
      </c>
      <c r="D1383" t="inlineStr">
        <is>
          <t>VÄSTERNORRLANDS LÄN</t>
        </is>
      </c>
      <c r="E1383" t="inlineStr">
        <is>
          <t>ÅNGE</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62084-2025</t>
        </is>
      </c>
      <c r="B1384" s="1" t="n">
        <v>46006.37449074074</v>
      </c>
      <c r="C1384" s="1" t="n">
        <v>46046</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63092-2025</t>
        </is>
      </c>
      <c r="B1385" s="1" t="n">
        <v>46009.67795138889</v>
      </c>
      <c r="C1385" s="1" t="n">
        <v>46046</v>
      </c>
      <c r="D1385" t="inlineStr">
        <is>
          <t>VÄSTERNORRLANDS LÄN</t>
        </is>
      </c>
      <c r="E1385" t="inlineStr">
        <is>
          <t>ÅNGE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54707-2025</t>
        </is>
      </c>
      <c r="B1386" s="1" t="n">
        <v>45966</v>
      </c>
      <c r="C1386" s="1" t="n">
        <v>46046</v>
      </c>
      <c r="D1386" t="inlineStr">
        <is>
          <t>VÄSTERNORRLANDS LÄN</t>
        </is>
      </c>
      <c r="E1386" t="inlineStr">
        <is>
          <t>ÅNGE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54710-2025</t>
        </is>
      </c>
      <c r="B1387" s="1" t="n">
        <v>45966.49515046296</v>
      </c>
      <c r="C1387" s="1" t="n">
        <v>46046</v>
      </c>
      <c r="D1387" t="inlineStr">
        <is>
          <t>VÄSTERNORRLANDS LÄN</t>
        </is>
      </c>
      <c r="E1387" t="inlineStr">
        <is>
          <t>ÅNGE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54819-2025</t>
        </is>
      </c>
      <c r="B1388" s="1" t="n">
        <v>45966.65709490741</v>
      </c>
      <c r="C1388" s="1" t="n">
        <v>46046</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62661-2025</t>
        </is>
      </c>
      <c r="B1389" s="1" t="n">
        <v>46008.42761574074</v>
      </c>
      <c r="C1389" s="1" t="n">
        <v>46046</v>
      </c>
      <c r="D1389" t="inlineStr">
        <is>
          <t>VÄSTERNORRLANDS LÄN</t>
        </is>
      </c>
      <c r="E1389" t="inlineStr">
        <is>
          <t>ÅNGE</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54713-2025</t>
        </is>
      </c>
      <c r="B1390" s="1" t="n">
        <v>45966.50446759259</v>
      </c>
      <c r="C1390" s="1" t="n">
        <v>46046</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55038-2025</t>
        </is>
      </c>
      <c r="B1391" s="1" t="n">
        <v>45967.65527777778</v>
      </c>
      <c r="C1391" s="1" t="n">
        <v>46046</v>
      </c>
      <c r="D1391" t="inlineStr">
        <is>
          <t>VÄSTERNORRLANDS LÄN</t>
        </is>
      </c>
      <c r="E1391" t="inlineStr">
        <is>
          <t>ÅNGE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55045-2025</t>
        </is>
      </c>
      <c r="B1392" s="1" t="n">
        <v>45967.66068287037</v>
      </c>
      <c r="C1392" s="1" t="n">
        <v>46046</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54925-2025</t>
        </is>
      </c>
      <c r="B1393" s="1" t="n">
        <v>45967.40699074074</v>
      </c>
      <c r="C1393" s="1" t="n">
        <v>46046</v>
      </c>
      <c r="D1393" t="inlineStr">
        <is>
          <t>VÄSTERNORRLANDS LÄN</t>
        </is>
      </c>
      <c r="E1393" t="inlineStr">
        <is>
          <t>ÅNGE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54926-2025</t>
        </is>
      </c>
      <c r="B1394" s="1" t="n">
        <v>45967.40707175926</v>
      </c>
      <c r="C1394" s="1" t="n">
        <v>46046</v>
      </c>
      <c r="D1394" t="inlineStr">
        <is>
          <t>VÄSTERNORRLANDS LÄN</t>
        </is>
      </c>
      <c r="E1394" t="inlineStr">
        <is>
          <t>ÅNGE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54715-2025</t>
        </is>
      </c>
      <c r="B1395" s="1" t="n">
        <v>45966.50961805556</v>
      </c>
      <c r="C1395" s="1" t="n">
        <v>46046</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54680-2025</t>
        </is>
      </c>
      <c r="B1396" s="1" t="n">
        <v>45966.42751157407</v>
      </c>
      <c r="C1396" s="1" t="n">
        <v>46046</v>
      </c>
      <c r="D1396" t="inlineStr">
        <is>
          <t>VÄSTERNORRLANDS LÄN</t>
        </is>
      </c>
      <c r="E1396" t="inlineStr">
        <is>
          <t>ÅNGE</t>
        </is>
      </c>
      <c r="F1396" t="inlineStr">
        <is>
          <t>SCA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54702-2025</t>
        </is>
      </c>
      <c r="B1397" s="1" t="n">
        <v>45966.4828587963</v>
      </c>
      <c r="C1397" s="1" t="n">
        <v>46046</v>
      </c>
      <c r="D1397" t="inlineStr">
        <is>
          <t>VÄSTERNORRLANDS LÄN</t>
        </is>
      </c>
      <c r="E1397" t="inlineStr">
        <is>
          <t>ÅNGE</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62763-2025</t>
        </is>
      </c>
      <c r="B1398" s="1" t="n">
        <v>46008.59434027778</v>
      </c>
      <c r="C1398" s="1" t="n">
        <v>46046</v>
      </c>
      <c r="D1398" t="inlineStr">
        <is>
          <t>VÄSTERNORRLANDS LÄN</t>
        </is>
      </c>
      <c r="E1398" t="inlineStr">
        <is>
          <t>ÅNGE</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54705-2025</t>
        </is>
      </c>
      <c r="B1399" s="1" t="n">
        <v>45966.4853125</v>
      </c>
      <c r="C1399" s="1" t="n">
        <v>46046</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62793-2025</t>
        </is>
      </c>
      <c r="B1400" s="1" t="n">
        <v>46008.63625</v>
      </c>
      <c r="C1400" s="1" t="n">
        <v>46046</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55049-2025</t>
        </is>
      </c>
      <c r="B1401" s="1" t="n">
        <v>45967.66614583333</v>
      </c>
      <c r="C1401" s="1" t="n">
        <v>46046</v>
      </c>
      <c r="D1401" t="inlineStr">
        <is>
          <t>VÄSTERNORRLANDS LÄN</t>
        </is>
      </c>
      <c r="E1401" t="inlineStr">
        <is>
          <t>ÅNGE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55160-2025</t>
        </is>
      </c>
      <c r="B1402" s="1" t="n">
        <v>45968.46930555555</v>
      </c>
      <c r="C1402" s="1" t="n">
        <v>46046</v>
      </c>
      <c r="D1402" t="inlineStr">
        <is>
          <t>VÄSTERNORRLANDS LÄN</t>
        </is>
      </c>
      <c r="E1402" t="inlineStr">
        <is>
          <t>ÅNGE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63173-2025</t>
        </is>
      </c>
      <c r="B1403" s="1" t="n">
        <v>46010.40679398148</v>
      </c>
      <c r="C1403" s="1" t="n">
        <v>46046</v>
      </c>
      <c r="D1403" t="inlineStr">
        <is>
          <t>VÄSTERNORRLANDS LÄN</t>
        </is>
      </c>
      <c r="E1403" t="inlineStr">
        <is>
          <t>ÅNGE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55556-2025</t>
        </is>
      </c>
      <c r="B1404" s="1" t="n">
        <v>45971.64694444444</v>
      </c>
      <c r="C1404" s="1" t="n">
        <v>46046</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62336-2025</t>
        </is>
      </c>
      <c r="B1405" s="1" t="n">
        <v>46006</v>
      </c>
      <c r="C1405" s="1" t="n">
        <v>46046</v>
      </c>
      <c r="D1405" t="inlineStr">
        <is>
          <t>VÄSTERNORRLANDS LÄN</t>
        </is>
      </c>
      <c r="E1405" t="inlineStr">
        <is>
          <t>ÅNGE</t>
        </is>
      </c>
      <c r="G1405" t="n">
        <v>13.4</v>
      </c>
      <c r="H1405" t="n">
        <v>0</v>
      </c>
      <c r="I1405" t="n">
        <v>0</v>
      </c>
      <c r="J1405" t="n">
        <v>0</v>
      </c>
      <c r="K1405" t="n">
        <v>0</v>
      </c>
      <c r="L1405" t="n">
        <v>0</v>
      </c>
      <c r="M1405" t="n">
        <v>0</v>
      </c>
      <c r="N1405" t="n">
        <v>0</v>
      </c>
      <c r="O1405" t="n">
        <v>0</v>
      </c>
      <c r="P1405" t="n">
        <v>0</v>
      </c>
      <c r="Q1405" t="n">
        <v>0</v>
      </c>
      <c r="R1405" s="2" t="inlineStr"/>
    </row>
    <row r="1406" ht="15" customHeight="1">
      <c r="A1406" t="inlineStr">
        <is>
          <t>A 55816-2025</t>
        </is>
      </c>
      <c r="B1406" s="1" t="n">
        <v>45972.69851851852</v>
      </c>
      <c r="C1406" s="1" t="n">
        <v>46046</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63642-2025</t>
        </is>
      </c>
      <c r="B1407" s="1" t="n">
        <v>46014.41258101852</v>
      </c>
      <c r="C1407" s="1" t="n">
        <v>46046</v>
      </c>
      <c r="D1407" t="inlineStr">
        <is>
          <t>VÄSTERNORRLANDS LÄN</t>
        </is>
      </c>
      <c r="E1407" t="inlineStr">
        <is>
          <t>ÅNGE</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63652-2025</t>
        </is>
      </c>
      <c r="B1408" s="1" t="n">
        <v>46014.43987268519</v>
      </c>
      <c r="C1408" s="1" t="n">
        <v>46046</v>
      </c>
      <c r="D1408" t="inlineStr">
        <is>
          <t>VÄSTERNORRLANDS LÄN</t>
        </is>
      </c>
      <c r="E1408" t="inlineStr">
        <is>
          <t>ÅNGE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63673-2025</t>
        </is>
      </c>
      <c r="B1409" s="1" t="n">
        <v>46014.47594907408</v>
      </c>
      <c r="C1409" s="1" t="n">
        <v>46046</v>
      </c>
      <c r="D1409" t="inlineStr">
        <is>
          <t>VÄSTERNORRLANDS LÄN</t>
        </is>
      </c>
      <c r="E1409" t="inlineStr">
        <is>
          <t>ÅNGE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63686-2025</t>
        </is>
      </c>
      <c r="B1410" s="1" t="n">
        <v>46014.53172453704</v>
      </c>
      <c r="C1410" s="1" t="n">
        <v>46046</v>
      </c>
      <c r="D1410" t="inlineStr">
        <is>
          <t>VÄSTERNORRLANDS LÄN</t>
        </is>
      </c>
      <c r="E1410" t="inlineStr">
        <is>
          <t>ÅNGE</t>
        </is>
      </c>
      <c r="F1410" t="inlineStr">
        <is>
          <t>SCA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56077-2025</t>
        </is>
      </c>
      <c r="B1411" s="1" t="n">
        <v>45973.65759259259</v>
      </c>
      <c r="C1411" s="1" t="n">
        <v>46046</v>
      </c>
      <c r="D1411" t="inlineStr">
        <is>
          <t>VÄSTERNORRLANDS LÄN</t>
        </is>
      </c>
      <c r="E1411" t="inlineStr">
        <is>
          <t>ÅNGE</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56419-2025</t>
        </is>
      </c>
      <c r="B1412" s="1" t="n">
        <v>45975.34445601852</v>
      </c>
      <c r="C1412" s="1" t="n">
        <v>46046</v>
      </c>
      <c r="D1412" t="inlineStr">
        <is>
          <t>VÄSTERNORRLANDS LÄN</t>
        </is>
      </c>
      <c r="E1412" t="inlineStr">
        <is>
          <t>ÅNGE</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56423-2025</t>
        </is>
      </c>
      <c r="B1413" s="1" t="n">
        <v>45975.34528935186</v>
      </c>
      <c r="C1413" s="1" t="n">
        <v>46046</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c r="U1413">
        <f>HYPERLINK("https://klasma.github.io/Logging_2260/knärot/A 56423-2025 karta knärot.png", "A 56423-2025")</f>
        <v/>
      </c>
      <c r="V1413">
        <f>HYPERLINK("https://klasma.github.io/Logging_2260/klagomål/A 56423-2025 FSC-klagomål.docx", "A 56423-2025")</f>
        <v/>
      </c>
      <c r="W1413">
        <f>HYPERLINK("https://klasma.github.io/Logging_2260/klagomålsmail/A 56423-2025 FSC-klagomål mail.docx", "A 56423-2025")</f>
        <v/>
      </c>
      <c r="X1413">
        <f>HYPERLINK("https://klasma.github.io/Logging_2260/tillsyn/A 56423-2025 tillsynsbegäran.docx", "A 56423-2025")</f>
        <v/>
      </c>
      <c r="Y1413">
        <f>HYPERLINK("https://klasma.github.io/Logging_2260/tillsynsmail/A 56423-2025 tillsynsbegäran mail.docx", "A 56423-2025")</f>
        <v/>
      </c>
    </row>
    <row r="1414" ht="15" customHeight="1">
      <c r="A1414" t="inlineStr">
        <is>
          <t>A 56666-2025</t>
        </is>
      </c>
      <c r="B1414" s="1" t="n">
        <v>45975.67747685185</v>
      </c>
      <c r="C1414" s="1" t="n">
        <v>46046</v>
      </c>
      <c r="D1414" t="inlineStr">
        <is>
          <t>VÄSTERNORRLANDS LÄN</t>
        </is>
      </c>
      <c r="E1414" t="inlineStr">
        <is>
          <t>ÅNGE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56741-2025</t>
        </is>
      </c>
      <c r="B1415" s="1" t="n">
        <v>45978.34726851852</v>
      </c>
      <c r="C1415" s="1" t="n">
        <v>46046</v>
      </c>
      <c r="D1415" t="inlineStr">
        <is>
          <t>VÄSTERNORRLANDS LÄN</t>
        </is>
      </c>
      <c r="E1415" t="inlineStr">
        <is>
          <t>ÅNGE</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63978-2025</t>
        </is>
      </c>
      <c r="B1416" s="1" t="n">
        <v>46021.34421296296</v>
      </c>
      <c r="C1416" s="1" t="n">
        <v>46046</v>
      </c>
      <c r="D1416" t="inlineStr">
        <is>
          <t>VÄSTERNORRLANDS LÄN</t>
        </is>
      </c>
      <c r="E1416" t="inlineStr">
        <is>
          <t>ÅNGE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57081-2025</t>
        </is>
      </c>
      <c r="B1417" s="1" t="n">
        <v>45979.40826388889</v>
      </c>
      <c r="C1417" s="1" t="n">
        <v>46046</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63965-2025</t>
        </is>
      </c>
      <c r="B1418" s="1" t="n">
        <v>46020.93445601852</v>
      </c>
      <c r="C1418" s="1" t="n">
        <v>46046</v>
      </c>
      <c r="D1418" t="inlineStr">
        <is>
          <t>VÄSTERNORRLANDS LÄN</t>
        </is>
      </c>
      <c r="E1418" t="inlineStr">
        <is>
          <t>ÅNGE</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57022-2025</t>
        </is>
      </c>
      <c r="B1419" s="1" t="n">
        <v>45978.88921296296</v>
      </c>
      <c r="C1419" s="1" t="n">
        <v>46046</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56849-2025</t>
        </is>
      </c>
      <c r="B1420" s="1" t="n">
        <v>45978.48989583334</v>
      </c>
      <c r="C1420" s="1" t="n">
        <v>46046</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64080-2025</t>
        </is>
      </c>
      <c r="B1421" s="1" t="n">
        <v>46021.67752314815</v>
      </c>
      <c r="C1421" s="1" t="n">
        <v>46046</v>
      </c>
      <c r="D1421" t="inlineStr">
        <is>
          <t>VÄSTERNORRLANDS LÄN</t>
        </is>
      </c>
      <c r="E1421" t="inlineStr">
        <is>
          <t>ÅNGE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57283-2025</t>
        </is>
      </c>
      <c r="B1422" s="1" t="n">
        <v>45979.71918981482</v>
      </c>
      <c r="C1422" s="1" t="n">
        <v>46046</v>
      </c>
      <c r="D1422" t="inlineStr">
        <is>
          <t>VÄSTERNORRLANDS LÄN</t>
        </is>
      </c>
      <c r="E1422" t="inlineStr">
        <is>
          <t>ÅNGE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57615-2025</t>
        </is>
      </c>
      <c r="B1423" s="1" t="n">
        <v>45981.34431712963</v>
      </c>
      <c r="C1423" s="1" t="n">
        <v>46046</v>
      </c>
      <c r="D1423" t="inlineStr">
        <is>
          <t>VÄSTERNORRLANDS LÄN</t>
        </is>
      </c>
      <c r="E1423" t="inlineStr">
        <is>
          <t>ÅNGE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57302-2025</t>
        </is>
      </c>
      <c r="B1424" s="1" t="n">
        <v>45979.87184027778</v>
      </c>
      <c r="C1424" s="1" t="n">
        <v>46046</v>
      </c>
      <c r="D1424" t="inlineStr">
        <is>
          <t>VÄSTERNORRLANDS LÄN</t>
        </is>
      </c>
      <c r="E1424" t="inlineStr">
        <is>
          <t>ÅNGE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57371-2025</t>
        </is>
      </c>
      <c r="B1425" s="1" t="n">
        <v>45980.38586805556</v>
      </c>
      <c r="C1425" s="1" t="n">
        <v>46046</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57457-2025</t>
        </is>
      </c>
      <c r="B1426" s="1" t="n">
        <v>45980.53001157408</v>
      </c>
      <c r="C1426" s="1" t="n">
        <v>46046</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58524-2025</t>
        </is>
      </c>
      <c r="B1427" s="1" t="n">
        <v>45985.7190162037</v>
      </c>
      <c r="C1427" s="1" t="n">
        <v>46046</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58366-2025</t>
        </is>
      </c>
      <c r="B1428" s="1" t="n">
        <v>45985.52600694444</v>
      </c>
      <c r="C1428" s="1" t="n">
        <v>46046</v>
      </c>
      <c r="D1428" t="inlineStr">
        <is>
          <t>VÄSTERNORRLANDS LÄN</t>
        </is>
      </c>
      <c r="E1428" t="inlineStr">
        <is>
          <t>ÅNGE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345-2026</t>
        </is>
      </c>
      <c r="B1429" s="1" t="n">
        <v>46027.61515046296</v>
      </c>
      <c r="C1429" s="1" t="n">
        <v>46046</v>
      </c>
      <c r="D1429" t="inlineStr">
        <is>
          <t>VÄSTERNORRLANDS LÄN</t>
        </is>
      </c>
      <c r="E1429" t="inlineStr">
        <is>
          <t>ÅNGE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58406-2025</t>
        </is>
      </c>
      <c r="B1430" s="1" t="n">
        <v>45985.56913194444</v>
      </c>
      <c r="C1430" s="1" t="n">
        <v>46046</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57960-2025</t>
        </is>
      </c>
      <c r="B1431" s="1" t="n">
        <v>45982.36494212963</v>
      </c>
      <c r="C1431" s="1" t="n">
        <v>46046</v>
      </c>
      <c r="D1431" t="inlineStr">
        <is>
          <t>VÄSTERNORRLANDS LÄN</t>
        </is>
      </c>
      <c r="E1431" t="inlineStr">
        <is>
          <t>ÅNGE</t>
        </is>
      </c>
      <c r="F1431" t="inlineStr">
        <is>
          <t>SCA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353-2026</t>
        </is>
      </c>
      <c r="B1432" s="1" t="n">
        <v>46027.63585648148</v>
      </c>
      <c r="C1432" s="1" t="n">
        <v>46046</v>
      </c>
      <c r="D1432" t="inlineStr">
        <is>
          <t>VÄSTERNORRLANDS LÄN</t>
        </is>
      </c>
      <c r="E1432" t="inlineStr">
        <is>
          <t>ÅNGE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58388-2025</t>
        </is>
      </c>
      <c r="B1433" s="1" t="n">
        <v>45985.54685185185</v>
      </c>
      <c r="C1433" s="1" t="n">
        <v>46046</v>
      </c>
      <c r="D1433" t="inlineStr">
        <is>
          <t>VÄSTERNORRLANDS LÄN</t>
        </is>
      </c>
      <c r="E1433" t="inlineStr">
        <is>
          <t>ÅNGE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58486-2025</t>
        </is>
      </c>
      <c r="B1434" s="1" t="n">
        <v>45985.65660879629</v>
      </c>
      <c r="C1434" s="1" t="n">
        <v>46046</v>
      </c>
      <c r="D1434" t="inlineStr">
        <is>
          <t>VÄSTERNORRLANDS LÄN</t>
        </is>
      </c>
      <c r="E1434" t="inlineStr">
        <is>
          <t>ÅNGE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232-2026</t>
        </is>
      </c>
      <c r="B1435" s="1" t="n">
        <v>46027.34425925926</v>
      </c>
      <c r="C1435" s="1" t="n">
        <v>46046</v>
      </c>
      <c r="D1435" t="inlineStr">
        <is>
          <t>VÄSTERNORRLANDS LÄN</t>
        </is>
      </c>
      <c r="E1435" t="inlineStr">
        <is>
          <t>ÅNGE</t>
        </is>
      </c>
      <c r="F1435" t="inlineStr">
        <is>
          <t>SCA</t>
        </is>
      </c>
      <c r="G1435" t="n">
        <v>37.7</v>
      </c>
      <c r="H1435" t="n">
        <v>0</v>
      </c>
      <c r="I1435" t="n">
        <v>0</v>
      </c>
      <c r="J1435" t="n">
        <v>0</v>
      </c>
      <c r="K1435" t="n">
        <v>0</v>
      </c>
      <c r="L1435" t="n">
        <v>0</v>
      </c>
      <c r="M1435" t="n">
        <v>0</v>
      </c>
      <c r="N1435" t="n">
        <v>0</v>
      </c>
      <c r="O1435" t="n">
        <v>0</v>
      </c>
      <c r="P1435" t="n">
        <v>0</v>
      </c>
      <c r="Q1435" t="n">
        <v>0</v>
      </c>
      <c r="R1435" s="2" t="inlineStr"/>
    </row>
    <row r="1436" ht="15" customHeight="1">
      <c r="A1436" t="inlineStr">
        <is>
          <t>A 57950-2025</t>
        </is>
      </c>
      <c r="B1436" s="1" t="n">
        <v>45982.34473379629</v>
      </c>
      <c r="C1436" s="1" t="n">
        <v>46046</v>
      </c>
      <c r="D1436" t="inlineStr">
        <is>
          <t>VÄSTERNORRLANDS LÄN</t>
        </is>
      </c>
      <c r="E1436" t="inlineStr">
        <is>
          <t>ÅNGE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57961-2025</t>
        </is>
      </c>
      <c r="B1437" s="1" t="n">
        <v>45982.36502314815</v>
      </c>
      <c r="C1437" s="1" t="n">
        <v>46046</v>
      </c>
      <c r="D1437" t="inlineStr">
        <is>
          <t>VÄSTERNORRLANDS LÄN</t>
        </is>
      </c>
      <c r="E1437" t="inlineStr">
        <is>
          <t>ÅNGE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58240-2025</t>
        </is>
      </c>
      <c r="B1438" s="1" t="n">
        <v>45985.38796296297</v>
      </c>
      <c r="C1438" s="1" t="n">
        <v>46046</v>
      </c>
      <c r="D1438" t="inlineStr">
        <is>
          <t>VÄSTERNORRLANDS LÄN</t>
        </is>
      </c>
      <c r="E1438" t="inlineStr">
        <is>
          <t>ÅNGE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58268-2025</t>
        </is>
      </c>
      <c r="B1439" s="1" t="n">
        <v>45985.42450231482</v>
      </c>
      <c r="C1439" s="1" t="n">
        <v>46046</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57991-2025</t>
        </is>
      </c>
      <c r="B1440" s="1" t="n">
        <v>45982.42438657407</v>
      </c>
      <c r="C1440" s="1" t="n">
        <v>46046</v>
      </c>
      <c r="D1440" t="inlineStr">
        <is>
          <t>VÄSTERNORRLANDS LÄN</t>
        </is>
      </c>
      <c r="E1440" t="inlineStr">
        <is>
          <t>ÅNGE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58048-2025</t>
        </is>
      </c>
      <c r="B1441" s="1" t="n">
        <v>45982.5109837963</v>
      </c>
      <c r="C1441" s="1" t="n">
        <v>46046</v>
      </c>
      <c r="D1441" t="inlineStr">
        <is>
          <t>VÄSTERNORRLANDS LÄN</t>
        </is>
      </c>
      <c r="E1441" t="inlineStr">
        <is>
          <t>ÅNGE</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58270-2025</t>
        </is>
      </c>
      <c r="B1442" s="1" t="n">
        <v>45985.42633101852</v>
      </c>
      <c r="C1442" s="1" t="n">
        <v>46046</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58439-2025</t>
        </is>
      </c>
      <c r="B1443" s="1" t="n">
        <v>45985.61518518518</v>
      </c>
      <c r="C1443" s="1" t="n">
        <v>46046</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58242-2025</t>
        </is>
      </c>
      <c r="B1444" s="1" t="n">
        <v>45985.38802083334</v>
      </c>
      <c r="C1444" s="1" t="n">
        <v>46046</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58639-2025</t>
        </is>
      </c>
      <c r="B1445" s="1" t="n">
        <v>45986.49042824074</v>
      </c>
      <c r="C1445" s="1" t="n">
        <v>46046</v>
      </c>
      <c r="D1445" t="inlineStr">
        <is>
          <t>VÄSTERNORRLANDS LÄN</t>
        </is>
      </c>
      <c r="E1445" t="inlineStr">
        <is>
          <t>ÅNGE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58906-2025</t>
        </is>
      </c>
      <c r="B1446" s="1" t="n">
        <v>45987.51087962963</v>
      </c>
      <c r="C1446" s="1" t="n">
        <v>46046</v>
      </c>
      <c r="D1446" t="inlineStr">
        <is>
          <t>VÄSTERNORRLANDS LÄN</t>
        </is>
      </c>
      <c r="E1446" t="inlineStr">
        <is>
          <t>ÅNGE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58907-2025</t>
        </is>
      </c>
      <c r="B1447" s="1" t="n">
        <v>45987.51108796296</v>
      </c>
      <c r="C1447" s="1" t="n">
        <v>46046</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58588-2025</t>
        </is>
      </c>
      <c r="B1448" s="1" t="n">
        <v>45986.4065625</v>
      </c>
      <c r="C1448" s="1" t="n">
        <v>46046</v>
      </c>
      <c r="D1448" t="inlineStr">
        <is>
          <t>VÄSTERNORRLANDS LÄN</t>
        </is>
      </c>
      <c r="E1448" t="inlineStr">
        <is>
          <t>ÅNGE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58585-2025</t>
        </is>
      </c>
      <c r="B1449" s="1" t="n">
        <v>45986.39733796296</v>
      </c>
      <c r="C1449" s="1" t="n">
        <v>46046</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58599-2025</t>
        </is>
      </c>
      <c r="B1450" s="1" t="n">
        <v>45986.42644675926</v>
      </c>
      <c r="C1450" s="1" t="n">
        <v>46046</v>
      </c>
      <c r="D1450" t="inlineStr">
        <is>
          <t>VÄSTERNORRLANDS LÄN</t>
        </is>
      </c>
      <c r="E1450" t="inlineStr">
        <is>
          <t>ÅNGE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627-2026</t>
        </is>
      </c>
      <c r="B1451" s="1" t="n">
        <v>46029.55262731481</v>
      </c>
      <c r="C1451" s="1" t="n">
        <v>46046</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703-2026</t>
        </is>
      </c>
      <c r="B1452" s="1" t="n">
        <v>46029.61604166667</v>
      </c>
      <c r="C1452" s="1" t="n">
        <v>46046</v>
      </c>
      <c r="D1452" t="inlineStr">
        <is>
          <t>VÄSTERNORRLANDS LÄN</t>
        </is>
      </c>
      <c r="E1452" t="inlineStr">
        <is>
          <t>ÅNGE</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58890-2025</t>
        </is>
      </c>
      <c r="B1453" s="1" t="n">
        <v>45987.49006944444</v>
      </c>
      <c r="C1453" s="1" t="n">
        <v>46046</v>
      </c>
      <c r="D1453" t="inlineStr">
        <is>
          <t>VÄSTERNORRLANDS LÄN</t>
        </is>
      </c>
      <c r="E1453" t="inlineStr">
        <is>
          <t>ÅNGE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58605-2025</t>
        </is>
      </c>
      <c r="B1454" s="1" t="n">
        <v>45986</v>
      </c>
      <c r="C1454" s="1" t="n">
        <v>46046</v>
      </c>
      <c r="D1454" t="inlineStr">
        <is>
          <t>VÄSTERNORRLANDS LÄN</t>
        </is>
      </c>
      <c r="E1454" t="inlineStr">
        <is>
          <t>ÅNGE</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58892-2025</t>
        </is>
      </c>
      <c r="B1455" s="1" t="n">
        <v>45987.49056712963</v>
      </c>
      <c r="C1455" s="1" t="n">
        <v>46046</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58823-2025</t>
        </is>
      </c>
      <c r="B1456" s="1" t="n">
        <v>45987.3453125</v>
      </c>
      <c r="C1456" s="1" t="n">
        <v>46046</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58536-2025</t>
        </is>
      </c>
      <c r="B1457" s="1" t="n">
        <v>45985.83274305556</v>
      </c>
      <c r="C1457" s="1" t="n">
        <v>46046</v>
      </c>
      <c r="D1457" t="inlineStr">
        <is>
          <t>VÄSTERNORRLANDS LÄN</t>
        </is>
      </c>
      <c r="E1457" t="inlineStr">
        <is>
          <t>ÅNGE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58750-2025</t>
        </is>
      </c>
      <c r="B1458" s="1" t="n">
        <v>45986.64064814815</v>
      </c>
      <c r="C1458" s="1" t="n">
        <v>46046</v>
      </c>
      <c r="D1458" t="inlineStr">
        <is>
          <t>VÄSTERNORRLANDS LÄN</t>
        </is>
      </c>
      <c r="E1458" t="inlineStr">
        <is>
          <t>ÅNGE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1375-2026</t>
        </is>
      </c>
      <c r="B1459" s="1" t="n">
        <v>46031.61520833334</v>
      </c>
      <c r="C1459" s="1" t="n">
        <v>46046</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1266-2026</t>
        </is>
      </c>
      <c r="B1460" s="1" t="n">
        <v>46031.46269675926</v>
      </c>
      <c r="C1460" s="1" t="n">
        <v>46046</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59062-2025</t>
        </is>
      </c>
      <c r="B1461" s="1" t="n">
        <v>45988.40723379629</v>
      </c>
      <c r="C1461" s="1" t="n">
        <v>46046</v>
      </c>
      <c r="D1461" t="inlineStr">
        <is>
          <t>VÄSTERNORRLANDS LÄN</t>
        </is>
      </c>
      <c r="E1461" t="inlineStr">
        <is>
          <t>ÅNGE</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59064-2025</t>
        </is>
      </c>
      <c r="B1462" s="1" t="n">
        <v>45988.40768518519</v>
      </c>
      <c r="C1462" s="1" t="n">
        <v>46046</v>
      </c>
      <c r="D1462" t="inlineStr">
        <is>
          <t>VÄSTERNORRLANDS LÄN</t>
        </is>
      </c>
      <c r="E1462" t="inlineStr">
        <is>
          <t>ÅNGE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59065-2025</t>
        </is>
      </c>
      <c r="B1463" s="1" t="n">
        <v>45988.40780092592</v>
      </c>
      <c r="C1463" s="1" t="n">
        <v>46046</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1270-2026</t>
        </is>
      </c>
      <c r="B1464" s="1" t="n">
        <v>46031.46538194444</v>
      </c>
      <c r="C1464" s="1" t="n">
        <v>46046</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59063-2025</t>
        </is>
      </c>
      <c r="B1465" s="1" t="n">
        <v>45988.40734953704</v>
      </c>
      <c r="C1465" s="1" t="n">
        <v>46046</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59023-2025</t>
        </is>
      </c>
      <c r="B1466" s="1" t="n">
        <v>45988</v>
      </c>
      <c r="C1466" s="1" t="n">
        <v>46046</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59259-2025</t>
        </is>
      </c>
      <c r="B1467" s="1" t="n">
        <v>45988.65748842592</v>
      </c>
      <c r="C1467" s="1" t="n">
        <v>46046</v>
      </c>
      <c r="D1467" t="inlineStr">
        <is>
          <t>VÄSTERNORRLANDS LÄN</t>
        </is>
      </c>
      <c r="E1467" t="inlineStr">
        <is>
          <t>ÅNGE</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59319-2025</t>
        </is>
      </c>
      <c r="B1468" s="1" t="n">
        <v>45989.33283564815</v>
      </c>
      <c r="C1468" s="1" t="n">
        <v>46046</v>
      </c>
      <c r="D1468" t="inlineStr">
        <is>
          <t>VÄSTERNORRLANDS LÄN</t>
        </is>
      </c>
      <c r="E1468" t="inlineStr">
        <is>
          <t>ÅNGE</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59331-2025</t>
        </is>
      </c>
      <c r="B1469" s="1" t="n">
        <v>45989.35978009259</v>
      </c>
      <c r="C1469" s="1" t="n">
        <v>46046</v>
      </c>
      <c r="D1469" t="inlineStr">
        <is>
          <t>VÄSTERNORRLANDS LÄN</t>
        </is>
      </c>
      <c r="E1469" t="inlineStr">
        <is>
          <t>ÅNGE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59022-2025</t>
        </is>
      </c>
      <c r="B1470" s="1" t="n">
        <v>45988</v>
      </c>
      <c r="C1470" s="1" t="n">
        <v>46046</v>
      </c>
      <c r="D1470" t="inlineStr">
        <is>
          <t>VÄSTERNORRLANDS LÄN</t>
        </is>
      </c>
      <c r="E1470" t="inlineStr">
        <is>
          <t>ÅNGE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1280-2026</t>
        </is>
      </c>
      <c r="B1471" s="1" t="n">
        <v>46031.47851851852</v>
      </c>
      <c r="C1471" s="1" t="n">
        <v>46046</v>
      </c>
      <c r="D1471" t="inlineStr">
        <is>
          <t>VÄSTERNORRLANDS LÄN</t>
        </is>
      </c>
      <c r="E1471" t="inlineStr">
        <is>
          <t>ÅNGE</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1654-2026</t>
        </is>
      </c>
      <c r="B1472" s="1" t="n">
        <v>46034.53197916667</v>
      </c>
      <c r="C1472" s="1" t="n">
        <v>46046</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59815-2025</t>
        </is>
      </c>
      <c r="B1473" s="1" t="n">
        <v>45992.6359837963</v>
      </c>
      <c r="C1473" s="1" t="n">
        <v>46046</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60079-2025</t>
        </is>
      </c>
      <c r="B1474" s="1" t="n">
        <v>45993.6834375</v>
      </c>
      <c r="C1474" s="1" t="n">
        <v>46046</v>
      </c>
      <c r="D1474" t="inlineStr">
        <is>
          <t>VÄSTERNORRLANDS LÄN</t>
        </is>
      </c>
      <c r="E1474" t="inlineStr">
        <is>
          <t>ÅNGE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1969-2026</t>
        </is>
      </c>
      <c r="B1475" s="1" t="n">
        <v>46035.64024305555</v>
      </c>
      <c r="C1475" s="1" t="n">
        <v>46046</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1544-2026</t>
        </is>
      </c>
      <c r="B1476" s="1" t="n">
        <v>46034.38653935185</v>
      </c>
      <c r="C1476" s="1" t="n">
        <v>46046</v>
      </c>
      <c r="D1476" t="inlineStr">
        <is>
          <t>VÄSTERNORRLANDS LÄN</t>
        </is>
      </c>
      <c r="E1476" t="inlineStr">
        <is>
          <t>ÅNGE</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59641-2025</t>
        </is>
      </c>
      <c r="B1477" s="1" t="n">
        <v>45992.4175925926</v>
      </c>
      <c r="C1477" s="1" t="n">
        <v>46046</v>
      </c>
      <c r="D1477" t="inlineStr">
        <is>
          <t>VÄSTERNORRLANDS LÄN</t>
        </is>
      </c>
      <c r="E1477" t="inlineStr">
        <is>
          <t>ÅNGE</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1543-2026</t>
        </is>
      </c>
      <c r="B1478" s="1" t="n">
        <v>46034.38636574074</v>
      </c>
      <c r="C1478" s="1" t="n">
        <v>46046</v>
      </c>
      <c r="D1478" t="inlineStr">
        <is>
          <t>VÄSTERNORRLANDS LÄN</t>
        </is>
      </c>
      <c r="E1478" t="inlineStr">
        <is>
          <t>ÅNGE</t>
        </is>
      </c>
      <c r="F1478" t="inlineStr">
        <is>
          <t>SCA</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1547-2026</t>
        </is>
      </c>
      <c r="B1479" s="1" t="n">
        <v>46034.38689814815</v>
      </c>
      <c r="C1479" s="1" t="n">
        <v>46046</v>
      </c>
      <c r="D1479" t="inlineStr">
        <is>
          <t>VÄSTERNORRLANDS LÄN</t>
        </is>
      </c>
      <c r="E1479" t="inlineStr">
        <is>
          <t>ÅNGE</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60061-2025</t>
        </is>
      </c>
      <c r="B1480" s="1" t="n">
        <v>45993.65673611111</v>
      </c>
      <c r="C1480" s="1" t="n">
        <v>46046</v>
      </c>
      <c r="D1480" t="inlineStr">
        <is>
          <t>VÄSTERNORRLANDS LÄN</t>
        </is>
      </c>
      <c r="E1480" t="inlineStr">
        <is>
          <t>ÅNGE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1846-2026</t>
        </is>
      </c>
      <c r="B1481" s="1" t="n">
        <v>46035.40692129629</v>
      </c>
      <c r="C1481" s="1" t="n">
        <v>46046</v>
      </c>
      <c r="D1481" t="inlineStr">
        <is>
          <t>VÄSTERNORRLANDS LÄN</t>
        </is>
      </c>
      <c r="E1481" t="inlineStr">
        <is>
          <t>ÅNGE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1897-2026</t>
        </is>
      </c>
      <c r="B1482" s="1" t="n">
        <v>46035.51097222222</v>
      </c>
      <c r="C1482" s="1" t="n">
        <v>46046</v>
      </c>
      <c r="D1482" t="inlineStr">
        <is>
          <t>VÄSTERNORRLANDS LÄN</t>
        </is>
      </c>
      <c r="E1482" t="inlineStr">
        <is>
          <t>ÅNGE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1541-2026</t>
        </is>
      </c>
      <c r="B1483" s="1" t="n">
        <v>46034.38606481482</v>
      </c>
      <c r="C1483" s="1" t="n">
        <v>46046</v>
      </c>
      <c r="D1483" t="inlineStr">
        <is>
          <t>VÄSTERNORRLANDS LÄN</t>
        </is>
      </c>
      <c r="E1483" t="inlineStr">
        <is>
          <t>ÅNGE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58-2026</t>
        </is>
      </c>
      <c r="B1484" s="1" t="n">
        <v>46024</v>
      </c>
      <c r="C1484" s="1" t="n">
        <v>46046</v>
      </c>
      <c r="D1484" t="inlineStr">
        <is>
          <t>VÄSTERNORRLANDS LÄN</t>
        </is>
      </c>
      <c r="E1484" t="inlineStr">
        <is>
          <t>ÅNGE</t>
        </is>
      </c>
      <c r="F1484" t="inlineStr">
        <is>
          <t>Kyrkan</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1971-2026</t>
        </is>
      </c>
      <c r="B1485" s="1" t="n">
        <v>46035.64133101852</v>
      </c>
      <c r="C1485" s="1" t="n">
        <v>46046</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60118-2025</t>
        </is>
      </c>
      <c r="B1486" s="1" t="n">
        <v>45994.3242824074</v>
      </c>
      <c r="C1486" s="1" t="n">
        <v>46046</v>
      </c>
      <c r="D1486" t="inlineStr">
        <is>
          <t>VÄSTERNORRLANDS LÄN</t>
        </is>
      </c>
      <c r="E1486" t="inlineStr">
        <is>
          <t>ÅNGE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60119-2025</t>
        </is>
      </c>
      <c r="B1487" s="1" t="n">
        <v>45994.33081018519</v>
      </c>
      <c r="C1487" s="1" t="n">
        <v>46046</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60134-2025</t>
        </is>
      </c>
      <c r="B1488" s="1" t="n">
        <v>45994.34793981481</v>
      </c>
      <c r="C1488" s="1" t="n">
        <v>46046</v>
      </c>
      <c r="D1488" t="inlineStr">
        <is>
          <t>VÄSTERNORRLANDS LÄN</t>
        </is>
      </c>
      <c r="E1488" t="inlineStr">
        <is>
          <t>ÅNGE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60342-2025</t>
        </is>
      </c>
      <c r="B1489" s="1" t="n">
        <v>45994.86804398148</v>
      </c>
      <c r="C1489" s="1" t="n">
        <v>46046</v>
      </c>
      <c r="D1489" t="inlineStr">
        <is>
          <t>VÄSTERNORRLANDS LÄN</t>
        </is>
      </c>
      <c r="E1489" t="inlineStr">
        <is>
          <t>ÅNGE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2485-2026</t>
        </is>
      </c>
      <c r="B1490" s="1" t="n">
        <v>46037.38591435185</v>
      </c>
      <c r="C1490" s="1" t="n">
        <v>46046</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60124-2025</t>
        </is>
      </c>
      <c r="B1491" s="1" t="n">
        <v>45994.33722222222</v>
      </c>
      <c r="C1491" s="1" t="n">
        <v>46046</v>
      </c>
      <c r="D1491" t="inlineStr">
        <is>
          <t>VÄSTERNORRLANDS LÄN</t>
        </is>
      </c>
      <c r="E1491" t="inlineStr">
        <is>
          <t>ÅNGE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60286-2025</t>
        </is>
      </c>
      <c r="B1492" s="1" t="n">
        <v>45994.64612268518</v>
      </c>
      <c r="C1492" s="1" t="n">
        <v>46046</v>
      </c>
      <c r="D1492" t="inlineStr">
        <is>
          <t>VÄSTERNORRLANDS LÄN</t>
        </is>
      </c>
      <c r="E1492" t="inlineStr">
        <is>
          <t>ÅNGE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60520-2025</t>
        </is>
      </c>
      <c r="B1493" s="1" t="n">
        <v>45995.63694444444</v>
      </c>
      <c r="C1493" s="1" t="n">
        <v>46046</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60403-2025</t>
        </is>
      </c>
      <c r="B1494" s="1" t="n">
        <v>45995.42762731481</v>
      </c>
      <c r="C1494" s="1" t="n">
        <v>46046</v>
      </c>
      <c r="D1494" t="inlineStr">
        <is>
          <t>VÄSTERNORRLANDS LÄN</t>
        </is>
      </c>
      <c r="E1494" t="inlineStr">
        <is>
          <t>ÅNGE</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60590-2025</t>
        </is>
      </c>
      <c r="B1495" s="1" t="n">
        <v>45994</v>
      </c>
      <c r="C1495" s="1" t="n">
        <v>46046</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60604-2025</t>
        </is>
      </c>
      <c r="B1496" s="1" t="n">
        <v>45995</v>
      </c>
      <c r="C1496" s="1" t="n">
        <v>46046</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60422-2025</t>
        </is>
      </c>
      <c r="B1497" s="1" t="n">
        <v>45995.46922453704</v>
      </c>
      <c r="C1497" s="1" t="n">
        <v>46046</v>
      </c>
      <c r="D1497" t="inlineStr">
        <is>
          <t>VÄSTERNORRLANDS LÄN</t>
        </is>
      </c>
      <c r="E1497" t="inlineStr">
        <is>
          <t>ÅNGE</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60402-2025</t>
        </is>
      </c>
      <c r="B1498" s="1" t="n">
        <v>45995.4262962963</v>
      </c>
      <c r="C1498" s="1" t="n">
        <v>46046</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60278-2025</t>
        </is>
      </c>
      <c r="B1499" s="1" t="n">
        <v>45994.63739583334</v>
      </c>
      <c r="C1499" s="1" t="n">
        <v>46046</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60582-2025</t>
        </is>
      </c>
      <c r="B1500" s="1" t="n">
        <v>45994</v>
      </c>
      <c r="C1500" s="1" t="n">
        <v>46046</v>
      </c>
      <c r="D1500" t="inlineStr">
        <is>
          <t>VÄSTERNORRLANDS LÄN</t>
        </is>
      </c>
      <c r="E1500" t="inlineStr">
        <is>
          <t>ÅNGE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60599-2025</t>
        </is>
      </c>
      <c r="B1501" s="1" t="n">
        <v>45994</v>
      </c>
      <c r="C1501" s="1" t="n">
        <v>46046</v>
      </c>
      <c r="D1501" t="inlineStr">
        <is>
          <t>VÄSTERNORRLANDS LÄN</t>
        </is>
      </c>
      <c r="E1501" t="inlineStr">
        <is>
          <t>ÅNGE</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60296-2025</t>
        </is>
      </c>
      <c r="B1502" s="1" t="n">
        <v>45994.6568287037</v>
      </c>
      <c r="C1502" s="1" t="n">
        <v>46046</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3289-2026</t>
        </is>
      </c>
      <c r="B1503" s="1" t="n">
        <v>46041.63581018519</v>
      </c>
      <c r="C1503" s="1" t="n">
        <v>46046</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60950-2025</t>
        </is>
      </c>
      <c r="B1504" s="1" t="n">
        <v>45999</v>
      </c>
      <c r="C1504" s="1" t="n">
        <v>46046</v>
      </c>
      <c r="D1504" t="inlineStr">
        <is>
          <t>VÄSTERNORRLANDS LÄN</t>
        </is>
      </c>
      <c r="E1504" t="inlineStr">
        <is>
          <t>ÅNGE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60960-2025</t>
        </is>
      </c>
      <c r="B1505" s="1" t="n">
        <v>45999</v>
      </c>
      <c r="C1505" s="1" t="n">
        <v>46046</v>
      </c>
      <c r="D1505" t="inlineStr">
        <is>
          <t>VÄSTERNORRLANDS LÄN</t>
        </is>
      </c>
      <c r="E1505" t="inlineStr">
        <is>
          <t>ÅNGE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3290-2026</t>
        </is>
      </c>
      <c r="B1506" s="1" t="n">
        <v>46041</v>
      </c>
      <c r="C1506" s="1" t="n">
        <v>46046</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60864-2025</t>
        </is>
      </c>
      <c r="B1507" s="1" t="n">
        <v>45999.53170138889</v>
      </c>
      <c r="C1507" s="1" t="n">
        <v>46046</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3800-2026</t>
        </is>
      </c>
      <c r="B1508" s="1" t="n">
        <v>46043.58267361111</v>
      </c>
      <c r="C1508" s="1" t="n">
        <v>46046</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61500-2025</t>
        </is>
      </c>
      <c r="B1509" s="1" t="n">
        <v>46001.65667824074</v>
      </c>
      <c r="C1509" s="1" t="n">
        <v>46046</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3534-2026</t>
        </is>
      </c>
      <c r="B1510" s="1" t="n">
        <v>46042.62432870371</v>
      </c>
      <c r="C1510" s="1" t="n">
        <v>46046</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3889-2026</t>
        </is>
      </c>
      <c r="B1511" s="1" t="n">
        <v>46043.67015046296</v>
      </c>
      <c r="C1511" s="1" t="n">
        <v>46046</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61075-2025</t>
        </is>
      </c>
      <c r="B1512" s="1" t="n">
        <v>46000.3959837963</v>
      </c>
      <c r="C1512" s="1" t="n">
        <v>46046</v>
      </c>
      <c r="D1512" t="inlineStr">
        <is>
          <t>VÄSTERNORRLANDS LÄN</t>
        </is>
      </c>
      <c r="E1512" t="inlineStr">
        <is>
          <t>ÅNGE</t>
        </is>
      </c>
      <c r="F1512" t="inlineStr">
        <is>
          <t>Holmen skog AB</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61486-2025</t>
        </is>
      </c>
      <c r="B1513" s="1" t="n">
        <v>46001.63607638889</v>
      </c>
      <c r="C1513" s="1" t="n">
        <v>46046</v>
      </c>
      <c r="D1513" t="inlineStr">
        <is>
          <t>VÄSTERNORRLANDS LÄN</t>
        </is>
      </c>
      <c r="E1513" t="inlineStr">
        <is>
          <t>ÅNGE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61203-2025</t>
        </is>
      </c>
      <c r="B1514" s="1" t="n">
        <v>46000.61237268519</v>
      </c>
      <c r="C1514" s="1" t="n">
        <v>46046</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61439-2025</t>
        </is>
      </c>
      <c r="B1515" s="1" t="n">
        <v>46001.57010416667</v>
      </c>
      <c r="C1515" s="1" t="n">
        <v>46046</v>
      </c>
      <c r="D1515" t="inlineStr">
        <is>
          <t>VÄSTERNORRLANDS LÄN</t>
        </is>
      </c>
      <c r="E1515" t="inlineStr">
        <is>
          <t>ÅNGE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61279-2025</t>
        </is>
      </c>
      <c r="B1516" s="1" t="n">
        <v>46000.69841435185</v>
      </c>
      <c r="C1516" s="1" t="n">
        <v>46046</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61200-2025</t>
        </is>
      </c>
      <c r="B1517" s="1" t="n">
        <v>46000.60918981482</v>
      </c>
      <c r="C1517" s="1" t="n">
        <v>46046</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3801-2026</t>
        </is>
      </c>
      <c r="B1518" s="1" t="n">
        <v>46043.58273148148</v>
      </c>
      <c r="C1518" s="1" t="n">
        <v>46046</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10687-2022</t>
        </is>
      </c>
      <c r="B1519" s="1" t="n">
        <v>44624.92684027777</v>
      </c>
      <c r="C1519" s="1" t="n">
        <v>46046</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3882-2026</t>
        </is>
      </c>
      <c r="B1520" s="1" t="n">
        <v>46043.65693287037</v>
      </c>
      <c r="C1520" s="1" t="n">
        <v>46046</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3872-2026</t>
        </is>
      </c>
      <c r="B1521" s="1" t="n">
        <v>46043.64314814815</v>
      </c>
      <c r="C1521" s="1" t="n">
        <v>46046</v>
      </c>
      <c r="D1521" t="inlineStr">
        <is>
          <t>VÄSTERNORRLANDS LÄN</t>
        </is>
      </c>
      <c r="E1521" t="inlineStr">
        <is>
          <t>ÅNGE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61308-2025</t>
        </is>
      </c>
      <c r="B1522" s="1" t="n">
        <v>46000.81952546296</v>
      </c>
      <c r="C1522" s="1" t="n">
        <v>46046</v>
      </c>
      <c r="D1522" t="inlineStr">
        <is>
          <t>VÄSTERNORRLANDS LÄN</t>
        </is>
      </c>
      <c r="E1522" t="inlineStr">
        <is>
          <t>ÅNGE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61349-2025</t>
        </is>
      </c>
      <c r="B1523" s="1" t="n">
        <v>46001.3866087963</v>
      </c>
      <c r="C1523" s="1" t="n">
        <v>46046</v>
      </c>
      <c r="D1523" t="inlineStr">
        <is>
          <t>VÄSTERNORRLANDS LÄN</t>
        </is>
      </c>
      <c r="E1523" t="inlineStr">
        <is>
          <t>ÅNGE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61321-2025</t>
        </is>
      </c>
      <c r="B1524" s="1" t="n">
        <v>46000.96894675926</v>
      </c>
      <c r="C1524" s="1" t="n">
        <v>46046</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61332-2025</t>
        </is>
      </c>
      <c r="B1525" s="1" t="n">
        <v>46001.34416666667</v>
      </c>
      <c r="C1525" s="1" t="n">
        <v>46046</v>
      </c>
      <c r="D1525" t="inlineStr">
        <is>
          <t>VÄSTERNORRLANDS LÄN</t>
        </is>
      </c>
      <c r="E1525" t="inlineStr">
        <is>
          <t>ÅNGE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61857-2025</t>
        </is>
      </c>
      <c r="B1526" s="1" t="n">
        <v>46003.3862962963</v>
      </c>
      <c r="C1526" s="1" t="n">
        <v>46046</v>
      </c>
      <c r="D1526" t="inlineStr">
        <is>
          <t>VÄSTERNORRLANDS LÄN</t>
        </is>
      </c>
      <c r="E1526" t="inlineStr">
        <is>
          <t>ÅNGE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4374-2026</t>
        </is>
      </c>
      <c r="B1527" s="1" t="n">
        <v>46045.5528125</v>
      </c>
      <c r="C1527" s="1" t="n">
        <v>46046</v>
      </c>
      <c r="D1527" t="inlineStr">
        <is>
          <t>VÄSTERNORRLANDS LÄN</t>
        </is>
      </c>
      <c r="E1527" t="inlineStr">
        <is>
          <t>ÅNGE</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54627-2025</t>
        </is>
      </c>
      <c r="B1528" s="1" t="n">
        <v>45966.34565972222</v>
      </c>
      <c r="C1528" s="1" t="n">
        <v>46046</v>
      </c>
      <c r="D1528" t="inlineStr">
        <is>
          <t>VÄSTERNORRLANDS LÄN</t>
        </is>
      </c>
      <c r="E1528" t="inlineStr">
        <is>
          <t>ÅNGE</t>
        </is>
      </c>
      <c r="F1528" t="inlineStr">
        <is>
          <t>SCA</t>
        </is>
      </c>
      <c r="G1528" t="n">
        <v>18.5</v>
      </c>
      <c r="H1528" t="n">
        <v>0</v>
      </c>
      <c r="I1528" t="n">
        <v>0</v>
      </c>
      <c r="J1528" t="n">
        <v>0</v>
      </c>
      <c r="K1528" t="n">
        <v>0</v>
      </c>
      <c r="L1528" t="n">
        <v>0</v>
      </c>
      <c r="M1528" t="n">
        <v>0</v>
      </c>
      <c r="N1528" t="n">
        <v>0</v>
      </c>
      <c r="O1528" t="n">
        <v>0</v>
      </c>
      <c r="P1528" t="n">
        <v>0</v>
      </c>
      <c r="Q1528" t="n">
        <v>0</v>
      </c>
      <c r="R1528" s="2" t="inlineStr"/>
    </row>
    <row r="1529" ht="15" customHeight="1">
      <c r="A1529" t="inlineStr">
        <is>
          <t>A 4263-2026</t>
        </is>
      </c>
      <c r="B1529" s="1" t="n">
        <v>46045.34451388889</v>
      </c>
      <c r="C1529" s="1" t="n">
        <v>46046</v>
      </c>
      <c r="D1529" t="inlineStr">
        <is>
          <t>VÄSTERNORRLANDS LÄN</t>
        </is>
      </c>
      <c r="E1529" t="inlineStr">
        <is>
          <t>ÅNGE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4328-2026</t>
        </is>
      </c>
      <c r="B1530" s="1" t="n">
        <v>46045.46940972222</v>
      </c>
      <c r="C1530" s="1" t="n">
        <v>46046</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4327-2026</t>
        </is>
      </c>
      <c r="B1531" s="1" t="n">
        <v>46045.46930555555</v>
      </c>
      <c r="C1531" s="1" t="n">
        <v>46046</v>
      </c>
      <c r="D1531" t="inlineStr">
        <is>
          <t>VÄSTERNORRLANDS LÄN</t>
        </is>
      </c>
      <c r="E1531" t="inlineStr">
        <is>
          <t>ÅNGE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4441-2026</t>
        </is>
      </c>
      <c r="B1532" s="1" t="n">
        <v>46045.63600694444</v>
      </c>
      <c r="C1532" s="1" t="n">
        <v>46046</v>
      </c>
      <c r="D1532" t="inlineStr">
        <is>
          <t>VÄSTERNORRLANDS LÄN</t>
        </is>
      </c>
      <c r="E1532" t="inlineStr">
        <is>
          <t>ÅNGE</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4442-2026</t>
        </is>
      </c>
      <c r="B1533" s="1" t="n">
        <v>46045.63625</v>
      </c>
      <c r="C1533" s="1" t="n">
        <v>46046</v>
      </c>
      <c r="D1533" t="inlineStr">
        <is>
          <t>VÄSTERNORRLANDS LÄN</t>
        </is>
      </c>
      <c r="E1533" t="inlineStr">
        <is>
          <t>ÅNGE</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4376-2026</t>
        </is>
      </c>
      <c r="B1534" s="1" t="n">
        <v>46045.55318287037</v>
      </c>
      <c r="C1534" s="1" t="n">
        <v>46046</v>
      </c>
      <c r="D1534" t="inlineStr">
        <is>
          <t>VÄSTERNORRLANDS LÄN</t>
        </is>
      </c>
      <c r="E1534" t="inlineStr">
        <is>
          <t>ÅNGE</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3970-2026</t>
        </is>
      </c>
      <c r="B1535" s="1" t="n">
        <v>46044.3521875</v>
      </c>
      <c r="C1535" s="1" t="n">
        <v>46046</v>
      </c>
      <c r="D1535" t="inlineStr">
        <is>
          <t>VÄSTERNORRLANDS LÄN</t>
        </is>
      </c>
      <c r="E1535" t="inlineStr">
        <is>
          <t>ÅNGE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8778-2025</t>
        </is>
      </c>
      <c r="B1536" s="1" t="n">
        <v>45712.61539351852</v>
      </c>
      <c r="C1536" s="1" t="n">
        <v>46046</v>
      </c>
      <c r="D1536" t="inlineStr">
        <is>
          <t>VÄSTERNORRLANDS LÄN</t>
        </is>
      </c>
      <c r="E1536" t="inlineStr">
        <is>
          <t>ÅNGE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34629-2025</t>
        </is>
      </c>
      <c r="B1537" s="1" t="n">
        <v>45847.93006944445</v>
      </c>
      <c r="C1537" s="1" t="n">
        <v>46046</v>
      </c>
      <c r="D1537" t="inlineStr">
        <is>
          <t>VÄSTERNORRLANDS LÄN</t>
        </is>
      </c>
      <c r="E1537" t="inlineStr">
        <is>
          <t>ÅNGE</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4209-2026</t>
        </is>
      </c>
      <c r="B1538" s="1" t="n">
        <v>46044.72609953704</v>
      </c>
      <c r="C1538" s="1" t="n">
        <v>46046</v>
      </c>
      <c r="D1538" t="inlineStr">
        <is>
          <t>VÄSTERNORRLANDS LÄN</t>
        </is>
      </c>
      <c r="E1538" t="inlineStr">
        <is>
          <t>ÅNGE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4262-2026</t>
        </is>
      </c>
      <c r="B1539" s="1" t="n">
        <v>46045.34431712963</v>
      </c>
      <c r="C1539" s="1" t="n">
        <v>46046</v>
      </c>
      <c r="D1539" t="inlineStr">
        <is>
          <t>VÄSTERNORRLANDS LÄN</t>
        </is>
      </c>
      <c r="E1539" t="inlineStr">
        <is>
          <t>ÅNGE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61656-2025</t>
        </is>
      </c>
      <c r="B1540" s="1" t="n">
        <v>46002.44873842593</v>
      </c>
      <c r="C1540" s="1" t="n">
        <v>46046</v>
      </c>
      <c r="D1540" t="inlineStr">
        <is>
          <t>VÄSTERNORRLANDS LÄN</t>
        </is>
      </c>
      <c r="E1540" t="inlineStr">
        <is>
          <t>ÅNGE</t>
        </is>
      </c>
      <c r="G1540" t="n">
        <v>2.9</v>
      </c>
      <c r="H1540" t="n">
        <v>0</v>
      </c>
      <c r="I1540" t="n">
        <v>0</v>
      </c>
      <c r="J1540" t="n">
        <v>0</v>
      </c>
      <c r="K1540" t="n">
        <v>0</v>
      </c>
      <c r="L1540" t="n">
        <v>0</v>
      </c>
      <c r="M1540" t="n">
        <v>0</v>
      </c>
      <c r="N1540" t="n">
        <v>0</v>
      </c>
      <c r="O1540" t="n">
        <v>0</v>
      </c>
      <c r="P1540" t="n">
        <v>0</v>
      </c>
      <c r="Q1540" t="n">
        <v>0</v>
      </c>
      <c r="R1540" s="2" t="inlineStr"/>
    </row>
    <row r="1541">
      <c r="A1541" t="inlineStr">
        <is>
          <t>A 3811-2026</t>
        </is>
      </c>
      <c r="B1541" s="1" t="n">
        <v>46043</v>
      </c>
      <c r="C1541" s="1" t="n">
        <v>46046</v>
      </c>
      <c r="D1541" t="inlineStr">
        <is>
          <t>VÄSTERNORRLANDS LÄN</t>
        </is>
      </c>
      <c r="E1541" t="inlineStr">
        <is>
          <t>ÅNGE</t>
        </is>
      </c>
      <c r="G1541" t="n">
        <v>1.4</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2026-01-24T11:03:05Z</dcterms:created>
  <dcterms:modified xmlns:dcterms="http://purl.org/dc/terms/" xmlns:xsi="http://www.w3.org/2001/XMLSchema-instance" xsi:type="dcterms:W3CDTF">2026-01-24T11:03:06Z</dcterms:modified>
</cp:coreProperties>
</file>