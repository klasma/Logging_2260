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45258</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45258</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45258</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45258</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45258</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45258</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45258</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45258</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45258</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45258</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45258</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45258</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45258</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45258</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45258</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45258</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45258</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45258</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45258</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45258</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45258</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45258</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45258</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45258</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45258</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45258</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45258</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45258</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45258</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45258</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45258</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45258</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45258</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45258</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45258</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45258</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45258</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45258</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45258</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45258</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45258</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45258</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45258</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45258</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45258</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45258</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45258</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45258</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45258</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45258</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45258</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45258</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45258</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45258</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45258</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45258</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45258</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45258</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45258</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45258</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45258</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45258</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45258</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45258</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45258</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45258</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45258</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45258</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45258</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45258</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45258</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45258</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45258</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45258</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45258</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45258</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45258</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45258</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45258</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45258</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45258</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45258</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45258</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45258</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45258</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15666-2021</t>
        </is>
      </c>
      <c r="B87" s="1" t="n">
        <v>44285</v>
      </c>
      <c r="C87" s="1" t="n">
        <v>45258</v>
      </c>
      <c r="D87" t="inlineStr">
        <is>
          <t>VÄSTERNORRLANDS LÄN</t>
        </is>
      </c>
      <c r="E87" t="inlineStr">
        <is>
          <t>ÅNGE</t>
        </is>
      </c>
      <c r="G87" t="n">
        <v>4.3</v>
      </c>
      <c r="H87" t="n">
        <v>0</v>
      </c>
      <c r="I87" t="n">
        <v>1</v>
      </c>
      <c r="J87" t="n">
        <v>2</v>
      </c>
      <c r="K87" t="n">
        <v>0</v>
      </c>
      <c r="L87" t="n">
        <v>0</v>
      </c>
      <c r="M87" t="n">
        <v>0</v>
      </c>
      <c r="N87" t="n">
        <v>0</v>
      </c>
      <c r="O87" t="n">
        <v>2</v>
      </c>
      <c r="P87" t="n">
        <v>0</v>
      </c>
      <c r="Q87" t="n">
        <v>3</v>
      </c>
      <c r="R87" s="2" t="inlineStr">
        <is>
          <t>Lunglav
Skrovellav
Stuplav</t>
        </is>
      </c>
      <c r="S87">
        <f>HYPERLINK("https://klasma.github.io/Logging_2260/artfynd/A 15666-2021 artfynd.xlsx", "A 15666-2021")</f>
        <v/>
      </c>
      <c r="T87">
        <f>HYPERLINK("https://klasma.github.io/Logging_2260/kartor/A 15666-2021 karta.png", "A 15666-2021")</f>
        <v/>
      </c>
      <c r="V87">
        <f>HYPERLINK("https://klasma.github.io/Logging_2260/klagomål/A 15666-2021 FSC-klagomål.docx", "A 15666-2021")</f>
        <v/>
      </c>
      <c r="W87">
        <f>HYPERLINK("https://klasma.github.io/Logging_2260/klagomålsmail/A 15666-2021 FSC-klagomål mail.docx", "A 15666-2021")</f>
        <v/>
      </c>
      <c r="X87">
        <f>HYPERLINK("https://klasma.github.io/Logging_2260/tillsyn/A 15666-2021 tillsynsbegäran.docx", "A 15666-2021")</f>
        <v/>
      </c>
      <c r="Y87">
        <f>HYPERLINK("https://klasma.github.io/Logging_2260/tillsynsmail/A 15666-2021 tillsynsbegäran mail.docx", "A 15666-2021")</f>
        <v/>
      </c>
    </row>
    <row r="88" ht="15" customHeight="1">
      <c r="A88" t="inlineStr">
        <is>
          <t>A 27956-2021</t>
        </is>
      </c>
      <c r="B88" s="1" t="n">
        <v>44354</v>
      </c>
      <c r="C88" s="1" t="n">
        <v>45258</v>
      </c>
      <c r="D88" t="inlineStr">
        <is>
          <t>VÄSTERNORRLANDS LÄN</t>
        </is>
      </c>
      <c r="E88" t="inlineStr">
        <is>
          <t>ÅNGE</t>
        </is>
      </c>
      <c r="G88" t="n">
        <v>1.4</v>
      </c>
      <c r="H88" t="n">
        <v>0</v>
      </c>
      <c r="I88" t="n">
        <v>0</v>
      </c>
      <c r="J88" t="n">
        <v>3</v>
      </c>
      <c r="K88" t="n">
        <v>0</v>
      </c>
      <c r="L88" t="n">
        <v>0</v>
      </c>
      <c r="M88" t="n">
        <v>0</v>
      </c>
      <c r="N88" t="n">
        <v>0</v>
      </c>
      <c r="O88" t="n">
        <v>3</v>
      </c>
      <c r="P88" t="n">
        <v>0</v>
      </c>
      <c r="Q88" t="n">
        <v>3</v>
      </c>
      <c r="R88" s="2" t="inlineStr">
        <is>
          <t>Garnlav
Lunglav
Ullticka</t>
        </is>
      </c>
      <c r="S88">
        <f>HYPERLINK("https://klasma.github.io/Logging_2260/artfynd/A 27956-2021 artfynd.xlsx", "A 27956-2021")</f>
        <v/>
      </c>
      <c r="T88">
        <f>HYPERLINK("https://klasma.github.io/Logging_2260/kartor/A 27956-2021 karta.png", "A 27956-2021")</f>
        <v/>
      </c>
      <c r="V88">
        <f>HYPERLINK("https://klasma.github.io/Logging_2260/klagomål/A 27956-2021 FSC-klagomål.docx", "A 27956-2021")</f>
        <v/>
      </c>
      <c r="W88">
        <f>HYPERLINK("https://klasma.github.io/Logging_2260/klagomålsmail/A 27956-2021 FSC-klagomål mail.docx", "A 27956-2021")</f>
        <v/>
      </c>
      <c r="X88">
        <f>HYPERLINK("https://klasma.github.io/Logging_2260/tillsyn/A 27956-2021 tillsynsbegäran.docx", "A 27956-2021")</f>
        <v/>
      </c>
      <c r="Y88">
        <f>HYPERLINK("https://klasma.github.io/Logging_2260/tillsynsmail/A 27956-2021 tillsynsbegäran mail.docx", "A 27956-2021")</f>
        <v/>
      </c>
    </row>
    <row r="89" ht="15" customHeight="1">
      <c r="A89" t="inlineStr">
        <is>
          <t>A 29083-2021</t>
        </is>
      </c>
      <c r="B89" s="1" t="n">
        <v>44358</v>
      </c>
      <c r="C89" s="1" t="n">
        <v>45258</v>
      </c>
      <c r="D89" t="inlineStr">
        <is>
          <t>VÄSTERNORRLANDS LÄN</t>
        </is>
      </c>
      <c r="E89" t="inlineStr">
        <is>
          <t>ÅNGE</t>
        </is>
      </c>
      <c r="F89" t="inlineStr">
        <is>
          <t>Sveaskog</t>
        </is>
      </c>
      <c r="G89" t="n">
        <v>6.1</v>
      </c>
      <c r="H89" t="n">
        <v>1</v>
      </c>
      <c r="I89" t="n">
        <v>2</v>
      </c>
      <c r="J89" t="n">
        <v>1</v>
      </c>
      <c r="K89" t="n">
        <v>0</v>
      </c>
      <c r="L89" t="n">
        <v>0</v>
      </c>
      <c r="M89" t="n">
        <v>0</v>
      </c>
      <c r="N89" t="n">
        <v>0</v>
      </c>
      <c r="O89" t="n">
        <v>1</v>
      </c>
      <c r="P89" t="n">
        <v>0</v>
      </c>
      <c r="Q89" t="n">
        <v>3</v>
      </c>
      <c r="R89" s="2" t="inlineStr">
        <is>
          <t>Lunglav
Plattlummer
Stor aspticka</t>
        </is>
      </c>
      <c r="S89">
        <f>HYPERLINK("https://klasma.github.io/Logging_2260/artfynd/A 29083-2021 artfynd.xlsx", "A 29083-2021")</f>
        <v/>
      </c>
      <c r="T89">
        <f>HYPERLINK("https://klasma.github.io/Logging_2260/kartor/A 29083-2021 karta.png", "A 29083-2021")</f>
        <v/>
      </c>
      <c r="V89">
        <f>HYPERLINK("https://klasma.github.io/Logging_2260/klagomål/A 29083-2021 FSC-klagomål.docx", "A 29083-2021")</f>
        <v/>
      </c>
      <c r="W89">
        <f>HYPERLINK("https://klasma.github.io/Logging_2260/klagomålsmail/A 29083-2021 FSC-klagomål mail.docx", "A 29083-2021")</f>
        <v/>
      </c>
      <c r="X89">
        <f>HYPERLINK("https://klasma.github.io/Logging_2260/tillsyn/A 29083-2021 tillsynsbegäran.docx", "A 29083-2021")</f>
        <v/>
      </c>
      <c r="Y89">
        <f>HYPERLINK("https://klasma.github.io/Logging_2260/tillsynsmail/A 29083-2021 tillsynsbegäran mail.docx", "A 29083-2021")</f>
        <v/>
      </c>
    </row>
    <row r="90" ht="15" customHeight="1">
      <c r="A90" t="inlineStr">
        <is>
          <t>A 45122-2021</t>
        </is>
      </c>
      <c r="B90" s="1" t="n">
        <v>44439</v>
      </c>
      <c r="C90" s="1" t="n">
        <v>45258</v>
      </c>
      <c r="D90" t="inlineStr">
        <is>
          <t>VÄSTERNORRLANDS LÄN</t>
        </is>
      </c>
      <c r="E90" t="inlineStr">
        <is>
          <t>ÅNGE</t>
        </is>
      </c>
      <c r="G90" t="n">
        <v>20.3</v>
      </c>
      <c r="H90" t="n">
        <v>0</v>
      </c>
      <c r="I90" t="n">
        <v>2</v>
      </c>
      <c r="J90" t="n">
        <v>1</v>
      </c>
      <c r="K90" t="n">
        <v>0</v>
      </c>
      <c r="L90" t="n">
        <v>0</v>
      </c>
      <c r="M90" t="n">
        <v>0</v>
      </c>
      <c r="N90" t="n">
        <v>0</v>
      </c>
      <c r="O90" t="n">
        <v>1</v>
      </c>
      <c r="P90" t="n">
        <v>0</v>
      </c>
      <c r="Q90" t="n">
        <v>3</v>
      </c>
      <c r="R90" s="2" t="inlineStr">
        <is>
          <t>Reliktbock
Cixidia
Skinnlav</t>
        </is>
      </c>
      <c r="S90">
        <f>HYPERLINK("https://klasma.github.io/Logging_2260/artfynd/A 45122-2021 artfynd.xlsx", "A 45122-2021")</f>
        <v/>
      </c>
      <c r="T90">
        <f>HYPERLINK("https://klasma.github.io/Logging_2260/kartor/A 45122-2021 karta.png", "A 45122-2021")</f>
        <v/>
      </c>
      <c r="V90">
        <f>HYPERLINK("https://klasma.github.io/Logging_2260/klagomål/A 45122-2021 FSC-klagomål.docx", "A 45122-2021")</f>
        <v/>
      </c>
      <c r="W90">
        <f>HYPERLINK("https://klasma.github.io/Logging_2260/klagomålsmail/A 45122-2021 FSC-klagomål mail.docx", "A 45122-2021")</f>
        <v/>
      </c>
      <c r="X90">
        <f>HYPERLINK("https://klasma.github.io/Logging_2260/tillsyn/A 45122-2021 tillsynsbegäran.docx", "A 45122-2021")</f>
        <v/>
      </c>
      <c r="Y90">
        <f>HYPERLINK("https://klasma.github.io/Logging_2260/tillsynsmail/A 45122-2021 tillsynsbegäran mail.docx", "A 45122-2021")</f>
        <v/>
      </c>
    </row>
    <row r="91" ht="15" customHeight="1">
      <c r="A91" t="inlineStr">
        <is>
          <t>A 10317-2022</t>
        </is>
      </c>
      <c r="B91" s="1" t="n">
        <v>44622</v>
      </c>
      <c r="C91" s="1" t="n">
        <v>45258</v>
      </c>
      <c r="D91" t="inlineStr">
        <is>
          <t>VÄSTERNORRLANDS LÄN</t>
        </is>
      </c>
      <c r="E91" t="inlineStr">
        <is>
          <t>ÅNGE</t>
        </is>
      </c>
      <c r="F91" t="inlineStr">
        <is>
          <t>SCA</t>
        </is>
      </c>
      <c r="G91" t="n">
        <v>3</v>
      </c>
      <c r="H91" t="n">
        <v>2</v>
      </c>
      <c r="I91" t="n">
        <v>1</v>
      </c>
      <c r="J91" t="n">
        <v>1</v>
      </c>
      <c r="K91" t="n">
        <v>1</v>
      </c>
      <c r="L91" t="n">
        <v>0</v>
      </c>
      <c r="M91" t="n">
        <v>0</v>
      </c>
      <c r="N91" t="n">
        <v>0</v>
      </c>
      <c r="O91" t="n">
        <v>2</v>
      </c>
      <c r="P91" t="n">
        <v>1</v>
      </c>
      <c r="Q91" t="n">
        <v>3</v>
      </c>
      <c r="R91" s="2" t="inlineStr">
        <is>
          <t>Knärot
Granticka
Tvåblad</t>
        </is>
      </c>
      <c r="S91">
        <f>HYPERLINK("https://klasma.github.io/Logging_2260/artfynd/A 10317-2022 artfynd.xlsx", "A 10317-2022")</f>
        <v/>
      </c>
      <c r="T91">
        <f>HYPERLINK("https://klasma.github.io/Logging_2260/kartor/A 10317-2022 karta.png", "A 10317-2022")</f>
        <v/>
      </c>
      <c r="U91">
        <f>HYPERLINK("https://klasma.github.io/Logging_2260/knärot/A 10317-2022 karta knärot.png", "A 10317-2022")</f>
        <v/>
      </c>
      <c r="V91">
        <f>HYPERLINK("https://klasma.github.io/Logging_2260/klagomål/A 10317-2022 FSC-klagomål.docx", "A 10317-2022")</f>
        <v/>
      </c>
      <c r="W91">
        <f>HYPERLINK("https://klasma.github.io/Logging_2260/klagomålsmail/A 10317-2022 FSC-klagomål mail.docx", "A 10317-2022")</f>
        <v/>
      </c>
      <c r="X91">
        <f>HYPERLINK("https://klasma.github.io/Logging_2260/tillsyn/A 10317-2022 tillsynsbegäran.docx", "A 10317-2022")</f>
        <v/>
      </c>
      <c r="Y91">
        <f>HYPERLINK("https://klasma.github.io/Logging_2260/tillsynsmail/A 10317-2022 tillsynsbegäran mail.docx", "A 10317-2022")</f>
        <v/>
      </c>
    </row>
    <row r="92" ht="15" customHeight="1">
      <c r="A92" t="inlineStr">
        <is>
          <t>A 57299-2022</t>
        </is>
      </c>
      <c r="B92" s="1" t="n">
        <v>44895</v>
      </c>
      <c r="C92" s="1" t="n">
        <v>45258</v>
      </c>
      <c r="D92" t="inlineStr">
        <is>
          <t>VÄSTERNORRLANDS LÄN</t>
        </is>
      </c>
      <c r="E92" t="inlineStr">
        <is>
          <t>ÅNGE</t>
        </is>
      </c>
      <c r="F92" t="inlineStr">
        <is>
          <t>SCA</t>
        </is>
      </c>
      <c r="G92" t="n">
        <v>3.4</v>
      </c>
      <c r="H92" t="n">
        <v>0</v>
      </c>
      <c r="I92" t="n">
        <v>0</v>
      </c>
      <c r="J92" t="n">
        <v>3</v>
      </c>
      <c r="K92" t="n">
        <v>0</v>
      </c>
      <c r="L92" t="n">
        <v>0</v>
      </c>
      <c r="M92" t="n">
        <v>0</v>
      </c>
      <c r="N92" t="n">
        <v>0</v>
      </c>
      <c r="O92" t="n">
        <v>3</v>
      </c>
      <c r="P92" t="n">
        <v>0</v>
      </c>
      <c r="Q92" t="n">
        <v>3</v>
      </c>
      <c r="R92" s="2" t="inlineStr">
        <is>
          <t>Garnlav
Lunglav
Ullticka</t>
        </is>
      </c>
      <c r="S92">
        <f>HYPERLINK("https://klasma.github.io/Logging_2260/artfynd/A 57299-2022 artfynd.xlsx", "A 57299-2022")</f>
        <v/>
      </c>
      <c r="T92">
        <f>HYPERLINK("https://klasma.github.io/Logging_2260/kartor/A 57299-2022 karta.png", "A 57299-2022")</f>
        <v/>
      </c>
      <c r="V92">
        <f>HYPERLINK("https://klasma.github.io/Logging_2260/klagomål/A 57299-2022 FSC-klagomål.docx", "A 57299-2022")</f>
        <v/>
      </c>
      <c r="W92">
        <f>HYPERLINK("https://klasma.github.io/Logging_2260/klagomålsmail/A 57299-2022 FSC-klagomål mail.docx", "A 57299-2022")</f>
        <v/>
      </c>
      <c r="X92">
        <f>HYPERLINK("https://klasma.github.io/Logging_2260/tillsyn/A 57299-2022 tillsynsbegäran.docx", "A 57299-2022")</f>
        <v/>
      </c>
      <c r="Y92">
        <f>HYPERLINK("https://klasma.github.io/Logging_2260/tillsynsmail/A 57299-2022 tillsynsbegäran mail.docx", "A 57299-2022")</f>
        <v/>
      </c>
    </row>
    <row r="93" ht="15" customHeight="1">
      <c r="A93" t="inlineStr">
        <is>
          <t>A 7533-2023</t>
        </is>
      </c>
      <c r="B93" s="1" t="n">
        <v>44971</v>
      </c>
      <c r="C93" s="1" t="n">
        <v>45258</v>
      </c>
      <c r="D93" t="inlineStr">
        <is>
          <t>VÄSTERNORRLANDS LÄN</t>
        </is>
      </c>
      <c r="E93" t="inlineStr">
        <is>
          <t>ÅNGE</t>
        </is>
      </c>
      <c r="F93" t="inlineStr">
        <is>
          <t>SCA</t>
        </is>
      </c>
      <c r="G93" t="n">
        <v>15.7</v>
      </c>
      <c r="H93" t="n">
        <v>2</v>
      </c>
      <c r="I93" t="n">
        <v>0</v>
      </c>
      <c r="J93" t="n">
        <v>1</v>
      </c>
      <c r="K93" t="n">
        <v>1</v>
      </c>
      <c r="L93" t="n">
        <v>0</v>
      </c>
      <c r="M93" t="n">
        <v>0</v>
      </c>
      <c r="N93" t="n">
        <v>0</v>
      </c>
      <c r="O93" t="n">
        <v>2</v>
      </c>
      <c r="P93" t="n">
        <v>1</v>
      </c>
      <c r="Q93" t="n">
        <v>3</v>
      </c>
      <c r="R93" s="2" t="inlineStr">
        <is>
          <t>Doftticka
Lunglav
Blåsippa</t>
        </is>
      </c>
      <c r="S93">
        <f>HYPERLINK("https://klasma.github.io/Logging_2260/artfynd/A 7533-2023 artfynd.xlsx", "A 7533-2023")</f>
        <v/>
      </c>
      <c r="T93">
        <f>HYPERLINK("https://klasma.github.io/Logging_2260/kartor/A 7533-2023 karta.png", "A 7533-2023")</f>
        <v/>
      </c>
      <c r="V93">
        <f>HYPERLINK("https://klasma.github.io/Logging_2260/klagomål/A 7533-2023 FSC-klagomål.docx", "A 7533-2023")</f>
        <v/>
      </c>
      <c r="W93">
        <f>HYPERLINK("https://klasma.github.io/Logging_2260/klagomålsmail/A 7533-2023 FSC-klagomål mail.docx", "A 7533-2023")</f>
        <v/>
      </c>
      <c r="X93">
        <f>HYPERLINK("https://klasma.github.io/Logging_2260/tillsyn/A 7533-2023 tillsynsbegäran.docx", "A 7533-2023")</f>
        <v/>
      </c>
      <c r="Y93">
        <f>HYPERLINK("https://klasma.github.io/Logging_2260/tillsynsmail/A 7533-2023 tillsynsbegäran mail.docx", "A 7533-2023")</f>
        <v/>
      </c>
    </row>
    <row r="94" ht="15" customHeight="1">
      <c r="A94" t="inlineStr">
        <is>
          <t>A 22996-2023</t>
        </is>
      </c>
      <c r="B94" s="1" t="n">
        <v>45072</v>
      </c>
      <c r="C94" s="1" t="n">
        <v>45258</v>
      </c>
      <c r="D94" t="inlineStr">
        <is>
          <t>VÄSTERNORRLANDS LÄN</t>
        </is>
      </c>
      <c r="E94" t="inlineStr">
        <is>
          <t>ÅNGE</t>
        </is>
      </c>
      <c r="F94" t="inlineStr">
        <is>
          <t>SCA</t>
        </is>
      </c>
      <c r="G94" t="n">
        <v>2.2</v>
      </c>
      <c r="H94" t="n">
        <v>1</v>
      </c>
      <c r="I94" t="n">
        <v>0</v>
      </c>
      <c r="J94" t="n">
        <v>2</v>
      </c>
      <c r="K94" t="n">
        <v>1</v>
      </c>
      <c r="L94" t="n">
        <v>0</v>
      </c>
      <c r="M94" t="n">
        <v>0</v>
      </c>
      <c r="N94" t="n">
        <v>0</v>
      </c>
      <c r="O94" t="n">
        <v>3</v>
      </c>
      <c r="P94" t="n">
        <v>1</v>
      </c>
      <c r="Q94" t="n">
        <v>3</v>
      </c>
      <c r="R94" s="2" t="inlineStr">
        <is>
          <t>Knärot
Garnlav
Vedtrappmossa</t>
        </is>
      </c>
      <c r="S94">
        <f>HYPERLINK("https://klasma.github.io/Logging_2260/artfynd/A 22996-2023 artfynd.xlsx", "A 22996-2023")</f>
        <v/>
      </c>
      <c r="T94">
        <f>HYPERLINK("https://klasma.github.io/Logging_2260/kartor/A 22996-2023 karta.png", "A 22996-2023")</f>
        <v/>
      </c>
      <c r="U94">
        <f>HYPERLINK("https://klasma.github.io/Logging_2260/knärot/A 22996-2023 karta knärot.png", "A 22996-2023")</f>
        <v/>
      </c>
      <c r="V94">
        <f>HYPERLINK("https://klasma.github.io/Logging_2260/klagomål/A 22996-2023 FSC-klagomål.docx", "A 22996-2023")</f>
        <v/>
      </c>
      <c r="W94">
        <f>HYPERLINK("https://klasma.github.io/Logging_2260/klagomålsmail/A 22996-2023 FSC-klagomål mail.docx", "A 22996-2023")</f>
        <v/>
      </c>
      <c r="X94">
        <f>HYPERLINK("https://klasma.github.io/Logging_2260/tillsyn/A 22996-2023 tillsynsbegäran.docx", "A 22996-2023")</f>
        <v/>
      </c>
      <c r="Y94">
        <f>HYPERLINK("https://klasma.github.io/Logging_2260/tillsynsmail/A 22996-2023 tillsynsbegäran mail.docx", "A 22996-2023")</f>
        <v/>
      </c>
    </row>
    <row r="95" ht="15" customHeight="1">
      <c r="A95" t="inlineStr">
        <is>
          <t>A 26361-2023</t>
        </is>
      </c>
      <c r="B95" s="1" t="n">
        <v>45091</v>
      </c>
      <c r="C95" s="1" t="n">
        <v>45258</v>
      </c>
      <c r="D95" t="inlineStr">
        <is>
          <t>VÄSTERNORRLANDS LÄN</t>
        </is>
      </c>
      <c r="E95" t="inlineStr">
        <is>
          <t>ÅNGE</t>
        </is>
      </c>
      <c r="F95" t="inlineStr">
        <is>
          <t>SCA</t>
        </is>
      </c>
      <c r="G95" t="n">
        <v>5.5</v>
      </c>
      <c r="H95" t="n">
        <v>1</v>
      </c>
      <c r="I95" t="n">
        <v>0</v>
      </c>
      <c r="J95" t="n">
        <v>2</v>
      </c>
      <c r="K95" t="n">
        <v>1</v>
      </c>
      <c r="L95" t="n">
        <v>0</v>
      </c>
      <c r="M95" t="n">
        <v>0</v>
      </c>
      <c r="N95" t="n">
        <v>0</v>
      </c>
      <c r="O95" t="n">
        <v>3</v>
      </c>
      <c r="P95" t="n">
        <v>1</v>
      </c>
      <c r="Q95" t="n">
        <v>3</v>
      </c>
      <c r="R95" s="2" t="inlineStr">
        <is>
          <t>Knärot
Garnlav
Lunglav</t>
        </is>
      </c>
      <c r="S95">
        <f>HYPERLINK("https://klasma.github.io/Logging_2260/artfynd/A 26361-2023 artfynd.xlsx", "A 26361-2023")</f>
        <v/>
      </c>
      <c r="T95">
        <f>HYPERLINK("https://klasma.github.io/Logging_2260/kartor/A 26361-2023 karta.png", "A 26361-2023")</f>
        <v/>
      </c>
      <c r="U95">
        <f>HYPERLINK("https://klasma.github.io/Logging_2260/knärot/A 26361-2023 karta knärot.png", "A 26361-2023")</f>
        <v/>
      </c>
      <c r="V95">
        <f>HYPERLINK("https://klasma.github.io/Logging_2260/klagomål/A 26361-2023 FSC-klagomål.docx", "A 26361-2023")</f>
        <v/>
      </c>
      <c r="W95">
        <f>HYPERLINK("https://klasma.github.io/Logging_2260/klagomålsmail/A 26361-2023 FSC-klagomål mail.docx", "A 26361-2023")</f>
        <v/>
      </c>
      <c r="X95">
        <f>HYPERLINK("https://klasma.github.io/Logging_2260/tillsyn/A 26361-2023 tillsynsbegäran.docx", "A 26361-2023")</f>
        <v/>
      </c>
      <c r="Y95">
        <f>HYPERLINK("https://klasma.github.io/Logging_2260/tillsynsmail/A 26361-2023 tillsynsbegäran mail.docx", "A 26361-2023")</f>
        <v/>
      </c>
    </row>
    <row r="96" ht="15" customHeight="1">
      <c r="A96" t="inlineStr">
        <is>
          <t>A 28274-2023</t>
        </is>
      </c>
      <c r="B96" s="1" t="n">
        <v>45099</v>
      </c>
      <c r="C96" s="1" t="n">
        <v>45258</v>
      </c>
      <c r="D96" t="inlineStr">
        <is>
          <t>VÄSTERNORRLANDS LÄN</t>
        </is>
      </c>
      <c r="E96" t="inlineStr">
        <is>
          <t>ÅNGE</t>
        </is>
      </c>
      <c r="G96" t="n">
        <v>19.2</v>
      </c>
      <c r="H96" t="n">
        <v>1</v>
      </c>
      <c r="I96" t="n">
        <v>1</v>
      </c>
      <c r="J96" t="n">
        <v>1</v>
      </c>
      <c r="K96" t="n">
        <v>1</v>
      </c>
      <c r="L96" t="n">
        <v>0</v>
      </c>
      <c r="M96" t="n">
        <v>0</v>
      </c>
      <c r="N96" t="n">
        <v>0</v>
      </c>
      <c r="O96" t="n">
        <v>2</v>
      </c>
      <c r="P96" t="n">
        <v>1</v>
      </c>
      <c r="Q96" t="n">
        <v>3</v>
      </c>
      <c r="R96" s="2" t="inlineStr">
        <is>
          <t>Knärot
Lunglav
Grönpyrola</t>
        </is>
      </c>
      <c r="S96">
        <f>HYPERLINK("https://klasma.github.io/Logging_2260/artfynd/A 28274-2023 artfynd.xlsx", "A 28274-2023")</f>
        <v/>
      </c>
      <c r="T96">
        <f>HYPERLINK("https://klasma.github.io/Logging_2260/kartor/A 28274-2023 karta.png", "A 28274-2023")</f>
        <v/>
      </c>
      <c r="U96">
        <f>HYPERLINK("https://klasma.github.io/Logging_2260/knärot/A 28274-2023 karta knärot.png", "A 28274-2023")</f>
        <v/>
      </c>
      <c r="V96">
        <f>HYPERLINK("https://klasma.github.io/Logging_2260/klagomål/A 28274-2023 FSC-klagomål.docx", "A 28274-2023")</f>
        <v/>
      </c>
      <c r="W96">
        <f>HYPERLINK("https://klasma.github.io/Logging_2260/klagomålsmail/A 28274-2023 FSC-klagomål mail.docx", "A 28274-2023")</f>
        <v/>
      </c>
      <c r="X96">
        <f>HYPERLINK("https://klasma.github.io/Logging_2260/tillsyn/A 28274-2023 tillsynsbegäran.docx", "A 28274-2023")</f>
        <v/>
      </c>
      <c r="Y96">
        <f>HYPERLINK("https://klasma.github.io/Logging_2260/tillsynsmail/A 28274-2023 tillsynsbegäran mail.docx", "A 28274-2023")</f>
        <v/>
      </c>
    </row>
    <row r="97" ht="15" customHeight="1">
      <c r="A97" t="inlineStr">
        <is>
          <t>A 30839-2023</t>
        </is>
      </c>
      <c r="B97" s="1" t="n">
        <v>45112</v>
      </c>
      <c r="C97" s="1" t="n">
        <v>45258</v>
      </c>
      <c r="D97" t="inlineStr">
        <is>
          <t>VÄSTERNORRLANDS LÄN</t>
        </is>
      </c>
      <c r="E97" t="inlineStr">
        <is>
          <t>ÅNGE</t>
        </is>
      </c>
      <c r="F97" t="inlineStr">
        <is>
          <t>SCA</t>
        </is>
      </c>
      <c r="G97" t="n">
        <v>15.1</v>
      </c>
      <c r="H97" t="n">
        <v>0</v>
      </c>
      <c r="I97" t="n">
        <v>0</v>
      </c>
      <c r="J97" t="n">
        <v>3</v>
      </c>
      <c r="K97" t="n">
        <v>0</v>
      </c>
      <c r="L97" t="n">
        <v>0</v>
      </c>
      <c r="M97" t="n">
        <v>0</v>
      </c>
      <c r="N97" t="n">
        <v>0</v>
      </c>
      <c r="O97" t="n">
        <v>3</v>
      </c>
      <c r="P97" t="n">
        <v>0</v>
      </c>
      <c r="Q97" t="n">
        <v>3</v>
      </c>
      <c r="R97" s="2" t="inlineStr">
        <is>
          <t>Kolflarnlav
Mörk kolflarnlav
Vedskivlav</t>
        </is>
      </c>
      <c r="S97">
        <f>HYPERLINK("https://klasma.github.io/Logging_2260/artfynd/A 30839-2023 artfynd.xlsx", "A 30839-2023")</f>
        <v/>
      </c>
      <c r="T97">
        <f>HYPERLINK("https://klasma.github.io/Logging_2260/kartor/A 30839-2023 karta.png", "A 30839-2023")</f>
        <v/>
      </c>
      <c r="U97">
        <f>HYPERLINK("https://klasma.github.io/Logging_2260/knärot/A 30839-2023 karta knärot.png", "A 30839-2023")</f>
        <v/>
      </c>
      <c r="V97">
        <f>HYPERLINK("https://klasma.github.io/Logging_2260/klagomål/A 30839-2023 FSC-klagomål.docx", "A 30839-2023")</f>
        <v/>
      </c>
      <c r="W97">
        <f>HYPERLINK("https://klasma.github.io/Logging_2260/klagomålsmail/A 30839-2023 FSC-klagomål mail.docx", "A 30839-2023")</f>
        <v/>
      </c>
      <c r="X97">
        <f>HYPERLINK("https://klasma.github.io/Logging_2260/tillsyn/A 30839-2023 tillsynsbegäran.docx", "A 30839-2023")</f>
        <v/>
      </c>
      <c r="Y97">
        <f>HYPERLINK("https://klasma.github.io/Logging_2260/tillsynsmail/A 30839-2023 tillsynsbegäran mail.docx", "A 30839-2023")</f>
        <v/>
      </c>
    </row>
    <row r="98" ht="15" customHeight="1">
      <c r="A98" t="inlineStr">
        <is>
          <t>A 37470-2023</t>
        </is>
      </c>
      <c r="B98" s="1" t="n">
        <v>45156</v>
      </c>
      <c r="C98" s="1" t="n">
        <v>45258</v>
      </c>
      <c r="D98" t="inlineStr">
        <is>
          <t>VÄSTERNORRLANDS LÄN</t>
        </is>
      </c>
      <c r="E98" t="inlineStr">
        <is>
          <t>ÅNGE</t>
        </is>
      </c>
      <c r="G98" t="n">
        <v>3.3</v>
      </c>
      <c r="H98" t="n">
        <v>0</v>
      </c>
      <c r="I98" t="n">
        <v>0</v>
      </c>
      <c r="J98" t="n">
        <v>3</v>
      </c>
      <c r="K98" t="n">
        <v>0</v>
      </c>
      <c r="L98" t="n">
        <v>0</v>
      </c>
      <c r="M98" t="n">
        <v>0</v>
      </c>
      <c r="N98" t="n">
        <v>0</v>
      </c>
      <c r="O98" t="n">
        <v>3</v>
      </c>
      <c r="P98" t="n">
        <v>0</v>
      </c>
      <c r="Q98" t="n">
        <v>3</v>
      </c>
      <c r="R98" s="2" t="inlineStr">
        <is>
          <t>Blanksvart spiklav
Garnlav
Vedflamlav</t>
        </is>
      </c>
      <c r="S98">
        <f>HYPERLINK("https://klasma.github.io/Logging_2260/artfynd/A 37470-2023 artfynd.xlsx", "A 37470-2023")</f>
        <v/>
      </c>
      <c r="T98">
        <f>HYPERLINK("https://klasma.github.io/Logging_2260/kartor/A 37470-2023 karta.png", "A 37470-2023")</f>
        <v/>
      </c>
      <c r="V98">
        <f>HYPERLINK("https://klasma.github.io/Logging_2260/klagomål/A 37470-2023 FSC-klagomål.docx", "A 37470-2023")</f>
        <v/>
      </c>
      <c r="W98">
        <f>HYPERLINK("https://klasma.github.io/Logging_2260/klagomålsmail/A 37470-2023 FSC-klagomål mail.docx", "A 37470-2023")</f>
        <v/>
      </c>
      <c r="X98">
        <f>HYPERLINK("https://klasma.github.io/Logging_2260/tillsyn/A 37470-2023 tillsynsbegäran.docx", "A 37470-2023")</f>
        <v/>
      </c>
      <c r="Y98">
        <f>HYPERLINK("https://klasma.github.io/Logging_2260/tillsynsmail/A 37470-2023 tillsynsbegäran mail.docx", "A 37470-2023")</f>
        <v/>
      </c>
    </row>
    <row r="99" ht="15" customHeight="1">
      <c r="A99" t="inlineStr">
        <is>
          <t>A 39065-2023</t>
        </is>
      </c>
      <c r="B99" s="1" t="n">
        <v>45163</v>
      </c>
      <c r="C99" s="1" t="n">
        <v>45258</v>
      </c>
      <c r="D99" t="inlineStr">
        <is>
          <t>VÄSTERNORRLANDS LÄN</t>
        </is>
      </c>
      <c r="E99" t="inlineStr">
        <is>
          <t>ÅNGE</t>
        </is>
      </c>
      <c r="F99" t="inlineStr">
        <is>
          <t>SCA</t>
        </is>
      </c>
      <c r="G99" t="n">
        <v>3.1</v>
      </c>
      <c r="H99" t="n">
        <v>1</v>
      </c>
      <c r="I99" t="n">
        <v>1</v>
      </c>
      <c r="J99" t="n">
        <v>1</v>
      </c>
      <c r="K99" t="n">
        <v>1</v>
      </c>
      <c r="L99" t="n">
        <v>0</v>
      </c>
      <c r="M99" t="n">
        <v>0</v>
      </c>
      <c r="N99" t="n">
        <v>0</v>
      </c>
      <c r="O99" t="n">
        <v>2</v>
      </c>
      <c r="P99" t="n">
        <v>1</v>
      </c>
      <c r="Q99" t="n">
        <v>3</v>
      </c>
      <c r="R99" s="2" t="inlineStr">
        <is>
          <t>Knärot
Koralltaggsvamp
Stor aspticka</t>
        </is>
      </c>
      <c r="S99">
        <f>HYPERLINK("https://klasma.github.io/Logging_2260/artfynd/A 39065-2023 artfynd.xlsx", "A 39065-2023")</f>
        <v/>
      </c>
      <c r="T99">
        <f>HYPERLINK("https://klasma.github.io/Logging_2260/kartor/A 39065-2023 karta.png", "A 39065-2023")</f>
        <v/>
      </c>
      <c r="U99">
        <f>HYPERLINK("https://klasma.github.io/Logging_2260/knärot/A 39065-2023 karta knärot.png", "A 39065-2023")</f>
        <v/>
      </c>
      <c r="V99">
        <f>HYPERLINK("https://klasma.github.io/Logging_2260/klagomål/A 39065-2023 FSC-klagomål.docx", "A 39065-2023")</f>
        <v/>
      </c>
      <c r="W99">
        <f>HYPERLINK("https://klasma.github.io/Logging_2260/klagomålsmail/A 39065-2023 FSC-klagomål mail.docx", "A 39065-2023")</f>
        <v/>
      </c>
      <c r="X99">
        <f>HYPERLINK("https://klasma.github.io/Logging_2260/tillsyn/A 39065-2023 tillsynsbegäran.docx", "A 39065-2023")</f>
        <v/>
      </c>
      <c r="Y99">
        <f>HYPERLINK("https://klasma.github.io/Logging_2260/tillsynsmail/A 39065-2023 tillsynsbegäran mail.docx", "A 39065-2023")</f>
        <v/>
      </c>
    </row>
    <row r="100" ht="15" customHeight="1">
      <c r="A100" t="inlineStr">
        <is>
          <t>A 40413-2023</t>
        </is>
      </c>
      <c r="B100" s="1" t="n">
        <v>45169</v>
      </c>
      <c r="C100" s="1" t="n">
        <v>45258</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40413-2023 artfynd.xlsx", "A 40413-2023")</f>
        <v/>
      </c>
      <c r="T100">
        <f>HYPERLINK("https://klasma.github.io/Logging_2260/kartor/A 40413-2023 karta.png", "A 40413-2023")</f>
        <v/>
      </c>
      <c r="U100">
        <f>HYPERLINK("https://klasma.github.io/Logging_2260/knärot/A 40413-2023 karta knärot.png", "A 40413-2023")</f>
        <v/>
      </c>
      <c r="V100">
        <f>HYPERLINK("https://klasma.github.io/Logging_2260/klagomål/A 40413-2023 FSC-klagomål.docx", "A 40413-2023")</f>
        <v/>
      </c>
      <c r="W100">
        <f>HYPERLINK("https://klasma.github.io/Logging_2260/klagomålsmail/A 40413-2023 FSC-klagomål mail.docx", "A 40413-2023")</f>
        <v/>
      </c>
      <c r="X100">
        <f>HYPERLINK("https://klasma.github.io/Logging_2260/tillsyn/A 40413-2023 tillsynsbegäran.docx", "A 40413-2023")</f>
        <v/>
      </c>
      <c r="Y100">
        <f>HYPERLINK("https://klasma.github.io/Logging_2260/tillsynsmail/A 40413-2023 tillsynsbegäran mail.docx", "A 40413-2023")</f>
        <v/>
      </c>
    </row>
    <row r="101" ht="15" customHeight="1">
      <c r="A101" t="inlineStr">
        <is>
          <t>A 54748-2023</t>
        </is>
      </c>
      <c r="B101" s="1" t="n">
        <v>45229</v>
      </c>
      <c r="C101" s="1" t="n">
        <v>45258</v>
      </c>
      <c r="D101" t="inlineStr">
        <is>
          <t>VÄSTERNORRLANDS LÄN</t>
        </is>
      </c>
      <c r="E101" t="inlineStr">
        <is>
          <t>ÅNGE</t>
        </is>
      </c>
      <c r="G101" t="n">
        <v>5.8</v>
      </c>
      <c r="H101" t="n">
        <v>1</v>
      </c>
      <c r="I101" t="n">
        <v>2</v>
      </c>
      <c r="J101" t="n">
        <v>0</v>
      </c>
      <c r="K101" t="n">
        <v>1</v>
      </c>
      <c r="L101" t="n">
        <v>0</v>
      </c>
      <c r="M101" t="n">
        <v>0</v>
      </c>
      <c r="N101" t="n">
        <v>0</v>
      </c>
      <c r="O101" t="n">
        <v>1</v>
      </c>
      <c r="P101" t="n">
        <v>1</v>
      </c>
      <c r="Q101" t="n">
        <v>3</v>
      </c>
      <c r="R101" s="2" t="inlineStr">
        <is>
          <t>Knärot
Gulnål
Korallblylav</t>
        </is>
      </c>
      <c r="S101">
        <f>HYPERLINK("https://klasma.github.io/Logging_2260/artfynd/A 54748-2023 artfynd.xlsx", "A 54748-2023")</f>
        <v/>
      </c>
      <c r="T101">
        <f>HYPERLINK("https://klasma.github.io/Logging_2260/kartor/A 54748-2023 karta.png", "A 54748-2023")</f>
        <v/>
      </c>
      <c r="U101">
        <f>HYPERLINK("https://klasma.github.io/Logging_2260/knärot/A 54748-2023 karta knärot.png", "A 54748-2023")</f>
        <v/>
      </c>
      <c r="V101">
        <f>HYPERLINK("https://klasma.github.io/Logging_2260/klagomål/A 54748-2023 FSC-klagomål.docx", "A 54748-2023")</f>
        <v/>
      </c>
      <c r="W101">
        <f>HYPERLINK("https://klasma.github.io/Logging_2260/klagomålsmail/A 54748-2023 FSC-klagomål mail.docx", "A 54748-2023")</f>
        <v/>
      </c>
      <c r="X101">
        <f>HYPERLINK("https://klasma.github.io/Logging_2260/tillsyn/A 54748-2023 tillsynsbegäran.docx", "A 54748-2023")</f>
        <v/>
      </c>
      <c r="Y101">
        <f>HYPERLINK("https://klasma.github.io/Logging_2260/tillsynsmail/A 54748-2023 tillsynsbegäran mail.docx", "A 54748-2023")</f>
        <v/>
      </c>
    </row>
    <row r="102" ht="15" customHeight="1">
      <c r="A102" t="inlineStr">
        <is>
          <t>A 55953-2023</t>
        </is>
      </c>
      <c r="B102" s="1" t="n">
        <v>45240</v>
      </c>
      <c r="C102" s="1" t="n">
        <v>45258</v>
      </c>
      <c r="D102" t="inlineStr">
        <is>
          <t>VÄSTERNORRLANDS LÄN</t>
        </is>
      </c>
      <c r="E102" t="inlineStr">
        <is>
          <t>ÅNGE</t>
        </is>
      </c>
      <c r="F102" t="inlineStr">
        <is>
          <t>Holmen skog AB</t>
        </is>
      </c>
      <c r="G102" t="n">
        <v>5.8</v>
      </c>
      <c r="H102" t="n">
        <v>1</v>
      </c>
      <c r="I102" t="n">
        <v>2</v>
      </c>
      <c r="J102" t="n">
        <v>0</v>
      </c>
      <c r="K102" t="n">
        <v>0</v>
      </c>
      <c r="L102" t="n">
        <v>0</v>
      </c>
      <c r="M102" t="n">
        <v>0</v>
      </c>
      <c r="N102" t="n">
        <v>0</v>
      </c>
      <c r="O102" t="n">
        <v>0</v>
      </c>
      <c r="P102" t="n">
        <v>0</v>
      </c>
      <c r="Q102" t="n">
        <v>3</v>
      </c>
      <c r="R102" s="2" t="inlineStr">
        <is>
          <t>Skinnlav
Stuplav
Blåsippa</t>
        </is>
      </c>
      <c r="S102">
        <f>HYPERLINK("https://klasma.github.io/Logging_2260/artfynd/A 55953-2023 artfynd.xlsx", "A 55953-2023")</f>
        <v/>
      </c>
      <c r="T102">
        <f>HYPERLINK("https://klasma.github.io/Logging_2260/kartor/A 55953-2023 karta.png", "A 55953-2023")</f>
        <v/>
      </c>
      <c r="V102">
        <f>HYPERLINK("https://klasma.github.io/Logging_2260/klagomål/A 55953-2023 FSC-klagomål.docx", "A 55953-2023")</f>
        <v/>
      </c>
      <c r="W102">
        <f>HYPERLINK("https://klasma.github.io/Logging_2260/klagomålsmail/A 55953-2023 FSC-klagomål mail.docx", "A 55953-2023")</f>
        <v/>
      </c>
      <c r="X102">
        <f>HYPERLINK("https://klasma.github.io/Logging_2260/tillsyn/A 55953-2023 tillsynsbegäran.docx", "A 55953-2023")</f>
        <v/>
      </c>
      <c r="Y102">
        <f>HYPERLINK("https://klasma.github.io/Logging_2260/tillsynsmail/A 55953-2023 tillsynsbegäran mail.docx", "A 55953-2023")</f>
        <v/>
      </c>
    </row>
    <row r="103" ht="15" customHeight="1">
      <c r="A103" t="inlineStr">
        <is>
          <t>A 61641-2018</t>
        </is>
      </c>
      <c r="B103" s="1" t="n">
        <v>43424</v>
      </c>
      <c r="C103" s="1" t="n">
        <v>45258</v>
      </c>
      <c r="D103" t="inlineStr">
        <is>
          <t>VÄSTERNORRLANDS LÄN</t>
        </is>
      </c>
      <c r="E103" t="inlineStr">
        <is>
          <t>ÅNGE</t>
        </is>
      </c>
      <c r="G103" t="n">
        <v>2.8</v>
      </c>
      <c r="H103" t="n">
        <v>0</v>
      </c>
      <c r="I103" t="n">
        <v>0</v>
      </c>
      <c r="J103" t="n">
        <v>2</v>
      </c>
      <c r="K103" t="n">
        <v>0</v>
      </c>
      <c r="L103" t="n">
        <v>0</v>
      </c>
      <c r="M103" t="n">
        <v>0</v>
      </c>
      <c r="N103" t="n">
        <v>0</v>
      </c>
      <c r="O103" t="n">
        <v>2</v>
      </c>
      <c r="P103" t="n">
        <v>0</v>
      </c>
      <c r="Q103" t="n">
        <v>2</v>
      </c>
      <c r="R103" s="2" t="inlineStr">
        <is>
          <t>Lunglav
Rosenticka</t>
        </is>
      </c>
      <c r="S103">
        <f>HYPERLINK("https://klasma.github.io/Logging_2260/artfynd/A 61641-2018 artfynd.xlsx", "A 61641-2018")</f>
        <v/>
      </c>
      <c r="T103">
        <f>HYPERLINK("https://klasma.github.io/Logging_2260/kartor/A 61641-2018 karta.png", "A 61641-2018")</f>
        <v/>
      </c>
      <c r="V103">
        <f>HYPERLINK("https://klasma.github.io/Logging_2260/klagomål/A 61641-2018 FSC-klagomål.docx", "A 61641-2018")</f>
        <v/>
      </c>
      <c r="W103">
        <f>HYPERLINK("https://klasma.github.io/Logging_2260/klagomålsmail/A 61641-2018 FSC-klagomål mail.docx", "A 61641-2018")</f>
        <v/>
      </c>
      <c r="X103">
        <f>HYPERLINK("https://klasma.github.io/Logging_2260/tillsyn/A 61641-2018 tillsynsbegäran.docx", "A 61641-2018")</f>
        <v/>
      </c>
      <c r="Y103">
        <f>HYPERLINK("https://klasma.github.io/Logging_2260/tillsynsmail/A 61641-2018 tillsynsbegäran mail.docx", "A 61641-2018")</f>
        <v/>
      </c>
    </row>
    <row r="104" ht="15" customHeight="1">
      <c r="A104" t="inlineStr">
        <is>
          <t>A 7140-2019</t>
        </is>
      </c>
      <c r="B104" s="1" t="n">
        <v>43496</v>
      </c>
      <c r="C104" s="1" t="n">
        <v>45258</v>
      </c>
      <c r="D104" t="inlineStr">
        <is>
          <t>VÄSTERNORRLANDS LÄN</t>
        </is>
      </c>
      <c r="E104" t="inlineStr">
        <is>
          <t>ÅNGE</t>
        </is>
      </c>
      <c r="G104" t="n">
        <v>9.300000000000001</v>
      </c>
      <c r="H104" t="n">
        <v>1</v>
      </c>
      <c r="I104" t="n">
        <v>1</v>
      </c>
      <c r="J104" t="n">
        <v>0</v>
      </c>
      <c r="K104" t="n">
        <v>1</v>
      </c>
      <c r="L104" t="n">
        <v>0</v>
      </c>
      <c r="M104" t="n">
        <v>0</v>
      </c>
      <c r="N104" t="n">
        <v>0</v>
      </c>
      <c r="O104" t="n">
        <v>1</v>
      </c>
      <c r="P104" t="n">
        <v>1</v>
      </c>
      <c r="Q104" t="n">
        <v>2</v>
      </c>
      <c r="R104" s="2" t="inlineStr">
        <is>
          <t>Doftticka
Stor aspticka</t>
        </is>
      </c>
      <c r="S104">
        <f>HYPERLINK("https://klasma.github.io/Logging_2260/artfynd/A 7140-2019 artfynd.xlsx", "A 7140-2019")</f>
        <v/>
      </c>
      <c r="T104">
        <f>HYPERLINK("https://klasma.github.io/Logging_2260/kartor/A 7140-2019 karta.png", "A 7140-2019")</f>
        <v/>
      </c>
      <c r="V104">
        <f>HYPERLINK("https://klasma.github.io/Logging_2260/klagomål/A 7140-2019 FSC-klagomål.docx", "A 7140-2019")</f>
        <v/>
      </c>
      <c r="W104">
        <f>HYPERLINK("https://klasma.github.io/Logging_2260/klagomålsmail/A 7140-2019 FSC-klagomål mail.docx", "A 7140-2019")</f>
        <v/>
      </c>
      <c r="X104">
        <f>HYPERLINK("https://klasma.github.io/Logging_2260/tillsyn/A 7140-2019 tillsynsbegäran.docx", "A 7140-2019")</f>
        <v/>
      </c>
      <c r="Y104">
        <f>HYPERLINK("https://klasma.github.io/Logging_2260/tillsynsmail/A 7140-2019 tillsynsbegäran mail.docx", "A 7140-2019")</f>
        <v/>
      </c>
    </row>
    <row r="105" ht="15" customHeight="1">
      <c r="A105" t="inlineStr">
        <is>
          <t>A 34494-2019</t>
        </is>
      </c>
      <c r="B105" s="1" t="n">
        <v>43656</v>
      </c>
      <c r="C105" s="1" t="n">
        <v>45258</v>
      </c>
      <c r="D105" t="inlineStr">
        <is>
          <t>VÄSTERNORRLANDS LÄN</t>
        </is>
      </c>
      <c r="E105" t="inlineStr">
        <is>
          <t>ÅNGE</t>
        </is>
      </c>
      <c r="F105" t="inlineStr">
        <is>
          <t>SCA</t>
        </is>
      </c>
      <c r="G105" t="n">
        <v>3.3</v>
      </c>
      <c r="H105" t="n">
        <v>0</v>
      </c>
      <c r="I105" t="n">
        <v>1</v>
      </c>
      <c r="J105" t="n">
        <v>1</v>
      </c>
      <c r="K105" t="n">
        <v>0</v>
      </c>
      <c r="L105" t="n">
        <v>0</v>
      </c>
      <c r="M105" t="n">
        <v>0</v>
      </c>
      <c r="N105" t="n">
        <v>0</v>
      </c>
      <c r="O105" t="n">
        <v>1</v>
      </c>
      <c r="P105" t="n">
        <v>0</v>
      </c>
      <c r="Q105" t="n">
        <v>2</v>
      </c>
      <c r="R105" s="2" t="inlineStr">
        <is>
          <t>Garnlav
Korallblylav</t>
        </is>
      </c>
      <c r="S105">
        <f>HYPERLINK("https://klasma.github.io/Logging_2260/artfynd/A 34494-2019 artfynd.xlsx", "A 34494-2019")</f>
        <v/>
      </c>
      <c r="T105">
        <f>HYPERLINK("https://klasma.github.io/Logging_2260/kartor/A 34494-2019 karta.png", "A 34494-2019")</f>
        <v/>
      </c>
      <c r="V105">
        <f>HYPERLINK("https://klasma.github.io/Logging_2260/klagomål/A 34494-2019 FSC-klagomål.docx", "A 34494-2019")</f>
        <v/>
      </c>
      <c r="W105">
        <f>HYPERLINK("https://klasma.github.io/Logging_2260/klagomålsmail/A 34494-2019 FSC-klagomål mail.docx", "A 34494-2019")</f>
        <v/>
      </c>
      <c r="X105">
        <f>HYPERLINK("https://klasma.github.io/Logging_2260/tillsyn/A 34494-2019 tillsynsbegäran.docx", "A 34494-2019")</f>
        <v/>
      </c>
      <c r="Y105">
        <f>HYPERLINK("https://klasma.github.io/Logging_2260/tillsynsmail/A 34494-2019 tillsynsbegäran mail.docx", "A 34494-2019")</f>
        <v/>
      </c>
    </row>
    <row r="106" ht="15" customHeight="1">
      <c r="A106" t="inlineStr">
        <is>
          <t>A 38332-2019</t>
        </is>
      </c>
      <c r="B106" s="1" t="n">
        <v>43684</v>
      </c>
      <c r="C106" s="1" t="n">
        <v>45258</v>
      </c>
      <c r="D106" t="inlineStr">
        <is>
          <t>VÄSTERNORRLANDS LÄN</t>
        </is>
      </c>
      <c r="E106" t="inlineStr">
        <is>
          <t>ÅNGE</t>
        </is>
      </c>
      <c r="F106" t="inlineStr">
        <is>
          <t>SCA</t>
        </is>
      </c>
      <c r="G106" t="n">
        <v>5</v>
      </c>
      <c r="H106" t="n">
        <v>0</v>
      </c>
      <c r="I106" t="n">
        <v>1</v>
      </c>
      <c r="J106" t="n">
        <v>1</v>
      </c>
      <c r="K106" t="n">
        <v>0</v>
      </c>
      <c r="L106" t="n">
        <v>0</v>
      </c>
      <c r="M106" t="n">
        <v>0</v>
      </c>
      <c r="N106" t="n">
        <v>0</v>
      </c>
      <c r="O106" t="n">
        <v>1</v>
      </c>
      <c r="P106" t="n">
        <v>0</v>
      </c>
      <c r="Q106" t="n">
        <v>2</v>
      </c>
      <c r="R106" s="2" t="inlineStr">
        <is>
          <t>Lunglav
Stuplav</t>
        </is>
      </c>
      <c r="S106">
        <f>HYPERLINK("https://klasma.github.io/Logging_2260/artfynd/A 38332-2019 artfynd.xlsx", "A 38332-2019")</f>
        <v/>
      </c>
      <c r="T106">
        <f>HYPERLINK("https://klasma.github.io/Logging_2260/kartor/A 38332-2019 karta.png", "A 38332-2019")</f>
        <v/>
      </c>
      <c r="V106">
        <f>HYPERLINK("https://klasma.github.io/Logging_2260/klagomål/A 38332-2019 FSC-klagomål.docx", "A 38332-2019")</f>
        <v/>
      </c>
      <c r="W106">
        <f>HYPERLINK("https://klasma.github.io/Logging_2260/klagomålsmail/A 38332-2019 FSC-klagomål mail.docx", "A 38332-2019")</f>
        <v/>
      </c>
      <c r="X106">
        <f>HYPERLINK("https://klasma.github.io/Logging_2260/tillsyn/A 38332-2019 tillsynsbegäran.docx", "A 38332-2019")</f>
        <v/>
      </c>
      <c r="Y106">
        <f>HYPERLINK("https://klasma.github.io/Logging_2260/tillsynsmail/A 38332-2019 tillsynsbegäran mail.docx", "A 38332-2019")</f>
        <v/>
      </c>
    </row>
    <row r="107" ht="15" customHeight="1">
      <c r="A107" t="inlineStr">
        <is>
          <t>A 3991-2020</t>
        </is>
      </c>
      <c r="B107" s="1" t="n">
        <v>43856</v>
      </c>
      <c r="C107" s="1" t="n">
        <v>45258</v>
      </c>
      <c r="D107" t="inlineStr">
        <is>
          <t>VÄSTERNORRLANDS LÄN</t>
        </is>
      </c>
      <c r="E107" t="inlineStr">
        <is>
          <t>ÅNGE</t>
        </is>
      </c>
      <c r="G107" t="n">
        <v>5</v>
      </c>
      <c r="H107" t="n">
        <v>1</v>
      </c>
      <c r="I107" t="n">
        <v>0</v>
      </c>
      <c r="J107" t="n">
        <v>0</v>
      </c>
      <c r="K107" t="n">
        <v>0</v>
      </c>
      <c r="L107" t="n">
        <v>2</v>
      </c>
      <c r="M107" t="n">
        <v>0</v>
      </c>
      <c r="N107" t="n">
        <v>0</v>
      </c>
      <c r="O107" t="n">
        <v>2</v>
      </c>
      <c r="P107" t="n">
        <v>2</v>
      </c>
      <c r="Q107" t="n">
        <v>2</v>
      </c>
      <c r="R107" s="2" t="inlineStr">
        <is>
          <t>Mikroskapania
Timmerskapania</t>
        </is>
      </c>
      <c r="S107">
        <f>HYPERLINK("https://klasma.github.io/Logging_2260/artfynd/A 3991-2020 artfynd.xlsx", "A 3991-2020")</f>
        <v/>
      </c>
      <c r="T107">
        <f>HYPERLINK("https://klasma.github.io/Logging_2260/kartor/A 3991-2020 karta.png", "A 3991-2020")</f>
        <v/>
      </c>
      <c r="V107">
        <f>HYPERLINK("https://klasma.github.io/Logging_2260/klagomål/A 3991-2020 FSC-klagomål.docx", "A 3991-2020")</f>
        <v/>
      </c>
      <c r="W107">
        <f>HYPERLINK("https://klasma.github.io/Logging_2260/klagomålsmail/A 3991-2020 FSC-klagomål mail.docx", "A 3991-2020")</f>
        <v/>
      </c>
      <c r="X107">
        <f>HYPERLINK("https://klasma.github.io/Logging_2260/tillsyn/A 3991-2020 tillsynsbegäran.docx", "A 3991-2020")</f>
        <v/>
      </c>
      <c r="Y107">
        <f>HYPERLINK("https://klasma.github.io/Logging_2260/tillsynsmail/A 3991-2020 tillsynsbegäran mail.docx", "A 3991-2020")</f>
        <v/>
      </c>
    </row>
    <row r="108" ht="15" customHeight="1">
      <c r="A108" t="inlineStr">
        <is>
          <t>A 46130-2020</t>
        </is>
      </c>
      <c r="B108" s="1" t="n">
        <v>44091</v>
      </c>
      <c r="C108" s="1" t="n">
        <v>45258</v>
      </c>
      <c r="D108" t="inlineStr">
        <is>
          <t>VÄSTERNORRLANDS LÄN</t>
        </is>
      </c>
      <c r="E108" t="inlineStr">
        <is>
          <t>ÅNGE</t>
        </is>
      </c>
      <c r="F108" t="inlineStr">
        <is>
          <t>SCA</t>
        </is>
      </c>
      <c r="G108" t="n">
        <v>8.4</v>
      </c>
      <c r="H108" t="n">
        <v>0</v>
      </c>
      <c r="I108" t="n">
        <v>1</v>
      </c>
      <c r="J108" t="n">
        <v>1</v>
      </c>
      <c r="K108" t="n">
        <v>0</v>
      </c>
      <c r="L108" t="n">
        <v>0</v>
      </c>
      <c r="M108" t="n">
        <v>0</v>
      </c>
      <c r="N108" t="n">
        <v>0</v>
      </c>
      <c r="O108" t="n">
        <v>1</v>
      </c>
      <c r="P108" t="n">
        <v>0</v>
      </c>
      <c r="Q108" t="n">
        <v>2</v>
      </c>
      <c r="R108" s="2" t="inlineStr">
        <is>
          <t>Ullticka
Kambräken</t>
        </is>
      </c>
      <c r="S108">
        <f>HYPERLINK("https://klasma.github.io/Logging_2260/artfynd/A 46130-2020 artfynd.xlsx", "A 46130-2020")</f>
        <v/>
      </c>
      <c r="T108">
        <f>HYPERLINK("https://klasma.github.io/Logging_2260/kartor/A 46130-2020 karta.png", "A 46130-2020")</f>
        <v/>
      </c>
      <c r="V108">
        <f>HYPERLINK("https://klasma.github.io/Logging_2260/klagomål/A 46130-2020 FSC-klagomål.docx", "A 46130-2020")</f>
        <v/>
      </c>
      <c r="W108">
        <f>HYPERLINK("https://klasma.github.io/Logging_2260/klagomålsmail/A 46130-2020 FSC-klagomål mail.docx", "A 46130-2020")</f>
        <v/>
      </c>
      <c r="X108">
        <f>HYPERLINK("https://klasma.github.io/Logging_2260/tillsyn/A 46130-2020 tillsynsbegäran.docx", "A 46130-2020")</f>
        <v/>
      </c>
      <c r="Y108">
        <f>HYPERLINK("https://klasma.github.io/Logging_2260/tillsynsmail/A 46130-2020 tillsynsbegäran mail.docx", "A 46130-2020")</f>
        <v/>
      </c>
    </row>
    <row r="109" ht="15" customHeight="1">
      <c r="A109" t="inlineStr">
        <is>
          <t>A 51694-2020</t>
        </is>
      </c>
      <c r="B109" s="1" t="n">
        <v>44113</v>
      </c>
      <c r="C109" s="1" t="n">
        <v>45258</v>
      </c>
      <c r="D109" t="inlineStr">
        <is>
          <t>VÄSTERNORRLANDS LÄN</t>
        </is>
      </c>
      <c r="E109" t="inlineStr">
        <is>
          <t>ÅNGE</t>
        </is>
      </c>
      <c r="F109" t="inlineStr">
        <is>
          <t>SCA</t>
        </is>
      </c>
      <c r="G109" t="n">
        <v>8.300000000000001</v>
      </c>
      <c r="H109" t="n">
        <v>0</v>
      </c>
      <c r="I109" t="n">
        <v>0</v>
      </c>
      <c r="J109" t="n">
        <v>2</v>
      </c>
      <c r="K109" t="n">
        <v>0</v>
      </c>
      <c r="L109" t="n">
        <v>0</v>
      </c>
      <c r="M109" t="n">
        <v>0</v>
      </c>
      <c r="N109" t="n">
        <v>0</v>
      </c>
      <c r="O109" t="n">
        <v>2</v>
      </c>
      <c r="P109" t="n">
        <v>0</v>
      </c>
      <c r="Q109" t="n">
        <v>2</v>
      </c>
      <c r="R109" s="2" t="inlineStr">
        <is>
          <t>Harticka
Ullticka</t>
        </is>
      </c>
      <c r="S109">
        <f>HYPERLINK("https://klasma.github.io/Logging_2260/artfynd/A 51694-2020 artfynd.xlsx", "A 51694-2020")</f>
        <v/>
      </c>
      <c r="T109">
        <f>HYPERLINK("https://klasma.github.io/Logging_2260/kartor/A 51694-2020 karta.png", "A 51694-2020")</f>
        <v/>
      </c>
      <c r="V109">
        <f>HYPERLINK("https://klasma.github.io/Logging_2260/klagomål/A 51694-2020 FSC-klagomål.docx", "A 51694-2020")</f>
        <v/>
      </c>
      <c r="W109">
        <f>HYPERLINK("https://klasma.github.io/Logging_2260/klagomålsmail/A 51694-2020 FSC-klagomål mail.docx", "A 51694-2020")</f>
        <v/>
      </c>
      <c r="X109">
        <f>HYPERLINK("https://klasma.github.io/Logging_2260/tillsyn/A 51694-2020 tillsynsbegäran.docx", "A 51694-2020")</f>
        <v/>
      </c>
      <c r="Y109">
        <f>HYPERLINK("https://klasma.github.io/Logging_2260/tillsynsmail/A 51694-2020 tillsynsbegäran mail.docx", "A 51694-2020")</f>
        <v/>
      </c>
    </row>
    <row r="110" ht="15" customHeight="1">
      <c r="A110" t="inlineStr">
        <is>
          <t>A 51756-2020</t>
        </is>
      </c>
      <c r="B110" s="1" t="n">
        <v>44114</v>
      </c>
      <c r="C110" s="1" t="n">
        <v>45258</v>
      </c>
      <c r="D110" t="inlineStr">
        <is>
          <t>VÄSTERNORRLANDS LÄN</t>
        </is>
      </c>
      <c r="E110" t="inlineStr">
        <is>
          <t>ÅNGE</t>
        </is>
      </c>
      <c r="G110" t="n">
        <v>0.8</v>
      </c>
      <c r="H110" t="n">
        <v>1</v>
      </c>
      <c r="I110" t="n">
        <v>0</v>
      </c>
      <c r="J110" t="n">
        <v>0</v>
      </c>
      <c r="K110" t="n">
        <v>0</v>
      </c>
      <c r="L110" t="n">
        <v>2</v>
      </c>
      <c r="M110" t="n">
        <v>0</v>
      </c>
      <c r="N110" t="n">
        <v>0</v>
      </c>
      <c r="O110" t="n">
        <v>2</v>
      </c>
      <c r="P110" t="n">
        <v>2</v>
      </c>
      <c r="Q110" t="n">
        <v>2</v>
      </c>
      <c r="R110" s="2" t="inlineStr">
        <is>
          <t>Mikroskapania
Timmerskapania</t>
        </is>
      </c>
      <c r="S110">
        <f>HYPERLINK("https://klasma.github.io/Logging_2260/artfynd/A 51756-2020 artfynd.xlsx", "A 51756-2020")</f>
        <v/>
      </c>
      <c r="T110">
        <f>HYPERLINK("https://klasma.github.io/Logging_2260/kartor/A 51756-2020 karta.png", "A 51756-2020")</f>
        <v/>
      </c>
      <c r="V110">
        <f>HYPERLINK("https://klasma.github.io/Logging_2260/klagomål/A 51756-2020 FSC-klagomål.docx", "A 51756-2020")</f>
        <v/>
      </c>
      <c r="W110">
        <f>HYPERLINK("https://klasma.github.io/Logging_2260/klagomålsmail/A 51756-2020 FSC-klagomål mail.docx", "A 51756-2020")</f>
        <v/>
      </c>
      <c r="X110">
        <f>HYPERLINK("https://klasma.github.io/Logging_2260/tillsyn/A 51756-2020 tillsynsbegäran.docx", "A 51756-2020")</f>
        <v/>
      </c>
      <c r="Y110">
        <f>HYPERLINK("https://klasma.github.io/Logging_2260/tillsynsmail/A 51756-2020 tillsynsbegäran mail.docx", "A 51756-2020")</f>
        <v/>
      </c>
    </row>
    <row r="111" ht="15" customHeight="1">
      <c r="A111" t="inlineStr">
        <is>
          <t>A 58902-2020</t>
        </is>
      </c>
      <c r="B111" s="1" t="n">
        <v>44146</v>
      </c>
      <c r="C111" s="1" t="n">
        <v>45258</v>
      </c>
      <c r="D111" t="inlineStr">
        <is>
          <t>VÄSTERNORRLANDS LÄN</t>
        </is>
      </c>
      <c r="E111" t="inlineStr">
        <is>
          <t>ÅNGE</t>
        </is>
      </c>
      <c r="G111" t="n">
        <v>8.199999999999999</v>
      </c>
      <c r="H111" t="n">
        <v>0</v>
      </c>
      <c r="I111" t="n">
        <v>1</v>
      </c>
      <c r="J111" t="n">
        <v>1</v>
      </c>
      <c r="K111" t="n">
        <v>0</v>
      </c>
      <c r="L111" t="n">
        <v>0</v>
      </c>
      <c r="M111" t="n">
        <v>0</v>
      </c>
      <c r="N111" t="n">
        <v>0</v>
      </c>
      <c r="O111" t="n">
        <v>1</v>
      </c>
      <c r="P111" t="n">
        <v>0</v>
      </c>
      <c r="Q111" t="n">
        <v>2</v>
      </c>
      <c r="R111" s="2" t="inlineStr">
        <is>
          <t>Ullticka
Vedticka</t>
        </is>
      </c>
      <c r="S111">
        <f>HYPERLINK("https://klasma.github.io/Logging_2260/artfynd/A 58902-2020 artfynd.xlsx", "A 58902-2020")</f>
        <v/>
      </c>
      <c r="T111">
        <f>HYPERLINK("https://klasma.github.io/Logging_2260/kartor/A 58902-2020 karta.png", "A 58902-2020")</f>
        <v/>
      </c>
      <c r="V111">
        <f>HYPERLINK("https://klasma.github.io/Logging_2260/klagomål/A 58902-2020 FSC-klagomål.docx", "A 58902-2020")</f>
        <v/>
      </c>
      <c r="W111">
        <f>HYPERLINK("https://klasma.github.io/Logging_2260/klagomålsmail/A 58902-2020 FSC-klagomål mail.docx", "A 58902-2020")</f>
        <v/>
      </c>
      <c r="X111">
        <f>HYPERLINK("https://klasma.github.io/Logging_2260/tillsyn/A 58902-2020 tillsynsbegäran.docx", "A 58902-2020")</f>
        <v/>
      </c>
      <c r="Y111">
        <f>HYPERLINK("https://klasma.github.io/Logging_2260/tillsynsmail/A 58902-2020 tillsynsbegäran mail.docx", "A 58902-2020")</f>
        <v/>
      </c>
    </row>
    <row r="112" ht="15" customHeight="1">
      <c r="A112" t="inlineStr">
        <is>
          <t>A 36635-2021</t>
        </is>
      </c>
      <c r="B112" s="1" t="n">
        <v>44391</v>
      </c>
      <c r="C112" s="1" t="n">
        <v>45258</v>
      </c>
      <c r="D112" t="inlineStr">
        <is>
          <t>VÄSTERNORRLANDS LÄN</t>
        </is>
      </c>
      <c r="E112" t="inlineStr">
        <is>
          <t>ÅNGE</t>
        </is>
      </c>
      <c r="F112" t="inlineStr">
        <is>
          <t>SCA</t>
        </is>
      </c>
      <c r="G112" t="n">
        <v>3.7</v>
      </c>
      <c r="H112" t="n">
        <v>1</v>
      </c>
      <c r="I112" t="n">
        <v>0</v>
      </c>
      <c r="J112" t="n">
        <v>1</v>
      </c>
      <c r="K112" t="n">
        <v>1</v>
      </c>
      <c r="L112" t="n">
        <v>0</v>
      </c>
      <c r="M112" t="n">
        <v>0</v>
      </c>
      <c r="N112" t="n">
        <v>0</v>
      </c>
      <c r="O112" t="n">
        <v>2</v>
      </c>
      <c r="P112" t="n">
        <v>1</v>
      </c>
      <c r="Q112" t="n">
        <v>2</v>
      </c>
      <c r="R112" s="2" t="inlineStr">
        <is>
          <t>Knärot
Tallticka</t>
        </is>
      </c>
      <c r="S112">
        <f>HYPERLINK("https://klasma.github.io/Logging_2260/artfynd/A 36635-2021 artfynd.xlsx", "A 36635-2021")</f>
        <v/>
      </c>
      <c r="T112">
        <f>HYPERLINK("https://klasma.github.io/Logging_2260/kartor/A 36635-2021 karta.png", "A 36635-2021")</f>
        <v/>
      </c>
      <c r="U112">
        <f>HYPERLINK("https://klasma.github.io/Logging_2260/knärot/A 36635-2021 karta knärot.png", "A 36635-2021")</f>
        <v/>
      </c>
      <c r="V112">
        <f>HYPERLINK("https://klasma.github.io/Logging_2260/klagomål/A 36635-2021 FSC-klagomål.docx", "A 36635-2021")</f>
        <v/>
      </c>
      <c r="W112">
        <f>HYPERLINK("https://klasma.github.io/Logging_2260/klagomålsmail/A 36635-2021 FSC-klagomål mail.docx", "A 36635-2021")</f>
        <v/>
      </c>
      <c r="X112">
        <f>HYPERLINK("https://klasma.github.io/Logging_2260/tillsyn/A 36635-2021 tillsynsbegäran.docx", "A 36635-2021")</f>
        <v/>
      </c>
      <c r="Y112">
        <f>HYPERLINK("https://klasma.github.io/Logging_2260/tillsynsmail/A 36635-2021 tillsynsbegäran mail.docx", "A 36635-2021")</f>
        <v/>
      </c>
    </row>
    <row r="113" ht="15" customHeight="1">
      <c r="A113" t="inlineStr">
        <is>
          <t>A 40965-2021</t>
        </is>
      </c>
      <c r="B113" s="1" t="n">
        <v>44421</v>
      </c>
      <c r="C113" s="1" t="n">
        <v>45258</v>
      </c>
      <c r="D113" t="inlineStr">
        <is>
          <t>VÄSTERNORRLANDS LÄN</t>
        </is>
      </c>
      <c r="E113" t="inlineStr">
        <is>
          <t>ÅNGE</t>
        </is>
      </c>
      <c r="F113" t="inlineStr">
        <is>
          <t>Sveaskog</t>
        </is>
      </c>
      <c r="G113" t="n">
        <v>5.4</v>
      </c>
      <c r="H113" t="n">
        <v>1</v>
      </c>
      <c r="I113" t="n">
        <v>1</v>
      </c>
      <c r="J113" t="n">
        <v>1</v>
      </c>
      <c r="K113" t="n">
        <v>0</v>
      </c>
      <c r="L113" t="n">
        <v>0</v>
      </c>
      <c r="M113" t="n">
        <v>0</v>
      </c>
      <c r="N113" t="n">
        <v>0</v>
      </c>
      <c r="O113" t="n">
        <v>1</v>
      </c>
      <c r="P113" t="n">
        <v>0</v>
      </c>
      <c r="Q113" t="n">
        <v>2</v>
      </c>
      <c r="R113" s="2" t="inlineStr">
        <is>
          <t>Skogsfru
Skogsbräsma</t>
        </is>
      </c>
      <c r="S113">
        <f>HYPERLINK("https://klasma.github.io/Logging_2260/artfynd/A 40965-2021 artfynd.xlsx", "A 40965-2021")</f>
        <v/>
      </c>
      <c r="T113">
        <f>HYPERLINK("https://klasma.github.io/Logging_2260/kartor/A 40965-2021 karta.png", "A 40965-2021")</f>
        <v/>
      </c>
      <c r="V113">
        <f>HYPERLINK("https://klasma.github.io/Logging_2260/klagomål/A 40965-2021 FSC-klagomål.docx", "A 40965-2021")</f>
        <v/>
      </c>
      <c r="W113">
        <f>HYPERLINK("https://klasma.github.io/Logging_2260/klagomålsmail/A 40965-2021 FSC-klagomål mail.docx", "A 40965-2021")</f>
        <v/>
      </c>
      <c r="X113">
        <f>HYPERLINK("https://klasma.github.io/Logging_2260/tillsyn/A 40965-2021 tillsynsbegäran.docx", "A 40965-2021")</f>
        <v/>
      </c>
      <c r="Y113">
        <f>HYPERLINK("https://klasma.github.io/Logging_2260/tillsynsmail/A 40965-2021 tillsynsbegäran mail.docx", "A 40965-2021")</f>
        <v/>
      </c>
    </row>
    <row r="114" ht="15" customHeight="1">
      <c r="A114" t="inlineStr">
        <is>
          <t>A 44245-2021</t>
        </is>
      </c>
      <c r="B114" s="1" t="n">
        <v>44435</v>
      </c>
      <c r="C114" s="1" t="n">
        <v>45258</v>
      </c>
      <c r="D114" t="inlineStr">
        <is>
          <t>VÄSTERNORRLANDS LÄN</t>
        </is>
      </c>
      <c r="E114" t="inlineStr">
        <is>
          <t>ÅNGE</t>
        </is>
      </c>
      <c r="F114" t="inlineStr">
        <is>
          <t>SCA</t>
        </is>
      </c>
      <c r="G114" t="n">
        <v>27.4</v>
      </c>
      <c r="H114" t="n">
        <v>1</v>
      </c>
      <c r="I114" t="n">
        <v>0</v>
      </c>
      <c r="J114" t="n">
        <v>1</v>
      </c>
      <c r="K114" t="n">
        <v>0</v>
      </c>
      <c r="L114" t="n">
        <v>0</v>
      </c>
      <c r="M114" t="n">
        <v>0</v>
      </c>
      <c r="N114" t="n">
        <v>0</v>
      </c>
      <c r="O114" t="n">
        <v>1</v>
      </c>
      <c r="P114" t="n">
        <v>0</v>
      </c>
      <c r="Q114" t="n">
        <v>2</v>
      </c>
      <c r="R114" s="2" t="inlineStr">
        <is>
          <t>Lunglav
Fläcknycklar</t>
        </is>
      </c>
      <c r="S114">
        <f>HYPERLINK("https://klasma.github.io/Logging_2260/artfynd/A 44245-2021 artfynd.xlsx", "A 44245-2021")</f>
        <v/>
      </c>
      <c r="T114">
        <f>HYPERLINK("https://klasma.github.io/Logging_2260/kartor/A 44245-2021 karta.png", "A 44245-2021")</f>
        <v/>
      </c>
      <c r="U114">
        <f>HYPERLINK("https://klasma.github.io/Logging_2260/knärot/A 44245-2021 karta knärot.png", "A 44245-2021")</f>
        <v/>
      </c>
      <c r="V114">
        <f>HYPERLINK("https://klasma.github.io/Logging_2260/klagomål/A 44245-2021 FSC-klagomål.docx", "A 44245-2021")</f>
        <v/>
      </c>
      <c r="W114">
        <f>HYPERLINK("https://klasma.github.io/Logging_2260/klagomålsmail/A 44245-2021 FSC-klagomål mail.docx", "A 44245-2021")</f>
        <v/>
      </c>
      <c r="X114">
        <f>HYPERLINK("https://klasma.github.io/Logging_2260/tillsyn/A 44245-2021 tillsynsbegäran.docx", "A 44245-2021")</f>
        <v/>
      </c>
      <c r="Y114">
        <f>HYPERLINK("https://klasma.github.io/Logging_2260/tillsynsmail/A 44245-2021 tillsynsbegäran mail.docx", "A 44245-2021")</f>
        <v/>
      </c>
    </row>
    <row r="115" ht="15" customHeight="1">
      <c r="A115" t="inlineStr">
        <is>
          <t>A 55591-2021</t>
        </is>
      </c>
      <c r="B115" s="1" t="n">
        <v>44475</v>
      </c>
      <c r="C115" s="1" t="n">
        <v>45258</v>
      </c>
      <c r="D115" t="inlineStr">
        <is>
          <t>VÄSTERNORRLANDS LÄN</t>
        </is>
      </c>
      <c r="E115" t="inlineStr">
        <is>
          <t>ÅNGE</t>
        </is>
      </c>
      <c r="G115" t="n">
        <v>3.6</v>
      </c>
      <c r="H115" t="n">
        <v>0</v>
      </c>
      <c r="I115" t="n">
        <v>0</v>
      </c>
      <c r="J115" t="n">
        <v>2</v>
      </c>
      <c r="K115" t="n">
        <v>0</v>
      </c>
      <c r="L115" t="n">
        <v>0</v>
      </c>
      <c r="M115" t="n">
        <v>0</v>
      </c>
      <c r="N115" t="n">
        <v>0</v>
      </c>
      <c r="O115" t="n">
        <v>2</v>
      </c>
      <c r="P115" t="n">
        <v>0</v>
      </c>
      <c r="Q115" t="n">
        <v>2</v>
      </c>
      <c r="R115" s="2" t="inlineStr">
        <is>
          <t>Kolflarnlav
Skrovlig taggsvamp</t>
        </is>
      </c>
      <c r="S115">
        <f>HYPERLINK("https://klasma.github.io/Logging_2260/artfynd/A 55591-2021 artfynd.xlsx", "A 55591-2021")</f>
        <v/>
      </c>
      <c r="T115">
        <f>HYPERLINK("https://klasma.github.io/Logging_2260/kartor/A 55591-2021 karta.png", "A 55591-2021")</f>
        <v/>
      </c>
      <c r="V115">
        <f>HYPERLINK("https://klasma.github.io/Logging_2260/klagomål/A 55591-2021 FSC-klagomål.docx", "A 55591-2021")</f>
        <v/>
      </c>
      <c r="W115">
        <f>HYPERLINK("https://klasma.github.io/Logging_2260/klagomålsmail/A 55591-2021 FSC-klagomål mail.docx", "A 55591-2021")</f>
        <v/>
      </c>
      <c r="X115">
        <f>HYPERLINK("https://klasma.github.io/Logging_2260/tillsyn/A 55591-2021 tillsynsbegäran.docx", "A 55591-2021")</f>
        <v/>
      </c>
      <c r="Y115">
        <f>HYPERLINK("https://klasma.github.io/Logging_2260/tillsynsmail/A 55591-2021 tillsynsbegäran mail.docx", "A 55591-2021")</f>
        <v/>
      </c>
    </row>
    <row r="116" ht="15" customHeight="1">
      <c r="A116" t="inlineStr">
        <is>
          <t>A 61472-2021</t>
        </is>
      </c>
      <c r="B116" s="1" t="n">
        <v>44500</v>
      </c>
      <c r="C116" s="1" t="n">
        <v>45258</v>
      </c>
      <c r="D116" t="inlineStr">
        <is>
          <t>VÄSTERNORRLANDS LÄN</t>
        </is>
      </c>
      <c r="E116" t="inlineStr">
        <is>
          <t>ÅNGE</t>
        </is>
      </c>
      <c r="F116" t="inlineStr">
        <is>
          <t>SCA</t>
        </is>
      </c>
      <c r="G116" t="n">
        <v>2.1</v>
      </c>
      <c r="H116" t="n">
        <v>2</v>
      </c>
      <c r="I116" t="n">
        <v>0</v>
      </c>
      <c r="J116" t="n">
        <v>0</v>
      </c>
      <c r="K116" t="n">
        <v>0</v>
      </c>
      <c r="L116" t="n">
        <v>0</v>
      </c>
      <c r="M116" t="n">
        <v>0</v>
      </c>
      <c r="N116" t="n">
        <v>0</v>
      </c>
      <c r="O116" t="n">
        <v>0</v>
      </c>
      <c r="P116" t="n">
        <v>0</v>
      </c>
      <c r="Q116" t="n">
        <v>2</v>
      </c>
      <c r="R116" s="2" t="inlineStr">
        <is>
          <t>Fläcknycklar
Revlummer</t>
        </is>
      </c>
      <c r="S116">
        <f>HYPERLINK("https://klasma.github.io/Logging_2260/artfynd/A 61472-2021 artfynd.xlsx", "A 61472-2021")</f>
        <v/>
      </c>
      <c r="T116">
        <f>HYPERLINK("https://klasma.github.io/Logging_2260/kartor/A 61472-2021 karta.png", "A 61472-2021")</f>
        <v/>
      </c>
      <c r="V116">
        <f>HYPERLINK("https://klasma.github.io/Logging_2260/klagomål/A 61472-2021 FSC-klagomål.docx", "A 61472-2021")</f>
        <v/>
      </c>
      <c r="W116">
        <f>HYPERLINK("https://klasma.github.io/Logging_2260/klagomålsmail/A 61472-2021 FSC-klagomål mail.docx", "A 61472-2021")</f>
        <v/>
      </c>
      <c r="X116">
        <f>HYPERLINK("https://klasma.github.io/Logging_2260/tillsyn/A 61472-2021 tillsynsbegäran.docx", "A 61472-2021")</f>
        <v/>
      </c>
      <c r="Y116">
        <f>HYPERLINK("https://klasma.github.io/Logging_2260/tillsynsmail/A 61472-2021 tillsynsbegäran mail.docx", "A 61472-2021")</f>
        <v/>
      </c>
    </row>
    <row r="117" ht="15" customHeight="1">
      <c r="A117" t="inlineStr">
        <is>
          <t>A 62861-2021</t>
        </is>
      </c>
      <c r="B117" s="1" t="n">
        <v>44503</v>
      </c>
      <c r="C117" s="1" t="n">
        <v>45258</v>
      </c>
      <c r="D117" t="inlineStr">
        <is>
          <t>VÄSTERNORRLANDS LÄN</t>
        </is>
      </c>
      <c r="E117" t="inlineStr">
        <is>
          <t>ÅNGE</t>
        </is>
      </c>
      <c r="F117" t="inlineStr">
        <is>
          <t>Övriga statliga verk och myndigheter</t>
        </is>
      </c>
      <c r="G117" t="n">
        <v>12.1</v>
      </c>
      <c r="H117" t="n">
        <v>1</v>
      </c>
      <c r="I117" t="n">
        <v>0</v>
      </c>
      <c r="J117" t="n">
        <v>1</v>
      </c>
      <c r="K117" t="n">
        <v>1</v>
      </c>
      <c r="L117" t="n">
        <v>0</v>
      </c>
      <c r="M117" t="n">
        <v>0</v>
      </c>
      <c r="N117" t="n">
        <v>0</v>
      </c>
      <c r="O117" t="n">
        <v>2</v>
      </c>
      <c r="P117" t="n">
        <v>1</v>
      </c>
      <c r="Q117" t="n">
        <v>2</v>
      </c>
      <c r="R117" s="2" t="inlineStr">
        <is>
          <t>Knärot
Rosenticka</t>
        </is>
      </c>
      <c r="S117">
        <f>HYPERLINK("https://klasma.github.io/Logging_2260/artfynd/A 62861-2021 artfynd.xlsx", "A 62861-2021")</f>
        <v/>
      </c>
      <c r="T117">
        <f>HYPERLINK("https://klasma.github.io/Logging_2260/kartor/A 62861-2021 karta.png", "A 62861-2021")</f>
        <v/>
      </c>
      <c r="U117">
        <f>HYPERLINK("https://klasma.github.io/Logging_2260/knärot/A 62861-2021 karta knärot.png", "A 62861-2021")</f>
        <v/>
      </c>
      <c r="V117">
        <f>HYPERLINK("https://klasma.github.io/Logging_2260/klagomål/A 62861-2021 FSC-klagomål.docx", "A 62861-2021")</f>
        <v/>
      </c>
      <c r="W117">
        <f>HYPERLINK("https://klasma.github.io/Logging_2260/klagomålsmail/A 62861-2021 FSC-klagomål mail.docx", "A 62861-2021")</f>
        <v/>
      </c>
      <c r="X117">
        <f>HYPERLINK("https://klasma.github.io/Logging_2260/tillsyn/A 62861-2021 tillsynsbegäran.docx", "A 62861-2021")</f>
        <v/>
      </c>
      <c r="Y117">
        <f>HYPERLINK("https://klasma.github.io/Logging_2260/tillsynsmail/A 62861-2021 tillsynsbegäran mail.docx", "A 62861-2021")</f>
        <v/>
      </c>
    </row>
    <row r="118" ht="15" customHeight="1">
      <c r="A118" t="inlineStr">
        <is>
          <t>A 1082-2022</t>
        </is>
      </c>
      <c r="B118" s="1" t="n">
        <v>44571</v>
      </c>
      <c r="C118" s="1" t="n">
        <v>45258</v>
      </c>
      <c r="D118" t="inlineStr">
        <is>
          <t>VÄSTERNORRLANDS LÄN</t>
        </is>
      </c>
      <c r="E118" t="inlineStr">
        <is>
          <t>ÅNGE</t>
        </is>
      </c>
      <c r="G118" t="n">
        <v>0.9</v>
      </c>
      <c r="H118" t="n">
        <v>1</v>
      </c>
      <c r="I118" t="n">
        <v>0</v>
      </c>
      <c r="J118" t="n">
        <v>2</v>
      </c>
      <c r="K118" t="n">
        <v>0</v>
      </c>
      <c r="L118" t="n">
        <v>0</v>
      </c>
      <c r="M118" t="n">
        <v>0</v>
      </c>
      <c r="N118" t="n">
        <v>0</v>
      </c>
      <c r="O118" t="n">
        <v>2</v>
      </c>
      <c r="P118" t="n">
        <v>0</v>
      </c>
      <c r="Q118" t="n">
        <v>2</v>
      </c>
      <c r="R118" s="2" t="inlineStr">
        <is>
          <t>Garnlav
Talltita</t>
        </is>
      </c>
      <c r="S118">
        <f>HYPERLINK("https://klasma.github.io/Logging_2260/artfynd/A 1082-2022 artfynd.xlsx", "A 1082-2022")</f>
        <v/>
      </c>
      <c r="T118">
        <f>HYPERLINK("https://klasma.github.io/Logging_2260/kartor/A 1082-2022 karta.png", "A 1082-2022")</f>
        <v/>
      </c>
      <c r="V118">
        <f>HYPERLINK("https://klasma.github.io/Logging_2260/klagomål/A 1082-2022 FSC-klagomål.docx", "A 1082-2022")</f>
        <v/>
      </c>
      <c r="W118">
        <f>HYPERLINK("https://klasma.github.io/Logging_2260/klagomålsmail/A 1082-2022 FSC-klagomål mail.docx", "A 1082-2022")</f>
        <v/>
      </c>
      <c r="X118">
        <f>HYPERLINK("https://klasma.github.io/Logging_2260/tillsyn/A 1082-2022 tillsynsbegäran.docx", "A 1082-2022")</f>
        <v/>
      </c>
      <c r="Y118">
        <f>HYPERLINK("https://klasma.github.io/Logging_2260/tillsynsmail/A 1082-2022 tillsynsbegäran mail.docx", "A 1082-2022")</f>
        <v/>
      </c>
    </row>
    <row r="119" ht="15" customHeight="1">
      <c r="A119" t="inlineStr">
        <is>
          <t>A 8234-2022</t>
        </is>
      </c>
      <c r="B119" s="1" t="n">
        <v>44609</v>
      </c>
      <c r="C119" s="1" t="n">
        <v>45258</v>
      </c>
      <c r="D119" t="inlineStr">
        <is>
          <t>VÄSTERNORRLANDS LÄN</t>
        </is>
      </c>
      <c r="E119" t="inlineStr">
        <is>
          <t>ÅNGE</t>
        </is>
      </c>
      <c r="F119" t="inlineStr">
        <is>
          <t>SCA</t>
        </is>
      </c>
      <c r="G119" t="n">
        <v>2.3</v>
      </c>
      <c r="H119" t="n">
        <v>1</v>
      </c>
      <c r="I119" t="n">
        <v>0</v>
      </c>
      <c r="J119" t="n">
        <v>1</v>
      </c>
      <c r="K119" t="n">
        <v>0</v>
      </c>
      <c r="L119" t="n">
        <v>0</v>
      </c>
      <c r="M119" t="n">
        <v>0</v>
      </c>
      <c r="N119" t="n">
        <v>0</v>
      </c>
      <c r="O119" t="n">
        <v>1</v>
      </c>
      <c r="P119" t="n">
        <v>0</v>
      </c>
      <c r="Q119" t="n">
        <v>2</v>
      </c>
      <c r="R119" s="2" t="inlineStr">
        <is>
          <t>Garnlav
Revlummer</t>
        </is>
      </c>
      <c r="S119">
        <f>HYPERLINK("https://klasma.github.io/Logging_2260/artfynd/A 8234-2022 artfynd.xlsx", "A 8234-2022")</f>
        <v/>
      </c>
      <c r="T119">
        <f>HYPERLINK("https://klasma.github.io/Logging_2260/kartor/A 8234-2022 karta.png", "A 8234-2022")</f>
        <v/>
      </c>
      <c r="V119">
        <f>HYPERLINK("https://klasma.github.io/Logging_2260/klagomål/A 8234-2022 FSC-klagomål.docx", "A 8234-2022")</f>
        <v/>
      </c>
      <c r="W119">
        <f>HYPERLINK("https://klasma.github.io/Logging_2260/klagomålsmail/A 8234-2022 FSC-klagomål mail.docx", "A 8234-2022")</f>
        <v/>
      </c>
      <c r="X119">
        <f>HYPERLINK("https://klasma.github.io/Logging_2260/tillsyn/A 8234-2022 tillsynsbegäran.docx", "A 8234-2022")</f>
        <v/>
      </c>
      <c r="Y119">
        <f>HYPERLINK("https://klasma.github.io/Logging_2260/tillsynsmail/A 8234-2022 tillsynsbegäran mail.docx", "A 8234-2022")</f>
        <v/>
      </c>
    </row>
    <row r="120" ht="15" customHeight="1">
      <c r="A120" t="inlineStr">
        <is>
          <t>A 38429-2022</t>
        </is>
      </c>
      <c r="B120" s="1" t="n">
        <v>44812</v>
      </c>
      <c r="C120" s="1" t="n">
        <v>45258</v>
      </c>
      <c r="D120" t="inlineStr">
        <is>
          <t>VÄSTERNORRLANDS LÄN</t>
        </is>
      </c>
      <c r="E120" t="inlineStr">
        <is>
          <t>ÅNGE</t>
        </is>
      </c>
      <c r="F120" t="inlineStr">
        <is>
          <t>SCA</t>
        </is>
      </c>
      <c r="G120" t="n">
        <v>4.2</v>
      </c>
      <c r="H120" t="n">
        <v>1</v>
      </c>
      <c r="I120" t="n">
        <v>0</v>
      </c>
      <c r="J120" t="n">
        <v>1</v>
      </c>
      <c r="K120" t="n">
        <v>1</v>
      </c>
      <c r="L120" t="n">
        <v>0</v>
      </c>
      <c r="M120" t="n">
        <v>0</v>
      </c>
      <c r="N120" t="n">
        <v>0</v>
      </c>
      <c r="O120" t="n">
        <v>2</v>
      </c>
      <c r="P120" t="n">
        <v>1</v>
      </c>
      <c r="Q120" t="n">
        <v>2</v>
      </c>
      <c r="R120" s="2" t="inlineStr">
        <is>
          <t>Doftticka
Lunglav</t>
        </is>
      </c>
      <c r="S120">
        <f>HYPERLINK("https://klasma.github.io/Logging_2260/artfynd/A 38429-2022 artfynd.xlsx", "A 38429-2022")</f>
        <v/>
      </c>
      <c r="T120">
        <f>HYPERLINK("https://klasma.github.io/Logging_2260/kartor/A 38429-2022 karta.png", "A 38429-2022")</f>
        <v/>
      </c>
      <c r="V120">
        <f>HYPERLINK("https://klasma.github.io/Logging_2260/klagomål/A 38429-2022 FSC-klagomål.docx", "A 38429-2022")</f>
        <v/>
      </c>
      <c r="W120">
        <f>HYPERLINK("https://klasma.github.io/Logging_2260/klagomålsmail/A 38429-2022 FSC-klagomål mail.docx", "A 38429-2022")</f>
        <v/>
      </c>
      <c r="X120">
        <f>HYPERLINK("https://klasma.github.io/Logging_2260/tillsyn/A 38429-2022 tillsynsbegäran.docx", "A 38429-2022")</f>
        <v/>
      </c>
      <c r="Y120">
        <f>HYPERLINK("https://klasma.github.io/Logging_2260/tillsynsmail/A 38429-2022 tillsynsbegäran mail.docx", "A 38429-2022")</f>
        <v/>
      </c>
    </row>
    <row r="121" ht="15" customHeight="1">
      <c r="A121" t="inlineStr">
        <is>
          <t>A 47438-2022</t>
        </is>
      </c>
      <c r="B121" s="1" t="n">
        <v>44853</v>
      </c>
      <c r="C121" s="1" t="n">
        <v>45258</v>
      </c>
      <c r="D121" t="inlineStr">
        <is>
          <t>VÄSTERNORRLANDS LÄN</t>
        </is>
      </c>
      <c r="E121" t="inlineStr">
        <is>
          <t>ÅNGE</t>
        </is>
      </c>
      <c r="F121" t="inlineStr">
        <is>
          <t>Sveaskog</t>
        </is>
      </c>
      <c r="G121" t="n">
        <v>2.1</v>
      </c>
      <c r="H121" t="n">
        <v>0</v>
      </c>
      <c r="I121" t="n">
        <v>0</v>
      </c>
      <c r="J121" t="n">
        <v>2</v>
      </c>
      <c r="K121" t="n">
        <v>0</v>
      </c>
      <c r="L121" t="n">
        <v>0</v>
      </c>
      <c r="M121" t="n">
        <v>0</v>
      </c>
      <c r="N121" t="n">
        <v>0</v>
      </c>
      <c r="O121" t="n">
        <v>2</v>
      </c>
      <c r="P121" t="n">
        <v>0</v>
      </c>
      <c r="Q121" t="n">
        <v>2</v>
      </c>
      <c r="R121" s="2" t="inlineStr">
        <is>
          <t>Lunglav
Violettgrå tagellav</t>
        </is>
      </c>
      <c r="S121">
        <f>HYPERLINK("https://klasma.github.io/Logging_2260/artfynd/A 47438-2022 artfynd.xlsx", "A 47438-2022")</f>
        <v/>
      </c>
      <c r="T121">
        <f>HYPERLINK("https://klasma.github.io/Logging_2260/kartor/A 47438-2022 karta.png", "A 47438-2022")</f>
        <v/>
      </c>
      <c r="V121">
        <f>HYPERLINK("https://klasma.github.io/Logging_2260/klagomål/A 47438-2022 FSC-klagomål.docx", "A 47438-2022")</f>
        <v/>
      </c>
      <c r="W121">
        <f>HYPERLINK("https://klasma.github.io/Logging_2260/klagomålsmail/A 47438-2022 FSC-klagomål mail.docx", "A 47438-2022")</f>
        <v/>
      </c>
      <c r="X121">
        <f>HYPERLINK("https://klasma.github.io/Logging_2260/tillsyn/A 47438-2022 tillsynsbegäran.docx", "A 47438-2022")</f>
        <v/>
      </c>
      <c r="Y121">
        <f>HYPERLINK("https://klasma.github.io/Logging_2260/tillsynsmail/A 47438-2022 tillsynsbegäran mail.docx", "A 47438-2022")</f>
        <v/>
      </c>
    </row>
    <row r="122" ht="15" customHeight="1">
      <c r="A122" t="inlineStr">
        <is>
          <t>A 48152-2022</t>
        </is>
      </c>
      <c r="B122" s="1" t="n">
        <v>44853</v>
      </c>
      <c r="C122" s="1" t="n">
        <v>45258</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44855</v>
      </c>
      <c r="C123" s="1" t="n">
        <v>45258</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47798-2022</t>
        </is>
      </c>
      <c r="B124" s="1" t="n">
        <v>44855</v>
      </c>
      <c r="C124" s="1" t="n">
        <v>45258</v>
      </c>
      <c r="D124" t="inlineStr">
        <is>
          <t>VÄSTERNORRLANDS LÄN</t>
        </is>
      </c>
      <c r="E124" t="inlineStr">
        <is>
          <t>ÅNGE</t>
        </is>
      </c>
      <c r="F124" t="inlineStr">
        <is>
          <t>SCA</t>
        </is>
      </c>
      <c r="G124" t="n">
        <v>8.300000000000001</v>
      </c>
      <c r="H124" t="n">
        <v>0</v>
      </c>
      <c r="I124" t="n">
        <v>1</v>
      </c>
      <c r="J124" t="n">
        <v>1</v>
      </c>
      <c r="K124" t="n">
        <v>0</v>
      </c>
      <c r="L124" t="n">
        <v>0</v>
      </c>
      <c r="M124" t="n">
        <v>0</v>
      </c>
      <c r="N124" t="n">
        <v>0</v>
      </c>
      <c r="O124" t="n">
        <v>1</v>
      </c>
      <c r="P124" t="n">
        <v>0</v>
      </c>
      <c r="Q124" t="n">
        <v>2</v>
      </c>
      <c r="R124" s="2" t="inlineStr">
        <is>
          <t>Lunglav
Kransrams</t>
        </is>
      </c>
      <c r="S124">
        <f>HYPERLINK("https://klasma.github.io/Logging_2260/artfynd/A 47798-2022 artfynd.xlsx", "A 47798-2022")</f>
        <v/>
      </c>
      <c r="T124">
        <f>HYPERLINK("https://klasma.github.io/Logging_2260/kartor/A 47798-2022 karta.png", "A 47798-2022")</f>
        <v/>
      </c>
      <c r="V124">
        <f>HYPERLINK("https://klasma.github.io/Logging_2260/klagomål/A 47798-2022 FSC-klagomål.docx", "A 47798-2022")</f>
        <v/>
      </c>
      <c r="W124">
        <f>HYPERLINK("https://klasma.github.io/Logging_2260/klagomålsmail/A 47798-2022 FSC-klagomål mail.docx", "A 47798-2022")</f>
        <v/>
      </c>
      <c r="X124">
        <f>HYPERLINK("https://klasma.github.io/Logging_2260/tillsyn/A 47798-2022 tillsynsbegäran.docx", "A 47798-2022")</f>
        <v/>
      </c>
      <c r="Y124">
        <f>HYPERLINK("https://klasma.github.io/Logging_2260/tillsynsmail/A 47798-2022 tillsynsbegäran mail.docx", "A 47798-2022")</f>
        <v/>
      </c>
    </row>
    <row r="125" ht="15" customHeight="1">
      <c r="A125" t="inlineStr">
        <is>
          <t>A 54822-2022</t>
        </is>
      </c>
      <c r="B125" s="1" t="n">
        <v>44883</v>
      </c>
      <c r="C125" s="1" t="n">
        <v>45258</v>
      </c>
      <c r="D125" t="inlineStr">
        <is>
          <t>VÄSTERNORRLANDS LÄN</t>
        </is>
      </c>
      <c r="E125" t="inlineStr">
        <is>
          <t>ÅNGE</t>
        </is>
      </c>
      <c r="G125" t="n">
        <v>3.8</v>
      </c>
      <c r="H125" t="n">
        <v>2</v>
      </c>
      <c r="I125" t="n">
        <v>0</v>
      </c>
      <c r="J125" t="n">
        <v>1</v>
      </c>
      <c r="K125" t="n">
        <v>0</v>
      </c>
      <c r="L125" t="n">
        <v>0</v>
      </c>
      <c r="M125" t="n">
        <v>0</v>
      </c>
      <c r="N125" t="n">
        <v>0</v>
      </c>
      <c r="O125" t="n">
        <v>1</v>
      </c>
      <c r="P125" t="n">
        <v>0</v>
      </c>
      <c r="Q125" t="n">
        <v>2</v>
      </c>
      <c r="R125" s="2" t="inlineStr">
        <is>
          <t>Tretåig hackspett
Mindre vattensalamander</t>
        </is>
      </c>
      <c r="S125">
        <f>HYPERLINK("https://klasma.github.io/Logging_2260/artfynd/A 54822-2022 artfynd.xlsx", "A 54822-2022")</f>
        <v/>
      </c>
      <c r="T125">
        <f>HYPERLINK("https://klasma.github.io/Logging_2260/kartor/A 54822-2022 karta.png", "A 54822-2022")</f>
        <v/>
      </c>
      <c r="V125">
        <f>HYPERLINK("https://klasma.github.io/Logging_2260/klagomål/A 54822-2022 FSC-klagomål.docx", "A 54822-2022")</f>
        <v/>
      </c>
      <c r="W125">
        <f>HYPERLINK("https://klasma.github.io/Logging_2260/klagomålsmail/A 54822-2022 FSC-klagomål mail.docx", "A 54822-2022")</f>
        <v/>
      </c>
      <c r="X125">
        <f>HYPERLINK("https://klasma.github.io/Logging_2260/tillsyn/A 54822-2022 tillsynsbegäran.docx", "A 54822-2022")</f>
        <v/>
      </c>
      <c r="Y125">
        <f>HYPERLINK("https://klasma.github.io/Logging_2260/tillsynsmail/A 54822-2022 tillsynsbegäran mail.docx", "A 54822-2022")</f>
        <v/>
      </c>
    </row>
    <row r="126" ht="15" customHeight="1">
      <c r="A126" t="inlineStr">
        <is>
          <t>A 57594-2022</t>
        </is>
      </c>
      <c r="B126" s="1" t="n">
        <v>44897</v>
      </c>
      <c r="C126" s="1" t="n">
        <v>45258</v>
      </c>
      <c r="D126" t="inlineStr">
        <is>
          <t>VÄSTERNORRLANDS LÄN</t>
        </is>
      </c>
      <c r="E126" t="inlineStr">
        <is>
          <t>ÅNGE</t>
        </is>
      </c>
      <c r="F126" t="inlineStr">
        <is>
          <t>SCA</t>
        </is>
      </c>
      <c r="G126" t="n">
        <v>5.3</v>
      </c>
      <c r="H126" t="n">
        <v>0</v>
      </c>
      <c r="I126" t="n">
        <v>0</v>
      </c>
      <c r="J126" t="n">
        <v>2</v>
      </c>
      <c r="K126" t="n">
        <v>0</v>
      </c>
      <c r="L126" t="n">
        <v>0</v>
      </c>
      <c r="M126" t="n">
        <v>0</v>
      </c>
      <c r="N126" t="n">
        <v>0</v>
      </c>
      <c r="O126" t="n">
        <v>2</v>
      </c>
      <c r="P126" t="n">
        <v>0</v>
      </c>
      <c r="Q126" t="n">
        <v>2</v>
      </c>
      <c r="R126" s="2" t="inlineStr">
        <is>
          <t>Granticka
Lunglav</t>
        </is>
      </c>
      <c r="S126">
        <f>HYPERLINK("https://klasma.github.io/Logging_2260/artfynd/A 57594-2022 artfynd.xlsx", "A 57594-2022")</f>
        <v/>
      </c>
      <c r="T126">
        <f>HYPERLINK("https://klasma.github.io/Logging_2260/kartor/A 57594-2022 karta.png", "A 57594-2022")</f>
        <v/>
      </c>
      <c r="V126">
        <f>HYPERLINK("https://klasma.github.io/Logging_2260/klagomål/A 57594-2022 FSC-klagomål.docx", "A 57594-2022")</f>
        <v/>
      </c>
      <c r="W126">
        <f>HYPERLINK("https://klasma.github.io/Logging_2260/klagomålsmail/A 57594-2022 FSC-klagomål mail.docx", "A 57594-2022")</f>
        <v/>
      </c>
      <c r="X126">
        <f>HYPERLINK("https://klasma.github.io/Logging_2260/tillsyn/A 57594-2022 tillsynsbegäran.docx", "A 57594-2022")</f>
        <v/>
      </c>
      <c r="Y126">
        <f>HYPERLINK("https://klasma.github.io/Logging_2260/tillsynsmail/A 57594-2022 tillsynsbegäran mail.docx", "A 57594-2022")</f>
        <v/>
      </c>
    </row>
    <row r="127" ht="15" customHeight="1">
      <c r="A127" t="inlineStr">
        <is>
          <t>A 57597-2022</t>
        </is>
      </c>
      <c r="B127" s="1" t="n">
        <v>44897</v>
      </c>
      <c r="C127" s="1" t="n">
        <v>45258</v>
      </c>
      <c r="D127" t="inlineStr">
        <is>
          <t>VÄSTERNORRLANDS LÄN</t>
        </is>
      </c>
      <c r="E127" t="inlineStr">
        <is>
          <t>ÅNGE</t>
        </is>
      </c>
      <c r="F127" t="inlineStr">
        <is>
          <t>SCA</t>
        </is>
      </c>
      <c r="G127" t="n">
        <v>6.2</v>
      </c>
      <c r="H127" t="n">
        <v>0</v>
      </c>
      <c r="I127" t="n">
        <v>0</v>
      </c>
      <c r="J127" t="n">
        <v>2</v>
      </c>
      <c r="K127" t="n">
        <v>0</v>
      </c>
      <c r="L127" t="n">
        <v>0</v>
      </c>
      <c r="M127" t="n">
        <v>0</v>
      </c>
      <c r="N127" t="n">
        <v>0</v>
      </c>
      <c r="O127" t="n">
        <v>2</v>
      </c>
      <c r="P127" t="n">
        <v>0</v>
      </c>
      <c r="Q127" t="n">
        <v>2</v>
      </c>
      <c r="R127" s="2" t="inlineStr">
        <is>
          <t>Garnlav
Lunglav</t>
        </is>
      </c>
      <c r="S127">
        <f>HYPERLINK("https://klasma.github.io/Logging_2260/artfynd/A 57597-2022 artfynd.xlsx", "A 57597-2022")</f>
        <v/>
      </c>
      <c r="T127">
        <f>HYPERLINK("https://klasma.github.io/Logging_2260/kartor/A 57597-2022 karta.png", "A 57597-2022")</f>
        <v/>
      </c>
      <c r="V127">
        <f>HYPERLINK("https://klasma.github.io/Logging_2260/klagomål/A 57597-2022 FSC-klagomål.docx", "A 57597-2022")</f>
        <v/>
      </c>
      <c r="W127">
        <f>HYPERLINK("https://klasma.github.io/Logging_2260/klagomålsmail/A 57597-2022 FSC-klagomål mail.docx", "A 57597-2022")</f>
        <v/>
      </c>
      <c r="X127">
        <f>HYPERLINK("https://klasma.github.io/Logging_2260/tillsyn/A 57597-2022 tillsynsbegäran.docx", "A 57597-2022")</f>
        <v/>
      </c>
      <c r="Y127">
        <f>HYPERLINK("https://klasma.github.io/Logging_2260/tillsynsmail/A 57597-2022 tillsynsbegäran mail.docx", "A 57597-2022")</f>
        <v/>
      </c>
    </row>
    <row r="128" ht="15" customHeight="1">
      <c r="A128" t="inlineStr">
        <is>
          <t>A 17861-2023</t>
        </is>
      </c>
      <c r="B128" s="1" t="n">
        <v>45038</v>
      </c>
      <c r="C128" s="1" t="n">
        <v>45258</v>
      </c>
      <c r="D128" t="inlineStr">
        <is>
          <t>VÄSTERNORRLANDS LÄN</t>
        </is>
      </c>
      <c r="E128" t="inlineStr">
        <is>
          <t>ÅNGE</t>
        </is>
      </c>
      <c r="F128" t="inlineStr">
        <is>
          <t>SCA</t>
        </is>
      </c>
      <c r="G128" t="n">
        <v>1.1</v>
      </c>
      <c r="H128" t="n">
        <v>0</v>
      </c>
      <c r="I128" t="n">
        <v>1</v>
      </c>
      <c r="J128" t="n">
        <v>1</v>
      </c>
      <c r="K128" t="n">
        <v>0</v>
      </c>
      <c r="L128" t="n">
        <v>0</v>
      </c>
      <c r="M128" t="n">
        <v>0</v>
      </c>
      <c r="N128" t="n">
        <v>0</v>
      </c>
      <c r="O128" t="n">
        <v>1</v>
      </c>
      <c r="P128" t="n">
        <v>0</v>
      </c>
      <c r="Q128" t="n">
        <v>2</v>
      </c>
      <c r="R128" s="2" t="inlineStr">
        <is>
          <t>Skrovlig taggsvamp
Dropptaggsvamp</t>
        </is>
      </c>
      <c r="S128">
        <f>HYPERLINK("https://klasma.github.io/Logging_2260/artfynd/A 17861-2023 artfynd.xlsx", "A 17861-2023")</f>
        <v/>
      </c>
      <c r="T128">
        <f>HYPERLINK("https://klasma.github.io/Logging_2260/kartor/A 17861-2023 karta.png", "A 17861-2023")</f>
        <v/>
      </c>
      <c r="V128">
        <f>HYPERLINK("https://klasma.github.io/Logging_2260/klagomål/A 17861-2023 FSC-klagomål.docx", "A 17861-2023")</f>
        <v/>
      </c>
      <c r="W128">
        <f>HYPERLINK("https://klasma.github.io/Logging_2260/klagomålsmail/A 17861-2023 FSC-klagomål mail.docx", "A 17861-2023")</f>
        <v/>
      </c>
      <c r="X128">
        <f>HYPERLINK("https://klasma.github.io/Logging_2260/tillsyn/A 17861-2023 tillsynsbegäran.docx", "A 17861-2023")</f>
        <v/>
      </c>
      <c r="Y128">
        <f>HYPERLINK("https://klasma.github.io/Logging_2260/tillsynsmail/A 17861-2023 tillsynsbegäran mail.docx", "A 17861-2023")</f>
        <v/>
      </c>
    </row>
    <row r="129" ht="15" customHeight="1">
      <c r="A129" t="inlineStr">
        <is>
          <t>A 23521-2023</t>
        </is>
      </c>
      <c r="B129" s="1" t="n">
        <v>45076</v>
      </c>
      <c r="C129" s="1" t="n">
        <v>45258</v>
      </c>
      <c r="D129" t="inlineStr">
        <is>
          <t>VÄSTERNORRLANDS LÄN</t>
        </is>
      </c>
      <c r="E129" t="inlineStr">
        <is>
          <t>ÅNGE</t>
        </is>
      </c>
      <c r="F129" t="inlineStr">
        <is>
          <t>SCA</t>
        </is>
      </c>
      <c r="G129" t="n">
        <v>5</v>
      </c>
      <c r="H129" t="n">
        <v>0</v>
      </c>
      <c r="I129" t="n">
        <v>0</v>
      </c>
      <c r="J129" t="n">
        <v>2</v>
      </c>
      <c r="K129" t="n">
        <v>0</v>
      </c>
      <c r="L129" t="n">
        <v>0</v>
      </c>
      <c r="M129" t="n">
        <v>0</v>
      </c>
      <c r="N129" t="n">
        <v>0</v>
      </c>
      <c r="O129" t="n">
        <v>2</v>
      </c>
      <c r="P129" t="n">
        <v>0</v>
      </c>
      <c r="Q129" t="n">
        <v>2</v>
      </c>
      <c r="R129" s="2" t="inlineStr">
        <is>
          <t>Garnlav
Rosenticka</t>
        </is>
      </c>
      <c r="S129">
        <f>HYPERLINK("https://klasma.github.io/Logging_2260/artfynd/A 23521-2023 artfynd.xlsx", "A 23521-2023")</f>
        <v/>
      </c>
      <c r="T129">
        <f>HYPERLINK("https://klasma.github.io/Logging_2260/kartor/A 23521-2023 karta.png", "A 23521-2023")</f>
        <v/>
      </c>
      <c r="V129">
        <f>HYPERLINK("https://klasma.github.io/Logging_2260/klagomål/A 23521-2023 FSC-klagomål.docx", "A 23521-2023")</f>
        <v/>
      </c>
      <c r="W129">
        <f>HYPERLINK("https://klasma.github.io/Logging_2260/klagomålsmail/A 23521-2023 FSC-klagomål mail.docx", "A 23521-2023")</f>
        <v/>
      </c>
      <c r="X129">
        <f>HYPERLINK("https://klasma.github.io/Logging_2260/tillsyn/A 23521-2023 tillsynsbegäran.docx", "A 23521-2023")</f>
        <v/>
      </c>
      <c r="Y129">
        <f>HYPERLINK("https://klasma.github.io/Logging_2260/tillsynsmail/A 23521-2023 tillsynsbegäran mail.docx", "A 23521-2023")</f>
        <v/>
      </c>
    </row>
    <row r="130" ht="15" customHeight="1">
      <c r="A130" t="inlineStr">
        <is>
          <t>A 29325-2023</t>
        </is>
      </c>
      <c r="B130" s="1" t="n">
        <v>45105</v>
      </c>
      <c r="C130" s="1" t="n">
        <v>45258</v>
      </c>
      <c r="D130" t="inlineStr">
        <is>
          <t>VÄSTERNORRLANDS LÄN</t>
        </is>
      </c>
      <c r="E130" t="inlineStr">
        <is>
          <t>ÅNGE</t>
        </is>
      </c>
      <c r="G130" t="n">
        <v>12.4</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HYPERLINK("https://klasma.github.io/Logging_2260/artfynd/A 29325-2023 artfynd.xlsx", "A 29325-2023")</f>
        <v/>
      </c>
      <c r="T130">
        <f>HYPERLINK("https://klasma.github.io/Logging_2260/kartor/A 29325-2023 karta.png", "A 29325-2023")</f>
        <v/>
      </c>
      <c r="V130">
        <f>HYPERLINK("https://klasma.github.io/Logging_2260/klagomål/A 29325-2023 FSC-klagomål.docx", "A 29325-2023")</f>
        <v/>
      </c>
      <c r="W130">
        <f>HYPERLINK("https://klasma.github.io/Logging_2260/klagomålsmail/A 29325-2023 FSC-klagomål mail.docx", "A 29325-2023")</f>
        <v/>
      </c>
      <c r="X130">
        <f>HYPERLINK("https://klasma.github.io/Logging_2260/tillsyn/A 29325-2023 tillsynsbegäran.docx", "A 29325-2023")</f>
        <v/>
      </c>
      <c r="Y130">
        <f>HYPERLINK("https://klasma.github.io/Logging_2260/tillsynsmail/A 29325-2023 tillsynsbegäran mail.docx", "A 29325-2023")</f>
        <v/>
      </c>
    </row>
    <row r="131" ht="15" customHeight="1">
      <c r="A131" t="inlineStr">
        <is>
          <t>A 32494-2023</t>
        </is>
      </c>
      <c r="B131" s="1" t="n">
        <v>45121</v>
      </c>
      <c r="C131" s="1" t="n">
        <v>45258</v>
      </c>
      <c r="D131" t="inlineStr">
        <is>
          <t>VÄSTERNORRLANDS LÄN</t>
        </is>
      </c>
      <c r="E131" t="inlineStr">
        <is>
          <t>ÅNGE</t>
        </is>
      </c>
      <c r="F131" t="inlineStr">
        <is>
          <t>Sveaskog</t>
        </is>
      </c>
      <c r="G131" t="n">
        <v>4.4</v>
      </c>
      <c r="H131" t="n">
        <v>0</v>
      </c>
      <c r="I131" t="n">
        <v>0</v>
      </c>
      <c r="J131" t="n">
        <v>2</v>
      </c>
      <c r="K131" t="n">
        <v>0</v>
      </c>
      <c r="L131" t="n">
        <v>0</v>
      </c>
      <c r="M131" t="n">
        <v>0</v>
      </c>
      <c r="N131" t="n">
        <v>0</v>
      </c>
      <c r="O131" t="n">
        <v>2</v>
      </c>
      <c r="P131" t="n">
        <v>0</v>
      </c>
      <c r="Q131" t="n">
        <v>2</v>
      </c>
      <c r="R131" s="2" t="inlineStr">
        <is>
          <t>Garnlav
Lunglav</t>
        </is>
      </c>
      <c r="S131">
        <f>HYPERLINK("https://klasma.github.io/Logging_2260/artfynd/A 32494-2023 artfynd.xlsx", "A 32494-2023")</f>
        <v/>
      </c>
      <c r="T131">
        <f>HYPERLINK("https://klasma.github.io/Logging_2260/kartor/A 32494-2023 karta.png", "A 32494-2023")</f>
        <v/>
      </c>
      <c r="V131">
        <f>HYPERLINK("https://klasma.github.io/Logging_2260/klagomål/A 32494-2023 FSC-klagomål.docx", "A 32494-2023")</f>
        <v/>
      </c>
      <c r="W131">
        <f>HYPERLINK("https://klasma.github.io/Logging_2260/klagomålsmail/A 32494-2023 FSC-klagomål mail.docx", "A 32494-2023")</f>
        <v/>
      </c>
      <c r="X131">
        <f>HYPERLINK("https://klasma.github.io/Logging_2260/tillsyn/A 32494-2023 tillsynsbegäran.docx", "A 32494-2023")</f>
        <v/>
      </c>
      <c r="Y131">
        <f>HYPERLINK("https://klasma.github.io/Logging_2260/tillsynsmail/A 32494-2023 tillsynsbegäran mail.docx", "A 32494-2023")</f>
        <v/>
      </c>
    </row>
    <row r="132" ht="15" customHeight="1">
      <c r="A132" t="inlineStr">
        <is>
          <t>A 32559-2023</t>
        </is>
      </c>
      <c r="B132" s="1" t="n">
        <v>45121</v>
      </c>
      <c r="C132" s="1" t="n">
        <v>45258</v>
      </c>
      <c r="D132" t="inlineStr">
        <is>
          <t>VÄSTERNORRLANDS LÄN</t>
        </is>
      </c>
      <c r="E132" t="inlineStr">
        <is>
          <t>ÅNGE</t>
        </is>
      </c>
      <c r="F132" t="inlineStr">
        <is>
          <t>Kyrkan</t>
        </is>
      </c>
      <c r="G132" t="n">
        <v>88.90000000000001</v>
      </c>
      <c r="H132" t="n">
        <v>2</v>
      </c>
      <c r="I132" t="n">
        <v>1</v>
      </c>
      <c r="J132" t="n">
        <v>0</v>
      </c>
      <c r="K132" t="n">
        <v>0</v>
      </c>
      <c r="L132" t="n">
        <v>0</v>
      </c>
      <c r="M132" t="n">
        <v>0</v>
      </c>
      <c r="N132" t="n">
        <v>0</v>
      </c>
      <c r="O132" t="n">
        <v>0</v>
      </c>
      <c r="P132" t="n">
        <v>0</v>
      </c>
      <c r="Q132" t="n">
        <v>2</v>
      </c>
      <c r="R132" s="2" t="inlineStr">
        <is>
          <t>Korallrot
Fläcknycklar</t>
        </is>
      </c>
      <c r="S132">
        <f>HYPERLINK("https://klasma.github.io/Logging_2260/artfynd/A 32559-2023 artfynd.xlsx", "A 32559-2023")</f>
        <v/>
      </c>
      <c r="T132">
        <f>HYPERLINK("https://klasma.github.io/Logging_2260/kartor/A 32559-2023 karta.png", "A 32559-2023")</f>
        <v/>
      </c>
      <c r="V132">
        <f>HYPERLINK("https://klasma.github.io/Logging_2260/klagomål/A 32559-2023 FSC-klagomål.docx", "A 32559-2023")</f>
        <v/>
      </c>
      <c r="W132">
        <f>HYPERLINK("https://klasma.github.io/Logging_2260/klagomålsmail/A 32559-2023 FSC-klagomål mail.docx", "A 32559-2023")</f>
        <v/>
      </c>
      <c r="X132">
        <f>HYPERLINK("https://klasma.github.io/Logging_2260/tillsyn/A 32559-2023 tillsynsbegäran.docx", "A 32559-2023")</f>
        <v/>
      </c>
      <c r="Y132">
        <f>HYPERLINK("https://klasma.github.io/Logging_2260/tillsynsmail/A 32559-2023 tillsynsbegäran mail.docx", "A 32559-2023")</f>
        <v/>
      </c>
    </row>
    <row r="133" ht="15" customHeight="1">
      <c r="A133" t="inlineStr">
        <is>
          <t>A 46734-2023</t>
        </is>
      </c>
      <c r="B133" s="1" t="n">
        <v>45198</v>
      </c>
      <c r="C133" s="1" t="n">
        <v>45258</v>
      </c>
      <c r="D133" t="inlineStr">
        <is>
          <t>VÄSTERNORRLANDS LÄN</t>
        </is>
      </c>
      <c r="E133" t="inlineStr">
        <is>
          <t>ÅNGE</t>
        </is>
      </c>
      <c r="F133" t="inlineStr">
        <is>
          <t>Holmen skog AB</t>
        </is>
      </c>
      <c r="G133" t="n">
        <v>9.300000000000001</v>
      </c>
      <c r="H133" t="n">
        <v>0</v>
      </c>
      <c r="I133" t="n">
        <v>1</v>
      </c>
      <c r="J133" t="n">
        <v>1</v>
      </c>
      <c r="K133" t="n">
        <v>0</v>
      </c>
      <c r="L133" t="n">
        <v>0</v>
      </c>
      <c r="M133" t="n">
        <v>0</v>
      </c>
      <c r="N133" t="n">
        <v>0</v>
      </c>
      <c r="O133" t="n">
        <v>1</v>
      </c>
      <c r="P133" t="n">
        <v>0</v>
      </c>
      <c r="Q133" t="n">
        <v>2</v>
      </c>
      <c r="R133" s="2" t="inlineStr">
        <is>
          <t>Lunglav
Stor aspticka</t>
        </is>
      </c>
      <c r="S133">
        <f>HYPERLINK("https://klasma.github.io/Logging_2260/artfynd/A 46734-2023 artfynd.xlsx", "A 46734-2023")</f>
        <v/>
      </c>
      <c r="T133">
        <f>HYPERLINK("https://klasma.github.io/Logging_2260/kartor/A 46734-2023 karta.png", "A 46734-2023")</f>
        <v/>
      </c>
      <c r="V133">
        <f>HYPERLINK("https://klasma.github.io/Logging_2260/klagomål/A 46734-2023 FSC-klagomål.docx", "A 46734-2023")</f>
        <v/>
      </c>
      <c r="W133">
        <f>HYPERLINK("https://klasma.github.io/Logging_2260/klagomålsmail/A 46734-2023 FSC-klagomål mail.docx", "A 46734-2023")</f>
        <v/>
      </c>
      <c r="X133">
        <f>HYPERLINK("https://klasma.github.io/Logging_2260/tillsyn/A 46734-2023 tillsynsbegäran.docx", "A 46734-2023")</f>
        <v/>
      </c>
      <c r="Y133">
        <f>HYPERLINK("https://klasma.github.io/Logging_2260/tillsynsmail/A 46734-2023 tillsynsbegäran mail.docx", "A 46734-2023")</f>
        <v/>
      </c>
    </row>
    <row r="134" ht="15" customHeight="1">
      <c r="A134" t="inlineStr">
        <is>
          <t>A 54688-2023</t>
        </is>
      </c>
      <c r="B134" s="1" t="n">
        <v>45235</v>
      </c>
      <c r="C134" s="1" t="n">
        <v>45258</v>
      </c>
      <c r="D134" t="inlineStr">
        <is>
          <t>VÄSTERNORRLANDS LÄN</t>
        </is>
      </c>
      <c r="E134" t="inlineStr">
        <is>
          <t>ÅNGE</t>
        </is>
      </c>
      <c r="F134" t="inlineStr">
        <is>
          <t>SCA</t>
        </is>
      </c>
      <c r="G134" t="n">
        <v>1.3</v>
      </c>
      <c r="H134" t="n">
        <v>0</v>
      </c>
      <c r="I134" t="n">
        <v>0</v>
      </c>
      <c r="J134" t="n">
        <v>2</v>
      </c>
      <c r="K134" t="n">
        <v>0</v>
      </c>
      <c r="L134" t="n">
        <v>0</v>
      </c>
      <c r="M134" t="n">
        <v>0</v>
      </c>
      <c r="N134" t="n">
        <v>0</v>
      </c>
      <c r="O134" t="n">
        <v>2</v>
      </c>
      <c r="P134" t="n">
        <v>0</v>
      </c>
      <c r="Q134" t="n">
        <v>2</v>
      </c>
      <c r="R134" s="2" t="inlineStr">
        <is>
          <t>Lunglav
Skrovellav</t>
        </is>
      </c>
      <c r="S134">
        <f>HYPERLINK("https://klasma.github.io/Logging_2260/artfynd/A 54688-2023 artfynd.xlsx", "A 54688-2023")</f>
        <v/>
      </c>
      <c r="T134">
        <f>HYPERLINK("https://klasma.github.io/Logging_2260/kartor/A 54688-2023 karta.png", "A 54688-2023")</f>
        <v/>
      </c>
      <c r="V134">
        <f>HYPERLINK("https://klasma.github.io/Logging_2260/klagomål/A 54688-2023 FSC-klagomål.docx", "A 54688-2023")</f>
        <v/>
      </c>
      <c r="W134">
        <f>HYPERLINK("https://klasma.github.io/Logging_2260/klagomålsmail/A 54688-2023 FSC-klagomål mail.docx", "A 54688-2023")</f>
        <v/>
      </c>
      <c r="X134">
        <f>HYPERLINK("https://klasma.github.io/Logging_2260/tillsyn/A 54688-2023 tillsynsbegäran.docx", "A 54688-2023")</f>
        <v/>
      </c>
      <c r="Y134">
        <f>HYPERLINK("https://klasma.github.io/Logging_2260/tillsynsmail/A 54688-2023 tillsynsbegäran mail.docx", "A 54688-2023")</f>
        <v/>
      </c>
    </row>
    <row r="135" ht="15" customHeight="1">
      <c r="A135" t="inlineStr">
        <is>
          <t>A 58559-2018</t>
        </is>
      </c>
      <c r="B135" s="1" t="n">
        <v>43409</v>
      </c>
      <c r="C135" s="1" t="n">
        <v>45258</v>
      </c>
      <c r="D135" t="inlineStr">
        <is>
          <t>VÄSTERNORRLANDS LÄN</t>
        </is>
      </c>
      <c r="E135" t="inlineStr">
        <is>
          <t>ÅNGE</t>
        </is>
      </c>
      <c r="F135" t="inlineStr">
        <is>
          <t>SCA</t>
        </is>
      </c>
      <c r="G135" t="n">
        <v>5.2</v>
      </c>
      <c r="H135" t="n">
        <v>0</v>
      </c>
      <c r="I135" t="n">
        <v>0</v>
      </c>
      <c r="J135" t="n">
        <v>1</v>
      </c>
      <c r="K135" t="n">
        <v>0</v>
      </c>
      <c r="L135" t="n">
        <v>0</v>
      </c>
      <c r="M135" t="n">
        <v>0</v>
      </c>
      <c r="N135" t="n">
        <v>0</v>
      </c>
      <c r="O135" t="n">
        <v>1</v>
      </c>
      <c r="P135" t="n">
        <v>0</v>
      </c>
      <c r="Q135" t="n">
        <v>1</v>
      </c>
      <c r="R135" s="2" t="inlineStr">
        <is>
          <t>Småflikig brosklav</t>
        </is>
      </c>
      <c r="S135">
        <f>HYPERLINK("https://klasma.github.io/Logging_2260/artfynd/A 58559-2018 artfynd.xlsx", "A 58559-2018")</f>
        <v/>
      </c>
      <c r="T135">
        <f>HYPERLINK("https://klasma.github.io/Logging_2260/kartor/A 58559-2018 karta.png", "A 58559-2018")</f>
        <v/>
      </c>
      <c r="V135">
        <f>HYPERLINK("https://klasma.github.io/Logging_2260/klagomål/A 58559-2018 FSC-klagomål.docx", "A 58559-2018")</f>
        <v/>
      </c>
      <c r="W135">
        <f>HYPERLINK("https://klasma.github.io/Logging_2260/klagomålsmail/A 58559-2018 FSC-klagomål mail.docx", "A 58559-2018")</f>
        <v/>
      </c>
      <c r="X135">
        <f>HYPERLINK("https://klasma.github.io/Logging_2260/tillsyn/A 58559-2018 tillsynsbegäran.docx", "A 58559-2018")</f>
        <v/>
      </c>
      <c r="Y135">
        <f>HYPERLINK("https://klasma.github.io/Logging_2260/tillsynsmail/A 58559-2018 tillsynsbegäran mail.docx", "A 58559-2018")</f>
        <v/>
      </c>
    </row>
    <row r="136" ht="15" customHeight="1">
      <c r="A136" t="inlineStr">
        <is>
          <t>A 4951-2019</t>
        </is>
      </c>
      <c r="B136" s="1" t="n">
        <v>43479</v>
      </c>
      <c r="C136" s="1" t="n">
        <v>45258</v>
      </c>
      <c r="D136" t="inlineStr">
        <is>
          <t>VÄSTERNORRLANDS LÄN</t>
        </is>
      </c>
      <c r="E136" t="inlineStr">
        <is>
          <t>ÅNGE</t>
        </is>
      </c>
      <c r="F136" t="inlineStr">
        <is>
          <t>SCA</t>
        </is>
      </c>
      <c r="G136" t="n">
        <v>12.3</v>
      </c>
      <c r="H136" t="n">
        <v>1</v>
      </c>
      <c r="I136" t="n">
        <v>0</v>
      </c>
      <c r="J136" t="n">
        <v>1</v>
      </c>
      <c r="K136" t="n">
        <v>0</v>
      </c>
      <c r="L136" t="n">
        <v>0</v>
      </c>
      <c r="M136" t="n">
        <v>0</v>
      </c>
      <c r="N136" t="n">
        <v>0</v>
      </c>
      <c r="O136" t="n">
        <v>1</v>
      </c>
      <c r="P136" t="n">
        <v>0</v>
      </c>
      <c r="Q136" t="n">
        <v>1</v>
      </c>
      <c r="R136" s="2" t="inlineStr">
        <is>
          <t>Varglav</t>
        </is>
      </c>
      <c r="S136">
        <f>HYPERLINK("https://klasma.github.io/Logging_2260/artfynd/A 4951-2019 artfynd.xlsx", "A 4951-2019")</f>
        <v/>
      </c>
      <c r="T136">
        <f>HYPERLINK("https://klasma.github.io/Logging_2260/kartor/A 4951-2019 karta.png", "A 4951-2019")</f>
        <v/>
      </c>
      <c r="V136">
        <f>HYPERLINK("https://klasma.github.io/Logging_2260/klagomål/A 4951-2019 FSC-klagomål.docx", "A 4951-2019")</f>
        <v/>
      </c>
      <c r="W136">
        <f>HYPERLINK("https://klasma.github.io/Logging_2260/klagomålsmail/A 4951-2019 FSC-klagomål mail.docx", "A 4951-2019")</f>
        <v/>
      </c>
      <c r="X136">
        <f>HYPERLINK("https://klasma.github.io/Logging_2260/tillsyn/A 4951-2019 tillsynsbegäran.docx", "A 4951-2019")</f>
        <v/>
      </c>
      <c r="Y136">
        <f>HYPERLINK("https://klasma.github.io/Logging_2260/tillsynsmail/A 4951-2019 tillsynsbegäran mail.docx", "A 4951-2019")</f>
        <v/>
      </c>
    </row>
    <row r="137" ht="15" customHeight="1">
      <c r="A137" t="inlineStr">
        <is>
          <t>A 16864-2019</t>
        </is>
      </c>
      <c r="B137" s="1" t="n">
        <v>43549</v>
      </c>
      <c r="C137" s="1" t="n">
        <v>45258</v>
      </c>
      <c r="D137" t="inlineStr">
        <is>
          <t>VÄSTERNORRLANDS LÄN</t>
        </is>
      </c>
      <c r="E137" t="inlineStr">
        <is>
          <t>ÅNGE</t>
        </is>
      </c>
      <c r="F137" t="inlineStr">
        <is>
          <t>SCA</t>
        </is>
      </c>
      <c r="G137" t="n">
        <v>4.2</v>
      </c>
      <c r="H137" t="n">
        <v>0</v>
      </c>
      <c r="I137" t="n">
        <v>1</v>
      </c>
      <c r="J137" t="n">
        <v>0</v>
      </c>
      <c r="K137" t="n">
        <v>0</v>
      </c>
      <c r="L137" t="n">
        <v>0</v>
      </c>
      <c r="M137" t="n">
        <v>0</v>
      </c>
      <c r="N137" t="n">
        <v>0</v>
      </c>
      <c r="O137" t="n">
        <v>0</v>
      </c>
      <c r="P137" t="n">
        <v>0</v>
      </c>
      <c r="Q137" t="n">
        <v>1</v>
      </c>
      <c r="R137" s="2" t="inlineStr">
        <is>
          <t>Ögonpyrola</t>
        </is>
      </c>
      <c r="S137">
        <f>HYPERLINK("https://klasma.github.io/Logging_2260/artfynd/A 16864-2019 artfynd.xlsx", "A 16864-2019")</f>
        <v/>
      </c>
      <c r="T137">
        <f>HYPERLINK("https://klasma.github.io/Logging_2260/kartor/A 16864-2019 karta.png", "A 16864-2019")</f>
        <v/>
      </c>
      <c r="V137">
        <f>HYPERLINK("https://klasma.github.io/Logging_2260/klagomål/A 16864-2019 FSC-klagomål.docx", "A 16864-2019")</f>
        <v/>
      </c>
      <c r="W137">
        <f>HYPERLINK("https://klasma.github.io/Logging_2260/klagomålsmail/A 16864-2019 FSC-klagomål mail.docx", "A 16864-2019")</f>
        <v/>
      </c>
      <c r="X137">
        <f>HYPERLINK("https://klasma.github.io/Logging_2260/tillsyn/A 16864-2019 tillsynsbegäran.docx", "A 16864-2019")</f>
        <v/>
      </c>
      <c r="Y137">
        <f>HYPERLINK("https://klasma.github.io/Logging_2260/tillsynsmail/A 16864-2019 tillsynsbegäran mail.docx", "A 16864-2019")</f>
        <v/>
      </c>
    </row>
    <row r="138" ht="15" customHeight="1">
      <c r="A138" t="inlineStr">
        <is>
          <t>A 6564-2020</t>
        </is>
      </c>
      <c r="B138" s="1" t="n">
        <v>43867</v>
      </c>
      <c r="C138" s="1" t="n">
        <v>45258</v>
      </c>
      <c r="D138" t="inlineStr">
        <is>
          <t>VÄSTERNORRLANDS LÄN</t>
        </is>
      </c>
      <c r="E138" t="inlineStr">
        <is>
          <t>ÅNGE</t>
        </is>
      </c>
      <c r="G138" t="n">
        <v>4.2</v>
      </c>
      <c r="H138" t="n">
        <v>1</v>
      </c>
      <c r="I138" t="n">
        <v>0</v>
      </c>
      <c r="J138" t="n">
        <v>0</v>
      </c>
      <c r="K138" t="n">
        <v>0</v>
      </c>
      <c r="L138" t="n">
        <v>0</v>
      </c>
      <c r="M138" t="n">
        <v>0</v>
      </c>
      <c r="N138" t="n">
        <v>0</v>
      </c>
      <c r="O138" t="n">
        <v>0</v>
      </c>
      <c r="P138" t="n">
        <v>0</v>
      </c>
      <c r="Q138" t="n">
        <v>1</v>
      </c>
      <c r="R138" s="2" t="inlineStr">
        <is>
          <t>Huggorm</t>
        </is>
      </c>
      <c r="S138">
        <f>HYPERLINK("https://klasma.github.io/Logging_2260/artfynd/A 6564-2020 artfynd.xlsx", "A 6564-2020")</f>
        <v/>
      </c>
      <c r="T138">
        <f>HYPERLINK("https://klasma.github.io/Logging_2260/kartor/A 6564-2020 karta.png", "A 6564-2020")</f>
        <v/>
      </c>
      <c r="V138">
        <f>HYPERLINK("https://klasma.github.io/Logging_2260/klagomål/A 6564-2020 FSC-klagomål.docx", "A 6564-2020")</f>
        <v/>
      </c>
      <c r="W138">
        <f>HYPERLINK("https://klasma.github.io/Logging_2260/klagomålsmail/A 6564-2020 FSC-klagomål mail.docx", "A 6564-2020")</f>
        <v/>
      </c>
      <c r="X138">
        <f>HYPERLINK("https://klasma.github.io/Logging_2260/tillsyn/A 6564-2020 tillsynsbegäran.docx", "A 6564-2020")</f>
        <v/>
      </c>
      <c r="Y138">
        <f>HYPERLINK("https://klasma.github.io/Logging_2260/tillsynsmail/A 6564-2020 tillsynsbegäran mail.docx", "A 6564-2020")</f>
        <v/>
      </c>
    </row>
    <row r="139" ht="15" customHeight="1">
      <c r="A139" t="inlineStr">
        <is>
          <t>A 19275-2020</t>
        </is>
      </c>
      <c r="B139" s="1" t="n">
        <v>43937</v>
      </c>
      <c r="C139" s="1" t="n">
        <v>45258</v>
      </c>
      <c r="D139" t="inlineStr">
        <is>
          <t>VÄSTERNORRLANDS LÄN</t>
        </is>
      </c>
      <c r="E139" t="inlineStr">
        <is>
          <t>ÅNGE</t>
        </is>
      </c>
      <c r="G139" t="n">
        <v>1.8</v>
      </c>
      <c r="H139" t="n">
        <v>1</v>
      </c>
      <c r="I139" t="n">
        <v>0</v>
      </c>
      <c r="J139" t="n">
        <v>0</v>
      </c>
      <c r="K139" t="n">
        <v>0</v>
      </c>
      <c r="L139" t="n">
        <v>0</v>
      </c>
      <c r="M139" t="n">
        <v>0</v>
      </c>
      <c r="N139" t="n">
        <v>0</v>
      </c>
      <c r="O139" t="n">
        <v>0</v>
      </c>
      <c r="P139" t="n">
        <v>0</v>
      </c>
      <c r="Q139" t="n">
        <v>1</v>
      </c>
      <c r="R139" s="2" t="inlineStr">
        <is>
          <t>Käppkrokmossa</t>
        </is>
      </c>
      <c r="S139">
        <f>HYPERLINK("https://klasma.github.io/Logging_2260/artfynd/A 19275-2020 artfynd.xlsx", "A 19275-2020")</f>
        <v/>
      </c>
      <c r="T139">
        <f>HYPERLINK("https://klasma.github.io/Logging_2260/kartor/A 19275-2020 karta.png", "A 19275-2020")</f>
        <v/>
      </c>
      <c r="V139">
        <f>HYPERLINK("https://klasma.github.io/Logging_2260/klagomål/A 19275-2020 FSC-klagomål.docx", "A 19275-2020")</f>
        <v/>
      </c>
      <c r="W139">
        <f>HYPERLINK("https://klasma.github.io/Logging_2260/klagomålsmail/A 19275-2020 FSC-klagomål mail.docx", "A 19275-2020")</f>
        <v/>
      </c>
      <c r="X139">
        <f>HYPERLINK("https://klasma.github.io/Logging_2260/tillsyn/A 19275-2020 tillsynsbegäran.docx", "A 19275-2020")</f>
        <v/>
      </c>
      <c r="Y139">
        <f>HYPERLINK("https://klasma.github.io/Logging_2260/tillsynsmail/A 19275-2020 tillsynsbegäran mail.docx", "A 19275-2020")</f>
        <v/>
      </c>
    </row>
    <row r="140" ht="15" customHeight="1">
      <c r="A140" t="inlineStr">
        <is>
          <t>A 22692-2020</t>
        </is>
      </c>
      <c r="B140" s="1" t="n">
        <v>43963</v>
      </c>
      <c r="C140" s="1" t="n">
        <v>45258</v>
      </c>
      <c r="D140" t="inlineStr">
        <is>
          <t>VÄSTERNORRLANDS LÄN</t>
        </is>
      </c>
      <c r="E140" t="inlineStr">
        <is>
          <t>ÅNGE</t>
        </is>
      </c>
      <c r="F140" t="inlineStr">
        <is>
          <t>SCA</t>
        </is>
      </c>
      <c r="G140" t="n">
        <v>5.4</v>
      </c>
      <c r="H140" t="n">
        <v>0</v>
      </c>
      <c r="I140" t="n">
        <v>0</v>
      </c>
      <c r="J140" t="n">
        <v>1</v>
      </c>
      <c r="K140" t="n">
        <v>0</v>
      </c>
      <c r="L140" t="n">
        <v>0</v>
      </c>
      <c r="M140" t="n">
        <v>0</v>
      </c>
      <c r="N140" t="n">
        <v>0</v>
      </c>
      <c r="O140" t="n">
        <v>1</v>
      </c>
      <c r="P140" t="n">
        <v>0</v>
      </c>
      <c r="Q140" t="n">
        <v>1</v>
      </c>
      <c r="R140" s="2" t="inlineStr">
        <is>
          <t>Orange taggsvamp</t>
        </is>
      </c>
      <c r="S140">
        <f>HYPERLINK("https://klasma.github.io/Logging_2260/artfynd/A 22692-2020 artfynd.xlsx", "A 22692-2020")</f>
        <v/>
      </c>
      <c r="T140">
        <f>HYPERLINK("https://klasma.github.io/Logging_2260/kartor/A 22692-2020 karta.png", "A 22692-2020")</f>
        <v/>
      </c>
      <c r="V140">
        <f>HYPERLINK("https://klasma.github.io/Logging_2260/klagomål/A 22692-2020 FSC-klagomål.docx", "A 22692-2020")</f>
        <v/>
      </c>
      <c r="W140">
        <f>HYPERLINK("https://klasma.github.io/Logging_2260/klagomålsmail/A 22692-2020 FSC-klagomål mail.docx", "A 22692-2020")</f>
        <v/>
      </c>
      <c r="X140">
        <f>HYPERLINK("https://klasma.github.io/Logging_2260/tillsyn/A 22692-2020 tillsynsbegäran.docx", "A 22692-2020")</f>
        <v/>
      </c>
      <c r="Y140">
        <f>HYPERLINK("https://klasma.github.io/Logging_2260/tillsynsmail/A 22692-2020 tillsynsbegäran mail.docx", "A 22692-2020")</f>
        <v/>
      </c>
    </row>
    <row r="141" ht="15" customHeight="1">
      <c r="A141" t="inlineStr">
        <is>
          <t>A 32755-2020</t>
        </is>
      </c>
      <c r="B141" s="1" t="n">
        <v>44019</v>
      </c>
      <c r="C141" s="1" t="n">
        <v>45258</v>
      </c>
      <c r="D141" t="inlineStr">
        <is>
          <t>VÄSTERNORRLANDS LÄN</t>
        </is>
      </c>
      <c r="E141" t="inlineStr">
        <is>
          <t>ÅNGE</t>
        </is>
      </c>
      <c r="F141" t="inlineStr">
        <is>
          <t>SCA</t>
        </is>
      </c>
      <c r="G141" t="n">
        <v>6.1</v>
      </c>
      <c r="H141" t="n">
        <v>0</v>
      </c>
      <c r="I141" t="n">
        <v>0</v>
      </c>
      <c r="J141" t="n">
        <v>1</v>
      </c>
      <c r="K141" t="n">
        <v>0</v>
      </c>
      <c r="L141" t="n">
        <v>0</v>
      </c>
      <c r="M141" t="n">
        <v>0</v>
      </c>
      <c r="N141" t="n">
        <v>0</v>
      </c>
      <c r="O141" t="n">
        <v>1</v>
      </c>
      <c r="P141" t="n">
        <v>0</v>
      </c>
      <c r="Q141" t="n">
        <v>1</v>
      </c>
      <c r="R141" s="2" t="inlineStr">
        <is>
          <t>Ullticka</t>
        </is>
      </c>
      <c r="S141">
        <f>HYPERLINK("https://klasma.github.io/Logging_2260/artfynd/A 32755-2020 artfynd.xlsx", "A 32755-2020")</f>
        <v/>
      </c>
      <c r="T141">
        <f>HYPERLINK("https://klasma.github.io/Logging_2260/kartor/A 32755-2020 karta.png", "A 32755-2020")</f>
        <v/>
      </c>
      <c r="V141">
        <f>HYPERLINK("https://klasma.github.io/Logging_2260/klagomål/A 32755-2020 FSC-klagomål.docx", "A 32755-2020")</f>
        <v/>
      </c>
      <c r="W141">
        <f>HYPERLINK("https://klasma.github.io/Logging_2260/klagomålsmail/A 32755-2020 FSC-klagomål mail.docx", "A 32755-2020")</f>
        <v/>
      </c>
      <c r="X141">
        <f>HYPERLINK("https://klasma.github.io/Logging_2260/tillsyn/A 32755-2020 tillsynsbegäran.docx", "A 32755-2020")</f>
        <v/>
      </c>
      <c r="Y141">
        <f>HYPERLINK("https://klasma.github.io/Logging_2260/tillsynsmail/A 32755-2020 tillsynsbegäran mail.docx", "A 32755-2020")</f>
        <v/>
      </c>
    </row>
    <row r="142" ht="15" customHeight="1">
      <c r="A142" t="inlineStr">
        <is>
          <t>A 40416-2020</t>
        </is>
      </c>
      <c r="B142" s="1" t="n">
        <v>44068</v>
      </c>
      <c r="C142" s="1" t="n">
        <v>45258</v>
      </c>
      <c r="D142" t="inlineStr">
        <is>
          <t>VÄSTERNORRLANDS LÄN</t>
        </is>
      </c>
      <c r="E142" t="inlineStr">
        <is>
          <t>ÅNGE</t>
        </is>
      </c>
      <c r="F142" t="inlineStr">
        <is>
          <t>SCA</t>
        </is>
      </c>
      <c r="G142" t="n">
        <v>7.7</v>
      </c>
      <c r="H142" t="n">
        <v>1</v>
      </c>
      <c r="I142" t="n">
        <v>0</v>
      </c>
      <c r="J142" t="n">
        <v>0</v>
      </c>
      <c r="K142" t="n">
        <v>1</v>
      </c>
      <c r="L142" t="n">
        <v>0</v>
      </c>
      <c r="M142" t="n">
        <v>0</v>
      </c>
      <c r="N142" t="n">
        <v>0</v>
      </c>
      <c r="O142" t="n">
        <v>1</v>
      </c>
      <c r="P142" t="n">
        <v>1</v>
      </c>
      <c r="Q142" t="n">
        <v>1</v>
      </c>
      <c r="R142" s="2" t="inlineStr">
        <is>
          <t>Knärot</t>
        </is>
      </c>
      <c r="S142">
        <f>HYPERLINK("https://klasma.github.io/Logging_2260/artfynd/A 40416-2020 artfynd.xlsx", "A 40416-2020")</f>
        <v/>
      </c>
      <c r="T142">
        <f>HYPERLINK("https://klasma.github.io/Logging_2260/kartor/A 40416-2020 karta.png", "A 40416-2020")</f>
        <v/>
      </c>
      <c r="U142">
        <f>HYPERLINK("https://klasma.github.io/Logging_2260/knärot/A 40416-2020 karta knärot.png", "A 40416-2020")</f>
        <v/>
      </c>
      <c r="V142">
        <f>HYPERLINK("https://klasma.github.io/Logging_2260/klagomål/A 40416-2020 FSC-klagomål.docx", "A 40416-2020")</f>
        <v/>
      </c>
      <c r="W142">
        <f>HYPERLINK("https://klasma.github.io/Logging_2260/klagomålsmail/A 40416-2020 FSC-klagomål mail.docx", "A 40416-2020")</f>
        <v/>
      </c>
      <c r="X142">
        <f>HYPERLINK("https://klasma.github.io/Logging_2260/tillsyn/A 40416-2020 tillsynsbegäran.docx", "A 40416-2020")</f>
        <v/>
      </c>
      <c r="Y142">
        <f>HYPERLINK("https://klasma.github.io/Logging_2260/tillsynsmail/A 40416-2020 tillsynsbegäran mail.docx", "A 40416-2020")</f>
        <v/>
      </c>
    </row>
    <row r="143" ht="15" customHeight="1">
      <c r="A143" t="inlineStr">
        <is>
          <t>A 63983-2020</t>
        </is>
      </c>
      <c r="B143" s="1" t="n">
        <v>44167</v>
      </c>
      <c r="C143" s="1" t="n">
        <v>45258</v>
      </c>
      <c r="D143" t="inlineStr">
        <is>
          <t>VÄSTERNORRLANDS LÄN</t>
        </is>
      </c>
      <c r="E143" t="inlineStr">
        <is>
          <t>ÅNGE</t>
        </is>
      </c>
      <c r="F143" t="inlineStr">
        <is>
          <t>Kommuner</t>
        </is>
      </c>
      <c r="G143" t="n">
        <v>27.1</v>
      </c>
      <c r="H143" t="n">
        <v>1</v>
      </c>
      <c r="I143" t="n">
        <v>0</v>
      </c>
      <c r="J143" t="n">
        <v>0</v>
      </c>
      <c r="K143" t="n">
        <v>1</v>
      </c>
      <c r="L143" t="n">
        <v>0</v>
      </c>
      <c r="M143" t="n">
        <v>0</v>
      </c>
      <c r="N143" t="n">
        <v>0</v>
      </c>
      <c r="O143" t="n">
        <v>1</v>
      </c>
      <c r="P143" t="n">
        <v>1</v>
      </c>
      <c r="Q143" t="n">
        <v>1</v>
      </c>
      <c r="R143" s="2" t="inlineStr">
        <is>
          <t>Knärot</t>
        </is>
      </c>
      <c r="S143">
        <f>HYPERLINK("https://klasma.github.io/Logging_2260/artfynd/A 63983-2020 artfynd.xlsx", "A 63983-2020")</f>
        <v/>
      </c>
      <c r="T143">
        <f>HYPERLINK("https://klasma.github.io/Logging_2260/kartor/A 63983-2020 karta.png", "A 63983-2020")</f>
        <v/>
      </c>
      <c r="U143">
        <f>HYPERLINK("https://klasma.github.io/Logging_2260/knärot/A 63983-2020 karta knärot.png", "A 63983-2020")</f>
        <v/>
      </c>
      <c r="V143">
        <f>HYPERLINK("https://klasma.github.io/Logging_2260/klagomål/A 63983-2020 FSC-klagomål.docx", "A 63983-2020")</f>
        <v/>
      </c>
      <c r="W143">
        <f>HYPERLINK("https://klasma.github.io/Logging_2260/klagomålsmail/A 63983-2020 FSC-klagomål mail.docx", "A 63983-2020")</f>
        <v/>
      </c>
      <c r="X143">
        <f>HYPERLINK("https://klasma.github.io/Logging_2260/tillsyn/A 63983-2020 tillsynsbegäran.docx", "A 63983-2020")</f>
        <v/>
      </c>
      <c r="Y143">
        <f>HYPERLINK("https://klasma.github.io/Logging_2260/tillsynsmail/A 63983-2020 tillsynsbegäran mail.docx", "A 63983-2020")</f>
        <v/>
      </c>
    </row>
    <row r="144" ht="15" customHeight="1">
      <c r="A144" t="inlineStr">
        <is>
          <t>A 5558-2021</t>
        </is>
      </c>
      <c r="B144" s="1" t="n">
        <v>44230</v>
      </c>
      <c r="C144" s="1" t="n">
        <v>45258</v>
      </c>
      <c r="D144" t="inlineStr">
        <is>
          <t>VÄSTERNORRLANDS LÄN</t>
        </is>
      </c>
      <c r="E144" t="inlineStr">
        <is>
          <t>ÅNGE</t>
        </is>
      </c>
      <c r="G144" t="n">
        <v>60.6</v>
      </c>
      <c r="H144" t="n">
        <v>0</v>
      </c>
      <c r="I144" t="n">
        <v>0</v>
      </c>
      <c r="J144" t="n">
        <v>1</v>
      </c>
      <c r="K144" t="n">
        <v>0</v>
      </c>
      <c r="L144" t="n">
        <v>0</v>
      </c>
      <c r="M144" t="n">
        <v>0</v>
      </c>
      <c r="N144" t="n">
        <v>0</v>
      </c>
      <c r="O144" t="n">
        <v>1</v>
      </c>
      <c r="P144" t="n">
        <v>0</v>
      </c>
      <c r="Q144" t="n">
        <v>1</v>
      </c>
      <c r="R144" s="2" t="inlineStr">
        <is>
          <t>Garnlav</t>
        </is>
      </c>
      <c r="S144">
        <f>HYPERLINK("https://klasma.github.io/Logging_2260/artfynd/A 5558-2021 artfynd.xlsx", "A 5558-2021")</f>
        <v/>
      </c>
      <c r="T144">
        <f>HYPERLINK("https://klasma.github.io/Logging_2260/kartor/A 5558-2021 karta.png", "A 5558-2021")</f>
        <v/>
      </c>
      <c r="V144">
        <f>HYPERLINK("https://klasma.github.io/Logging_2260/klagomål/A 5558-2021 FSC-klagomål.docx", "A 5558-2021")</f>
        <v/>
      </c>
      <c r="W144">
        <f>HYPERLINK("https://klasma.github.io/Logging_2260/klagomålsmail/A 5558-2021 FSC-klagomål mail.docx", "A 5558-2021")</f>
        <v/>
      </c>
      <c r="X144">
        <f>HYPERLINK("https://klasma.github.io/Logging_2260/tillsyn/A 5558-2021 tillsynsbegäran.docx", "A 5558-2021")</f>
        <v/>
      </c>
      <c r="Y144">
        <f>HYPERLINK("https://klasma.github.io/Logging_2260/tillsynsmail/A 5558-2021 tillsynsbegäran mail.docx", "A 5558-2021")</f>
        <v/>
      </c>
    </row>
    <row r="145" ht="15" customHeight="1">
      <c r="A145" t="inlineStr">
        <is>
          <t>A 30339-2021</t>
        </is>
      </c>
      <c r="B145" s="1" t="n">
        <v>44364</v>
      </c>
      <c r="C145" s="1" t="n">
        <v>45258</v>
      </c>
      <c r="D145" t="inlineStr">
        <is>
          <t>VÄSTERNORRLANDS LÄN</t>
        </is>
      </c>
      <c r="E145" t="inlineStr">
        <is>
          <t>ÅNGE</t>
        </is>
      </c>
      <c r="G145" t="n">
        <v>23.8</v>
      </c>
      <c r="H145" t="n">
        <v>1</v>
      </c>
      <c r="I145" t="n">
        <v>0</v>
      </c>
      <c r="J145" t="n">
        <v>0</v>
      </c>
      <c r="K145" t="n">
        <v>0</v>
      </c>
      <c r="L145" t="n">
        <v>0</v>
      </c>
      <c r="M145" t="n">
        <v>0</v>
      </c>
      <c r="N145" t="n">
        <v>0</v>
      </c>
      <c r="O145" t="n">
        <v>0</v>
      </c>
      <c r="P145" t="n">
        <v>0</v>
      </c>
      <c r="Q145" t="n">
        <v>1</v>
      </c>
      <c r="R145" s="2" t="inlineStr">
        <is>
          <t>Orre</t>
        </is>
      </c>
      <c r="S145">
        <f>HYPERLINK("https://klasma.github.io/Logging_2260/artfynd/A 30339-2021 artfynd.xlsx", "A 30339-2021")</f>
        <v/>
      </c>
      <c r="T145">
        <f>HYPERLINK("https://klasma.github.io/Logging_2260/kartor/A 30339-2021 karta.png", "A 30339-2021")</f>
        <v/>
      </c>
      <c r="V145">
        <f>HYPERLINK("https://klasma.github.io/Logging_2260/klagomål/A 30339-2021 FSC-klagomål.docx", "A 30339-2021")</f>
        <v/>
      </c>
      <c r="W145">
        <f>HYPERLINK("https://klasma.github.io/Logging_2260/klagomålsmail/A 30339-2021 FSC-klagomål mail.docx", "A 30339-2021")</f>
        <v/>
      </c>
      <c r="X145">
        <f>HYPERLINK("https://klasma.github.io/Logging_2260/tillsyn/A 30339-2021 tillsynsbegäran.docx", "A 30339-2021")</f>
        <v/>
      </c>
      <c r="Y145">
        <f>HYPERLINK("https://klasma.github.io/Logging_2260/tillsynsmail/A 30339-2021 tillsynsbegäran mail.docx", "A 30339-2021")</f>
        <v/>
      </c>
    </row>
    <row r="146" ht="15" customHeight="1">
      <c r="A146" t="inlineStr">
        <is>
          <t>A 35018-2021</t>
        </is>
      </c>
      <c r="B146" s="1" t="n">
        <v>44383</v>
      </c>
      <c r="C146" s="1" t="n">
        <v>45258</v>
      </c>
      <c r="D146" t="inlineStr">
        <is>
          <t>VÄSTERNORRLANDS LÄN</t>
        </is>
      </c>
      <c r="E146" t="inlineStr">
        <is>
          <t>ÅNGE</t>
        </is>
      </c>
      <c r="F146" t="inlineStr">
        <is>
          <t>Sveaskog</t>
        </is>
      </c>
      <c r="G146" t="n">
        <v>9.5</v>
      </c>
      <c r="H146" t="n">
        <v>1</v>
      </c>
      <c r="I146" t="n">
        <v>0</v>
      </c>
      <c r="J146" t="n">
        <v>1</v>
      </c>
      <c r="K146" t="n">
        <v>0</v>
      </c>
      <c r="L146" t="n">
        <v>0</v>
      </c>
      <c r="M146" t="n">
        <v>0</v>
      </c>
      <c r="N146" t="n">
        <v>0</v>
      </c>
      <c r="O146" t="n">
        <v>1</v>
      </c>
      <c r="P146" t="n">
        <v>0</v>
      </c>
      <c r="Q146" t="n">
        <v>1</v>
      </c>
      <c r="R146" s="2" t="inlineStr">
        <is>
          <t>Utter</t>
        </is>
      </c>
      <c r="S146">
        <f>HYPERLINK("https://klasma.github.io/Logging_2260/artfynd/A 35018-2021 artfynd.xlsx", "A 35018-2021")</f>
        <v/>
      </c>
      <c r="T146">
        <f>HYPERLINK("https://klasma.github.io/Logging_2260/kartor/A 35018-2021 karta.png", "A 35018-2021")</f>
        <v/>
      </c>
      <c r="V146">
        <f>HYPERLINK("https://klasma.github.io/Logging_2260/klagomål/A 35018-2021 FSC-klagomål.docx", "A 35018-2021")</f>
        <v/>
      </c>
      <c r="W146">
        <f>HYPERLINK("https://klasma.github.io/Logging_2260/klagomålsmail/A 35018-2021 FSC-klagomål mail.docx", "A 35018-2021")</f>
        <v/>
      </c>
      <c r="X146">
        <f>HYPERLINK("https://klasma.github.io/Logging_2260/tillsyn/A 35018-2021 tillsynsbegäran.docx", "A 35018-2021")</f>
        <v/>
      </c>
      <c r="Y146">
        <f>HYPERLINK("https://klasma.github.io/Logging_2260/tillsynsmail/A 35018-2021 tillsynsbegäran mail.docx", "A 35018-2021")</f>
        <v/>
      </c>
    </row>
    <row r="147" ht="15" customHeight="1">
      <c r="A147" t="inlineStr">
        <is>
          <t>A 41493-2021</t>
        </is>
      </c>
      <c r="B147" s="1" t="n">
        <v>44424</v>
      </c>
      <c r="C147" s="1" t="n">
        <v>45258</v>
      </c>
      <c r="D147" t="inlineStr">
        <is>
          <t>VÄSTERNORRLANDS LÄN</t>
        </is>
      </c>
      <c r="E147" t="inlineStr">
        <is>
          <t>ÅNGE</t>
        </is>
      </c>
      <c r="F147" t="inlineStr">
        <is>
          <t>SCA</t>
        </is>
      </c>
      <c r="G147" t="n">
        <v>8</v>
      </c>
      <c r="H147" t="n">
        <v>1</v>
      </c>
      <c r="I147" t="n">
        <v>0</v>
      </c>
      <c r="J147" t="n">
        <v>0</v>
      </c>
      <c r="K147" t="n">
        <v>1</v>
      </c>
      <c r="L147" t="n">
        <v>0</v>
      </c>
      <c r="M147" t="n">
        <v>0</v>
      </c>
      <c r="N147" t="n">
        <v>0</v>
      </c>
      <c r="O147" t="n">
        <v>1</v>
      </c>
      <c r="P147" t="n">
        <v>1</v>
      </c>
      <c r="Q147" t="n">
        <v>1</v>
      </c>
      <c r="R147" s="2" t="inlineStr">
        <is>
          <t>Knärot</t>
        </is>
      </c>
      <c r="S147">
        <f>HYPERLINK("https://klasma.github.io/Logging_2260/artfynd/A 41493-2021 artfynd.xlsx", "A 41493-2021")</f>
        <v/>
      </c>
      <c r="T147">
        <f>HYPERLINK("https://klasma.github.io/Logging_2260/kartor/A 41493-2021 karta.png", "A 41493-2021")</f>
        <v/>
      </c>
      <c r="U147">
        <f>HYPERLINK("https://klasma.github.io/Logging_2260/knärot/A 41493-2021 karta knärot.png", "A 41493-2021")</f>
        <v/>
      </c>
      <c r="V147">
        <f>HYPERLINK("https://klasma.github.io/Logging_2260/klagomål/A 41493-2021 FSC-klagomål.docx", "A 41493-2021")</f>
        <v/>
      </c>
      <c r="W147">
        <f>HYPERLINK("https://klasma.github.io/Logging_2260/klagomålsmail/A 41493-2021 FSC-klagomål mail.docx", "A 41493-2021")</f>
        <v/>
      </c>
      <c r="X147">
        <f>HYPERLINK("https://klasma.github.io/Logging_2260/tillsyn/A 41493-2021 tillsynsbegäran.docx", "A 41493-2021")</f>
        <v/>
      </c>
      <c r="Y147">
        <f>HYPERLINK("https://klasma.github.io/Logging_2260/tillsynsmail/A 41493-2021 tillsynsbegäran mail.docx", "A 41493-2021")</f>
        <v/>
      </c>
    </row>
    <row r="148" ht="15" customHeight="1">
      <c r="A148" t="inlineStr">
        <is>
          <t>A 45355-2021</t>
        </is>
      </c>
      <c r="B148" s="1" t="n">
        <v>44439</v>
      </c>
      <c r="C148" s="1" t="n">
        <v>45258</v>
      </c>
      <c r="D148" t="inlineStr">
        <is>
          <t>VÄSTERNORRLANDS LÄN</t>
        </is>
      </c>
      <c r="E148" t="inlineStr">
        <is>
          <t>ÅNGE</t>
        </is>
      </c>
      <c r="F148" t="inlineStr">
        <is>
          <t>SCA</t>
        </is>
      </c>
      <c r="G148" t="n">
        <v>1.7</v>
      </c>
      <c r="H148" t="n">
        <v>0</v>
      </c>
      <c r="I148" t="n">
        <v>0</v>
      </c>
      <c r="J148" t="n">
        <v>1</v>
      </c>
      <c r="K148" t="n">
        <v>0</v>
      </c>
      <c r="L148" t="n">
        <v>0</v>
      </c>
      <c r="M148" t="n">
        <v>0</v>
      </c>
      <c r="N148" t="n">
        <v>0</v>
      </c>
      <c r="O148" t="n">
        <v>1</v>
      </c>
      <c r="P148" t="n">
        <v>0</v>
      </c>
      <c r="Q148" t="n">
        <v>1</v>
      </c>
      <c r="R148" s="2" t="inlineStr">
        <is>
          <t>Stiftgelélav</t>
        </is>
      </c>
      <c r="S148">
        <f>HYPERLINK("https://klasma.github.io/Logging_2260/artfynd/A 45355-2021 artfynd.xlsx", "A 45355-2021")</f>
        <v/>
      </c>
      <c r="T148">
        <f>HYPERLINK("https://klasma.github.io/Logging_2260/kartor/A 45355-2021 karta.png", "A 45355-2021")</f>
        <v/>
      </c>
      <c r="V148">
        <f>HYPERLINK("https://klasma.github.io/Logging_2260/klagomål/A 45355-2021 FSC-klagomål.docx", "A 45355-2021")</f>
        <v/>
      </c>
      <c r="W148">
        <f>HYPERLINK("https://klasma.github.io/Logging_2260/klagomålsmail/A 45355-2021 FSC-klagomål mail.docx", "A 45355-2021")</f>
        <v/>
      </c>
      <c r="X148">
        <f>HYPERLINK("https://klasma.github.io/Logging_2260/tillsyn/A 45355-2021 tillsynsbegäran.docx", "A 45355-2021")</f>
        <v/>
      </c>
      <c r="Y148">
        <f>HYPERLINK("https://klasma.github.io/Logging_2260/tillsynsmail/A 45355-2021 tillsynsbegäran mail.docx", "A 45355-2021")</f>
        <v/>
      </c>
    </row>
    <row r="149" ht="15" customHeight="1">
      <c r="A149" t="inlineStr">
        <is>
          <t>A 54751-2021</t>
        </is>
      </c>
      <c r="B149" s="1" t="n">
        <v>44473</v>
      </c>
      <c r="C149" s="1" t="n">
        <v>45258</v>
      </c>
      <c r="D149" t="inlineStr">
        <is>
          <t>VÄSTERNORRLANDS LÄN</t>
        </is>
      </c>
      <c r="E149" t="inlineStr">
        <is>
          <t>ÅNGE</t>
        </is>
      </c>
      <c r="G149" t="n">
        <v>6.5</v>
      </c>
      <c r="H149" t="n">
        <v>0</v>
      </c>
      <c r="I149" t="n">
        <v>0</v>
      </c>
      <c r="J149" t="n">
        <v>0</v>
      </c>
      <c r="K149" t="n">
        <v>1</v>
      </c>
      <c r="L149" t="n">
        <v>0</v>
      </c>
      <c r="M149" t="n">
        <v>0</v>
      </c>
      <c r="N149" t="n">
        <v>0</v>
      </c>
      <c r="O149" t="n">
        <v>1</v>
      </c>
      <c r="P149" t="n">
        <v>1</v>
      </c>
      <c r="Q149" t="n">
        <v>1</v>
      </c>
      <c r="R149" s="2" t="inlineStr">
        <is>
          <t>Gräddporing</t>
        </is>
      </c>
      <c r="S149">
        <f>HYPERLINK("https://klasma.github.io/Logging_2260/artfynd/A 54751-2021 artfynd.xlsx", "A 54751-2021")</f>
        <v/>
      </c>
      <c r="T149">
        <f>HYPERLINK("https://klasma.github.io/Logging_2260/kartor/A 54751-2021 karta.png", "A 54751-2021")</f>
        <v/>
      </c>
      <c r="V149">
        <f>HYPERLINK("https://klasma.github.io/Logging_2260/klagomål/A 54751-2021 FSC-klagomål.docx", "A 54751-2021")</f>
        <v/>
      </c>
      <c r="W149">
        <f>HYPERLINK("https://klasma.github.io/Logging_2260/klagomålsmail/A 54751-2021 FSC-klagomål mail.docx", "A 54751-2021")</f>
        <v/>
      </c>
      <c r="X149">
        <f>HYPERLINK("https://klasma.github.io/Logging_2260/tillsyn/A 54751-2021 tillsynsbegäran.docx", "A 54751-2021")</f>
        <v/>
      </c>
      <c r="Y149">
        <f>HYPERLINK("https://klasma.github.io/Logging_2260/tillsynsmail/A 54751-2021 tillsynsbegäran mail.docx", "A 54751-2021")</f>
        <v/>
      </c>
    </row>
    <row r="150" ht="15" customHeight="1">
      <c r="A150" t="inlineStr">
        <is>
          <t>A 57562-2021</t>
        </is>
      </c>
      <c r="B150" s="1" t="n">
        <v>44483</v>
      </c>
      <c r="C150" s="1" t="n">
        <v>45258</v>
      </c>
      <c r="D150" t="inlineStr">
        <is>
          <t>VÄSTERNORRLANDS LÄN</t>
        </is>
      </c>
      <c r="E150" t="inlineStr">
        <is>
          <t>ÅNGE</t>
        </is>
      </c>
      <c r="F150" t="inlineStr">
        <is>
          <t>SCA</t>
        </is>
      </c>
      <c r="G150" t="n">
        <v>10.7</v>
      </c>
      <c r="H150" t="n">
        <v>0</v>
      </c>
      <c r="I150" t="n">
        <v>1</v>
      </c>
      <c r="J150" t="n">
        <v>0</v>
      </c>
      <c r="K150" t="n">
        <v>0</v>
      </c>
      <c r="L150" t="n">
        <v>0</v>
      </c>
      <c r="M150" t="n">
        <v>0</v>
      </c>
      <c r="N150" t="n">
        <v>0</v>
      </c>
      <c r="O150" t="n">
        <v>0</v>
      </c>
      <c r="P150" t="n">
        <v>0</v>
      </c>
      <c r="Q150" t="n">
        <v>1</v>
      </c>
      <c r="R150" s="2" t="inlineStr">
        <is>
          <t>Ögonpyrola</t>
        </is>
      </c>
      <c r="S150">
        <f>HYPERLINK("https://klasma.github.io/Logging_2260/artfynd/A 57562-2021 artfynd.xlsx", "A 57562-2021")</f>
        <v/>
      </c>
      <c r="T150">
        <f>HYPERLINK("https://klasma.github.io/Logging_2260/kartor/A 57562-2021 karta.png", "A 57562-2021")</f>
        <v/>
      </c>
      <c r="V150">
        <f>HYPERLINK("https://klasma.github.io/Logging_2260/klagomål/A 57562-2021 FSC-klagomål.docx", "A 57562-2021")</f>
        <v/>
      </c>
      <c r="W150">
        <f>HYPERLINK("https://klasma.github.io/Logging_2260/klagomålsmail/A 57562-2021 FSC-klagomål mail.docx", "A 57562-2021")</f>
        <v/>
      </c>
      <c r="X150">
        <f>HYPERLINK("https://klasma.github.io/Logging_2260/tillsyn/A 57562-2021 tillsynsbegäran.docx", "A 57562-2021")</f>
        <v/>
      </c>
      <c r="Y150">
        <f>HYPERLINK("https://klasma.github.io/Logging_2260/tillsynsmail/A 57562-2021 tillsynsbegäran mail.docx", "A 57562-2021")</f>
        <v/>
      </c>
    </row>
    <row r="151" ht="15" customHeight="1">
      <c r="A151" t="inlineStr">
        <is>
          <t>A 60767-2021</t>
        </is>
      </c>
      <c r="B151" s="1" t="n">
        <v>44496</v>
      </c>
      <c r="C151" s="1" t="n">
        <v>45258</v>
      </c>
      <c r="D151" t="inlineStr">
        <is>
          <t>VÄSTERNORRLANDS LÄN</t>
        </is>
      </c>
      <c r="E151" t="inlineStr">
        <is>
          <t>ÅNGE</t>
        </is>
      </c>
      <c r="F151" t="inlineStr">
        <is>
          <t>SCA</t>
        </is>
      </c>
      <c r="G151" t="n">
        <v>4.5</v>
      </c>
      <c r="H151" t="n">
        <v>1</v>
      </c>
      <c r="I151" t="n">
        <v>0</v>
      </c>
      <c r="J151" t="n">
        <v>0</v>
      </c>
      <c r="K151" t="n">
        <v>1</v>
      </c>
      <c r="L151" t="n">
        <v>0</v>
      </c>
      <c r="M151" t="n">
        <v>0</v>
      </c>
      <c r="N151" t="n">
        <v>0</v>
      </c>
      <c r="O151" t="n">
        <v>1</v>
      </c>
      <c r="P151" t="n">
        <v>1</v>
      </c>
      <c r="Q151" t="n">
        <v>1</v>
      </c>
      <c r="R151" s="2" t="inlineStr">
        <is>
          <t>Knärot</t>
        </is>
      </c>
      <c r="S151">
        <f>HYPERLINK("https://klasma.github.io/Logging_2260/artfynd/A 60767-2021 artfynd.xlsx", "A 60767-2021")</f>
        <v/>
      </c>
      <c r="T151">
        <f>HYPERLINK("https://klasma.github.io/Logging_2260/kartor/A 60767-2021 karta.png", "A 60767-2021")</f>
        <v/>
      </c>
      <c r="U151">
        <f>HYPERLINK("https://klasma.github.io/Logging_2260/knärot/A 60767-2021 karta knärot.png", "A 60767-2021")</f>
        <v/>
      </c>
      <c r="V151">
        <f>HYPERLINK("https://klasma.github.io/Logging_2260/klagomål/A 60767-2021 FSC-klagomål.docx", "A 60767-2021")</f>
        <v/>
      </c>
      <c r="W151">
        <f>HYPERLINK("https://klasma.github.io/Logging_2260/klagomålsmail/A 60767-2021 FSC-klagomål mail.docx", "A 60767-2021")</f>
        <v/>
      </c>
      <c r="X151">
        <f>HYPERLINK("https://klasma.github.io/Logging_2260/tillsyn/A 60767-2021 tillsynsbegäran.docx", "A 60767-2021")</f>
        <v/>
      </c>
      <c r="Y151">
        <f>HYPERLINK("https://klasma.github.io/Logging_2260/tillsynsmail/A 60767-2021 tillsynsbegäran mail.docx", "A 60767-2021")</f>
        <v/>
      </c>
    </row>
    <row r="152" ht="15" customHeight="1">
      <c r="A152" t="inlineStr">
        <is>
          <t>A 61458-2021</t>
        </is>
      </c>
      <c r="B152" s="1" t="n">
        <v>44500</v>
      </c>
      <c r="C152" s="1" t="n">
        <v>45258</v>
      </c>
      <c r="D152" t="inlineStr">
        <is>
          <t>VÄSTERNORRLANDS LÄN</t>
        </is>
      </c>
      <c r="E152" t="inlineStr">
        <is>
          <t>ÅNGE</t>
        </is>
      </c>
      <c r="F152" t="inlineStr">
        <is>
          <t>SCA</t>
        </is>
      </c>
      <c r="G152" t="n">
        <v>11.1</v>
      </c>
      <c r="H152" t="n">
        <v>1</v>
      </c>
      <c r="I152" t="n">
        <v>0</v>
      </c>
      <c r="J152" t="n">
        <v>0</v>
      </c>
      <c r="K152" t="n">
        <v>1</v>
      </c>
      <c r="L152" t="n">
        <v>0</v>
      </c>
      <c r="M152" t="n">
        <v>0</v>
      </c>
      <c r="N152" t="n">
        <v>0</v>
      </c>
      <c r="O152" t="n">
        <v>1</v>
      </c>
      <c r="P152" t="n">
        <v>1</v>
      </c>
      <c r="Q152" t="n">
        <v>1</v>
      </c>
      <c r="R152" s="2" t="inlineStr">
        <is>
          <t>Knärot</t>
        </is>
      </c>
      <c r="S152">
        <f>HYPERLINK("https://klasma.github.io/Logging_2260/artfynd/A 61458-2021 artfynd.xlsx", "A 61458-2021")</f>
        <v/>
      </c>
      <c r="T152">
        <f>HYPERLINK("https://klasma.github.io/Logging_2260/kartor/A 61458-2021 karta.png", "A 61458-2021")</f>
        <v/>
      </c>
      <c r="U152">
        <f>HYPERLINK("https://klasma.github.io/Logging_2260/knärot/A 61458-2021 karta knärot.png", "A 61458-2021")</f>
        <v/>
      </c>
      <c r="V152">
        <f>HYPERLINK("https://klasma.github.io/Logging_2260/klagomål/A 61458-2021 FSC-klagomål.docx", "A 61458-2021")</f>
        <v/>
      </c>
      <c r="W152">
        <f>HYPERLINK("https://klasma.github.io/Logging_2260/klagomålsmail/A 61458-2021 FSC-klagomål mail.docx", "A 61458-2021")</f>
        <v/>
      </c>
      <c r="X152">
        <f>HYPERLINK("https://klasma.github.io/Logging_2260/tillsyn/A 61458-2021 tillsynsbegäran.docx", "A 61458-2021")</f>
        <v/>
      </c>
      <c r="Y152">
        <f>HYPERLINK("https://klasma.github.io/Logging_2260/tillsynsmail/A 61458-2021 tillsynsbegäran mail.docx", "A 61458-2021")</f>
        <v/>
      </c>
    </row>
    <row r="153" ht="15" customHeight="1">
      <c r="A153" t="inlineStr">
        <is>
          <t>A 61479-2021</t>
        </is>
      </c>
      <c r="B153" s="1" t="n">
        <v>44500</v>
      </c>
      <c r="C153" s="1" t="n">
        <v>45258</v>
      </c>
      <c r="D153" t="inlineStr">
        <is>
          <t>VÄSTERNORRLANDS LÄN</t>
        </is>
      </c>
      <c r="E153" t="inlineStr">
        <is>
          <t>ÅNGE</t>
        </is>
      </c>
      <c r="F153" t="inlineStr">
        <is>
          <t>SCA</t>
        </is>
      </c>
      <c r="G153" t="n">
        <v>7.2</v>
      </c>
      <c r="H153" t="n">
        <v>1</v>
      </c>
      <c r="I153" t="n">
        <v>0</v>
      </c>
      <c r="J153" t="n">
        <v>0</v>
      </c>
      <c r="K153" t="n">
        <v>1</v>
      </c>
      <c r="L153" t="n">
        <v>0</v>
      </c>
      <c r="M153" t="n">
        <v>0</v>
      </c>
      <c r="N153" t="n">
        <v>0</v>
      </c>
      <c r="O153" t="n">
        <v>1</v>
      </c>
      <c r="P153" t="n">
        <v>1</v>
      </c>
      <c r="Q153" t="n">
        <v>1</v>
      </c>
      <c r="R153" s="2" t="inlineStr">
        <is>
          <t>Knärot</t>
        </is>
      </c>
      <c r="S153">
        <f>HYPERLINK("https://klasma.github.io/Logging_2260/artfynd/A 61479-2021 artfynd.xlsx", "A 61479-2021")</f>
        <v/>
      </c>
      <c r="T153">
        <f>HYPERLINK("https://klasma.github.io/Logging_2260/kartor/A 61479-2021 karta.png", "A 61479-2021")</f>
        <v/>
      </c>
      <c r="U153">
        <f>HYPERLINK("https://klasma.github.io/Logging_2260/knärot/A 61479-2021 karta knärot.png", "A 61479-2021")</f>
        <v/>
      </c>
      <c r="V153">
        <f>HYPERLINK("https://klasma.github.io/Logging_2260/klagomål/A 61479-2021 FSC-klagomål.docx", "A 61479-2021")</f>
        <v/>
      </c>
      <c r="W153">
        <f>HYPERLINK("https://klasma.github.io/Logging_2260/klagomålsmail/A 61479-2021 FSC-klagomål mail.docx", "A 61479-2021")</f>
        <v/>
      </c>
      <c r="X153">
        <f>HYPERLINK("https://klasma.github.io/Logging_2260/tillsyn/A 61479-2021 tillsynsbegäran.docx", "A 61479-2021")</f>
        <v/>
      </c>
      <c r="Y153">
        <f>HYPERLINK("https://klasma.github.io/Logging_2260/tillsynsmail/A 61479-2021 tillsynsbegäran mail.docx", "A 61479-2021")</f>
        <v/>
      </c>
    </row>
    <row r="154" ht="15" customHeight="1">
      <c r="A154" t="inlineStr">
        <is>
          <t>A 71366-2021</t>
        </is>
      </c>
      <c r="B154" s="1" t="n">
        <v>44539</v>
      </c>
      <c r="C154" s="1" t="n">
        <v>45258</v>
      </c>
      <c r="D154" t="inlineStr">
        <is>
          <t>VÄSTERNORRLANDS LÄN</t>
        </is>
      </c>
      <c r="E154" t="inlineStr">
        <is>
          <t>ÅNGE</t>
        </is>
      </c>
      <c r="F154" t="inlineStr">
        <is>
          <t>SCA</t>
        </is>
      </c>
      <c r="G154" t="n">
        <v>2.3</v>
      </c>
      <c r="H154" t="n">
        <v>1</v>
      </c>
      <c r="I154" t="n">
        <v>0</v>
      </c>
      <c r="J154" t="n">
        <v>0</v>
      </c>
      <c r="K154" t="n">
        <v>1</v>
      </c>
      <c r="L154" t="n">
        <v>0</v>
      </c>
      <c r="M154" t="n">
        <v>0</v>
      </c>
      <c r="N154" t="n">
        <v>0</v>
      </c>
      <c r="O154" t="n">
        <v>1</v>
      </c>
      <c r="P154" t="n">
        <v>1</v>
      </c>
      <c r="Q154" t="n">
        <v>1</v>
      </c>
      <c r="R154" s="2" t="inlineStr">
        <is>
          <t>Knärot</t>
        </is>
      </c>
      <c r="S154">
        <f>HYPERLINK("https://klasma.github.io/Logging_2260/artfynd/A 71366-2021 artfynd.xlsx", "A 71366-2021")</f>
        <v/>
      </c>
      <c r="T154">
        <f>HYPERLINK("https://klasma.github.io/Logging_2260/kartor/A 71366-2021 karta.png", "A 71366-2021")</f>
        <v/>
      </c>
      <c r="U154">
        <f>HYPERLINK("https://klasma.github.io/Logging_2260/knärot/A 71366-2021 karta knärot.png", "A 71366-2021")</f>
        <v/>
      </c>
      <c r="V154">
        <f>HYPERLINK("https://klasma.github.io/Logging_2260/klagomål/A 71366-2021 FSC-klagomål.docx", "A 71366-2021")</f>
        <v/>
      </c>
      <c r="W154">
        <f>HYPERLINK("https://klasma.github.io/Logging_2260/klagomålsmail/A 71366-2021 FSC-klagomål mail.docx", "A 71366-2021")</f>
        <v/>
      </c>
      <c r="X154">
        <f>HYPERLINK("https://klasma.github.io/Logging_2260/tillsyn/A 71366-2021 tillsynsbegäran.docx", "A 71366-2021")</f>
        <v/>
      </c>
      <c r="Y154">
        <f>HYPERLINK("https://klasma.github.io/Logging_2260/tillsynsmail/A 71366-2021 tillsynsbegäran mail.docx", "A 71366-2021")</f>
        <v/>
      </c>
    </row>
    <row r="155" ht="15" customHeight="1">
      <c r="A155" t="inlineStr">
        <is>
          <t>A 16053-2022</t>
        </is>
      </c>
      <c r="B155" s="1" t="n">
        <v>44665</v>
      </c>
      <c r="C155" s="1" t="n">
        <v>45258</v>
      </c>
      <c r="D155" t="inlineStr">
        <is>
          <t>VÄSTERNORRLANDS LÄN</t>
        </is>
      </c>
      <c r="E155" t="inlineStr">
        <is>
          <t>ÅNGE</t>
        </is>
      </c>
      <c r="G155" t="n">
        <v>3.8</v>
      </c>
      <c r="H155" t="n">
        <v>1</v>
      </c>
      <c r="I155" t="n">
        <v>0</v>
      </c>
      <c r="J155" t="n">
        <v>1</v>
      </c>
      <c r="K155" t="n">
        <v>0</v>
      </c>
      <c r="L155" t="n">
        <v>0</v>
      </c>
      <c r="M155" t="n">
        <v>0</v>
      </c>
      <c r="N155" t="n">
        <v>0</v>
      </c>
      <c r="O155" t="n">
        <v>1</v>
      </c>
      <c r="P155" t="n">
        <v>0</v>
      </c>
      <c r="Q155" t="n">
        <v>1</v>
      </c>
      <c r="R155" s="2" t="inlineStr">
        <is>
          <t>Järpe</t>
        </is>
      </c>
      <c r="S155">
        <f>HYPERLINK("https://klasma.github.io/Logging_2260/artfynd/A 16053-2022 artfynd.xlsx", "A 16053-2022")</f>
        <v/>
      </c>
      <c r="T155">
        <f>HYPERLINK("https://klasma.github.io/Logging_2260/kartor/A 16053-2022 karta.png", "A 16053-2022")</f>
        <v/>
      </c>
      <c r="V155">
        <f>HYPERLINK("https://klasma.github.io/Logging_2260/klagomål/A 16053-2022 FSC-klagomål.docx", "A 16053-2022")</f>
        <v/>
      </c>
      <c r="W155">
        <f>HYPERLINK("https://klasma.github.io/Logging_2260/klagomålsmail/A 16053-2022 FSC-klagomål mail.docx", "A 16053-2022")</f>
        <v/>
      </c>
      <c r="X155">
        <f>HYPERLINK("https://klasma.github.io/Logging_2260/tillsyn/A 16053-2022 tillsynsbegäran.docx", "A 16053-2022")</f>
        <v/>
      </c>
      <c r="Y155">
        <f>HYPERLINK("https://klasma.github.io/Logging_2260/tillsynsmail/A 16053-2022 tillsynsbegäran mail.docx", "A 16053-2022")</f>
        <v/>
      </c>
    </row>
    <row r="156" ht="15" customHeight="1">
      <c r="A156" t="inlineStr">
        <is>
          <t>A 20367-2022</t>
        </is>
      </c>
      <c r="B156" s="1" t="n">
        <v>44699</v>
      </c>
      <c r="C156" s="1" t="n">
        <v>45258</v>
      </c>
      <c r="D156" t="inlineStr">
        <is>
          <t>VÄSTERNORRLANDS LÄN</t>
        </is>
      </c>
      <c r="E156" t="inlineStr">
        <is>
          <t>ÅNGE</t>
        </is>
      </c>
      <c r="G156" t="n">
        <v>9.6</v>
      </c>
      <c r="H156" t="n">
        <v>1</v>
      </c>
      <c r="I156" t="n">
        <v>0</v>
      </c>
      <c r="J156" t="n">
        <v>0</v>
      </c>
      <c r="K156" t="n">
        <v>0</v>
      </c>
      <c r="L156" t="n">
        <v>0</v>
      </c>
      <c r="M156" t="n">
        <v>0</v>
      </c>
      <c r="N156" t="n">
        <v>0</v>
      </c>
      <c r="O156" t="n">
        <v>0</v>
      </c>
      <c r="P156" t="n">
        <v>0</v>
      </c>
      <c r="Q156" t="n">
        <v>1</v>
      </c>
      <c r="R156" s="2" t="inlineStr">
        <is>
          <t>Fläcknycklar</t>
        </is>
      </c>
      <c r="S156">
        <f>HYPERLINK("https://klasma.github.io/Logging_2260/artfynd/A 20367-2022 artfynd.xlsx", "A 20367-2022")</f>
        <v/>
      </c>
      <c r="T156">
        <f>HYPERLINK("https://klasma.github.io/Logging_2260/kartor/A 20367-2022 karta.png", "A 20367-2022")</f>
        <v/>
      </c>
      <c r="V156">
        <f>HYPERLINK("https://klasma.github.io/Logging_2260/klagomål/A 20367-2022 FSC-klagomål.docx", "A 20367-2022")</f>
        <v/>
      </c>
      <c r="W156">
        <f>HYPERLINK("https://klasma.github.io/Logging_2260/klagomålsmail/A 20367-2022 FSC-klagomål mail.docx", "A 20367-2022")</f>
        <v/>
      </c>
      <c r="X156">
        <f>HYPERLINK("https://klasma.github.io/Logging_2260/tillsyn/A 20367-2022 tillsynsbegäran.docx", "A 20367-2022")</f>
        <v/>
      </c>
      <c r="Y156">
        <f>HYPERLINK("https://klasma.github.io/Logging_2260/tillsynsmail/A 20367-2022 tillsynsbegäran mail.docx", "A 20367-2022")</f>
        <v/>
      </c>
    </row>
    <row r="157" ht="15" customHeight="1">
      <c r="A157" t="inlineStr">
        <is>
          <t>A 39933-2022</t>
        </is>
      </c>
      <c r="B157" s="1" t="n">
        <v>44819</v>
      </c>
      <c r="C157" s="1" t="n">
        <v>45258</v>
      </c>
      <c r="D157" t="inlineStr">
        <is>
          <t>VÄSTERNORRLANDS LÄN</t>
        </is>
      </c>
      <c r="E157" t="inlineStr">
        <is>
          <t>ÅNGE</t>
        </is>
      </c>
      <c r="F157" t="inlineStr">
        <is>
          <t>SCA</t>
        </is>
      </c>
      <c r="G157" t="n">
        <v>13.8</v>
      </c>
      <c r="H157" t="n">
        <v>1</v>
      </c>
      <c r="I157" t="n">
        <v>0</v>
      </c>
      <c r="J157" t="n">
        <v>0</v>
      </c>
      <c r="K157" t="n">
        <v>1</v>
      </c>
      <c r="L157" t="n">
        <v>0</v>
      </c>
      <c r="M157" t="n">
        <v>0</v>
      </c>
      <c r="N157" t="n">
        <v>0</v>
      </c>
      <c r="O157" t="n">
        <v>1</v>
      </c>
      <c r="P157" t="n">
        <v>1</v>
      </c>
      <c r="Q157" t="n">
        <v>1</v>
      </c>
      <c r="R157" s="2" t="inlineStr">
        <is>
          <t>Knärot</t>
        </is>
      </c>
      <c r="S157">
        <f>HYPERLINK("https://klasma.github.io/Logging_2260/artfynd/A 39933-2022 artfynd.xlsx", "A 39933-2022")</f>
        <v/>
      </c>
      <c r="T157">
        <f>HYPERLINK("https://klasma.github.io/Logging_2260/kartor/A 39933-2022 karta.png", "A 39933-2022")</f>
        <v/>
      </c>
      <c r="U157">
        <f>HYPERLINK("https://klasma.github.io/Logging_2260/knärot/A 39933-2022 karta knärot.png", "A 39933-2022")</f>
        <v/>
      </c>
      <c r="V157">
        <f>HYPERLINK("https://klasma.github.io/Logging_2260/klagomål/A 39933-2022 FSC-klagomål.docx", "A 39933-2022")</f>
        <v/>
      </c>
      <c r="W157">
        <f>HYPERLINK("https://klasma.github.io/Logging_2260/klagomålsmail/A 39933-2022 FSC-klagomål mail.docx", "A 39933-2022")</f>
        <v/>
      </c>
      <c r="X157">
        <f>HYPERLINK("https://klasma.github.io/Logging_2260/tillsyn/A 39933-2022 tillsynsbegäran.docx", "A 39933-2022")</f>
        <v/>
      </c>
      <c r="Y157">
        <f>HYPERLINK("https://klasma.github.io/Logging_2260/tillsynsmail/A 39933-2022 tillsynsbegäran mail.docx", "A 39933-2022")</f>
        <v/>
      </c>
    </row>
    <row r="158" ht="15" customHeight="1">
      <c r="A158" t="inlineStr">
        <is>
          <t>A 47784-2022</t>
        </is>
      </c>
      <c r="B158" s="1" t="n">
        <v>44854</v>
      </c>
      <c r="C158" s="1" t="n">
        <v>45258</v>
      </c>
      <c r="D158" t="inlineStr">
        <is>
          <t>VÄSTERNORRLANDS LÄN</t>
        </is>
      </c>
      <c r="E158" t="inlineStr">
        <is>
          <t>ÅNGE</t>
        </is>
      </c>
      <c r="F158" t="inlineStr">
        <is>
          <t>SCA</t>
        </is>
      </c>
      <c r="G158" t="n">
        <v>14.8</v>
      </c>
      <c r="H158" t="n">
        <v>0</v>
      </c>
      <c r="I158" t="n">
        <v>0</v>
      </c>
      <c r="J158" t="n">
        <v>1</v>
      </c>
      <c r="K158" t="n">
        <v>0</v>
      </c>
      <c r="L158" t="n">
        <v>0</v>
      </c>
      <c r="M158" t="n">
        <v>0</v>
      </c>
      <c r="N158" t="n">
        <v>0</v>
      </c>
      <c r="O158" t="n">
        <v>1</v>
      </c>
      <c r="P158" t="n">
        <v>0</v>
      </c>
      <c r="Q158" t="n">
        <v>1</v>
      </c>
      <c r="R158" s="2" t="inlineStr">
        <is>
          <t>Reliktbock</t>
        </is>
      </c>
      <c r="S158">
        <f>HYPERLINK("https://klasma.github.io/Logging_2260/artfynd/A 47784-2022 artfynd.xlsx", "A 47784-2022")</f>
        <v/>
      </c>
      <c r="T158">
        <f>HYPERLINK("https://klasma.github.io/Logging_2260/kartor/A 47784-2022 karta.png", "A 47784-2022")</f>
        <v/>
      </c>
      <c r="V158">
        <f>HYPERLINK("https://klasma.github.io/Logging_2260/klagomål/A 47784-2022 FSC-klagomål.docx", "A 47784-2022")</f>
        <v/>
      </c>
      <c r="W158">
        <f>HYPERLINK("https://klasma.github.io/Logging_2260/klagomålsmail/A 47784-2022 FSC-klagomål mail.docx", "A 47784-2022")</f>
        <v/>
      </c>
      <c r="X158">
        <f>HYPERLINK("https://klasma.github.io/Logging_2260/tillsyn/A 47784-2022 tillsynsbegäran.docx", "A 47784-2022")</f>
        <v/>
      </c>
      <c r="Y158">
        <f>HYPERLINK("https://klasma.github.io/Logging_2260/tillsynsmail/A 47784-2022 tillsynsbegäran mail.docx", "A 47784-2022")</f>
        <v/>
      </c>
    </row>
    <row r="159" ht="15" customHeight="1">
      <c r="A159" t="inlineStr">
        <is>
          <t>A 7485-2023</t>
        </is>
      </c>
      <c r="B159" s="1" t="n">
        <v>44964</v>
      </c>
      <c r="C159" s="1" t="n">
        <v>45258</v>
      </c>
      <c r="D159" t="inlineStr">
        <is>
          <t>VÄSTERNORRLANDS LÄN</t>
        </is>
      </c>
      <c r="E159" t="inlineStr">
        <is>
          <t>ÅNGE</t>
        </is>
      </c>
      <c r="G159" t="n">
        <v>2.9</v>
      </c>
      <c r="H159" t="n">
        <v>0</v>
      </c>
      <c r="I159" t="n">
        <v>0</v>
      </c>
      <c r="J159" t="n">
        <v>1</v>
      </c>
      <c r="K159" t="n">
        <v>0</v>
      </c>
      <c r="L159" t="n">
        <v>0</v>
      </c>
      <c r="M159" t="n">
        <v>0</v>
      </c>
      <c r="N159" t="n">
        <v>0</v>
      </c>
      <c r="O159" t="n">
        <v>1</v>
      </c>
      <c r="P159" t="n">
        <v>0</v>
      </c>
      <c r="Q159" t="n">
        <v>1</v>
      </c>
      <c r="R159" s="2" t="inlineStr">
        <is>
          <t>Rosenticka</t>
        </is>
      </c>
      <c r="S159">
        <f>HYPERLINK("https://klasma.github.io/Logging_2260/artfynd/A 7485-2023 artfynd.xlsx", "A 7485-2023")</f>
        <v/>
      </c>
      <c r="T159">
        <f>HYPERLINK("https://klasma.github.io/Logging_2260/kartor/A 7485-2023 karta.png", "A 7485-2023")</f>
        <v/>
      </c>
      <c r="V159">
        <f>HYPERLINK("https://klasma.github.io/Logging_2260/klagomål/A 7485-2023 FSC-klagomål.docx", "A 7485-2023")</f>
        <v/>
      </c>
      <c r="W159">
        <f>HYPERLINK("https://klasma.github.io/Logging_2260/klagomålsmail/A 7485-2023 FSC-klagomål mail.docx", "A 7485-2023")</f>
        <v/>
      </c>
      <c r="X159">
        <f>HYPERLINK("https://klasma.github.io/Logging_2260/tillsyn/A 7485-2023 tillsynsbegäran.docx", "A 7485-2023")</f>
        <v/>
      </c>
      <c r="Y159">
        <f>HYPERLINK("https://klasma.github.io/Logging_2260/tillsynsmail/A 7485-2023 tillsynsbegäran mail.docx", "A 7485-2023")</f>
        <v/>
      </c>
    </row>
    <row r="160" ht="15" customHeight="1">
      <c r="A160" t="inlineStr">
        <is>
          <t>A 22998-2023</t>
        </is>
      </c>
      <c r="B160" s="1" t="n">
        <v>45072</v>
      </c>
      <c r="C160" s="1" t="n">
        <v>45258</v>
      </c>
      <c r="D160" t="inlineStr">
        <is>
          <t>VÄSTERNORRLANDS LÄN</t>
        </is>
      </c>
      <c r="E160" t="inlineStr">
        <is>
          <t>ÅNGE</t>
        </is>
      </c>
      <c r="F160" t="inlineStr">
        <is>
          <t>SCA</t>
        </is>
      </c>
      <c r="G160" t="n">
        <v>3.8</v>
      </c>
      <c r="H160" t="n">
        <v>0</v>
      </c>
      <c r="I160" t="n">
        <v>0</v>
      </c>
      <c r="J160" t="n">
        <v>1</v>
      </c>
      <c r="K160" t="n">
        <v>0</v>
      </c>
      <c r="L160" t="n">
        <v>0</v>
      </c>
      <c r="M160" t="n">
        <v>0</v>
      </c>
      <c r="N160" t="n">
        <v>0</v>
      </c>
      <c r="O160" t="n">
        <v>1</v>
      </c>
      <c r="P160" t="n">
        <v>0</v>
      </c>
      <c r="Q160" t="n">
        <v>1</v>
      </c>
      <c r="R160" s="2" t="inlineStr">
        <is>
          <t>Blågrå svartspik</t>
        </is>
      </c>
      <c r="S160">
        <f>HYPERLINK("https://klasma.github.io/Logging_2260/artfynd/A 22998-2023 artfynd.xlsx", "A 22998-2023")</f>
        <v/>
      </c>
      <c r="T160">
        <f>HYPERLINK("https://klasma.github.io/Logging_2260/kartor/A 22998-2023 karta.png", "A 22998-2023")</f>
        <v/>
      </c>
      <c r="V160">
        <f>HYPERLINK("https://klasma.github.io/Logging_2260/klagomål/A 22998-2023 FSC-klagomål.docx", "A 22998-2023")</f>
        <v/>
      </c>
      <c r="W160">
        <f>HYPERLINK("https://klasma.github.io/Logging_2260/klagomålsmail/A 22998-2023 FSC-klagomål mail.docx", "A 22998-2023")</f>
        <v/>
      </c>
      <c r="X160">
        <f>HYPERLINK("https://klasma.github.io/Logging_2260/tillsyn/A 22998-2023 tillsynsbegäran.docx", "A 22998-2023")</f>
        <v/>
      </c>
      <c r="Y160">
        <f>HYPERLINK("https://klasma.github.io/Logging_2260/tillsynsmail/A 22998-2023 tillsynsbegäran mail.docx", "A 22998-2023")</f>
        <v/>
      </c>
    </row>
    <row r="161" ht="15" customHeight="1">
      <c r="A161" t="inlineStr">
        <is>
          <t>A 25322-2023</t>
        </is>
      </c>
      <c r="B161" s="1" t="n">
        <v>45086</v>
      </c>
      <c r="C161" s="1" t="n">
        <v>45258</v>
      </c>
      <c r="D161" t="inlineStr">
        <is>
          <t>VÄSTERNORRLANDS LÄN</t>
        </is>
      </c>
      <c r="E161" t="inlineStr">
        <is>
          <t>ÅNGE</t>
        </is>
      </c>
      <c r="F161" t="inlineStr">
        <is>
          <t>SCA</t>
        </is>
      </c>
      <c r="G161" t="n">
        <v>6.9</v>
      </c>
      <c r="H161" t="n">
        <v>0</v>
      </c>
      <c r="I161" t="n">
        <v>0</v>
      </c>
      <c r="J161" t="n">
        <v>1</v>
      </c>
      <c r="K161" t="n">
        <v>0</v>
      </c>
      <c r="L161" t="n">
        <v>0</v>
      </c>
      <c r="M161" t="n">
        <v>0</v>
      </c>
      <c r="N161" t="n">
        <v>0</v>
      </c>
      <c r="O161" t="n">
        <v>1</v>
      </c>
      <c r="P161" t="n">
        <v>0</v>
      </c>
      <c r="Q161" t="n">
        <v>1</v>
      </c>
      <c r="R161" s="2" t="inlineStr">
        <is>
          <t>Lunglav</t>
        </is>
      </c>
      <c r="S161">
        <f>HYPERLINK("https://klasma.github.io/Logging_2260/artfynd/A 25322-2023 artfynd.xlsx", "A 25322-2023")</f>
        <v/>
      </c>
      <c r="T161">
        <f>HYPERLINK("https://klasma.github.io/Logging_2260/kartor/A 25322-2023 karta.png", "A 25322-2023")</f>
        <v/>
      </c>
      <c r="V161">
        <f>HYPERLINK("https://klasma.github.io/Logging_2260/klagomål/A 25322-2023 FSC-klagomål.docx", "A 25322-2023")</f>
        <v/>
      </c>
      <c r="W161">
        <f>HYPERLINK("https://klasma.github.io/Logging_2260/klagomålsmail/A 25322-2023 FSC-klagomål mail.docx", "A 25322-2023")</f>
        <v/>
      </c>
      <c r="X161">
        <f>HYPERLINK("https://klasma.github.io/Logging_2260/tillsyn/A 25322-2023 tillsynsbegäran.docx", "A 25322-2023")</f>
        <v/>
      </c>
      <c r="Y161">
        <f>HYPERLINK("https://klasma.github.io/Logging_2260/tillsynsmail/A 25322-2023 tillsynsbegäran mail.docx", "A 25322-2023")</f>
        <v/>
      </c>
    </row>
    <row r="162" ht="15" customHeight="1">
      <c r="A162" t="inlineStr">
        <is>
          <t>A 26514-2023</t>
        </is>
      </c>
      <c r="B162" s="1" t="n">
        <v>45092</v>
      </c>
      <c r="C162" s="1" t="n">
        <v>45258</v>
      </c>
      <c r="D162" t="inlineStr">
        <is>
          <t>VÄSTERNORRLANDS LÄN</t>
        </is>
      </c>
      <c r="E162" t="inlineStr">
        <is>
          <t>ÅNGE</t>
        </is>
      </c>
      <c r="F162" t="inlineStr">
        <is>
          <t>Sveaskog</t>
        </is>
      </c>
      <c r="G162" t="n">
        <v>3.3</v>
      </c>
      <c r="H162" t="n">
        <v>0</v>
      </c>
      <c r="I162" t="n">
        <v>0</v>
      </c>
      <c r="J162" t="n">
        <v>1</v>
      </c>
      <c r="K162" t="n">
        <v>0</v>
      </c>
      <c r="L162" t="n">
        <v>0</v>
      </c>
      <c r="M162" t="n">
        <v>0</v>
      </c>
      <c r="N162" t="n">
        <v>0</v>
      </c>
      <c r="O162" t="n">
        <v>1</v>
      </c>
      <c r="P162" t="n">
        <v>0</v>
      </c>
      <c r="Q162" t="n">
        <v>1</v>
      </c>
      <c r="R162" s="2" t="inlineStr">
        <is>
          <t>Garnlav</t>
        </is>
      </c>
      <c r="S162">
        <f>HYPERLINK("https://klasma.github.io/Logging_2260/artfynd/A 26514-2023 artfynd.xlsx", "A 26514-2023")</f>
        <v/>
      </c>
      <c r="T162">
        <f>HYPERLINK("https://klasma.github.io/Logging_2260/kartor/A 26514-2023 karta.png", "A 26514-2023")</f>
        <v/>
      </c>
      <c r="V162">
        <f>HYPERLINK("https://klasma.github.io/Logging_2260/klagomål/A 26514-2023 FSC-klagomål.docx", "A 26514-2023")</f>
        <v/>
      </c>
      <c r="W162">
        <f>HYPERLINK("https://klasma.github.io/Logging_2260/klagomålsmail/A 26514-2023 FSC-klagomål mail.docx", "A 26514-2023")</f>
        <v/>
      </c>
      <c r="X162">
        <f>HYPERLINK("https://klasma.github.io/Logging_2260/tillsyn/A 26514-2023 tillsynsbegäran.docx", "A 26514-2023")</f>
        <v/>
      </c>
      <c r="Y162">
        <f>HYPERLINK("https://klasma.github.io/Logging_2260/tillsynsmail/A 26514-2023 tillsynsbegäran mail.docx", "A 26514-2023")</f>
        <v/>
      </c>
    </row>
    <row r="163" ht="15" customHeight="1">
      <c r="A163" t="inlineStr">
        <is>
          <t>A 30838-2023</t>
        </is>
      </c>
      <c r="B163" s="1" t="n">
        <v>45112</v>
      </c>
      <c r="C163" s="1" t="n">
        <v>45258</v>
      </c>
      <c r="D163" t="inlineStr">
        <is>
          <t>VÄSTERNORRLANDS LÄN</t>
        </is>
      </c>
      <c r="E163" t="inlineStr">
        <is>
          <t>ÅNGE</t>
        </is>
      </c>
      <c r="F163" t="inlineStr">
        <is>
          <t>SCA</t>
        </is>
      </c>
      <c r="G163" t="n">
        <v>5.6</v>
      </c>
      <c r="H163" t="n">
        <v>0</v>
      </c>
      <c r="I163" t="n">
        <v>0</v>
      </c>
      <c r="J163" t="n">
        <v>1</v>
      </c>
      <c r="K163" t="n">
        <v>0</v>
      </c>
      <c r="L163" t="n">
        <v>0</v>
      </c>
      <c r="M163" t="n">
        <v>0</v>
      </c>
      <c r="N163" t="n">
        <v>0</v>
      </c>
      <c r="O163" t="n">
        <v>1</v>
      </c>
      <c r="P163" t="n">
        <v>0</v>
      </c>
      <c r="Q163" t="n">
        <v>1</v>
      </c>
      <c r="R163" s="2" t="inlineStr">
        <is>
          <t>Kortskaftad ärgspik</t>
        </is>
      </c>
      <c r="S163">
        <f>HYPERLINK("https://klasma.github.io/Logging_2260/artfynd/A 30838-2023 artfynd.xlsx", "A 30838-2023")</f>
        <v/>
      </c>
      <c r="T163">
        <f>HYPERLINK("https://klasma.github.io/Logging_2260/kartor/A 30838-2023 karta.png", "A 30838-2023")</f>
        <v/>
      </c>
      <c r="U163">
        <f>HYPERLINK("https://klasma.github.io/Logging_2260/knärot/A 30838-2023 karta knärot.png", "A 30838-2023")</f>
        <v/>
      </c>
      <c r="V163">
        <f>HYPERLINK("https://klasma.github.io/Logging_2260/klagomål/A 30838-2023 FSC-klagomål.docx", "A 30838-2023")</f>
        <v/>
      </c>
      <c r="W163">
        <f>HYPERLINK("https://klasma.github.io/Logging_2260/klagomålsmail/A 30838-2023 FSC-klagomål mail.docx", "A 30838-2023")</f>
        <v/>
      </c>
      <c r="X163">
        <f>HYPERLINK("https://klasma.github.io/Logging_2260/tillsyn/A 30838-2023 tillsynsbegäran.docx", "A 30838-2023")</f>
        <v/>
      </c>
      <c r="Y163">
        <f>HYPERLINK("https://klasma.github.io/Logging_2260/tillsynsmail/A 30838-2023 tillsynsbegäran mail.docx", "A 30838-2023")</f>
        <v/>
      </c>
    </row>
    <row r="164" ht="15" customHeight="1">
      <c r="A164" t="inlineStr">
        <is>
          <t>A 34489-2023</t>
        </is>
      </c>
      <c r="B164" s="1" t="n">
        <v>45139</v>
      </c>
      <c r="C164" s="1" t="n">
        <v>45258</v>
      </c>
      <c r="D164" t="inlineStr">
        <is>
          <t>VÄSTERNORRLANDS LÄN</t>
        </is>
      </c>
      <c r="E164" t="inlineStr">
        <is>
          <t>ÅNGE</t>
        </is>
      </c>
      <c r="F164" t="inlineStr">
        <is>
          <t>SCA</t>
        </is>
      </c>
      <c r="G164" t="n">
        <v>11.1</v>
      </c>
      <c r="H164" t="n">
        <v>1</v>
      </c>
      <c r="I164" t="n">
        <v>0</v>
      </c>
      <c r="J164" t="n">
        <v>0</v>
      </c>
      <c r="K164" t="n">
        <v>1</v>
      </c>
      <c r="L164" t="n">
        <v>0</v>
      </c>
      <c r="M164" t="n">
        <v>0</v>
      </c>
      <c r="N164" t="n">
        <v>0</v>
      </c>
      <c r="O164" t="n">
        <v>1</v>
      </c>
      <c r="P164" t="n">
        <v>1</v>
      </c>
      <c r="Q164" t="n">
        <v>1</v>
      </c>
      <c r="R164" s="2" t="inlineStr">
        <is>
          <t>Knärot</t>
        </is>
      </c>
      <c r="S164">
        <f>HYPERLINK("https://klasma.github.io/Logging_2260/artfynd/A 34489-2023 artfynd.xlsx", "A 34489-2023")</f>
        <v/>
      </c>
      <c r="T164">
        <f>HYPERLINK("https://klasma.github.io/Logging_2260/kartor/A 34489-2023 karta.png", "A 34489-2023")</f>
        <v/>
      </c>
      <c r="U164">
        <f>HYPERLINK("https://klasma.github.io/Logging_2260/knärot/A 34489-2023 karta knärot.png", "A 34489-2023")</f>
        <v/>
      </c>
      <c r="V164">
        <f>HYPERLINK("https://klasma.github.io/Logging_2260/klagomål/A 34489-2023 FSC-klagomål.docx", "A 34489-2023")</f>
        <v/>
      </c>
      <c r="W164">
        <f>HYPERLINK("https://klasma.github.io/Logging_2260/klagomålsmail/A 34489-2023 FSC-klagomål mail.docx", "A 34489-2023")</f>
        <v/>
      </c>
      <c r="X164">
        <f>HYPERLINK("https://klasma.github.io/Logging_2260/tillsyn/A 34489-2023 tillsynsbegäran.docx", "A 34489-2023")</f>
        <v/>
      </c>
      <c r="Y164">
        <f>HYPERLINK("https://klasma.github.io/Logging_2260/tillsynsmail/A 34489-2023 tillsynsbegäran mail.docx", "A 34489-2023")</f>
        <v/>
      </c>
    </row>
    <row r="165" ht="15" customHeight="1">
      <c r="A165" t="inlineStr">
        <is>
          <t>A 35973-2023</t>
        </is>
      </c>
      <c r="B165" s="1" t="n">
        <v>45148</v>
      </c>
      <c r="C165" s="1" t="n">
        <v>45258</v>
      </c>
      <c r="D165" t="inlineStr">
        <is>
          <t>VÄSTERNORRLANDS LÄN</t>
        </is>
      </c>
      <c r="E165" t="inlineStr">
        <is>
          <t>ÅNGE</t>
        </is>
      </c>
      <c r="F165" t="inlineStr">
        <is>
          <t>SCA</t>
        </is>
      </c>
      <c r="G165" t="n">
        <v>1.3</v>
      </c>
      <c r="H165" t="n">
        <v>1</v>
      </c>
      <c r="I165" t="n">
        <v>1</v>
      </c>
      <c r="J165" t="n">
        <v>0</v>
      </c>
      <c r="K165" t="n">
        <v>0</v>
      </c>
      <c r="L165" t="n">
        <v>0</v>
      </c>
      <c r="M165" t="n">
        <v>0</v>
      </c>
      <c r="N165" t="n">
        <v>0</v>
      </c>
      <c r="O165" t="n">
        <v>0</v>
      </c>
      <c r="P165" t="n">
        <v>0</v>
      </c>
      <c r="Q165" t="n">
        <v>1</v>
      </c>
      <c r="R165" s="2" t="inlineStr">
        <is>
          <t>Korallrot</t>
        </is>
      </c>
      <c r="S165">
        <f>HYPERLINK("https://klasma.github.io/Logging_2260/artfynd/A 35973-2023 artfynd.xlsx", "A 35973-2023")</f>
        <v/>
      </c>
      <c r="T165">
        <f>HYPERLINK("https://klasma.github.io/Logging_2260/kartor/A 35973-2023 karta.png", "A 35973-2023")</f>
        <v/>
      </c>
      <c r="V165">
        <f>HYPERLINK("https://klasma.github.io/Logging_2260/klagomål/A 35973-2023 FSC-klagomål.docx", "A 35973-2023")</f>
        <v/>
      </c>
      <c r="W165">
        <f>HYPERLINK("https://klasma.github.io/Logging_2260/klagomålsmail/A 35973-2023 FSC-klagomål mail.docx", "A 35973-2023")</f>
        <v/>
      </c>
      <c r="X165">
        <f>HYPERLINK("https://klasma.github.io/Logging_2260/tillsyn/A 35973-2023 tillsynsbegäran.docx", "A 35973-2023")</f>
        <v/>
      </c>
      <c r="Y165">
        <f>HYPERLINK("https://klasma.github.io/Logging_2260/tillsynsmail/A 35973-2023 tillsynsbegäran mail.docx", "A 35973-2023")</f>
        <v/>
      </c>
    </row>
    <row r="166" ht="15" customHeight="1">
      <c r="A166" t="inlineStr">
        <is>
          <t>A 36230-2023</t>
        </is>
      </c>
      <c r="B166" s="1" t="n">
        <v>45150</v>
      </c>
      <c r="C166" s="1" t="n">
        <v>45258</v>
      </c>
      <c r="D166" t="inlineStr">
        <is>
          <t>VÄSTERNORRLANDS LÄN</t>
        </is>
      </c>
      <c r="E166" t="inlineStr">
        <is>
          <t>ÅNGE</t>
        </is>
      </c>
      <c r="F166" t="inlineStr">
        <is>
          <t>SCA</t>
        </is>
      </c>
      <c r="G166" t="n">
        <v>6.3</v>
      </c>
      <c r="H166" t="n">
        <v>1</v>
      </c>
      <c r="I166" t="n">
        <v>0</v>
      </c>
      <c r="J166" t="n">
        <v>0</v>
      </c>
      <c r="K166" t="n">
        <v>1</v>
      </c>
      <c r="L166" t="n">
        <v>0</v>
      </c>
      <c r="M166" t="n">
        <v>0</v>
      </c>
      <c r="N166" t="n">
        <v>0</v>
      </c>
      <c r="O166" t="n">
        <v>1</v>
      </c>
      <c r="P166" t="n">
        <v>1</v>
      </c>
      <c r="Q166" t="n">
        <v>1</v>
      </c>
      <c r="R166" s="2" t="inlineStr">
        <is>
          <t>Lappuggla</t>
        </is>
      </c>
      <c r="S166">
        <f>HYPERLINK("https://klasma.github.io/Logging_2260/artfynd/A 36230-2023 artfynd.xlsx", "A 36230-2023")</f>
        <v/>
      </c>
      <c r="T166">
        <f>HYPERLINK("https://klasma.github.io/Logging_2260/kartor/A 36230-2023 karta.png", "A 36230-2023")</f>
        <v/>
      </c>
      <c r="V166">
        <f>HYPERLINK("https://klasma.github.io/Logging_2260/klagomål/A 36230-2023 FSC-klagomål.docx", "A 36230-2023")</f>
        <v/>
      </c>
      <c r="W166">
        <f>HYPERLINK("https://klasma.github.io/Logging_2260/klagomålsmail/A 36230-2023 FSC-klagomål mail.docx", "A 36230-2023")</f>
        <v/>
      </c>
      <c r="X166">
        <f>HYPERLINK("https://klasma.github.io/Logging_2260/tillsyn/A 36230-2023 tillsynsbegäran.docx", "A 36230-2023")</f>
        <v/>
      </c>
      <c r="Y166">
        <f>HYPERLINK("https://klasma.github.io/Logging_2260/tillsynsmail/A 36230-2023 tillsynsbegäran mail.docx", "A 36230-2023")</f>
        <v/>
      </c>
    </row>
    <row r="167" ht="15" customHeight="1">
      <c r="A167" t="inlineStr">
        <is>
          <t>A 38774-2023</t>
        </is>
      </c>
      <c r="B167" s="1" t="n">
        <v>45163</v>
      </c>
      <c r="C167" s="1" t="n">
        <v>45258</v>
      </c>
      <c r="D167" t="inlineStr">
        <is>
          <t>VÄSTERNORRLANDS LÄN</t>
        </is>
      </c>
      <c r="E167" t="inlineStr">
        <is>
          <t>ÅNGE</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HYPERLINK("https://klasma.github.io/Logging_2260/artfynd/A 38774-2023 artfynd.xlsx", "A 38774-2023")</f>
        <v/>
      </c>
      <c r="T167">
        <f>HYPERLINK("https://klasma.github.io/Logging_2260/kartor/A 38774-2023 karta.png", "A 38774-2023")</f>
        <v/>
      </c>
      <c r="V167">
        <f>HYPERLINK("https://klasma.github.io/Logging_2260/klagomål/A 38774-2023 FSC-klagomål.docx", "A 38774-2023")</f>
        <v/>
      </c>
      <c r="W167">
        <f>HYPERLINK("https://klasma.github.io/Logging_2260/klagomålsmail/A 38774-2023 FSC-klagomål mail.docx", "A 38774-2023")</f>
        <v/>
      </c>
      <c r="X167">
        <f>HYPERLINK("https://klasma.github.io/Logging_2260/tillsyn/A 38774-2023 tillsynsbegäran.docx", "A 38774-2023")</f>
        <v/>
      </c>
      <c r="Y167">
        <f>HYPERLINK("https://klasma.github.io/Logging_2260/tillsynsmail/A 38774-2023 tillsynsbegäran mail.docx", "A 38774-2023")</f>
        <v/>
      </c>
    </row>
    <row r="168" ht="15" customHeight="1">
      <c r="A168" t="inlineStr">
        <is>
          <t>A 39499-2023</t>
        </is>
      </c>
      <c r="B168" s="1" t="n">
        <v>45166</v>
      </c>
      <c r="C168" s="1" t="n">
        <v>45258</v>
      </c>
      <c r="D168" t="inlineStr">
        <is>
          <t>VÄSTERNORRLANDS LÄN</t>
        </is>
      </c>
      <c r="E168" t="inlineStr">
        <is>
          <t>ÅNGE</t>
        </is>
      </c>
      <c r="F168" t="inlineStr">
        <is>
          <t>SCA</t>
        </is>
      </c>
      <c r="G168" t="n">
        <v>9</v>
      </c>
      <c r="H168" t="n">
        <v>1</v>
      </c>
      <c r="I168" t="n">
        <v>0</v>
      </c>
      <c r="J168" t="n">
        <v>1</v>
      </c>
      <c r="K168" t="n">
        <v>0</v>
      </c>
      <c r="L168" t="n">
        <v>0</v>
      </c>
      <c r="M168" t="n">
        <v>0</v>
      </c>
      <c r="N168" t="n">
        <v>0</v>
      </c>
      <c r="O168" t="n">
        <v>1</v>
      </c>
      <c r="P168" t="n">
        <v>0</v>
      </c>
      <c r="Q168" t="n">
        <v>1</v>
      </c>
      <c r="R168" s="2" t="inlineStr">
        <is>
          <t>Rödvingetrast</t>
        </is>
      </c>
      <c r="S168">
        <f>HYPERLINK("https://klasma.github.io/Logging_2260/artfynd/A 39499-2023 artfynd.xlsx", "A 39499-2023")</f>
        <v/>
      </c>
      <c r="T168">
        <f>HYPERLINK("https://klasma.github.io/Logging_2260/kartor/A 39499-2023 karta.png", "A 39499-2023")</f>
        <v/>
      </c>
      <c r="V168">
        <f>HYPERLINK("https://klasma.github.io/Logging_2260/klagomål/A 39499-2023 FSC-klagomål.docx", "A 39499-2023")</f>
        <v/>
      </c>
      <c r="W168">
        <f>HYPERLINK("https://klasma.github.io/Logging_2260/klagomålsmail/A 39499-2023 FSC-klagomål mail.docx", "A 39499-2023")</f>
        <v/>
      </c>
      <c r="X168">
        <f>HYPERLINK("https://klasma.github.io/Logging_2260/tillsyn/A 39499-2023 tillsynsbegäran.docx", "A 39499-2023")</f>
        <v/>
      </c>
      <c r="Y168">
        <f>HYPERLINK("https://klasma.github.io/Logging_2260/tillsynsmail/A 39499-2023 tillsynsbegäran mail.docx", "A 39499-2023")</f>
        <v/>
      </c>
    </row>
    <row r="169" ht="15" customHeight="1">
      <c r="A169" t="inlineStr">
        <is>
          <t>A 40776-2023</t>
        </is>
      </c>
      <c r="B169" s="1" t="n">
        <v>45170</v>
      </c>
      <c r="C169" s="1" t="n">
        <v>45258</v>
      </c>
      <c r="D169" t="inlineStr">
        <is>
          <t>VÄSTERNORRLANDS LÄN</t>
        </is>
      </c>
      <c r="E169" t="inlineStr">
        <is>
          <t>ÅNGE</t>
        </is>
      </c>
      <c r="F169" t="inlineStr">
        <is>
          <t>SCA</t>
        </is>
      </c>
      <c r="G169" t="n">
        <v>3</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40776-2023 artfynd.xlsx", "A 40776-2023")</f>
        <v/>
      </c>
      <c r="T169">
        <f>HYPERLINK("https://klasma.github.io/Logging_2260/kartor/A 40776-2023 karta.png", "A 40776-2023")</f>
        <v/>
      </c>
      <c r="V169">
        <f>HYPERLINK("https://klasma.github.io/Logging_2260/klagomål/A 40776-2023 FSC-klagomål.docx", "A 40776-2023")</f>
        <v/>
      </c>
      <c r="W169">
        <f>HYPERLINK("https://klasma.github.io/Logging_2260/klagomålsmail/A 40776-2023 FSC-klagomål mail.docx", "A 40776-2023")</f>
        <v/>
      </c>
      <c r="X169">
        <f>HYPERLINK("https://klasma.github.io/Logging_2260/tillsyn/A 40776-2023 tillsynsbegäran.docx", "A 40776-2023")</f>
        <v/>
      </c>
      <c r="Y169">
        <f>HYPERLINK("https://klasma.github.io/Logging_2260/tillsynsmail/A 40776-2023 tillsynsbegäran mail.docx", "A 40776-2023")</f>
        <v/>
      </c>
    </row>
    <row r="170" ht="15" customHeight="1">
      <c r="A170" t="inlineStr">
        <is>
          <t>A 45018-2023</t>
        </is>
      </c>
      <c r="B170" s="1" t="n">
        <v>45190</v>
      </c>
      <c r="C170" s="1" t="n">
        <v>45258</v>
      </c>
      <c r="D170" t="inlineStr">
        <is>
          <t>VÄSTERNORRLANDS LÄN</t>
        </is>
      </c>
      <c r="E170" t="inlineStr">
        <is>
          <t>ÅNGE</t>
        </is>
      </c>
      <c r="F170" t="inlineStr">
        <is>
          <t>SCA</t>
        </is>
      </c>
      <c r="G170" t="n">
        <v>4.8</v>
      </c>
      <c r="H170" t="n">
        <v>1</v>
      </c>
      <c r="I170" t="n">
        <v>0</v>
      </c>
      <c r="J170" t="n">
        <v>0</v>
      </c>
      <c r="K170" t="n">
        <v>1</v>
      </c>
      <c r="L170" t="n">
        <v>0</v>
      </c>
      <c r="M170" t="n">
        <v>0</v>
      </c>
      <c r="N170" t="n">
        <v>0</v>
      </c>
      <c r="O170" t="n">
        <v>1</v>
      </c>
      <c r="P170" t="n">
        <v>1</v>
      </c>
      <c r="Q170" t="n">
        <v>1</v>
      </c>
      <c r="R170" s="2" t="inlineStr">
        <is>
          <t>Knärot</t>
        </is>
      </c>
      <c r="S170">
        <f>HYPERLINK("https://klasma.github.io/Logging_2260/artfynd/A 45018-2023 artfynd.xlsx", "A 45018-2023")</f>
        <v/>
      </c>
      <c r="T170">
        <f>HYPERLINK("https://klasma.github.io/Logging_2260/kartor/A 45018-2023 karta.png", "A 45018-2023")</f>
        <v/>
      </c>
      <c r="U170">
        <f>HYPERLINK("https://klasma.github.io/Logging_2260/knärot/A 45018-2023 karta knärot.png", "A 45018-2023")</f>
        <v/>
      </c>
      <c r="V170">
        <f>HYPERLINK("https://klasma.github.io/Logging_2260/klagomål/A 45018-2023 FSC-klagomål.docx", "A 45018-2023")</f>
        <v/>
      </c>
      <c r="W170">
        <f>HYPERLINK("https://klasma.github.io/Logging_2260/klagomålsmail/A 45018-2023 FSC-klagomål mail.docx", "A 45018-2023")</f>
        <v/>
      </c>
      <c r="X170">
        <f>HYPERLINK("https://klasma.github.io/Logging_2260/tillsyn/A 45018-2023 tillsynsbegäran.docx", "A 45018-2023")</f>
        <v/>
      </c>
      <c r="Y170">
        <f>HYPERLINK("https://klasma.github.io/Logging_2260/tillsynsmail/A 45018-2023 tillsynsbegäran mail.docx", "A 45018-2023")</f>
        <v/>
      </c>
    </row>
    <row r="171" ht="15" customHeight="1">
      <c r="A171" t="inlineStr">
        <is>
          <t>A 52424-2023</t>
        </is>
      </c>
      <c r="B171" s="1" t="n">
        <v>45217</v>
      </c>
      <c r="C171" s="1" t="n">
        <v>45258</v>
      </c>
      <c r="D171" t="inlineStr">
        <is>
          <t>VÄSTERNORRLANDS LÄN</t>
        </is>
      </c>
      <c r="E171" t="inlineStr">
        <is>
          <t>ÅNGE</t>
        </is>
      </c>
      <c r="F171" t="inlineStr">
        <is>
          <t>SCA</t>
        </is>
      </c>
      <c r="G171" t="n">
        <v>3.8</v>
      </c>
      <c r="H171" t="n">
        <v>1</v>
      </c>
      <c r="I171" t="n">
        <v>0</v>
      </c>
      <c r="J171" t="n">
        <v>0</v>
      </c>
      <c r="K171" t="n">
        <v>0</v>
      </c>
      <c r="L171" t="n">
        <v>0</v>
      </c>
      <c r="M171" t="n">
        <v>0</v>
      </c>
      <c r="N171" t="n">
        <v>0</v>
      </c>
      <c r="O171" t="n">
        <v>0</v>
      </c>
      <c r="P171" t="n">
        <v>0</v>
      </c>
      <c r="Q171" t="n">
        <v>1</v>
      </c>
      <c r="R171" s="2" t="inlineStr">
        <is>
          <t>Revlummer</t>
        </is>
      </c>
      <c r="S171">
        <f>HYPERLINK("https://klasma.github.io/Logging_2260/artfynd/A 52424-2023 artfynd.xlsx", "A 52424-2023")</f>
        <v/>
      </c>
      <c r="T171">
        <f>HYPERLINK("https://klasma.github.io/Logging_2260/kartor/A 52424-2023 karta.png", "A 52424-2023")</f>
        <v/>
      </c>
      <c r="V171">
        <f>HYPERLINK("https://klasma.github.io/Logging_2260/klagomål/A 52424-2023 FSC-klagomål.docx", "A 52424-2023")</f>
        <v/>
      </c>
      <c r="W171">
        <f>HYPERLINK("https://klasma.github.io/Logging_2260/klagomålsmail/A 52424-2023 FSC-klagomål mail.docx", "A 52424-2023")</f>
        <v/>
      </c>
      <c r="X171">
        <f>HYPERLINK("https://klasma.github.io/Logging_2260/tillsyn/A 52424-2023 tillsynsbegäran.docx", "A 52424-2023")</f>
        <v/>
      </c>
      <c r="Y171">
        <f>HYPERLINK("https://klasma.github.io/Logging_2260/tillsynsmail/A 52424-2023 tillsynsbegäran mail.docx", "A 52424-2023")</f>
        <v/>
      </c>
    </row>
    <row r="172" ht="15" customHeight="1">
      <c r="A172" t="inlineStr">
        <is>
          <t>A 53456-2023</t>
        </is>
      </c>
      <c r="B172" s="1" t="n">
        <v>45229</v>
      </c>
      <c r="C172" s="1" t="n">
        <v>45258</v>
      </c>
      <c r="D172" t="inlineStr">
        <is>
          <t>VÄSTERNORRLANDS LÄN</t>
        </is>
      </c>
      <c r="E172" t="inlineStr">
        <is>
          <t>ÅNGE</t>
        </is>
      </c>
      <c r="F172" t="inlineStr">
        <is>
          <t>SCA</t>
        </is>
      </c>
      <c r="G172" t="n">
        <v>23.4</v>
      </c>
      <c r="H172" t="n">
        <v>1</v>
      </c>
      <c r="I172" t="n">
        <v>0</v>
      </c>
      <c r="J172" t="n">
        <v>0</v>
      </c>
      <c r="K172" t="n">
        <v>1</v>
      </c>
      <c r="L172" t="n">
        <v>0</v>
      </c>
      <c r="M172" t="n">
        <v>0</v>
      </c>
      <c r="N172" t="n">
        <v>0</v>
      </c>
      <c r="O172" t="n">
        <v>1</v>
      </c>
      <c r="P172" t="n">
        <v>1</v>
      </c>
      <c r="Q172" t="n">
        <v>1</v>
      </c>
      <c r="R172" s="2" t="inlineStr">
        <is>
          <t>Knärot</t>
        </is>
      </c>
      <c r="S172">
        <f>HYPERLINK("https://klasma.github.io/Logging_2260/artfynd/A 53456-2023 artfynd.xlsx", "A 53456-2023")</f>
        <v/>
      </c>
      <c r="T172">
        <f>HYPERLINK("https://klasma.github.io/Logging_2260/kartor/A 53456-2023 karta.png", "A 53456-2023")</f>
        <v/>
      </c>
      <c r="U172">
        <f>HYPERLINK("https://klasma.github.io/Logging_2260/knärot/A 53456-2023 karta knärot.png", "A 53456-2023")</f>
        <v/>
      </c>
      <c r="V172">
        <f>HYPERLINK("https://klasma.github.io/Logging_2260/klagomål/A 53456-2023 FSC-klagomål.docx", "A 53456-2023")</f>
        <v/>
      </c>
      <c r="W172">
        <f>HYPERLINK("https://klasma.github.io/Logging_2260/klagomålsmail/A 53456-2023 FSC-klagomål mail.docx", "A 53456-2023")</f>
        <v/>
      </c>
      <c r="X172">
        <f>HYPERLINK("https://klasma.github.io/Logging_2260/tillsyn/A 53456-2023 tillsynsbegäran.docx", "A 53456-2023")</f>
        <v/>
      </c>
      <c r="Y172">
        <f>HYPERLINK("https://klasma.github.io/Logging_2260/tillsynsmail/A 53456-2023 tillsynsbegäran mail.docx", "A 53456-2023")</f>
        <v/>
      </c>
    </row>
    <row r="173" ht="15" customHeight="1">
      <c r="A173" t="inlineStr">
        <is>
          <t>A 54676-2023</t>
        </is>
      </c>
      <c r="B173" s="1" t="n">
        <v>45235</v>
      </c>
      <c r="C173" s="1" t="n">
        <v>45258</v>
      </c>
      <c r="D173" t="inlineStr">
        <is>
          <t>VÄSTERNORRLANDS LÄN</t>
        </is>
      </c>
      <c r="E173" t="inlineStr">
        <is>
          <t>ÅNGE</t>
        </is>
      </c>
      <c r="G173" t="n">
        <v>9</v>
      </c>
      <c r="H173" t="n">
        <v>0</v>
      </c>
      <c r="I173" t="n">
        <v>0</v>
      </c>
      <c r="J173" t="n">
        <v>0</v>
      </c>
      <c r="K173" t="n">
        <v>1</v>
      </c>
      <c r="L173" t="n">
        <v>0</v>
      </c>
      <c r="M173" t="n">
        <v>0</v>
      </c>
      <c r="N173" t="n">
        <v>0</v>
      </c>
      <c r="O173" t="n">
        <v>1</v>
      </c>
      <c r="P173" t="n">
        <v>1</v>
      </c>
      <c r="Q173" t="n">
        <v>1</v>
      </c>
      <c r="R173" s="2" t="inlineStr">
        <is>
          <t>Rynkskinn</t>
        </is>
      </c>
      <c r="S173">
        <f>HYPERLINK("https://klasma.github.io/Logging_2260/artfynd/A 54676-2023 artfynd.xlsx", "A 54676-2023")</f>
        <v/>
      </c>
      <c r="T173">
        <f>HYPERLINK("https://klasma.github.io/Logging_2260/kartor/A 54676-2023 karta.png", "A 54676-2023")</f>
        <v/>
      </c>
      <c r="U173">
        <f>HYPERLINK("https://klasma.github.io/Logging_2260/knärot/A 54676-2023 karta knärot.png", "A 54676-2023")</f>
        <v/>
      </c>
      <c r="V173">
        <f>HYPERLINK("https://klasma.github.io/Logging_2260/klagomål/A 54676-2023 FSC-klagomål.docx", "A 54676-2023")</f>
        <v/>
      </c>
      <c r="W173">
        <f>HYPERLINK("https://klasma.github.io/Logging_2260/klagomålsmail/A 54676-2023 FSC-klagomål mail.docx", "A 54676-2023")</f>
        <v/>
      </c>
      <c r="X173">
        <f>HYPERLINK("https://klasma.github.io/Logging_2260/tillsyn/A 54676-2023 tillsynsbegäran.docx", "A 54676-2023")</f>
        <v/>
      </c>
      <c r="Y173">
        <f>HYPERLINK("https://klasma.github.io/Logging_2260/tillsynsmail/A 54676-2023 tillsynsbegäran mail.docx", "A 54676-2023")</f>
        <v/>
      </c>
    </row>
    <row r="174" ht="15" customHeight="1">
      <c r="A174" t="inlineStr">
        <is>
          <t>A 58775-2023</t>
        </is>
      </c>
      <c r="B174" s="1" t="n">
        <v>45252</v>
      </c>
      <c r="C174" s="1" t="n">
        <v>45258</v>
      </c>
      <c r="D174" t="inlineStr">
        <is>
          <t>VÄSTERNORRLANDS LÄN</t>
        </is>
      </c>
      <c r="E174" t="inlineStr">
        <is>
          <t>ÅNGE</t>
        </is>
      </c>
      <c r="F174" t="inlineStr">
        <is>
          <t>SCA</t>
        </is>
      </c>
      <c r="G174" t="n">
        <v>1.4</v>
      </c>
      <c r="H174" t="n">
        <v>0</v>
      </c>
      <c r="I174" t="n">
        <v>0</v>
      </c>
      <c r="J174" t="n">
        <v>1</v>
      </c>
      <c r="K174" t="n">
        <v>0</v>
      </c>
      <c r="L174" t="n">
        <v>0</v>
      </c>
      <c r="M174" t="n">
        <v>0</v>
      </c>
      <c r="N174" t="n">
        <v>0</v>
      </c>
      <c r="O174" t="n">
        <v>1</v>
      </c>
      <c r="P174" t="n">
        <v>0</v>
      </c>
      <c r="Q174" t="n">
        <v>1</v>
      </c>
      <c r="R174" s="2" t="inlineStr">
        <is>
          <t>Lunglav</t>
        </is>
      </c>
      <c r="S174">
        <f>HYPERLINK("https://klasma.github.io/Logging_2260/artfynd/A 58775-2023 artfynd.xlsx", "A 58775-2023")</f>
        <v/>
      </c>
      <c r="T174">
        <f>HYPERLINK("https://klasma.github.io/Logging_2260/kartor/A 58775-2023 karta.png", "A 58775-2023")</f>
        <v/>
      </c>
      <c r="V174">
        <f>HYPERLINK("https://klasma.github.io/Logging_2260/klagomål/A 58775-2023 FSC-klagomål.docx", "A 58775-2023")</f>
        <v/>
      </c>
      <c r="W174">
        <f>HYPERLINK("https://klasma.github.io/Logging_2260/klagomålsmail/A 58775-2023 FSC-klagomål mail.docx", "A 58775-2023")</f>
        <v/>
      </c>
      <c r="X174">
        <f>HYPERLINK("https://klasma.github.io/Logging_2260/tillsyn/A 58775-2023 tillsynsbegäran.docx", "A 58775-2023")</f>
        <v/>
      </c>
      <c r="Y174">
        <f>HYPERLINK("https://klasma.github.io/Logging_2260/tillsynsmail/A 58775-2023 tillsynsbegäran mail.docx", "A 58775-2023")</f>
        <v/>
      </c>
    </row>
    <row r="175" ht="15" customHeight="1">
      <c r="A175" t="inlineStr">
        <is>
          <t>A 37755-2018</t>
        </is>
      </c>
      <c r="B175" s="1" t="n">
        <v>43334</v>
      </c>
      <c r="C175" s="1" t="n">
        <v>45258</v>
      </c>
      <c r="D175" t="inlineStr">
        <is>
          <t>VÄSTERNORRLANDS LÄN</t>
        </is>
      </c>
      <c r="E175" t="inlineStr">
        <is>
          <t>ÅNGE</t>
        </is>
      </c>
      <c r="G175" t="n">
        <v>0.2</v>
      </c>
      <c r="H175" t="n">
        <v>0</v>
      </c>
      <c r="I175" t="n">
        <v>0</v>
      </c>
      <c r="J175" t="n">
        <v>0</v>
      </c>
      <c r="K175" t="n">
        <v>0</v>
      </c>
      <c r="L175" t="n">
        <v>0</v>
      </c>
      <c r="M175" t="n">
        <v>0</v>
      </c>
      <c r="N175" t="n">
        <v>0</v>
      </c>
      <c r="O175" t="n">
        <v>0</v>
      </c>
      <c r="P175" t="n">
        <v>0</v>
      </c>
      <c r="Q175" t="n">
        <v>0</v>
      </c>
      <c r="R175" s="2" t="inlineStr"/>
    </row>
    <row r="176" ht="15" customHeight="1">
      <c r="A176" t="inlineStr">
        <is>
          <t>A 37747-2018</t>
        </is>
      </c>
      <c r="B176" s="1" t="n">
        <v>43334</v>
      </c>
      <c r="C176" s="1" t="n">
        <v>45258</v>
      </c>
      <c r="D176" t="inlineStr">
        <is>
          <t>VÄSTERNORRLANDS LÄN</t>
        </is>
      </c>
      <c r="E176" t="inlineStr">
        <is>
          <t>ÅNGE</t>
        </is>
      </c>
      <c r="G176" t="n">
        <v>0.1</v>
      </c>
      <c r="H176" t="n">
        <v>0</v>
      </c>
      <c r="I176" t="n">
        <v>0</v>
      </c>
      <c r="J176" t="n">
        <v>0</v>
      </c>
      <c r="K176" t="n">
        <v>0</v>
      </c>
      <c r="L176" t="n">
        <v>0</v>
      </c>
      <c r="M176" t="n">
        <v>0</v>
      </c>
      <c r="N176" t="n">
        <v>0</v>
      </c>
      <c r="O176" t="n">
        <v>0</v>
      </c>
      <c r="P176" t="n">
        <v>0</v>
      </c>
      <c r="Q176" t="n">
        <v>0</v>
      </c>
      <c r="R176" s="2" t="inlineStr"/>
    </row>
    <row r="177" ht="15" customHeight="1">
      <c r="A177" t="inlineStr">
        <is>
          <t>A 38943-2018</t>
        </is>
      </c>
      <c r="B177" s="1" t="n">
        <v>43336</v>
      </c>
      <c r="C177" s="1" t="n">
        <v>45258</v>
      </c>
      <c r="D177" t="inlineStr">
        <is>
          <t>VÄSTERNORRLANDS LÄN</t>
        </is>
      </c>
      <c r="E177" t="inlineStr">
        <is>
          <t>ÅNGE</t>
        </is>
      </c>
      <c r="G177" t="n">
        <v>2.7</v>
      </c>
      <c r="H177" t="n">
        <v>0</v>
      </c>
      <c r="I177" t="n">
        <v>0</v>
      </c>
      <c r="J177" t="n">
        <v>0</v>
      </c>
      <c r="K177" t="n">
        <v>0</v>
      </c>
      <c r="L177" t="n">
        <v>0</v>
      </c>
      <c r="M177" t="n">
        <v>0</v>
      </c>
      <c r="N177" t="n">
        <v>0</v>
      </c>
      <c r="O177" t="n">
        <v>0</v>
      </c>
      <c r="P177" t="n">
        <v>0</v>
      </c>
      <c r="Q177" t="n">
        <v>0</v>
      </c>
      <c r="R177" s="2" t="inlineStr"/>
    </row>
    <row r="178" ht="15" customHeight="1">
      <c r="A178" t="inlineStr">
        <is>
          <t>A 39508-2018</t>
        </is>
      </c>
      <c r="B178" s="1" t="n">
        <v>43340</v>
      </c>
      <c r="C178" s="1" t="n">
        <v>45258</v>
      </c>
      <c r="D178" t="inlineStr">
        <is>
          <t>VÄSTERNORRLANDS LÄN</t>
        </is>
      </c>
      <c r="E178" t="inlineStr">
        <is>
          <t>ÅNGE</t>
        </is>
      </c>
      <c r="G178" t="n">
        <v>0.6</v>
      </c>
      <c r="H178" t="n">
        <v>0</v>
      </c>
      <c r="I178" t="n">
        <v>0</v>
      </c>
      <c r="J178" t="n">
        <v>0</v>
      </c>
      <c r="K178" t="n">
        <v>0</v>
      </c>
      <c r="L178" t="n">
        <v>0</v>
      </c>
      <c r="M178" t="n">
        <v>0</v>
      </c>
      <c r="N178" t="n">
        <v>0</v>
      </c>
      <c r="O178" t="n">
        <v>0</v>
      </c>
      <c r="P178" t="n">
        <v>0</v>
      </c>
      <c r="Q178" t="n">
        <v>0</v>
      </c>
      <c r="R178" s="2" t="inlineStr"/>
    </row>
    <row r="179" ht="15" customHeight="1">
      <c r="A179" t="inlineStr">
        <is>
          <t>A 49165-2018</t>
        </is>
      </c>
      <c r="B179" s="1" t="n">
        <v>43375</v>
      </c>
      <c r="C179" s="1" t="n">
        <v>45258</v>
      </c>
      <c r="D179" t="inlineStr">
        <is>
          <t>VÄSTERNORRLANDS LÄN</t>
        </is>
      </c>
      <c r="E179" t="inlineStr">
        <is>
          <t>ÅNGE</t>
        </is>
      </c>
      <c r="G179" t="n">
        <v>7.8</v>
      </c>
      <c r="H179" t="n">
        <v>0</v>
      </c>
      <c r="I179" t="n">
        <v>0</v>
      </c>
      <c r="J179" t="n">
        <v>0</v>
      </c>
      <c r="K179" t="n">
        <v>0</v>
      </c>
      <c r="L179" t="n">
        <v>0</v>
      </c>
      <c r="M179" t="n">
        <v>0</v>
      </c>
      <c r="N179" t="n">
        <v>0</v>
      </c>
      <c r="O179" t="n">
        <v>0</v>
      </c>
      <c r="P179" t="n">
        <v>0</v>
      </c>
      <c r="Q179" t="n">
        <v>0</v>
      </c>
      <c r="R179" s="2" t="inlineStr"/>
    </row>
    <row r="180" ht="15" customHeight="1">
      <c r="A180" t="inlineStr">
        <is>
          <t>A 49658-2018</t>
        </is>
      </c>
      <c r="B180" s="1" t="n">
        <v>43376</v>
      </c>
      <c r="C180" s="1" t="n">
        <v>45258</v>
      </c>
      <c r="D180" t="inlineStr">
        <is>
          <t>VÄSTERNORRLANDS LÄN</t>
        </is>
      </c>
      <c r="E180" t="inlineStr">
        <is>
          <t>ÅNGE</t>
        </is>
      </c>
      <c r="F180" t="inlineStr">
        <is>
          <t>Kyrkan</t>
        </is>
      </c>
      <c r="G180" t="n">
        <v>1.3</v>
      </c>
      <c r="H180" t="n">
        <v>0</v>
      </c>
      <c r="I180" t="n">
        <v>0</v>
      </c>
      <c r="J180" t="n">
        <v>0</v>
      </c>
      <c r="K180" t="n">
        <v>0</v>
      </c>
      <c r="L180" t="n">
        <v>0</v>
      </c>
      <c r="M180" t="n">
        <v>0</v>
      </c>
      <c r="N180" t="n">
        <v>0</v>
      </c>
      <c r="O180" t="n">
        <v>0</v>
      </c>
      <c r="P180" t="n">
        <v>0</v>
      </c>
      <c r="Q180" t="n">
        <v>0</v>
      </c>
      <c r="R180" s="2" t="inlineStr"/>
    </row>
    <row r="181" ht="15" customHeight="1">
      <c r="A181" t="inlineStr">
        <is>
          <t>A 52621-2018</t>
        </is>
      </c>
      <c r="B181" s="1" t="n">
        <v>43383</v>
      </c>
      <c r="C181" s="1" t="n">
        <v>45258</v>
      </c>
      <c r="D181" t="inlineStr">
        <is>
          <t>VÄSTERNORRLANDS LÄN</t>
        </is>
      </c>
      <c r="E181" t="inlineStr">
        <is>
          <t>ÅNGE</t>
        </is>
      </c>
      <c r="G181" t="n">
        <v>2.1</v>
      </c>
      <c r="H181" t="n">
        <v>0</v>
      </c>
      <c r="I181" t="n">
        <v>0</v>
      </c>
      <c r="J181" t="n">
        <v>0</v>
      </c>
      <c r="K181" t="n">
        <v>0</v>
      </c>
      <c r="L181" t="n">
        <v>0</v>
      </c>
      <c r="M181" t="n">
        <v>0</v>
      </c>
      <c r="N181" t="n">
        <v>0</v>
      </c>
      <c r="O181" t="n">
        <v>0</v>
      </c>
      <c r="P181" t="n">
        <v>0</v>
      </c>
      <c r="Q181" t="n">
        <v>0</v>
      </c>
      <c r="R181" s="2" t="inlineStr"/>
    </row>
    <row r="182" ht="15" customHeight="1">
      <c r="A182" t="inlineStr">
        <is>
          <t>A 56839-2018</t>
        </is>
      </c>
      <c r="B182" s="1" t="n">
        <v>43402</v>
      </c>
      <c r="C182" s="1" t="n">
        <v>45258</v>
      </c>
      <c r="D182" t="inlineStr">
        <is>
          <t>VÄSTERNORRLANDS LÄN</t>
        </is>
      </c>
      <c r="E182" t="inlineStr">
        <is>
          <t>ÅNGE</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56838-2018</t>
        </is>
      </c>
      <c r="B183" s="1" t="n">
        <v>43402</v>
      </c>
      <c r="C183" s="1" t="n">
        <v>45258</v>
      </c>
      <c r="D183" t="inlineStr">
        <is>
          <t>VÄSTERNORRLANDS LÄN</t>
        </is>
      </c>
      <c r="E183" t="inlineStr">
        <is>
          <t>ÅNGE</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57613-2018</t>
        </is>
      </c>
      <c r="B184" s="1" t="n">
        <v>43404</v>
      </c>
      <c r="C184" s="1" t="n">
        <v>45258</v>
      </c>
      <c r="D184" t="inlineStr">
        <is>
          <t>VÄSTERNORRLANDS LÄN</t>
        </is>
      </c>
      <c r="E184" t="inlineStr">
        <is>
          <t>ÅNGE</t>
        </is>
      </c>
      <c r="G184" t="n">
        <v>1.4</v>
      </c>
      <c r="H184" t="n">
        <v>0</v>
      </c>
      <c r="I184" t="n">
        <v>0</v>
      </c>
      <c r="J184" t="n">
        <v>0</v>
      </c>
      <c r="K184" t="n">
        <v>0</v>
      </c>
      <c r="L184" t="n">
        <v>0</v>
      </c>
      <c r="M184" t="n">
        <v>0</v>
      </c>
      <c r="N184" t="n">
        <v>0</v>
      </c>
      <c r="O184" t="n">
        <v>0</v>
      </c>
      <c r="P184" t="n">
        <v>0</v>
      </c>
      <c r="Q184" t="n">
        <v>0</v>
      </c>
      <c r="R184" s="2" t="inlineStr"/>
    </row>
    <row r="185" ht="15" customHeight="1">
      <c r="A185" t="inlineStr">
        <is>
          <t>A 57616-2018</t>
        </is>
      </c>
      <c r="B185" s="1" t="n">
        <v>43404</v>
      </c>
      <c r="C185" s="1" t="n">
        <v>45258</v>
      </c>
      <c r="D185" t="inlineStr">
        <is>
          <t>VÄSTERNORRLANDS LÄN</t>
        </is>
      </c>
      <c r="E185" t="inlineStr">
        <is>
          <t>ÅNGE</t>
        </is>
      </c>
      <c r="G185" t="n">
        <v>0.6</v>
      </c>
      <c r="H185" t="n">
        <v>0</v>
      </c>
      <c r="I185" t="n">
        <v>0</v>
      </c>
      <c r="J185" t="n">
        <v>0</v>
      </c>
      <c r="K185" t="n">
        <v>0</v>
      </c>
      <c r="L185" t="n">
        <v>0</v>
      </c>
      <c r="M185" t="n">
        <v>0</v>
      </c>
      <c r="N185" t="n">
        <v>0</v>
      </c>
      <c r="O185" t="n">
        <v>0</v>
      </c>
      <c r="P185" t="n">
        <v>0</v>
      </c>
      <c r="Q185" t="n">
        <v>0</v>
      </c>
      <c r="R185" s="2" t="inlineStr"/>
    </row>
    <row r="186" ht="15" customHeight="1">
      <c r="A186" t="inlineStr">
        <is>
          <t>A 58567-2018</t>
        </is>
      </c>
      <c r="B186" s="1" t="n">
        <v>43409</v>
      </c>
      <c r="C186" s="1" t="n">
        <v>45258</v>
      </c>
      <c r="D186" t="inlineStr">
        <is>
          <t>VÄSTERNORRLANDS LÄN</t>
        </is>
      </c>
      <c r="E186" t="inlineStr">
        <is>
          <t>ÅNGE</t>
        </is>
      </c>
      <c r="F186" t="inlineStr">
        <is>
          <t>SCA</t>
        </is>
      </c>
      <c r="G186" t="n">
        <v>12.7</v>
      </c>
      <c r="H186" t="n">
        <v>0</v>
      </c>
      <c r="I186" t="n">
        <v>0</v>
      </c>
      <c r="J186" t="n">
        <v>0</v>
      </c>
      <c r="K186" t="n">
        <v>0</v>
      </c>
      <c r="L186" t="n">
        <v>0</v>
      </c>
      <c r="M186" t="n">
        <v>0</v>
      </c>
      <c r="N186" t="n">
        <v>0</v>
      </c>
      <c r="O186" t="n">
        <v>0</v>
      </c>
      <c r="P186" t="n">
        <v>0</v>
      </c>
      <c r="Q186" t="n">
        <v>0</v>
      </c>
      <c r="R186" s="2" t="inlineStr"/>
    </row>
    <row r="187" ht="15" customHeight="1">
      <c r="A187" t="inlineStr">
        <is>
          <t>A 58920-2018</t>
        </is>
      </c>
      <c r="B187" s="1" t="n">
        <v>43410</v>
      </c>
      <c r="C187" s="1" t="n">
        <v>45258</v>
      </c>
      <c r="D187" t="inlineStr">
        <is>
          <t>VÄSTERNORRLANDS LÄN</t>
        </is>
      </c>
      <c r="E187" t="inlineStr">
        <is>
          <t>ÅNGE</t>
        </is>
      </c>
      <c r="G187" t="n">
        <v>2.4</v>
      </c>
      <c r="H187" t="n">
        <v>0</v>
      </c>
      <c r="I187" t="n">
        <v>0</v>
      </c>
      <c r="J187" t="n">
        <v>0</v>
      </c>
      <c r="K187" t="n">
        <v>0</v>
      </c>
      <c r="L187" t="n">
        <v>0</v>
      </c>
      <c r="M187" t="n">
        <v>0</v>
      </c>
      <c r="N187" t="n">
        <v>0</v>
      </c>
      <c r="O187" t="n">
        <v>0</v>
      </c>
      <c r="P187" t="n">
        <v>0</v>
      </c>
      <c r="Q187" t="n">
        <v>0</v>
      </c>
      <c r="R187" s="2" t="inlineStr"/>
    </row>
    <row r="188" ht="15" customHeight="1">
      <c r="A188" t="inlineStr">
        <is>
          <t>A 58790-2018</t>
        </is>
      </c>
      <c r="B188" s="1" t="n">
        <v>43410</v>
      </c>
      <c r="C188" s="1" t="n">
        <v>45258</v>
      </c>
      <c r="D188" t="inlineStr">
        <is>
          <t>VÄSTERNORRLANDS LÄN</t>
        </is>
      </c>
      <c r="E188" t="inlineStr">
        <is>
          <t>ÅNGE</t>
        </is>
      </c>
      <c r="G188" t="n">
        <v>0.7</v>
      </c>
      <c r="H188" t="n">
        <v>0</v>
      </c>
      <c r="I188" t="n">
        <v>0</v>
      </c>
      <c r="J188" t="n">
        <v>0</v>
      </c>
      <c r="K188" t="n">
        <v>0</v>
      </c>
      <c r="L188" t="n">
        <v>0</v>
      </c>
      <c r="M188" t="n">
        <v>0</v>
      </c>
      <c r="N188" t="n">
        <v>0</v>
      </c>
      <c r="O188" t="n">
        <v>0</v>
      </c>
      <c r="P188" t="n">
        <v>0</v>
      </c>
      <c r="Q188" t="n">
        <v>0</v>
      </c>
      <c r="R188" s="2" t="inlineStr"/>
    </row>
    <row r="189" ht="15" customHeight="1">
      <c r="A189" t="inlineStr">
        <is>
          <t>A 59691-2018</t>
        </is>
      </c>
      <c r="B189" s="1" t="n">
        <v>43411</v>
      </c>
      <c r="C189" s="1" t="n">
        <v>45258</v>
      </c>
      <c r="D189" t="inlineStr">
        <is>
          <t>VÄSTERNORRLANDS LÄN</t>
        </is>
      </c>
      <c r="E189" t="inlineStr">
        <is>
          <t>ÅNGE</t>
        </is>
      </c>
      <c r="G189" t="n">
        <v>2.6</v>
      </c>
      <c r="H189" t="n">
        <v>0</v>
      </c>
      <c r="I189" t="n">
        <v>0</v>
      </c>
      <c r="J189" t="n">
        <v>0</v>
      </c>
      <c r="K189" t="n">
        <v>0</v>
      </c>
      <c r="L189" t="n">
        <v>0</v>
      </c>
      <c r="M189" t="n">
        <v>0</v>
      </c>
      <c r="N189" t="n">
        <v>0</v>
      </c>
      <c r="O189" t="n">
        <v>0</v>
      </c>
      <c r="P189" t="n">
        <v>0</v>
      </c>
      <c r="Q189" t="n">
        <v>0</v>
      </c>
      <c r="R189" s="2" t="inlineStr"/>
    </row>
    <row r="190" ht="15" customHeight="1">
      <c r="A190" t="inlineStr">
        <is>
          <t>A 59989-2018</t>
        </is>
      </c>
      <c r="B190" s="1" t="n">
        <v>43411</v>
      </c>
      <c r="C190" s="1" t="n">
        <v>45258</v>
      </c>
      <c r="D190" t="inlineStr">
        <is>
          <t>VÄSTERNORRLANDS LÄN</t>
        </is>
      </c>
      <c r="E190" t="inlineStr">
        <is>
          <t>ÅNGE</t>
        </is>
      </c>
      <c r="F190" t="inlineStr">
        <is>
          <t>SCA</t>
        </is>
      </c>
      <c r="G190" t="n">
        <v>14.2</v>
      </c>
      <c r="H190" t="n">
        <v>0</v>
      </c>
      <c r="I190" t="n">
        <v>0</v>
      </c>
      <c r="J190" t="n">
        <v>0</v>
      </c>
      <c r="K190" t="n">
        <v>0</v>
      </c>
      <c r="L190" t="n">
        <v>0</v>
      </c>
      <c r="M190" t="n">
        <v>0</v>
      </c>
      <c r="N190" t="n">
        <v>0</v>
      </c>
      <c r="O190" t="n">
        <v>0</v>
      </c>
      <c r="P190" t="n">
        <v>0</v>
      </c>
      <c r="Q190" t="n">
        <v>0</v>
      </c>
      <c r="R190" s="2" t="inlineStr"/>
    </row>
    <row r="191" ht="15" customHeight="1">
      <c r="A191" t="inlineStr">
        <is>
          <t>A 58971-2018</t>
        </is>
      </c>
      <c r="B191" s="1" t="n">
        <v>43411</v>
      </c>
      <c r="C191" s="1" t="n">
        <v>45258</v>
      </c>
      <c r="D191" t="inlineStr">
        <is>
          <t>VÄSTERNORRLANDS LÄN</t>
        </is>
      </c>
      <c r="E191" t="inlineStr">
        <is>
          <t>ÅNGE</t>
        </is>
      </c>
      <c r="G191" t="n">
        <v>4.3</v>
      </c>
      <c r="H191" t="n">
        <v>0</v>
      </c>
      <c r="I191" t="n">
        <v>0</v>
      </c>
      <c r="J191" t="n">
        <v>0</v>
      </c>
      <c r="K191" t="n">
        <v>0</v>
      </c>
      <c r="L191" t="n">
        <v>0</v>
      </c>
      <c r="M191" t="n">
        <v>0</v>
      </c>
      <c r="N191" t="n">
        <v>0</v>
      </c>
      <c r="O191" t="n">
        <v>0</v>
      </c>
      <c r="P191" t="n">
        <v>0</v>
      </c>
      <c r="Q191" t="n">
        <v>0</v>
      </c>
      <c r="R191" s="2" t="inlineStr"/>
    </row>
    <row r="192" ht="15" customHeight="1">
      <c r="A192" t="inlineStr">
        <is>
          <t>A 60015-2018</t>
        </is>
      </c>
      <c r="B192" s="1" t="n">
        <v>43412</v>
      </c>
      <c r="C192" s="1" t="n">
        <v>45258</v>
      </c>
      <c r="D192" t="inlineStr">
        <is>
          <t>VÄSTERNORRLANDS LÄN</t>
        </is>
      </c>
      <c r="E192" t="inlineStr">
        <is>
          <t>ÅNGE</t>
        </is>
      </c>
      <c r="G192" t="n">
        <v>0.4</v>
      </c>
      <c r="H192" t="n">
        <v>0</v>
      </c>
      <c r="I192" t="n">
        <v>0</v>
      </c>
      <c r="J192" t="n">
        <v>0</v>
      </c>
      <c r="K192" t="n">
        <v>0</v>
      </c>
      <c r="L192" t="n">
        <v>0</v>
      </c>
      <c r="M192" t="n">
        <v>0</v>
      </c>
      <c r="N192" t="n">
        <v>0</v>
      </c>
      <c r="O192" t="n">
        <v>0</v>
      </c>
      <c r="P192" t="n">
        <v>0</v>
      </c>
      <c r="Q192" t="n">
        <v>0</v>
      </c>
      <c r="R192" s="2" t="inlineStr"/>
    </row>
    <row r="193" ht="15" customHeight="1">
      <c r="A193" t="inlineStr">
        <is>
          <t>A 60176-2018</t>
        </is>
      </c>
      <c r="B193" s="1" t="n">
        <v>43412</v>
      </c>
      <c r="C193" s="1" t="n">
        <v>45258</v>
      </c>
      <c r="D193" t="inlineStr">
        <is>
          <t>VÄSTERNORRLANDS LÄN</t>
        </is>
      </c>
      <c r="E193" t="inlineStr">
        <is>
          <t>ÅNGE</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60023-2018</t>
        </is>
      </c>
      <c r="B194" s="1" t="n">
        <v>43412</v>
      </c>
      <c r="C194" s="1" t="n">
        <v>45258</v>
      </c>
      <c r="D194" t="inlineStr">
        <is>
          <t>VÄSTERNORRLANDS LÄN</t>
        </is>
      </c>
      <c r="E194" t="inlineStr">
        <is>
          <t>ÅNGE</t>
        </is>
      </c>
      <c r="G194" t="n">
        <v>1.9</v>
      </c>
      <c r="H194" t="n">
        <v>0</v>
      </c>
      <c r="I194" t="n">
        <v>0</v>
      </c>
      <c r="J194" t="n">
        <v>0</v>
      </c>
      <c r="K194" t="n">
        <v>0</v>
      </c>
      <c r="L194" t="n">
        <v>0</v>
      </c>
      <c r="M194" t="n">
        <v>0</v>
      </c>
      <c r="N194" t="n">
        <v>0</v>
      </c>
      <c r="O194" t="n">
        <v>0</v>
      </c>
      <c r="P194" t="n">
        <v>0</v>
      </c>
      <c r="Q194" t="n">
        <v>0</v>
      </c>
      <c r="R194" s="2" t="inlineStr"/>
    </row>
    <row r="195" ht="15" customHeight="1">
      <c r="A195" t="inlineStr">
        <is>
          <t>A 62533-2018</t>
        </is>
      </c>
      <c r="B195" s="1" t="n">
        <v>43413</v>
      </c>
      <c r="C195" s="1" t="n">
        <v>45258</v>
      </c>
      <c r="D195" t="inlineStr">
        <is>
          <t>VÄSTERNORRLANDS LÄN</t>
        </is>
      </c>
      <c r="E195" t="inlineStr">
        <is>
          <t>ÅNGE</t>
        </is>
      </c>
      <c r="F195" t="inlineStr">
        <is>
          <t>SCA</t>
        </is>
      </c>
      <c r="G195" t="n">
        <v>18</v>
      </c>
      <c r="H195" t="n">
        <v>0</v>
      </c>
      <c r="I195" t="n">
        <v>0</v>
      </c>
      <c r="J195" t="n">
        <v>0</v>
      </c>
      <c r="K195" t="n">
        <v>0</v>
      </c>
      <c r="L195" t="n">
        <v>0</v>
      </c>
      <c r="M195" t="n">
        <v>0</v>
      </c>
      <c r="N195" t="n">
        <v>0</v>
      </c>
      <c r="O195" t="n">
        <v>0</v>
      </c>
      <c r="P195" t="n">
        <v>0</v>
      </c>
      <c r="Q195" t="n">
        <v>0</v>
      </c>
      <c r="R195" s="2" t="inlineStr"/>
    </row>
    <row r="196" ht="15" customHeight="1">
      <c r="A196" t="inlineStr">
        <is>
          <t>A 61684-2018</t>
        </is>
      </c>
      <c r="B196" s="1" t="n">
        <v>43413</v>
      </c>
      <c r="C196" s="1" t="n">
        <v>45258</v>
      </c>
      <c r="D196" t="inlineStr">
        <is>
          <t>VÄSTERNORRLANDS LÄN</t>
        </is>
      </c>
      <c r="E196" t="inlineStr">
        <is>
          <t>ÅNGE</t>
        </is>
      </c>
      <c r="G196" t="n">
        <v>5.6</v>
      </c>
      <c r="H196" t="n">
        <v>0</v>
      </c>
      <c r="I196" t="n">
        <v>0</v>
      </c>
      <c r="J196" t="n">
        <v>0</v>
      </c>
      <c r="K196" t="n">
        <v>0</v>
      </c>
      <c r="L196" t="n">
        <v>0</v>
      </c>
      <c r="M196" t="n">
        <v>0</v>
      </c>
      <c r="N196" t="n">
        <v>0</v>
      </c>
      <c r="O196" t="n">
        <v>0</v>
      </c>
      <c r="P196" t="n">
        <v>0</v>
      </c>
      <c r="Q196" t="n">
        <v>0</v>
      </c>
      <c r="R196" s="2" t="inlineStr"/>
    </row>
    <row r="197" ht="15" customHeight="1">
      <c r="A197" t="inlineStr">
        <is>
          <t>A 62072-2018</t>
        </is>
      </c>
      <c r="B197" s="1" t="n">
        <v>43416</v>
      </c>
      <c r="C197" s="1" t="n">
        <v>45258</v>
      </c>
      <c r="D197" t="inlineStr">
        <is>
          <t>VÄSTERNORRLANDS LÄN</t>
        </is>
      </c>
      <c r="E197" t="inlineStr">
        <is>
          <t>ÅNGE</t>
        </is>
      </c>
      <c r="F197" t="inlineStr">
        <is>
          <t>Holmen skog AB</t>
        </is>
      </c>
      <c r="G197" t="n">
        <v>2.8</v>
      </c>
      <c r="H197" t="n">
        <v>0</v>
      </c>
      <c r="I197" t="n">
        <v>0</v>
      </c>
      <c r="J197" t="n">
        <v>0</v>
      </c>
      <c r="K197" t="n">
        <v>0</v>
      </c>
      <c r="L197" t="n">
        <v>0</v>
      </c>
      <c r="M197" t="n">
        <v>0</v>
      </c>
      <c r="N197" t="n">
        <v>0</v>
      </c>
      <c r="O197" t="n">
        <v>0</v>
      </c>
      <c r="P197" t="n">
        <v>0</v>
      </c>
      <c r="Q197" t="n">
        <v>0</v>
      </c>
      <c r="R197" s="2" t="inlineStr"/>
    </row>
    <row r="198" ht="15" customHeight="1">
      <c r="A198" t="inlineStr">
        <is>
          <t>A 63387-2018</t>
        </is>
      </c>
      <c r="B198" s="1" t="n">
        <v>43416</v>
      </c>
      <c r="C198" s="1" t="n">
        <v>45258</v>
      </c>
      <c r="D198" t="inlineStr">
        <is>
          <t>VÄSTERNORRLANDS LÄN</t>
        </is>
      </c>
      <c r="E198" t="inlineStr">
        <is>
          <t>ÅNGE</t>
        </is>
      </c>
      <c r="G198" t="n">
        <v>6.7</v>
      </c>
      <c r="H198" t="n">
        <v>0</v>
      </c>
      <c r="I198" t="n">
        <v>0</v>
      </c>
      <c r="J198" t="n">
        <v>0</v>
      </c>
      <c r="K198" t="n">
        <v>0</v>
      </c>
      <c r="L198" t="n">
        <v>0</v>
      </c>
      <c r="M198" t="n">
        <v>0</v>
      </c>
      <c r="N198" t="n">
        <v>0</v>
      </c>
      <c r="O198" t="n">
        <v>0</v>
      </c>
      <c r="P198" t="n">
        <v>0</v>
      </c>
      <c r="Q198" t="n">
        <v>0</v>
      </c>
      <c r="R198" s="2" t="inlineStr"/>
    </row>
    <row r="199" ht="15" customHeight="1">
      <c r="A199" t="inlineStr">
        <is>
          <t>A 59936-2018</t>
        </is>
      </c>
      <c r="B199" s="1" t="n">
        <v>43419</v>
      </c>
      <c r="C199" s="1" t="n">
        <v>45258</v>
      </c>
      <c r="D199" t="inlineStr">
        <is>
          <t>VÄSTERNORRLANDS LÄN</t>
        </is>
      </c>
      <c r="E199" t="inlineStr">
        <is>
          <t>ÅNGE</t>
        </is>
      </c>
      <c r="F199" t="inlineStr">
        <is>
          <t>SCA</t>
        </is>
      </c>
      <c r="G199" t="n">
        <v>9.5</v>
      </c>
      <c r="H199" t="n">
        <v>0</v>
      </c>
      <c r="I199" t="n">
        <v>0</v>
      </c>
      <c r="J199" t="n">
        <v>0</v>
      </c>
      <c r="K199" t="n">
        <v>0</v>
      </c>
      <c r="L199" t="n">
        <v>0</v>
      </c>
      <c r="M199" t="n">
        <v>0</v>
      </c>
      <c r="N199" t="n">
        <v>0</v>
      </c>
      <c r="O199" t="n">
        <v>0</v>
      </c>
      <c r="P199" t="n">
        <v>0</v>
      </c>
      <c r="Q199" t="n">
        <v>0</v>
      </c>
      <c r="R199" s="2" t="inlineStr"/>
    </row>
    <row r="200" ht="15" customHeight="1">
      <c r="A200" t="inlineStr">
        <is>
          <t>A 60598-2018</t>
        </is>
      </c>
      <c r="B200" s="1" t="n">
        <v>43420</v>
      </c>
      <c r="C200" s="1" t="n">
        <v>45258</v>
      </c>
      <c r="D200" t="inlineStr">
        <is>
          <t>VÄSTERNORRLANDS LÄN</t>
        </is>
      </c>
      <c r="E200" t="inlineStr">
        <is>
          <t>ÅNGE</t>
        </is>
      </c>
      <c r="G200" t="n">
        <v>5.8</v>
      </c>
      <c r="H200" t="n">
        <v>0</v>
      </c>
      <c r="I200" t="n">
        <v>0</v>
      </c>
      <c r="J200" t="n">
        <v>0</v>
      </c>
      <c r="K200" t="n">
        <v>0</v>
      </c>
      <c r="L200" t="n">
        <v>0</v>
      </c>
      <c r="M200" t="n">
        <v>0</v>
      </c>
      <c r="N200" t="n">
        <v>0</v>
      </c>
      <c r="O200" t="n">
        <v>0</v>
      </c>
      <c r="P200" t="n">
        <v>0</v>
      </c>
      <c r="Q200" t="n">
        <v>0</v>
      </c>
      <c r="R200" s="2" t="inlineStr"/>
    </row>
    <row r="201" ht="15" customHeight="1">
      <c r="A201" t="inlineStr">
        <is>
          <t>A 60656-2018</t>
        </is>
      </c>
      <c r="B201" s="1" t="n">
        <v>43420</v>
      </c>
      <c r="C201" s="1" t="n">
        <v>45258</v>
      </c>
      <c r="D201" t="inlineStr">
        <is>
          <t>VÄSTERNORRLANDS LÄN</t>
        </is>
      </c>
      <c r="E201" t="inlineStr">
        <is>
          <t>ÅNGE</t>
        </is>
      </c>
      <c r="G201" t="n">
        <v>6.2</v>
      </c>
      <c r="H201" t="n">
        <v>0</v>
      </c>
      <c r="I201" t="n">
        <v>0</v>
      </c>
      <c r="J201" t="n">
        <v>0</v>
      </c>
      <c r="K201" t="n">
        <v>0</v>
      </c>
      <c r="L201" t="n">
        <v>0</v>
      </c>
      <c r="M201" t="n">
        <v>0</v>
      </c>
      <c r="N201" t="n">
        <v>0</v>
      </c>
      <c r="O201" t="n">
        <v>0</v>
      </c>
      <c r="P201" t="n">
        <v>0</v>
      </c>
      <c r="Q201" t="n">
        <v>0</v>
      </c>
      <c r="R201" s="2" t="inlineStr"/>
    </row>
    <row r="202" ht="15" customHeight="1">
      <c r="A202" t="inlineStr">
        <is>
          <t>A 61640-2018</t>
        </is>
      </c>
      <c r="B202" s="1" t="n">
        <v>43424</v>
      </c>
      <c r="C202" s="1" t="n">
        <v>45258</v>
      </c>
      <c r="D202" t="inlineStr">
        <is>
          <t>VÄSTERNORRLANDS LÄN</t>
        </is>
      </c>
      <c r="E202" t="inlineStr">
        <is>
          <t>ÅNGE</t>
        </is>
      </c>
      <c r="G202" t="n">
        <v>5.2</v>
      </c>
      <c r="H202" t="n">
        <v>0</v>
      </c>
      <c r="I202" t="n">
        <v>0</v>
      </c>
      <c r="J202" t="n">
        <v>0</v>
      </c>
      <c r="K202" t="n">
        <v>0</v>
      </c>
      <c r="L202" t="n">
        <v>0</v>
      </c>
      <c r="M202" t="n">
        <v>0</v>
      </c>
      <c r="N202" t="n">
        <v>0</v>
      </c>
      <c r="O202" t="n">
        <v>0</v>
      </c>
      <c r="P202" t="n">
        <v>0</v>
      </c>
      <c r="Q202" t="n">
        <v>0</v>
      </c>
      <c r="R202" s="2" t="inlineStr"/>
    </row>
    <row r="203" ht="15" customHeight="1">
      <c r="A203" t="inlineStr">
        <is>
          <t>A 61638-2018</t>
        </is>
      </c>
      <c r="B203" s="1" t="n">
        <v>43424</v>
      </c>
      <c r="C203" s="1" t="n">
        <v>45258</v>
      </c>
      <c r="D203" t="inlineStr">
        <is>
          <t>VÄSTERNORRLANDS LÄN</t>
        </is>
      </c>
      <c r="E203" t="inlineStr">
        <is>
          <t>ÅNGE</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63998-2018</t>
        </is>
      </c>
      <c r="B204" s="1" t="n">
        <v>43430</v>
      </c>
      <c r="C204" s="1" t="n">
        <v>45258</v>
      </c>
      <c r="D204" t="inlineStr">
        <is>
          <t>VÄSTERNORRLANDS LÄN</t>
        </is>
      </c>
      <c r="E204" t="inlineStr">
        <is>
          <t>ÅNGE</t>
        </is>
      </c>
      <c r="G204" t="n">
        <v>1.1</v>
      </c>
      <c r="H204" t="n">
        <v>0</v>
      </c>
      <c r="I204" t="n">
        <v>0</v>
      </c>
      <c r="J204" t="n">
        <v>0</v>
      </c>
      <c r="K204" t="n">
        <v>0</v>
      </c>
      <c r="L204" t="n">
        <v>0</v>
      </c>
      <c r="M204" t="n">
        <v>0</v>
      </c>
      <c r="N204" t="n">
        <v>0</v>
      </c>
      <c r="O204" t="n">
        <v>0</v>
      </c>
      <c r="P204" t="n">
        <v>0</v>
      </c>
      <c r="Q204" t="n">
        <v>0</v>
      </c>
      <c r="R204" s="2" t="inlineStr"/>
    </row>
    <row r="205" ht="15" customHeight="1">
      <c r="A205" t="inlineStr">
        <is>
          <t>A 67425-2018</t>
        </is>
      </c>
      <c r="B205" s="1" t="n">
        <v>43432</v>
      </c>
      <c r="C205" s="1" t="n">
        <v>45258</v>
      </c>
      <c r="D205" t="inlineStr">
        <is>
          <t>VÄSTERNORRLANDS LÄN</t>
        </is>
      </c>
      <c r="E205" t="inlineStr">
        <is>
          <t>ÅNGE</t>
        </is>
      </c>
      <c r="G205" t="n">
        <v>5.5</v>
      </c>
      <c r="H205" t="n">
        <v>0</v>
      </c>
      <c r="I205" t="n">
        <v>0</v>
      </c>
      <c r="J205" t="n">
        <v>0</v>
      </c>
      <c r="K205" t="n">
        <v>0</v>
      </c>
      <c r="L205" t="n">
        <v>0</v>
      </c>
      <c r="M205" t="n">
        <v>0</v>
      </c>
      <c r="N205" t="n">
        <v>0</v>
      </c>
      <c r="O205" t="n">
        <v>0</v>
      </c>
      <c r="P205" t="n">
        <v>0</v>
      </c>
      <c r="Q205" t="n">
        <v>0</v>
      </c>
      <c r="R205" s="2" t="inlineStr"/>
    </row>
    <row r="206" ht="15" customHeight="1">
      <c r="A206" t="inlineStr">
        <is>
          <t>A 65430-2018</t>
        </is>
      </c>
      <c r="B206" s="1" t="n">
        <v>43433</v>
      </c>
      <c r="C206" s="1" t="n">
        <v>45258</v>
      </c>
      <c r="D206" t="inlineStr">
        <is>
          <t>VÄSTERNORRLANDS LÄN</t>
        </is>
      </c>
      <c r="E206" t="inlineStr">
        <is>
          <t>ÅNGE</t>
        </is>
      </c>
      <c r="G206" t="n">
        <v>3.9</v>
      </c>
      <c r="H206" t="n">
        <v>0</v>
      </c>
      <c r="I206" t="n">
        <v>0</v>
      </c>
      <c r="J206" t="n">
        <v>0</v>
      </c>
      <c r="K206" t="n">
        <v>0</v>
      </c>
      <c r="L206" t="n">
        <v>0</v>
      </c>
      <c r="M206" t="n">
        <v>0</v>
      </c>
      <c r="N206" t="n">
        <v>0</v>
      </c>
      <c r="O206" t="n">
        <v>0</v>
      </c>
      <c r="P206" t="n">
        <v>0</v>
      </c>
      <c r="Q206" t="n">
        <v>0</v>
      </c>
      <c r="R206" s="2" t="inlineStr"/>
    </row>
    <row r="207" ht="15" customHeight="1">
      <c r="A207" t="inlineStr">
        <is>
          <t>A 66195-2018</t>
        </is>
      </c>
      <c r="B207" s="1" t="n">
        <v>43434</v>
      </c>
      <c r="C207" s="1" t="n">
        <v>45258</v>
      </c>
      <c r="D207" t="inlineStr">
        <is>
          <t>VÄSTERNORRLANDS LÄN</t>
        </is>
      </c>
      <c r="E207" t="inlineStr">
        <is>
          <t>ÅNGE</t>
        </is>
      </c>
      <c r="G207" t="n">
        <v>4.8</v>
      </c>
      <c r="H207" t="n">
        <v>0</v>
      </c>
      <c r="I207" t="n">
        <v>0</v>
      </c>
      <c r="J207" t="n">
        <v>0</v>
      </c>
      <c r="K207" t="n">
        <v>0</v>
      </c>
      <c r="L207" t="n">
        <v>0</v>
      </c>
      <c r="M207" t="n">
        <v>0</v>
      </c>
      <c r="N207" t="n">
        <v>0</v>
      </c>
      <c r="O207" t="n">
        <v>0</v>
      </c>
      <c r="P207" t="n">
        <v>0</v>
      </c>
      <c r="Q207" t="n">
        <v>0</v>
      </c>
      <c r="R207" s="2" t="inlineStr"/>
    </row>
    <row r="208" ht="15" customHeight="1">
      <c r="A208" t="inlineStr">
        <is>
          <t>A 67802-2018</t>
        </is>
      </c>
      <c r="B208" s="1" t="n">
        <v>43440</v>
      </c>
      <c r="C208" s="1" t="n">
        <v>45258</v>
      </c>
      <c r="D208" t="inlineStr">
        <is>
          <t>VÄSTERNORRLANDS LÄN</t>
        </is>
      </c>
      <c r="E208" t="inlineStr">
        <is>
          <t>ÅNGE</t>
        </is>
      </c>
      <c r="G208" t="n">
        <v>1.6</v>
      </c>
      <c r="H208" t="n">
        <v>0</v>
      </c>
      <c r="I208" t="n">
        <v>0</v>
      </c>
      <c r="J208" t="n">
        <v>0</v>
      </c>
      <c r="K208" t="n">
        <v>0</v>
      </c>
      <c r="L208" t="n">
        <v>0</v>
      </c>
      <c r="M208" t="n">
        <v>0</v>
      </c>
      <c r="N208" t="n">
        <v>0</v>
      </c>
      <c r="O208" t="n">
        <v>0</v>
      </c>
      <c r="P208" t="n">
        <v>0</v>
      </c>
      <c r="Q208" t="n">
        <v>0</v>
      </c>
      <c r="R208" s="2" t="inlineStr"/>
    </row>
    <row r="209" ht="15" customHeight="1">
      <c r="A209" t="inlineStr">
        <is>
          <t>A 68339-2018</t>
        </is>
      </c>
      <c r="B209" s="1" t="n">
        <v>43441</v>
      </c>
      <c r="C209" s="1" t="n">
        <v>45258</v>
      </c>
      <c r="D209" t="inlineStr">
        <is>
          <t>VÄSTERNORRLANDS LÄN</t>
        </is>
      </c>
      <c r="E209" t="inlineStr">
        <is>
          <t>ÅNGE</t>
        </is>
      </c>
      <c r="G209" t="n">
        <v>1.9</v>
      </c>
      <c r="H209" t="n">
        <v>0</v>
      </c>
      <c r="I209" t="n">
        <v>0</v>
      </c>
      <c r="J209" t="n">
        <v>0</v>
      </c>
      <c r="K209" t="n">
        <v>0</v>
      </c>
      <c r="L209" t="n">
        <v>0</v>
      </c>
      <c r="M209" t="n">
        <v>0</v>
      </c>
      <c r="N209" t="n">
        <v>0</v>
      </c>
      <c r="O209" t="n">
        <v>0</v>
      </c>
      <c r="P209" t="n">
        <v>0</v>
      </c>
      <c r="Q209" t="n">
        <v>0</v>
      </c>
      <c r="R209" s="2" t="inlineStr"/>
    </row>
    <row r="210" ht="15" customHeight="1">
      <c r="A210" t="inlineStr">
        <is>
          <t>A 69604-2018</t>
        </is>
      </c>
      <c r="B210" s="1" t="n">
        <v>43446</v>
      </c>
      <c r="C210" s="1" t="n">
        <v>45258</v>
      </c>
      <c r="D210" t="inlineStr">
        <is>
          <t>VÄSTERNORRLANDS LÄN</t>
        </is>
      </c>
      <c r="E210" t="inlineStr">
        <is>
          <t>ÅNGE</t>
        </is>
      </c>
      <c r="G210" t="n">
        <v>1.1</v>
      </c>
      <c r="H210" t="n">
        <v>0</v>
      </c>
      <c r="I210" t="n">
        <v>0</v>
      </c>
      <c r="J210" t="n">
        <v>0</v>
      </c>
      <c r="K210" t="n">
        <v>0</v>
      </c>
      <c r="L210" t="n">
        <v>0</v>
      </c>
      <c r="M210" t="n">
        <v>0</v>
      </c>
      <c r="N210" t="n">
        <v>0</v>
      </c>
      <c r="O210" t="n">
        <v>0</v>
      </c>
      <c r="P210" t="n">
        <v>0</v>
      </c>
      <c r="Q210" t="n">
        <v>0</v>
      </c>
      <c r="R210" s="2" t="inlineStr"/>
    </row>
    <row r="211" ht="15" customHeight="1">
      <c r="A211" t="inlineStr">
        <is>
          <t>A 69655-2018</t>
        </is>
      </c>
      <c r="B211" s="1" t="n">
        <v>43447</v>
      </c>
      <c r="C211" s="1" t="n">
        <v>45258</v>
      </c>
      <c r="D211" t="inlineStr">
        <is>
          <t>VÄSTERNORRLANDS LÄN</t>
        </is>
      </c>
      <c r="E211" t="inlineStr">
        <is>
          <t>ÅNGE</t>
        </is>
      </c>
      <c r="G211" t="n">
        <v>6.3</v>
      </c>
      <c r="H211" t="n">
        <v>0</v>
      </c>
      <c r="I211" t="n">
        <v>0</v>
      </c>
      <c r="J211" t="n">
        <v>0</v>
      </c>
      <c r="K211" t="n">
        <v>0</v>
      </c>
      <c r="L211" t="n">
        <v>0</v>
      </c>
      <c r="M211" t="n">
        <v>0</v>
      </c>
      <c r="N211" t="n">
        <v>0</v>
      </c>
      <c r="O211" t="n">
        <v>0</v>
      </c>
      <c r="P211" t="n">
        <v>0</v>
      </c>
      <c r="Q211" t="n">
        <v>0</v>
      </c>
      <c r="R211" s="2" t="inlineStr"/>
    </row>
    <row r="212" ht="15" customHeight="1">
      <c r="A212" t="inlineStr">
        <is>
          <t>A 69908-2018</t>
        </is>
      </c>
      <c r="B212" s="1" t="n">
        <v>43447</v>
      </c>
      <c r="C212" s="1" t="n">
        <v>45258</v>
      </c>
      <c r="D212" t="inlineStr">
        <is>
          <t>VÄSTERNORRLANDS LÄN</t>
        </is>
      </c>
      <c r="E212" t="inlineStr">
        <is>
          <t>ÅNGE</t>
        </is>
      </c>
      <c r="G212" t="n">
        <v>2.6</v>
      </c>
      <c r="H212" t="n">
        <v>0</v>
      </c>
      <c r="I212" t="n">
        <v>0</v>
      </c>
      <c r="J212" t="n">
        <v>0</v>
      </c>
      <c r="K212" t="n">
        <v>0</v>
      </c>
      <c r="L212" t="n">
        <v>0</v>
      </c>
      <c r="M212" t="n">
        <v>0</v>
      </c>
      <c r="N212" t="n">
        <v>0</v>
      </c>
      <c r="O212" t="n">
        <v>0</v>
      </c>
      <c r="P212" t="n">
        <v>0</v>
      </c>
      <c r="Q212" t="n">
        <v>0</v>
      </c>
      <c r="R212" s="2" t="inlineStr"/>
    </row>
    <row r="213" ht="15" customHeight="1">
      <c r="A213" t="inlineStr">
        <is>
          <t>A 70549-2018</t>
        </is>
      </c>
      <c r="B213" s="1" t="n">
        <v>43447</v>
      </c>
      <c r="C213" s="1" t="n">
        <v>45258</v>
      </c>
      <c r="D213" t="inlineStr">
        <is>
          <t>VÄSTERNORRLANDS LÄN</t>
        </is>
      </c>
      <c r="E213" t="inlineStr">
        <is>
          <t>ÅNGE</t>
        </is>
      </c>
      <c r="G213" t="n">
        <v>5</v>
      </c>
      <c r="H213" t="n">
        <v>0</v>
      </c>
      <c r="I213" t="n">
        <v>0</v>
      </c>
      <c r="J213" t="n">
        <v>0</v>
      </c>
      <c r="K213" t="n">
        <v>0</v>
      </c>
      <c r="L213" t="n">
        <v>0</v>
      </c>
      <c r="M213" t="n">
        <v>0</v>
      </c>
      <c r="N213" t="n">
        <v>0</v>
      </c>
      <c r="O213" t="n">
        <v>0</v>
      </c>
      <c r="P213" t="n">
        <v>0</v>
      </c>
      <c r="Q213" t="n">
        <v>0</v>
      </c>
      <c r="R213" s="2" t="inlineStr"/>
    </row>
    <row r="214" ht="15" customHeight="1">
      <c r="A214" t="inlineStr">
        <is>
          <t>A 69973-2018</t>
        </is>
      </c>
      <c r="B214" s="1" t="n">
        <v>43447</v>
      </c>
      <c r="C214" s="1" t="n">
        <v>45258</v>
      </c>
      <c r="D214" t="inlineStr">
        <is>
          <t>VÄSTERNORRLANDS LÄN</t>
        </is>
      </c>
      <c r="E214" t="inlineStr">
        <is>
          <t>ÅNGE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69906-2018</t>
        </is>
      </c>
      <c r="B215" s="1" t="n">
        <v>43447</v>
      </c>
      <c r="C215" s="1" t="n">
        <v>45258</v>
      </c>
      <c r="D215" t="inlineStr">
        <is>
          <t>VÄSTERNORRLANDS LÄN</t>
        </is>
      </c>
      <c r="E215" t="inlineStr">
        <is>
          <t>ÅNGE</t>
        </is>
      </c>
      <c r="G215" t="n">
        <v>2.7</v>
      </c>
      <c r="H215" t="n">
        <v>0</v>
      </c>
      <c r="I215" t="n">
        <v>0</v>
      </c>
      <c r="J215" t="n">
        <v>0</v>
      </c>
      <c r="K215" t="n">
        <v>0</v>
      </c>
      <c r="L215" t="n">
        <v>0</v>
      </c>
      <c r="M215" t="n">
        <v>0</v>
      </c>
      <c r="N215" t="n">
        <v>0</v>
      </c>
      <c r="O215" t="n">
        <v>0</v>
      </c>
      <c r="P215" t="n">
        <v>0</v>
      </c>
      <c r="Q215" t="n">
        <v>0</v>
      </c>
      <c r="R215" s="2" t="inlineStr"/>
    </row>
    <row r="216" ht="15" customHeight="1">
      <c r="A216" t="inlineStr">
        <is>
          <t>A 69853-2018</t>
        </is>
      </c>
      <c r="B216" s="1" t="n">
        <v>43447</v>
      </c>
      <c r="C216" s="1" t="n">
        <v>45258</v>
      </c>
      <c r="D216" t="inlineStr">
        <is>
          <t>VÄSTERNORRLANDS LÄN</t>
        </is>
      </c>
      <c r="E216" t="inlineStr">
        <is>
          <t>ÅNGE</t>
        </is>
      </c>
      <c r="G216" t="n">
        <v>0.8</v>
      </c>
      <c r="H216" t="n">
        <v>0</v>
      </c>
      <c r="I216" t="n">
        <v>0</v>
      </c>
      <c r="J216" t="n">
        <v>0</v>
      </c>
      <c r="K216" t="n">
        <v>0</v>
      </c>
      <c r="L216" t="n">
        <v>0</v>
      </c>
      <c r="M216" t="n">
        <v>0</v>
      </c>
      <c r="N216" t="n">
        <v>0</v>
      </c>
      <c r="O216" t="n">
        <v>0</v>
      </c>
      <c r="P216" t="n">
        <v>0</v>
      </c>
      <c r="Q216" t="n">
        <v>0</v>
      </c>
      <c r="R216" s="2" t="inlineStr"/>
    </row>
    <row r="217" ht="15" customHeight="1">
      <c r="A217" t="inlineStr">
        <is>
          <t>A 70547-2018</t>
        </is>
      </c>
      <c r="B217" s="1" t="n">
        <v>43447</v>
      </c>
      <c r="C217" s="1" t="n">
        <v>45258</v>
      </c>
      <c r="D217" t="inlineStr">
        <is>
          <t>VÄSTERNORRLANDS LÄN</t>
        </is>
      </c>
      <c r="E217" t="inlineStr">
        <is>
          <t>ÅNGE</t>
        </is>
      </c>
      <c r="G217" t="n">
        <v>1.6</v>
      </c>
      <c r="H217" t="n">
        <v>0</v>
      </c>
      <c r="I217" t="n">
        <v>0</v>
      </c>
      <c r="J217" t="n">
        <v>0</v>
      </c>
      <c r="K217" t="n">
        <v>0</v>
      </c>
      <c r="L217" t="n">
        <v>0</v>
      </c>
      <c r="M217" t="n">
        <v>0</v>
      </c>
      <c r="N217" t="n">
        <v>0</v>
      </c>
      <c r="O217" t="n">
        <v>0</v>
      </c>
      <c r="P217" t="n">
        <v>0</v>
      </c>
      <c r="Q217" t="n">
        <v>0</v>
      </c>
      <c r="R217" s="2" t="inlineStr"/>
    </row>
    <row r="218" ht="15" customHeight="1">
      <c r="A218" t="inlineStr">
        <is>
          <t>A 69850-2018</t>
        </is>
      </c>
      <c r="B218" s="1" t="n">
        <v>43447</v>
      </c>
      <c r="C218" s="1" t="n">
        <v>45258</v>
      </c>
      <c r="D218" t="inlineStr">
        <is>
          <t>VÄSTERNORRLANDS LÄN</t>
        </is>
      </c>
      <c r="E218" t="inlineStr">
        <is>
          <t>ÅNGE</t>
        </is>
      </c>
      <c r="G218" t="n">
        <v>4</v>
      </c>
      <c r="H218" t="n">
        <v>0</v>
      </c>
      <c r="I218" t="n">
        <v>0</v>
      </c>
      <c r="J218" t="n">
        <v>0</v>
      </c>
      <c r="K218" t="n">
        <v>0</v>
      </c>
      <c r="L218" t="n">
        <v>0</v>
      </c>
      <c r="M218" t="n">
        <v>0</v>
      </c>
      <c r="N218" t="n">
        <v>0</v>
      </c>
      <c r="O218" t="n">
        <v>0</v>
      </c>
      <c r="P218" t="n">
        <v>0</v>
      </c>
      <c r="Q218" t="n">
        <v>0</v>
      </c>
      <c r="R218" s="2" t="inlineStr"/>
    </row>
    <row r="219" ht="15" customHeight="1">
      <c r="A219" t="inlineStr">
        <is>
          <t>A 71422-2018</t>
        </is>
      </c>
      <c r="B219" s="1" t="n">
        <v>43453</v>
      </c>
      <c r="C219" s="1" t="n">
        <v>45258</v>
      </c>
      <c r="D219" t="inlineStr">
        <is>
          <t>VÄSTERNORRLANDS LÄN</t>
        </is>
      </c>
      <c r="E219" t="inlineStr">
        <is>
          <t>ÅNGE</t>
        </is>
      </c>
      <c r="G219" t="n">
        <v>0.5</v>
      </c>
      <c r="H219" t="n">
        <v>0</v>
      </c>
      <c r="I219" t="n">
        <v>0</v>
      </c>
      <c r="J219" t="n">
        <v>0</v>
      </c>
      <c r="K219" t="n">
        <v>0</v>
      </c>
      <c r="L219" t="n">
        <v>0</v>
      </c>
      <c r="M219" t="n">
        <v>0</v>
      </c>
      <c r="N219" t="n">
        <v>0</v>
      </c>
      <c r="O219" t="n">
        <v>0</v>
      </c>
      <c r="P219" t="n">
        <v>0</v>
      </c>
      <c r="Q219" t="n">
        <v>0</v>
      </c>
      <c r="R219" s="2" t="inlineStr"/>
    </row>
    <row r="220" ht="15" customHeight="1">
      <c r="A220" t="inlineStr">
        <is>
          <t>A 71211-2018</t>
        </is>
      </c>
      <c r="B220" s="1" t="n">
        <v>43453</v>
      </c>
      <c r="C220" s="1" t="n">
        <v>45258</v>
      </c>
      <c r="D220" t="inlineStr">
        <is>
          <t>VÄSTERNORRLANDS LÄN</t>
        </is>
      </c>
      <c r="E220" t="inlineStr">
        <is>
          <t>ÅNGE</t>
        </is>
      </c>
      <c r="F220" t="inlineStr">
        <is>
          <t>Holmen skog AB</t>
        </is>
      </c>
      <c r="G220" t="n">
        <v>12.9</v>
      </c>
      <c r="H220" t="n">
        <v>0</v>
      </c>
      <c r="I220" t="n">
        <v>0</v>
      </c>
      <c r="J220" t="n">
        <v>0</v>
      </c>
      <c r="K220" t="n">
        <v>0</v>
      </c>
      <c r="L220" t="n">
        <v>0</v>
      </c>
      <c r="M220" t="n">
        <v>0</v>
      </c>
      <c r="N220" t="n">
        <v>0</v>
      </c>
      <c r="O220" t="n">
        <v>0</v>
      </c>
      <c r="P220" t="n">
        <v>0</v>
      </c>
      <c r="Q220" t="n">
        <v>0</v>
      </c>
      <c r="R220" s="2" t="inlineStr"/>
    </row>
    <row r="221" ht="15" customHeight="1">
      <c r="A221" t="inlineStr">
        <is>
          <t>A 72166-2018</t>
        </is>
      </c>
      <c r="B221" s="1" t="n">
        <v>43455</v>
      </c>
      <c r="C221" s="1" t="n">
        <v>45258</v>
      </c>
      <c r="D221" t="inlineStr">
        <is>
          <t>VÄSTERNORRLANDS LÄN</t>
        </is>
      </c>
      <c r="E221" t="inlineStr">
        <is>
          <t>ÅNGE</t>
        </is>
      </c>
      <c r="G221" t="n">
        <v>2.5</v>
      </c>
      <c r="H221" t="n">
        <v>0</v>
      </c>
      <c r="I221" t="n">
        <v>0</v>
      </c>
      <c r="J221" t="n">
        <v>0</v>
      </c>
      <c r="K221" t="n">
        <v>0</v>
      </c>
      <c r="L221" t="n">
        <v>0</v>
      </c>
      <c r="M221" t="n">
        <v>0</v>
      </c>
      <c r="N221" t="n">
        <v>0</v>
      </c>
      <c r="O221" t="n">
        <v>0</v>
      </c>
      <c r="P221" t="n">
        <v>0</v>
      </c>
      <c r="Q221" t="n">
        <v>0</v>
      </c>
      <c r="R221" s="2" t="inlineStr"/>
    </row>
    <row r="222" ht="15" customHeight="1">
      <c r="A222" t="inlineStr">
        <is>
          <t>A 72136-2018</t>
        </is>
      </c>
      <c r="B222" s="1" t="n">
        <v>43455</v>
      </c>
      <c r="C222" s="1" t="n">
        <v>45258</v>
      </c>
      <c r="D222" t="inlineStr">
        <is>
          <t>VÄSTERNORRLANDS LÄN</t>
        </is>
      </c>
      <c r="E222" t="inlineStr">
        <is>
          <t>ÅNGE</t>
        </is>
      </c>
      <c r="G222" t="n">
        <v>0.3</v>
      </c>
      <c r="H222" t="n">
        <v>0</v>
      </c>
      <c r="I222" t="n">
        <v>0</v>
      </c>
      <c r="J222" t="n">
        <v>0</v>
      </c>
      <c r="K222" t="n">
        <v>0</v>
      </c>
      <c r="L222" t="n">
        <v>0</v>
      </c>
      <c r="M222" t="n">
        <v>0</v>
      </c>
      <c r="N222" t="n">
        <v>0</v>
      </c>
      <c r="O222" t="n">
        <v>0</v>
      </c>
      <c r="P222" t="n">
        <v>0</v>
      </c>
      <c r="Q222" t="n">
        <v>0</v>
      </c>
      <c r="R222" s="2" t="inlineStr"/>
    </row>
    <row r="223" ht="15" customHeight="1">
      <c r="A223" t="inlineStr">
        <is>
          <t>A 72099-2018</t>
        </is>
      </c>
      <c r="B223" s="1" t="n">
        <v>43455</v>
      </c>
      <c r="C223" s="1" t="n">
        <v>45258</v>
      </c>
      <c r="D223" t="inlineStr">
        <is>
          <t>VÄSTERNORRLANDS LÄN</t>
        </is>
      </c>
      <c r="E223" t="inlineStr">
        <is>
          <t>ÅNGE</t>
        </is>
      </c>
      <c r="G223" t="n">
        <v>1.4</v>
      </c>
      <c r="H223" t="n">
        <v>0</v>
      </c>
      <c r="I223" t="n">
        <v>0</v>
      </c>
      <c r="J223" t="n">
        <v>0</v>
      </c>
      <c r="K223" t="n">
        <v>0</v>
      </c>
      <c r="L223" t="n">
        <v>0</v>
      </c>
      <c r="M223" t="n">
        <v>0</v>
      </c>
      <c r="N223" t="n">
        <v>0</v>
      </c>
      <c r="O223" t="n">
        <v>0</v>
      </c>
      <c r="P223" t="n">
        <v>0</v>
      </c>
      <c r="Q223" t="n">
        <v>0</v>
      </c>
      <c r="R223" s="2" t="inlineStr"/>
    </row>
    <row r="224" ht="15" customHeight="1">
      <c r="A224" t="inlineStr">
        <is>
          <t>A 2098-2019</t>
        </is>
      </c>
      <c r="B224" s="1" t="n">
        <v>43467</v>
      </c>
      <c r="C224" s="1" t="n">
        <v>45258</v>
      </c>
      <c r="D224" t="inlineStr">
        <is>
          <t>VÄSTERNORRLANDS LÄN</t>
        </is>
      </c>
      <c r="E224" t="inlineStr">
        <is>
          <t>ÅNGE</t>
        </is>
      </c>
      <c r="G224" t="n">
        <v>3.6</v>
      </c>
      <c r="H224" t="n">
        <v>0</v>
      </c>
      <c r="I224" t="n">
        <v>0</v>
      </c>
      <c r="J224" t="n">
        <v>0</v>
      </c>
      <c r="K224" t="n">
        <v>0</v>
      </c>
      <c r="L224" t="n">
        <v>0</v>
      </c>
      <c r="M224" t="n">
        <v>0</v>
      </c>
      <c r="N224" t="n">
        <v>0</v>
      </c>
      <c r="O224" t="n">
        <v>0</v>
      </c>
      <c r="P224" t="n">
        <v>0</v>
      </c>
      <c r="Q224" t="n">
        <v>0</v>
      </c>
      <c r="R224" s="2" t="inlineStr"/>
    </row>
    <row r="225" ht="15" customHeight="1">
      <c r="A225" t="inlineStr">
        <is>
          <t>A 2798-2019</t>
        </is>
      </c>
      <c r="B225" s="1" t="n">
        <v>43469</v>
      </c>
      <c r="C225" s="1" t="n">
        <v>45258</v>
      </c>
      <c r="D225" t="inlineStr">
        <is>
          <t>VÄSTERNORRLANDS LÄN</t>
        </is>
      </c>
      <c r="E225" t="inlineStr">
        <is>
          <t>ÅNGE</t>
        </is>
      </c>
      <c r="G225" t="n">
        <v>1.2</v>
      </c>
      <c r="H225" t="n">
        <v>0</v>
      </c>
      <c r="I225" t="n">
        <v>0</v>
      </c>
      <c r="J225" t="n">
        <v>0</v>
      </c>
      <c r="K225" t="n">
        <v>0</v>
      </c>
      <c r="L225" t="n">
        <v>0</v>
      </c>
      <c r="M225" t="n">
        <v>0</v>
      </c>
      <c r="N225" t="n">
        <v>0</v>
      </c>
      <c r="O225" t="n">
        <v>0</v>
      </c>
      <c r="P225" t="n">
        <v>0</v>
      </c>
      <c r="Q225" t="n">
        <v>0</v>
      </c>
      <c r="R225" s="2" t="inlineStr"/>
    </row>
    <row r="226" ht="15" customHeight="1">
      <c r="A226" t="inlineStr">
        <is>
          <t>A 546-2019</t>
        </is>
      </c>
      <c r="B226" s="1" t="n">
        <v>43469</v>
      </c>
      <c r="C226" s="1" t="n">
        <v>45258</v>
      </c>
      <c r="D226" t="inlineStr">
        <is>
          <t>VÄSTERNORRLANDS LÄN</t>
        </is>
      </c>
      <c r="E226" t="inlineStr">
        <is>
          <t>ÅNGE</t>
        </is>
      </c>
      <c r="G226" t="n">
        <v>3.7</v>
      </c>
      <c r="H226" t="n">
        <v>0</v>
      </c>
      <c r="I226" t="n">
        <v>0</v>
      </c>
      <c r="J226" t="n">
        <v>0</v>
      </c>
      <c r="K226" t="n">
        <v>0</v>
      </c>
      <c r="L226" t="n">
        <v>0</v>
      </c>
      <c r="M226" t="n">
        <v>0</v>
      </c>
      <c r="N226" t="n">
        <v>0</v>
      </c>
      <c r="O226" t="n">
        <v>0</v>
      </c>
      <c r="P226" t="n">
        <v>0</v>
      </c>
      <c r="Q226" t="n">
        <v>0</v>
      </c>
      <c r="R226" s="2" t="inlineStr"/>
    </row>
    <row r="227" ht="15" customHeight="1">
      <c r="A227" t="inlineStr">
        <is>
          <t>A 1538-2019</t>
        </is>
      </c>
      <c r="B227" s="1" t="n">
        <v>43473</v>
      </c>
      <c r="C227" s="1" t="n">
        <v>45258</v>
      </c>
      <c r="D227" t="inlineStr">
        <is>
          <t>VÄSTERNORRLANDS LÄN</t>
        </is>
      </c>
      <c r="E227" t="inlineStr">
        <is>
          <t>ÅNGE</t>
        </is>
      </c>
      <c r="G227" t="n">
        <v>1.6</v>
      </c>
      <c r="H227" t="n">
        <v>0</v>
      </c>
      <c r="I227" t="n">
        <v>0</v>
      </c>
      <c r="J227" t="n">
        <v>0</v>
      </c>
      <c r="K227" t="n">
        <v>0</v>
      </c>
      <c r="L227" t="n">
        <v>0</v>
      </c>
      <c r="M227" t="n">
        <v>0</v>
      </c>
      <c r="N227" t="n">
        <v>0</v>
      </c>
      <c r="O227" t="n">
        <v>0</v>
      </c>
      <c r="P227" t="n">
        <v>0</v>
      </c>
      <c r="Q227" t="n">
        <v>0</v>
      </c>
      <c r="R227" s="2" t="inlineStr"/>
    </row>
    <row r="228" ht="15" customHeight="1">
      <c r="A228" t="inlineStr">
        <is>
          <t>A 4891-2019</t>
        </is>
      </c>
      <c r="B228" s="1" t="n">
        <v>43479</v>
      </c>
      <c r="C228" s="1" t="n">
        <v>45258</v>
      </c>
      <c r="D228" t="inlineStr">
        <is>
          <t>VÄSTERNORRLANDS LÄN</t>
        </is>
      </c>
      <c r="E228" t="inlineStr">
        <is>
          <t>ÅNGE</t>
        </is>
      </c>
      <c r="F228" t="inlineStr">
        <is>
          <t>SCA</t>
        </is>
      </c>
      <c r="G228" t="n">
        <v>7.7</v>
      </c>
      <c r="H228" t="n">
        <v>0</v>
      </c>
      <c r="I228" t="n">
        <v>0</v>
      </c>
      <c r="J228" t="n">
        <v>0</v>
      </c>
      <c r="K228" t="n">
        <v>0</v>
      </c>
      <c r="L228" t="n">
        <v>0</v>
      </c>
      <c r="M228" t="n">
        <v>0</v>
      </c>
      <c r="N228" t="n">
        <v>0</v>
      </c>
      <c r="O228" t="n">
        <v>0</v>
      </c>
      <c r="P228" t="n">
        <v>0</v>
      </c>
      <c r="Q228" t="n">
        <v>0</v>
      </c>
      <c r="R228" s="2" t="inlineStr"/>
    </row>
    <row r="229" ht="15" customHeight="1">
      <c r="A229" t="inlineStr">
        <is>
          <t>A 3080-2019</t>
        </is>
      </c>
      <c r="B229" s="1" t="n">
        <v>43479</v>
      </c>
      <c r="C229" s="1" t="n">
        <v>45258</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4913-2019</t>
        </is>
      </c>
      <c r="B230" s="1" t="n">
        <v>43479</v>
      </c>
      <c r="C230" s="1" t="n">
        <v>45258</v>
      </c>
      <c r="D230" t="inlineStr">
        <is>
          <t>VÄSTERNORRLANDS LÄN</t>
        </is>
      </c>
      <c r="E230" t="inlineStr">
        <is>
          <t>ÅNGE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4901-2019</t>
        </is>
      </c>
      <c r="B231" s="1" t="n">
        <v>43479</v>
      </c>
      <c r="C231" s="1" t="n">
        <v>45258</v>
      </c>
      <c r="D231" t="inlineStr">
        <is>
          <t>VÄSTERNORRLANDS LÄN</t>
        </is>
      </c>
      <c r="E231" t="inlineStr">
        <is>
          <t>ÅNGE</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4068-2019</t>
        </is>
      </c>
      <c r="B232" s="1" t="n">
        <v>43482</v>
      </c>
      <c r="C232" s="1" t="n">
        <v>45258</v>
      </c>
      <c r="D232" t="inlineStr">
        <is>
          <t>VÄSTERNORRLANDS LÄN</t>
        </is>
      </c>
      <c r="E232" t="inlineStr">
        <is>
          <t>ÅNGE</t>
        </is>
      </c>
      <c r="G232" t="n">
        <v>14.4</v>
      </c>
      <c r="H232" t="n">
        <v>0</v>
      </c>
      <c r="I232" t="n">
        <v>0</v>
      </c>
      <c r="J232" t="n">
        <v>0</v>
      </c>
      <c r="K232" t="n">
        <v>0</v>
      </c>
      <c r="L232" t="n">
        <v>0</v>
      </c>
      <c r="M232" t="n">
        <v>0</v>
      </c>
      <c r="N232" t="n">
        <v>0</v>
      </c>
      <c r="O232" t="n">
        <v>0</v>
      </c>
      <c r="P232" t="n">
        <v>0</v>
      </c>
      <c r="Q232" t="n">
        <v>0</v>
      </c>
      <c r="R232" s="2" t="inlineStr"/>
    </row>
    <row r="233" ht="15" customHeight="1">
      <c r="A233" t="inlineStr">
        <is>
          <t>A 4144-2019</t>
        </is>
      </c>
      <c r="B233" s="1" t="n">
        <v>43483</v>
      </c>
      <c r="C233" s="1" t="n">
        <v>45258</v>
      </c>
      <c r="D233" t="inlineStr">
        <is>
          <t>VÄSTERNORRLANDS LÄN</t>
        </is>
      </c>
      <c r="E233" t="inlineStr">
        <is>
          <t>ÅNGE</t>
        </is>
      </c>
      <c r="F233" t="inlineStr">
        <is>
          <t>Holmen skog AB</t>
        </is>
      </c>
      <c r="G233" t="n">
        <v>18.9</v>
      </c>
      <c r="H233" t="n">
        <v>0</v>
      </c>
      <c r="I233" t="n">
        <v>0</v>
      </c>
      <c r="J233" t="n">
        <v>0</v>
      </c>
      <c r="K233" t="n">
        <v>0</v>
      </c>
      <c r="L233" t="n">
        <v>0</v>
      </c>
      <c r="M233" t="n">
        <v>0</v>
      </c>
      <c r="N233" t="n">
        <v>0</v>
      </c>
      <c r="O233" t="n">
        <v>0</v>
      </c>
      <c r="P233" t="n">
        <v>0</v>
      </c>
      <c r="Q233" t="n">
        <v>0</v>
      </c>
      <c r="R233" s="2" t="inlineStr"/>
    </row>
    <row r="234" ht="15" customHeight="1">
      <c r="A234" t="inlineStr">
        <is>
          <t>A 6267-2019</t>
        </is>
      </c>
      <c r="B234" s="1" t="n">
        <v>43486</v>
      </c>
      <c r="C234" s="1" t="n">
        <v>45258</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6075-2019</t>
        </is>
      </c>
      <c r="B235" s="1" t="n">
        <v>43493</v>
      </c>
      <c r="C235" s="1" t="n">
        <v>45258</v>
      </c>
      <c r="D235" t="inlineStr">
        <is>
          <t>VÄSTERNORRLANDS LÄN</t>
        </is>
      </c>
      <c r="E235" t="inlineStr">
        <is>
          <t>ÅNGE</t>
        </is>
      </c>
      <c r="G235" t="n">
        <v>1.8</v>
      </c>
      <c r="H235" t="n">
        <v>0</v>
      </c>
      <c r="I235" t="n">
        <v>0</v>
      </c>
      <c r="J235" t="n">
        <v>0</v>
      </c>
      <c r="K235" t="n">
        <v>0</v>
      </c>
      <c r="L235" t="n">
        <v>0</v>
      </c>
      <c r="M235" t="n">
        <v>0</v>
      </c>
      <c r="N235" t="n">
        <v>0</v>
      </c>
      <c r="O235" t="n">
        <v>0</v>
      </c>
      <c r="P235" t="n">
        <v>0</v>
      </c>
      <c r="Q235" t="n">
        <v>0</v>
      </c>
      <c r="R235" s="2" t="inlineStr"/>
    </row>
    <row r="236" ht="15" customHeight="1">
      <c r="A236" t="inlineStr">
        <is>
          <t>A 7992-2019</t>
        </is>
      </c>
      <c r="B236" s="1" t="n">
        <v>43493</v>
      </c>
      <c r="C236" s="1" t="n">
        <v>45258</v>
      </c>
      <c r="D236" t="inlineStr">
        <is>
          <t>VÄSTERNORRLANDS LÄN</t>
        </is>
      </c>
      <c r="E236" t="inlineStr">
        <is>
          <t>ÅNGE</t>
        </is>
      </c>
      <c r="G236" t="n">
        <v>1.7</v>
      </c>
      <c r="H236" t="n">
        <v>0</v>
      </c>
      <c r="I236" t="n">
        <v>0</v>
      </c>
      <c r="J236" t="n">
        <v>0</v>
      </c>
      <c r="K236" t="n">
        <v>0</v>
      </c>
      <c r="L236" t="n">
        <v>0</v>
      </c>
      <c r="M236" t="n">
        <v>0</v>
      </c>
      <c r="N236" t="n">
        <v>0</v>
      </c>
      <c r="O236" t="n">
        <v>0</v>
      </c>
      <c r="P236" t="n">
        <v>0</v>
      </c>
      <c r="Q236" t="n">
        <v>0</v>
      </c>
      <c r="R236" s="2" t="inlineStr"/>
    </row>
    <row r="237" ht="15" customHeight="1">
      <c r="A237" t="inlineStr">
        <is>
          <t>A 7990-2019</t>
        </is>
      </c>
      <c r="B237" s="1" t="n">
        <v>43493</v>
      </c>
      <c r="C237" s="1" t="n">
        <v>45258</v>
      </c>
      <c r="D237" t="inlineStr">
        <is>
          <t>VÄSTERNORRLANDS LÄN</t>
        </is>
      </c>
      <c r="E237" t="inlineStr">
        <is>
          <t>ÅNGE</t>
        </is>
      </c>
      <c r="G237" t="n">
        <v>2.8</v>
      </c>
      <c r="H237" t="n">
        <v>0</v>
      </c>
      <c r="I237" t="n">
        <v>0</v>
      </c>
      <c r="J237" t="n">
        <v>0</v>
      </c>
      <c r="K237" t="n">
        <v>0</v>
      </c>
      <c r="L237" t="n">
        <v>0</v>
      </c>
      <c r="M237" t="n">
        <v>0</v>
      </c>
      <c r="N237" t="n">
        <v>0</v>
      </c>
      <c r="O237" t="n">
        <v>0</v>
      </c>
      <c r="P237" t="n">
        <v>0</v>
      </c>
      <c r="Q237" t="n">
        <v>0</v>
      </c>
      <c r="R237" s="2" t="inlineStr"/>
    </row>
    <row r="238" ht="15" customHeight="1">
      <c r="A238" t="inlineStr">
        <is>
          <t>A 7075-2019</t>
        </is>
      </c>
      <c r="B238" s="1" t="n">
        <v>43496</v>
      </c>
      <c r="C238" s="1" t="n">
        <v>45258</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7131-2019</t>
        </is>
      </c>
      <c r="B239" s="1" t="n">
        <v>43496</v>
      </c>
      <c r="C239" s="1" t="n">
        <v>45258</v>
      </c>
      <c r="D239" t="inlineStr">
        <is>
          <t>VÄSTERNORRLANDS LÄN</t>
        </is>
      </c>
      <c r="E239" t="inlineStr">
        <is>
          <t>ÅNGE</t>
        </is>
      </c>
      <c r="G239" t="n">
        <v>0.7</v>
      </c>
      <c r="H239" t="n">
        <v>0</v>
      </c>
      <c r="I239" t="n">
        <v>0</v>
      </c>
      <c r="J239" t="n">
        <v>0</v>
      </c>
      <c r="K239" t="n">
        <v>0</v>
      </c>
      <c r="L239" t="n">
        <v>0</v>
      </c>
      <c r="M239" t="n">
        <v>0</v>
      </c>
      <c r="N239" t="n">
        <v>0</v>
      </c>
      <c r="O239" t="n">
        <v>0</v>
      </c>
      <c r="P239" t="n">
        <v>0</v>
      </c>
      <c r="Q239" t="n">
        <v>0</v>
      </c>
      <c r="R239" s="2" t="inlineStr"/>
    </row>
    <row r="240" ht="15" customHeight="1">
      <c r="A240" t="inlineStr">
        <is>
          <t>A 7079-2019</t>
        </is>
      </c>
      <c r="B240" s="1" t="n">
        <v>43496</v>
      </c>
      <c r="C240" s="1" t="n">
        <v>45258</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7148-2019</t>
        </is>
      </c>
      <c r="B241" s="1" t="n">
        <v>43496</v>
      </c>
      <c r="C241" s="1" t="n">
        <v>45258</v>
      </c>
      <c r="D241" t="inlineStr">
        <is>
          <t>VÄSTERNORRLANDS LÄN</t>
        </is>
      </c>
      <c r="E241" t="inlineStr">
        <is>
          <t>ÅNGE</t>
        </is>
      </c>
      <c r="G241" t="n">
        <v>12.8</v>
      </c>
      <c r="H241" t="n">
        <v>0</v>
      </c>
      <c r="I241" t="n">
        <v>0</v>
      </c>
      <c r="J241" t="n">
        <v>0</v>
      </c>
      <c r="K241" t="n">
        <v>0</v>
      </c>
      <c r="L241" t="n">
        <v>0</v>
      </c>
      <c r="M241" t="n">
        <v>0</v>
      </c>
      <c r="N241" t="n">
        <v>0</v>
      </c>
      <c r="O241" t="n">
        <v>0</v>
      </c>
      <c r="P241" t="n">
        <v>0</v>
      </c>
      <c r="Q241" t="n">
        <v>0</v>
      </c>
      <c r="R241" s="2" t="inlineStr"/>
    </row>
    <row r="242" ht="15" customHeight="1">
      <c r="A242" t="inlineStr">
        <is>
          <t>A 8276-2019</t>
        </is>
      </c>
      <c r="B242" s="1" t="n">
        <v>43501</v>
      </c>
      <c r="C242" s="1" t="n">
        <v>45258</v>
      </c>
      <c r="D242" t="inlineStr">
        <is>
          <t>VÄSTERNORRLANDS LÄN</t>
        </is>
      </c>
      <c r="E242" t="inlineStr">
        <is>
          <t>ÅNGE</t>
        </is>
      </c>
      <c r="F242" t="inlineStr">
        <is>
          <t>SCA</t>
        </is>
      </c>
      <c r="G242" t="n">
        <v>16.6</v>
      </c>
      <c r="H242" t="n">
        <v>0</v>
      </c>
      <c r="I242" t="n">
        <v>0</v>
      </c>
      <c r="J242" t="n">
        <v>0</v>
      </c>
      <c r="K242" t="n">
        <v>0</v>
      </c>
      <c r="L242" t="n">
        <v>0</v>
      </c>
      <c r="M242" t="n">
        <v>0</v>
      </c>
      <c r="N242" t="n">
        <v>0</v>
      </c>
      <c r="O242" t="n">
        <v>0</v>
      </c>
      <c r="P242" t="n">
        <v>0</v>
      </c>
      <c r="Q242" t="n">
        <v>0</v>
      </c>
      <c r="R242" s="2" t="inlineStr"/>
    </row>
    <row r="243" ht="15" customHeight="1">
      <c r="A243" t="inlineStr">
        <is>
          <t>A 8278-2019</t>
        </is>
      </c>
      <c r="B243" s="1" t="n">
        <v>43501</v>
      </c>
      <c r="C243" s="1" t="n">
        <v>45258</v>
      </c>
      <c r="D243" t="inlineStr">
        <is>
          <t>VÄSTERNORRLANDS LÄN</t>
        </is>
      </c>
      <c r="E243" t="inlineStr">
        <is>
          <t>ÅNGE</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12014-2019</t>
        </is>
      </c>
      <c r="B244" s="1" t="n">
        <v>43521</v>
      </c>
      <c r="C244" s="1" t="n">
        <v>45258</v>
      </c>
      <c r="D244" t="inlineStr">
        <is>
          <t>VÄSTERNORRLANDS LÄN</t>
        </is>
      </c>
      <c r="E244" t="inlineStr">
        <is>
          <t>ÅNGE</t>
        </is>
      </c>
      <c r="G244" t="n">
        <v>3.6</v>
      </c>
      <c r="H244" t="n">
        <v>0</v>
      </c>
      <c r="I244" t="n">
        <v>0</v>
      </c>
      <c r="J244" t="n">
        <v>0</v>
      </c>
      <c r="K244" t="n">
        <v>0</v>
      </c>
      <c r="L244" t="n">
        <v>0</v>
      </c>
      <c r="M244" t="n">
        <v>0</v>
      </c>
      <c r="N244" t="n">
        <v>0</v>
      </c>
      <c r="O244" t="n">
        <v>0</v>
      </c>
      <c r="P244" t="n">
        <v>0</v>
      </c>
      <c r="Q244" t="n">
        <v>0</v>
      </c>
      <c r="R244" s="2" t="inlineStr"/>
    </row>
    <row r="245" ht="15" customHeight="1">
      <c r="A245" t="inlineStr">
        <is>
          <t>A 13905-2019</t>
        </is>
      </c>
      <c r="B245" s="1" t="n">
        <v>43531</v>
      </c>
      <c r="C245" s="1" t="n">
        <v>45258</v>
      </c>
      <c r="D245" t="inlineStr">
        <is>
          <t>VÄSTERNORRLANDS LÄN</t>
        </is>
      </c>
      <c r="E245" t="inlineStr">
        <is>
          <t>ÅNGE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14734-2019</t>
        </is>
      </c>
      <c r="B246" s="1" t="n">
        <v>43535</v>
      </c>
      <c r="C246" s="1" t="n">
        <v>45258</v>
      </c>
      <c r="D246" t="inlineStr">
        <is>
          <t>VÄSTERNORRLANDS LÄN</t>
        </is>
      </c>
      <c r="E246" t="inlineStr">
        <is>
          <t>ÅNGE</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14722-2019</t>
        </is>
      </c>
      <c r="B247" s="1" t="n">
        <v>43535</v>
      </c>
      <c r="C247" s="1" t="n">
        <v>45258</v>
      </c>
      <c r="D247" t="inlineStr">
        <is>
          <t>VÄSTERNORRLANDS LÄN</t>
        </is>
      </c>
      <c r="E247" t="inlineStr">
        <is>
          <t>ÅNGE</t>
        </is>
      </c>
      <c r="F247" t="inlineStr">
        <is>
          <t>SCA</t>
        </is>
      </c>
      <c r="G247" t="n">
        <v>3.8</v>
      </c>
      <c r="H247" t="n">
        <v>0</v>
      </c>
      <c r="I247" t="n">
        <v>0</v>
      </c>
      <c r="J247" t="n">
        <v>0</v>
      </c>
      <c r="K247" t="n">
        <v>0</v>
      </c>
      <c r="L247" t="n">
        <v>0</v>
      </c>
      <c r="M247" t="n">
        <v>0</v>
      </c>
      <c r="N247" t="n">
        <v>0</v>
      </c>
      <c r="O247" t="n">
        <v>0</v>
      </c>
      <c r="P247" t="n">
        <v>0</v>
      </c>
      <c r="Q247" t="n">
        <v>0</v>
      </c>
      <c r="R247" s="2" t="inlineStr"/>
    </row>
    <row r="248" ht="15" customHeight="1">
      <c r="A248" t="inlineStr">
        <is>
          <t>A 14730-2019</t>
        </is>
      </c>
      <c r="B248" s="1" t="n">
        <v>43535</v>
      </c>
      <c r="C248" s="1" t="n">
        <v>45258</v>
      </c>
      <c r="D248" t="inlineStr">
        <is>
          <t>VÄSTERNORRLANDS LÄN</t>
        </is>
      </c>
      <c r="E248" t="inlineStr">
        <is>
          <t>ÅNGE</t>
        </is>
      </c>
      <c r="F248" t="inlineStr">
        <is>
          <t>SCA</t>
        </is>
      </c>
      <c r="G248" t="n">
        <v>10.9</v>
      </c>
      <c r="H248" t="n">
        <v>0</v>
      </c>
      <c r="I248" t="n">
        <v>0</v>
      </c>
      <c r="J248" t="n">
        <v>0</v>
      </c>
      <c r="K248" t="n">
        <v>0</v>
      </c>
      <c r="L248" t="n">
        <v>0</v>
      </c>
      <c r="M248" t="n">
        <v>0</v>
      </c>
      <c r="N248" t="n">
        <v>0</v>
      </c>
      <c r="O248" t="n">
        <v>0</v>
      </c>
      <c r="P248" t="n">
        <v>0</v>
      </c>
      <c r="Q248" t="n">
        <v>0</v>
      </c>
      <c r="R248" s="2" t="inlineStr"/>
    </row>
    <row r="249" ht="15" customHeight="1">
      <c r="A249" t="inlineStr">
        <is>
          <t>A 14827-2019</t>
        </is>
      </c>
      <c r="B249" s="1" t="n">
        <v>43538</v>
      </c>
      <c r="C249" s="1" t="n">
        <v>45258</v>
      </c>
      <c r="D249" t="inlineStr">
        <is>
          <t>VÄSTERNORRLANDS LÄN</t>
        </is>
      </c>
      <c r="E249" t="inlineStr">
        <is>
          <t>ÅNGE</t>
        </is>
      </c>
      <c r="G249" t="n">
        <v>1</v>
      </c>
      <c r="H249" t="n">
        <v>0</v>
      </c>
      <c r="I249" t="n">
        <v>0</v>
      </c>
      <c r="J249" t="n">
        <v>0</v>
      </c>
      <c r="K249" t="n">
        <v>0</v>
      </c>
      <c r="L249" t="n">
        <v>0</v>
      </c>
      <c r="M249" t="n">
        <v>0</v>
      </c>
      <c r="N249" t="n">
        <v>0</v>
      </c>
      <c r="O249" t="n">
        <v>0</v>
      </c>
      <c r="P249" t="n">
        <v>0</v>
      </c>
      <c r="Q249" t="n">
        <v>0</v>
      </c>
      <c r="R249" s="2" t="inlineStr"/>
    </row>
    <row r="250" ht="15" customHeight="1">
      <c r="A250" t="inlineStr">
        <is>
          <t>A 15439-2019</t>
        </is>
      </c>
      <c r="B250" s="1" t="n">
        <v>43542</v>
      </c>
      <c r="C250" s="1" t="n">
        <v>45258</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15905-2019</t>
        </is>
      </c>
      <c r="B251" s="1" t="n">
        <v>43543</v>
      </c>
      <c r="C251" s="1" t="n">
        <v>45258</v>
      </c>
      <c r="D251" t="inlineStr">
        <is>
          <t>VÄSTERNORRLANDS LÄN</t>
        </is>
      </c>
      <c r="E251" t="inlineStr">
        <is>
          <t>ÅNGE</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16536-2019</t>
        </is>
      </c>
      <c r="B252" s="1" t="n">
        <v>43546</v>
      </c>
      <c r="C252" s="1" t="n">
        <v>45258</v>
      </c>
      <c r="D252" t="inlineStr">
        <is>
          <t>VÄSTERNORRLANDS LÄN</t>
        </is>
      </c>
      <c r="E252" t="inlineStr">
        <is>
          <t>ÅNGE</t>
        </is>
      </c>
      <c r="F252" t="inlineStr">
        <is>
          <t>SCA</t>
        </is>
      </c>
      <c r="G252" t="n">
        <v>27.8</v>
      </c>
      <c r="H252" t="n">
        <v>0</v>
      </c>
      <c r="I252" t="n">
        <v>0</v>
      </c>
      <c r="J252" t="n">
        <v>0</v>
      </c>
      <c r="K252" t="n">
        <v>0</v>
      </c>
      <c r="L252" t="n">
        <v>0</v>
      </c>
      <c r="M252" t="n">
        <v>0</v>
      </c>
      <c r="N252" t="n">
        <v>0</v>
      </c>
      <c r="O252" t="n">
        <v>0</v>
      </c>
      <c r="P252" t="n">
        <v>0</v>
      </c>
      <c r="Q252" t="n">
        <v>0</v>
      </c>
      <c r="R252" s="2" t="inlineStr"/>
    </row>
    <row r="253" ht="15" customHeight="1">
      <c r="A253" t="inlineStr">
        <is>
          <t>A 17188-2019</t>
        </is>
      </c>
      <c r="B253" s="1" t="n">
        <v>43551</v>
      </c>
      <c r="C253" s="1" t="n">
        <v>45258</v>
      </c>
      <c r="D253" t="inlineStr">
        <is>
          <t>VÄSTERNORRLANDS LÄN</t>
        </is>
      </c>
      <c r="E253" t="inlineStr">
        <is>
          <t>ÅNGE</t>
        </is>
      </c>
      <c r="G253" t="n">
        <v>2.5</v>
      </c>
      <c r="H253" t="n">
        <v>0</v>
      </c>
      <c r="I253" t="n">
        <v>0</v>
      </c>
      <c r="J253" t="n">
        <v>0</v>
      </c>
      <c r="K253" t="n">
        <v>0</v>
      </c>
      <c r="L253" t="n">
        <v>0</v>
      </c>
      <c r="M253" t="n">
        <v>0</v>
      </c>
      <c r="N253" t="n">
        <v>0</v>
      </c>
      <c r="O253" t="n">
        <v>0</v>
      </c>
      <c r="P253" t="n">
        <v>0</v>
      </c>
      <c r="Q253" t="n">
        <v>0</v>
      </c>
      <c r="R253" s="2" t="inlineStr"/>
    </row>
    <row r="254" ht="15" customHeight="1">
      <c r="A254" t="inlineStr">
        <is>
          <t>A 17278-2019</t>
        </is>
      </c>
      <c r="B254" s="1" t="n">
        <v>43552</v>
      </c>
      <c r="C254" s="1" t="n">
        <v>45258</v>
      </c>
      <c r="D254" t="inlineStr">
        <is>
          <t>VÄSTERNORRLANDS LÄN</t>
        </is>
      </c>
      <c r="E254" t="inlineStr">
        <is>
          <t>ÅNGE</t>
        </is>
      </c>
      <c r="G254" t="n">
        <v>1.4</v>
      </c>
      <c r="H254" t="n">
        <v>0</v>
      </c>
      <c r="I254" t="n">
        <v>0</v>
      </c>
      <c r="J254" t="n">
        <v>0</v>
      </c>
      <c r="K254" t="n">
        <v>0</v>
      </c>
      <c r="L254" t="n">
        <v>0</v>
      </c>
      <c r="M254" t="n">
        <v>0</v>
      </c>
      <c r="N254" t="n">
        <v>0</v>
      </c>
      <c r="O254" t="n">
        <v>0</v>
      </c>
      <c r="P254" t="n">
        <v>0</v>
      </c>
      <c r="Q254" t="n">
        <v>0</v>
      </c>
      <c r="R254" s="2" t="inlineStr"/>
    </row>
    <row r="255" ht="15" customHeight="1">
      <c r="A255" t="inlineStr">
        <is>
          <t>A 17281-2019</t>
        </is>
      </c>
      <c r="B255" s="1" t="n">
        <v>43552</v>
      </c>
      <c r="C255" s="1" t="n">
        <v>45258</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17357-2019</t>
        </is>
      </c>
      <c r="B256" s="1" t="n">
        <v>43552</v>
      </c>
      <c r="C256" s="1" t="n">
        <v>45258</v>
      </c>
      <c r="D256" t="inlineStr">
        <is>
          <t>VÄSTERNORRLANDS LÄN</t>
        </is>
      </c>
      <c r="E256" t="inlineStr">
        <is>
          <t>ÅNGE</t>
        </is>
      </c>
      <c r="G256" t="n">
        <v>6.5</v>
      </c>
      <c r="H256" t="n">
        <v>0</v>
      </c>
      <c r="I256" t="n">
        <v>0</v>
      </c>
      <c r="J256" t="n">
        <v>0</v>
      </c>
      <c r="K256" t="n">
        <v>0</v>
      </c>
      <c r="L256" t="n">
        <v>0</v>
      </c>
      <c r="M256" t="n">
        <v>0</v>
      </c>
      <c r="N256" t="n">
        <v>0</v>
      </c>
      <c r="O256" t="n">
        <v>0</v>
      </c>
      <c r="P256" t="n">
        <v>0</v>
      </c>
      <c r="Q256" t="n">
        <v>0</v>
      </c>
      <c r="R256" s="2" t="inlineStr"/>
    </row>
    <row r="257" ht="15" customHeight="1">
      <c r="A257" t="inlineStr">
        <is>
          <t>A 17513-2019</t>
        </is>
      </c>
      <c r="B257" s="1" t="n">
        <v>43553</v>
      </c>
      <c r="C257" s="1" t="n">
        <v>45258</v>
      </c>
      <c r="D257" t="inlineStr">
        <is>
          <t>VÄSTERNORRLANDS LÄN</t>
        </is>
      </c>
      <c r="E257" t="inlineStr">
        <is>
          <t>ÅNGE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17587-2019</t>
        </is>
      </c>
      <c r="B258" s="1" t="n">
        <v>43553</v>
      </c>
      <c r="C258" s="1" t="n">
        <v>45258</v>
      </c>
      <c r="D258" t="inlineStr">
        <is>
          <t>VÄSTERNORRLANDS LÄN</t>
        </is>
      </c>
      <c r="E258" t="inlineStr">
        <is>
          <t>ÅNGE</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17588-2019</t>
        </is>
      </c>
      <c r="B259" s="1" t="n">
        <v>43553</v>
      </c>
      <c r="C259" s="1" t="n">
        <v>45258</v>
      </c>
      <c r="D259" t="inlineStr">
        <is>
          <t>VÄSTERNORRLANDS LÄN</t>
        </is>
      </c>
      <c r="E259" t="inlineStr">
        <is>
          <t>ÅNGE</t>
        </is>
      </c>
      <c r="F259" t="inlineStr">
        <is>
          <t>SCA</t>
        </is>
      </c>
      <c r="G259" t="n">
        <v>11.6</v>
      </c>
      <c r="H259" t="n">
        <v>0</v>
      </c>
      <c r="I259" t="n">
        <v>0</v>
      </c>
      <c r="J259" t="n">
        <v>0</v>
      </c>
      <c r="K259" t="n">
        <v>0</v>
      </c>
      <c r="L259" t="n">
        <v>0</v>
      </c>
      <c r="M259" t="n">
        <v>0</v>
      </c>
      <c r="N259" t="n">
        <v>0</v>
      </c>
      <c r="O259" t="n">
        <v>0</v>
      </c>
      <c r="P259" t="n">
        <v>0</v>
      </c>
      <c r="Q259" t="n">
        <v>0</v>
      </c>
      <c r="R259" s="2" t="inlineStr"/>
    </row>
    <row r="260" ht="15" customHeight="1">
      <c r="A260" t="inlineStr">
        <is>
          <t>A 17854-2019</t>
        </is>
      </c>
      <c r="B260" s="1" t="n">
        <v>43556</v>
      </c>
      <c r="C260" s="1" t="n">
        <v>45258</v>
      </c>
      <c r="D260" t="inlineStr">
        <is>
          <t>VÄSTERNORRLANDS LÄN</t>
        </is>
      </c>
      <c r="E260" t="inlineStr">
        <is>
          <t>ÅNGE</t>
        </is>
      </c>
      <c r="G260" t="n">
        <v>0.6</v>
      </c>
      <c r="H260" t="n">
        <v>0</v>
      </c>
      <c r="I260" t="n">
        <v>0</v>
      </c>
      <c r="J260" t="n">
        <v>0</v>
      </c>
      <c r="K260" t="n">
        <v>0</v>
      </c>
      <c r="L260" t="n">
        <v>0</v>
      </c>
      <c r="M260" t="n">
        <v>0</v>
      </c>
      <c r="N260" t="n">
        <v>0</v>
      </c>
      <c r="O260" t="n">
        <v>0</v>
      </c>
      <c r="P260" t="n">
        <v>0</v>
      </c>
      <c r="Q260" t="n">
        <v>0</v>
      </c>
      <c r="R260" s="2" t="inlineStr"/>
    </row>
    <row r="261" ht="15" customHeight="1">
      <c r="A261" t="inlineStr">
        <is>
          <t>A 17857-2019</t>
        </is>
      </c>
      <c r="B261" s="1" t="n">
        <v>43556</v>
      </c>
      <c r="C261" s="1" t="n">
        <v>45258</v>
      </c>
      <c r="D261" t="inlineStr">
        <is>
          <t>VÄSTERNORRLANDS LÄN</t>
        </is>
      </c>
      <c r="E261" t="inlineStr">
        <is>
          <t>ÅNGE</t>
        </is>
      </c>
      <c r="G261" t="n">
        <v>1.1</v>
      </c>
      <c r="H261" t="n">
        <v>0</v>
      </c>
      <c r="I261" t="n">
        <v>0</v>
      </c>
      <c r="J261" t="n">
        <v>0</v>
      </c>
      <c r="K261" t="n">
        <v>0</v>
      </c>
      <c r="L261" t="n">
        <v>0</v>
      </c>
      <c r="M261" t="n">
        <v>0</v>
      </c>
      <c r="N261" t="n">
        <v>0</v>
      </c>
      <c r="O261" t="n">
        <v>0</v>
      </c>
      <c r="P261" t="n">
        <v>0</v>
      </c>
      <c r="Q261" t="n">
        <v>0</v>
      </c>
      <c r="R261" s="2" t="inlineStr"/>
    </row>
    <row r="262" ht="15" customHeight="1">
      <c r="A262" t="inlineStr">
        <is>
          <t>A 17764-2019</t>
        </is>
      </c>
      <c r="B262" s="1" t="n">
        <v>43556</v>
      </c>
      <c r="C262" s="1" t="n">
        <v>45258</v>
      </c>
      <c r="D262" t="inlineStr">
        <is>
          <t>VÄSTERNORRLANDS LÄN</t>
        </is>
      </c>
      <c r="E262" t="inlineStr">
        <is>
          <t>ÅNGE</t>
        </is>
      </c>
      <c r="F262" t="inlineStr">
        <is>
          <t>Kyrkan</t>
        </is>
      </c>
      <c r="G262" t="n">
        <v>20.7</v>
      </c>
      <c r="H262" t="n">
        <v>0</v>
      </c>
      <c r="I262" t="n">
        <v>0</v>
      </c>
      <c r="J262" t="n">
        <v>0</v>
      </c>
      <c r="K262" t="n">
        <v>0</v>
      </c>
      <c r="L262" t="n">
        <v>0</v>
      </c>
      <c r="M262" t="n">
        <v>0</v>
      </c>
      <c r="N262" t="n">
        <v>0</v>
      </c>
      <c r="O262" t="n">
        <v>0</v>
      </c>
      <c r="P262" t="n">
        <v>0</v>
      </c>
      <c r="Q262" t="n">
        <v>0</v>
      </c>
      <c r="R262" s="2" t="inlineStr"/>
    </row>
    <row r="263" ht="15" customHeight="1">
      <c r="A263" t="inlineStr">
        <is>
          <t>A 18069-2019</t>
        </is>
      </c>
      <c r="B263" s="1" t="n">
        <v>43557</v>
      </c>
      <c r="C263" s="1" t="n">
        <v>45258</v>
      </c>
      <c r="D263" t="inlineStr">
        <is>
          <t>VÄSTERNORRLANDS LÄN</t>
        </is>
      </c>
      <c r="E263" t="inlineStr">
        <is>
          <t>ÅNGE</t>
        </is>
      </c>
      <c r="F263" t="inlineStr">
        <is>
          <t>SCA</t>
        </is>
      </c>
      <c r="G263" t="n">
        <v>21.2</v>
      </c>
      <c r="H263" t="n">
        <v>0</v>
      </c>
      <c r="I263" t="n">
        <v>0</v>
      </c>
      <c r="J263" t="n">
        <v>0</v>
      </c>
      <c r="K263" t="n">
        <v>0</v>
      </c>
      <c r="L263" t="n">
        <v>0</v>
      </c>
      <c r="M263" t="n">
        <v>0</v>
      </c>
      <c r="N263" t="n">
        <v>0</v>
      </c>
      <c r="O263" t="n">
        <v>0</v>
      </c>
      <c r="P263" t="n">
        <v>0</v>
      </c>
      <c r="Q263" t="n">
        <v>0</v>
      </c>
      <c r="R263" s="2" t="inlineStr"/>
    </row>
    <row r="264" ht="15" customHeight="1">
      <c r="A264" t="inlineStr">
        <is>
          <t>A 18304-2019</t>
        </is>
      </c>
      <c r="B264" s="1" t="n">
        <v>43558</v>
      </c>
      <c r="C264" s="1" t="n">
        <v>45258</v>
      </c>
      <c r="D264" t="inlineStr">
        <is>
          <t>VÄSTERNORRLANDS LÄN</t>
        </is>
      </c>
      <c r="E264" t="inlineStr">
        <is>
          <t>ÅNGE</t>
        </is>
      </c>
      <c r="F264" t="inlineStr">
        <is>
          <t>SCA</t>
        </is>
      </c>
      <c r="G264" t="n">
        <v>7.9</v>
      </c>
      <c r="H264" t="n">
        <v>0</v>
      </c>
      <c r="I264" t="n">
        <v>0</v>
      </c>
      <c r="J264" t="n">
        <v>0</v>
      </c>
      <c r="K264" t="n">
        <v>0</v>
      </c>
      <c r="L264" t="n">
        <v>0</v>
      </c>
      <c r="M264" t="n">
        <v>0</v>
      </c>
      <c r="N264" t="n">
        <v>0</v>
      </c>
      <c r="O264" t="n">
        <v>0</v>
      </c>
      <c r="P264" t="n">
        <v>0</v>
      </c>
      <c r="Q264" t="n">
        <v>0</v>
      </c>
      <c r="R264" s="2" t="inlineStr"/>
    </row>
    <row r="265" ht="15" customHeight="1">
      <c r="A265" t="inlineStr">
        <is>
          <t>A 19008-2019</t>
        </is>
      </c>
      <c r="B265" s="1" t="n">
        <v>43563</v>
      </c>
      <c r="C265" s="1" t="n">
        <v>45258</v>
      </c>
      <c r="D265" t="inlineStr">
        <is>
          <t>VÄSTERNORRLANDS LÄN</t>
        </is>
      </c>
      <c r="E265" t="inlineStr">
        <is>
          <t>ÅNGE</t>
        </is>
      </c>
      <c r="G265" t="n">
        <v>5.7</v>
      </c>
      <c r="H265" t="n">
        <v>0</v>
      </c>
      <c r="I265" t="n">
        <v>0</v>
      </c>
      <c r="J265" t="n">
        <v>0</v>
      </c>
      <c r="K265" t="n">
        <v>0</v>
      </c>
      <c r="L265" t="n">
        <v>0</v>
      </c>
      <c r="M265" t="n">
        <v>0</v>
      </c>
      <c r="N265" t="n">
        <v>0</v>
      </c>
      <c r="O265" t="n">
        <v>0</v>
      </c>
      <c r="P265" t="n">
        <v>0</v>
      </c>
      <c r="Q265" t="n">
        <v>0</v>
      </c>
      <c r="R265" s="2" t="inlineStr"/>
    </row>
    <row r="266" ht="15" customHeight="1">
      <c r="A266" t="inlineStr">
        <is>
          <t>A 19273-2019</t>
        </is>
      </c>
      <c r="B266" s="1" t="n">
        <v>43564</v>
      </c>
      <c r="C266" s="1" t="n">
        <v>45258</v>
      </c>
      <c r="D266" t="inlineStr">
        <is>
          <t>VÄSTERNORRLANDS LÄN</t>
        </is>
      </c>
      <c r="E266" t="inlineStr">
        <is>
          <t>ÅNGE</t>
        </is>
      </c>
      <c r="G266" t="n">
        <v>5.3</v>
      </c>
      <c r="H266" t="n">
        <v>0</v>
      </c>
      <c r="I266" t="n">
        <v>0</v>
      </c>
      <c r="J266" t="n">
        <v>0</v>
      </c>
      <c r="K266" t="n">
        <v>0</v>
      </c>
      <c r="L266" t="n">
        <v>0</v>
      </c>
      <c r="M266" t="n">
        <v>0</v>
      </c>
      <c r="N266" t="n">
        <v>0</v>
      </c>
      <c r="O266" t="n">
        <v>0</v>
      </c>
      <c r="P266" t="n">
        <v>0</v>
      </c>
      <c r="Q266" t="n">
        <v>0</v>
      </c>
      <c r="R266" s="2" t="inlineStr"/>
    </row>
    <row r="267" ht="15" customHeight="1">
      <c r="A267" t="inlineStr">
        <is>
          <t>A 19274-2019</t>
        </is>
      </c>
      <c r="B267" s="1" t="n">
        <v>43564</v>
      </c>
      <c r="C267" s="1" t="n">
        <v>45258</v>
      </c>
      <c r="D267" t="inlineStr">
        <is>
          <t>VÄSTERNORRLANDS LÄN</t>
        </is>
      </c>
      <c r="E267" t="inlineStr">
        <is>
          <t>ÅNGE</t>
        </is>
      </c>
      <c r="G267" t="n">
        <v>2.1</v>
      </c>
      <c r="H267" t="n">
        <v>0</v>
      </c>
      <c r="I267" t="n">
        <v>0</v>
      </c>
      <c r="J267" t="n">
        <v>0</v>
      </c>
      <c r="K267" t="n">
        <v>0</v>
      </c>
      <c r="L267" t="n">
        <v>0</v>
      </c>
      <c r="M267" t="n">
        <v>0</v>
      </c>
      <c r="N267" t="n">
        <v>0</v>
      </c>
      <c r="O267" t="n">
        <v>0</v>
      </c>
      <c r="P267" t="n">
        <v>0</v>
      </c>
      <c r="Q267" t="n">
        <v>0</v>
      </c>
      <c r="R267" s="2" t="inlineStr"/>
    </row>
    <row r="268" ht="15" customHeight="1">
      <c r="A268" t="inlineStr">
        <is>
          <t>A 19266-2019</t>
        </is>
      </c>
      <c r="B268" s="1" t="n">
        <v>43564</v>
      </c>
      <c r="C268" s="1" t="n">
        <v>45258</v>
      </c>
      <c r="D268" t="inlineStr">
        <is>
          <t>VÄSTERNORRLANDS LÄN</t>
        </is>
      </c>
      <c r="E268" t="inlineStr">
        <is>
          <t>ÅNGE</t>
        </is>
      </c>
      <c r="G268" t="n">
        <v>4</v>
      </c>
      <c r="H268" t="n">
        <v>0</v>
      </c>
      <c r="I268" t="n">
        <v>0</v>
      </c>
      <c r="J268" t="n">
        <v>0</v>
      </c>
      <c r="K268" t="n">
        <v>0</v>
      </c>
      <c r="L268" t="n">
        <v>0</v>
      </c>
      <c r="M268" t="n">
        <v>0</v>
      </c>
      <c r="N268" t="n">
        <v>0</v>
      </c>
      <c r="O268" t="n">
        <v>0</v>
      </c>
      <c r="P268" t="n">
        <v>0</v>
      </c>
      <c r="Q268" t="n">
        <v>0</v>
      </c>
      <c r="R268" s="2" t="inlineStr"/>
    </row>
    <row r="269" ht="15" customHeight="1">
      <c r="A269" t="inlineStr">
        <is>
          <t>A 19270-2019</t>
        </is>
      </c>
      <c r="B269" s="1" t="n">
        <v>43564</v>
      </c>
      <c r="C269" s="1" t="n">
        <v>45258</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19310-2019</t>
        </is>
      </c>
      <c r="B270" s="1" t="n">
        <v>43565</v>
      </c>
      <c r="C270" s="1" t="n">
        <v>45258</v>
      </c>
      <c r="D270" t="inlineStr">
        <is>
          <t>VÄSTERNORRLANDS LÄN</t>
        </is>
      </c>
      <c r="E270" t="inlineStr">
        <is>
          <t>ÅNGE</t>
        </is>
      </c>
      <c r="G270" t="n">
        <v>1.4</v>
      </c>
      <c r="H270" t="n">
        <v>0</v>
      </c>
      <c r="I270" t="n">
        <v>0</v>
      </c>
      <c r="J270" t="n">
        <v>0</v>
      </c>
      <c r="K270" t="n">
        <v>0</v>
      </c>
      <c r="L270" t="n">
        <v>0</v>
      </c>
      <c r="M270" t="n">
        <v>0</v>
      </c>
      <c r="N270" t="n">
        <v>0</v>
      </c>
      <c r="O270" t="n">
        <v>0</v>
      </c>
      <c r="P270" t="n">
        <v>0</v>
      </c>
      <c r="Q270" t="n">
        <v>0</v>
      </c>
      <c r="R270" s="2" t="inlineStr"/>
    </row>
    <row r="271" ht="15" customHeight="1">
      <c r="A271" t="inlineStr">
        <is>
          <t>A 20062-2019</t>
        </is>
      </c>
      <c r="B271" s="1" t="n">
        <v>43570</v>
      </c>
      <c r="C271" s="1" t="n">
        <v>45258</v>
      </c>
      <c r="D271" t="inlineStr">
        <is>
          <t>VÄSTERNORRLANDS LÄN</t>
        </is>
      </c>
      <c r="E271" t="inlineStr">
        <is>
          <t>ÅNGE</t>
        </is>
      </c>
      <c r="G271" t="n">
        <v>4.3</v>
      </c>
      <c r="H271" t="n">
        <v>0</v>
      </c>
      <c r="I271" t="n">
        <v>0</v>
      </c>
      <c r="J271" t="n">
        <v>0</v>
      </c>
      <c r="K271" t="n">
        <v>0</v>
      </c>
      <c r="L271" t="n">
        <v>0</v>
      </c>
      <c r="M271" t="n">
        <v>0</v>
      </c>
      <c r="N271" t="n">
        <v>0</v>
      </c>
      <c r="O271" t="n">
        <v>0</v>
      </c>
      <c r="P271" t="n">
        <v>0</v>
      </c>
      <c r="Q271" t="n">
        <v>0</v>
      </c>
      <c r="R271" s="2" t="inlineStr"/>
    </row>
    <row r="272" ht="15" customHeight="1">
      <c r="A272" t="inlineStr">
        <is>
          <t>A 20102-2019</t>
        </is>
      </c>
      <c r="B272" s="1" t="n">
        <v>43570</v>
      </c>
      <c r="C272" s="1" t="n">
        <v>45258</v>
      </c>
      <c r="D272" t="inlineStr">
        <is>
          <t>VÄSTERNORRLANDS LÄN</t>
        </is>
      </c>
      <c r="E272" t="inlineStr">
        <is>
          <t>ÅNGE</t>
        </is>
      </c>
      <c r="F272" t="inlineStr">
        <is>
          <t>Övriga Aktiebolag</t>
        </is>
      </c>
      <c r="G272" t="n">
        <v>3.6</v>
      </c>
      <c r="H272" t="n">
        <v>0</v>
      </c>
      <c r="I272" t="n">
        <v>0</v>
      </c>
      <c r="J272" t="n">
        <v>0</v>
      </c>
      <c r="K272" t="n">
        <v>0</v>
      </c>
      <c r="L272" t="n">
        <v>0</v>
      </c>
      <c r="M272" t="n">
        <v>0</v>
      </c>
      <c r="N272" t="n">
        <v>0</v>
      </c>
      <c r="O272" t="n">
        <v>0</v>
      </c>
      <c r="P272" t="n">
        <v>0</v>
      </c>
      <c r="Q272" t="n">
        <v>0</v>
      </c>
      <c r="R272" s="2" t="inlineStr"/>
    </row>
    <row r="273" ht="15" customHeight="1">
      <c r="A273" t="inlineStr">
        <is>
          <t>A 20397-2019</t>
        </is>
      </c>
      <c r="B273" s="1" t="n">
        <v>43571</v>
      </c>
      <c r="C273" s="1" t="n">
        <v>45258</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20400-2019</t>
        </is>
      </c>
      <c r="B274" s="1" t="n">
        <v>43571</v>
      </c>
      <c r="C274" s="1" t="n">
        <v>45258</v>
      </c>
      <c r="D274" t="inlineStr">
        <is>
          <t>VÄSTERNORRLANDS LÄN</t>
        </is>
      </c>
      <c r="E274" t="inlineStr">
        <is>
          <t>ÅNGE</t>
        </is>
      </c>
      <c r="G274" t="n">
        <v>0.2</v>
      </c>
      <c r="H274" t="n">
        <v>0</v>
      </c>
      <c r="I274" t="n">
        <v>0</v>
      </c>
      <c r="J274" t="n">
        <v>0</v>
      </c>
      <c r="K274" t="n">
        <v>0</v>
      </c>
      <c r="L274" t="n">
        <v>0</v>
      </c>
      <c r="M274" t="n">
        <v>0</v>
      </c>
      <c r="N274" t="n">
        <v>0</v>
      </c>
      <c r="O274" t="n">
        <v>0</v>
      </c>
      <c r="P274" t="n">
        <v>0</v>
      </c>
      <c r="Q274" t="n">
        <v>0</v>
      </c>
      <c r="R274" s="2" t="inlineStr"/>
    </row>
    <row r="275" ht="15" customHeight="1">
      <c r="A275" t="inlineStr">
        <is>
          <t>A 20600-2019</t>
        </is>
      </c>
      <c r="B275" s="1" t="n">
        <v>43572</v>
      </c>
      <c r="C275" s="1" t="n">
        <v>45258</v>
      </c>
      <c r="D275" t="inlineStr">
        <is>
          <t>VÄSTERNORRLANDS LÄN</t>
        </is>
      </c>
      <c r="E275" t="inlineStr">
        <is>
          <t>ÅNGE</t>
        </is>
      </c>
      <c r="G275" t="n">
        <v>3.9</v>
      </c>
      <c r="H275" t="n">
        <v>0</v>
      </c>
      <c r="I275" t="n">
        <v>0</v>
      </c>
      <c r="J275" t="n">
        <v>0</v>
      </c>
      <c r="K275" t="n">
        <v>0</v>
      </c>
      <c r="L275" t="n">
        <v>0</v>
      </c>
      <c r="M275" t="n">
        <v>0</v>
      </c>
      <c r="N275" t="n">
        <v>0</v>
      </c>
      <c r="O275" t="n">
        <v>0</v>
      </c>
      <c r="P275" t="n">
        <v>0</v>
      </c>
      <c r="Q275" t="n">
        <v>0</v>
      </c>
      <c r="R275" s="2" t="inlineStr"/>
    </row>
    <row r="276" ht="15" customHeight="1">
      <c r="A276" t="inlineStr">
        <is>
          <t>A 21375-2019</t>
        </is>
      </c>
      <c r="B276" s="1" t="n">
        <v>43579</v>
      </c>
      <c r="C276" s="1" t="n">
        <v>45258</v>
      </c>
      <c r="D276" t="inlineStr">
        <is>
          <t>VÄSTERNORRLANDS LÄN</t>
        </is>
      </c>
      <c r="E276" t="inlineStr">
        <is>
          <t>ÅNGE</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21715-2019</t>
        </is>
      </c>
      <c r="B277" s="1" t="n">
        <v>43581</v>
      </c>
      <c r="C277" s="1" t="n">
        <v>45258</v>
      </c>
      <c r="D277" t="inlineStr">
        <is>
          <t>VÄSTERNORRLANDS LÄN</t>
        </is>
      </c>
      <c r="E277" t="inlineStr">
        <is>
          <t>ÅNGE</t>
        </is>
      </c>
      <c r="G277" t="n">
        <v>1.7</v>
      </c>
      <c r="H277" t="n">
        <v>0</v>
      </c>
      <c r="I277" t="n">
        <v>0</v>
      </c>
      <c r="J277" t="n">
        <v>0</v>
      </c>
      <c r="K277" t="n">
        <v>0</v>
      </c>
      <c r="L277" t="n">
        <v>0</v>
      </c>
      <c r="M277" t="n">
        <v>0</v>
      </c>
      <c r="N277" t="n">
        <v>0</v>
      </c>
      <c r="O277" t="n">
        <v>0</v>
      </c>
      <c r="P277" t="n">
        <v>0</v>
      </c>
      <c r="Q277" t="n">
        <v>0</v>
      </c>
      <c r="R277" s="2" t="inlineStr"/>
    </row>
    <row r="278" ht="15" customHeight="1">
      <c r="A278" t="inlineStr">
        <is>
          <t>A 21726-2019</t>
        </is>
      </c>
      <c r="B278" s="1" t="n">
        <v>43581</v>
      </c>
      <c r="C278" s="1" t="n">
        <v>45258</v>
      </c>
      <c r="D278" t="inlineStr">
        <is>
          <t>VÄSTERNORRLANDS LÄN</t>
        </is>
      </c>
      <c r="E278" t="inlineStr">
        <is>
          <t>ÅNGE</t>
        </is>
      </c>
      <c r="G278" t="n">
        <v>1.7</v>
      </c>
      <c r="H278" t="n">
        <v>0</v>
      </c>
      <c r="I278" t="n">
        <v>0</v>
      </c>
      <c r="J278" t="n">
        <v>0</v>
      </c>
      <c r="K278" t="n">
        <v>0</v>
      </c>
      <c r="L278" t="n">
        <v>0</v>
      </c>
      <c r="M278" t="n">
        <v>0</v>
      </c>
      <c r="N278" t="n">
        <v>0</v>
      </c>
      <c r="O278" t="n">
        <v>0</v>
      </c>
      <c r="P278" t="n">
        <v>0</v>
      </c>
      <c r="Q278" t="n">
        <v>0</v>
      </c>
      <c r="R278" s="2" t="inlineStr"/>
    </row>
    <row r="279" ht="15" customHeight="1">
      <c r="A279" t="inlineStr">
        <is>
          <t>A 21795-2019</t>
        </is>
      </c>
      <c r="B279" s="1" t="n">
        <v>43581</v>
      </c>
      <c r="C279" s="1" t="n">
        <v>45258</v>
      </c>
      <c r="D279" t="inlineStr">
        <is>
          <t>VÄSTERNORRLANDS LÄN</t>
        </is>
      </c>
      <c r="E279" t="inlineStr">
        <is>
          <t>ÅNGE</t>
        </is>
      </c>
      <c r="F279" t="inlineStr">
        <is>
          <t>SCA</t>
        </is>
      </c>
      <c r="G279" t="n">
        <v>7.2</v>
      </c>
      <c r="H279" t="n">
        <v>0</v>
      </c>
      <c r="I279" t="n">
        <v>0</v>
      </c>
      <c r="J279" t="n">
        <v>0</v>
      </c>
      <c r="K279" t="n">
        <v>0</v>
      </c>
      <c r="L279" t="n">
        <v>0</v>
      </c>
      <c r="M279" t="n">
        <v>0</v>
      </c>
      <c r="N279" t="n">
        <v>0</v>
      </c>
      <c r="O279" t="n">
        <v>0</v>
      </c>
      <c r="P279" t="n">
        <v>0</v>
      </c>
      <c r="Q279" t="n">
        <v>0</v>
      </c>
      <c r="R279" s="2" t="inlineStr"/>
    </row>
    <row r="280" ht="15" customHeight="1">
      <c r="A280" t="inlineStr">
        <is>
          <t>A 21633-2019</t>
        </is>
      </c>
      <c r="B280" s="1" t="n">
        <v>43581</v>
      </c>
      <c r="C280" s="1" t="n">
        <v>45258</v>
      </c>
      <c r="D280" t="inlineStr">
        <is>
          <t>VÄSTERNORRLANDS LÄN</t>
        </is>
      </c>
      <c r="E280" t="inlineStr">
        <is>
          <t>ÅNGE</t>
        </is>
      </c>
      <c r="G280" t="n">
        <v>7.1</v>
      </c>
      <c r="H280" t="n">
        <v>0</v>
      </c>
      <c r="I280" t="n">
        <v>0</v>
      </c>
      <c r="J280" t="n">
        <v>0</v>
      </c>
      <c r="K280" t="n">
        <v>0</v>
      </c>
      <c r="L280" t="n">
        <v>0</v>
      </c>
      <c r="M280" t="n">
        <v>0</v>
      </c>
      <c r="N280" t="n">
        <v>0</v>
      </c>
      <c r="O280" t="n">
        <v>0</v>
      </c>
      <c r="P280" t="n">
        <v>0</v>
      </c>
      <c r="Q280" t="n">
        <v>0</v>
      </c>
      <c r="R280" s="2" t="inlineStr"/>
    </row>
    <row r="281" ht="15" customHeight="1">
      <c r="A281" t="inlineStr">
        <is>
          <t>A 22202-2019</t>
        </is>
      </c>
      <c r="B281" s="1" t="n">
        <v>43585</v>
      </c>
      <c r="C281" s="1" t="n">
        <v>45258</v>
      </c>
      <c r="D281" t="inlineStr">
        <is>
          <t>VÄSTERNORRLANDS LÄN</t>
        </is>
      </c>
      <c r="E281" t="inlineStr">
        <is>
          <t>ÅNGE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23403-2019</t>
        </is>
      </c>
      <c r="B282" s="1" t="n">
        <v>43592</v>
      </c>
      <c r="C282" s="1" t="n">
        <v>45258</v>
      </c>
      <c r="D282" t="inlineStr">
        <is>
          <t>VÄSTERNORRLANDS LÄN</t>
        </is>
      </c>
      <c r="E282" t="inlineStr">
        <is>
          <t>ÅNGE</t>
        </is>
      </c>
      <c r="G282" t="n">
        <v>2.2</v>
      </c>
      <c r="H282" t="n">
        <v>0</v>
      </c>
      <c r="I282" t="n">
        <v>0</v>
      </c>
      <c r="J282" t="n">
        <v>0</v>
      </c>
      <c r="K282" t="n">
        <v>0</v>
      </c>
      <c r="L282" t="n">
        <v>0</v>
      </c>
      <c r="M282" t="n">
        <v>0</v>
      </c>
      <c r="N282" t="n">
        <v>0</v>
      </c>
      <c r="O282" t="n">
        <v>0</v>
      </c>
      <c r="P282" t="n">
        <v>0</v>
      </c>
      <c r="Q282" t="n">
        <v>0</v>
      </c>
      <c r="R282" s="2" t="inlineStr"/>
    </row>
    <row r="283" ht="15" customHeight="1">
      <c r="A283" t="inlineStr">
        <is>
          <t>A 23288-2019</t>
        </is>
      </c>
      <c r="B283" s="1" t="n">
        <v>43593</v>
      </c>
      <c r="C283" s="1" t="n">
        <v>45258</v>
      </c>
      <c r="D283" t="inlineStr">
        <is>
          <t>VÄSTERNORRLANDS LÄN</t>
        </is>
      </c>
      <c r="E283" t="inlineStr">
        <is>
          <t>ÅNGE</t>
        </is>
      </c>
      <c r="G283" t="n">
        <v>2.9</v>
      </c>
      <c r="H283" t="n">
        <v>0</v>
      </c>
      <c r="I283" t="n">
        <v>0</v>
      </c>
      <c r="J283" t="n">
        <v>0</v>
      </c>
      <c r="K283" t="n">
        <v>0</v>
      </c>
      <c r="L283" t="n">
        <v>0</v>
      </c>
      <c r="M283" t="n">
        <v>0</v>
      </c>
      <c r="N283" t="n">
        <v>0</v>
      </c>
      <c r="O283" t="n">
        <v>0</v>
      </c>
      <c r="P283" t="n">
        <v>0</v>
      </c>
      <c r="Q283" t="n">
        <v>0</v>
      </c>
      <c r="R283" s="2" t="inlineStr"/>
    </row>
    <row r="284" ht="15" customHeight="1">
      <c r="A284" t="inlineStr">
        <is>
          <t>A 24567-2019</t>
        </is>
      </c>
      <c r="B284" s="1" t="n">
        <v>43600</v>
      </c>
      <c r="C284" s="1" t="n">
        <v>45258</v>
      </c>
      <c r="D284" t="inlineStr">
        <is>
          <t>VÄSTERNORRLANDS LÄN</t>
        </is>
      </c>
      <c r="E284" t="inlineStr">
        <is>
          <t>ÅNGE</t>
        </is>
      </c>
      <c r="G284" t="n">
        <v>2.7</v>
      </c>
      <c r="H284" t="n">
        <v>0</v>
      </c>
      <c r="I284" t="n">
        <v>0</v>
      </c>
      <c r="J284" t="n">
        <v>0</v>
      </c>
      <c r="K284" t="n">
        <v>0</v>
      </c>
      <c r="L284" t="n">
        <v>0</v>
      </c>
      <c r="M284" t="n">
        <v>0</v>
      </c>
      <c r="N284" t="n">
        <v>0</v>
      </c>
      <c r="O284" t="n">
        <v>0</v>
      </c>
      <c r="P284" t="n">
        <v>0</v>
      </c>
      <c r="Q284" t="n">
        <v>0</v>
      </c>
      <c r="R284" s="2" t="inlineStr"/>
    </row>
    <row r="285" ht="15" customHeight="1">
      <c r="A285" t="inlineStr">
        <is>
          <t>A 24568-2019</t>
        </is>
      </c>
      <c r="B285" s="1" t="n">
        <v>43600</v>
      </c>
      <c r="C285" s="1" t="n">
        <v>45258</v>
      </c>
      <c r="D285" t="inlineStr">
        <is>
          <t>VÄSTERNORRLANDS LÄN</t>
        </is>
      </c>
      <c r="E285" t="inlineStr">
        <is>
          <t>ÅNGE</t>
        </is>
      </c>
      <c r="G285" t="n">
        <v>3.2</v>
      </c>
      <c r="H285" t="n">
        <v>0</v>
      </c>
      <c r="I285" t="n">
        <v>0</v>
      </c>
      <c r="J285" t="n">
        <v>0</v>
      </c>
      <c r="K285" t="n">
        <v>0</v>
      </c>
      <c r="L285" t="n">
        <v>0</v>
      </c>
      <c r="M285" t="n">
        <v>0</v>
      </c>
      <c r="N285" t="n">
        <v>0</v>
      </c>
      <c r="O285" t="n">
        <v>0</v>
      </c>
      <c r="P285" t="n">
        <v>0</v>
      </c>
      <c r="Q285" t="n">
        <v>0</v>
      </c>
      <c r="R285" s="2" t="inlineStr"/>
    </row>
    <row r="286" ht="15" customHeight="1">
      <c r="A286" t="inlineStr">
        <is>
          <t>A 24569-2019</t>
        </is>
      </c>
      <c r="B286" s="1" t="n">
        <v>43600</v>
      </c>
      <c r="C286" s="1" t="n">
        <v>45258</v>
      </c>
      <c r="D286" t="inlineStr">
        <is>
          <t>VÄSTERNORRLANDS LÄN</t>
        </is>
      </c>
      <c r="E286" t="inlineStr">
        <is>
          <t>ÅNGE</t>
        </is>
      </c>
      <c r="G286" t="n">
        <v>0.6</v>
      </c>
      <c r="H286" t="n">
        <v>0</v>
      </c>
      <c r="I286" t="n">
        <v>0</v>
      </c>
      <c r="J286" t="n">
        <v>0</v>
      </c>
      <c r="K286" t="n">
        <v>0</v>
      </c>
      <c r="L286" t="n">
        <v>0</v>
      </c>
      <c r="M286" t="n">
        <v>0</v>
      </c>
      <c r="N286" t="n">
        <v>0</v>
      </c>
      <c r="O286" t="n">
        <v>0</v>
      </c>
      <c r="P286" t="n">
        <v>0</v>
      </c>
      <c r="Q286" t="n">
        <v>0</v>
      </c>
      <c r="R286" s="2" t="inlineStr"/>
    </row>
    <row r="287" ht="15" customHeight="1">
      <c r="A287" t="inlineStr">
        <is>
          <t>A 24781-2019</t>
        </is>
      </c>
      <c r="B287" s="1" t="n">
        <v>43601</v>
      </c>
      <c r="C287" s="1" t="n">
        <v>45258</v>
      </c>
      <c r="D287" t="inlineStr">
        <is>
          <t>VÄSTERNORRLANDS LÄN</t>
        </is>
      </c>
      <c r="E287" t="inlineStr">
        <is>
          <t>ÅNGE</t>
        </is>
      </c>
      <c r="F287" t="inlineStr">
        <is>
          <t>SCA</t>
        </is>
      </c>
      <c r="G287" t="n">
        <v>14.6</v>
      </c>
      <c r="H287" t="n">
        <v>0</v>
      </c>
      <c r="I287" t="n">
        <v>0</v>
      </c>
      <c r="J287" t="n">
        <v>0</v>
      </c>
      <c r="K287" t="n">
        <v>0</v>
      </c>
      <c r="L287" t="n">
        <v>0</v>
      </c>
      <c r="M287" t="n">
        <v>0</v>
      </c>
      <c r="N287" t="n">
        <v>0</v>
      </c>
      <c r="O287" t="n">
        <v>0</v>
      </c>
      <c r="P287" t="n">
        <v>0</v>
      </c>
      <c r="Q287" t="n">
        <v>0</v>
      </c>
      <c r="R287" s="2" t="inlineStr"/>
    </row>
    <row r="288" ht="15" customHeight="1">
      <c r="A288" t="inlineStr">
        <is>
          <t>A 25453-2019</t>
        </is>
      </c>
      <c r="B288" s="1" t="n">
        <v>43606</v>
      </c>
      <c r="C288" s="1" t="n">
        <v>45258</v>
      </c>
      <c r="D288" t="inlineStr">
        <is>
          <t>VÄSTERNORRLANDS LÄN</t>
        </is>
      </c>
      <c r="E288" t="inlineStr">
        <is>
          <t>ÅNGE</t>
        </is>
      </c>
      <c r="G288" t="n">
        <v>2.1</v>
      </c>
      <c r="H288" t="n">
        <v>0</v>
      </c>
      <c r="I288" t="n">
        <v>0</v>
      </c>
      <c r="J288" t="n">
        <v>0</v>
      </c>
      <c r="K288" t="n">
        <v>0</v>
      </c>
      <c r="L288" t="n">
        <v>0</v>
      </c>
      <c r="M288" t="n">
        <v>0</v>
      </c>
      <c r="N288" t="n">
        <v>0</v>
      </c>
      <c r="O288" t="n">
        <v>0</v>
      </c>
      <c r="P288" t="n">
        <v>0</v>
      </c>
      <c r="Q288" t="n">
        <v>0</v>
      </c>
      <c r="R288" s="2" t="inlineStr"/>
    </row>
    <row r="289" ht="15" customHeight="1">
      <c r="A289" t="inlineStr">
        <is>
          <t>A 25549-2019</t>
        </is>
      </c>
      <c r="B289" s="1" t="n">
        <v>43607</v>
      </c>
      <c r="C289" s="1" t="n">
        <v>45258</v>
      </c>
      <c r="D289" t="inlineStr">
        <is>
          <t>VÄSTERNORRLANDS LÄN</t>
        </is>
      </c>
      <c r="E289" t="inlineStr">
        <is>
          <t>ÅNGE</t>
        </is>
      </c>
      <c r="G289" t="n">
        <v>2.8</v>
      </c>
      <c r="H289" t="n">
        <v>0</v>
      </c>
      <c r="I289" t="n">
        <v>0</v>
      </c>
      <c r="J289" t="n">
        <v>0</v>
      </c>
      <c r="K289" t="n">
        <v>0</v>
      </c>
      <c r="L289" t="n">
        <v>0</v>
      </c>
      <c r="M289" t="n">
        <v>0</v>
      </c>
      <c r="N289" t="n">
        <v>0</v>
      </c>
      <c r="O289" t="n">
        <v>0</v>
      </c>
      <c r="P289" t="n">
        <v>0</v>
      </c>
      <c r="Q289" t="n">
        <v>0</v>
      </c>
      <c r="R289" s="2" t="inlineStr"/>
    </row>
    <row r="290" ht="15" customHeight="1">
      <c r="A290" t="inlineStr">
        <is>
          <t>A 26545-2019</t>
        </is>
      </c>
      <c r="B290" s="1" t="n">
        <v>43612</v>
      </c>
      <c r="C290" s="1" t="n">
        <v>45258</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27211-2019</t>
        </is>
      </c>
      <c r="B291" s="1" t="n">
        <v>43614</v>
      </c>
      <c r="C291" s="1" t="n">
        <v>45258</v>
      </c>
      <c r="D291" t="inlineStr">
        <is>
          <t>VÄSTERNORRLANDS LÄN</t>
        </is>
      </c>
      <c r="E291" t="inlineStr">
        <is>
          <t>ÅNGE</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27759-2019</t>
        </is>
      </c>
      <c r="B292" s="1" t="n">
        <v>43619</v>
      </c>
      <c r="C292" s="1" t="n">
        <v>45258</v>
      </c>
      <c r="D292" t="inlineStr">
        <is>
          <t>VÄSTERNORRLANDS LÄN</t>
        </is>
      </c>
      <c r="E292" t="inlineStr">
        <is>
          <t>ÅNGE</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28856-2019</t>
        </is>
      </c>
      <c r="B293" s="1" t="n">
        <v>43627</v>
      </c>
      <c r="C293" s="1" t="n">
        <v>45258</v>
      </c>
      <c r="D293" t="inlineStr">
        <is>
          <t>VÄSTERNORRLANDS LÄN</t>
        </is>
      </c>
      <c r="E293" t="inlineStr">
        <is>
          <t>ÅNGE</t>
        </is>
      </c>
      <c r="G293" t="n">
        <v>6.9</v>
      </c>
      <c r="H293" t="n">
        <v>0</v>
      </c>
      <c r="I293" t="n">
        <v>0</v>
      </c>
      <c r="J293" t="n">
        <v>0</v>
      </c>
      <c r="K293" t="n">
        <v>0</v>
      </c>
      <c r="L293" t="n">
        <v>0</v>
      </c>
      <c r="M293" t="n">
        <v>0</v>
      </c>
      <c r="N293" t="n">
        <v>0</v>
      </c>
      <c r="O293" t="n">
        <v>0</v>
      </c>
      <c r="P293" t="n">
        <v>0</v>
      </c>
      <c r="Q293" t="n">
        <v>0</v>
      </c>
      <c r="R293" s="2" t="inlineStr"/>
    </row>
    <row r="294" ht="15" customHeight="1">
      <c r="A294" t="inlineStr">
        <is>
          <t>A 28858-2019</t>
        </is>
      </c>
      <c r="B294" s="1" t="n">
        <v>43627</v>
      </c>
      <c r="C294" s="1" t="n">
        <v>45258</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28857-2019</t>
        </is>
      </c>
      <c r="B295" s="1" t="n">
        <v>43627</v>
      </c>
      <c r="C295" s="1" t="n">
        <v>45258</v>
      </c>
      <c r="D295" t="inlineStr">
        <is>
          <t>VÄSTERNORRLANDS LÄN</t>
        </is>
      </c>
      <c r="E295" t="inlineStr">
        <is>
          <t>ÅNGE</t>
        </is>
      </c>
      <c r="G295" t="n">
        <v>4.1</v>
      </c>
      <c r="H295" t="n">
        <v>0</v>
      </c>
      <c r="I295" t="n">
        <v>0</v>
      </c>
      <c r="J295" t="n">
        <v>0</v>
      </c>
      <c r="K295" t="n">
        <v>0</v>
      </c>
      <c r="L295" t="n">
        <v>0</v>
      </c>
      <c r="M295" t="n">
        <v>0</v>
      </c>
      <c r="N295" t="n">
        <v>0</v>
      </c>
      <c r="O295" t="n">
        <v>0</v>
      </c>
      <c r="P295" t="n">
        <v>0</v>
      </c>
      <c r="Q295" t="n">
        <v>0</v>
      </c>
      <c r="R295" s="2" t="inlineStr"/>
    </row>
    <row r="296" ht="15" customHeight="1">
      <c r="A296" t="inlineStr">
        <is>
          <t>A 28855-2019</t>
        </is>
      </c>
      <c r="B296" s="1" t="n">
        <v>43627</v>
      </c>
      <c r="C296" s="1" t="n">
        <v>45258</v>
      </c>
      <c r="D296" t="inlineStr">
        <is>
          <t>VÄSTERNORRLANDS LÄN</t>
        </is>
      </c>
      <c r="E296" t="inlineStr">
        <is>
          <t>ÅNGE</t>
        </is>
      </c>
      <c r="G296" t="n">
        <v>8.6</v>
      </c>
      <c r="H296" t="n">
        <v>0</v>
      </c>
      <c r="I296" t="n">
        <v>0</v>
      </c>
      <c r="J296" t="n">
        <v>0</v>
      </c>
      <c r="K296" t="n">
        <v>0</v>
      </c>
      <c r="L296" t="n">
        <v>0</v>
      </c>
      <c r="M296" t="n">
        <v>0</v>
      </c>
      <c r="N296" t="n">
        <v>0</v>
      </c>
      <c r="O296" t="n">
        <v>0</v>
      </c>
      <c r="P296" t="n">
        <v>0</v>
      </c>
      <c r="Q296" t="n">
        <v>0</v>
      </c>
      <c r="R296" s="2" t="inlineStr"/>
    </row>
    <row r="297" ht="15" customHeight="1">
      <c r="A297" t="inlineStr">
        <is>
          <t>A 29141-2019</t>
        </is>
      </c>
      <c r="B297" s="1" t="n">
        <v>43628</v>
      </c>
      <c r="C297" s="1" t="n">
        <v>45258</v>
      </c>
      <c r="D297" t="inlineStr">
        <is>
          <t>VÄSTERNORRLANDS LÄN</t>
        </is>
      </c>
      <c r="E297" t="inlineStr">
        <is>
          <t>ÅNGE</t>
        </is>
      </c>
      <c r="G297" t="n">
        <v>0.2</v>
      </c>
      <c r="H297" t="n">
        <v>0</v>
      </c>
      <c r="I297" t="n">
        <v>0</v>
      </c>
      <c r="J297" t="n">
        <v>0</v>
      </c>
      <c r="K297" t="n">
        <v>0</v>
      </c>
      <c r="L297" t="n">
        <v>0</v>
      </c>
      <c r="M297" t="n">
        <v>0</v>
      </c>
      <c r="N297" t="n">
        <v>0</v>
      </c>
      <c r="O297" t="n">
        <v>0</v>
      </c>
      <c r="P297" t="n">
        <v>0</v>
      </c>
      <c r="Q297" t="n">
        <v>0</v>
      </c>
      <c r="R297" s="2" t="inlineStr"/>
    </row>
    <row r="298" ht="15" customHeight="1">
      <c r="A298" t="inlineStr">
        <is>
          <t>A 29794-2019</t>
        </is>
      </c>
      <c r="B298" s="1" t="n">
        <v>43633</v>
      </c>
      <c r="C298" s="1" t="n">
        <v>45258</v>
      </c>
      <c r="D298" t="inlineStr">
        <is>
          <t>VÄSTERNORRLANDS LÄN</t>
        </is>
      </c>
      <c r="E298" t="inlineStr">
        <is>
          <t>ÅNGE</t>
        </is>
      </c>
      <c r="G298" t="n">
        <v>0.8</v>
      </c>
      <c r="H298" t="n">
        <v>0</v>
      </c>
      <c r="I298" t="n">
        <v>0</v>
      </c>
      <c r="J298" t="n">
        <v>0</v>
      </c>
      <c r="K298" t="n">
        <v>0</v>
      </c>
      <c r="L298" t="n">
        <v>0</v>
      </c>
      <c r="M298" t="n">
        <v>0</v>
      </c>
      <c r="N298" t="n">
        <v>0</v>
      </c>
      <c r="O298" t="n">
        <v>0</v>
      </c>
      <c r="P298" t="n">
        <v>0</v>
      </c>
      <c r="Q298" t="n">
        <v>0</v>
      </c>
      <c r="R298" s="2" t="inlineStr"/>
    </row>
    <row r="299" ht="15" customHeight="1">
      <c r="A299" t="inlineStr">
        <is>
          <t>A 29786-2019</t>
        </is>
      </c>
      <c r="B299" s="1" t="n">
        <v>43633</v>
      </c>
      <c r="C299" s="1" t="n">
        <v>45258</v>
      </c>
      <c r="D299" t="inlineStr">
        <is>
          <t>VÄSTERNORRLANDS LÄN</t>
        </is>
      </c>
      <c r="E299" t="inlineStr">
        <is>
          <t>ÅNGE</t>
        </is>
      </c>
      <c r="G299" t="n">
        <v>1.8</v>
      </c>
      <c r="H299" t="n">
        <v>0</v>
      </c>
      <c r="I299" t="n">
        <v>0</v>
      </c>
      <c r="J299" t="n">
        <v>0</v>
      </c>
      <c r="K299" t="n">
        <v>0</v>
      </c>
      <c r="L299" t="n">
        <v>0</v>
      </c>
      <c r="M299" t="n">
        <v>0</v>
      </c>
      <c r="N299" t="n">
        <v>0</v>
      </c>
      <c r="O299" t="n">
        <v>0</v>
      </c>
      <c r="P299" t="n">
        <v>0</v>
      </c>
      <c r="Q299" t="n">
        <v>0</v>
      </c>
      <c r="R299" s="2" t="inlineStr"/>
    </row>
    <row r="300" ht="15" customHeight="1">
      <c r="A300" t="inlineStr">
        <is>
          <t>A 31001-2019</t>
        </is>
      </c>
      <c r="B300" s="1" t="n">
        <v>43640</v>
      </c>
      <c r="C300" s="1" t="n">
        <v>45258</v>
      </c>
      <c r="D300" t="inlineStr">
        <is>
          <t>VÄSTERNORRLANDS LÄN</t>
        </is>
      </c>
      <c r="E300" t="inlineStr">
        <is>
          <t>ÅNGE</t>
        </is>
      </c>
      <c r="G300" t="n">
        <v>0.2</v>
      </c>
      <c r="H300" t="n">
        <v>0</v>
      </c>
      <c r="I300" t="n">
        <v>0</v>
      </c>
      <c r="J300" t="n">
        <v>0</v>
      </c>
      <c r="K300" t="n">
        <v>0</v>
      </c>
      <c r="L300" t="n">
        <v>0</v>
      </c>
      <c r="M300" t="n">
        <v>0</v>
      </c>
      <c r="N300" t="n">
        <v>0</v>
      </c>
      <c r="O300" t="n">
        <v>0</v>
      </c>
      <c r="P300" t="n">
        <v>0</v>
      </c>
      <c r="Q300" t="n">
        <v>0</v>
      </c>
      <c r="R300" s="2" t="inlineStr"/>
    </row>
    <row r="301" ht="15" customHeight="1">
      <c r="A301" t="inlineStr">
        <is>
          <t>A 31804-2019</t>
        </is>
      </c>
      <c r="B301" s="1" t="n">
        <v>43642</v>
      </c>
      <c r="C301" s="1" t="n">
        <v>45258</v>
      </c>
      <c r="D301" t="inlineStr">
        <is>
          <t>VÄSTERNORRLANDS LÄN</t>
        </is>
      </c>
      <c r="E301" t="inlineStr">
        <is>
          <t>ÅNGE</t>
        </is>
      </c>
      <c r="G301" t="n">
        <v>10.3</v>
      </c>
      <c r="H301" t="n">
        <v>0</v>
      </c>
      <c r="I301" t="n">
        <v>0</v>
      </c>
      <c r="J301" t="n">
        <v>0</v>
      </c>
      <c r="K301" t="n">
        <v>0</v>
      </c>
      <c r="L301" t="n">
        <v>0</v>
      </c>
      <c r="M301" t="n">
        <v>0</v>
      </c>
      <c r="N301" t="n">
        <v>0</v>
      </c>
      <c r="O301" t="n">
        <v>0</v>
      </c>
      <c r="P301" t="n">
        <v>0</v>
      </c>
      <c r="Q301" t="n">
        <v>0</v>
      </c>
      <c r="R301" s="2" t="inlineStr"/>
    </row>
    <row r="302" ht="15" customHeight="1">
      <c r="A302" t="inlineStr">
        <is>
          <t>A 32740-2019</t>
        </is>
      </c>
      <c r="B302" s="1" t="n">
        <v>43647</v>
      </c>
      <c r="C302" s="1" t="n">
        <v>45258</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33471-2019</t>
        </is>
      </c>
      <c r="B303" s="1" t="n">
        <v>43650</v>
      </c>
      <c r="C303" s="1" t="n">
        <v>45258</v>
      </c>
      <c r="D303" t="inlineStr">
        <is>
          <t>VÄSTERNORRLANDS LÄN</t>
        </is>
      </c>
      <c r="E303" t="inlineStr">
        <is>
          <t>ÅNGE</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33470-2019</t>
        </is>
      </c>
      <c r="B304" s="1" t="n">
        <v>43650</v>
      </c>
      <c r="C304" s="1" t="n">
        <v>45258</v>
      </c>
      <c r="D304" t="inlineStr">
        <is>
          <t>VÄSTERNORRLANDS LÄN</t>
        </is>
      </c>
      <c r="E304" t="inlineStr">
        <is>
          <t>ÅNGE</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34135-2019</t>
        </is>
      </c>
      <c r="B305" s="1" t="n">
        <v>43654</v>
      </c>
      <c r="C305" s="1" t="n">
        <v>45258</v>
      </c>
      <c r="D305" t="inlineStr">
        <is>
          <t>VÄSTERNORRLANDS LÄN</t>
        </is>
      </c>
      <c r="E305" t="inlineStr">
        <is>
          <t>ÅNGE</t>
        </is>
      </c>
      <c r="G305" t="n">
        <v>0.3</v>
      </c>
      <c r="H305" t="n">
        <v>0</v>
      </c>
      <c r="I305" t="n">
        <v>0</v>
      </c>
      <c r="J305" t="n">
        <v>0</v>
      </c>
      <c r="K305" t="n">
        <v>0</v>
      </c>
      <c r="L305" t="n">
        <v>0</v>
      </c>
      <c r="M305" t="n">
        <v>0</v>
      </c>
      <c r="N305" t="n">
        <v>0</v>
      </c>
      <c r="O305" t="n">
        <v>0</v>
      </c>
      <c r="P305" t="n">
        <v>0</v>
      </c>
      <c r="Q305" t="n">
        <v>0</v>
      </c>
      <c r="R305" s="2" t="inlineStr"/>
      <c r="U305">
        <f>HYPERLINK("https://klasma.github.io/Logging_2260/knärot/A 34135-2019 karta knärot.png", "A 34135-2019")</f>
        <v/>
      </c>
      <c r="V305">
        <f>HYPERLINK("https://klasma.github.io/Logging_2260/klagomål/A 34135-2019 FSC-klagomål.docx", "A 34135-2019")</f>
        <v/>
      </c>
      <c r="W305">
        <f>HYPERLINK("https://klasma.github.io/Logging_2260/klagomålsmail/A 34135-2019 FSC-klagomål mail.docx", "A 34135-2019")</f>
        <v/>
      </c>
      <c r="X305">
        <f>HYPERLINK("https://klasma.github.io/Logging_2260/tillsyn/A 34135-2019 tillsynsbegäran.docx", "A 34135-2019")</f>
        <v/>
      </c>
      <c r="Y305">
        <f>HYPERLINK("https://klasma.github.io/Logging_2260/tillsynsmail/A 34135-2019 tillsynsbegäran mail.docx", "A 34135-2019")</f>
        <v/>
      </c>
    </row>
    <row r="306" ht="15" customHeight="1">
      <c r="A306" t="inlineStr">
        <is>
          <t>A 36438-2019</t>
        </is>
      </c>
      <c r="B306" s="1" t="n">
        <v>43664</v>
      </c>
      <c r="C306" s="1" t="n">
        <v>45258</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36311-2019</t>
        </is>
      </c>
      <c r="B307" s="1" t="n">
        <v>43670</v>
      </c>
      <c r="C307" s="1" t="n">
        <v>45258</v>
      </c>
      <c r="D307" t="inlineStr">
        <is>
          <t>VÄSTERNORRLANDS LÄN</t>
        </is>
      </c>
      <c r="E307" t="inlineStr">
        <is>
          <t>ÅNGE</t>
        </is>
      </c>
      <c r="G307" t="n">
        <v>3.1</v>
      </c>
      <c r="H307" t="n">
        <v>0</v>
      </c>
      <c r="I307" t="n">
        <v>0</v>
      </c>
      <c r="J307" t="n">
        <v>0</v>
      </c>
      <c r="K307" t="n">
        <v>0</v>
      </c>
      <c r="L307" t="n">
        <v>0</v>
      </c>
      <c r="M307" t="n">
        <v>0</v>
      </c>
      <c r="N307" t="n">
        <v>0</v>
      </c>
      <c r="O307" t="n">
        <v>0</v>
      </c>
      <c r="P307" t="n">
        <v>0</v>
      </c>
      <c r="Q307" t="n">
        <v>0</v>
      </c>
      <c r="R307" s="2" t="inlineStr"/>
    </row>
    <row r="308" ht="15" customHeight="1">
      <c r="A308" t="inlineStr">
        <is>
          <t>A 37745-2019</t>
        </is>
      </c>
      <c r="B308" s="1" t="n">
        <v>43679</v>
      </c>
      <c r="C308" s="1" t="n">
        <v>45258</v>
      </c>
      <c r="D308" t="inlineStr">
        <is>
          <t>VÄSTERNORRLANDS LÄN</t>
        </is>
      </c>
      <c r="E308" t="inlineStr">
        <is>
          <t>ÅNGE</t>
        </is>
      </c>
      <c r="G308" t="n">
        <v>11.4</v>
      </c>
      <c r="H308" t="n">
        <v>0</v>
      </c>
      <c r="I308" t="n">
        <v>0</v>
      </c>
      <c r="J308" t="n">
        <v>0</v>
      </c>
      <c r="K308" t="n">
        <v>0</v>
      </c>
      <c r="L308" t="n">
        <v>0</v>
      </c>
      <c r="M308" t="n">
        <v>0</v>
      </c>
      <c r="N308" t="n">
        <v>0</v>
      </c>
      <c r="O308" t="n">
        <v>0</v>
      </c>
      <c r="P308" t="n">
        <v>0</v>
      </c>
      <c r="Q308" t="n">
        <v>0</v>
      </c>
      <c r="R308" s="2" t="inlineStr"/>
    </row>
    <row r="309" ht="15" customHeight="1">
      <c r="A309" t="inlineStr">
        <is>
          <t>A 37887-2019</t>
        </is>
      </c>
      <c r="B309" s="1" t="n">
        <v>43682</v>
      </c>
      <c r="C309" s="1" t="n">
        <v>45258</v>
      </c>
      <c r="D309" t="inlineStr">
        <is>
          <t>VÄSTERNORRLANDS LÄN</t>
        </is>
      </c>
      <c r="E309" t="inlineStr">
        <is>
          <t>ÅNGE</t>
        </is>
      </c>
      <c r="G309" t="n">
        <v>3</v>
      </c>
      <c r="H309" t="n">
        <v>0</v>
      </c>
      <c r="I309" t="n">
        <v>0</v>
      </c>
      <c r="J309" t="n">
        <v>0</v>
      </c>
      <c r="K309" t="n">
        <v>0</v>
      </c>
      <c r="L309" t="n">
        <v>0</v>
      </c>
      <c r="M309" t="n">
        <v>0</v>
      </c>
      <c r="N309" t="n">
        <v>0</v>
      </c>
      <c r="O309" t="n">
        <v>0</v>
      </c>
      <c r="P309" t="n">
        <v>0</v>
      </c>
      <c r="Q309" t="n">
        <v>0</v>
      </c>
      <c r="R309" s="2" t="inlineStr"/>
    </row>
    <row r="310" ht="15" customHeight="1">
      <c r="A310" t="inlineStr">
        <is>
          <t>A 37954-2019</t>
        </is>
      </c>
      <c r="B310" s="1" t="n">
        <v>43683</v>
      </c>
      <c r="C310" s="1" t="n">
        <v>45258</v>
      </c>
      <c r="D310" t="inlineStr">
        <is>
          <t>VÄSTERNORRLANDS LÄN</t>
        </is>
      </c>
      <c r="E310" t="inlineStr">
        <is>
          <t>ÅNGE</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38222-2019</t>
        </is>
      </c>
      <c r="B311" s="1" t="n">
        <v>43684</v>
      </c>
      <c r="C311" s="1" t="n">
        <v>45258</v>
      </c>
      <c r="D311" t="inlineStr">
        <is>
          <t>VÄSTERNORRLANDS LÄN</t>
        </is>
      </c>
      <c r="E311" t="inlineStr">
        <is>
          <t>ÅNGE</t>
        </is>
      </c>
      <c r="G311" t="n">
        <v>4.4</v>
      </c>
      <c r="H311" t="n">
        <v>0</v>
      </c>
      <c r="I311" t="n">
        <v>0</v>
      </c>
      <c r="J311" t="n">
        <v>0</v>
      </c>
      <c r="K311" t="n">
        <v>0</v>
      </c>
      <c r="L311" t="n">
        <v>0</v>
      </c>
      <c r="M311" t="n">
        <v>0</v>
      </c>
      <c r="N311" t="n">
        <v>0</v>
      </c>
      <c r="O311" t="n">
        <v>0</v>
      </c>
      <c r="P311" t="n">
        <v>0</v>
      </c>
      <c r="Q311" t="n">
        <v>0</v>
      </c>
      <c r="R311" s="2" t="inlineStr"/>
    </row>
    <row r="312" ht="15" customHeight="1">
      <c r="A312" t="inlineStr">
        <is>
          <t>A 38215-2019</t>
        </is>
      </c>
      <c r="B312" s="1" t="n">
        <v>43684</v>
      </c>
      <c r="C312" s="1" t="n">
        <v>45258</v>
      </c>
      <c r="D312" t="inlineStr">
        <is>
          <t>VÄSTERNORRLANDS LÄN</t>
        </is>
      </c>
      <c r="E312" t="inlineStr">
        <is>
          <t>ÅNGE</t>
        </is>
      </c>
      <c r="G312" t="n">
        <v>5.6</v>
      </c>
      <c r="H312" t="n">
        <v>0</v>
      </c>
      <c r="I312" t="n">
        <v>0</v>
      </c>
      <c r="J312" t="n">
        <v>0</v>
      </c>
      <c r="K312" t="n">
        <v>0</v>
      </c>
      <c r="L312" t="n">
        <v>0</v>
      </c>
      <c r="M312" t="n">
        <v>0</v>
      </c>
      <c r="N312" t="n">
        <v>0</v>
      </c>
      <c r="O312" t="n">
        <v>0</v>
      </c>
      <c r="P312" t="n">
        <v>0</v>
      </c>
      <c r="Q312" t="n">
        <v>0</v>
      </c>
      <c r="R312" s="2" t="inlineStr"/>
    </row>
    <row r="313" ht="15" customHeight="1">
      <c r="A313" t="inlineStr">
        <is>
          <t>A 38310-2019</t>
        </is>
      </c>
      <c r="B313" s="1" t="n">
        <v>43684</v>
      </c>
      <c r="C313" s="1" t="n">
        <v>45258</v>
      </c>
      <c r="D313" t="inlineStr">
        <is>
          <t>VÄSTERNORRLANDS LÄN</t>
        </is>
      </c>
      <c r="E313" t="inlineStr">
        <is>
          <t>ÅNGE</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38573-2019</t>
        </is>
      </c>
      <c r="B314" s="1" t="n">
        <v>43685</v>
      </c>
      <c r="C314" s="1" t="n">
        <v>45258</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39403-2019</t>
        </is>
      </c>
      <c r="B315" s="1" t="n">
        <v>43690</v>
      </c>
      <c r="C315" s="1" t="n">
        <v>45258</v>
      </c>
      <c r="D315" t="inlineStr">
        <is>
          <t>VÄSTERNORRLANDS LÄN</t>
        </is>
      </c>
      <c r="E315" t="inlineStr">
        <is>
          <t>ÅNGE</t>
        </is>
      </c>
      <c r="F315" t="inlineStr">
        <is>
          <t>SCA</t>
        </is>
      </c>
      <c r="G315" t="n">
        <v>3.8</v>
      </c>
      <c r="H315" t="n">
        <v>0</v>
      </c>
      <c r="I315" t="n">
        <v>0</v>
      </c>
      <c r="J315" t="n">
        <v>0</v>
      </c>
      <c r="K315" t="n">
        <v>0</v>
      </c>
      <c r="L315" t="n">
        <v>0</v>
      </c>
      <c r="M315" t="n">
        <v>0</v>
      </c>
      <c r="N315" t="n">
        <v>0</v>
      </c>
      <c r="O315" t="n">
        <v>0</v>
      </c>
      <c r="P315" t="n">
        <v>0</v>
      </c>
      <c r="Q315" t="n">
        <v>0</v>
      </c>
      <c r="R315" s="2" t="inlineStr"/>
    </row>
    <row r="316" ht="15" customHeight="1">
      <c r="A316" t="inlineStr">
        <is>
          <t>A 41510-2019</t>
        </is>
      </c>
      <c r="B316" s="1" t="n">
        <v>43696</v>
      </c>
      <c r="C316" s="1" t="n">
        <v>45258</v>
      </c>
      <c r="D316" t="inlineStr">
        <is>
          <t>VÄSTERNORRLANDS LÄN</t>
        </is>
      </c>
      <c r="E316" t="inlineStr">
        <is>
          <t>ÅNGE</t>
        </is>
      </c>
      <c r="G316" t="n">
        <v>5.5</v>
      </c>
      <c r="H316" t="n">
        <v>0</v>
      </c>
      <c r="I316" t="n">
        <v>0</v>
      </c>
      <c r="J316" t="n">
        <v>0</v>
      </c>
      <c r="K316" t="n">
        <v>0</v>
      </c>
      <c r="L316" t="n">
        <v>0</v>
      </c>
      <c r="M316" t="n">
        <v>0</v>
      </c>
      <c r="N316" t="n">
        <v>0</v>
      </c>
      <c r="O316" t="n">
        <v>0</v>
      </c>
      <c r="P316" t="n">
        <v>0</v>
      </c>
      <c r="Q316" t="n">
        <v>0</v>
      </c>
      <c r="R316" s="2" t="inlineStr"/>
    </row>
    <row r="317" ht="15" customHeight="1">
      <c r="A317" t="inlineStr">
        <is>
          <t>A 41018-2019</t>
        </is>
      </c>
      <c r="B317" s="1" t="n">
        <v>43697</v>
      </c>
      <c r="C317" s="1" t="n">
        <v>45258</v>
      </c>
      <c r="D317" t="inlineStr">
        <is>
          <t>VÄSTERNORRLANDS LÄN</t>
        </is>
      </c>
      <c r="E317" t="inlineStr">
        <is>
          <t>ÅNGE</t>
        </is>
      </c>
      <c r="G317" t="n">
        <v>4.3</v>
      </c>
      <c r="H317" t="n">
        <v>0</v>
      </c>
      <c r="I317" t="n">
        <v>0</v>
      </c>
      <c r="J317" t="n">
        <v>0</v>
      </c>
      <c r="K317" t="n">
        <v>0</v>
      </c>
      <c r="L317" t="n">
        <v>0</v>
      </c>
      <c r="M317" t="n">
        <v>0</v>
      </c>
      <c r="N317" t="n">
        <v>0</v>
      </c>
      <c r="O317" t="n">
        <v>0</v>
      </c>
      <c r="P317" t="n">
        <v>0</v>
      </c>
      <c r="Q317" t="n">
        <v>0</v>
      </c>
      <c r="R317" s="2" t="inlineStr"/>
    </row>
    <row r="318" ht="15" customHeight="1">
      <c r="A318" t="inlineStr">
        <is>
          <t>A 42066-2019</t>
        </is>
      </c>
      <c r="B318" s="1" t="n">
        <v>43700</v>
      </c>
      <c r="C318" s="1" t="n">
        <v>45258</v>
      </c>
      <c r="D318" t="inlineStr">
        <is>
          <t>VÄSTERNORRLANDS LÄN</t>
        </is>
      </c>
      <c r="E318" t="inlineStr">
        <is>
          <t>ÅNGE</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43240-2019</t>
        </is>
      </c>
      <c r="B319" s="1" t="n">
        <v>43706</v>
      </c>
      <c r="C319" s="1" t="n">
        <v>45258</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43250-2019</t>
        </is>
      </c>
      <c r="B320" s="1" t="n">
        <v>43706</v>
      </c>
      <c r="C320" s="1" t="n">
        <v>45258</v>
      </c>
      <c r="D320" t="inlineStr">
        <is>
          <t>VÄSTERNORRLANDS LÄN</t>
        </is>
      </c>
      <c r="E320" t="inlineStr">
        <is>
          <t>ÅNGE</t>
        </is>
      </c>
      <c r="G320" t="n">
        <v>2</v>
      </c>
      <c r="H320" t="n">
        <v>0</v>
      </c>
      <c r="I320" t="n">
        <v>0</v>
      </c>
      <c r="J320" t="n">
        <v>0</v>
      </c>
      <c r="K320" t="n">
        <v>0</v>
      </c>
      <c r="L320" t="n">
        <v>0</v>
      </c>
      <c r="M320" t="n">
        <v>0</v>
      </c>
      <c r="N320" t="n">
        <v>0</v>
      </c>
      <c r="O320" t="n">
        <v>0</v>
      </c>
      <c r="P320" t="n">
        <v>0</v>
      </c>
      <c r="Q320" t="n">
        <v>0</v>
      </c>
      <c r="R320" s="2" t="inlineStr"/>
    </row>
    <row r="321" ht="15" customHeight="1">
      <c r="A321" t="inlineStr">
        <is>
          <t>A 43236-2019</t>
        </is>
      </c>
      <c r="B321" s="1" t="n">
        <v>43706</v>
      </c>
      <c r="C321" s="1" t="n">
        <v>45258</v>
      </c>
      <c r="D321" t="inlineStr">
        <is>
          <t>VÄSTERNORRLANDS LÄN</t>
        </is>
      </c>
      <c r="E321" t="inlineStr">
        <is>
          <t>ÅNGE</t>
        </is>
      </c>
      <c r="G321" t="n">
        <v>33.1</v>
      </c>
      <c r="H321" t="n">
        <v>0</v>
      </c>
      <c r="I321" t="n">
        <v>0</v>
      </c>
      <c r="J321" t="n">
        <v>0</v>
      </c>
      <c r="K321" t="n">
        <v>0</v>
      </c>
      <c r="L321" t="n">
        <v>0</v>
      </c>
      <c r="M321" t="n">
        <v>0</v>
      </c>
      <c r="N321" t="n">
        <v>0</v>
      </c>
      <c r="O321" t="n">
        <v>0</v>
      </c>
      <c r="P321" t="n">
        <v>0</v>
      </c>
      <c r="Q321" t="n">
        <v>0</v>
      </c>
      <c r="R321" s="2" t="inlineStr"/>
    </row>
    <row r="322" ht="15" customHeight="1">
      <c r="A322" t="inlineStr">
        <is>
          <t>A 43248-2019</t>
        </is>
      </c>
      <c r="B322" s="1" t="n">
        <v>43706</v>
      </c>
      <c r="C322" s="1" t="n">
        <v>45258</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43241-2019</t>
        </is>
      </c>
      <c r="B323" s="1" t="n">
        <v>43706</v>
      </c>
      <c r="C323" s="1" t="n">
        <v>45258</v>
      </c>
      <c r="D323" t="inlineStr">
        <is>
          <t>VÄSTERNORRLANDS LÄN</t>
        </is>
      </c>
      <c r="E323" t="inlineStr">
        <is>
          <t>ÅNGE</t>
        </is>
      </c>
      <c r="G323" t="n">
        <v>8.1</v>
      </c>
      <c r="H323" t="n">
        <v>0</v>
      </c>
      <c r="I323" t="n">
        <v>0</v>
      </c>
      <c r="J323" t="n">
        <v>0</v>
      </c>
      <c r="K323" t="n">
        <v>0</v>
      </c>
      <c r="L323" t="n">
        <v>0</v>
      </c>
      <c r="M323" t="n">
        <v>0</v>
      </c>
      <c r="N323" t="n">
        <v>0</v>
      </c>
      <c r="O323" t="n">
        <v>0</v>
      </c>
      <c r="P323" t="n">
        <v>0</v>
      </c>
      <c r="Q323" t="n">
        <v>0</v>
      </c>
      <c r="R323" s="2" t="inlineStr"/>
    </row>
    <row r="324" ht="15" customHeight="1">
      <c r="A324" t="inlineStr">
        <is>
          <t>A 43254-2019</t>
        </is>
      </c>
      <c r="B324" s="1" t="n">
        <v>43706</v>
      </c>
      <c r="C324" s="1" t="n">
        <v>45258</v>
      </c>
      <c r="D324" t="inlineStr">
        <is>
          <t>VÄSTERNORRLANDS LÄN</t>
        </is>
      </c>
      <c r="E324" t="inlineStr">
        <is>
          <t>ÅNGE</t>
        </is>
      </c>
      <c r="G324" t="n">
        <v>2.6</v>
      </c>
      <c r="H324" t="n">
        <v>0</v>
      </c>
      <c r="I324" t="n">
        <v>0</v>
      </c>
      <c r="J324" t="n">
        <v>0</v>
      </c>
      <c r="K324" t="n">
        <v>0</v>
      </c>
      <c r="L324" t="n">
        <v>0</v>
      </c>
      <c r="M324" t="n">
        <v>0</v>
      </c>
      <c r="N324" t="n">
        <v>0</v>
      </c>
      <c r="O324" t="n">
        <v>0</v>
      </c>
      <c r="P324" t="n">
        <v>0</v>
      </c>
      <c r="Q324" t="n">
        <v>0</v>
      </c>
      <c r="R324" s="2" t="inlineStr"/>
    </row>
    <row r="325" ht="15" customHeight="1">
      <c r="A325" t="inlineStr">
        <is>
          <t>A 43509-2019</t>
        </is>
      </c>
      <c r="B325" s="1" t="n">
        <v>43706</v>
      </c>
      <c r="C325" s="1" t="n">
        <v>45258</v>
      </c>
      <c r="D325" t="inlineStr">
        <is>
          <t>VÄSTERNORRLANDS LÄN</t>
        </is>
      </c>
      <c r="E325" t="inlineStr">
        <is>
          <t>ÅNGE</t>
        </is>
      </c>
      <c r="G325" t="n">
        <v>4.2</v>
      </c>
      <c r="H325" t="n">
        <v>0</v>
      </c>
      <c r="I325" t="n">
        <v>0</v>
      </c>
      <c r="J325" t="n">
        <v>0</v>
      </c>
      <c r="K325" t="n">
        <v>0</v>
      </c>
      <c r="L325" t="n">
        <v>0</v>
      </c>
      <c r="M325" t="n">
        <v>0</v>
      </c>
      <c r="N325" t="n">
        <v>0</v>
      </c>
      <c r="O325" t="n">
        <v>0</v>
      </c>
      <c r="P325" t="n">
        <v>0</v>
      </c>
      <c r="Q325" t="n">
        <v>0</v>
      </c>
      <c r="R325" s="2" t="inlineStr"/>
    </row>
    <row r="326" ht="15" customHeight="1">
      <c r="A326" t="inlineStr">
        <is>
          <t>A 43517-2019</t>
        </is>
      </c>
      <c r="B326" s="1" t="n">
        <v>43706</v>
      </c>
      <c r="C326" s="1" t="n">
        <v>45258</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43895-2019</t>
        </is>
      </c>
      <c r="B327" s="1" t="n">
        <v>43707</v>
      </c>
      <c r="C327" s="1" t="n">
        <v>45258</v>
      </c>
      <c r="D327" t="inlineStr">
        <is>
          <t>VÄSTERNORRLANDS LÄN</t>
        </is>
      </c>
      <c r="E327" t="inlineStr">
        <is>
          <t>ÅNGE</t>
        </is>
      </c>
      <c r="G327" t="n">
        <v>5.1</v>
      </c>
      <c r="H327" t="n">
        <v>0</v>
      </c>
      <c r="I327" t="n">
        <v>0</v>
      </c>
      <c r="J327" t="n">
        <v>0</v>
      </c>
      <c r="K327" t="n">
        <v>0</v>
      </c>
      <c r="L327" t="n">
        <v>0</v>
      </c>
      <c r="M327" t="n">
        <v>0</v>
      </c>
      <c r="N327" t="n">
        <v>0</v>
      </c>
      <c r="O327" t="n">
        <v>0</v>
      </c>
      <c r="P327" t="n">
        <v>0</v>
      </c>
      <c r="Q327" t="n">
        <v>0</v>
      </c>
      <c r="R327" s="2" t="inlineStr"/>
    </row>
    <row r="328" ht="15" customHeight="1">
      <c r="A328" t="inlineStr">
        <is>
          <t>A 44313-2019</t>
        </is>
      </c>
      <c r="B328" s="1" t="n">
        <v>43710</v>
      </c>
      <c r="C328" s="1" t="n">
        <v>45258</v>
      </c>
      <c r="D328" t="inlineStr">
        <is>
          <t>VÄSTERNORRLANDS LÄN</t>
        </is>
      </c>
      <c r="E328" t="inlineStr">
        <is>
          <t>ÅNGE</t>
        </is>
      </c>
      <c r="F328" t="inlineStr">
        <is>
          <t>SCA</t>
        </is>
      </c>
      <c r="G328" t="n">
        <v>8.9</v>
      </c>
      <c r="H328" t="n">
        <v>0</v>
      </c>
      <c r="I328" t="n">
        <v>0</v>
      </c>
      <c r="J328" t="n">
        <v>0</v>
      </c>
      <c r="K328" t="n">
        <v>0</v>
      </c>
      <c r="L328" t="n">
        <v>0</v>
      </c>
      <c r="M328" t="n">
        <v>0</v>
      </c>
      <c r="N328" t="n">
        <v>0</v>
      </c>
      <c r="O328" t="n">
        <v>0</v>
      </c>
      <c r="P328" t="n">
        <v>0</v>
      </c>
      <c r="Q328" t="n">
        <v>0</v>
      </c>
      <c r="R328" s="2" t="inlineStr"/>
    </row>
    <row r="329" ht="15" customHeight="1">
      <c r="A329" t="inlineStr">
        <is>
          <t>A 45274-2019</t>
        </is>
      </c>
      <c r="B329" s="1" t="n">
        <v>43713</v>
      </c>
      <c r="C329" s="1" t="n">
        <v>45258</v>
      </c>
      <c r="D329" t="inlineStr">
        <is>
          <t>VÄSTERNORRLANDS LÄN</t>
        </is>
      </c>
      <c r="E329" t="inlineStr">
        <is>
          <t>ÅNGE</t>
        </is>
      </c>
      <c r="G329" t="n">
        <v>0.7</v>
      </c>
      <c r="H329" t="n">
        <v>0</v>
      </c>
      <c r="I329" t="n">
        <v>0</v>
      </c>
      <c r="J329" t="n">
        <v>0</v>
      </c>
      <c r="K329" t="n">
        <v>0</v>
      </c>
      <c r="L329" t="n">
        <v>0</v>
      </c>
      <c r="M329" t="n">
        <v>0</v>
      </c>
      <c r="N329" t="n">
        <v>0</v>
      </c>
      <c r="O329" t="n">
        <v>0</v>
      </c>
      <c r="P329" t="n">
        <v>0</v>
      </c>
      <c r="Q329" t="n">
        <v>0</v>
      </c>
      <c r="R329" s="2" t="inlineStr"/>
    </row>
    <row r="330" ht="15" customHeight="1">
      <c r="A330" t="inlineStr">
        <is>
          <t>A 48958-2019</t>
        </is>
      </c>
      <c r="B330" s="1" t="n">
        <v>43728</v>
      </c>
      <c r="C330" s="1" t="n">
        <v>45258</v>
      </c>
      <c r="D330" t="inlineStr">
        <is>
          <t>VÄSTERNORRLANDS LÄN</t>
        </is>
      </c>
      <c r="E330" t="inlineStr">
        <is>
          <t>ÅNGE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50278-2019</t>
        </is>
      </c>
      <c r="B331" s="1" t="n">
        <v>43734</v>
      </c>
      <c r="C331" s="1" t="n">
        <v>45258</v>
      </c>
      <c r="D331" t="inlineStr">
        <is>
          <t>VÄSTERNORRLANDS LÄN</t>
        </is>
      </c>
      <c r="E331" t="inlineStr">
        <is>
          <t>ÅNGE</t>
        </is>
      </c>
      <c r="F331" t="inlineStr">
        <is>
          <t>SCA</t>
        </is>
      </c>
      <c r="G331" t="n">
        <v>8.5</v>
      </c>
      <c r="H331" t="n">
        <v>0</v>
      </c>
      <c r="I331" t="n">
        <v>0</v>
      </c>
      <c r="J331" t="n">
        <v>0</v>
      </c>
      <c r="K331" t="n">
        <v>0</v>
      </c>
      <c r="L331" t="n">
        <v>0</v>
      </c>
      <c r="M331" t="n">
        <v>0</v>
      </c>
      <c r="N331" t="n">
        <v>0</v>
      </c>
      <c r="O331" t="n">
        <v>0</v>
      </c>
      <c r="P331" t="n">
        <v>0</v>
      </c>
      <c r="Q331" t="n">
        <v>0</v>
      </c>
      <c r="R331" s="2" t="inlineStr"/>
    </row>
    <row r="332" ht="15" customHeight="1">
      <c r="A332" t="inlineStr">
        <is>
          <t>A 50280-2019</t>
        </is>
      </c>
      <c r="B332" s="1" t="n">
        <v>43734</v>
      </c>
      <c r="C332" s="1" t="n">
        <v>45258</v>
      </c>
      <c r="D332" t="inlineStr">
        <is>
          <t>VÄSTERNORRLANDS LÄN</t>
        </is>
      </c>
      <c r="E332" t="inlineStr">
        <is>
          <t>ÅNGE</t>
        </is>
      </c>
      <c r="F332" t="inlineStr">
        <is>
          <t>SCA</t>
        </is>
      </c>
      <c r="G332" t="n">
        <v>7.7</v>
      </c>
      <c r="H332" t="n">
        <v>0</v>
      </c>
      <c r="I332" t="n">
        <v>0</v>
      </c>
      <c r="J332" t="n">
        <v>0</v>
      </c>
      <c r="K332" t="n">
        <v>0</v>
      </c>
      <c r="L332" t="n">
        <v>0</v>
      </c>
      <c r="M332" t="n">
        <v>0</v>
      </c>
      <c r="N332" t="n">
        <v>0</v>
      </c>
      <c r="O332" t="n">
        <v>0</v>
      </c>
      <c r="P332" t="n">
        <v>0</v>
      </c>
      <c r="Q332" t="n">
        <v>0</v>
      </c>
      <c r="R332" s="2" t="inlineStr"/>
    </row>
    <row r="333" ht="15" customHeight="1">
      <c r="A333" t="inlineStr">
        <is>
          <t>A 50352-2019</t>
        </is>
      </c>
      <c r="B333" s="1" t="n">
        <v>43735</v>
      </c>
      <c r="C333" s="1" t="n">
        <v>45258</v>
      </c>
      <c r="D333" t="inlineStr">
        <is>
          <t>VÄSTERNORRLANDS LÄN</t>
        </is>
      </c>
      <c r="E333" t="inlineStr">
        <is>
          <t>ÅNGE</t>
        </is>
      </c>
      <c r="G333" t="n">
        <v>1.3</v>
      </c>
      <c r="H333" t="n">
        <v>0</v>
      </c>
      <c r="I333" t="n">
        <v>0</v>
      </c>
      <c r="J333" t="n">
        <v>0</v>
      </c>
      <c r="K333" t="n">
        <v>0</v>
      </c>
      <c r="L333" t="n">
        <v>0</v>
      </c>
      <c r="M333" t="n">
        <v>0</v>
      </c>
      <c r="N333" t="n">
        <v>0</v>
      </c>
      <c r="O333" t="n">
        <v>0</v>
      </c>
      <c r="P333" t="n">
        <v>0</v>
      </c>
      <c r="Q333" t="n">
        <v>0</v>
      </c>
      <c r="R333" s="2" t="inlineStr"/>
    </row>
    <row r="334" ht="15" customHeight="1">
      <c r="A334" t="inlineStr">
        <is>
          <t>A 50997-2019</t>
        </is>
      </c>
      <c r="B334" s="1" t="n">
        <v>43738</v>
      </c>
      <c r="C334" s="1" t="n">
        <v>45258</v>
      </c>
      <c r="D334" t="inlineStr">
        <is>
          <t>VÄSTERNORRLANDS LÄN</t>
        </is>
      </c>
      <c r="E334" t="inlineStr">
        <is>
          <t>ÅNGE</t>
        </is>
      </c>
      <c r="F334" t="inlineStr">
        <is>
          <t>SCA</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52505-2019</t>
        </is>
      </c>
      <c r="B335" s="1" t="n">
        <v>43738</v>
      </c>
      <c r="C335" s="1" t="n">
        <v>45258</v>
      </c>
      <c r="D335" t="inlineStr">
        <is>
          <t>VÄSTERNORRLANDS LÄN</t>
        </is>
      </c>
      <c r="E335" t="inlineStr">
        <is>
          <t>ÅNGE</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51321-2019</t>
        </is>
      </c>
      <c r="B336" s="1" t="n">
        <v>43739</v>
      </c>
      <c r="C336" s="1" t="n">
        <v>45258</v>
      </c>
      <c r="D336" t="inlineStr">
        <is>
          <t>VÄSTERNORRLANDS LÄN</t>
        </is>
      </c>
      <c r="E336" t="inlineStr">
        <is>
          <t>ÅNGE</t>
        </is>
      </c>
      <c r="G336" t="n">
        <v>9.4</v>
      </c>
      <c r="H336" t="n">
        <v>0</v>
      </c>
      <c r="I336" t="n">
        <v>0</v>
      </c>
      <c r="J336" t="n">
        <v>0</v>
      </c>
      <c r="K336" t="n">
        <v>0</v>
      </c>
      <c r="L336" t="n">
        <v>0</v>
      </c>
      <c r="M336" t="n">
        <v>0</v>
      </c>
      <c r="N336" t="n">
        <v>0</v>
      </c>
      <c r="O336" t="n">
        <v>0</v>
      </c>
      <c r="P336" t="n">
        <v>0</v>
      </c>
      <c r="Q336" t="n">
        <v>0</v>
      </c>
      <c r="R336" s="2" t="inlineStr"/>
    </row>
    <row r="337" ht="15" customHeight="1">
      <c r="A337" t="inlineStr">
        <is>
          <t>A 51947-2019</t>
        </is>
      </c>
      <c r="B337" s="1" t="n">
        <v>43741</v>
      </c>
      <c r="C337" s="1" t="n">
        <v>45258</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51946-2019</t>
        </is>
      </c>
      <c r="B338" s="1" t="n">
        <v>43741</v>
      </c>
      <c r="C338" s="1" t="n">
        <v>45258</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52171-2019</t>
        </is>
      </c>
      <c r="B339" s="1" t="n">
        <v>43742</v>
      </c>
      <c r="C339" s="1" t="n">
        <v>45258</v>
      </c>
      <c r="D339" t="inlineStr">
        <is>
          <t>VÄSTERNORRLANDS LÄN</t>
        </is>
      </c>
      <c r="E339" t="inlineStr">
        <is>
          <t>ÅNGE</t>
        </is>
      </c>
      <c r="G339" t="n">
        <v>2.9</v>
      </c>
      <c r="H339" t="n">
        <v>0</v>
      </c>
      <c r="I339" t="n">
        <v>0</v>
      </c>
      <c r="J339" t="n">
        <v>0</v>
      </c>
      <c r="K339" t="n">
        <v>0</v>
      </c>
      <c r="L339" t="n">
        <v>0</v>
      </c>
      <c r="M339" t="n">
        <v>0</v>
      </c>
      <c r="N339" t="n">
        <v>0</v>
      </c>
      <c r="O339" t="n">
        <v>0</v>
      </c>
      <c r="P339" t="n">
        <v>0</v>
      </c>
      <c r="Q339" t="n">
        <v>0</v>
      </c>
      <c r="R339" s="2" t="inlineStr"/>
    </row>
    <row r="340" ht="15" customHeight="1">
      <c r="A340" t="inlineStr">
        <is>
          <t>A 52684-2019</t>
        </is>
      </c>
      <c r="B340" s="1" t="n">
        <v>43746</v>
      </c>
      <c r="C340" s="1" t="n">
        <v>45258</v>
      </c>
      <c r="D340" t="inlineStr">
        <is>
          <t>VÄSTERNORRLANDS LÄN</t>
        </is>
      </c>
      <c r="E340" t="inlineStr">
        <is>
          <t>ÅNGE</t>
        </is>
      </c>
      <c r="G340" t="n">
        <v>1.4</v>
      </c>
      <c r="H340" t="n">
        <v>0</v>
      </c>
      <c r="I340" t="n">
        <v>0</v>
      </c>
      <c r="J340" t="n">
        <v>0</v>
      </c>
      <c r="K340" t="n">
        <v>0</v>
      </c>
      <c r="L340" t="n">
        <v>0</v>
      </c>
      <c r="M340" t="n">
        <v>0</v>
      </c>
      <c r="N340" t="n">
        <v>0</v>
      </c>
      <c r="O340" t="n">
        <v>0</v>
      </c>
      <c r="P340" t="n">
        <v>0</v>
      </c>
      <c r="Q340" t="n">
        <v>0</v>
      </c>
      <c r="R340" s="2" t="inlineStr"/>
    </row>
    <row r="341" ht="15" customHeight="1">
      <c r="A341" t="inlineStr">
        <is>
          <t>A 52660-2019</t>
        </is>
      </c>
      <c r="B341" s="1" t="n">
        <v>43746</v>
      </c>
      <c r="C341" s="1" t="n">
        <v>45258</v>
      </c>
      <c r="D341" t="inlineStr">
        <is>
          <t>VÄSTERNORRLANDS LÄN</t>
        </is>
      </c>
      <c r="E341" t="inlineStr">
        <is>
          <t>ÅNGE</t>
        </is>
      </c>
      <c r="G341" t="n">
        <v>2.3</v>
      </c>
      <c r="H341" t="n">
        <v>0</v>
      </c>
      <c r="I341" t="n">
        <v>0</v>
      </c>
      <c r="J341" t="n">
        <v>0</v>
      </c>
      <c r="K341" t="n">
        <v>0</v>
      </c>
      <c r="L341" t="n">
        <v>0</v>
      </c>
      <c r="M341" t="n">
        <v>0</v>
      </c>
      <c r="N341" t="n">
        <v>0</v>
      </c>
      <c r="O341" t="n">
        <v>0</v>
      </c>
      <c r="P341" t="n">
        <v>0</v>
      </c>
      <c r="Q341" t="n">
        <v>0</v>
      </c>
      <c r="R341" s="2" t="inlineStr"/>
    </row>
    <row r="342" ht="15" customHeight="1">
      <c r="A342" t="inlineStr">
        <is>
          <t>A 53107-2019</t>
        </is>
      </c>
      <c r="B342" s="1" t="n">
        <v>43747</v>
      </c>
      <c r="C342" s="1" t="n">
        <v>45258</v>
      </c>
      <c r="D342" t="inlineStr">
        <is>
          <t>VÄSTERNORRLANDS LÄN</t>
        </is>
      </c>
      <c r="E342" t="inlineStr">
        <is>
          <t>ÅNGE</t>
        </is>
      </c>
      <c r="G342" t="n">
        <v>2.1</v>
      </c>
      <c r="H342" t="n">
        <v>0</v>
      </c>
      <c r="I342" t="n">
        <v>0</v>
      </c>
      <c r="J342" t="n">
        <v>0</v>
      </c>
      <c r="K342" t="n">
        <v>0</v>
      </c>
      <c r="L342" t="n">
        <v>0</v>
      </c>
      <c r="M342" t="n">
        <v>0</v>
      </c>
      <c r="N342" t="n">
        <v>0</v>
      </c>
      <c r="O342" t="n">
        <v>0</v>
      </c>
      <c r="P342" t="n">
        <v>0</v>
      </c>
      <c r="Q342" t="n">
        <v>0</v>
      </c>
      <c r="R342" s="2" t="inlineStr"/>
    </row>
    <row r="343" ht="15" customHeight="1">
      <c r="A343" t="inlineStr">
        <is>
          <t>A 53579-2019</t>
        </is>
      </c>
      <c r="B343" s="1" t="n">
        <v>43749</v>
      </c>
      <c r="C343" s="1" t="n">
        <v>45258</v>
      </c>
      <c r="D343" t="inlineStr">
        <is>
          <t>VÄSTERNORRLANDS LÄN</t>
        </is>
      </c>
      <c r="E343" t="inlineStr">
        <is>
          <t>ÅNGE</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54025-2019</t>
        </is>
      </c>
      <c r="B344" s="1" t="n">
        <v>43752</v>
      </c>
      <c r="C344" s="1" t="n">
        <v>45258</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54027-2019</t>
        </is>
      </c>
      <c r="B345" s="1" t="n">
        <v>43752</v>
      </c>
      <c r="C345" s="1" t="n">
        <v>45258</v>
      </c>
      <c r="D345" t="inlineStr">
        <is>
          <t>VÄSTERNORRLANDS LÄN</t>
        </is>
      </c>
      <c r="E345" t="inlineStr">
        <is>
          <t>ÅNGE</t>
        </is>
      </c>
      <c r="G345" t="n">
        <v>3.8</v>
      </c>
      <c r="H345" t="n">
        <v>0</v>
      </c>
      <c r="I345" t="n">
        <v>0</v>
      </c>
      <c r="J345" t="n">
        <v>0</v>
      </c>
      <c r="K345" t="n">
        <v>0</v>
      </c>
      <c r="L345" t="n">
        <v>0</v>
      </c>
      <c r="M345" t="n">
        <v>0</v>
      </c>
      <c r="N345" t="n">
        <v>0</v>
      </c>
      <c r="O345" t="n">
        <v>0</v>
      </c>
      <c r="P345" t="n">
        <v>0</v>
      </c>
      <c r="Q345" t="n">
        <v>0</v>
      </c>
      <c r="R345" s="2" t="inlineStr"/>
    </row>
    <row r="346" ht="15" customHeight="1">
      <c r="A346" t="inlineStr">
        <is>
          <t>A 55352-2019</t>
        </is>
      </c>
      <c r="B346" s="1" t="n">
        <v>43756</v>
      </c>
      <c r="C346" s="1" t="n">
        <v>45258</v>
      </c>
      <c r="D346" t="inlineStr">
        <is>
          <t>VÄSTERNORRLANDS LÄN</t>
        </is>
      </c>
      <c r="E346" t="inlineStr">
        <is>
          <t>ÅNGE</t>
        </is>
      </c>
      <c r="G346" t="n">
        <v>10.9</v>
      </c>
      <c r="H346" t="n">
        <v>0</v>
      </c>
      <c r="I346" t="n">
        <v>0</v>
      </c>
      <c r="J346" t="n">
        <v>0</v>
      </c>
      <c r="K346" t="n">
        <v>0</v>
      </c>
      <c r="L346" t="n">
        <v>0</v>
      </c>
      <c r="M346" t="n">
        <v>0</v>
      </c>
      <c r="N346" t="n">
        <v>0</v>
      </c>
      <c r="O346" t="n">
        <v>0</v>
      </c>
      <c r="P346" t="n">
        <v>0</v>
      </c>
      <c r="Q346" t="n">
        <v>0</v>
      </c>
      <c r="R346" s="2" t="inlineStr"/>
    </row>
    <row r="347" ht="15" customHeight="1">
      <c r="A347" t="inlineStr">
        <is>
          <t>A 55637-2019</t>
        </is>
      </c>
      <c r="B347" s="1" t="n">
        <v>43760</v>
      </c>
      <c r="C347" s="1" t="n">
        <v>45258</v>
      </c>
      <c r="D347" t="inlineStr">
        <is>
          <t>VÄSTERNORRLANDS LÄN</t>
        </is>
      </c>
      <c r="E347" t="inlineStr">
        <is>
          <t>ÅNGE</t>
        </is>
      </c>
      <c r="G347" t="n">
        <v>0.1</v>
      </c>
      <c r="H347" t="n">
        <v>0</v>
      </c>
      <c r="I347" t="n">
        <v>0</v>
      </c>
      <c r="J347" t="n">
        <v>0</v>
      </c>
      <c r="K347" t="n">
        <v>0</v>
      </c>
      <c r="L347" t="n">
        <v>0</v>
      </c>
      <c r="M347" t="n">
        <v>0</v>
      </c>
      <c r="N347" t="n">
        <v>0</v>
      </c>
      <c r="O347" t="n">
        <v>0</v>
      </c>
      <c r="P347" t="n">
        <v>0</v>
      </c>
      <c r="Q347" t="n">
        <v>0</v>
      </c>
      <c r="R347" s="2" t="inlineStr"/>
    </row>
    <row r="348" ht="15" customHeight="1">
      <c r="A348" t="inlineStr">
        <is>
          <t>A 55634-2019</t>
        </is>
      </c>
      <c r="B348" s="1" t="n">
        <v>43760</v>
      </c>
      <c r="C348" s="1" t="n">
        <v>45258</v>
      </c>
      <c r="D348" t="inlineStr">
        <is>
          <t>VÄSTERNORRLANDS LÄN</t>
        </is>
      </c>
      <c r="E348" t="inlineStr">
        <is>
          <t>ÅNGE</t>
        </is>
      </c>
      <c r="G348" t="n">
        <v>3.1</v>
      </c>
      <c r="H348" t="n">
        <v>0</v>
      </c>
      <c r="I348" t="n">
        <v>0</v>
      </c>
      <c r="J348" t="n">
        <v>0</v>
      </c>
      <c r="K348" t="n">
        <v>0</v>
      </c>
      <c r="L348" t="n">
        <v>0</v>
      </c>
      <c r="M348" t="n">
        <v>0</v>
      </c>
      <c r="N348" t="n">
        <v>0</v>
      </c>
      <c r="O348" t="n">
        <v>0</v>
      </c>
      <c r="P348" t="n">
        <v>0</v>
      </c>
      <c r="Q348" t="n">
        <v>0</v>
      </c>
      <c r="R348" s="2" t="inlineStr"/>
    </row>
    <row r="349" ht="15" customHeight="1">
      <c r="A349" t="inlineStr">
        <is>
          <t>A 55730-2019</t>
        </is>
      </c>
      <c r="B349" s="1" t="n">
        <v>43760</v>
      </c>
      <c r="C349" s="1" t="n">
        <v>45258</v>
      </c>
      <c r="D349" t="inlineStr">
        <is>
          <t>VÄSTERNORRLANDS LÄN</t>
        </is>
      </c>
      <c r="E349" t="inlineStr">
        <is>
          <t>ÅNGE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55729-2019</t>
        </is>
      </c>
      <c r="B350" s="1" t="n">
        <v>43760</v>
      </c>
      <c r="C350" s="1" t="n">
        <v>45258</v>
      </c>
      <c r="D350" t="inlineStr">
        <is>
          <t>VÄSTERNORRLANDS LÄN</t>
        </is>
      </c>
      <c r="E350" t="inlineStr">
        <is>
          <t>ÅNGE</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56137-2019</t>
        </is>
      </c>
      <c r="B351" s="1" t="n">
        <v>43761</v>
      </c>
      <c r="C351" s="1" t="n">
        <v>45258</v>
      </c>
      <c r="D351" t="inlineStr">
        <is>
          <t>VÄSTERNORRLANDS LÄN</t>
        </is>
      </c>
      <c r="E351" t="inlineStr">
        <is>
          <t>ÅNGE</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56171-2019</t>
        </is>
      </c>
      <c r="B352" s="1" t="n">
        <v>43761</v>
      </c>
      <c r="C352" s="1" t="n">
        <v>45258</v>
      </c>
      <c r="D352" t="inlineStr">
        <is>
          <t>VÄSTERNORRLANDS LÄN</t>
        </is>
      </c>
      <c r="E352" t="inlineStr">
        <is>
          <t>ÅNGE</t>
        </is>
      </c>
      <c r="G352" t="n">
        <v>5.1</v>
      </c>
      <c r="H352" t="n">
        <v>0</v>
      </c>
      <c r="I352" t="n">
        <v>0</v>
      </c>
      <c r="J352" t="n">
        <v>0</v>
      </c>
      <c r="K352" t="n">
        <v>0</v>
      </c>
      <c r="L352" t="n">
        <v>0</v>
      </c>
      <c r="M352" t="n">
        <v>0</v>
      </c>
      <c r="N352" t="n">
        <v>0</v>
      </c>
      <c r="O352" t="n">
        <v>0</v>
      </c>
      <c r="P352" t="n">
        <v>0</v>
      </c>
      <c r="Q352" t="n">
        <v>0</v>
      </c>
      <c r="R352" s="2" t="inlineStr"/>
    </row>
    <row r="353" ht="15" customHeight="1">
      <c r="A353" t="inlineStr">
        <is>
          <t>A 56186-2019</t>
        </is>
      </c>
      <c r="B353" s="1" t="n">
        <v>43761</v>
      </c>
      <c r="C353" s="1" t="n">
        <v>45258</v>
      </c>
      <c r="D353" t="inlineStr">
        <is>
          <t>VÄSTERNORRLANDS LÄN</t>
        </is>
      </c>
      <c r="E353" t="inlineStr">
        <is>
          <t>ÅNGE</t>
        </is>
      </c>
      <c r="F353" t="inlineStr">
        <is>
          <t>SCA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56490-2019</t>
        </is>
      </c>
      <c r="B354" s="1" t="n">
        <v>43762</v>
      </c>
      <c r="C354" s="1" t="n">
        <v>45258</v>
      </c>
      <c r="D354" t="inlineStr">
        <is>
          <t>VÄSTERNORRLANDS LÄN</t>
        </is>
      </c>
      <c r="E354" t="inlineStr">
        <is>
          <t>ÅNGE</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57184-2019</t>
        </is>
      </c>
      <c r="B355" s="1" t="n">
        <v>43766</v>
      </c>
      <c r="C355" s="1" t="n">
        <v>45258</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57183-2019</t>
        </is>
      </c>
      <c r="B356" s="1" t="n">
        <v>43766</v>
      </c>
      <c r="C356" s="1" t="n">
        <v>45258</v>
      </c>
      <c r="D356" t="inlineStr">
        <is>
          <t>VÄSTERNORRLANDS LÄN</t>
        </is>
      </c>
      <c r="E356" t="inlineStr">
        <is>
          <t>ÅNGE</t>
        </is>
      </c>
      <c r="G356" t="n">
        <v>1.2</v>
      </c>
      <c r="H356" t="n">
        <v>0</v>
      </c>
      <c r="I356" t="n">
        <v>0</v>
      </c>
      <c r="J356" t="n">
        <v>0</v>
      </c>
      <c r="K356" t="n">
        <v>0</v>
      </c>
      <c r="L356" t="n">
        <v>0</v>
      </c>
      <c r="M356" t="n">
        <v>0</v>
      </c>
      <c r="N356" t="n">
        <v>0</v>
      </c>
      <c r="O356" t="n">
        <v>0</v>
      </c>
      <c r="P356" t="n">
        <v>0</v>
      </c>
      <c r="Q356" t="n">
        <v>0</v>
      </c>
      <c r="R356" s="2" t="inlineStr"/>
    </row>
    <row r="357" ht="15" customHeight="1">
      <c r="A357" t="inlineStr">
        <is>
          <t>A 58720-2019</t>
        </is>
      </c>
      <c r="B357" s="1" t="n">
        <v>43773</v>
      </c>
      <c r="C357" s="1" t="n">
        <v>45258</v>
      </c>
      <c r="D357" t="inlineStr">
        <is>
          <t>VÄSTERNORRLANDS LÄN</t>
        </is>
      </c>
      <c r="E357" t="inlineStr">
        <is>
          <t>ÅNGE</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58790-2019</t>
        </is>
      </c>
      <c r="B358" s="1" t="n">
        <v>43773</v>
      </c>
      <c r="C358" s="1" t="n">
        <v>45258</v>
      </c>
      <c r="D358" t="inlineStr">
        <is>
          <t>VÄSTERNORRLANDS LÄN</t>
        </is>
      </c>
      <c r="E358" t="inlineStr">
        <is>
          <t>ÅNGE</t>
        </is>
      </c>
      <c r="G358" t="n">
        <v>0.1</v>
      </c>
      <c r="H358" t="n">
        <v>0</v>
      </c>
      <c r="I358" t="n">
        <v>0</v>
      </c>
      <c r="J358" t="n">
        <v>0</v>
      </c>
      <c r="K358" t="n">
        <v>0</v>
      </c>
      <c r="L358" t="n">
        <v>0</v>
      </c>
      <c r="M358" t="n">
        <v>0</v>
      </c>
      <c r="N358" t="n">
        <v>0</v>
      </c>
      <c r="O358" t="n">
        <v>0</v>
      </c>
      <c r="P358" t="n">
        <v>0</v>
      </c>
      <c r="Q358" t="n">
        <v>0</v>
      </c>
      <c r="R358" s="2" t="inlineStr"/>
    </row>
    <row r="359" ht="15" customHeight="1">
      <c r="A359" t="inlineStr">
        <is>
          <t>A 58941-2019</t>
        </is>
      </c>
      <c r="B359" s="1" t="n">
        <v>43774</v>
      </c>
      <c r="C359" s="1" t="n">
        <v>45258</v>
      </c>
      <c r="D359" t="inlineStr">
        <is>
          <t>VÄSTERNORRLANDS LÄN</t>
        </is>
      </c>
      <c r="E359" t="inlineStr">
        <is>
          <t>ÅNGE</t>
        </is>
      </c>
      <c r="G359" t="n">
        <v>4</v>
      </c>
      <c r="H359" t="n">
        <v>0</v>
      </c>
      <c r="I359" t="n">
        <v>0</v>
      </c>
      <c r="J359" t="n">
        <v>0</v>
      </c>
      <c r="K359" t="n">
        <v>0</v>
      </c>
      <c r="L359" t="n">
        <v>0</v>
      </c>
      <c r="M359" t="n">
        <v>0</v>
      </c>
      <c r="N359" t="n">
        <v>0</v>
      </c>
      <c r="O359" t="n">
        <v>0</v>
      </c>
      <c r="P359" t="n">
        <v>0</v>
      </c>
      <c r="Q359" t="n">
        <v>0</v>
      </c>
      <c r="R359" s="2" t="inlineStr"/>
    </row>
    <row r="360" ht="15" customHeight="1">
      <c r="A360" t="inlineStr">
        <is>
          <t>A 58932-2019</t>
        </is>
      </c>
      <c r="B360" s="1" t="n">
        <v>43774</v>
      </c>
      <c r="C360" s="1" t="n">
        <v>45258</v>
      </c>
      <c r="D360" t="inlineStr">
        <is>
          <t>VÄSTERNORRLANDS LÄN</t>
        </is>
      </c>
      <c r="E360" t="inlineStr">
        <is>
          <t>ÅNGE</t>
        </is>
      </c>
      <c r="G360" t="n">
        <v>3.2</v>
      </c>
      <c r="H360" t="n">
        <v>0</v>
      </c>
      <c r="I360" t="n">
        <v>0</v>
      </c>
      <c r="J360" t="n">
        <v>0</v>
      </c>
      <c r="K360" t="n">
        <v>0</v>
      </c>
      <c r="L360" t="n">
        <v>0</v>
      </c>
      <c r="M360" t="n">
        <v>0</v>
      </c>
      <c r="N360" t="n">
        <v>0</v>
      </c>
      <c r="O360" t="n">
        <v>0</v>
      </c>
      <c r="P360" t="n">
        <v>0</v>
      </c>
      <c r="Q360" t="n">
        <v>0</v>
      </c>
      <c r="R360" s="2" t="inlineStr"/>
    </row>
    <row r="361" ht="15" customHeight="1">
      <c r="A361" t="inlineStr">
        <is>
          <t>A 58951-2019</t>
        </is>
      </c>
      <c r="B361" s="1" t="n">
        <v>43774</v>
      </c>
      <c r="C361" s="1" t="n">
        <v>45258</v>
      </c>
      <c r="D361" t="inlineStr">
        <is>
          <t>VÄSTERNORRLANDS LÄN</t>
        </is>
      </c>
      <c r="E361" t="inlineStr">
        <is>
          <t>ÅNGE</t>
        </is>
      </c>
      <c r="G361" t="n">
        <v>6.9</v>
      </c>
      <c r="H361" t="n">
        <v>0</v>
      </c>
      <c r="I361" t="n">
        <v>0</v>
      </c>
      <c r="J361" t="n">
        <v>0</v>
      </c>
      <c r="K361" t="n">
        <v>0</v>
      </c>
      <c r="L361" t="n">
        <v>0</v>
      </c>
      <c r="M361" t="n">
        <v>0</v>
      </c>
      <c r="N361" t="n">
        <v>0</v>
      </c>
      <c r="O361" t="n">
        <v>0</v>
      </c>
      <c r="P361" t="n">
        <v>0</v>
      </c>
      <c r="Q361" t="n">
        <v>0</v>
      </c>
      <c r="R361" s="2" t="inlineStr"/>
    </row>
    <row r="362" ht="15" customHeight="1">
      <c r="A362" t="inlineStr">
        <is>
          <t>A 60577-2019</t>
        </is>
      </c>
      <c r="B362" s="1" t="n">
        <v>43781</v>
      </c>
      <c r="C362" s="1" t="n">
        <v>45258</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60687-2019</t>
        </is>
      </c>
      <c r="B363" s="1" t="n">
        <v>43781</v>
      </c>
      <c r="C363" s="1" t="n">
        <v>45258</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60868-2019</t>
        </is>
      </c>
      <c r="B364" s="1" t="n">
        <v>43781</v>
      </c>
      <c r="C364" s="1" t="n">
        <v>45258</v>
      </c>
      <c r="D364" t="inlineStr">
        <is>
          <t>VÄSTERNORRLANDS LÄN</t>
        </is>
      </c>
      <c r="E364" t="inlineStr">
        <is>
          <t>ÅNGE</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61521-2019</t>
        </is>
      </c>
      <c r="B365" s="1" t="n">
        <v>43783</v>
      </c>
      <c r="C365" s="1" t="n">
        <v>45258</v>
      </c>
      <c r="D365" t="inlineStr">
        <is>
          <t>VÄSTERNORRLANDS LÄN</t>
        </is>
      </c>
      <c r="E365" t="inlineStr">
        <is>
          <t>ÅNGE</t>
        </is>
      </c>
      <c r="F365" t="inlineStr">
        <is>
          <t>SCA</t>
        </is>
      </c>
      <c r="G365" t="n">
        <v>40.5</v>
      </c>
      <c r="H365" t="n">
        <v>0</v>
      </c>
      <c r="I365" t="n">
        <v>0</v>
      </c>
      <c r="J365" t="n">
        <v>0</v>
      </c>
      <c r="K365" t="n">
        <v>0</v>
      </c>
      <c r="L365" t="n">
        <v>0</v>
      </c>
      <c r="M365" t="n">
        <v>0</v>
      </c>
      <c r="N365" t="n">
        <v>0</v>
      </c>
      <c r="O365" t="n">
        <v>0</v>
      </c>
      <c r="P365" t="n">
        <v>0</v>
      </c>
      <c r="Q365" t="n">
        <v>0</v>
      </c>
      <c r="R365" s="2" t="inlineStr"/>
    </row>
    <row r="366" ht="15" customHeight="1">
      <c r="A366" t="inlineStr">
        <is>
          <t>A 61520-2019</t>
        </is>
      </c>
      <c r="B366" s="1" t="n">
        <v>43783</v>
      </c>
      <c r="C366" s="1" t="n">
        <v>45258</v>
      </c>
      <c r="D366" t="inlineStr">
        <is>
          <t>VÄSTERNORRLANDS LÄN</t>
        </is>
      </c>
      <c r="E366" t="inlineStr">
        <is>
          <t>ÅNGE</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61918-2019</t>
        </is>
      </c>
      <c r="B367" s="1" t="n">
        <v>43787</v>
      </c>
      <c r="C367" s="1" t="n">
        <v>45258</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61862-2019</t>
        </is>
      </c>
      <c r="B368" s="1" t="n">
        <v>43787</v>
      </c>
      <c r="C368" s="1" t="n">
        <v>45258</v>
      </c>
      <c r="D368" t="inlineStr">
        <is>
          <t>VÄSTERNORRLANDS LÄN</t>
        </is>
      </c>
      <c r="E368" t="inlineStr">
        <is>
          <t>ÅNGE</t>
        </is>
      </c>
      <c r="G368" t="n">
        <v>1.1</v>
      </c>
      <c r="H368" t="n">
        <v>0</v>
      </c>
      <c r="I368" t="n">
        <v>0</v>
      </c>
      <c r="J368" t="n">
        <v>0</v>
      </c>
      <c r="K368" t="n">
        <v>0</v>
      </c>
      <c r="L368" t="n">
        <v>0</v>
      </c>
      <c r="M368" t="n">
        <v>0</v>
      </c>
      <c r="N368" t="n">
        <v>0</v>
      </c>
      <c r="O368" t="n">
        <v>0</v>
      </c>
      <c r="P368" t="n">
        <v>0</v>
      </c>
      <c r="Q368" t="n">
        <v>0</v>
      </c>
      <c r="R368" s="2" t="inlineStr"/>
    </row>
    <row r="369" ht="15" customHeight="1">
      <c r="A369" t="inlineStr">
        <is>
          <t>A 62222-2019</t>
        </is>
      </c>
      <c r="B369" s="1" t="n">
        <v>43788</v>
      </c>
      <c r="C369" s="1" t="n">
        <v>45258</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62547-2019</t>
        </is>
      </c>
      <c r="B370" s="1" t="n">
        <v>43789</v>
      </c>
      <c r="C370" s="1" t="n">
        <v>45258</v>
      </c>
      <c r="D370" t="inlineStr">
        <is>
          <t>VÄSTERNORRLANDS LÄN</t>
        </is>
      </c>
      <c r="E370" t="inlineStr">
        <is>
          <t>ÅNGE</t>
        </is>
      </c>
      <c r="F370" t="inlineStr">
        <is>
          <t>Övriga Aktiebolag</t>
        </is>
      </c>
      <c r="G370" t="n">
        <v>2.1</v>
      </c>
      <c r="H370" t="n">
        <v>0</v>
      </c>
      <c r="I370" t="n">
        <v>0</v>
      </c>
      <c r="J370" t="n">
        <v>0</v>
      </c>
      <c r="K370" t="n">
        <v>0</v>
      </c>
      <c r="L370" t="n">
        <v>0</v>
      </c>
      <c r="M370" t="n">
        <v>0</v>
      </c>
      <c r="N370" t="n">
        <v>0</v>
      </c>
      <c r="O370" t="n">
        <v>0</v>
      </c>
      <c r="P370" t="n">
        <v>0</v>
      </c>
      <c r="Q370" t="n">
        <v>0</v>
      </c>
      <c r="R370" s="2" t="inlineStr"/>
    </row>
    <row r="371" ht="15" customHeight="1">
      <c r="A371" t="inlineStr">
        <is>
          <t>A 62925-2019</t>
        </is>
      </c>
      <c r="B371" s="1" t="n">
        <v>43790</v>
      </c>
      <c r="C371" s="1" t="n">
        <v>45258</v>
      </c>
      <c r="D371" t="inlineStr">
        <is>
          <t>VÄSTERNORRLANDS LÄN</t>
        </is>
      </c>
      <c r="E371" t="inlineStr">
        <is>
          <t>ÅNGE</t>
        </is>
      </c>
      <c r="G371" t="n">
        <v>1.5</v>
      </c>
      <c r="H371" t="n">
        <v>0</v>
      </c>
      <c r="I371" t="n">
        <v>0</v>
      </c>
      <c r="J371" t="n">
        <v>0</v>
      </c>
      <c r="K371" t="n">
        <v>0</v>
      </c>
      <c r="L371" t="n">
        <v>0</v>
      </c>
      <c r="M371" t="n">
        <v>0</v>
      </c>
      <c r="N371" t="n">
        <v>0</v>
      </c>
      <c r="O371" t="n">
        <v>0</v>
      </c>
      <c r="P371" t="n">
        <v>0</v>
      </c>
      <c r="Q371" t="n">
        <v>0</v>
      </c>
      <c r="R371" s="2" t="inlineStr"/>
    </row>
    <row r="372" ht="15" customHeight="1">
      <c r="A372" t="inlineStr">
        <is>
          <t>A 63300-2019</t>
        </is>
      </c>
      <c r="B372" s="1" t="n">
        <v>43794</v>
      </c>
      <c r="C372" s="1" t="n">
        <v>45258</v>
      </c>
      <c r="D372" t="inlineStr">
        <is>
          <t>VÄSTERNORRLANDS LÄN</t>
        </is>
      </c>
      <c r="E372" t="inlineStr">
        <is>
          <t>ÅNGE</t>
        </is>
      </c>
      <c r="G372" t="n">
        <v>3</v>
      </c>
      <c r="H372" t="n">
        <v>0</v>
      </c>
      <c r="I372" t="n">
        <v>0</v>
      </c>
      <c r="J372" t="n">
        <v>0</v>
      </c>
      <c r="K372" t="n">
        <v>0</v>
      </c>
      <c r="L372" t="n">
        <v>0</v>
      </c>
      <c r="M372" t="n">
        <v>0</v>
      </c>
      <c r="N372" t="n">
        <v>0</v>
      </c>
      <c r="O372" t="n">
        <v>0</v>
      </c>
      <c r="P372" t="n">
        <v>0</v>
      </c>
      <c r="Q372" t="n">
        <v>0</v>
      </c>
      <c r="R372" s="2" t="inlineStr"/>
    </row>
    <row r="373" ht="15" customHeight="1">
      <c r="A373" t="inlineStr">
        <is>
          <t>A 63329-2019</t>
        </is>
      </c>
      <c r="B373" s="1" t="n">
        <v>43794</v>
      </c>
      <c r="C373" s="1" t="n">
        <v>45258</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63453-2019</t>
        </is>
      </c>
      <c r="B374" s="1" t="n">
        <v>43794</v>
      </c>
      <c r="C374" s="1" t="n">
        <v>45258</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63324-2019</t>
        </is>
      </c>
      <c r="B375" s="1" t="n">
        <v>43794</v>
      </c>
      <c r="C375" s="1" t="n">
        <v>45258</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63549-2019</t>
        </is>
      </c>
      <c r="B376" s="1" t="n">
        <v>43794</v>
      </c>
      <c r="C376" s="1" t="n">
        <v>45258</v>
      </c>
      <c r="D376" t="inlineStr">
        <is>
          <t>VÄSTERNORRLANDS LÄN</t>
        </is>
      </c>
      <c r="E376" t="inlineStr">
        <is>
          <t>ÅNGE</t>
        </is>
      </c>
      <c r="F376" t="inlineStr">
        <is>
          <t>SCA</t>
        </is>
      </c>
      <c r="G376" t="n">
        <v>7.5</v>
      </c>
      <c r="H376" t="n">
        <v>0</v>
      </c>
      <c r="I376" t="n">
        <v>0</v>
      </c>
      <c r="J376" t="n">
        <v>0</v>
      </c>
      <c r="K376" t="n">
        <v>0</v>
      </c>
      <c r="L376" t="n">
        <v>0</v>
      </c>
      <c r="M376" t="n">
        <v>0</v>
      </c>
      <c r="N376" t="n">
        <v>0</v>
      </c>
      <c r="O376" t="n">
        <v>0</v>
      </c>
      <c r="P376" t="n">
        <v>0</v>
      </c>
      <c r="Q376" t="n">
        <v>0</v>
      </c>
      <c r="R376" s="2" t="inlineStr"/>
    </row>
    <row r="377" ht="15" customHeight="1">
      <c r="A377" t="inlineStr">
        <is>
          <t>A 63454-2019</t>
        </is>
      </c>
      <c r="B377" s="1" t="n">
        <v>43794</v>
      </c>
      <c r="C377" s="1" t="n">
        <v>45258</v>
      </c>
      <c r="D377" t="inlineStr">
        <is>
          <t>VÄSTERNORRLANDS LÄN</t>
        </is>
      </c>
      <c r="E377" t="inlineStr">
        <is>
          <t>ÅNGE</t>
        </is>
      </c>
      <c r="G377" t="n">
        <v>1.2</v>
      </c>
      <c r="H377" t="n">
        <v>0</v>
      </c>
      <c r="I377" t="n">
        <v>0</v>
      </c>
      <c r="J377" t="n">
        <v>0</v>
      </c>
      <c r="K377" t="n">
        <v>0</v>
      </c>
      <c r="L377" t="n">
        <v>0</v>
      </c>
      <c r="M377" t="n">
        <v>0</v>
      </c>
      <c r="N377" t="n">
        <v>0</v>
      </c>
      <c r="O377" t="n">
        <v>0</v>
      </c>
      <c r="P377" t="n">
        <v>0</v>
      </c>
      <c r="Q377" t="n">
        <v>0</v>
      </c>
      <c r="R377" s="2" t="inlineStr"/>
    </row>
    <row r="378" ht="15" customHeight="1">
      <c r="A378" t="inlineStr">
        <is>
          <t>A 63679-2019</t>
        </is>
      </c>
      <c r="B378" s="1" t="n">
        <v>43795</v>
      </c>
      <c r="C378" s="1" t="n">
        <v>45258</v>
      </c>
      <c r="D378" t="inlineStr">
        <is>
          <t>VÄSTERNORRLANDS LÄN</t>
        </is>
      </c>
      <c r="E378" t="inlineStr">
        <is>
          <t>ÅNGE</t>
        </is>
      </c>
      <c r="G378" t="n">
        <v>3.7</v>
      </c>
      <c r="H378" t="n">
        <v>0</v>
      </c>
      <c r="I378" t="n">
        <v>0</v>
      </c>
      <c r="J378" t="n">
        <v>0</v>
      </c>
      <c r="K378" t="n">
        <v>0</v>
      </c>
      <c r="L378" t="n">
        <v>0</v>
      </c>
      <c r="M378" t="n">
        <v>0</v>
      </c>
      <c r="N378" t="n">
        <v>0</v>
      </c>
      <c r="O378" t="n">
        <v>0</v>
      </c>
      <c r="P378" t="n">
        <v>0</v>
      </c>
      <c r="Q378" t="n">
        <v>0</v>
      </c>
      <c r="R378" s="2" t="inlineStr"/>
    </row>
    <row r="379" ht="15" customHeight="1">
      <c r="A379" t="inlineStr">
        <is>
          <t>A 63677-2019</t>
        </is>
      </c>
      <c r="B379" s="1" t="n">
        <v>43795</v>
      </c>
      <c r="C379" s="1" t="n">
        <v>45258</v>
      </c>
      <c r="D379" t="inlineStr">
        <is>
          <t>VÄSTERNORRLANDS LÄN</t>
        </is>
      </c>
      <c r="E379" t="inlineStr">
        <is>
          <t>ÅNGE</t>
        </is>
      </c>
      <c r="G379" t="n">
        <v>1.7</v>
      </c>
      <c r="H379" t="n">
        <v>0</v>
      </c>
      <c r="I379" t="n">
        <v>0</v>
      </c>
      <c r="J379" t="n">
        <v>0</v>
      </c>
      <c r="K379" t="n">
        <v>0</v>
      </c>
      <c r="L379" t="n">
        <v>0</v>
      </c>
      <c r="M379" t="n">
        <v>0</v>
      </c>
      <c r="N379" t="n">
        <v>0</v>
      </c>
      <c r="O379" t="n">
        <v>0</v>
      </c>
      <c r="P379" t="n">
        <v>0</v>
      </c>
      <c r="Q379" t="n">
        <v>0</v>
      </c>
      <c r="R379" s="2" t="inlineStr"/>
    </row>
    <row r="380" ht="15" customHeight="1">
      <c r="A380" t="inlineStr">
        <is>
          <t>A 63683-2019</t>
        </is>
      </c>
      <c r="B380" s="1" t="n">
        <v>43795</v>
      </c>
      <c r="C380" s="1" t="n">
        <v>45258</v>
      </c>
      <c r="D380" t="inlineStr">
        <is>
          <t>VÄSTERNORRLANDS LÄN</t>
        </is>
      </c>
      <c r="E380" t="inlineStr">
        <is>
          <t>ÅNGE</t>
        </is>
      </c>
      <c r="G380" t="n">
        <v>2.4</v>
      </c>
      <c r="H380" t="n">
        <v>0</v>
      </c>
      <c r="I380" t="n">
        <v>0</v>
      </c>
      <c r="J380" t="n">
        <v>0</v>
      </c>
      <c r="K380" t="n">
        <v>0</v>
      </c>
      <c r="L380" t="n">
        <v>0</v>
      </c>
      <c r="M380" t="n">
        <v>0</v>
      </c>
      <c r="N380" t="n">
        <v>0</v>
      </c>
      <c r="O380" t="n">
        <v>0</v>
      </c>
      <c r="P380" t="n">
        <v>0</v>
      </c>
      <c r="Q380" t="n">
        <v>0</v>
      </c>
      <c r="R380" s="2" t="inlineStr"/>
    </row>
    <row r="381" ht="15" customHeight="1">
      <c r="A381" t="inlineStr">
        <is>
          <t>A 65050-2019</t>
        </is>
      </c>
      <c r="B381" s="1" t="n">
        <v>43801</v>
      </c>
      <c r="C381" s="1" t="n">
        <v>45258</v>
      </c>
      <c r="D381" t="inlineStr">
        <is>
          <t>VÄSTERNORRLANDS LÄN</t>
        </is>
      </c>
      <c r="E381" t="inlineStr">
        <is>
          <t>ÅNGE</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65046-2019</t>
        </is>
      </c>
      <c r="B382" s="1" t="n">
        <v>43801</v>
      </c>
      <c r="C382" s="1" t="n">
        <v>45258</v>
      </c>
      <c r="D382" t="inlineStr">
        <is>
          <t>VÄSTERNORRLANDS LÄN</t>
        </is>
      </c>
      <c r="E382" t="inlineStr">
        <is>
          <t>ÅNGE</t>
        </is>
      </c>
      <c r="G382" t="n">
        <v>17.3</v>
      </c>
      <c r="H382" t="n">
        <v>0</v>
      </c>
      <c r="I382" t="n">
        <v>0</v>
      </c>
      <c r="J382" t="n">
        <v>0</v>
      </c>
      <c r="K382" t="n">
        <v>0</v>
      </c>
      <c r="L382" t="n">
        <v>0</v>
      </c>
      <c r="M382" t="n">
        <v>0</v>
      </c>
      <c r="N382" t="n">
        <v>0</v>
      </c>
      <c r="O382" t="n">
        <v>0</v>
      </c>
      <c r="P382" t="n">
        <v>0</v>
      </c>
      <c r="Q382" t="n">
        <v>0</v>
      </c>
      <c r="R382" s="2" t="inlineStr"/>
    </row>
    <row r="383" ht="15" customHeight="1">
      <c r="A383" t="inlineStr">
        <is>
          <t>A 65049-2019</t>
        </is>
      </c>
      <c r="B383" s="1" t="n">
        <v>43801</v>
      </c>
      <c r="C383" s="1" t="n">
        <v>45258</v>
      </c>
      <c r="D383" t="inlineStr">
        <is>
          <t>VÄSTERNORRLANDS LÄN</t>
        </is>
      </c>
      <c r="E383" t="inlineStr">
        <is>
          <t>ÅNGE</t>
        </is>
      </c>
      <c r="G383" t="n">
        <v>3.3</v>
      </c>
      <c r="H383" t="n">
        <v>0</v>
      </c>
      <c r="I383" t="n">
        <v>0</v>
      </c>
      <c r="J383" t="n">
        <v>0</v>
      </c>
      <c r="K383" t="n">
        <v>0</v>
      </c>
      <c r="L383" t="n">
        <v>0</v>
      </c>
      <c r="M383" t="n">
        <v>0</v>
      </c>
      <c r="N383" t="n">
        <v>0</v>
      </c>
      <c r="O383" t="n">
        <v>0</v>
      </c>
      <c r="P383" t="n">
        <v>0</v>
      </c>
      <c r="Q383" t="n">
        <v>0</v>
      </c>
      <c r="R383" s="2" t="inlineStr"/>
    </row>
    <row r="384" ht="15" customHeight="1">
      <c r="A384" t="inlineStr">
        <is>
          <t>A 65048-2019</t>
        </is>
      </c>
      <c r="B384" s="1" t="n">
        <v>43801</v>
      </c>
      <c r="C384" s="1" t="n">
        <v>45258</v>
      </c>
      <c r="D384" t="inlineStr">
        <is>
          <t>VÄSTERNORRLANDS LÄN</t>
        </is>
      </c>
      <c r="E384" t="inlineStr">
        <is>
          <t>ÅNGE</t>
        </is>
      </c>
      <c r="G384" t="n">
        <v>1.2</v>
      </c>
      <c r="H384" t="n">
        <v>0</v>
      </c>
      <c r="I384" t="n">
        <v>0</v>
      </c>
      <c r="J384" t="n">
        <v>0</v>
      </c>
      <c r="K384" t="n">
        <v>0</v>
      </c>
      <c r="L384" t="n">
        <v>0</v>
      </c>
      <c r="M384" t="n">
        <v>0</v>
      </c>
      <c r="N384" t="n">
        <v>0</v>
      </c>
      <c r="O384" t="n">
        <v>0</v>
      </c>
      <c r="P384" t="n">
        <v>0</v>
      </c>
      <c r="Q384" t="n">
        <v>0</v>
      </c>
      <c r="R384" s="2" t="inlineStr"/>
    </row>
    <row r="385" ht="15" customHeight="1">
      <c r="A385" t="inlineStr">
        <is>
          <t>A 65951-2019</t>
        </is>
      </c>
      <c r="B385" s="1" t="n">
        <v>43805</v>
      </c>
      <c r="C385" s="1" t="n">
        <v>45258</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65909-2019</t>
        </is>
      </c>
      <c r="B386" s="1" t="n">
        <v>43805</v>
      </c>
      <c r="C386" s="1" t="n">
        <v>45258</v>
      </c>
      <c r="D386" t="inlineStr">
        <is>
          <t>VÄSTERNORRLANDS LÄN</t>
        </is>
      </c>
      <c r="E386" t="inlineStr">
        <is>
          <t>ÅNGE</t>
        </is>
      </c>
      <c r="G386" t="n">
        <v>0.7</v>
      </c>
      <c r="H386" t="n">
        <v>0</v>
      </c>
      <c r="I386" t="n">
        <v>0</v>
      </c>
      <c r="J386" t="n">
        <v>0</v>
      </c>
      <c r="K386" t="n">
        <v>0</v>
      </c>
      <c r="L386" t="n">
        <v>0</v>
      </c>
      <c r="M386" t="n">
        <v>0</v>
      </c>
      <c r="N386" t="n">
        <v>0</v>
      </c>
      <c r="O386" t="n">
        <v>0</v>
      </c>
      <c r="P386" t="n">
        <v>0</v>
      </c>
      <c r="Q386" t="n">
        <v>0</v>
      </c>
      <c r="R386" s="2" t="inlineStr"/>
    </row>
    <row r="387" ht="15" customHeight="1">
      <c r="A387" t="inlineStr">
        <is>
          <t>A 66048-2019</t>
        </is>
      </c>
      <c r="B387" s="1" t="n">
        <v>43805</v>
      </c>
      <c r="C387" s="1" t="n">
        <v>45258</v>
      </c>
      <c r="D387" t="inlineStr">
        <is>
          <t>VÄSTERNORRLANDS LÄN</t>
        </is>
      </c>
      <c r="E387" t="inlineStr">
        <is>
          <t>ÅNGE</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66017-2019</t>
        </is>
      </c>
      <c r="B388" s="1" t="n">
        <v>43805</v>
      </c>
      <c r="C388" s="1" t="n">
        <v>45258</v>
      </c>
      <c r="D388" t="inlineStr">
        <is>
          <t>VÄSTERNORRLANDS LÄN</t>
        </is>
      </c>
      <c r="E388" t="inlineStr">
        <is>
          <t>ÅNGE</t>
        </is>
      </c>
      <c r="G388" t="n">
        <v>2.4</v>
      </c>
      <c r="H388" t="n">
        <v>0</v>
      </c>
      <c r="I388" t="n">
        <v>0</v>
      </c>
      <c r="J388" t="n">
        <v>0</v>
      </c>
      <c r="K388" t="n">
        <v>0</v>
      </c>
      <c r="L388" t="n">
        <v>0</v>
      </c>
      <c r="M388" t="n">
        <v>0</v>
      </c>
      <c r="N388" t="n">
        <v>0</v>
      </c>
      <c r="O388" t="n">
        <v>0</v>
      </c>
      <c r="P388" t="n">
        <v>0</v>
      </c>
      <c r="Q388" t="n">
        <v>0</v>
      </c>
      <c r="R388" s="2" t="inlineStr"/>
    </row>
    <row r="389" ht="15" customHeight="1">
      <c r="A389" t="inlineStr">
        <is>
          <t>A 66013-2019</t>
        </is>
      </c>
      <c r="B389" s="1" t="n">
        <v>43805</v>
      </c>
      <c r="C389" s="1" t="n">
        <v>45258</v>
      </c>
      <c r="D389" t="inlineStr">
        <is>
          <t>VÄSTERNORRLANDS LÄN</t>
        </is>
      </c>
      <c r="E389" t="inlineStr">
        <is>
          <t>ÅNGE</t>
        </is>
      </c>
      <c r="G389" t="n">
        <v>4</v>
      </c>
      <c r="H389" t="n">
        <v>0</v>
      </c>
      <c r="I389" t="n">
        <v>0</v>
      </c>
      <c r="J389" t="n">
        <v>0</v>
      </c>
      <c r="K389" t="n">
        <v>0</v>
      </c>
      <c r="L389" t="n">
        <v>0</v>
      </c>
      <c r="M389" t="n">
        <v>0</v>
      </c>
      <c r="N389" t="n">
        <v>0</v>
      </c>
      <c r="O389" t="n">
        <v>0</v>
      </c>
      <c r="P389" t="n">
        <v>0</v>
      </c>
      <c r="Q389" t="n">
        <v>0</v>
      </c>
      <c r="R389" s="2" t="inlineStr"/>
    </row>
    <row r="390" ht="15" customHeight="1">
      <c r="A390" t="inlineStr">
        <is>
          <t>A 68809-2019</t>
        </is>
      </c>
      <c r="B390" s="1" t="n">
        <v>43815</v>
      </c>
      <c r="C390" s="1" t="n">
        <v>45258</v>
      </c>
      <c r="D390" t="inlineStr">
        <is>
          <t>VÄSTERNORRLANDS LÄN</t>
        </is>
      </c>
      <c r="E390" t="inlineStr">
        <is>
          <t>ÅNGE</t>
        </is>
      </c>
      <c r="G390" t="n">
        <v>1.2</v>
      </c>
      <c r="H390" t="n">
        <v>0</v>
      </c>
      <c r="I390" t="n">
        <v>0</v>
      </c>
      <c r="J390" t="n">
        <v>0</v>
      </c>
      <c r="K390" t="n">
        <v>0</v>
      </c>
      <c r="L390" t="n">
        <v>0</v>
      </c>
      <c r="M390" t="n">
        <v>0</v>
      </c>
      <c r="N390" t="n">
        <v>0</v>
      </c>
      <c r="O390" t="n">
        <v>0</v>
      </c>
      <c r="P390" t="n">
        <v>0</v>
      </c>
      <c r="Q390" t="n">
        <v>0</v>
      </c>
      <c r="R390" s="2" t="inlineStr"/>
    </row>
    <row r="391" ht="15" customHeight="1">
      <c r="A391" t="inlineStr">
        <is>
          <t>A 714-2020</t>
        </is>
      </c>
      <c r="B391" s="1" t="n">
        <v>43818</v>
      </c>
      <c r="C391" s="1" t="n">
        <v>45258</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68807-2019</t>
        </is>
      </c>
      <c r="B392" s="1" t="n">
        <v>43819</v>
      </c>
      <c r="C392" s="1" t="n">
        <v>45258</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69169-2019</t>
        </is>
      </c>
      <c r="B393" s="1" t="n">
        <v>43830</v>
      </c>
      <c r="C393" s="1" t="n">
        <v>45258</v>
      </c>
      <c r="D393" t="inlineStr">
        <is>
          <t>VÄSTERNORRLANDS LÄN</t>
        </is>
      </c>
      <c r="E393" t="inlineStr">
        <is>
          <t>ÅNGE</t>
        </is>
      </c>
      <c r="G393" t="n">
        <v>1.5</v>
      </c>
      <c r="H393" t="n">
        <v>0</v>
      </c>
      <c r="I393" t="n">
        <v>0</v>
      </c>
      <c r="J393" t="n">
        <v>0</v>
      </c>
      <c r="K393" t="n">
        <v>0</v>
      </c>
      <c r="L393" t="n">
        <v>0</v>
      </c>
      <c r="M393" t="n">
        <v>0</v>
      </c>
      <c r="N393" t="n">
        <v>0</v>
      </c>
      <c r="O393" t="n">
        <v>0</v>
      </c>
      <c r="P393" t="n">
        <v>0</v>
      </c>
      <c r="Q393" t="n">
        <v>0</v>
      </c>
      <c r="R393" s="2" t="inlineStr"/>
    </row>
    <row r="394" ht="15" customHeight="1">
      <c r="A394" t="inlineStr">
        <is>
          <t>A 69171-2019</t>
        </is>
      </c>
      <c r="B394" s="1" t="n">
        <v>43830</v>
      </c>
      <c r="C394" s="1" t="n">
        <v>45258</v>
      </c>
      <c r="D394" t="inlineStr">
        <is>
          <t>VÄSTERNORRLANDS LÄN</t>
        </is>
      </c>
      <c r="E394" t="inlineStr">
        <is>
          <t>ÅNGE</t>
        </is>
      </c>
      <c r="G394" t="n">
        <v>3.1</v>
      </c>
      <c r="H394" t="n">
        <v>0</v>
      </c>
      <c r="I394" t="n">
        <v>0</v>
      </c>
      <c r="J394" t="n">
        <v>0</v>
      </c>
      <c r="K394" t="n">
        <v>0</v>
      </c>
      <c r="L394" t="n">
        <v>0</v>
      </c>
      <c r="M394" t="n">
        <v>0</v>
      </c>
      <c r="N394" t="n">
        <v>0</v>
      </c>
      <c r="O394" t="n">
        <v>0</v>
      </c>
      <c r="P394" t="n">
        <v>0</v>
      </c>
      <c r="Q394" t="n">
        <v>0</v>
      </c>
      <c r="R394" s="2" t="inlineStr"/>
    </row>
    <row r="395" ht="15" customHeight="1">
      <c r="A395" t="inlineStr">
        <is>
          <t>A 114-2020</t>
        </is>
      </c>
      <c r="B395" s="1" t="n">
        <v>43832</v>
      </c>
      <c r="C395" s="1" t="n">
        <v>45258</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531-2020</t>
        </is>
      </c>
      <c r="B396" s="1" t="n">
        <v>43837</v>
      </c>
      <c r="C396" s="1" t="n">
        <v>45258</v>
      </c>
      <c r="D396" t="inlineStr">
        <is>
          <t>VÄSTERNORRLANDS LÄN</t>
        </is>
      </c>
      <c r="E396" t="inlineStr">
        <is>
          <t>ÅNGE</t>
        </is>
      </c>
      <c r="F396" t="inlineStr">
        <is>
          <t>SCA</t>
        </is>
      </c>
      <c r="G396" t="n">
        <v>2.9</v>
      </c>
      <c r="H396" t="n">
        <v>0</v>
      </c>
      <c r="I396" t="n">
        <v>0</v>
      </c>
      <c r="J396" t="n">
        <v>0</v>
      </c>
      <c r="K396" t="n">
        <v>0</v>
      </c>
      <c r="L396" t="n">
        <v>0</v>
      </c>
      <c r="M396" t="n">
        <v>0</v>
      </c>
      <c r="N396" t="n">
        <v>0</v>
      </c>
      <c r="O396" t="n">
        <v>0</v>
      </c>
      <c r="P396" t="n">
        <v>0</v>
      </c>
      <c r="Q396" t="n">
        <v>0</v>
      </c>
      <c r="R396" s="2" t="inlineStr"/>
    </row>
    <row r="397" ht="15" customHeight="1">
      <c r="A397" t="inlineStr">
        <is>
          <t>A 664-2020</t>
        </is>
      </c>
      <c r="B397" s="1" t="n">
        <v>43838</v>
      </c>
      <c r="C397" s="1" t="n">
        <v>45258</v>
      </c>
      <c r="D397" t="inlineStr">
        <is>
          <t>VÄSTERNORRLANDS LÄN</t>
        </is>
      </c>
      <c r="E397" t="inlineStr">
        <is>
          <t>ÅNGE</t>
        </is>
      </c>
      <c r="G397" t="n">
        <v>0.6</v>
      </c>
      <c r="H397" t="n">
        <v>0</v>
      </c>
      <c r="I397" t="n">
        <v>0</v>
      </c>
      <c r="J397" t="n">
        <v>0</v>
      </c>
      <c r="K397" t="n">
        <v>0</v>
      </c>
      <c r="L397" t="n">
        <v>0</v>
      </c>
      <c r="M397" t="n">
        <v>0</v>
      </c>
      <c r="N397" t="n">
        <v>0</v>
      </c>
      <c r="O397" t="n">
        <v>0</v>
      </c>
      <c r="P397" t="n">
        <v>0</v>
      </c>
      <c r="Q397" t="n">
        <v>0</v>
      </c>
      <c r="R397" s="2" t="inlineStr"/>
    </row>
    <row r="398" ht="15" customHeight="1">
      <c r="A398" t="inlineStr">
        <is>
          <t>A 2650-2020</t>
        </is>
      </c>
      <c r="B398" s="1" t="n">
        <v>43847</v>
      </c>
      <c r="C398" s="1" t="n">
        <v>45258</v>
      </c>
      <c r="D398" t="inlineStr">
        <is>
          <t>VÄSTERNORRLANDS LÄN</t>
        </is>
      </c>
      <c r="E398" t="inlineStr">
        <is>
          <t>ÅNGE</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3658-2020</t>
        </is>
      </c>
      <c r="B399" s="1" t="n">
        <v>43853</v>
      </c>
      <c r="C399" s="1" t="n">
        <v>45258</v>
      </c>
      <c r="D399" t="inlineStr">
        <is>
          <t>VÄSTERNORRLANDS LÄN</t>
        </is>
      </c>
      <c r="E399" t="inlineStr">
        <is>
          <t>ÅNGE</t>
        </is>
      </c>
      <c r="G399" t="n">
        <v>4.4</v>
      </c>
      <c r="H399" t="n">
        <v>0</v>
      </c>
      <c r="I399" t="n">
        <v>0</v>
      </c>
      <c r="J399" t="n">
        <v>0</v>
      </c>
      <c r="K399" t="n">
        <v>0</v>
      </c>
      <c r="L399" t="n">
        <v>0</v>
      </c>
      <c r="M399" t="n">
        <v>0</v>
      </c>
      <c r="N399" t="n">
        <v>0</v>
      </c>
      <c r="O399" t="n">
        <v>0</v>
      </c>
      <c r="P399" t="n">
        <v>0</v>
      </c>
      <c r="Q399" t="n">
        <v>0</v>
      </c>
      <c r="R399" s="2" t="inlineStr"/>
    </row>
    <row r="400" ht="15" customHeight="1">
      <c r="A400" t="inlineStr">
        <is>
          <t>A 3664-2020</t>
        </is>
      </c>
      <c r="B400" s="1" t="n">
        <v>43853</v>
      </c>
      <c r="C400" s="1" t="n">
        <v>45258</v>
      </c>
      <c r="D400" t="inlineStr">
        <is>
          <t>VÄSTERNORRLANDS LÄN</t>
        </is>
      </c>
      <c r="E400" t="inlineStr">
        <is>
          <t>ÅNGE</t>
        </is>
      </c>
      <c r="G400" t="n">
        <v>10.8</v>
      </c>
      <c r="H400" t="n">
        <v>0</v>
      </c>
      <c r="I400" t="n">
        <v>0</v>
      </c>
      <c r="J400" t="n">
        <v>0</v>
      </c>
      <c r="K400" t="n">
        <v>0</v>
      </c>
      <c r="L400" t="n">
        <v>0</v>
      </c>
      <c r="M400" t="n">
        <v>0</v>
      </c>
      <c r="N400" t="n">
        <v>0</v>
      </c>
      <c r="O400" t="n">
        <v>0</v>
      </c>
      <c r="P400" t="n">
        <v>0</v>
      </c>
      <c r="Q400" t="n">
        <v>0</v>
      </c>
      <c r="R400" s="2" t="inlineStr"/>
    </row>
    <row r="401" ht="15" customHeight="1">
      <c r="A401" t="inlineStr">
        <is>
          <t>A 3993-2020</t>
        </is>
      </c>
      <c r="B401" s="1" t="n">
        <v>43856</v>
      </c>
      <c r="C401" s="1" t="n">
        <v>45258</v>
      </c>
      <c r="D401" t="inlineStr">
        <is>
          <t>VÄSTERNORRLANDS LÄN</t>
        </is>
      </c>
      <c r="E401" t="inlineStr">
        <is>
          <t>ÅNGE</t>
        </is>
      </c>
      <c r="G401" t="n">
        <v>1.6</v>
      </c>
      <c r="H401" t="n">
        <v>0</v>
      </c>
      <c r="I401" t="n">
        <v>0</v>
      </c>
      <c r="J401" t="n">
        <v>0</v>
      </c>
      <c r="K401" t="n">
        <v>0</v>
      </c>
      <c r="L401" t="n">
        <v>0</v>
      </c>
      <c r="M401" t="n">
        <v>0</v>
      </c>
      <c r="N401" t="n">
        <v>0</v>
      </c>
      <c r="O401" t="n">
        <v>0</v>
      </c>
      <c r="P401" t="n">
        <v>0</v>
      </c>
      <c r="Q401" t="n">
        <v>0</v>
      </c>
      <c r="R401" s="2" t="inlineStr"/>
    </row>
    <row r="402" ht="15" customHeight="1">
      <c r="A402" t="inlineStr">
        <is>
          <t>A 4365-2020</t>
        </is>
      </c>
      <c r="B402" s="1" t="n">
        <v>43857</v>
      </c>
      <c r="C402" s="1" t="n">
        <v>45258</v>
      </c>
      <c r="D402" t="inlineStr">
        <is>
          <t>VÄSTERNORRLANDS LÄN</t>
        </is>
      </c>
      <c r="E402" t="inlineStr">
        <is>
          <t>ÅNGE</t>
        </is>
      </c>
      <c r="G402" t="n">
        <v>0.3</v>
      </c>
      <c r="H402" t="n">
        <v>0</v>
      </c>
      <c r="I402" t="n">
        <v>0</v>
      </c>
      <c r="J402" t="n">
        <v>0</v>
      </c>
      <c r="K402" t="n">
        <v>0</v>
      </c>
      <c r="L402" t="n">
        <v>0</v>
      </c>
      <c r="M402" t="n">
        <v>0</v>
      </c>
      <c r="N402" t="n">
        <v>0</v>
      </c>
      <c r="O402" t="n">
        <v>0</v>
      </c>
      <c r="P402" t="n">
        <v>0</v>
      </c>
      <c r="Q402" t="n">
        <v>0</v>
      </c>
      <c r="R402" s="2" t="inlineStr"/>
    </row>
    <row r="403" ht="15" customHeight="1">
      <c r="A403" t="inlineStr">
        <is>
          <t>A 4458-2020</t>
        </is>
      </c>
      <c r="B403" s="1" t="n">
        <v>43858</v>
      </c>
      <c r="C403" s="1" t="n">
        <v>45258</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5102-2020</t>
        </is>
      </c>
      <c r="B404" s="1" t="n">
        <v>43859</v>
      </c>
      <c r="C404" s="1" t="n">
        <v>45258</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5975-2020</t>
        </is>
      </c>
      <c r="B405" s="1" t="n">
        <v>43864</v>
      </c>
      <c r="C405" s="1" t="n">
        <v>45258</v>
      </c>
      <c r="D405" t="inlineStr">
        <is>
          <t>VÄSTERNORRLANDS LÄN</t>
        </is>
      </c>
      <c r="E405" t="inlineStr">
        <is>
          <t>ÅNGE</t>
        </is>
      </c>
      <c r="G405" t="n">
        <v>6.5</v>
      </c>
      <c r="H405" t="n">
        <v>0</v>
      </c>
      <c r="I405" t="n">
        <v>0</v>
      </c>
      <c r="J405" t="n">
        <v>0</v>
      </c>
      <c r="K405" t="n">
        <v>0</v>
      </c>
      <c r="L405" t="n">
        <v>0</v>
      </c>
      <c r="M405" t="n">
        <v>0</v>
      </c>
      <c r="N405" t="n">
        <v>0</v>
      </c>
      <c r="O405" t="n">
        <v>0</v>
      </c>
      <c r="P405" t="n">
        <v>0</v>
      </c>
      <c r="Q405" t="n">
        <v>0</v>
      </c>
      <c r="R405" s="2" t="inlineStr"/>
    </row>
    <row r="406" ht="15" customHeight="1">
      <c r="A406" t="inlineStr">
        <is>
          <t>A 6393-2020</t>
        </is>
      </c>
      <c r="B406" s="1" t="n">
        <v>43866</v>
      </c>
      <c r="C406" s="1" t="n">
        <v>45258</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6557-2020</t>
        </is>
      </c>
      <c r="B407" s="1" t="n">
        <v>43867</v>
      </c>
      <c r="C407" s="1" t="n">
        <v>45258</v>
      </c>
      <c r="D407" t="inlineStr">
        <is>
          <t>VÄSTERNORRLANDS LÄN</t>
        </is>
      </c>
      <c r="E407" t="inlineStr">
        <is>
          <t>ÅNGE</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6551-2020</t>
        </is>
      </c>
      <c r="B408" s="1" t="n">
        <v>43867</v>
      </c>
      <c r="C408" s="1" t="n">
        <v>45258</v>
      </c>
      <c r="D408" t="inlineStr">
        <is>
          <t>VÄSTERNORRLANDS LÄN</t>
        </is>
      </c>
      <c r="E408" t="inlineStr">
        <is>
          <t>ÅNGE</t>
        </is>
      </c>
      <c r="G408" t="n">
        <v>12.5</v>
      </c>
      <c r="H408" t="n">
        <v>0</v>
      </c>
      <c r="I408" t="n">
        <v>0</v>
      </c>
      <c r="J408" t="n">
        <v>0</v>
      </c>
      <c r="K408" t="n">
        <v>0</v>
      </c>
      <c r="L408" t="n">
        <v>0</v>
      </c>
      <c r="M408" t="n">
        <v>0</v>
      </c>
      <c r="N408" t="n">
        <v>0</v>
      </c>
      <c r="O408" t="n">
        <v>0</v>
      </c>
      <c r="P408" t="n">
        <v>0</v>
      </c>
      <c r="Q408" t="n">
        <v>0</v>
      </c>
      <c r="R408" s="2" t="inlineStr"/>
    </row>
    <row r="409" ht="15" customHeight="1">
      <c r="A409" t="inlineStr">
        <is>
          <t>A 6563-2020</t>
        </is>
      </c>
      <c r="B409" s="1" t="n">
        <v>43867</v>
      </c>
      <c r="C409" s="1" t="n">
        <v>45258</v>
      </c>
      <c r="D409" t="inlineStr">
        <is>
          <t>VÄSTERNORRLANDS LÄN</t>
        </is>
      </c>
      <c r="E409" t="inlineStr">
        <is>
          <t>ÅNGE</t>
        </is>
      </c>
      <c r="G409" t="n">
        <v>6.7</v>
      </c>
      <c r="H409" t="n">
        <v>0</v>
      </c>
      <c r="I409" t="n">
        <v>0</v>
      </c>
      <c r="J409" t="n">
        <v>0</v>
      </c>
      <c r="K409" t="n">
        <v>0</v>
      </c>
      <c r="L409" t="n">
        <v>0</v>
      </c>
      <c r="M409" t="n">
        <v>0</v>
      </c>
      <c r="N409" t="n">
        <v>0</v>
      </c>
      <c r="O409" t="n">
        <v>0</v>
      </c>
      <c r="P409" t="n">
        <v>0</v>
      </c>
      <c r="Q409" t="n">
        <v>0</v>
      </c>
      <c r="R409" s="2" t="inlineStr"/>
    </row>
    <row r="410" ht="15" customHeight="1">
      <c r="A410" t="inlineStr">
        <is>
          <t>A 6555-2020</t>
        </is>
      </c>
      <c r="B410" s="1" t="n">
        <v>43867</v>
      </c>
      <c r="C410" s="1" t="n">
        <v>45258</v>
      </c>
      <c r="D410" t="inlineStr">
        <is>
          <t>VÄSTERNORRLANDS LÄN</t>
        </is>
      </c>
      <c r="E410" t="inlineStr">
        <is>
          <t>ÅNGE</t>
        </is>
      </c>
      <c r="G410" t="n">
        <v>6.7</v>
      </c>
      <c r="H410" t="n">
        <v>0</v>
      </c>
      <c r="I410" t="n">
        <v>0</v>
      </c>
      <c r="J410" t="n">
        <v>0</v>
      </c>
      <c r="K410" t="n">
        <v>0</v>
      </c>
      <c r="L410" t="n">
        <v>0</v>
      </c>
      <c r="M410" t="n">
        <v>0</v>
      </c>
      <c r="N410" t="n">
        <v>0</v>
      </c>
      <c r="O410" t="n">
        <v>0</v>
      </c>
      <c r="P410" t="n">
        <v>0</v>
      </c>
      <c r="Q410" t="n">
        <v>0</v>
      </c>
      <c r="R410" s="2" t="inlineStr"/>
    </row>
    <row r="411" ht="15" customHeight="1">
      <c r="A411" t="inlineStr">
        <is>
          <t>A 6562-2020</t>
        </is>
      </c>
      <c r="B411" s="1" t="n">
        <v>43867</v>
      </c>
      <c r="C411" s="1" t="n">
        <v>45258</v>
      </c>
      <c r="D411" t="inlineStr">
        <is>
          <t>VÄSTERNORRLANDS LÄN</t>
        </is>
      </c>
      <c r="E411" t="inlineStr">
        <is>
          <t>ÅNGE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6565-2020</t>
        </is>
      </c>
      <c r="B412" s="1" t="n">
        <v>43867</v>
      </c>
      <c r="C412" s="1" t="n">
        <v>45258</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7787-2020</t>
        </is>
      </c>
      <c r="B413" s="1" t="n">
        <v>43872</v>
      </c>
      <c r="C413" s="1" t="n">
        <v>45258</v>
      </c>
      <c r="D413" t="inlineStr">
        <is>
          <t>VÄSTERNORRLANDS LÄN</t>
        </is>
      </c>
      <c r="E413" t="inlineStr">
        <is>
          <t>ÅNGE</t>
        </is>
      </c>
      <c r="F413" t="inlineStr">
        <is>
          <t>SCA</t>
        </is>
      </c>
      <c r="G413" t="n">
        <v>22.8</v>
      </c>
      <c r="H413" t="n">
        <v>0</v>
      </c>
      <c r="I413" t="n">
        <v>0</v>
      </c>
      <c r="J413" t="n">
        <v>0</v>
      </c>
      <c r="K413" t="n">
        <v>0</v>
      </c>
      <c r="L413" t="n">
        <v>0</v>
      </c>
      <c r="M413" t="n">
        <v>0</v>
      </c>
      <c r="N413" t="n">
        <v>0</v>
      </c>
      <c r="O413" t="n">
        <v>0</v>
      </c>
      <c r="P413" t="n">
        <v>0</v>
      </c>
      <c r="Q413" t="n">
        <v>0</v>
      </c>
      <c r="R413" s="2" t="inlineStr"/>
    </row>
    <row r="414" ht="15" customHeight="1">
      <c r="A414" t="inlineStr">
        <is>
          <t>A 8533-2020</t>
        </is>
      </c>
      <c r="B414" s="1" t="n">
        <v>43875</v>
      </c>
      <c r="C414" s="1" t="n">
        <v>45258</v>
      </c>
      <c r="D414" t="inlineStr">
        <is>
          <t>VÄSTERNORRLANDS LÄN</t>
        </is>
      </c>
      <c r="E414" t="inlineStr">
        <is>
          <t>ÅNGE</t>
        </is>
      </c>
      <c r="F414" t="inlineStr">
        <is>
          <t>SCA</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8534-2020</t>
        </is>
      </c>
      <c r="B415" s="1" t="n">
        <v>43875</v>
      </c>
      <c r="C415" s="1" t="n">
        <v>45258</v>
      </c>
      <c r="D415" t="inlineStr">
        <is>
          <t>VÄSTERNORRLANDS LÄN</t>
        </is>
      </c>
      <c r="E415" t="inlineStr">
        <is>
          <t>ÅNGE</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10144-2020</t>
        </is>
      </c>
      <c r="B416" s="1" t="n">
        <v>43886</v>
      </c>
      <c r="C416" s="1" t="n">
        <v>45258</v>
      </c>
      <c r="D416" t="inlineStr">
        <is>
          <t>VÄSTERNORRLANDS LÄN</t>
        </is>
      </c>
      <c r="E416" t="inlineStr">
        <is>
          <t>ÅNGE</t>
        </is>
      </c>
      <c r="F416" t="inlineStr">
        <is>
          <t>SCA</t>
        </is>
      </c>
      <c r="G416" t="n">
        <v>21.7</v>
      </c>
      <c r="H416" t="n">
        <v>0</v>
      </c>
      <c r="I416" t="n">
        <v>0</v>
      </c>
      <c r="J416" t="n">
        <v>0</v>
      </c>
      <c r="K416" t="n">
        <v>0</v>
      </c>
      <c r="L416" t="n">
        <v>0</v>
      </c>
      <c r="M416" t="n">
        <v>0</v>
      </c>
      <c r="N416" t="n">
        <v>0</v>
      </c>
      <c r="O416" t="n">
        <v>0</v>
      </c>
      <c r="P416" t="n">
        <v>0</v>
      </c>
      <c r="Q416" t="n">
        <v>0</v>
      </c>
      <c r="R416" s="2" t="inlineStr"/>
    </row>
    <row r="417" ht="15" customHeight="1">
      <c r="A417" t="inlineStr">
        <is>
          <t>A 10145-2020</t>
        </is>
      </c>
      <c r="B417" s="1" t="n">
        <v>43886</v>
      </c>
      <c r="C417" s="1" t="n">
        <v>45258</v>
      </c>
      <c r="D417" t="inlineStr">
        <is>
          <t>VÄSTERNORRLANDS LÄN</t>
        </is>
      </c>
      <c r="E417" t="inlineStr">
        <is>
          <t>ÅNGE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11101-2020</t>
        </is>
      </c>
      <c r="B418" s="1" t="n">
        <v>43889</v>
      </c>
      <c r="C418" s="1" t="n">
        <v>45258</v>
      </c>
      <c r="D418" t="inlineStr">
        <is>
          <t>VÄSTERNORRLANDS LÄN</t>
        </is>
      </c>
      <c r="E418" t="inlineStr">
        <is>
          <t>ÅNGE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12866-2020</t>
        </is>
      </c>
      <c r="B419" s="1" t="n">
        <v>43899</v>
      </c>
      <c r="C419" s="1" t="n">
        <v>45258</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12868-2020</t>
        </is>
      </c>
      <c r="B420" s="1" t="n">
        <v>43899</v>
      </c>
      <c r="C420" s="1" t="n">
        <v>45258</v>
      </c>
      <c r="D420" t="inlineStr">
        <is>
          <t>VÄSTERNORRLANDS LÄN</t>
        </is>
      </c>
      <c r="E420" t="inlineStr">
        <is>
          <t>ÅNGE</t>
        </is>
      </c>
      <c r="G420" t="n">
        <v>9.6</v>
      </c>
      <c r="H420" t="n">
        <v>0</v>
      </c>
      <c r="I420" t="n">
        <v>0</v>
      </c>
      <c r="J420" t="n">
        <v>0</v>
      </c>
      <c r="K420" t="n">
        <v>0</v>
      </c>
      <c r="L420" t="n">
        <v>0</v>
      </c>
      <c r="M420" t="n">
        <v>0</v>
      </c>
      <c r="N420" t="n">
        <v>0</v>
      </c>
      <c r="O420" t="n">
        <v>0</v>
      </c>
      <c r="P420" t="n">
        <v>0</v>
      </c>
      <c r="Q420" t="n">
        <v>0</v>
      </c>
      <c r="R420" s="2" t="inlineStr"/>
    </row>
    <row r="421" ht="15" customHeight="1">
      <c r="A421" t="inlineStr">
        <is>
          <t>A 13559-2020</t>
        </is>
      </c>
      <c r="B421" s="1" t="n">
        <v>43902</v>
      </c>
      <c r="C421" s="1" t="n">
        <v>45258</v>
      </c>
      <c r="D421" t="inlineStr">
        <is>
          <t>VÄSTERNORRLANDS LÄN</t>
        </is>
      </c>
      <c r="E421" t="inlineStr">
        <is>
          <t>ÅNGE</t>
        </is>
      </c>
      <c r="F421" t="inlineStr">
        <is>
          <t>SCA</t>
        </is>
      </c>
      <c r="G421" t="n">
        <v>24.5</v>
      </c>
      <c r="H421" t="n">
        <v>0</v>
      </c>
      <c r="I421" t="n">
        <v>0</v>
      </c>
      <c r="J421" t="n">
        <v>0</v>
      </c>
      <c r="K421" t="n">
        <v>0</v>
      </c>
      <c r="L421" t="n">
        <v>0</v>
      </c>
      <c r="M421" t="n">
        <v>0</v>
      </c>
      <c r="N421" t="n">
        <v>0</v>
      </c>
      <c r="O421" t="n">
        <v>0</v>
      </c>
      <c r="P421" t="n">
        <v>0</v>
      </c>
      <c r="Q421" t="n">
        <v>0</v>
      </c>
      <c r="R421" s="2" t="inlineStr"/>
    </row>
    <row r="422" ht="15" customHeight="1">
      <c r="A422" t="inlineStr">
        <is>
          <t>A 14586-2020</t>
        </is>
      </c>
      <c r="B422" s="1" t="n">
        <v>43908</v>
      </c>
      <c r="C422" s="1" t="n">
        <v>45258</v>
      </c>
      <c r="D422" t="inlineStr">
        <is>
          <t>VÄSTERNORRLANDS LÄN</t>
        </is>
      </c>
      <c r="E422" t="inlineStr">
        <is>
          <t>ÅNGE</t>
        </is>
      </c>
      <c r="G422" t="n">
        <v>1.3</v>
      </c>
      <c r="H422" t="n">
        <v>0</v>
      </c>
      <c r="I422" t="n">
        <v>0</v>
      </c>
      <c r="J422" t="n">
        <v>0</v>
      </c>
      <c r="K422" t="n">
        <v>0</v>
      </c>
      <c r="L422" t="n">
        <v>0</v>
      </c>
      <c r="M422" t="n">
        <v>0</v>
      </c>
      <c r="N422" t="n">
        <v>0</v>
      </c>
      <c r="O422" t="n">
        <v>0</v>
      </c>
      <c r="P422" t="n">
        <v>0</v>
      </c>
      <c r="Q422" t="n">
        <v>0</v>
      </c>
      <c r="R422" s="2" t="inlineStr"/>
    </row>
    <row r="423" ht="15" customHeight="1">
      <c r="A423" t="inlineStr">
        <is>
          <t>A 17101-2020</t>
        </is>
      </c>
      <c r="B423" s="1" t="n">
        <v>43914</v>
      </c>
      <c r="C423" s="1" t="n">
        <v>45258</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17098-2020</t>
        </is>
      </c>
      <c r="B424" s="1" t="n">
        <v>43914</v>
      </c>
      <c r="C424" s="1" t="n">
        <v>45258</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17007-2020</t>
        </is>
      </c>
      <c r="B425" s="1" t="n">
        <v>43921</v>
      </c>
      <c r="C425" s="1" t="n">
        <v>45258</v>
      </c>
      <c r="D425" t="inlineStr">
        <is>
          <t>VÄSTERNORRLANDS LÄN</t>
        </is>
      </c>
      <c r="E425" t="inlineStr">
        <is>
          <t>ÅNGE</t>
        </is>
      </c>
      <c r="G425" t="n">
        <v>1.3</v>
      </c>
      <c r="H425" t="n">
        <v>0</v>
      </c>
      <c r="I425" t="n">
        <v>0</v>
      </c>
      <c r="J425" t="n">
        <v>0</v>
      </c>
      <c r="K425" t="n">
        <v>0</v>
      </c>
      <c r="L425" t="n">
        <v>0</v>
      </c>
      <c r="M425" t="n">
        <v>0</v>
      </c>
      <c r="N425" t="n">
        <v>0</v>
      </c>
      <c r="O425" t="n">
        <v>0</v>
      </c>
      <c r="P425" t="n">
        <v>0</v>
      </c>
      <c r="Q425" t="n">
        <v>0</v>
      </c>
      <c r="R425" s="2" t="inlineStr"/>
    </row>
    <row r="426" ht="15" customHeight="1">
      <c r="A426" t="inlineStr">
        <is>
          <t>A 17069-2020</t>
        </is>
      </c>
      <c r="B426" s="1" t="n">
        <v>43921</v>
      </c>
      <c r="C426" s="1" t="n">
        <v>45258</v>
      </c>
      <c r="D426" t="inlineStr">
        <is>
          <t>VÄSTERNORRLANDS LÄN</t>
        </is>
      </c>
      <c r="E426" t="inlineStr">
        <is>
          <t>ÅNGE</t>
        </is>
      </c>
      <c r="F426" t="inlineStr">
        <is>
          <t>SCA</t>
        </is>
      </c>
      <c r="G426" t="n">
        <v>10.1</v>
      </c>
      <c r="H426" t="n">
        <v>0</v>
      </c>
      <c r="I426" t="n">
        <v>0</v>
      </c>
      <c r="J426" t="n">
        <v>0</v>
      </c>
      <c r="K426" t="n">
        <v>0</v>
      </c>
      <c r="L426" t="n">
        <v>0</v>
      </c>
      <c r="M426" t="n">
        <v>0</v>
      </c>
      <c r="N426" t="n">
        <v>0</v>
      </c>
      <c r="O426" t="n">
        <v>0</v>
      </c>
      <c r="P426" t="n">
        <v>0</v>
      </c>
      <c r="Q426" t="n">
        <v>0</v>
      </c>
      <c r="R426" s="2" t="inlineStr"/>
    </row>
    <row r="427" ht="15" customHeight="1">
      <c r="A427" t="inlineStr">
        <is>
          <t>A 19125-2020</t>
        </is>
      </c>
      <c r="B427" s="1" t="n">
        <v>43936</v>
      </c>
      <c r="C427" s="1" t="n">
        <v>45258</v>
      </c>
      <c r="D427" t="inlineStr">
        <is>
          <t>VÄSTERNORRLANDS LÄN</t>
        </is>
      </c>
      <c r="E427" t="inlineStr">
        <is>
          <t>ÅNGE</t>
        </is>
      </c>
      <c r="G427" t="n">
        <v>1.9</v>
      </c>
      <c r="H427" t="n">
        <v>0</v>
      </c>
      <c r="I427" t="n">
        <v>0</v>
      </c>
      <c r="J427" t="n">
        <v>0</v>
      </c>
      <c r="K427" t="n">
        <v>0</v>
      </c>
      <c r="L427" t="n">
        <v>0</v>
      </c>
      <c r="M427" t="n">
        <v>0</v>
      </c>
      <c r="N427" t="n">
        <v>0</v>
      </c>
      <c r="O427" t="n">
        <v>0</v>
      </c>
      <c r="P427" t="n">
        <v>0</v>
      </c>
      <c r="Q427" t="n">
        <v>0</v>
      </c>
      <c r="R427" s="2" t="inlineStr"/>
    </row>
    <row r="428" ht="15" customHeight="1">
      <c r="A428" t="inlineStr">
        <is>
          <t>A 19619-2020</t>
        </is>
      </c>
      <c r="B428" s="1" t="n">
        <v>43941</v>
      </c>
      <c r="C428" s="1" t="n">
        <v>45258</v>
      </c>
      <c r="D428" t="inlineStr">
        <is>
          <t>VÄSTERNORRLANDS LÄN</t>
        </is>
      </c>
      <c r="E428" t="inlineStr">
        <is>
          <t>ÅNGE</t>
        </is>
      </c>
      <c r="G428" t="n">
        <v>4.6</v>
      </c>
      <c r="H428" t="n">
        <v>0</v>
      </c>
      <c r="I428" t="n">
        <v>0</v>
      </c>
      <c r="J428" t="n">
        <v>0</v>
      </c>
      <c r="K428" t="n">
        <v>0</v>
      </c>
      <c r="L428" t="n">
        <v>0</v>
      </c>
      <c r="M428" t="n">
        <v>0</v>
      </c>
      <c r="N428" t="n">
        <v>0</v>
      </c>
      <c r="O428" t="n">
        <v>0</v>
      </c>
      <c r="P428" t="n">
        <v>0</v>
      </c>
      <c r="Q428" t="n">
        <v>0</v>
      </c>
      <c r="R428" s="2" t="inlineStr"/>
    </row>
    <row r="429" ht="15" customHeight="1">
      <c r="A429" t="inlineStr">
        <is>
          <t>A 20079-2020</t>
        </is>
      </c>
      <c r="B429" s="1" t="n">
        <v>43943</v>
      </c>
      <c r="C429" s="1" t="n">
        <v>45258</v>
      </c>
      <c r="D429" t="inlineStr">
        <is>
          <t>VÄSTERNORRLANDS LÄN</t>
        </is>
      </c>
      <c r="E429" t="inlineStr">
        <is>
          <t>ÅNGE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20211-2020</t>
        </is>
      </c>
      <c r="B430" s="1" t="n">
        <v>43944</v>
      </c>
      <c r="C430" s="1" t="n">
        <v>45258</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20192-2020</t>
        </is>
      </c>
      <c r="B431" s="1" t="n">
        <v>43944</v>
      </c>
      <c r="C431" s="1" t="n">
        <v>45258</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20820-2020</t>
        </is>
      </c>
      <c r="B432" s="1" t="n">
        <v>43949</v>
      </c>
      <c r="C432" s="1" t="n">
        <v>45258</v>
      </c>
      <c r="D432" t="inlineStr">
        <is>
          <t>VÄSTERNORRLANDS LÄN</t>
        </is>
      </c>
      <c r="E432" t="inlineStr">
        <is>
          <t>ÅNGE</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21207-2020</t>
        </is>
      </c>
      <c r="B433" s="1" t="n">
        <v>43951</v>
      </c>
      <c r="C433" s="1" t="n">
        <v>45258</v>
      </c>
      <c r="D433" t="inlineStr">
        <is>
          <t>VÄSTERNORRLANDS LÄN</t>
        </is>
      </c>
      <c r="E433" t="inlineStr">
        <is>
          <t>ÅNGE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21763-2020</t>
        </is>
      </c>
      <c r="B434" s="1" t="n">
        <v>43957</v>
      </c>
      <c r="C434" s="1" t="n">
        <v>45258</v>
      </c>
      <c r="D434" t="inlineStr">
        <is>
          <t>VÄSTERNORRLANDS LÄN</t>
        </is>
      </c>
      <c r="E434" t="inlineStr">
        <is>
          <t>ÅNGE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22041-2020</t>
        </is>
      </c>
      <c r="B435" s="1" t="n">
        <v>43959</v>
      </c>
      <c r="C435" s="1" t="n">
        <v>45258</v>
      </c>
      <c r="D435" t="inlineStr">
        <is>
          <t>VÄSTERNORRLANDS LÄN</t>
        </is>
      </c>
      <c r="E435" t="inlineStr">
        <is>
          <t>ÅNGE</t>
        </is>
      </c>
      <c r="G435" t="n">
        <v>4.5</v>
      </c>
      <c r="H435" t="n">
        <v>0</v>
      </c>
      <c r="I435" t="n">
        <v>0</v>
      </c>
      <c r="J435" t="n">
        <v>0</v>
      </c>
      <c r="K435" t="n">
        <v>0</v>
      </c>
      <c r="L435" t="n">
        <v>0</v>
      </c>
      <c r="M435" t="n">
        <v>0</v>
      </c>
      <c r="N435" t="n">
        <v>0</v>
      </c>
      <c r="O435" t="n">
        <v>0</v>
      </c>
      <c r="P435" t="n">
        <v>0</v>
      </c>
      <c r="Q435" t="n">
        <v>0</v>
      </c>
      <c r="R435" s="2" t="inlineStr"/>
    </row>
    <row r="436" ht="15" customHeight="1">
      <c r="A436" t="inlineStr">
        <is>
          <t>A 22039-2020</t>
        </is>
      </c>
      <c r="B436" s="1" t="n">
        <v>43959</v>
      </c>
      <c r="C436" s="1" t="n">
        <v>45258</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22552-2020</t>
        </is>
      </c>
      <c r="B437" s="1" t="n">
        <v>43963</v>
      </c>
      <c r="C437" s="1" t="n">
        <v>45258</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22690-2020</t>
        </is>
      </c>
      <c r="B438" s="1" t="n">
        <v>43963</v>
      </c>
      <c r="C438" s="1" t="n">
        <v>45258</v>
      </c>
      <c r="D438" t="inlineStr">
        <is>
          <t>VÄSTERNORRLANDS LÄN</t>
        </is>
      </c>
      <c r="E438" t="inlineStr">
        <is>
          <t>ÅNGE</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22911-2020</t>
        </is>
      </c>
      <c r="B439" s="1" t="n">
        <v>43964</v>
      </c>
      <c r="C439" s="1" t="n">
        <v>45258</v>
      </c>
      <c r="D439" t="inlineStr">
        <is>
          <t>VÄSTERNORRLANDS LÄN</t>
        </is>
      </c>
      <c r="E439" t="inlineStr">
        <is>
          <t>ÅNGE</t>
        </is>
      </c>
      <c r="G439" t="n">
        <v>0.9</v>
      </c>
      <c r="H439" t="n">
        <v>0</v>
      </c>
      <c r="I439" t="n">
        <v>0</v>
      </c>
      <c r="J439" t="n">
        <v>0</v>
      </c>
      <c r="K439" t="n">
        <v>0</v>
      </c>
      <c r="L439" t="n">
        <v>0</v>
      </c>
      <c r="M439" t="n">
        <v>0</v>
      </c>
      <c r="N439" t="n">
        <v>0</v>
      </c>
      <c r="O439" t="n">
        <v>0</v>
      </c>
      <c r="P439" t="n">
        <v>0</v>
      </c>
      <c r="Q439" t="n">
        <v>0</v>
      </c>
      <c r="R439" s="2" t="inlineStr"/>
    </row>
    <row r="440" ht="15" customHeight="1">
      <c r="A440" t="inlineStr">
        <is>
          <t>A 22907-2020</t>
        </is>
      </c>
      <c r="B440" s="1" t="n">
        <v>43964</v>
      </c>
      <c r="C440" s="1" t="n">
        <v>45258</v>
      </c>
      <c r="D440" t="inlineStr">
        <is>
          <t>VÄSTERNORRLANDS LÄN</t>
        </is>
      </c>
      <c r="E440" t="inlineStr">
        <is>
          <t>ÅNGE</t>
        </is>
      </c>
      <c r="G440" t="n">
        <v>2.9</v>
      </c>
      <c r="H440" t="n">
        <v>0</v>
      </c>
      <c r="I440" t="n">
        <v>0</v>
      </c>
      <c r="J440" t="n">
        <v>0</v>
      </c>
      <c r="K440" t="n">
        <v>0</v>
      </c>
      <c r="L440" t="n">
        <v>0</v>
      </c>
      <c r="M440" t="n">
        <v>0</v>
      </c>
      <c r="N440" t="n">
        <v>0</v>
      </c>
      <c r="O440" t="n">
        <v>0</v>
      </c>
      <c r="P440" t="n">
        <v>0</v>
      </c>
      <c r="Q440" t="n">
        <v>0</v>
      </c>
      <c r="R440" s="2" t="inlineStr"/>
    </row>
    <row r="441" ht="15" customHeight="1">
      <c r="A441" t="inlineStr">
        <is>
          <t>A 22909-2020</t>
        </is>
      </c>
      <c r="B441" s="1" t="n">
        <v>43964</v>
      </c>
      <c r="C441" s="1" t="n">
        <v>45258</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23352-2020</t>
        </is>
      </c>
      <c r="B442" s="1" t="n">
        <v>43966</v>
      </c>
      <c r="C442" s="1" t="n">
        <v>45258</v>
      </c>
      <c r="D442" t="inlineStr">
        <is>
          <t>VÄSTERNORRLANDS LÄN</t>
        </is>
      </c>
      <c r="E442" t="inlineStr">
        <is>
          <t>ÅNGE</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23660-2020</t>
        </is>
      </c>
      <c r="B443" s="1" t="n">
        <v>43969</v>
      </c>
      <c r="C443" s="1" t="n">
        <v>45258</v>
      </c>
      <c r="D443" t="inlineStr">
        <is>
          <t>VÄSTERNORRLANDS LÄN</t>
        </is>
      </c>
      <c r="E443" t="inlineStr">
        <is>
          <t>ÅNGE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24353-2020</t>
        </is>
      </c>
      <c r="B444" s="1" t="n">
        <v>43976</v>
      </c>
      <c r="C444" s="1" t="n">
        <v>45258</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24411-2020</t>
        </is>
      </c>
      <c r="B445" s="1" t="n">
        <v>43976</v>
      </c>
      <c r="C445" s="1" t="n">
        <v>45258</v>
      </c>
      <c r="D445" t="inlineStr">
        <is>
          <t>VÄSTERNORRLANDS LÄN</t>
        </is>
      </c>
      <c r="E445" t="inlineStr">
        <is>
          <t>ÅNGE</t>
        </is>
      </c>
      <c r="G445" t="n">
        <v>5.6</v>
      </c>
      <c r="H445" t="n">
        <v>0</v>
      </c>
      <c r="I445" t="n">
        <v>0</v>
      </c>
      <c r="J445" t="n">
        <v>0</v>
      </c>
      <c r="K445" t="n">
        <v>0</v>
      </c>
      <c r="L445" t="n">
        <v>0</v>
      </c>
      <c r="M445" t="n">
        <v>0</v>
      </c>
      <c r="N445" t="n">
        <v>0</v>
      </c>
      <c r="O445" t="n">
        <v>0</v>
      </c>
      <c r="P445" t="n">
        <v>0</v>
      </c>
      <c r="Q445" t="n">
        <v>0</v>
      </c>
      <c r="R445" s="2" t="inlineStr"/>
    </row>
    <row r="446" ht="15" customHeight="1">
      <c r="A446" t="inlineStr">
        <is>
          <t>A 24361-2020</t>
        </is>
      </c>
      <c r="B446" s="1" t="n">
        <v>43976</v>
      </c>
      <c r="C446" s="1" t="n">
        <v>45258</v>
      </c>
      <c r="D446" t="inlineStr">
        <is>
          <t>VÄSTERNORRLANDS LÄN</t>
        </is>
      </c>
      <c r="E446" t="inlineStr">
        <is>
          <t>ÅNGE</t>
        </is>
      </c>
      <c r="G446" t="n">
        <v>4</v>
      </c>
      <c r="H446" t="n">
        <v>0</v>
      </c>
      <c r="I446" t="n">
        <v>0</v>
      </c>
      <c r="J446" t="n">
        <v>0</v>
      </c>
      <c r="K446" t="n">
        <v>0</v>
      </c>
      <c r="L446" t="n">
        <v>0</v>
      </c>
      <c r="M446" t="n">
        <v>0</v>
      </c>
      <c r="N446" t="n">
        <v>0</v>
      </c>
      <c r="O446" t="n">
        <v>0</v>
      </c>
      <c r="P446" t="n">
        <v>0</v>
      </c>
      <c r="Q446" t="n">
        <v>0</v>
      </c>
      <c r="R446" s="2" t="inlineStr"/>
    </row>
    <row r="447" ht="15" customHeight="1">
      <c r="A447" t="inlineStr">
        <is>
          <t>A 24696-2020</t>
        </is>
      </c>
      <c r="B447" s="1" t="n">
        <v>43978</v>
      </c>
      <c r="C447" s="1" t="n">
        <v>45258</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24857-2020</t>
        </is>
      </c>
      <c r="B448" s="1" t="n">
        <v>43978</v>
      </c>
      <c r="C448" s="1" t="n">
        <v>45258</v>
      </c>
      <c r="D448" t="inlineStr">
        <is>
          <t>VÄSTERNORRLANDS LÄN</t>
        </is>
      </c>
      <c r="E448" t="inlineStr">
        <is>
          <t>ÅNGE</t>
        </is>
      </c>
      <c r="G448" t="n">
        <v>5</v>
      </c>
      <c r="H448" t="n">
        <v>0</v>
      </c>
      <c r="I448" t="n">
        <v>0</v>
      </c>
      <c r="J448" t="n">
        <v>0</v>
      </c>
      <c r="K448" t="n">
        <v>0</v>
      </c>
      <c r="L448" t="n">
        <v>0</v>
      </c>
      <c r="M448" t="n">
        <v>0</v>
      </c>
      <c r="N448" t="n">
        <v>0</v>
      </c>
      <c r="O448" t="n">
        <v>0</v>
      </c>
      <c r="P448" t="n">
        <v>0</v>
      </c>
      <c r="Q448" t="n">
        <v>0</v>
      </c>
      <c r="R448" s="2" t="inlineStr"/>
    </row>
    <row r="449" ht="15" customHeight="1">
      <c r="A449" t="inlineStr">
        <is>
          <t>A 24859-2020</t>
        </is>
      </c>
      <c r="B449" s="1" t="n">
        <v>43978</v>
      </c>
      <c r="C449" s="1" t="n">
        <v>45258</v>
      </c>
      <c r="D449" t="inlineStr">
        <is>
          <t>VÄSTERNORRLANDS LÄN</t>
        </is>
      </c>
      <c r="E449" t="inlineStr">
        <is>
          <t>ÅNGE</t>
        </is>
      </c>
      <c r="G449" t="n">
        <v>3.7</v>
      </c>
      <c r="H449" t="n">
        <v>0</v>
      </c>
      <c r="I449" t="n">
        <v>0</v>
      </c>
      <c r="J449" t="n">
        <v>0</v>
      </c>
      <c r="K449" t="n">
        <v>0</v>
      </c>
      <c r="L449" t="n">
        <v>0</v>
      </c>
      <c r="M449" t="n">
        <v>0</v>
      </c>
      <c r="N449" t="n">
        <v>0</v>
      </c>
      <c r="O449" t="n">
        <v>0</v>
      </c>
      <c r="P449" t="n">
        <v>0</v>
      </c>
      <c r="Q449" t="n">
        <v>0</v>
      </c>
      <c r="R449" s="2" t="inlineStr"/>
    </row>
    <row r="450" ht="15" customHeight="1">
      <c r="A450" t="inlineStr">
        <is>
          <t>A 25370-2020</t>
        </is>
      </c>
      <c r="B450" s="1" t="n">
        <v>43980</v>
      </c>
      <c r="C450" s="1" t="n">
        <v>45258</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26447-2020</t>
        </is>
      </c>
      <c r="B451" s="1" t="n">
        <v>43987</v>
      </c>
      <c r="C451" s="1" t="n">
        <v>45258</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27773-2020</t>
        </is>
      </c>
      <c r="B452" s="1" t="n">
        <v>43992</v>
      </c>
      <c r="C452" s="1" t="n">
        <v>45258</v>
      </c>
      <c r="D452" t="inlineStr">
        <is>
          <t>VÄSTERNORRLANDS LÄN</t>
        </is>
      </c>
      <c r="E452" t="inlineStr">
        <is>
          <t>ÅNGE</t>
        </is>
      </c>
      <c r="G452" t="n">
        <v>7.2</v>
      </c>
      <c r="H452" t="n">
        <v>0</v>
      </c>
      <c r="I452" t="n">
        <v>0</v>
      </c>
      <c r="J452" t="n">
        <v>0</v>
      </c>
      <c r="K452" t="n">
        <v>0</v>
      </c>
      <c r="L452" t="n">
        <v>0</v>
      </c>
      <c r="M452" t="n">
        <v>0</v>
      </c>
      <c r="N452" t="n">
        <v>0</v>
      </c>
      <c r="O452" t="n">
        <v>0</v>
      </c>
      <c r="P452" t="n">
        <v>0</v>
      </c>
      <c r="Q452" t="n">
        <v>0</v>
      </c>
      <c r="R452" s="2" t="inlineStr"/>
    </row>
    <row r="453" ht="15" customHeight="1">
      <c r="A453" t="inlineStr">
        <is>
          <t>A 28064-2020</t>
        </is>
      </c>
      <c r="B453" s="1" t="n">
        <v>43997</v>
      </c>
      <c r="C453" s="1" t="n">
        <v>45258</v>
      </c>
      <c r="D453" t="inlineStr">
        <is>
          <t>VÄSTERNORRLANDS LÄN</t>
        </is>
      </c>
      <c r="E453" t="inlineStr">
        <is>
          <t>ÅNGE</t>
        </is>
      </c>
      <c r="G453" t="n">
        <v>3.7</v>
      </c>
      <c r="H453" t="n">
        <v>0</v>
      </c>
      <c r="I453" t="n">
        <v>0</v>
      </c>
      <c r="J453" t="n">
        <v>0</v>
      </c>
      <c r="K453" t="n">
        <v>0</v>
      </c>
      <c r="L453" t="n">
        <v>0</v>
      </c>
      <c r="M453" t="n">
        <v>0</v>
      </c>
      <c r="N453" t="n">
        <v>0</v>
      </c>
      <c r="O453" t="n">
        <v>0</v>
      </c>
      <c r="P453" t="n">
        <v>0</v>
      </c>
      <c r="Q453" t="n">
        <v>0</v>
      </c>
      <c r="R453" s="2" t="inlineStr"/>
    </row>
    <row r="454" ht="15" customHeight="1">
      <c r="A454" t="inlineStr">
        <is>
          <t>A 28890-2020</t>
        </is>
      </c>
      <c r="B454" s="1" t="n">
        <v>44000</v>
      </c>
      <c r="C454" s="1" t="n">
        <v>45258</v>
      </c>
      <c r="D454" t="inlineStr">
        <is>
          <t>VÄSTERNORRLANDS LÄN</t>
        </is>
      </c>
      <c r="E454" t="inlineStr">
        <is>
          <t>ÅNGE</t>
        </is>
      </c>
      <c r="G454" t="n">
        <v>15.2</v>
      </c>
      <c r="H454" t="n">
        <v>0</v>
      </c>
      <c r="I454" t="n">
        <v>0</v>
      </c>
      <c r="J454" t="n">
        <v>0</v>
      </c>
      <c r="K454" t="n">
        <v>0</v>
      </c>
      <c r="L454" t="n">
        <v>0</v>
      </c>
      <c r="M454" t="n">
        <v>0</v>
      </c>
      <c r="N454" t="n">
        <v>0</v>
      </c>
      <c r="O454" t="n">
        <v>0</v>
      </c>
      <c r="P454" t="n">
        <v>0</v>
      </c>
      <c r="Q454" t="n">
        <v>0</v>
      </c>
      <c r="R454" s="2" t="inlineStr"/>
    </row>
    <row r="455" ht="15" customHeight="1">
      <c r="A455" t="inlineStr">
        <is>
          <t>A 28832-2020</t>
        </is>
      </c>
      <c r="B455" s="1" t="n">
        <v>44000</v>
      </c>
      <c r="C455" s="1" t="n">
        <v>45258</v>
      </c>
      <c r="D455" t="inlineStr">
        <is>
          <t>VÄSTERNORRLANDS LÄN</t>
        </is>
      </c>
      <c r="E455" t="inlineStr">
        <is>
          <t>ÅNGE</t>
        </is>
      </c>
      <c r="G455" t="n">
        <v>4</v>
      </c>
      <c r="H455" t="n">
        <v>0</v>
      </c>
      <c r="I455" t="n">
        <v>0</v>
      </c>
      <c r="J455" t="n">
        <v>0</v>
      </c>
      <c r="K455" t="n">
        <v>0</v>
      </c>
      <c r="L455" t="n">
        <v>0</v>
      </c>
      <c r="M455" t="n">
        <v>0</v>
      </c>
      <c r="N455" t="n">
        <v>0</v>
      </c>
      <c r="O455" t="n">
        <v>0</v>
      </c>
      <c r="P455" t="n">
        <v>0</v>
      </c>
      <c r="Q455" t="n">
        <v>0</v>
      </c>
      <c r="R455" s="2" t="inlineStr"/>
    </row>
    <row r="456" ht="15" customHeight="1">
      <c r="A456" t="inlineStr">
        <is>
          <t>A 29950-2020</t>
        </is>
      </c>
      <c r="B456" s="1" t="n">
        <v>44006</v>
      </c>
      <c r="C456" s="1" t="n">
        <v>45258</v>
      </c>
      <c r="D456" t="inlineStr">
        <is>
          <t>VÄSTERNORRLANDS LÄN</t>
        </is>
      </c>
      <c r="E456" t="inlineStr">
        <is>
          <t>ÅNGE</t>
        </is>
      </c>
      <c r="G456" t="n">
        <v>3.9</v>
      </c>
      <c r="H456" t="n">
        <v>0</v>
      </c>
      <c r="I456" t="n">
        <v>0</v>
      </c>
      <c r="J456" t="n">
        <v>0</v>
      </c>
      <c r="K456" t="n">
        <v>0</v>
      </c>
      <c r="L456" t="n">
        <v>0</v>
      </c>
      <c r="M456" t="n">
        <v>0</v>
      </c>
      <c r="N456" t="n">
        <v>0</v>
      </c>
      <c r="O456" t="n">
        <v>0</v>
      </c>
      <c r="P456" t="n">
        <v>0</v>
      </c>
      <c r="Q456" t="n">
        <v>0</v>
      </c>
      <c r="R456" s="2" t="inlineStr"/>
    </row>
    <row r="457" ht="15" customHeight="1">
      <c r="A457" t="inlineStr">
        <is>
          <t>A 31079-2020</t>
        </is>
      </c>
      <c r="B457" s="1" t="n">
        <v>44011</v>
      </c>
      <c r="C457" s="1" t="n">
        <v>45258</v>
      </c>
      <c r="D457" t="inlineStr">
        <is>
          <t>VÄSTERNORRLANDS LÄN</t>
        </is>
      </c>
      <c r="E457" t="inlineStr">
        <is>
          <t>ÅNGE</t>
        </is>
      </c>
      <c r="G457" t="n">
        <v>2.1</v>
      </c>
      <c r="H457" t="n">
        <v>0</v>
      </c>
      <c r="I457" t="n">
        <v>0</v>
      </c>
      <c r="J457" t="n">
        <v>0</v>
      </c>
      <c r="K457" t="n">
        <v>0</v>
      </c>
      <c r="L457" t="n">
        <v>0</v>
      </c>
      <c r="M457" t="n">
        <v>0</v>
      </c>
      <c r="N457" t="n">
        <v>0</v>
      </c>
      <c r="O457" t="n">
        <v>0</v>
      </c>
      <c r="P457" t="n">
        <v>0</v>
      </c>
      <c r="Q457" t="n">
        <v>0</v>
      </c>
      <c r="R457" s="2" t="inlineStr"/>
    </row>
    <row r="458" ht="15" customHeight="1">
      <c r="A458" t="inlineStr">
        <is>
          <t>A 31643-2020</t>
        </is>
      </c>
      <c r="B458" s="1" t="n">
        <v>44013</v>
      </c>
      <c r="C458" s="1" t="n">
        <v>45258</v>
      </c>
      <c r="D458" t="inlineStr">
        <is>
          <t>VÄSTERNORRLANDS LÄN</t>
        </is>
      </c>
      <c r="E458" t="inlineStr">
        <is>
          <t>ÅNGE</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31867-2020</t>
        </is>
      </c>
      <c r="B459" s="1" t="n">
        <v>44014</v>
      </c>
      <c r="C459" s="1" t="n">
        <v>45258</v>
      </c>
      <c r="D459" t="inlineStr">
        <is>
          <t>VÄSTERNORRLANDS LÄN</t>
        </is>
      </c>
      <c r="E459" t="inlineStr">
        <is>
          <t>ÅNGE</t>
        </is>
      </c>
      <c r="G459" t="n">
        <v>1.5</v>
      </c>
      <c r="H459" t="n">
        <v>0</v>
      </c>
      <c r="I459" t="n">
        <v>0</v>
      </c>
      <c r="J459" t="n">
        <v>0</v>
      </c>
      <c r="K459" t="n">
        <v>0</v>
      </c>
      <c r="L459" t="n">
        <v>0</v>
      </c>
      <c r="M459" t="n">
        <v>0</v>
      </c>
      <c r="N459" t="n">
        <v>0</v>
      </c>
      <c r="O459" t="n">
        <v>0</v>
      </c>
      <c r="P459" t="n">
        <v>0</v>
      </c>
      <c r="Q459" t="n">
        <v>0</v>
      </c>
      <c r="R459" s="2" t="inlineStr"/>
    </row>
    <row r="460" ht="15" customHeight="1">
      <c r="A460" t="inlineStr">
        <is>
          <t>A 31926-2020</t>
        </is>
      </c>
      <c r="B460" s="1" t="n">
        <v>44014</v>
      </c>
      <c r="C460" s="1" t="n">
        <v>45258</v>
      </c>
      <c r="D460" t="inlineStr">
        <is>
          <t>VÄSTERNORRLANDS LÄN</t>
        </is>
      </c>
      <c r="E460" t="inlineStr">
        <is>
          <t>ÅNGE</t>
        </is>
      </c>
      <c r="G460" t="n">
        <v>2.3</v>
      </c>
      <c r="H460" t="n">
        <v>0</v>
      </c>
      <c r="I460" t="n">
        <v>0</v>
      </c>
      <c r="J460" t="n">
        <v>0</v>
      </c>
      <c r="K460" t="n">
        <v>0</v>
      </c>
      <c r="L460" t="n">
        <v>0</v>
      </c>
      <c r="M460" t="n">
        <v>0</v>
      </c>
      <c r="N460" t="n">
        <v>0</v>
      </c>
      <c r="O460" t="n">
        <v>0</v>
      </c>
      <c r="P460" t="n">
        <v>0</v>
      </c>
      <c r="Q460" t="n">
        <v>0</v>
      </c>
      <c r="R460" s="2" t="inlineStr"/>
    </row>
    <row r="461" ht="15" customHeight="1">
      <c r="A461" t="inlineStr">
        <is>
          <t>A 32299-2020</t>
        </is>
      </c>
      <c r="B461" s="1" t="n">
        <v>44015</v>
      </c>
      <c r="C461" s="1" t="n">
        <v>45258</v>
      </c>
      <c r="D461" t="inlineStr">
        <is>
          <t>VÄSTERNORRLANDS LÄN</t>
        </is>
      </c>
      <c r="E461" t="inlineStr">
        <is>
          <t>ÅNGE</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32303-2020</t>
        </is>
      </c>
      <c r="B462" s="1" t="n">
        <v>44015</v>
      </c>
      <c r="C462" s="1" t="n">
        <v>45258</v>
      </c>
      <c r="D462" t="inlineStr">
        <is>
          <t>VÄSTERNORRLANDS LÄN</t>
        </is>
      </c>
      <c r="E462" t="inlineStr">
        <is>
          <t>ÅNGE</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32760-2020</t>
        </is>
      </c>
      <c r="B463" s="1" t="n">
        <v>44019</v>
      </c>
      <c r="C463" s="1" t="n">
        <v>45258</v>
      </c>
      <c r="D463" t="inlineStr">
        <is>
          <t>VÄSTERNORRLANDS LÄN</t>
        </is>
      </c>
      <c r="E463" t="inlineStr">
        <is>
          <t>ÅNGE</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33442-2020</t>
        </is>
      </c>
      <c r="B464" s="1" t="n">
        <v>44023</v>
      </c>
      <c r="C464" s="1" t="n">
        <v>45258</v>
      </c>
      <c r="D464" t="inlineStr">
        <is>
          <t>VÄSTERNORRLANDS LÄN</t>
        </is>
      </c>
      <c r="E464" t="inlineStr">
        <is>
          <t>ÅNGE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33619-2020</t>
        </is>
      </c>
      <c r="B465" s="1" t="n">
        <v>44026</v>
      </c>
      <c r="C465" s="1" t="n">
        <v>45258</v>
      </c>
      <c r="D465" t="inlineStr">
        <is>
          <t>VÄSTERNORRLANDS LÄN</t>
        </is>
      </c>
      <c r="E465" t="inlineStr">
        <is>
          <t>ÅNGE</t>
        </is>
      </c>
      <c r="G465" t="n">
        <v>1.4</v>
      </c>
      <c r="H465" t="n">
        <v>0</v>
      </c>
      <c r="I465" t="n">
        <v>0</v>
      </c>
      <c r="J465" t="n">
        <v>0</v>
      </c>
      <c r="K465" t="n">
        <v>0</v>
      </c>
      <c r="L465" t="n">
        <v>0</v>
      </c>
      <c r="M465" t="n">
        <v>0</v>
      </c>
      <c r="N465" t="n">
        <v>0</v>
      </c>
      <c r="O465" t="n">
        <v>0</v>
      </c>
      <c r="P465" t="n">
        <v>0</v>
      </c>
      <c r="Q465" t="n">
        <v>0</v>
      </c>
      <c r="R465" s="2" t="inlineStr"/>
    </row>
    <row r="466" ht="15" customHeight="1">
      <c r="A466" t="inlineStr">
        <is>
          <t>A 33524-2020</t>
        </is>
      </c>
      <c r="B466" s="1" t="n">
        <v>44025</v>
      </c>
      <c r="C466" s="1" t="n">
        <v>45258</v>
      </c>
      <c r="D466" t="inlineStr">
        <is>
          <t>VÄSTERNORRLANDS LÄN</t>
        </is>
      </c>
      <c r="E466" t="inlineStr">
        <is>
          <t>ÅNGE</t>
        </is>
      </c>
      <c r="G466" t="n">
        <v>2.8</v>
      </c>
      <c r="H466" t="n">
        <v>0</v>
      </c>
      <c r="I466" t="n">
        <v>0</v>
      </c>
      <c r="J466" t="n">
        <v>0</v>
      </c>
      <c r="K466" t="n">
        <v>0</v>
      </c>
      <c r="L466" t="n">
        <v>0</v>
      </c>
      <c r="M466" t="n">
        <v>0</v>
      </c>
      <c r="N466" t="n">
        <v>0</v>
      </c>
      <c r="O466" t="n">
        <v>0</v>
      </c>
      <c r="P466" t="n">
        <v>0</v>
      </c>
      <c r="Q466" t="n">
        <v>0</v>
      </c>
      <c r="R466" s="2" t="inlineStr"/>
    </row>
    <row r="467" ht="15" customHeight="1">
      <c r="A467" t="inlineStr">
        <is>
          <t>A 34175-2020</t>
        </is>
      </c>
      <c r="B467" s="1" t="n">
        <v>44029</v>
      </c>
      <c r="C467" s="1" t="n">
        <v>45258</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34237-2020</t>
        </is>
      </c>
      <c r="B468" s="1" t="n">
        <v>44029</v>
      </c>
      <c r="C468" s="1" t="n">
        <v>45258</v>
      </c>
      <c r="D468" t="inlineStr">
        <is>
          <t>VÄSTERNORRLANDS LÄN</t>
        </is>
      </c>
      <c r="E468" t="inlineStr">
        <is>
          <t>ÅNGE</t>
        </is>
      </c>
      <c r="G468" t="n">
        <v>5.3</v>
      </c>
      <c r="H468" t="n">
        <v>0</v>
      </c>
      <c r="I468" t="n">
        <v>0</v>
      </c>
      <c r="J468" t="n">
        <v>0</v>
      </c>
      <c r="K468" t="n">
        <v>0</v>
      </c>
      <c r="L468" t="n">
        <v>0</v>
      </c>
      <c r="M468" t="n">
        <v>0</v>
      </c>
      <c r="N468" t="n">
        <v>0</v>
      </c>
      <c r="O468" t="n">
        <v>0</v>
      </c>
      <c r="P468" t="n">
        <v>0</v>
      </c>
      <c r="Q468" t="n">
        <v>0</v>
      </c>
      <c r="R468" s="2" t="inlineStr"/>
    </row>
    <row r="469" ht="15" customHeight="1">
      <c r="A469" t="inlineStr">
        <is>
          <t>A 34420-2020</t>
        </is>
      </c>
      <c r="B469" s="1" t="n">
        <v>44032</v>
      </c>
      <c r="C469" s="1" t="n">
        <v>45258</v>
      </c>
      <c r="D469" t="inlineStr">
        <is>
          <t>VÄSTERNORRLANDS LÄN</t>
        </is>
      </c>
      <c r="E469" t="inlineStr">
        <is>
          <t>ÅNGE</t>
        </is>
      </c>
      <c r="G469" t="n">
        <v>13.9</v>
      </c>
      <c r="H469" t="n">
        <v>0</v>
      </c>
      <c r="I469" t="n">
        <v>0</v>
      </c>
      <c r="J469" t="n">
        <v>0</v>
      </c>
      <c r="K469" t="n">
        <v>0</v>
      </c>
      <c r="L469" t="n">
        <v>0</v>
      </c>
      <c r="M469" t="n">
        <v>0</v>
      </c>
      <c r="N469" t="n">
        <v>0</v>
      </c>
      <c r="O469" t="n">
        <v>0</v>
      </c>
      <c r="P469" t="n">
        <v>0</v>
      </c>
      <c r="Q469" t="n">
        <v>0</v>
      </c>
      <c r="R469" s="2" t="inlineStr"/>
    </row>
    <row r="470" ht="15" customHeight="1">
      <c r="A470" t="inlineStr">
        <is>
          <t>A 34400-2020</t>
        </is>
      </c>
      <c r="B470" s="1" t="n">
        <v>44032</v>
      </c>
      <c r="C470" s="1" t="n">
        <v>45258</v>
      </c>
      <c r="D470" t="inlineStr">
        <is>
          <t>VÄSTERNORRLANDS LÄN</t>
        </is>
      </c>
      <c r="E470" t="inlineStr">
        <is>
          <t>ÅNGE</t>
        </is>
      </c>
      <c r="G470" t="n">
        <v>3.8</v>
      </c>
      <c r="H470" t="n">
        <v>0</v>
      </c>
      <c r="I470" t="n">
        <v>0</v>
      </c>
      <c r="J470" t="n">
        <v>0</v>
      </c>
      <c r="K470" t="n">
        <v>0</v>
      </c>
      <c r="L470" t="n">
        <v>0</v>
      </c>
      <c r="M470" t="n">
        <v>0</v>
      </c>
      <c r="N470" t="n">
        <v>0</v>
      </c>
      <c r="O470" t="n">
        <v>0</v>
      </c>
      <c r="P470" t="n">
        <v>0</v>
      </c>
      <c r="Q470" t="n">
        <v>0</v>
      </c>
      <c r="R470" s="2" t="inlineStr"/>
    </row>
    <row r="471" ht="15" customHeight="1">
      <c r="A471" t="inlineStr">
        <is>
          <t>A 34677-2020</t>
        </is>
      </c>
      <c r="B471" s="1" t="n">
        <v>44035</v>
      </c>
      <c r="C471" s="1" t="n">
        <v>45258</v>
      </c>
      <c r="D471" t="inlineStr">
        <is>
          <t>VÄSTERNORRLANDS LÄN</t>
        </is>
      </c>
      <c r="E471" t="inlineStr">
        <is>
          <t>ÅNGE</t>
        </is>
      </c>
      <c r="G471" t="n">
        <v>6.5</v>
      </c>
      <c r="H471" t="n">
        <v>0</v>
      </c>
      <c r="I471" t="n">
        <v>0</v>
      </c>
      <c r="J471" t="n">
        <v>0</v>
      </c>
      <c r="K471" t="n">
        <v>0</v>
      </c>
      <c r="L471" t="n">
        <v>0</v>
      </c>
      <c r="M471" t="n">
        <v>0</v>
      </c>
      <c r="N471" t="n">
        <v>0</v>
      </c>
      <c r="O471" t="n">
        <v>0</v>
      </c>
      <c r="P471" t="n">
        <v>0</v>
      </c>
      <c r="Q471" t="n">
        <v>0</v>
      </c>
      <c r="R471" s="2" t="inlineStr"/>
    </row>
    <row r="472" ht="15" customHeight="1">
      <c r="A472" t="inlineStr">
        <is>
          <t>A 34777-2020</t>
        </is>
      </c>
      <c r="B472" s="1" t="n">
        <v>44035</v>
      </c>
      <c r="C472" s="1" t="n">
        <v>45258</v>
      </c>
      <c r="D472" t="inlineStr">
        <is>
          <t>VÄSTERNORRLANDS LÄN</t>
        </is>
      </c>
      <c r="E472" t="inlineStr">
        <is>
          <t>ÅNGE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34928-2020</t>
        </is>
      </c>
      <c r="B473" s="1" t="n">
        <v>44036</v>
      </c>
      <c r="C473" s="1" t="n">
        <v>45258</v>
      </c>
      <c r="D473" t="inlineStr">
        <is>
          <t>VÄSTERNORRLANDS LÄN</t>
        </is>
      </c>
      <c r="E473" t="inlineStr">
        <is>
          <t>ÅNGE</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34974-2020</t>
        </is>
      </c>
      <c r="B474" s="1" t="n">
        <v>44039</v>
      </c>
      <c r="C474" s="1" t="n">
        <v>45258</v>
      </c>
      <c r="D474" t="inlineStr">
        <is>
          <t>VÄSTERNORRLANDS LÄN</t>
        </is>
      </c>
      <c r="E474" t="inlineStr">
        <is>
          <t>ÅNGE</t>
        </is>
      </c>
      <c r="G474" t="n">
        <v>3.4</v>
      </c>
      <c r="H474" t="n">
        <v>0</v>
      </c>
      <c r="I474" t="n">
        <v>0</v>
      </c>
      <c r="J474" t="n">
        <v>0</v>
      </c>
      <c r="K474" t="n">
        <v>0</v>
      </c>
      <c r="L474" t="n">
        <v>0</v>
      </c>
      <c r="M474" t="n">
        <v>0</v>
      </c>
      <c r="N474" t="n">
        <v>0</v>
      </c>
      <c r="O474" t="n">
        <v>0</v>
      </c>
      <c r="P474" t="n">
        <v>0</v>
      </c>
      <c r="Q474" t="n">
        <v>0</v>
      </c>
      <c r="R474" s="2" t="inlineStr"/>
    </row>
    <row r="475" ht="15" customHeight="1">
      <c r="A475" t="inlineStr">
        <is>
          <t>A 35419-2020</t>
        </is>
      </c>
      <c r="B475" s="1" t="n">
        <v>44042</v>
      </c>
      <c r="C475" s="1" t="n">
        <v>45258</v>
      </c>
      <c r="D475" t="inlineStr">
        <is>
          <t>VÄSTERNORRLANDS LÄN</t>
        </is>
      </c>
      <c r="E475" t="inlineStr">
        <is>
          <t>ÅNGE</t>
        </is>
      </c>
      <c r="F475" t="inlineStr">
        <is>
          <t>Holmen skog AB</t>
        </is>
      </c>
      <c r="G475" t="n">
        <v>7.8</v>
      </c>
      <c r="H475" t="n">
        <v>0</v>
      </c>
      <c r="I475" t="n">
        <v>0</v>
      </c>
      <c r="J475" t="n">
        <v>0</v>
      </c>
      <c r="K475" t="n">
        <v>0</v>
      </c>
      <c r="L475" t="n">
        <v>0</v>
      </c>
      <c r="M475" t="n">
        <v>0</v>
      </c>
      <c r="N475" t="n">
        <v>0</v>
      </c>
      <c r="O475" t="n">
        <v>0</v>
      </c>
      <c r="P475" t="n">
        <v>0</v>
      </c>
      <c r="Q475" t="n">
        <v>0</v>
      </c>
      <c r="R475" s="2" t="inlineStr"/>
    </row>
    <row r="476" ht="15" customHeight="1">
      <c r="A476" t="inlineStr">
        <is>
          <t>A 38871-2020</t>
        </is>
      </c>
      <c r="B476" s="1" t="n">
        <v>44062</v>
      </c>
      <c r="C476" s="1" t="n">
        <v>45258</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38894-2020</t>
        </is>
      </c>
      <c r="B477" s="1" t="n">
        <v>44062</v>
      </c>
      <c r="C477" s="1" t="n">
        <v>45258</v>
      </c>
      <c r="D477" t="inlineStr">
        <is>
          <t>VÄSTERNORRLANDS LÄN</t>
        </is>
      </c>
      <c r="E477" t="inlineStr">
        <is>
          <t>ÅNGE</t>
        </is>
      </c>
      <c r="G477" t="n">
        <v>1</v>
      </c>
      <c r="H477" t="n">
        <v>0</v>
      </c>
      <c r="I477" t="n">
        <v>0</v>
      </c>
      <c r="J477" t="n">
        <v>0</v>
      </c>
      <c r="K477" t="n">
        <v>0</v>
      </c>
      <c r="L477" t="n">
        <v>0</v>
      </c>
      <c r="M477" t="n">
        <v>0</v>
      </c>
      <c r="N477" t="n">
        <v>0</v>
      </c>
      <c r="O477" t="n">
        <v>0</v>
      </c>
      <c r="P477" t="n">
        <v>0</v>
      </c>
      <c r="Q477" t="n">
        <v>0</v>
      </c>
      <c r="R477" s="2" t="inlineStr"/>
    </row>
    <row r="478" ht="15" customHeight="1">
      <c r="A478" t="inlineStr">
        <is>
          <t>A 39919-2020</t>
        </is>
      </c>
      <c r="B478" s="1" t="n">
        <v>44063</v>
      </c>
      <c r="C478" s="1" t="n">
        <v>45258</v>
      </c>
      <c r="D478" t="inlineStr">
        <is>
          <t>VÄSTERNORRLANDS LÄN</t>
        </is>
      </c>
      <c r="E478" t="inlineStr">
        <is>
          <t>ÅNGE</t>
        </is>
      </c>
      <c r="G478" t="n">
        <v>4.9</v>
      </c>
      <c r="H478" t="n">
        <v>0</v>
      </c>
      <c r="I478" t="n">
        <v>0</v>
      </c>
      <c r="J478" t="n">
        <v>0</v>
      </c>
      <c r="K478" t="n">
        <v>0</v>
      </c>
      <c r="L478" t="n">
        <v>0</v>
      </c>
      <c r="M478" t="n">
        <v>0</v>
      </c>
      <c r="N478" t="n">
        <v>0</v>
      </c>
      <c r="O478" t="n">
        <v>0</v>
      </c>
      <c r="P478" t="n">
        <v>0</v>
      </c>
      <c r="Q478" t="n">
        <v>0</v>
      </c>
      <c r="R478" s="2" t="inlineStr"/>
    </row>
    <row r="479" ht="15" customHeight="1">
      <c r="A479" t="inlineStr">
        <is>
          <t>A 39561-2020</t>
        </is>
      </c>
      <c r="B479" s="1" t="n">
        <v>44064</v>
      </c>
      <c r="C479" s="1" t="n">
        <v>45258</v>
      </c>
      <c r="D479" t="inlineStr">
        <is>
          <t>VÄSTERNORRLANDS LÄN</t>
        </is>
      </c>
      <c r="E479" t="inlineStr">
        <is>
          <t>ÅNGE</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41366-2020</t>
        </is>
      </c>
      <c r="B480" s="1" t="n">
        <v>44071</v>
      </c>
      <c r="C480" s="1" t="n">
        <v>45258</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42296-2020</t>
        </is>
      </c>
      <c r="B481" s="1" t="n">
        <v>44076</v>
      </c>
      <c r="C481" s="1" t="n">
        <v>45258</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42289-2020</t>
        </is>
      </c>
      <c r="B482" s="1" t="n">
        <v>44076</v>
      </c>
      <c r="C482" s="1" t="n">
        <v>45258</v>
      </c>
      <c r="D482" t="inlineStr">
        <is>
          <t>VÄSTERNORRLANDS LÄN</t>
        </is>
      </c>
      <c r="E482" t="inlineStr">
        <is>
          <t>ÅNGE</t>
        </is>
      </c>
      <c r="G482" t="n">
        <v>16.7</v>
      </c>
      <c r="H482" t="n">
        <v>0</v>
      </c>
      <c r="I482" t="n">
        <v>0</v>
      </c>
      <c r="J482" t="n">
        <v>0</v>
      </c>
      <c r="K482" t="n">
        <v>0</v>
      </c>
      <c r="L482" t="n">
        <v>0</v>
      </c>
      <c r="M482" t="n">
        <v>0</v>
      </c>
      <c r="N482" t="n">
        <v>0</v>
      </c>
      <c r="O482" t="n">
        <v>0</v>
      </c>
      <c r="P482" t="n">
        <v>0</v>
      </c>
      <c r="Q482" t="n">
        <v>0</v>
      </c>
      <c r="R482" s="2" t="inlineStr"/>
    </row>
    <row r="483" ht="15" customHeight="1">
      <c r="A483" t="inlineStr">
        <is>
          <t>A 42299-2020</t>
        </is>
      </c>
      <c r="B483" s="1" t="n">
        <v>44076</v>
      </c>
      <c r="C483" s="1" t="n">
        <v>45258</v>
      </c>
      <c r="D483" t="inlineStr">
        <is>
          <t>VÄSTERNORRLANDS LÄN</t>
        </is>
      </c>
      <c r="E483" t="inlineStr">
        <is>
          <t>ÅNGE</t>
        </is>
      </c>
      <c r="G483" t="n">
        <v>3.6</v>
      </c>
      <c r="H483" t="n">
        <v>0</v>
      </c>
      <c r="I483" t="n">
        <v>0</v>
      </c>
      <c r="J483" t="n">
        <v>0</v>
      </c>
      <c r="K483" t="n">
        <v>0</v>
      </c>
      <c r="L483" t="n">
        <v>0</v>
      </c>
      <c r="M483" t="n">
        <v>0</v>
      </c>
      <c r="N483" t="n">
        <v>0</v>
      </c>
      <c r="O483" t="n">
        <v>0</v>
      </c>
      <c r="P483" t="n">
        <v>0</v>
      </c>
      <c r="Q483" t="n">
        <v>0</v>
      </c>
      <c r="R483" s="2" t="inlineStr"/>
    </row>
    <row r="484" ht="15" customHeight="1">
      <c r="A484" t="inlineStr">
        <is>
          <t>A 42751-2020</t>
        </is>
      </c>
      <c r="B484" s="1" t="n">
        <v>44077</v>
      </c>
      <c r="C484" s="1" t="n">
        <v>45258</v>
      </c>
      <c r="D484" t="inlineStr">
        <is>
          <t>VÄSTERNORRLANDS LÄN</t>
        </is>
      </c>
      <c r="E484" t="inlineStr">
        <is>
          <t>ÅNGE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43093-2020</t>
        </is>
      </c>
      <c r="B485" s="1" t="n">
        <v>44078</v>
      </c>
      <c r="C485" s="1" t="n">
        <v>45258</v>
      </c>
      <c r="D485" t="inlineStr">
        <is>
          <t>VÄSTERNORRLANDS LÄN</t>
        </is>
      </c>
      <c r="E485" t="inlineStr">
        <is>
          <t>ÅNGE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45808-2020</t>
        </is>
      </c>
      <c r="B486" s="1" t="n">
        <v>44090</v>
      </c>
      <c r="C486" s="1" t="n">
        <v>45258</v>
      </c>
      <c r="D486" t="inlineStr">
        <is>
          <t>VÄSTERNORRLANDS LÄN</t>
        </is>
      </c>
      <c r="E486" t="inlineStr">
        <is>
          <t>ÅNGE</t>
        </is>
      </c>
      <c r="G486" t="n">
        <v>0.3</v>
      </c>
      <c r="H486" t="n">
        <v>0</v>
      </c>
      <c r="I486" t="n">
        <v>0</v>
      </c>
      <c r="J486" t="n">
        <v>0</v>
      </c>
      <c r="K486" t="n">
        <v>0</v>
      </c>
      <c r="L486" t="n">
        <v>0</v>
      </c>
      <c r="M486" t="n">
        <v>0</v>
      </c>
      <c r="N486" t="n">
        <v>0</v>
      </c>
      <c r="O486" t="n">
        <v>0</v>
      </c>
      <c r="P486" t="n">
        <v>0</v>
      </c>
      <c r="Q486" t="n">
        <v>0</v>
      </c>
      <c r="R486" s="2" t="inlineStr"/>
    </row>
    <row r="487" ht="15" customHeight="1">
      <c r="A487" t="inlineStr">
        <is>
          <t>A 45813-2020</t>
        </is>
      </c>
      <c r="B487" s="1" t="n">
        <v>44090</v>
      </c>
      <c r="C487" s="1" t="n">
        <v>45258</v>
      </c>
      <c r="D487" t="inlineStr">
        <is>
          <t>VÄSTERNORRLANDS LÄN</t>
        </is>
      </c>
      <c r="E487" t="inlineStr">
        <is>
          <t>ÅNGE</t>
        </is>
      </c>
      <c r="G487" t="n">
        <v>0.4</v>
      </c>
      <c r="H487" t="n">
        <v>0</v>
      </c>
      <c r="I487" t="n">
        <v>0</v>
      </c>
      <c r="J487" t="n">
        <v>0</v>
      </c>
      <c r="K487" t="n">
        <v>0</v>
      </c>
      <c r="L487" t="n">
        <v>0</v>
      </c>
      <c r="M487" t="n">
        <v>0</v>
      </c>
      <c r="N487" t="n">
        <v>0</v>
      </c>
      <c r="O487" t="n">
        <v>0</v>
      </c>
      <c r="P487" t="n">
        <v>0</v>
      </c>
      <c r="Q487" t="n">
        <v>0</v>
      </c>
      <c r="R487" s="2" t="inlineStr"/>
    </row>
    <row r="488" ht="15" customHeight="1">
      <c r="A488" t="inlineStr">
        <is>
          <t>A 45812-2020</t>
        </is>
      </c>
      <c r="B488" s="1" t="n">
        <v>44090</v>
      </c>
      <c r="C488" s="1" t="n">
        <v>45258</v>
      </c>
      <c r="D488" t="inlineStr">
        <is>
          <t>VÄSTERNORRLANDS LÄN</t>
        </is>
      </c>
      <c r="E488" t="inlineStr">
        <is>
          <t>ÅNGE</t>
        </is>
      </c>
      <c r="G488" t="n">
        <v>0.1</v>
      </c>
      <c r="H488" t="n">
        <v>0</v>
      </c>
      <c r="I488" t="n">
        <v>0</v>
      </c>
      <c r="J488" t="n">
        <v>0</v>
      </c>
      <c r="K488" t="n">
        <v>0</v>
      </c>
      <c r="L488" t="n">
        <v>0</v>
      </c>
      <c r="M488" t="n">
        <v>0</v>
      </c>
      <c r="N488" t="n">
        <v>0</v>
      </c>
      <c r="O488" t="n">
        <v>0</v>
      </c>
      <c r="P488" t="n">
        <v>0</v>
      </c>
      <c r="Q488" t="n">
        <v>0</v>
      </c>
      <c r="R488" s="2" t="inlineStr"/>
    </row>
    <row r="489" ht="15" customHeight="1">
      <c r="A489" t="inlineStr">
        <is>
          <t>A 45810-2020</t>
        </is>
      </c>
      <c r="B489" s="1" t="n">
        <v>44090</v>
      </c>
      <c r="C489" s="1" t="n">
        <v>45258</v>
      </c>
      <c r="D489" t="inlineStr">
        <is>
          <t>VÄSTERNORRLANDS LÄN</t>
        </is>
      </c>
      <c r="E489" t="inlineStr">
        <is>
          <t>ÅNGE</t>
        </is>
      </c>
      <c r="G489" t="n">
        <v>0.2</v>
      </c>
      <c r="H489" t="n">
        <v>0</v>
      </c>
      <c r="I489" t="n">
        <v>0</v>
      </c>
      <c r="J489" t="n">
        <v>0</v>
      </c>
      <c r="K489" t="n">
        <v>0</v>
      </c>
      <c r="L489" t="n">
        <v>0</v>
      </c>
      <c r="M489" t="n">
        <v>0</v>
      </c>
      <c r="N489" t="n">
        <v>0</v>
      </c>
      <c r="O489" t="n">
        <v>0</v>
      </c>
      <c r="P489" t="n">
        <v>0</v>
      </c>
      <c r="Q489" t="n">
        <v>0</v>
      </c>
      <c r="R489" s="2" t="inlineStr"/>
    </row>
    <row r="490" ht="15" customHeight="1">
      <c r="A490" t="inlineStr">
        <is>
          <t>A 47041-2020</t>
        </is>
      </c>
      <c r="B490" s="1" t="n">
        <v>44091</v>
      </c>
      <c r="C490" s="1" t="n">
        <v>45258</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46518-2020</t>
        </is>
      </c>
      <c r="B491" s="1" t="n">
        <v>44095</v>
      </c>
      <c r="C491" s="1" t="n">
        <v>45258</v>
      </c>
      <c r="D491" t="inlineStr">
        <is>
          <t>VÄSTERNORRLANDS LÄN</t>
        </is>
      </c>
      <c r="E491" t="inlineStr">
        <is>
          <t>ÅNGE</t>
        </is>
      </c>
      <c r="G491" t="n">
        <v>0.8</v>
      </c>
      <c r="H491" t="n">
        <v>0</v>
      </c>
      <c r="I491" t="n">
        <v>0</v>
      </c>
      <c r="J491" t="n">
        <v>0</v>
      </c>
      <c r="K491" t="n">
        <v>0</v>
      </c>
      <c r="L491" t="n">
        <v>0</v>
      </c>
      <c r="M491" t="n">
        <v>0</v>
      </c>
      <c r="N491" t="n">
        <v>0</v>
      </c>
      <c r="O491" t="n">
        <v>0</v>
      </c>
      <c r="P491" t="n">
        <v>0</v>
      </c>
      <c r="Q491" t="n">
        <v>0</v>
      </c>
      <c r="R491" s="2" t="inlineStr"/>
    </row>
    <row r="492" ht="15" customHeight="1">
      <c r="A492" t="inlineStr">
        <is>
          <t>A 47411-2020</t>
        </is>
      </c>
      <c r="B492" s="1" t="n">
        <v>44095</v>
      </c>
      <c r="C492" s="1" t="n">
        <v>45258</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47127-2020</t>
        </is>
      </c>
      <c r="B493" s="1" t="n">
        <v>44096</v>
      </c>
      <c r="C493" s="1" t="n">
        <v>45258</v>
      </c>
      <c r="D493" t="inlineStr">
        <is>
          <t>VÄSTERNORRLANDS LÄN</t>
        </is>
      </c>
      <c r="E493" t="inlineStr">
        <is>
          <t>ÅNGE</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48238-2020</t>
        </is>
      </c>
      <c r="B494" s="1" t="n">
        <v>44097</v>
      </c>
      <c r="C494" s="1" t="n">
        <v>45258</v>
      </c>
      <c r="D494" t="inlineStr">
        <is>
          <t>VÄSTERNORRLANDS LÄN</t>
        </is>
      </c>
      <c r="E494" t="inlineStr">
        <is>
          <t>ÅNGE</t>
        </is>
      </c>
      <c r="G494" t="n">
        <v>5.1</v>
      </c>
      <c r="H494" t="n">
        <v>0</v>
      </c>
      <c r="I494" t="n">
        <v>0</v>
      </c>
      <c r="J494" t="n">
        <v>0</v>
      </c>
      <c r="K494" t="n">
        <v>0</v>
      </c>
      <c r="L494" t="n">
        <v>0</v>
      </c>
      <c r="M494" t="n">
        <v>0</v>
      </c>
      <c r="N494" t="n">
        <v>0</v>
      </c>
      <c r="O494" t="n">
        <v>0</v>
      </c>
      <c r="P494" t="n">
        <v>0</v>
      </c>
      <c r="Q494" t="n">
        <v>0</v>
      </c>
      <c r="R494" s="2" t="inlineStr"/>
    </row>
    <row r="495" ht="15" customHeight="1">
      <c r="A495" t="inlineStr">
        <is>
          <t>A 48810-2020</t>
        </is>
      </c>
      <c r="B495" s="1" t="n">
        <v>44103</v>
      </c>
      <c r="C495" s="1" t="n">
        <v>45258</v>
      </c>
      <c r="D495" t="inlineStr">
        <is>
          <t>VÄSTERNORRLANDS LÄN</t>
        </is>
      </c>
      <c r="E495" t="inlineStr">
        <is>
          <t>ÅNGE</t>
        </is>
      </c>
      <c r="F495" t="inlineStr">
        <is>
          <t>SCA</t>
        </is>
      </c>
      <c r="G495" t="n">
        <v>1.8</v>
      </c>
      <c r="H495" t="n">
        <v>0</v>
      </c>
      <c r="I495" t="n">
        <v>0</v>
      </c>
      <c r="J495" t="n">
        <v>0</v>
      </c>
      <c r="K495" t="n">
        <v>0</v>
      </c>
      <c r="L495" t="n">
        <v>0</v>
      </c>
      <c r="M495" t="n">
        <v>0</v>
      </c>
      <c r="N495" t="n">
        <v>0</v>
      </c>
      <c r="O495" t="n">
        <v>0</v>
      </c>
      <c r="P495" t="n">
        <v>0</v>
      </c>
      <c r="Q495" t="n">
        <v>0</v>
      </c>
      <c r="R495" s="2" t="inlineStr"/>
      <c r="U495">
        <f>HYPERLINK("https://klasma.github.io/Logging_2260/knärot/A 48810-2020 karta knärot.png", "A 48810-2020")</f>
        <v/>
      </c>
      <c r="V495">
        <f>HYPERLINK("https://klasma.github.io/Logging_2260/klagomål/A 48810-2020 FSC-klagomål.docx", "A 48810-2020")</f>
        <v/>
      </c>
      <c r="W495">
        <f>HYPERLINK("https://klasma.github.io/Logging_2260/klagomålsmail/A 48810-2020 FSC-klagomål mail.docx", "A 48810-2020")</f>
        <v/>
      </c>
      <c r="X495">
        <f>HYPERLINK("https://klasma.github.io/Logging_2260/tillsyn/A 48810-2020 tillsynsbegäran.docx", "A 48810-2020")</f>
        <v/>
      </c>
      <c r="Y495">
        <f>HYPERLINK("https://klasma.github.io/Logging_2260/tillsynsmail/A 48810-2020 tillsynsbegäran mail.docx", "A 48810-2020")</f>
        <v/>
      </c>
    </row>
    <row r="496" ht="15" customHeight="1">
      <c r="A496" t="inlineStr">
        <is>
          <t>A 49343-2020</t>
        </is>
      </c>
      <c r="B496" s="1" t="n">
        <v>44105</v>
      </c>
      <c r="C496" s="1" t="n">
        <v>45258</v>
      </c>
      <c r="D496" t="inlineStr">
        <is>
          <t>VÄSTERNORRLANDS LÄN</t>
        </is>
      </c>
      <c r="E496" t="inlineStr">
        <is>
          <t>ÅNGE</t>
        </is>
      </c>
      <c r="G496" t="n">
        <v>1.2</v>
      </c>
      <c r="H496" t="n">
        <v>0</v>
      </c>
      <c r="I496" t="n">
        <v>0</v>
      </c>
      <c r="J496" t="n">
        <v>0</v>
      </c>
      <c r="K496" t="n">
        <v>0</v>
      </c>
      <c r="L496" t="n">
        <v>0</v>
      </c>
      <c r="M496" t="n">
        <v>0</v>
      </c>
      <c r="N496" t="n">
        <v>0</v>
      </c>
      <c r="O496" t="n">
        <v>0</v>
      </c>
      <c r="P496" t="n">
        <v>0</v>
      </c>
      <c r="Q496" t="n">
        <v>0</v>
      </c>
      <c r="R496" s="2" t="inlineStr"/>
    </row>
    <row r="497" ht="15" customHeight="1">
      <c r="A497" t="inlineStr">
        <is>
          <t>A 49346-2020</t>
        </is>
      </c>
      <c r="B497" s="1" t="n">
        <v>44105</v>
      </c>
      <c r="C497" s="1" t="n">
        <v>45258</v>
      </c>
      <c r="D497" t="inlineStr">
        <is>
          <t>VÄSTERNORRLANDS LÄN</t>
        </is>
      </c>
      <c r="E497" t="inlineStr">
        <is>
          <t>ÅNGE</t>
        </is>
      </c>
      <c r="G497" t="n">
        <v>1.9</v>
      </c>
      <c r="H497" t="n">
        <v>0</v>
      </c>
      <c r="I497" t="n">
        <v>0</v>
      </c>
      <c r="J497" t="n">
        <v>0</v>
      </c>
      <c r="K497" t="n">
        <v>0</v>
      </c>
      <c r="L497" t="n">
        <v>0</v>
      </c>
      <c r="M497" t="n">
        <v>0</v>
      </c>
      <c r="N497" t="n">
        <v>0</v>
      </c>
      <c r="O497" t="n">
        <v>0</v>
      </c>
      <c r="P497" t="n">
        <v>0</v>
      </c>
      <c r="Q497" t="n">
        <v>0</v>
      </c>
      <c r="R497" s="2" t="inlineStr"/>
    </row>
    <row r="498" ht="15" customHeight="1">
      <c r="A498" t="inlineStr">
        <is>
          <t>A 49656-2020</t>
        </is>
      </c>
      <c r="B498" s="1" t="n">
        <v>44106</v>
      </c>
      <c r="C498" s="1" t="n">
        <v>45258</v>
      </c>
      <c r="D498" t="inlineStr">
        <is>
          <t>VÄSTERNORRLANDS LÄN</t>
        </is>
      </c>
      <c r="E498" t="inlineStr">
        <is>
          <t>ÅNGE</t>
        </is>
      </c>
      <c r="G498" t="n">
        <v>2.6</v>
      </c>
      <c r="H498" t="n">
        <v>0</v>
      </c>
      <c r="I498" t="n">
        <v>0</v>
      </c>
      <c r="J498" t="n">
        <v>0</v>
      </c>
      <c r="K498" t="n">
        <v>0</v>
      </c>
      <c r="L498" t="n">
        <v>0</v>
      </c>
      <c r="M498" t="n">
        <v>0</v>
      </c>
      <c r="N498" t="n">
        <v>0</v>
      </c>
      <c r="O498" t="n">
        <v>0</v>
      </c>
      <c r="P498" t="n">
        <v>0</v>
      </c>
      <c r="Q498" t="n">
        <v>0</v>
      </c>
      <c r="R498" s="2" t="inlineStr"/>
    </row>
    <row r="499" ht="15" customHeight="1">
      <c r="A499" t="inlineStr">
        <is>
          <t>A 49838-2020</t>
        </is>
      </c>
      <c r="B499" s="1" t="n">
        <v>44106</v>
      </c>
      <c r="C499" s="1" t="n">
        <v>45258</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50265-2020</t>
        </is>
      </c>
      <c r="B500" s="1" t="n">
        <v>44109</v>
      </c>
      <c r="C500" s="1" t="n">
        <v>45258</v>
      </c>
      <c r="D500" t="inlineStr">
        <is>
          <t>VÄSTERNORRLANDS LÄN</t>
        </is>
      </c>
      <c r="E500" t="inlineStr">
        <is>
          <t>ÅNGE</t>
        </is>
      </c>
      <c r="G500" t="n">
        <v>1.5</v>
      </c>
      <c r="H500" t="n">
        <v>0</v>
      </c>
      <c r="I500" t="n">
        <v>0</v>
      </c>
      <c r="J500" t="n">
        <v>0</v>
      </c>
      <c r="K500" t="n">
        <v>0</v>
      </c>
      <c r="L500" t="n">
        <v>0</v>
      </c>
      <c r="M500" t="n">
        <v>0</v>
      </c>
      <c r="N500" t="n">
        <v>0</v>
      </c>
      <c r="O500" t="n">
        <v>0</v>
      </c>
      <c r="P500" t="n">
        <v>0</v>
      </c>
      <c r="Q500" t="n">
        <v>0</v>
      </c>
      <c r="R500" s="2" t="inlineStr"/>
    </row>
    <row r="501" ht="15" customHeight="1">
      <c r="A501" t="inlineStr">
        <is>
          <t>A 50259-2020</t>
        </is>
      </c>
      <c r="B501" s="1" t="n">
        <v>44109</v>
      </c>
      <c r="C501" s="1" t="n">
        <v>45258</v>
      </c>
      <c r="D501" t="inlineStr">
        <is>
          <t>VÄSTERNORRLANDS LÄN</t>
        </is>
      </c>
      <c r="E501" t="inlineStr">
        <is>
          <t>ÅNGE</t>
        </is>
      </c>
      <c r="G501" t="n">
        <v>5.1</v>
      </c>
      <c r="H501" t="n">
        <v>0</v>
      </c>
      <c r="I501" t="n">
        <v>0</v>
      </c>
      <c r="J501" t="n">
        <v>0</v>
      </c>
      <c r="K501" t="n">
        <v>0</v>
      </c>
      <c r="L501" t="n">
        <v>0</v>
      </c>
      <c r="M501" t="n">
        <v>0</v>
      </c>
      <c r="N501" t="n">
        <v>0</v>
      </c>
      <c r="O501" t="n">
        <v>0</v>
      </c>
      <c r="P501" t="n">
        <v>0</v>
      </c>
      <c r="Q501" t="n">
        <v>0</v>
      </c>
      <c r="R501" s="2" t="inlineStr"/>
    </row>
    <row r="502" ht="15" customHeight="1">
      <c r="A502" t="inlineStr">
        <is>
          <t>A 50260-2020</t>
        </is>
      </c>
      <c r="B502" s="1" t="n">
        <v>44109</v>
      </c>
      <c r="C502" s="1" t="n">
        <v>45258</v>
      </c>
      <c r="D502" t="inlineStr">
        <is>
          <t>VÄSTERNORRLANDS LÄN</t>
        </is>
      </c>
      <c r="E502" t="inlineStr">
        <is>
          <t>ÅNGE</t>
        </is>
      </c>
      <c r="G502" t="n">
        <v>3.9</v>
      </c>
      <c r="H502" t="n">
        <v>0</v>
      </c>
      <c r="I502" t="n">
        <v>0</v>
      </c>
      <c r="J502" t="n">
        <v>0</v>
      </c>
      <c r="K502" t="n">
        <v>0</v>
      </c>
      <c r="L502" t="n">
        <v>0</v>
      </c>
      <c r="M502" t="n">
        <v>0</v>
      </c>
      <c r="N502" t="n">
        <v>0</v>
      </c>
      <c r="O502" t="n">
        <v>0</v>
      </c>
      <c r="P502" t="n">
        <v>0</v>
      </c>
      <c r="Q502" t="n">
        <v>0</v>
      </c>
      <c r="R502" s="2" t="inlineStr"/>
    </row>
    <row r="503" ht="15" customHeight="1">
      <c r="A503" t="inlineStr">
        <is>
          <t>A 50258-2020</t>
        </is>
      </c>
      <c r="B503" s="1" t="n">
        <v>44109</v>
      </c>
      <c r="C503" s="1" t="n">
        <v>45258</v>
      </c>
      <c r="D503" t="inlineStr">
        <is>
          <t>VÄSTERNORRLANDS LÄN</t>
        </is>
      </c>
      <c r="E503" t="inlineStr">
        <is>
          <t>ÅNGE</t>
        </is>
      </c>
      <c r="G503" t="n">
        <v>1.6</v>
      </c>
      <c r="H503" t="n">
        <v>0</v>
      </c>
      <c r="I503" t="n">
        <v>0</v>
      </c>
      <c r="J503" t="n">
        <v>0</v>
      </c>
      <c r="K503" t="n">
        <v>0</v>
      </c>
      <c r="L503" t="n">
        <v>0</v>
      </c>
      <c r="M503" t="n">
        <v>0</v>
      </c>
      <c r="N503" t="n">
        <v>0</v>
      </c>
      <c r="O503" t="n">
        <v>0</v>
      </c>
      <c r="P503" t="n">
        <v>0</v>
      </c>
      <c r="Q503" t="n">
        <v>0</v>
      </c>
      <c r="R503" s="2" t="inlineStr"/>
    </row>
    <row r="504" ht="15" customHeight="1">
      <c r="A504" t="inlineStr">
        <is>
          <t>A 50268-2020</t>
        </is>
      </c>
      <c r="B504" s="1" t="n">
        <v>44109</v>
      </c>
      <c r="C504" s="1" t="n">
        <v>45258</v>
      </c>
      <c r="D504" t="inlineStr">
        <is>
          <t>VÄSTERNORRLANDS LÄN</t>
        </is>
      </c>
      <c r="E504" t="inlineStr">
        <is>
          <t>ÅNGE</t>
        </is>
      </c>
      <c r="G504" t="n">
        <v>1.3</v>
      </c>
      <c r="H504" t="n">
        <v>0</v>
      </c>
      <c r="I504" t="n">
        <v>0</v>
      </c>
      <c r="J504" t="n">
        <v>0</v>
      </c>
      <c r="K504" t="n">
        <v>0</v>
      </c>
      <c r="L504" t="n">
        <v>0</v>
      </c>
      <c r="M504" t="n">
        <v>0</v>
      </c>
      <c r="N504" t="n">
        <v>0</v>
      </c>
      <c r="O504" t="n">
        <v>0</v>
      </c>
      <c r="P504" t="n">
        <v>0</v>
      </c>
      <c r="Q504" t="n">
        <v>0</v>
      </c>
      <c r="R504" s="2" t="inlineStr"/>
    </row>
    <row r="505" ht="15" customHeight="1">
      <c r="A505" t="inlineStr">
        <is>
          <t>A 52232-2020</t>
        </is>
      </c>
      <c r="B505" s="1" t="n">
        <v>44111</v>
      </c>
      <c r="C505" s="1" t="n">
        <v>45258</v>
      </c>
      <c r="D505" t="inlineStr">
        <is>
          <t>VÄSTERNORRLANDS LÄN</t>
        </is>
      </c>
      <c r="E505" t="inlineStr">
        <is>
          <t>ÅNGE</t>
        </is>
      </c>
      <c r="G505" t="n">
        <v>1.1</v>
      </c>
      <c r="H505" t="n">
        <v>0</v>
      </c>
      <c r="I505" t="n">
        <v>0</v>
      </c>
      <c r="J505" t="n">
        <v>0</v>
      </c>
      <c r="K505" t="n">
        <v>0</v>
      </c>
      <c r="L505" t="n">
        <v>0</v>
      </c>
      <c r="M505" t="n">
        <v>0</v>
      </c>
      <c r="N505" t="n">
        <v>0</v>
      </c>
      <c r="O505" t="n">
        <v>0</v>
      </c>
      <c r="P505" t="n">
        <v>0</v>
      </c>
      <c r="Q505" t="n">
        <v>0</v>
      </c>
      <c r="R505" s="2" t="inlineStr"/>
    </row>
    <row r="506" ht="15" customHeight="1">
      <c r="A506" t="inlineStr">
        <is>
          <t>A 51610-2020</t>
        </is>
      </c>
      <c r="B506" s="1" t="n">
        <v>44113</v>
      </c>
      <c r="C506" s="1" t="n">
        <v>45258</v>
      </c>
      <c r="D506" t="inlineStr">
        <is>
          <t>VÄSTERNORRLANDS LÄN</t>
        </is>
      </c>
      <c r="E506" t="inlineStr">
        <is>
          <t>ÅNGE</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52504-2020</t>
        </is>
      </c>
      <c r="B507" s="1" t="n">
        <v>44113</v>
      </c>
      <c r="C507" s="1" t="n">
        <v>45258</v>
      </c>
      <c r="D507" t="inlineStr">
        <is>
          <t>VÄSTERNORRLANDS LÄN</t>
        </is>
      </c>
      <c r="E507" t="inlineStr">
        <is>
          <t>ÅNGE</t>
        </is>
      </c>
      <c r="G507" t="n">
        <v>1.8</v>
      </c>
      <c r="H507" t="n">
        <v>0</v>
      </c>
      <c r="I507" t="n">
        <v>0</v>
      </c>
      <c r="J507" t="n">
        <v>0</v>
      </c>
      <c r="K507" t="n">
        <v>0</v>
      </c>
      <c r="L507" t="n">
        <v>0</v>
      </c>
      <c r="M507" t="n">
        <v>0</v>
      </c>
      <c r="N507" t="n">
        <v>0</v>
      </c>
      <c r="O507" t="n">
        <v>0</v>
      </c>
      <c r="P507" t="n">
        <v>0</v>
      </c>
      <c r="Q507" t="n">
        <v>0</v>
      </c>
      <c r="R507" s="2" t="inlineStr"/>
    </row>
    <row r="508" ht="15" customHeight="1">
      <c r="A508" t="inlineStr">
        <is>
          <t>A 51755-2020</t>
        </is>
      </c>
      <c r="B508" s="1" t="n">
        <v>44114</v>
      </c>
      <c r="C508" s="1" t="n">
        <v>45258</v>
      </c>
      <c r="D508" t="inlineStr">
        <is>
          <t>VÄSTERNORRLANDS LÄN</t>
        </is>
      </c>
      <c r="E508" t="inlineStr">
        <is>
          <t>ÅNGE</t>
        </is>
      </c>
      <c r="G508" t="n">
        <v>6.4</v>
      </c>
      <c r="H508" t="n">
        <v>0</v>
      </c>
      <c r="I508" t="n">
        <v>0</v>
      </c>
      <c r="J508" t="n">
        <v>0</v>
      </c>
      <c r="K508" t="n">
        <v>0</v>
      </c>
      <c r="L508" t="n">
        <v>0</v>
      </c>
      <c r="M508" t="n">
        <v>0</v>
      </c>
      <c r="N508" t="n">
        <v>0</v>
      </c>
      <c r="O508" t="n">
        <v>0</v>
      </c>
      <c r="P508" t="n">
        <v>0</v>
      </c>
      <c r="Q508" t="n">
        <v>0</v>
      </c>
      <c r="R508" s="2" t="inlineStr"/>
    </row>
    <row r="509" ht="15" customHeight="1">
      <c r="A509" t="inlineStr">
        <is>
          <t>A 52637-2020</t>
        </is>
      </c>
      <c r="B509" s="1" t="n">
        <v>44118</v>
      </c>
      <c r="C509" s="1" t="n">
        <v>45258</v>
      </c>
      <c r="D509" t="inlineStr">
        <is>
          <t>VÄSTERNORRLANDS LÄN</t>
        </is>
      </c>
      <c r="E509" t="inlineStr">
        <is>
          <t>ÅNGE</t>
        </is>
      </c>
      <c r="G509" t="n">
        <v>2.6</v>
      </c>
      <c r="H509" t="n">
        <v>0</v>
      </c>
      <c r="I509" t="n">
        <v>0</v>
      </c>
      <c r="J509" t="n">
        <v>0</v>
      </c>
      <c r="K509" t="n">
        <v>0</v>
      </c>
      <c r="L509" t="n">
        <v>0</v>
      </c>
      <c r="M509" t="n">
        <v>0</v>
      </c>
      <c r="N509" t="n">
        <v>0</v>
      </c>
      <c r="O509" t="n">
        <v>0</v>
      </c>
      <c r="P509" t="n">
        <v>0</v>
      </c>
      <c r="Q509" t="n">
        <v>0</v>
      </c>
      <c r="R509" s="2" t="inlineStr"/>
    </row>
    <row r="510" ht="15" customHeight="1">
      <c r="A510" t="inlineStr">
        <is>
          <t>A 52629-2020</t>
        </is>
      </c>
      <c r="B510" s="1" t="n">
        <v>44118</v>
      </c>
      <c r="C510" s="1" t="n">
        <v>45258</v>
      </c>
      <c r="D510" t="inlineStr">
        <is>
          <t>VÄSTERNORRLANDS LÄN</t>
        </is>
      </c>
      <c r="E510" t="inlineStr">
        <is>
          <t>ÅNGE</t>
        </is>
      </c>
      <c r="G510" t="n">
        <v>2.4</v>
      </c>
      <c r="H510" t="n">
        <v>0</v>
      </c>
      <c r="I510" t="n">
        <v>0</v>
      </c>
      <c r="J510" t="n">
        <v>0</v>
      </c>
      <c r="K510" t="n">
        <v>0</v>
      </c>
      <c r="L510" t="n">
        <v>0</v>
      </c>
      <c r="M510" t="n">
        <v>0</v>
      </c>
      <c r="N510" t="n">
        <v>0</v>
      </c>
      <c r="O510" t="n">
        <v>0</v>
      </c>
      <c r="P510" t="n">
        <v>0</v>
      </c>
      <c r="Q510" t="n">
        <v>0</v>
      </c>
      <c r="R510" s="2" t="inlineStr"/>
    </row>
    <row r="511" ht="15" customHeight="1">
      <c r="A511" t="inlineStr">
        <is>
          <t>A 52633-2020</t>
        </is>
      </c>
      <c r="B511" s="1" t="n">
        <v>44118</v>
      </c>
      <c r="C511" s="1" t="n">
        <v>45258</v>
      </c>
      <c r="D511" t="inlineStr">
        <is>
          <t>VÄSTERNORRLANDS LÄN</t>
        </is>
      </c>
      <c r="E511" t="inlineStr">
        <is>
          <t>ÅNGE</t>
        </is>
      </c>
      <c r="G511" t="n">
        <v>3.6</v>
      </c>
      <c r="H511" t="n">
        <v>0</v>
      </c>
      <c r="I511" t="n">
        <v>0</v>
      </c>
      <c r="J511" t="n">
        <v>0</v>
      </c>
      <c r="K511" t="n">
        <v>0</v>
      </c>
      <c r="L511" t="n">
        <v>0</v>
      </c>
      <c r="M511" t="n">
        <v>0</v>
      </c>
      <c r="N511" t="n">
        <v>0</v>
      </c>
      <c r="O511" t="n">
        <v>0</v>
      </c>
      <c r="P511" t="n">
        <v>0</v>
      </c>
      <c r="Q511" t="n">
        <v>0</v>
      </c>
      <c r="R511" s="2" t="inlineStr"/>
    </row>
    <row r="512" ht="15" customHeight="1">
      <c r="A512" t="inlineStr">
        <is>
          <t>A 52627-2020</t>
        </is>
      </c>
      <c r="B512" s="1" t="n">
        <v>44118</v>
      </c>
      <c r="C512" s="1" t="n">
        <v>45258</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53171-2020</t>
        </is>
      </c>
      <c r="B513" s="1" t="n">
        <v>44120</v>
      </c>
      <c r="C513" s="1" t="n">
        <v>45258</v>
      </c>
      <c r="D513" t="inlineStr">
        <is>
          <t>VÄSTERNORRLANDS LÄN</t>
        </is>
      </c>
      <c r="E513" t="inlineStr">
        <is>
          <t>ÅNGE</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53173-2020</t>
        </is>
      </c>
      <c r="B514" s="1" t="n">
        <v>44120</v>
      </c>
      <c r="C514" s="1" t="n">
        <v>45258</v>
      </c>
      <c r="D514" t="inlineStr">
        <is>
          <t>VÄSTERNORRLANDS LÄN</t>
        </is>
      </c>
      <c r="E514" t="inlineStr">
        <is>
          <t>ÅNGE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53170-2020</t>
        </is>
      </c>
      <c r="B515" s="1" t="n">
        <v>44120</v>
      </c>
      <c r="C515" s="1" t="n">
        <v>45258</v>
      </c>
      <c r="D515" t="inlineStr">
        <is>
          <t>VÄSTERNORRLANDS LÄN</t>
        </is>
      </c>
      <c r="E515" t="inlineStr">
        <is>
          <t>ÅNGE</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53175-2020</t>
        </is>
      </c>
      <c r="B516" s="1" t="n">
        <v>44120</v>
      </c>
      <c r="C516" s="1" t="n">
        <v>45258</v>
      </c>
      <c r="D516" t="inlineStr">
        <is>
          <t>VÄSTERNORRLANDS LÄN</t>
        </is>
      </c>
      <c r="E516" t="inlineStr">
        <is>
          <t>ÅNGE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53174-2020</t>
        </is>
      </c>
      <c r="B517" s="1" t="n">
        <v>44120</v>
      </c>
      <c r="C517" s="1" t="n">
        <v>45258</v>
      </c>
      <c r="D517" t="inlineStr">
        <is>
          <t>VÄSTERNORRLANDS LÄN</t>
        </is>
      </c>
      <c r="E517" t="inlineStr">
        <is>
          <t>ÅNGE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53474-2020</t>
        </is>
      </c>
      <c r="B518" s="1" t="n">
        <v>44123</v>
      </c>
      <c r="C518" s="1" t="n">
        <v>45258</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53660-2020</t>
        </is>
      </c>
      <c r="B519" s="1" t="n">
        <v>44124</v>
      </c>
      <c r="C519" s="1" t="n">
        <v>45258</v>
      </c>
      <c r="D519" t="inlineStr">
        <is>
          <t>VÄSTERNORRLANDS LÄN</t>
        </is>
      </c>
      <c r="E519" t="inlineStr">
        <is>
          <t>ÅNGE</t>
        </is>
      </c>
      <c r="G519" t="n">
        <v>5.4</v>
      </c>
      <c r="H519" t="n">
        <v>0</v>
      </c>
      <c r="I519" t="n">
        <v>0</v>
      </c>
      <c r="J519" t="n">
        <v>0</v>
      </c>
      <c r="K519" t="n">
        <v>0</v>
      </c>
      <c r="L519" t="n">
        <v>0</v>
      </c>
      <c r="M519" t="n">
        <v>0</v>
      </c>
      <c r="N519" t="n">
        <v>0</v>
      </c>
      <c r="O519" t="n">
        <v>0</v>
      </c>
      <c r="P519" t="n">
        <v>0</v>
      </c>
      <c r="Q519" t="n">
        <v>0</v>
      </c>
      <c r="R519" s="2" t="inlineStr"/>
    </row>
    <row r="520" ht="15" customHeight="1">
      <c r="A520" t="inlineStr">
        <is>
          <t>A 53661-2020</t>
        </is>
      </c>
      <c r="B520" s="1" t="n">
        <v>44124</v>
      </c>
      <c r="C520" s="1" t="n">
        <v>45258</v>
      </c>
      <c r="D520" t="inlineStr">
        <is>
          <t>VÄSTERNORRLANDS LÄN</t>
        </is>
      </c>
      <c r="E520" t="inlineStr">
        <is>
          <t>ÅNGE</t>
        </is>
      </c>
      <c r="G520" t="n">
        <v>2.6</v>
      </c>
      <c r="H520" t="n">
        <v>0</v>
      </c>
      <c r="I520" t="n">
        <v>0</v>
      </c>
      <c r="J520" t="n">
        <v>0</v>
      </c>
      <c r="K520" t="n">
        <v>0</v>
      </c>
      <c r="L520" t="n">
        <v>0</v>
      </c>
      <c r="M520" t="n">
        <v>0</v>
      </c>
      <c r="N520" t="n">
        <v>0</v>
      </c>
      <c r="O520" t="n">
        <v>0</v>
      </c>
      <c r="P520" t="n">
        <v>0</v>
      </c>
      <c r="Q520" t="n">
        <v>0</v>
      </c>
      <c r="R520" s="2" t="inlineStr"/>
    </row>
    <row r="521" ht="15" customHeight="1">
      <c r="A521" t="inlineStr">
        <is>
          <t>A 53962-2020</t>
        </is>
      </c>
      <c r="B521" s="1" t="n">
        <v>44125</v>
      </c>
      <c r="C521" s="1" t="n">
        <v>45258</v>
      </c>
      <c r="D521" t="inlineStr">
        <is>
          <t>VÄSTERNORRLANDS LÄN</t>
        </is>
      </c>
      <c r="E521" t="inlineStr">
        <is>
          <t>ÅNGE</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54471-2020</t>
        </is>
      </c>
      <c r="B522" s="1" t="n">
        <v>44126</v>
      </c>
      <c r="C522" s="1" t="n">
        <v>45258</v>
      </c>
      <c r="D522" t="inlineStr">
        <is>
          <t>VÄSTERNORRLANDS LÄN</t>
        </is>
      </c>
      <c r="E522" t="inlineStr">
        <is>
          <t>ÅNGE</t>
        </is>
      </c>
      <c r="G522" t="n">
        <v>3.1</v>
      </c>
      <c r="H522" t="n">
        <v>0</v>
      </c>
      <c r="I522" t="n">
        <v>0</v>
      </c>
      <c r="J522" t="n">
        <v>0</v>
      </c>
      <c r="K522" t="n">
        <v>0</v>
      </c>
      <c r="L522" t="n">
        <v>0</v>
      </c>
      <c r="M522" t="n">
        <v>0</v>
      </c>
      <c r="N522" t="n">
        <v>0</v>
      </c>
      <c r="O522" t="n">
        <v>0</v>
      </c>
      <c r="P522" t="n">
        <v>0</v>
      </c>
      <c r="Q522" t="n">
        <v>0</v>
      </c>
      <c r="R522" s="2" t="inlineStr"/>
    </row>
    <row r="523" ht="15" customHeight="1">
      <c r="A523" t="inlineStr">
        <is>
          <t>A 54469-2020</t>
        </is>
      </c>
      <c r="B523" s="1" t="n">
        <v>44126</v>
      </c>
      <c r="C523" s="1" t="n">
        <v>45258</v>
      </c>
      <c r="D523" t="inlineStr">
        <is>
          <t>VÄSTERNORRLANDS LÄN</t>
        </is>
      </c>
      <c r="E523" t="inlineStr">
        <is>
          <t>ÅNGE</t>
        </is>
      </c>
      <c r="G523" t="n">
        <v>4</v>
      </c>
      <c r="H523" t="n">
        <v>0</v>
      </c>
      <c r="I523" t="n">
        <v>0</v>
      </c>
      <c r="J523" t="n">
        <v>0</v>
      </c>
      <c r="K523" t="n">
        <v>0</v>
      </c>
      <c r="L523" t="n">
        <v>0</v>
      </c>
      <c r="M523" t="n">
        <v>0</v>
      </c>
      <c r="N523" t="n">
        <v>0</v>
      </c>
      <c r="O523" t="n">
        <v>0</v>
      </c>
      <c r="P523" t="n">
        <v>0</v>
      </c>
      <c r="Q523" t="n">
        <v>0</v>
      </c>
      <c r="R523" s="2" t="inlineStr"/>
    </row>
    <row r="524" ht="15" customHeight="1">
      <c r="A524" t="inlineStr">
        <is>
          <t>A 55317-2020</t>
        </is>
      </c>
      <c r="B524" s="1" t="n">
        <v>44130</v>
      </c>
      <c r="C524" s="1" t="n">
        <v>45258</v>
      </c>
      <c r="D524" t="inlineStr">
        <is>
          <t>VÄSTERNORRLANDS LÄN</t>
        </is>
      </c>
      <c r="E524" t="inlineStr">
        <is>
          <t>ÅNGE</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57111-2020</t>
        </is>
      </c>
      <c r="B525" s="1" t="n">
        <v>44139</v>
      </c>
      <c r="C525" s="1" t="n">
        <v>45258</v>
      </c>
      <c r="D525" t="inlineStr">
        <is>
          <t>VÄSTERNORRLANDS LÄN</t>
        </is>
      </c>
      <c r="E525" t="inlineStr">
        <is>
          <t>ÅNGE</t>
        </is>
      </c>
      <c r="G525" t="n">
        <v>0.5</v>
      </c>
      <c r="H525" t="n">
        <v>0</v>
      </c>
      <c r="I525" t="n">
        <v>0</v>
      </c>
      <c r="J525" t="n">
        <v>0</v>
      </c>
      <c r="K525" t="n">
        <v>0</v>
      </c>
      <c r="L525" t="n">
        <v>0</v>
      </c>
      <c r="M525" t="n">
        <v>0</v>
      </c>
      <c r="N525" t="n">
        <v>0</v>
      </c>
      <c r="O525" t="n">
        <v>0</v>
      </c>
      <c r="P525" t="n">
        <v>0</v>
      </c>
      <c r="Q525" t="n">
        <v>0</v>
      </c>
      <c r="R525" s="2" t="inlineStr"/>
    </row>
    <row r="526" ht="15" customHeight="1">
      <c r="A526" t="inlineStr">
        <is>
          <t>A 59222-2020</t>
        </is>
      </c>
      <c r="B526" s="1" t="n">
        <v>44147</v>
      </c>
      <c r="C526" s="1" t="n">
        <v>45258</v>
      </c>
      <c r="D526" t="inlineStr">
        <is>
          <t>VÄSTERNORRLANDS LÄN</t>
        </is>
      </c>
      <c r="E526" t="inlineStr">
        <is>
          <t>ÅNGE</t>
        </is>
      </c>
      <c r="G526" t="n">
        <v>7.6</v>
      </c>
      <c r="H526" t="n">
        <v>0</v>
      </c>
      <c r="I526" t="n">
        <v>0</v>
      </c>
      <c r="J526" t="n">
        <v>0</v>
      </c>
      <c r="K526" t="n">
        <v>0</v>
      </c>
      <c r="L526" t="n">
        <v>0</v>
      </c>
      <c r="M526" t="n">
        <v>0</v>
      </c>
      <c r="N526" t="n">
        <v>0</v>
      </c>
      <c r="O526" t="n">
        <v>0</v>
      </c>
      <c r="P526" t="n">
        <v>0</v>
      </c>
      <c r="Q526" t="n">
        <v>0</v>
      </c>
      <c r="R526" s="2" t="inlineStr"/>
    </row>
    <row r="527" ht="15" customHeight="1">
      <c r="A527" t="inlineStr">
        <is>
          <t>A 60064-2020</t>
        </is>
      </c>
      <c r="B527" s="1" t="n">
        <v>44151</v>
      </c>
      <c r="C527" s="1" t="n">
        <v>45258</v>
      </c>
      <c r="D527" t="inlineStr">
        <is>
          <t>VÄSTERNORRLANDS LÄN</t>
        </is>
      </c>
      <c r="E527" t="inlineStr">
        <is>
          <t>ÅNGE</t>
        </is>
      </c>
      <c r="G527" t="n">
        <v>1.8</v>
      </c>
      <c r="H527" t="n">
        <v>0</v>
      </c>
      <c r="I527" t="n">
        <v>0</v>
      </c>
      <c r="J527" t="n">
        <v>0</v>
      </c>
      <c r="K527" t="n">
        <v>0</v>
      </c>
      <c r="L527" t="n">
        <v>0</v>
      </c>
      <c r="M527" t="n">
        <v>0</v>
      </c>
      <c r="N527" t="n">
        <v>0</v>
      </c>
      <c r="O527" t="n">
        <v>0</v>
      </c>
      <c r="P527" t="n">
        <v>0</v>
      </c>
      <c r="Q527" t="n">
        <v>0</v>
      </c>
      <c r="R527" s="2" t="inlineStr"/>
    </row>
    <row r="528" ht="15" customHeight="1">
      <c r="A528" t="inlineStr">
        <is>
          <t>A 60401-2020</t>
        </is>
      </c>
      <c r="B528" s="1" t="n">
        <v>44152</v>
      </c>
      <c r="C528" s="1" t="n">
        <v>45258</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62640-2020</t>
        </is>
      </c>
      <c r="B529" s="1" t="n">
        <v>44161</v>
      </c>
      <c r="C529" s="1" t="n">
        <v>45258</v>
      </c>
      <c r="D529" t="inlineStr">
        <is>
          <t>VÄSTERNORRLANDS LÄN</t>
        </is>
      </c>
      <c r="E529" t="inlineStr">
        <is>
          <t>ÅNGE</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63497-2020</t>
        </is>
      </c>
      <c r="B530" s="1" t="n">
        <v>44161</v>
      </c>
      <c r="C530" s="1" t="n">
        <v>45258</v>
      </c>
      <c r="D530" t="inlineStr">
        <is>
          <t>VÄSTERNORRLANDS LÄN</t>
        </is>
      </c>
      <c r="E530" t="inlineStr">
        <is>
          <t>ÅNGE</t>
        </is>
      </c>
      <c r="G530" t="n">
        <v>6.9</v>
      </c>
      <c r="H530" t="n">
        <v>0</v>
      </c>
      <c r="I530" t="n">
        <v>0</v>
      </c>
      <c r="J530" t="n">
        <v>0</v>
      </c>
      <c r="K530" t="n">
        <v>0</v>
      </c>
      <c r="L530" t="n">
        <v>0</v>
      </c>
      <c r="M530" t="n">
        <v>0</v>
      </c>
      <c r="N530" t="n">
        <v>0</v>
      </c>
      <c r="O530" t="n">
        <v>0</v>
      </c>
      <c r="P530" t="n">
        <v>0</v>
      </c>
      <c r="Q530" t="n">
        <v>0</v>
      </c>
      <c r="R530" s="2" t="inlineStr"/>
    </row>
    <row r="531" ht="15" customHeight="1">
      <c r="A531" t="inlineStr">
        <is>
          <t>A 64612-2020</t>
        </is>
      </c>
      <c r="B531" s="1" t="n">
        <v>44169</v>
      </c>
      <c r="C531" s="1" t="n">
        <v>45258</v>
      </c>
      <c r="D531" t="inlineStr">
        <is>
          <t>VÄSTERNORRLANDS LÄN</t>
        </is>
      </c>
      <c r="E531" t="inlineStr">
        <is>
          <t>ÅNGE</t>
        </is>
      </c>
      <c r="G531" t="n">
        <v>2</v>
      </c>
      <c r="H531" t="n">
        <v>0</v>
      </c>
      <c r="I531" t="n">
        <v>0</v>
      </c>
      <c r="J531" t="n">
        <v>0</v>
      </c>
      <c r="K531" t="n">
        <v>0</v>
      </c>
      <c r="L531" t="n">
        <v>0</v>
      </c>
      <c r="M531" t="n">
        <v>0</v>
      </c>
      <c r="N531" t="n">
        <v>0</v>
      </c>
      <c r="O531" t="n">
        <v>0</v>
      </c>
      <c r="P531" t="n">
        <v>0</v>
      </c>
      <c r="Q531" t="n">
        <v>0</v>
      </c>
      <c r="R531" s="2" t="inlineStr"/>
    </row>
    <row r="532" ht="15" customHeight="1">
      <c r="A532" t="inlineStr">
        <is>
          <t>A 65277-2020</t>
        </is>
      </c>
      <c r="B532" s="1" t="n">
        <v>44172</v>
      </c>
      <c r="C532" s="1" t="n">
        <v>45258</v>
      </c>
      <c r="D532" t="inlineStr">
        <is>
          <t>VÄSTERNORRLANDS LÄN</t>
        </is>
      </c>
      <c r="E532" t="inlineStr">
        <is>
          <t>ÅNGE</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65149-2020</t>
        </is>
      </c>
      <c r="B533" s="1" t="n">
        <v>44172</v>
      </c>
      <c r="C533" s="1" t="n">
        <v>45258</v>
      </c>
      <c r="D533" t="inlineStr">
        <is>
          <t>VÄSTERNORRLANDS LÄN</t>
        </is>
      </c>
      <c r="E533" t="inlineStr">
        <is>
          <t>ÅNGE</t>
        </is>
      </c>
      <c r="G533" t="n">
        <v>9.5</v>
      </c>
      <c r="H533" t="n">
        <v>0</v>
      </c>
      <c r="I533" t="n">
        <v>0</v>
      </c>
      <c r="J533" t="n">
        <v>0</v>
      </c>
      <c r="K533" t="n">
        <v>0</v>
      </c>
      <c r="L533" t="n">
        <v>0</v>
      </c>
      <c r="M533" t="n">
        <v>0</v>
      </c>
      <c r="N533" t="n">
        <v>0</v>
      </c>
      <c r="O533" t="n">
        <v>0</v>
      </c>
      <c r="P533" t="n">
        <v>0</v>
      </c>
      <c r="Q533" t="n">
        <v>0</v>
      </c>
      <c r="R533" s="2" t="inlineStr"/>
    </row>
    <row r="534" ht="15" customHeight="1">
      <c r="A534" t="inlineStr">
        <is>
          <t>A 65272-2020</t>
        </is>
      </c>
      <c r="B534" s="1" t="n">
        <v>44172</v>
      </c>
      <c r="C534" s="1" t="n">
        <v>45258</v>
      </c>
      <c r="D534" t="inlineStr">
        <is>
          <t>VÄSTERNORRLANDS LÄN</t>
        </is>
      </c>
      <c r="E534" t="inlineStr">
        <is>
          <t>ÅNGE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65280-2020</t>
        </is>
      </c>
      <c r="B535" s="1" t="n">
        <v>44172</v>
      </c>
      <c r="C535" s="1" t="n">
        <v>45258</v>
      </c>
      <c r="D535" t="inlineStr">
        <is>
          <t>VÄSTERNORRLANDS LÄN</t>
        </is>
      </c>
      <c r="E535" t="inlineStr">
        <is>
          <t>ÅNGE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65594-2020</t>
        </is>
      </c>
      <c r="B536" s="1" t="n">
        <v>44173</v>
      </c>
      <c r="C536" s="1" t="n">
        <v>45258</v>
      </c>
      <c r="D536" t="inlineStr">
        <is>
          <t>VÄSTERNORRLANDS LÄN</t>
        </is>
      </c>
      <c r="E536" t="inlineStr">
        <is>
          <t>ÅNGE</t>
        </is>
      </c>
      <c r="G536" t="n">
        <v>5.9</v>
      </c>
      <c r="H536" t="n">
        <v>0</v>
      </c>
      <c r="I536" t="n">
        <v>0</v>
      </c>
      <c r="J536" t="n">
        <v>0</v>
      </c>
      <c r="K536" t="n">
        <v>0</v>
      </c>
      <c r="L536" t="n">
        <v>0</v>
      </c>
      <c r="M536" t="n">
        <v>0</v>
      </c>
      <c r="N536" t="n">
        <v>0</v>
      </c>
      <c r="O536" t="n">
        <v>0</v>
      </c>
      <c r="P536" t="n">
        <v>0</v>
      </c>
      <c r="Q536" t="n">
        <v>0</v>
      </c>
      <c r="R536" s="2" t="inlineStr"/>
    </row>
    <row r="537" ht="15" customHeight="1">
      <c r="A537" t="inlineStr">
        <is>
          <t>A 65593-2020</t>
        </is>
      </c>
      <c r="B537" s="1" t="n">
        <v>44173</v>
      </c>
      <c r="C537" s="1" t="n">
        <v>45258</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65770-2020</t>
        </is>
      </c>
      <c r="B538" s="1" t="n">
        <v>44174</v>
      </c>
      <c r="C538" s="1" t="n">
        <v>45258</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66601-2020</t>
        </is>
      </c>
      <c r="B539" s="1" t="n">
        <v>44175</v>
      </c>
      <c r="C539" s="1" t="n">
        <v>45258</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68378-2020</t>
        </is>
      </c>
      <c r="B540" s="1" t="n">
        <v>44186</v>
      </c>
      <c r="C540" s="1" t="n">
        <v>45258</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68715-2020</t>
        </is>
      </c>
      <c r="B541" s="1" t="n">
        <v>44187</v>
      </c>
      <c r="C541" s="1" t="n">
        <v>45258</v>
      </c>
      <c r="D541" t="inlineStr">
        <is>
          <t>VÄSTERNORRLANDS LÄN</t>
        </is>
      </c>
      <c r="E541" t="inlineStr">
        <is>
          <t>ÅNGE</t>
        </is>
      </c>
      <c r="G541" t="n">
        <v>19.1</v>
      </c>
      <c r="H541" t="n">
        <v>0</v>
      </c>
      <c r="I541" t="n">
        <v>0</v>
      </c>
      <c r="J541" t="n">
        <v>0</v>
      </c>
      <c r="K541" t="n">
        <v>0</v>
      </c>
      <c r="L541" t="n">
        <v>0</v>
      </c>
      <c r="M541" t="n">
        <v>0</v>
      </c>
      <c r="N541" t="n">
        <v>0</v>
      </c>
      <c r="O541" t="n">
        <v>0</v>
      </c>
      <c r="P541" t="n">
        <v>0</v>
      </c>
      <c r="Q541" t="n">
        <v>0</v>
      </c>
      <c r="R541" s="2" t="inlineStr"/>
    </row>
    <row r="542" ht="15" customHeight="1">
      <c r="A542" t="inlineStr">
        <is>
          <t>A 68812-2020</t>
        </is>
      </c>
      <c r="B542" s="1" t="n">
        <v>44187</v>
      </c>
      <c r="C542" s="1" t="n">
        <v>45258</v>
      </c>
      <c r="D542" t="inlineStr">
        <is>
          <t>VÄSTERNORRLANDS LÄN</t>
        </is>
      </c>
      <c r="E542" t="inlineStr">
        <is>
          <t>ÅNGE</t>
        </is>
      </c>
      <c r="G542" t="n">
        <v>1.6</v>
      </c>
      <c r="H542" t="n">
        <v>0</v>
      </c>
      <c r="I542" t="n">
        <v>0</v>
      </c>
      <c r="J542" t="n">
        <v>0</v>
      </c>
      <c r="K542" t="n">
        <v>0</v>
      </c>
      <c r="L542" t="n">
        <v>0</v>
      </c>
      <c r="M542" t="n">
        <v>0</v>
      </c>
      <c r="N542" t="n">
        <v>0</v>
      </c>
      <c r="O542" t="n">
        <v>0</v>
      </c>
      <c r="P542" t="n">
        <v>0</v>
      </c>
      <c r="Q542" t="n">
        <v>0</v>
      </c>
      <c r="R542" s="2" t="inlineStr"/>
    </row>
    <row r="543" ht="15" customHeight="1">
      <c r="A543" t="inlineStr">
        <is>
          <t>A 69271-2020</t>
        </is>
      </c>
      <c r="B543" s="1" t="n">
        <v>44193</v>
      </c>
      <c r="C543" s="1" t="n">
        <v>45258</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2327-2021</t>
        </is>
      </c>
      <c r="B544" s="1" t="n">
        <v>44214</v>
      </c>
      <c r="C544" s="1" t="n">
        <v>45258</v>
      </c>
      <c r="D544" t="inlineStr">
        <is>
          <t>VÄSTERNORRLANDS LÄN</t>
        </is>
      </c>
      <c r="E544" t="inlineStr">
        <is>
          <t>ÅNGE</t>
        </is>
      </c>
      <c r="G544" t="n">
        <v>6.7</v>
      </c>
      <c r="H544" t="n">
        <v>0</v>
      </c>
      <c r="I544" t="n">
        <v>0</v>
      </c>
      <c r="J544" t="n">
        <v>0</v>
      </c>
      <c r="K544" t="n">
        <v>0</v>
      </c>
      <c r="L544" t="n">
        <v>0</v>
      </c>
      <c r="M544" t="n">
        <v>0</v>
      </c>
      <c r="N544" t="n">
        <v>0</v>
      </c>
      <c r="O544" t="n">
        <v>0</v>
      </c>
      <c r="P544" t="n">
        <v>0</v>
      </c>
      <c r="Q544" t="n">
        <v>0</v>
      </c>
      <c r="R544" s="2" t="inlineStr"/>
    </row>
    <row r="545" ht="15" customHeight="1">
      <c r="A545" t="inlineStr">
        <is>
          <t>A 3352-2021</t>
        </is>
      </c>
      <c r="B545" s="1" t="n">
        <v>44217</v>
      </c>
      <c r="C545" s="1" t="n">
        <v>45258</v>
      </c>
      <c r="D545" t="inlineStr">
        <is>
          <t>VÄSTERNORRLANDS LÄN</t>
        </is>
      </c>
      <c r="E545" t="inlineStr">
        <is>
          <t>ÅNGE</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5822-2021</t>
        </is>
      </c>
      <c r="B546" s="1" t="n">
        <v>44230</v>
      </c>
      <c r="C546" s="1" t="n">
        <v>45258</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6487-2021</t>
        </is>
      </c>
      <c r="B547" s="1" t="n">
        <v>44235</v>
      </c>
      <c r="C547" s="1" t="n">
        <v>45258</v>
      </c>
      <c r="D547" t="inlineStr">
        <is>
          <t>VÄSTERNORRLANDS LÄN</t>
        </is>
      </c>
      <c r="E547" t="inlineStr">
        <is>
          <t>ÅNGE</t>
        </is>
      </c>
      <c r="G547" t="n">
        <v>2.1</v>
      </c>
      <c r="H547" t="n">
        <v>0</v>
      </c>
      <c r="I547" t="n">
        <v>0</v>
      </c>
      <c r="J547" t="n">
        <v>0</v>
      </c>
      <c r="K547" t="n">
        <v>0</v>
      </c>
      <c r="L547" t="n">
        <v>0</v>
      </c>
      <c r="M547" t="n">
        <v>0</v>
      </c>
      <c r="N547" t="n">
        <v>0</v>
      </c>
      <c r="O547" t="n">
        <v>0</v>
      </c>
      <c r="P547" t="n">
        <v>0</v>
      </c>
      <c r="Q547" t="n">
        <v>0</v>
      </c>
      <c r="R547" s="2" t="inlineStr"/>
    </row>
    <row r="548" ht="15" customHeight="1">
      <c r="A548" t="inlineStr">
        <is>
          <t>A 6805-2021</t>
        </is>
      </c>
      <c r="B548" s="1" t="n">
        <v>44236</v>
      </c>
      <c r="C548" s="1" t="n">
        <v>45258</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8057-2021</t>
        </is>
      </c>
      <c r="B549" s="1" t="n">
        <v>44238</v>
      </c>
      <c r="C549" s="1" t="n">
        <v>45258</v>
      </c>
      <c r="D549" t="inlineStr">
        <is>
          <t>VÄSTERNORRLANDS LÄN</t>
        </is>
      </c>
      <c r="E549" t="inlineStr">
        <is>
          <t>ÅNGE</t>
        </is>
      </c>
      <c r="G549" t="n">
        <v>1.2</v>
      </c>
      <c r="H549" t="n">
        <v>0</v>
      </c>
      <c r="I549" t="n">
        <v>0</v>
      </c>
      <c r="J549" t="n">
        <v>0</v>
      </c>
      <c r="K549" t="n">
        <v>0</v>
      </c>
      <c r="L549" t="n">
        <v>0</v>
      </c>
      <c r="M549" t="n">
        <v>0</v>
      </c>
      <c r="N549" t="n">
        <v>0</v>
      </c>
      <c r="O549" t="n">
        <v>0</v>
      </c>
      <c r="P549" t="n">
        <v>0</v>
      </c>
      <c r="Q549" t="n">
        <v>0</v>
      </c>
      <c r="R549" s="2" t="inlineStr"/>
    </row>
    <row r="550" ht="15" customHeight="1">
      <c r="A550" t="inlineStr">
        <is>
          <t>A 7857-2021</t>
        </is>
      </c>
      <c r="B550" s="1" t="n">
        <v>44242</v>
      </c>
      <c r="C550" s="1" t="n">
        <v>45258</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9619-2021</t>
        </is>
      </c>
      <c r="B551" s="1" t="n">
        <v>44251</v>
      </c>
      <c r="C551" s="1" t="n">
        <v>45258</v>
      </c>
      <c r="D551" t="inlineStr">
        <is>
          <t>VÄSTERNORRLANDS LÄN</t>
        </is>
      </c>
      <c r="E551" t="inlineStr">
        <is>
          <t>ÅNGE</t>
        </is>
      </c>
      <c r="G551" t="n">
        <v>10.4</v>
      </c>
      <c r="H551" t="n">
        <v>0</v>
      </c>
      <c r="I551" t="n">
        <v>0</v>
      </c>
      <c r="J551" t="n">
        <v>0</v>
      </c>
      <c r="K551" t="n">
        <v>0</v>
      </c>
      <c r="L551" t="n">
        <v>0</v>
      </c>
      <c r="M551" t="n">
        <v>0</v>
      </c>
      <c r="N551" t="n">
        <v>0</v>
      </c>
      <c r="O551" t="n">
        <v>0</v>
      </c>
      <c r="P551" t="n">
        <v>0</v>
      </c>
      <c r="Q551" t="n">
        <v>0</v>
      </c>
      <c r="R551" s="2" t="inlineStr"/>
    </row>
    <row r="552" ht="15" customHeight="1">
      <c r="A552" t="inlineStr">
        <is>
          <t>A 10342-2021</t>
        </is>
      </c>
      <c r="B552" s="1" t="n">
        <v>44257</v>
      </c>
      <c r="C552" s="1" t="n">
        <v>45258</v>
      </c>
      <c r="D552" t="inlineStr">
        <is>
          <t>VÄSTERNORRLANDS LÄN</t>
        </is>
      </c>
      <c r="E552" t="inlineStr">
        <is>
          <t>ÅNGE</t>
        </is>
      </c>
      <c r="G552" t="n">
        <v>1.8</v>
      </c>
      <c r="H552" t="n">
        <v>0</v>
      </c>
      <c r="I552" t="n">
        <v>0</v>
      </c>
      <c r="J552" t="n">
        <v>0</v>
      </c>
      <c r="K552" t="n">
        <v>0</v>
      </c>
      <c r="L552" t="n">
        <v>0</v>
      </c>
      <c r="M552" t="n">
        <v>0</v>
      </c>
      <c r="N552" t="n">
        <v>0</v>
      </c>
      <c r="O552" t="n">
        <v>0</v>
      </c>
      <c r="P552" t="n">
        <v>0</v>
      </c>
      <c r="Q552" t="n">
        <v>0</v>
      </c>
      <c r="R552" s="2" t="inlineStr"/>
    </row>
    <row r="553" ht="15" customHeight="1">
      <c r="A553" t="inlineStr">
        <is>
          <t>A 11763-2021</t>
        </is>
      </c>
      <c r="B553" s="1" t="n">
        <v>44265</v>
      </c>
      <c r="C553" s="1" t="n">
        <v>45258</v>
      </c>
      <c r="D553" t="inlineStr">
        <is>
          <t>VÄSTERNORRLANDS LÄN</t>
        </is>
      </c>
      <c r="E553" t="inlineStr">
        <is>
          <t>ÅNGE</t>
        </is>
      </c>
      <c r="G553" t="n">
        <v>2.2</v>
      </c>
      <c r="H553" t="n">
        <v>0</v>
      </c>
      <c r="I553" t="n">
        <v>0</v>
      </c>
      <c r="J553" t="n">
        <v>0</v>
      </c>
      <c r="K553" t="n">
        <v>0</v>
      </c>
      <c r="L553" t="n">
        <v>0</v>
      </c>
      <c r="M553" t="n">
        <v>0</v>
      </c>
      <c r="N553" t="n">
        <v>0</v>
      </c>
      <c r="O553" t="n">
        <v>0</v>
      </c>
      <c r="P553" t="n">
        <v>0</v>
      </c>
      <c r="Q553" t="n">
        <v>0</v>
      </c>
      <c r="R553" s="2" t="inlineStr"/>
    </row>
    <row r="554" ht="15" customHeight="1">
      <c r="A554" t="inlineStr">
        <is>
          <t>A 12799-2021</t>
        </is>
      </c>
      <c r="B554" s="1" t="n">
        <v>44270</v>
      </c>
      <c r="C554" s="1" t="n">
        <v>45258</v>
      </c>
      <c r="D554" t="inlineStr">
        <is>
          <t>VÄSTERNORRLANDS LÄN</t>
        </is>
      </c>
      <c r="E554" t="inlineStr">
        <is>
          <t>ÅNGE</t>
        </is>
      </c>
      <c r="G554" t="n">
        <v>2</v>
      </c>
      <c r="H554" t="n">
        <v>0</v>
      </c>
      <c r="I554" t="n">
        <v>0</v>
      </c>
      <c r="J554" t="n">
        <v>0</v>
      </c>
      <c r="K554" t="n">
        <v>0</v>
      </c>
      <c r="L554" t="n">
        <v>0</v>
      </c>
      <c r="M554" t="n">
        <v>0</v>
      </c>
      <c r="N554" t="n">
        <v>0</v>
      </c>
      <c r="O554" t="n">
        <v>0</v>
      </c>
      <c r="P554" t="n">
        <v>0</v>
      </c>
      <c r="Q554" t="n">
        <v>0</v>
      </c>
      <c r="R554" s="2" t="inlineStr"/>
    </row>
    <row r="555" ht="15" customHeight="1">
      <c r="A555" t="inlineStr">
        <is>
          <t>A 12800-2021</t>
        </is>
      </c>
      <c r="B555" s="1" t="n">
        <v>44270</v>
      </c>
      <c r="C555" s="1" t="n">
        <v>45258</v>
      </c>
      <c r="D555" t="inlineStr">
        <is>
          <t>VÄSTERNORRLANDS LÄN</t>
        </is>
      </c>
      <c r="E555" t="inlineStr">
        <is>
          <t>ÅNGE</t>
        </is>
      </c>
      <c r="G555" t="n">
        <v>0.6</v>
      </c>
      <c r="H555" t="n">
        <v>0</v>
      </c>
      <c r="I555" t="n">
        <v>0</v>
      </c>
      <c r="J555" t="n">
        <v>0</v>
      </c>
      <c r="K555" t="n">
        <v>0</v>
      </c>
      <c r="L555" t="n">
        <v>0</v>
      </c>
      <c r="M555" t="n">
        <v>0</v>
      </c>
      <c r="N555" t="n">
        <v>0</v>
      </c>
      <c r="O555" t="n">
        <v>0</v>
      </c>
      <c r="P555" t="n">
        <v>0</v>
      </c>
      <c r="Q555" t="n">
        <v>0</v>
      </c>
      <c r="R555" s="2" t="inlineStr"/>
    </row>
    <row r="556" ht="15" customHeight="1">
      <c r="A556" t="inlineStr">
        <is>
          <t>A 13149-2021</t>
        </is>
      </c>
      <c r="B556" s="1" t="n">
        <v>44272</v>
      </c>
      <c r="C556" s="1" t="n">
        <v>45258</v>
      </c>
      <c r="D556" t="inlineStr">
        <is>
          <t>VÄSTERNORRLANDS LÄN</t>
        </is>
      </c>
      <c r="E556" t="inlineStr">
        <is>
          <t>ÅNGE</t>
        </is>
      </c>
      <c r="G556" t="n">
        <v>3.4</v>
      </c>
      <c r="H556" t="n">
        <v>0</v>
      </c>
      <c r="I556" t="n">
        <v>0</v>
      </c>
      <c r="J556" t="n">
        <v>0</v>
      </c>
      <c r="K556" t="n">
        <v>0</v>
      </c>
      <c r="L556" t="n">
        <v>0</v>
      </c>
      <c r="M556" t="n">
        <v>0</v>
      </c>
      <c r="N556" t="n">
        <v>0</v>
      </c>
      <c r="O556" t="n">
        <v>0</v>
      </c>
      <c r="P556" t="n">
        <v>0</v>
      </c>
      <c r="Q556" t="n">
        <v>0</v>
      </c>
      <c r="R556" s="2" t="inlineStr"/>
    </row>
    <row r="557" ht="15" customHeight="1">
      <c r="A557" t="inlineStr">
        <is>
          <t>A 13501-2021</t>
        </is>
      </c>
      <c r="B557" s="1" t="n">
        <v>44273</v>
      </c>
      <c r="C557" s="1" t="n">
        <v>45258</v>
      </c>
      <c r="D557" t="inlineStr">
        <is>
          <t>VÄSTERNORRLANDS LÄN</t>
        </is>
      </c>
      <c r="E557" t="inlineStr">
        <is>
          <t>ÅNGE</t>
        </is>
      </c>
      <c r="G557" t="n">
        <v>0.4</v>
      </c>
      <c r="H557" t="n">
        <v>0</v>
      </c>
      <c r="I557" t="n">
        <v>0</v>
      </c>
      <c r="J557" t="n">
        <v>0</v>
      </c>
      <c r="K557" t="n">
        <v>0</v>
      </c>
      <c r="L557" t="n">
        <v>0</v>
      </c>
      <c r="M557" t="n">
        <v>0</v>
      </c>
      <c r="N557" t="n">
        <v>0</v>
      </c>
      <c r="O557" t="n">
        <v>0</v>
      </c>
      <c r="P557" t="n">
        <v>0</v>
      </c>
      <c r="Q557" t="n">
        <v>0</v>
      </c>
      <c r="R557" s="2" t="inlineStr"/>
    </row>
    <row r="558" ht="15" customHeight="1">
      <c r="A558" t="inlineStr">
        <is>
          <t>A 13510-2021</t>
        </is>
      </c>
      <c r="B558" s="1" t="n">
        <v>44273</v>
      </c>
      <c r="C558" s="1" t="n">
        <v>45258</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13522-2021</t>
        </is>
      </c>
      <c r="B559" s="1" t="n">
        <v>44273</v>
      </c>
      <c r="C559" s="1" t="n">
        <v>45258</v>
      </c>
      <c r="D559" t="inlineStr">
        <is>
          <t>VÄSTERNORRLANDS LÄN</t>
        </is>
      </c>
      <c r="E559" t="inlineStr">
        <is>
          <t>ÅNGE</t>
        </is>
      </c>
      <c r="G559" t="n">
        <v>0.1</v>
      </c>
      <c r="H559" t="n">
        <v>0</v>
      </c>
      <c r="I559" t="n">
        <v>0</v>
      </c>
      <c r="J559" t="n">
        <v>0</v>
      </c>
      <c r="K559" t="n">
        <v>0</v>
      </c>
      <c r="L559" t="n">
        <v>0</v>
      </c>
      <c r="M559" t="n">
        <v>0</v>
      </c>
      <c r="N559" t="n">
        <v>0</v>
      </c>
      <c r="O559" t="n">
        <v>0</v>
      </c>
      <c r="P559" t="n">
        <v>0</v>
      </c>
      <c r="Q559" t="n">
        <v>0</v>
      </c>
      <c r="R559" s="2" t="inlineStr"/>
    </row>
    <row r="560" ht="15" customHeight="1">
      <c r="A560" t="inlineStr">
        <is>
          <t>A 13479-2021</t>
        </is>
      </c>
      <c r="B560" s="1" t="n">
        <v>44273</v>
      </c>
      <c r="C560" s="1" t="n">
        <v>45258</v>
      </c>
      <c r="D560" t="inlineStr">
        <is>
          <t>VÄSTERNORRLANDS LÄN</t>
        </is>
      </c>
      <c r="E560" t="inlineStr">
        <is>
          <t>ÅNGE</t>
        </is>
      </c>
      <c r="G560" t="n">
        <v>0.1</v>
      </c>
      <c r="H560" t="n">
        <v>0</v>
      </c>
      <c r="I560" t="n">
        <v>0</v>
      </c>
      <c r="J560" t="n">
        <v>0</v>
      </c>
      <c r="K560" t="n">
        <v>0</v>
      </c>
      <c r="L560" t="n">
        <v>0</v>
      </c>
      <c r="M560" t="n">
        <v>0</v>
      </c>
      <c r="N560" t="n">
        <v>0</v>
      </c>
      <c r="O560" t="n">
        <v>0</v>
      </c>
      <c r="P560" t="n">
        <v>0</v>
      </c>
      <c r="Q560" t="n">
        <v>0</v>
      </c>
      <c r="R560" s="2" t="inlineStr"/>
    </row>
    <row r="561" ht="15" customHeight="1">
      <c r="A561" t="inlineStr">
        <is>
          <t>A 13792-2021</t>
        </is>
      </c>
      <c r="B561" s="1" t="n">
        <v>44274</v>
      </c>
      <c r="C561" s="1" t="n">
        <v>45258</v>
      </c>
      <c r="D561" t="inlineStr">
        <is>
          <t>VÄSTERNORRLANDS LÄN</t>
        </is>
      </c>
      <c r="E561" t="inlineStr">
        <is>
          <t>ÅNGE</t>
        </is>
      </c>
      <c r="G561" t="n">
        <v>0.7</v>
      </c>
      <c r="H561" t="n">
        <v>0</v>
      </c>
      <c r="I561" t="n">
        <v>0</v>
      </c>
      <c r="J561" t="n">
        <v>0</v>
      </c>
      <c r="K561" t="n">
        <v>0</v>
      </c>
      <c r="L561" t="n">
        <v>0</v>
      </c>
      <c r="M561" t="n">
        <v>0</v>
      </c>
      <c r="N561" t="n">
        <v>0</v>
      </c>
      <c r="O561" t="n">
        <v>0</v>
      </c>
      <c r="P561" t="n">
        <v>0</v>
      </c>
      <c r="Q561" t="n">
        <v>0</v>
      </c>
      <c r="R561" s="2" t="inlineStr"/>
    </row>
    <row r="562" ht="15" customHeight="1">
      <c r="A562" t="inlineStr">
        <is>
          <t>A 14587-2021</t>
        </is>
      </c>
      <c r="B562" s="1" t="n">
        <v>44279</v>
      </c>
      <c r="C562" s="1" t="n">
        <v>45258</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14812-2021</t>
        </is>
      </c>
      <c r="B563" s="1" t="n">
        <v>44280</v>
      </c>
      <c r="C563" s="1" t="n">
        <v>45258</v>
      </c>
      <c r="D563" t="inlineStr">
        <is>
          <t>VÄSTERNORRLANDS LÄN</t>
        </is>
      </c>
      <c r="E563" t="inlineStr">
        <is>
          <t>ÅNGE</t>
        </is>
      </c>
      <c r="G563" t="n">
        <v>1.6</v>
      </c>
      <c r="H563" t="n">
        <v>0</v>
      </c>
      <c r="I563" t="n">
        <v>0</v>
      </c>
      <c r="J563" t="n">
        <v>0</v>
      </c>
      <c r="K563" t="n">
        <v>0</v>
      </c>
      <c r="L563" t="n">
        <v>0</v>
      </c>
      <c r="M563" t="n">
        <v>0</v>
      </c>
      <c r="N563" t="n">
        <v>0</v>
      </c>
      <c r="O563" t="n">
        <v>0</v>
      </c>
      <c r="P563" t="n">
        <v>0</v>
      </c>
      <c r="Q563" t="n">
        <v>0</v>
      </c>
      <c r="R563" s="2" t="inlineStr"/>
    </row>
    <row r="564" ht="15" customHeight="1">
      <c r="A564" t="inlineStr">
        <is>
          <t>A 16389-2021</t>
        </is>
      </c>
      <c r="B564" s="1" t="n">
        <v>44293</v>
      </c>
      <c r="C564" s="1" t="n">
        <v>45258</v>
      </c>
      <c r="D564" t="inlineStr">
        <is>
          <t>VÄSTERNORRLANDS LÄN</t>
        </is>
      </c>
      <c r="E564" t="inlineStr">
        <is>
          <t>ÅNGE</t>
        </is>
      </c>
      <c r="G564" t="n">
        <v>16.9</v>
      </c>
      <c r="H564" t="n">
        <v>0</v>
      </c>
      <c r="I564" t="n">
        <v>0</v>
      </c>
      <c r="J564" t="n">
        <v>0</v>
      </c>
      <c r="K564" t="n">
        <v>0</v>
      </c>
      <c r="L564" t="n">
        <v>0</v>
      </c>
      <c r="M564" t="n">
        <v>0</v>
      </c>
      <c r="N564" t="n">
        <v>0</v>
      </c>
      <c r="O564" t="n">
        <v>0</v>
      </c>
      <c r="P564" t="n">
        <v>0</v>
      </c>
      <c r="Q564" t="n">
        <v>0</v>
      </c>
      <c r="R564" s="2" t="inlineStr"/>
    </row>
    <row r="565" ht="15" customHeight="1">
      <c r="A565" t="inlineStr">
        <is>
          <t>A 17594-2021</t>
        </is>
      </c>
      <c r="B565" s="1" t="n">
        <v>44299</v>
      </c>
      <c r="C565" s="1" t="n">
        <v>45258</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17844-2021</t>
        </is>
      </c>
      <c r="B566" s="1" t="n">
        <v>44301</v>
      </c>
      <c r="C566" s="1" t="n">
        <v>45258</v>
      </c>
      <c r="D566" t="inlineStr">
        <is>
          <t>VÄSTERNORRLANDS LÄN</t>
        </is>
      </c>
      <c r="E566" t="inlineStr">
        <is>
          <t>ÅNGE</t>
        </is>
      </c>
      <c r="G566" t="n">
        <v>3.3</v>
      </c>
      <c r="H566" t="n">
        <v>0</v>
      </c>
      <c r="I566" t="n">
        <v>0</v>
      </c>
      <c r="J566" t="n">
        <v>0</v>
      </c>
      <c r="K566" t="n">
        <v>0</v>
      </c>
      <c r="L566" t="n">
        <v>0</v>
      </c>
      <c r="M566" t="n">
        <v>0</v>
      </c>
      <c r="N566" t="n">
        <v>0</v>
      </c>
      <c r="O566" t="n">
        <v>0</v>
      </c>
      <c r="P566" t="n">
        <v>0</v>
      </c>
      <c r="Q566" t="n">
        <v>0</v>
      </c>
      <c r="R566" s="2" t="inlineStr"/>
    </row>
    <row r="567" ht="15" customHeight="1">
      <c r="A567" t="inlineStr">
        <is>
          <t>A 18368-2021</t>
        </is>
      </c>
      <c r="B567" s="1" t="n">
        <v>44305</v>
      </c>
      <c r="C567" s="1" t="n">
        <v>45258</v>
      </c>
      <c r="D567" t="inlineStr">
        <is>
          <t>VÄSTERNORRLANDS LÄN</t>
        </is>
      </c>
      <c r="E567" t="inlineStr">
        <is>
          <t>ÅNGE</t>
        </is>
      </c>
      <c r="G567" t="n">
        <v>7.8</v>
      </c>
      <c r="H567" t="n">
        <v>0</v>
      </c>
      <c r="I567" t="n">
        <v>0</v>
      </c>
      <c r="J567" t="n">
        <v>0</v>
      </c>
      <c r="K567" t="n">
        <v>0</v>
      </c>
      <c r="L567" t="n">
        <v>0</v>
      </c>
      <c r="M567" t="n">
        <v>0</v>
      </c>
      <c r="N567" t="n">
        <v>0</v>
      </c>
      <c r="O567" t="n">
        <v>0</v>
      </c>
      <c r="P567" t="n">
        <v>0</v>
      </c>
      <c r="Q567" t="n">
        <v>0</v>
      </c>
      <c r="R567" s="2" t="inlineStr"/>
    </row>
    <row r="568" ht="15" customHeight="1">
      <c r="A568" t="inlineStr">
        <is>
          <t>A 18379-2021</t>
        </is>
      </c>
      <c r="B568" s="1" t="n">
        <v>44305</v>
      </c>
      <c r="C568" s="1" t="n">
        <v>45258</v>
      </c>
      <c r="D568" t="inlineStr">
        <is>
          <t>VÄSTERNORRLANDS LÄN</t>
        </is>
      </c>
      <c r="E568" t="inlineStr">
        <is>
          <t>ÅNGE</t>
        </is>
      </c>
      <c r="G568" t="n">
        <v>0.9</v>
      </c>
      <c r="H568" t="n">
        <v>0</v>
      </c>
      <c r="I568" t="n">
        <v>0</v>
      </c>
      <c r="J568" t="n">
        <v>0</v>
      </c>
      <c r="K568" t="n">
        <v>0</v>
      </c>
      <c r="L568" t="n">
        <v>0</v>
      </c>
      <c r="M568" t="n">
        <v>0</v>
      </c>
      <c r="N568" t="n">
        <v>0</v>
      </c>
      <c r="O568" t="n">
        <v>0</v>
      </c>
      <c r="P568" t="n">
        <v>0</v>
      </c>
      <c r="Q568" t="n">
        <v>0</v>
      </c>
      <c r="R568" s="2" t="inlineStr"/>
    </row>
    <row r="569" ht="15" customHeight="1">
      <c r="A569" t="inlineStr">
        <is>
          <t>A 18422-2021</t>
        </is>
      </c>
      <c r="B569" s="1" t="n">
        <v>44305</v>
      </c>
      <c r="C569" s="1" t="n">
        <v>45258</v>
      </c>
      <c r="D569" t="inlineStr">
        <is>
          <t>VÄSTERNORRLANDS LÄN</t>
        </is>
      </c>
      <c r="E569" t="inlineStr">
        <is>
          <t>ÅNGE</t>
        </is>
      </c>
      <c r="G569" t="n">
        <v>1.5</v>
      </c>
      <c r="H569" t="n">
        <v>0</v>
      </c>
      <c r="I569" t="n">
        <v>0</v>
      </c>
      <c r="J569" t="n">
        <v>0</v>
      </c>
      <c r="K569" t="n">
        <v>0</v>
      </c>
      <c r="L569" t="n">
        <v>0</v>
      </c>
      <c r="M569" t="n">
        <v>0</v>
      </c>
      <c r="N569" t="n">
        <v>0</v>
      </c>
      <c r="O569" t="n">
        <v>0</v>
      </c>
      <c r="P569" t="n">
        <v>0</v>
      </c>
      <c r="Q569" t="n">
        <v>0</v>
      </c>
      <c r="R569" s="2" t="inlineStr"/>
    </row>
    <row r="570" ht="15" customHeight="1">
      <c r="A570" t="inlineStr">
        <is>
          <t>A 19102-2021</t>
        </is>
      </c>
      <c r="B570" s="1" t="n">
        <v>44308</v>
      </c>
      <c r="C570" s="1" t="n">
        <v>45258</v>
      </c>
      <c r="D570" t="inlineStr">
        <is>
          <t>VÄSTERNORRLANDS LÄN</t>
        </is>
      </c>
      <c r="E570" t="inlineStr">
        <is>
          <t>ÅNGE</t>
        </is>
      </c>
      <c r="G570" t="n">
        <v>3.3</v>
      </c>
      <c r="H570" t="n">
        <v>0</v>
      </c>
      <c r="I570" t="n">
        <v>0</v>
      </c>
      <c r="J570" t="n">
        <v>0</v>
      </c>
      <c r="K570" t="n">
        <v>0</v>
      </c>
      <c r="L570" t="n">
        <v>0</v>
      </c>
      <c r="M570" t="n">
        <v>0</v>
      </c>
      <c r="N570" t="n">
        <v>0</v>
      </c>
      <c r="O570" t="n">
        <v>0</v>
      </c>
      <c r="P570" t="n">
        <v>0</v>
      </c>
      <c r="Q570" t="n">
        <v>0</v>
      </c>
      <c r="R570" s="2" t="inlineStr"/>
    </row>
    <row r="571" ht="15" customHeight="1">
      <c r="A571" t="inlineStr">
        <is>
          <t>A 20354-2021</t>
        </is>
      </c>
      <c r="B571" s="1" t="n">
        <v>44312</v>
      </c>
      <c r="C571" s="1" t="n">
        <v>45258</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19970-2021</t>
        </is>
      </c>
      <c r="B572" s="1" t="n">
        <v>44313</v>
      </c>
      <c r="C572" s="1" t="n">
        <v>45258</v>
      </c>
      <c r="D572" t="inlineStr">
        <is>
          <t>VÄSTERNORRLANDS LÄN</t>
        </is>
      </c>
      <c r="E572" t="inlineStr">
        <is>
          <t>ÅNGE</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20576-2021</t>
        </is>
      </c>
      <c r="B573" s="1" t="n">
        <v>44316</v>
      </c>
      <c r="C573" s="1" t="n">
        <v>45258</v>
      </c>
      <c r="D573" t="inlineStr">
        <is>
          <t>VÄSTERNORRLANDS LÄN</t>
        </is>
      </c>
      <c r="E573" t="inlineStr">
        <is>
          <t>ÅNGE</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20807-2021</t>
        </is>
      </c>
      <c r="B574" s="1" t="n">
        <v>44317</v>
      </c>
      <c r="C574" s="1" t="n">
        <v>45258</v>
      </c>
      <c r="D574" t="inlineStr">
        <is>
          <t>VÄSTERNORRLANDS LÄN</t>
        </is>
      </c>
      <c r="E574" t="inlineStr">
        <is>
          <t>ÅNGE</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21189-2021</t>
        </is>
      </c>
      <c r="B575" s="1" t="n">
        <v>44320</v>
      </c>
      <c r="C575" s="1" t="n">
        <v>45258</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21642-2021</t>
        </is>
      </c>
      <c r="B576" s="1" t="n">
        <v>44322</v>
      </c>
      <c r="C576" s="1" t="n">
        <v>45258</v>
      </c>
      <c r="D576" t="inlineStr">
        <is>
          <t>VÄSTERNORRLANDS LÄN</t>
        </is>
      </c>
      <c r="E576" t="inlineStr">
        <is>
          <t>ÅNGE</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21625-2021</t>
        </is>
      </c>
      <c r="B577" s="1" t="n">
        <v>44322</v>
      </c>
      <c r="C577" s="1" t="n">
        <v>45258</v>
      </c>
      <c r="D577" t="inlineStr">
        <is>
          <t>VÄSTERNORRLANDS LÄN</t>
        </is>
      </c>
      <c r="E577" t="inlineStr">
        <is>
          <t>ÅNGE</t>
        </is>
      </c>
      <c r="G577" t="n">
        <v>3.4</v>
      </c>
      <c r="H577" t="n">
        <v>0</v>
      </c>
      <c r="I577" t="n">
        <v>0</v>
      </c>
      <c r="J577" t="n">
        <v>0</v>
      </c>
      <c r="K577" t="n">
        <v>0</v>
      </c>
      <c r="L577" t="n">
        <v>0</v>
      </c>
      <c r="M577" t="n">
        <v>0</v>
      </c>
      <c r="N577" t="n">
        <v>0</v>
      </c>
      <c r="O577" t="n">
        <v>0</v>
      </c>
      <c r="P577" t="n">
        <v>0</v>
      </c>
      <c r="Q577" t="n">
        <v>0</v>
      </c>
      <c r="R577" s="2" t="inlineStr"/>
    </row>
    <row r="578" ht="15" customHeight="1">
      <c r="A578" t="inlineStr">
        <is>
          <t>A 21960-2021</t>
        </is>
      </c>
      <c r="B578" s="1" t="n">
        <v>44323</v>
      </c>
      <c r="C578" s="1" t="n">
        <v>45258</v>
      </c>
      <c r="D578" t="inlineStr">
        <is>
          <t>VÄSTERNORRLANDS LÄN</t>
        </is>
      </c>
      <c r="E578" t="inlineStr">
        <is>
          <t>ÅNGE</t>
        </is>
      </c>
      <c r="F578" t="inlineStr">
        <is>
          <t>Holmen skog AB</t>
        </is>
      </c>
      <c r="G578" t="n">
        <v>6.8</v>
      </c>
      <c r="H578" t="n">
        <v>0</v>
      </c>
      <c r="I578" t="n">
        <v>0</v>
      </c>
      <c r="J578" t="n">
        <v>0</v>
      </c>
      <c r="K578" t="n">
        <v>0</v>
      </c>
      <c r="L578" t="n">
        <v>0</v>
      </c>
      <c r="M578" t="n">
        <v>0</v>
      </c>
      <c r="N578" t="n">
        <v>0</v>
      </c>
      <c r="O578" t="n">
        <v>0</v>
      </c>
      <c r="P578" t="n">
        <v>0</v>
      </c>
      <c r="Q578" t="n">
        <v>0</v>
      </c>
      <c r="R578" s="2" t="inlineStr"/>
    </row>
    <row r="579" ht="15" customHeight="1">
      <c r="A579" t="inlineStr">
        <is>
          <t>A 22237-2021</t>
        </is>
      </c>
      <c r="B579" s="1" t="n">
        <v>44326</v>
      </c>
      <c r="C579" s="1" t="n">
        <v>45258</v>
      </c>
      <c r="D579" t="inlineStr">
        <is>
          <t>VÄSTERNORRLANDS LÄN</t>
        </is>
      </c>
      <c r="E579" t="inlineStr">
        <is>
          <t>ÅNGE</t>
        </is>
      </c>
      <c r="G579" t="n">
        <v>3.7</v>
      </c>
      <c r="H579" t="n">
        <v>0</v>
      </c>
      <c r="I579" t="n">
        <v>0</v>
      </c>
      <c r="J579" t="n">
        <v>0</v>
      </c>
      <c r="K579" t="n">
        <v>0</v>
      </c>
      <c r="L579" t="n">
        <v>0</v>
      </c>
      <c r="M579" t="n">
        <v>0</v>
      </c>
      <c r="N579" t="n">
        <v>0</v>
      </c>
      <c r="O579" t="n">
        <v>0</v>
      </c>
      <c r="P579" t="n">
        <v>0</v>
      </c>
      <c r="Q579" t="n">
        <v>0</v>
      </c>
      <c r="R579" s="2" t="inlineStr"/>
    </row>
    <row r="580" ht="15" customHeight="1">
      <c r="A580" t="inlineStr">
        <is>
          <t>A 22597-2021</t>
        </is>
      </c>
      <c r="B580" s="1" t="n">
        <v>44326</v>
      </c>
      <c r="C580" s="1" t="n">
        <v>45258</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23018-2021</t>
        </is>
      </c>
      <c r="B581" s="1" t="n">
        <v>44328</v>
      </c>
      <c r="C581" s="1" t="n">
        <v>45258</v>
      </c>
      <c r="D581" t="inlineStr">
        <is>
          <t>VÄSTERNORRLANDS LÄN</t>
        </is>
      </c>
      <c r="E581" t="inlineStr">
        <is>
          <t>ÅNGE</t>
        </is>
      </c>
      <c r="G581" t="n">
        <v>1.8</v>
      </c>
      <c r="H581" t="n">
        <v>0</v>
      </c>
      <c r="I581" t="n">
        <v>0</v>
      </c>
      <c r="J581" t="n">
        <v>0</v>
      </c>
      <c r="K581" t="n">
        <v>0</v>
      </c>
      <c r="L581" t="n">
        <v>0</v>
      </c>
      <c r="M581" t="n">
        <v>0</v>
      </c>
      <c r="N581" t="n">
        <v>0</v>
      </c>
      <c r="O581" t="n">
        <v>0</v>
      </c>
      <c r="P581" t="n">
        <v>0</v>
      </c>
      <c r="Q581" t="n">
        <v>0</v>
      </c>
      <c r="R581" s="2" t="inlineStr"/>
    </row>
    <row r="582" ht="15" customHeight="1">
      <c r="A582" t="inlineStr">
        <is>
          <t>A 23017-2021</t>
        </is>
      </c>
      <c r="B582" s="1" t="n">
        <v>44329</v>
      </c>
      <c r="C582" s="1" t="n">
        <v>45258</v>
      </c>
      <c r="D582" t="inlineStr">
        <is>
          <t>VÄSTERNORRLANDS LÄN</t>
        </is>
      </c>
      <c r="E582" t="inlineStr">
        <is>
          <t>ÅNGE</t>
        </is>
      </c>
      <c r="G582" t="n">
        <v>0.7</v>
      </c>
      <c r="H582" t="n">
        <v>0</v>
      </c>
      <c r="I582" t="n">
        <v>0</v>
      </c>
      <c r="J582" t="n">
        <v>0</v>
      </c>
      <c r="K582" t="n">
        <v>0</v>
      </c>
      <c r="L582" t="n">
        <v>0</v>
      </c>
      <c r="M582" t="n">
        <v>0</v>
      </c>
      <c r="N582" t="n">
        <v>0</v>
      </c>
      <c r="O582" t="n">
        <v>0</v>
      </c>
      <c r="P582" t="n">
        <v>0</v>
      </c>
      <c r="Q582" t="n">
        <v>0</v>
      </c>
      <c r="R582" s="2" t="inlineStr"/>
    </row>
    <row r="583" ht="15" customHeight="1">
      <c r="A583" t="inlineStr">
        <is>
          <t>A 23016-2021</t>
        </is>
      </c>
      <c r="B583" s="1" t="n">
        <v>44329</v>
      </c>
      <c r="C583" s="1" t="n">
        <v>45258</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24233-2021</t>
        </is>
      </c>
      <c r="B584" s="1" t="n">
        <v>44336</v>
      </c>
      <c r="C584" s="1" t="n">
        <v>45258</v>
      </c>
      <c r="D584" t="inlineStr">
        <is>
          <t>VÄSTERNORRLANDS LÄN</t>
        </is>
      </c>
      <c r="E584" t="inlineStr">
        <is>
          <t>ÅNGE</t>
        </is>
      </c>
      <c r="G584" t="n">
        <v>3.2</v>
      </c>
      <c r="H584" t="n">
        <v>0</v>
      </c>
      <c r="I584" t="n">
        <v>0</v>
      </c>
      <c r="J584" t="n">
        <v>0</v>
      </c>
      <c r="K584" t="n">
        <v>0</v>
      </c>
      <c r="L584" t="n">
        <v>0</v>
      </c>
      <c r="M584" t="n">
        <v>0</v>
      </c>
      <c r="N584" t="n">
        <v>0</v>
      </c>
      <c r="O584" t="n">
        <v>0</v>
      </c>
      <c r="P584" t="n">
        <v>0</v>
      </c>
      <c r="Q584" t="n">
        <v>0</v>
      </c>
      <c r="R584" s="2" t="inlineStr"/>
    </row>
    <row r="585" ht="15" customHeight="1">
      <c r="A585" t="inlineStr">
        <is>
          <t>A 24819-2021</t>
        </is>
      </c>
      <c r="B585" s="1" t="n">
        <v>44340</v>
      </c>
      <c r="C585" s="1" t="n">
        <v>45258</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24831-2021</t>
        </is>
      </c>
      <c r="B586" s="1" t="n">
        <v>44340</v>
      </c>
      <c r="C586" s="1" t="n">
        <v>45258</v>
      </c>
      <c r="D586" t="inlineStr">
        <is>
          <t>VÄSTERNORRLANDS LÄN</t>
        </is>
      </c>
      <c r="E586" t="inlineStr">
        <is>
          <t>ÅNGE</t>
        </is>
      </c>
      <c r="G586" t="n">
        <v>0.5</v>
      </c>
      <c r="H586" t="n">
        <v>0</v>
      </c>
      <c r="I586" t="n">
        <v>0</v>
      </c>
      <c r="J586" t="n">
        <v>0</v>
      </c>
      <c r="K586" t="n">
        <v>0</v>
      </c>
      <c r="L586" t="n">
        <v>0</v>
      </c>
      <c r="M586" t="n">
        <v>0</v>
      </c>
      <c r="N586" t="n">
        <v>0</v>
      </c>
      <c r="O586" t="n">
        <v>0</v>
      </c>
      <c r="P586" t="n">
        <v>0</v>
      </c>
      <c r="Q586" t="n">
        <v>0</v>
      </c>
      <c r="R586" s="2" t="inlineStr"/>
    </row>
    <row r="587" ht="15" customHeight="1">
      <c r="A587" t="inlineStr">
        <is>
          <t>A 25020-2021</t>
        </is>
      </c>
      <c r="B587" s="1" t="n">
        <v>44341</v>
      </c>
      <c r="C587" s="1" t="n">
        <v>45258</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24953-2021</t>
        </is>
      </c>
      <c r="B588" s="1" t="n">
        <v>44341</v>
      </c>
      <c r="C588" s="1" t="n">
        <v>45258</v>
      </c>
      <c r="D588" t="inlineStr">
        <is>
          <t>VÄSTERNORRLANDS LÄN</t>
        </is>
      </c>
      <c r="E588" t="inlineStr">
        <is>
          <t>ÅNGE</t>
        </is>
      </c>
      <c r="G588" t="n">
        <v>6.1</v>
      </c>
      <c r="H588" t="n">
        <v>0</v>
      </c>
      <c r="I588" t="n">
        <v>0</v>
      </c>
      <c r="J588" t="n">
        <v>0</v>
      </c>
      <c r="K588" t="n">
        <v>0</v>
      </c>
      <c r="L588" t="n">
        <v>0</v>
      </c>
      <c r="M588" t="n">
        <v>0</v>
      </c>
      <c r="N588" t="n">
        <v>0</v>
      </c>
      <c r="O588" t="n">
        <v>0</v>
      </c>
      <c r="P588" t="n">
        <v>0</v>
      </c>
      <c r="Q588" t="n">
        <v>0</v>
      </c>
      <c r="R588" s="2" t="inlineStr"/>
    </row>
    <row r="589" ht="15" customHeight="1">
      <c r="A589" t="inlineStr">
        <is>
          <t>A 24977-2021</t>
        </is>
      </c>
      <c r="B589" s="1" t="n">
        <v>44341</v>
      </c>
      <c r="C589" s="1" t="n">
        <v>45258</v>
      </c>
      <c r="D589" t="inlineStr">
        <is>
          <t>VÄSTERNORRLANDS LÄN</t>
        </is>
      </c>
      <c r="E589" t="inlineStr">
        <is>
          <t>ÅNGE</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26088-2021</t>
        </is>
      </c>
      <c r="B590" s="1" t="n">
        <v>44345</v>
      </c>
      <c r="C590" s="1" t="n">
        <v>45258</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26193-2021</t>
        </is>
      </c>
      <c r="B591" s="1" t="n">
        <v>44347</v>
      </c>
      <c r="C591" s="1" t="n">
        <v>45258</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26966-2021</t>
        </is>
      </c>
      <c r="B592" s="1" t="n">
        <v>44350</v>
      </c>
      <c r="C592" s="1" t="n">
        <v>45258</v>
      </c>
      <c r="D592" t="inlineStr">
        <is>
          <t>VÄSTERNORRLANDS LÄN</t>
        </is>
      </c>
      <c r="E592" t="inlineStr">
        <is>
          <t>ÅNGE</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26969-2021</t>
        </is>
      </c>
      <c r="B593" s="1" t="n">
        <v>44350</v>
      </c>
      <c r="C593" s="1" t="n">
        <v>45258</v>
      </c>
      <c r="D593" t="inlineStr">
        <is>
          <t>VÄSTERNORRLANDS LÄN</t>
        </is>
      </c>
      <c r="E593" t="inlineStr">
        <is>
          <t>ÅNGE</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27288-2021</t>
        </is>
      </c>
      <c r="B594" s="1" t="n">
        <v>44351</v>
      </c>
      <c r="C594" s="1" t="n">
        <v>45258</v>
      </c>
      <c r="D594" t="inlineStr">
        <is>
          <t>VÄSTERNORRLANDS LÄN</t>
        </is>
      </c>
      <c r="E594" t="inlineStr">
        <is>
          <t>ÅNGE</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27951-2021</t>
        </is>
      </c>
      <c r="B595" s="1" t="n">
        <v>44354</v>
      </c>
      <c r="C595" s="1" t="n">
        <v>45258</v>
      </c>
      <c r="D595" t="inlineStr">
        <is>
          <t>VÄSTERNORRLANDS LÄN</t>
        </is>
      </c>
      <c r="E595" t="inlineStr">
        <is>
          <t>ÅNGE</t>
        </is>
      </c>
      <c r="G595" t="n">
        <v>3</v>
      </c>
      <c r="H595" t="n">
        <v>0</v>
      </c>
      <c r="I595" t="n">
        <v>0</v>
      </c>
      <c r="J595" t="n">
        <v>0</v>
      </c>
      <c r="K595" t="n">
        <v>0</v>
      </c>
      <c r="L595" t="n">
        <v>0</v>
      </c>
      <c r="M595" t="n">
        <v>0</v>
      </c>
      <c r="N595" t="n">
        <v>0</v>
      </c>
      <c r="O595" t="n">
        <v>0</v>
      </c>
      <c r="P595" t="n">
        <v>0</v>
      </c>
      <c r="Q595" t="n">
        <v>0</v>
      </c>
      <c r="R595" s="2" t="inlineStr"/>
    </row>
    <row r="596" ht="15" customHeight="1">
      <c r="A596" t="inlineStr">
        <is>
          <t>A 27953-2021</t>
        </is>
      </c>
      <c r="B596" s="1" t="n">
        <v>44355</v>
      </c>
      <c r="C596" s="1" t="n">
        <v>45258</v>
      </c>
      <c r="D596" t="inlineStr">
        <is>
          <t>VÄSTERNORRLANDS LÄN</t>
        </is>
      </c>
      <c r="E596" t="inlineStr">
        <is>
          <t>ÅNGE</t>
        </is>
      </c>
      <c r="G596" t="n">
        <v>2.9</v>
      </c>
      <c r="H596" t="n">
        <v>0</v>
      </c>
      <c r="I596" t="n">
        <v>0</v>
      </c>
      <c r="J596" t="n">
        <v>0</v>
      </c>
      <c r="K596" t="n">
        <v>0</v>
      </c>
      <c r="L596" t="n">
        <v>0</v>
      </c>
      <c r="M596" t="n">
        <v>0</v>
      </c>
      <c r="N596" t="n">
        <v>0</v>
      </c>
      <c r="O596" t="n">
        <v>0</v>
      </c>
      <c r="P596" t="n">
        <v>0</v>
      </c>
      <c r="Q596" t="n">
        <v>0</v>
      </c>
      <c r="R596" s="2" t="inlineStr"/>
    </row>
    <row r="597" ht="15" customHeight="1">
      <c r="A597" t="inlineStr">
        <is>
          <t>A 27957-2021</t>
        </is>
      </c>
      <c r="B597" s="1" t="n">
        <v>44354</v>
      </c>
      <c r="C597" s="1" t="n">
        <v>45258</v>
      </c>
      <c r="D597" t="inlineStr">
        <is>
          <t>VÄSTERNORRLANDS LÄN</t>
        </is>
      </c>
      <c r="E597" t="inlineStr">
        <is>
          <t>ÅNGE</t>
        </is>
      </c>
      <c r="G597" t="n">
        <v>13.5</v>
      </c>
      <c r="H597" t="n">
        <v>0</v>
      </c>
      <c r="I597" t="n">
        <v>0</v>
      </c>
      <c r="J597" t="n">
        <v>0</v>
      </c>
      <c r="K597" t="n">
        <v>0</v>
      </c>
      <c r="L597" t="n">
        <v>0</v>
      </c>
      <c r="M597" t="n">
        <v>0</v>
      </c>
      <c r="N597" t="n">
        <v>0</v>
      </c>
      <c r="O597" t="n">
        <v>0</v>
      </c>
      <c r="P597" t="n">
        <v>0</v>
      </c>
      <c r="Q597" t="n">
        <v>0</v>
      </c>
      <c r="R597" s="2" t="inlineStr"/>
    </row>
    <row r="598" ht="15" customHeight="1">
      <c r="A598" t="inlineStr">
        <is>
          <t>A 27954-2021</t>
        </is>
      </c>
      <c r="B598" s="1" t="n">
        <v>44354</v>
      </c>
      <c r="C598" s="1" t="n">
        <v>45258</v>
      </c>
      <c r="D598" t="inlineStr">
        <is>
          <t>VÄSTERNORRLANDS LÄN</t>
        </is>
      </c>
      <c r="E598" t="inlineStr">
        <is>
          <t>ÅNGE</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29048-2021</t>
        </is>
      </c>
      <c r="B599" s="1" t="n">
        <v>44358</v>
      </c>
      <c r="C599" s="1" t="n">
        <v>45258</v>
      </c>
      <c r="D599" t="inlineStr">
        <is>
          <t>VÄSTERNORRLANDS LÄN</t>
        </is>
      </c>
      <c r="E599" t="inlineStr">
        <is>
          <t>ÅNGE</t>
        </is>
      </c>
      <c r="G599" t="n">
        <v>2.5</v>
      </c>
      <c r="H599" t="n">
        <v>0</v>
      </c>
      <c r="I599" t="n">
        <v>0</v>
      </c>
      <c r="J599" t="n">
        <v>0</v>
      </c>
      <c r="K599" t="n">
        <v>0</v>
      </c>
      <c r="L599" t="n">
        <v>0</v>
      </c>
      <c r="M599" t="n">
        <v>0</v>
      </c>
      <c r="N599" t="n">
        <v>0</v>
      </c>
      <c r="O599" t="n">
        <v>0</v>
      </c>
      <c r="P599" t="n">
        <v>0</v>
      </c>
      <c r="Q599" t="n">
        <v>0</v>
      </c>
      <c r="R599" s="2" t="inlineStr"/>
    </row>
    <row r="600" ht="15" customHeight="1">
      <c r="A600" t="inlineStr">
        <is>
          <t>A 29180-2021</t>
        </is>
      </c>
      <c r="B600" s="1" t="n">
        <v>44358</v>
      </c>
      <c r="C600" s="1" t="n">
        <v>45258</v>
      </c>
      <c r="D600" t="inlineStr">
        <is>
          <t>VÄSTERNORRLANDS LÄN</t>
        </is>
      </c>
      <c r="E600" t="inlineStr">
        <is>
          <t>ÅNGE</t>
        </is>
      </c>
      <c r="G600" t="n">
        <v>5.3</v>
      </c>
      <c r="H600" t="n">
        <v>0</v>
      </c>
      <c r="I600" t="n">
        <v>0</v>
      </c>
      <c r="J600" t="n">
        <v>0</v>
      </c>
      <c r="K600" t="n">
        <v>0</v>
      </c>
      <c r="L600" t="n">
        <v>0</v>
      </c>
      <c r="M600" t="n">
        <v>0</v>
      </c>
      <c r="N600" t="n">
        <v>0</v>
      </c>
      <c r="O600" t="n">
        <v>0</v>
      </c>
      <c r="P600" t="n">
        <v>0</v>
      </c>
      <c r="Q600" t="n">
        <v>0</v>
      </c>
      <c r="R600" s="2" t="inlineStr"/>
    </row>
    <row r="601" ht="15" customHeight="1">
      <c r="A601" t="inlineStr">
        <is>
          <t>A 29187-2021</t>
        </is>
      </c>
      <c r="B601" s="1" t="n">
        <v>44358</v>
      </c>
      <c r="C601" s="1" t="n">
        <v>45258</v>
      </c>
      <c r="D601" t="inlineStr">
        <is>
          <t>VÄSTERNORRLANDS LÄN</t>
        </is>
      </c>
      <c r="E601" t="inlineStr">
        <is>
          <t>ÅNGE</t>
        </is>
      </c>
      <c r="G601" t="n">
        <v>0.3</v>
      </c>
      <c r="H601" t="n">
        <v>0</v>
      </c>
      <c r="I601" t="n">
        <v>0</v>
      </c>
      <c r="J601" t="n">
        <v>0</v>
      </c>
      <c r="K601" t="n">
        <v>0</v>
      </c>
      <c r="L601" t="n">
        <v>0</v>
      </c>
      <c r="M601" t="n">
        <v>0</v>
      </c>
      <c r="N601" t="n">
        <v>0</v>
      </c>
      <c r="O601" t="n">
        <v>0</v>
      </c>
      <c r="P601" t="n">
        <v>0</v>
      </c>
      <c r="Q601" t="n">
        <v>0</v>
      </c>
      <c r="R601" s="2" t="inlineStr"/>
    </row>
    <row r="602" ht="15" customHeight="1">
      <c r="A602" t="inlineStr">
        <is>
          <t>A 29191-2021</t>
        </is>
      </c>
      <c r="B602" s="1" t="n">
        <v>44358</v>
      </c>
      <c r="C602" s="1" t="n">
        <v>45258</v>
      </c>
      <c r="D602" t="inlineStr">
        <is>
          <t>VÄSTERNORRLANDS LÄN</t>
        </is>
      </c>
      <c r="E602" t="inlineStr">
        <is>
          <t>ÅNGE</t>
        </is>
      </c>
      <c r="G602" t="n">
        <v>1.7</v>
      </c>
      <c r="H602" t="n">
        <v>0</v>
      </c>
      <c r="I602" t="n">
        <v>0</v>
      </c>
      <c r="J602" t="n">
        <v>0</v>
      </c>
      <c r="K602" t="n">
        <v>0</v>
      </c>
      <c r="L602" t="n">
        <v>0</v>
      </c>
      <c r="M602" t="n">
        <v>0</v>
      </c>
      <c r="N602" t="n">
        <v>0</v>
      </c>
      <c r="O602" t="n">
        <v>0</v>
      </c>
      <c r="P602" t="n">
        <v>0</v>
      </c>
      <c r="Q602" t="n">
        <v>0</v>
      </c>
      <c r="R602" s="2" t="inlineStr"/>
    </row>
    <row r="603" ht="15" customHeight="1">
      <c r="A603" t="inlineStr">
        <is>
          <t>A 29390-2021</t>
        </is>
      </c>
      <c r="B603" s="1" t="n">
        <v>44361</v>
      </c>
      <c r="C603" s="1" t="n">
        <v>45258</v>
      </c>
      <c r="D603" t="inlineStr">
        <is>
          <t>VÄSTERNORRLANDS LÄN</t>
        </is>
      </c>
      <c r="E603" t="inlineStr">
        <is>
          <t>ÅNGE</t>
        </is>
      </c>
      <c r="F603" t="inlineStr">
        <is>
          <t>Holmen skog AB</t>
        </is>
      </c>
      <c r="G603" t="n">
        <v>1.7</v>
      </c>
      <c r="H603" t="n">
        <v>0</v>
      </c>
      <c r="I603" t="n">
        <v>0</v>
      </c>
      <c r="J603" t="n">
        <v>0</v>
      </c>
      <c r="K603" t="n">
        <v>0</v>
      </c>
      <c r="L603" t="n">
        <v>0</v>
      </c>
      <c r="M603" t="n">
        <v>0</v>
      </c>
      <c r="N603" t="n">
        <v>0</v>
      </c>
      <c r="O603" t="n">
        <v>0</v>
      </c>
      <c r="P603" t="n">
        <v>0</v>
      </c>
      <c r="Q603" t="n">
        <v>0</v>
      </c>
      <c r="R603" s="2" t="inlineStr"/>
    </row>
    <row r="604" ht="15" customHeight="1">
      <c r="A604" t="inlineStr">
        <is>
          <t>A 29509-2021</t>
        </is>
      </c>
      <c r="B604" s="1" t="n">
        <v>44361</v>
      </c>
      <c r="C604" s="1" t="n">
        <v>45258</v>
      </c>
      <c r="D604" t="inlineStr">
        <is>
          <t>VÄSTERNORRLANDS LÄN</t>
        </is>
      </c>
      <c r="E604" t="inlineStr">
        <is>
          <t>ÅNGE</t>
        </is>
      </c>
      <c r="G604" t="n">
        <v>3.6</v>
      </c>
      <c r="H604" t="n">
        <v>0</v>
      </c>
      <c r="I604" t="n">
        <v>0</v>
      </c>
      <c r="J604" t="n">
        <v>0</v>
      </c>
      <c r="K604" t="n">
        <v>0</v>
      </c>
      <c r="L604" t="n">
        <v>0</v>
      </c>
      <c r="M604" t="n">
        <v>0</v>
      </c>
      <c r="N604" t="n">
        <v>0</v>
      </c>
      <c r="O604" t="n">
        <v>0</v>
      </c>
      <c r="P604" t="n">
        <v>0</v>
      </c>
      <c r="Q604" t="n">
        <v>0</v>
      </c>
      <c r="R604" s="2" t="inlineStr"/>
    </row>
    <row r="605" ht="15" customHeight="1">
      <c r="A605" t="inlineStr">
        <is>
          <t>A 30286-2021</t>
        </is>
      </c>
      <c r="B605" s="1" t="n">
        <v>44363</v>
      </c>
      <c r="C605" s="1" t="n">
        <v>45258</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30345-2021</t>
        </is>
      </c>
      <c r="B606" s="1" t="n">
        <v>44364</v>
      </c>
      <c r="C606" s="1" t="n">
        <v>45258</v>
      </c>
      <c r="D606" t="inlineStr">
        <is>
          <t>VÄSTERNORRLANDS LÄN</t>
        </is>
      </c>
      <c r="E606" t="inlineStr">
        <is>
          <t>ÅNGE</t>
        </is>
      </c>
      <c r="G606" t="n">
        <v>7.7</v>
      </c>
      <c r="H606" t="n">
        <v>0</v>
      </c>
      <c r="I606" t="n">
        <v>0</v>
      </c>
      <c r="J606" t="n">
        <v>0</v>
      </c>
      <c r="K606" t="n">
        <v>0</v>
      </c>
      <c r="L606" t="n">
        <v>0</v>
      </c>
      <c r="M606" t="n">
        <v>0</v>
      </c>
      <c r="N606" t="n">
        <v>0</v>
      </c>
      <c r="O606" t="n">
        <v>0</v>
      </c>
      <c r="P606" t="n">
        <v>0</v>
      </c>
      <c r="Q606" t="n">
        <v>0</v>
      </c>
      <c r="R606" s="2" t="inlineStr"/>
    </row>
    <row r="607" ht="15" customHeight="1">
      <c r="A607" t="inlineStr">
        <is>
          <t>A 30365-2021</t>
        </is>
      </c>
      <c r="B607" s="1" t="n">
        <v>44364</v>
      </c>
      <c r="C607" s="1" t="n">
        <v>45258</v>
      </c>
      <c r="D607" t="inlineStr">
        <is>
          <t>VÄSTERNORRLANDS LÄN</t>
        </is>
      </c>
      <c r="E607" t="inlineStr">
        <is>
          <t>ÅNGE</t>
        </is>
      </c>
      <c r="G607" t="n">
        <v>3.9</v>
      </c>
      <c r="H607" t="n">
        <v>0</v>
      </c>
      <c r="I607" t="n">
        <v>0</v>
      </c>
      <c r="J607" t="n">
        <v>0</v>
      </c>
      <c r="K607" t="n">
        <v>0</v>
      </c>
      <c r="L607" t="n">
        <v>0</v>
      </c>
      <c r="M607" t="n">
        <v>0</v>
      </c>
      <c r="N607" t="n">
        <v>0</v>
      </c>
      <c r="O607" t="n">
        <v>0</v>
      </c>
      <c r="P607" t="n">
        <v>0</v>
      </c>
      <c r="Q607" t="n">
        <v>0</v>
      </c>
      <c r="R607" s="2" t="inlineStr"/>
    </row>
    <row r="608" ht="15" customHeight="1">
      <c r="A608" t="inlineStr">
        <is>
          <t>A 31191-2021</t>
        </is>
      </c>
      <c r="B608" s="1" t="n">
        <v>44368</v>
      </c>
      <c r="C608" s="1" t="n">
        <v>45258</v>
      </c>
      <c r="D608" t="inlineStr">
        <is>
          <t>VÄSTERNORRLANDS LÄN</t>
        </is>
      </c>
      <c r="E608" t="inlineStr">
        <is>
          <t>ÅNGE</t>
        </is>
      </c>
      <c r="F608" t="inlineStr">
        <is>
          <t>Sveaskog</t>
        </is>
      </c>
      <c r="G608" t="n">
        <v>21.6</v>
      </c>
      <c r="H608" t="n">
        <v>0</v>
      </c>
      <c r="I608" t="n">
        <v>0</v>
      </c>
      <c r="J608" t="n">
        <v>0</v>
      </c>
      <c r="K608" t="n">
        <v>0</v>
      </c>
      <c r="L608" t="n">
        <v>0</v>
      </c>
      <c r="M608" t="n">
        <v>0</v>
      </c>
      <c r="N608" t="n">
        <v>0</v>
      </c>
      <c r="O608" t="n">
        <v>0</v>
      </c>
      <c r="P608" t="n">
        <v>0</v>
      </c>
      <c r="Q608" t="n">
        <v>0</v>
      </c>
      <c r="R608" s="2" t="inlineStr"/>
    </row>
    <row r="609" ht="15" customHeight="1">
      <c r="A609" t="inlineStr">
        <is>
          <t>A 31578-2021</t>
        </is>
      </c>
      <c r="B609" s="1" t="n">
        <v>44369</v>
      </c>
      <c r="C609" s="1" t="n">
        <v>45258</v>
      </c>
      <c r="D609" t="inlineStr">
        <is>
          <t>VÄSTERNORRLANDS LÄN</t>
        </is>
      </c>
      <c r="E609" t="inlineStr">
        <is>
          <t>ÅNGE</t>
        </is>
      </c>
      <c r="G609" t="n">
        <v>25.8</v>
      </c>
      <c r="H609" t="n">
        <v>0</v>
      </c>
      <c r="I609" t="n">
        <v>0</v>
      </c>
      <c r="J609" t="n">
        <v>0</v>
      </c>
      <c r="K609" t="n">
        <v>0</v>
      </c>
      <c r="L609" t="n">
        <v>0</v>
      </c>
      <c r="M609" t="n">
        <v>0</v>
      </c>
      <c r="N609" t="n">
        <v>0</v>
      </c>
      <c r="O609" t="n">
        <v>0</v>
      </c>
      <c r="P609" t="n">
        <v>0</v>
      </c>
      <c r="Q609" t="n">
        <v>0</v>
      </c>
      <c r="R609" s="2" t="inlineStr"/>
    </row>
    <row r="610" ht="15" customHeight="1">
      <c r="A610" t="inlineStr">
        <is>
          <t>A 31668-2021</t>
        </is>
      </c>
      <c r="B610" s="1" t="n">
        <v>44369</v>
      </c>
      <c r="C610" s="1" t="n">
        <v>45258</v>
      </c>
      <c r="D610" t="inlineStr">
        <is>
          <t>VÄSTERNORRLANDS LÄN</t>
        </is>
      </c>
      <c r="E610" t="inlineStr">
        <is>
          <t>ÅNGE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32328-2021</t>
        </is>
      </c>
      <c r="B611" s="1" t="n">
        <v>44371</v>
      </c>
      <c r="C611" s="1" t="n">
        <v>45258</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33408-2021</t>
        </is>
      </c>
      <c r="B612" s="1" t="n">
        <v>44377</v>
      </c>
      <c r="C612" s="1" t="n">
        <v>45258</v>
      </c>
      <c r="D612" t="inlineStr">
        <is>
          <t>VÄSTERNORRLANDS LÄN</t>
        </is>
      </c>
      <c r="E612" t="inlineStr">
        <is>
          <t>ÅNGE</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34315-2021</t>
        </is>
      </c>
      <c r="B613" s="1" t="n">
        <v>44379</v>
      </c>
      <c r="C613" s="1" t="n">
        <v>45258</v>
      </c>
      <c r="D613" t="inlineStr">
        <is>
          <t>VÄSTERNORRLANDS LÄN</t>
        </is>
      </c>
      <c r="E613" t="inlineStr">
        <is>
          <t>ÅNGE</t>
        </is>
      </c>
      <c r="G613" t="n">
        <v>16.4</v>
      </c>
      <c r="H613" t="n">
        <v>0</v>
      </c>
      <c r="I613" t="n">
        <v>0</v>
      </c>
      <c r="J613" t="n">
        <v>0</v>
      </c>
      <c r="K613" t="n">
        <v>0</v>
      </c>
      <c r="L613" t="n">
        <v>0</v>
      </c>
      <c r="M613" t="n">
        <v>0</v>
      </c>
      <c r="N613" t="n">
        <v>0</v>
      </c>
      <c r="O613" t="n">
        <v>0</v>
      </c>
      <c r="P613" t="n">
        <v>0</v>
      </c>
      <c r="Q613" t="n">
        <v>0</v>
      </c>
      <c r="R613" s="2" t="inlineStr"/>
    </row>
    <row r="614" ht="15" customHeight="1">
      <c r="A614" t="inlineStr">
        <is>
          <t>A 34320-2021</t>
        </is>
      </c>
      <c r="B614" s="1" t="n">
        <v>44379</v>
      </c>
      <c r="C614" s="1" t="n">
        <v>45258</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34783-2021</t>
        </is>
      </c>
      <c r="B615" s="1" t="n">
        <v>44382</v>
      </c>
      <c r="C615" s="1" t="n">
        <v>45258</v>
      </c>
      <c r="D615" t="inlineStr">
        <is>
          <t>VÄSTERNORRLANDS LÄN</t>
        </is>
      </c>
      <c r="E615" t="inlineStr">
        <is>
          <t>ÅNGE</t>
        </is>
      </c>
      <c r="F615" t="inlineStr">
        <is>
          <t>SCA</t>
        </is>
      </c>
      <c r="G615" t="n">
        <v>8.5</v>
      </c>
      <c r="H615" t="n">
        <v>0</v>
      </c>
      <c r="I615" t="n">
        <v>0</v>
      </c>
      <c r="J615" t="n">
        <v>0</v>
      </c>
      <c r="K615" t="n">
        <v>0</v>
      </c>
      <c r="L615" t="n">
        <v>0</v>
      </c>
      <c r="M615" t="n">
        <v>0</v>
      </c>
      <c r="N615" t="n">
        <v>0</v>
      </c>
      <c r="O615" t="n">
        <v>0</v>
      </c>
      <c r="P615" t="n">
        <v>0</v>
      </c>
      <c r="Q615" t="n">
        <v>0</v>
      </c>
      <c r="R615" s="2" t="inlineStr"/>
    </row>
    <row r="616" ht="15" customHeight="1">
      <c r="A616" t="inlineStr">
        <is>
          <t>A 35058-2021</t>
        </is>
      </c>
      <c r="B616" s="1" t="n">
        <v>44383</v>
      </c>
      <c r="C616" s="1" t="n">
        <v>45258</v>
      </c>
      <c r="D616" t="inlineStr">
        <is>
          <t>VÄSTERNORRLANDS LÄN</t>
        </is>
      </c>
      <c r="E616" t="inlineStr">
        <is>
          <t>ÅNGE</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35079-2021</t>
        </is>
      </c>
      <c r="B617" s="1" t="n">
        <v>44383</v>
      </c>
      <c r="C617" s="1" t="n">
        <v>45258</v>
      </c>
      <c r="D617" t="inlineStr">
        <is>
          <t>VÄSTERNORRLANDS LÄN</t>
        </is>
      </c>
      <c r="E617" t="inlineStr">
        <is>
          <t>ÅNGE</t>
        </is>
      </c>
      <c r="G617" t="n">
        <v>2.8</v>
      </c>
      <c r="H617" t="n">
        <v>0</v>
      </c>
      <c r="I617" t="n">
        <v>0</v>
      </c>
      <c r="J617" t="n">
        <v>0</v>
      </c>
      <c r="K617" t="n">
        <v>0</v>
      </c>
      <c r="L617" t="n">
        <v>0</v>
      </c>
      <c r="M617" t="n">
        <v>0</v>
      </c>
      <c r="N617" t="n">
        <v>0</v>
      </c>
      <c r="O617" t="n">
        <v>0</v>
      </c>
      <c r="P617" t="n">
        <v>0</v>
      </c>
      <c r="Q617" t="n">
        <v>0</v>
      </c>
      <c r="R617" s="2" t="inlineStr"/>
    </row>
    <row r="618" ht="15" customHeight="1">
      <c r="A618" t="inlineStr">
        <is>
          <t>A 35339-2021</t>
        </is>
      </c>
      <c r="B618" s="1" t="n">
        <v>44384</v>
      </c>
      <c r="C618" s="1" t="n">
        <v>45258</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35359-2021</t>
        </is>
      </c>
      <c r="B619" s="1" t="n">
        <v>44385</v>
      </c>
      <c r="C619" s="1" t="n">
        <v>45258</v>
      </c>
      <c r="D619" t="inlineStr">
        <is>
          <t>VÄSTERNORRLANDS LÄN</t>
        </is>
      </c>
      <c r="E619" t="inlineStr">
        <is>
          <t>ÅNGE</t>
        </is>
      </c>
      <c r="F619" t="inlineStr">
        <is>
          <t>SCA</t>
        </is>
      </c>
      <c r="G619" t="n">
        <v>10.1</v>
      </c>
      <c r="H619" t="n">
        <v>0</v>
      </c>
      <c r="I619" t="n">
        <v>0</v>
      </c>
      <c r="J619" t="n">
        <v>0</v>
      </c>
      <c r="K619" t="n">
        <v>0</v>
      </c>
      <c r="L619" t="n">
        <v>0</v>
      </c>
      <c r="M619" t="n">
        <v>0</v>
      </c>
      <c r="N619" t="n">
        <v>0</v>
      </c>
      <c r="O619" t="n">
        <v>0</v>
      </c>
      <c r="P619" t="n">
        <v>0</v>
      </c>
      <c r="Q619" t="n">
        <v>0</v>
      </c>
      <c r="R619" s="2" t="inlineStr"/>
    </row>
    <row r="620" ht="15" customHeight="1">
      <c r="A620" t="inlineStr">
        <is>
          <t>A 36457-2021</t>
        </is>
      </c>
      <c r="B620" s="1" t="n">
        <v>44391</v>
      </c>
      <c r="C620" s="1" t="n">
        <v>45258</v>
      </c>
      <c r="D620" t="inlineStr">
        <is>
          <t>VÄSTERNORRLANDS LÄN</t>
        </is>
      </c>
      <c r="E620" t="inlineStr">
        <is>
          <t>ÅNGE</t>
        </is>
      </c>
      <c r="G620" t="n">
        <v>1.6</v>
      </c>
      <c r="H620" t="n">
        <v>0</v>
      </c>
      <c r="I620" t="n">
        <v>0</v>
      </c>
      <c r="J620" t="n">
        <v>0</v>
      </c>
      <c r="K620" t="n">
        <v>0</v>
      </c>
      <c r="L620" t="n">
        <v>0</v>
      </c>
      <c r="M620" t="n">
        <v>0</v>
      </c>
      <c r="N620" t="n">
        <v>0</v>
      </c>
      <c r="O620" t="n">
        <v>0</v>
      </c>
      <c r="P620" t="n">
        <v>0</v>
      </c>
      <c r="Q620" t="n">
        <v>0</v>
      </c>
      <c r="R620" s="2" t="inlineStr"/>
    </row>
    <row r="621" ht="15" customHeight="1">
      <c r="A621" t="inlineStr">
        <is>
          <t>A 37010-2021</t>
        </is>
      </c>
      <c r="B621" s="1" t="n">
        <v>44393</v>
      </c>
      <c r="C621" s="1" t="n">
        <v>45258</v>
      </c>
      <c r="D621" t="inlineStr">
        <is>
          <t>VÄSTERNORRLANDS LÄN</t>
        </is>
      </c>
      <c r="E621" t="inlineStr">
        <is>
          <t>ÅNGE</t>
        </is>
      </c>
      <c r="F621" t="inlineStr">
        <is>
          <t>Kyrkan</t>
        </is>
      </c>
      <c r="G621" t="n">
        <v>16.8</v>
      </c>
      <c r="H621" t="n">
        <v>0</v>
      </c>
      <c r="I621" t="n">
        <v>0</v>
      </c>
      <c r="J621" t="n">
        <v>0</v>
      </c>
      <c r="K621" t="n">
        <v>0</v>
      </c>
      <c r="L621" t="n">
        <v>0</v>
      </c>
      <c r="M621" t="n">
        <v>0</v>
      </c>
      <c r="N621" t="n">
        <v>0</v>
      </c>
      <c r="O621" t="n">
        <v>0</v>
      </c>
      <c r="P621" t="n">
        <v>0</v>
      </c>
      <c r="Q621" t="n">
        <v>0</v>
      </c>
      <c r="R621" s="2" t="inlineStr"/>
    </row>
    <row r="622" ht="15" customHeight="1">
      <c r="A622" t="inlineStr">
        <is>
          <t>A 37051-2021</t>
        </is>
      </c>
      <c r="B622" s="1" t="n">
        <v>44393</v>
      </c>
      <c r="C622" s="1" t="n">
        <v>45258</v>
      </c>
      <c r="D622" t="inlineStr">
        <is>
          <t>VÄSTERNORRLANDS LÄN</t>
        </is>
      </c>
      <c r="E622" t="inlineStr">
        <is>
          <t>ÅNGE</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37013-2021</t>
        </is>
      </c>
      <c r="B623" s="1" t="n">
        <v>44393</v>
      </c>
      <c r="C623" s="1" t="n">
        <v>45258</v>
      </c>
      <c r="D623" t="inlineStr">
        <is>
          <t>VÄSTERNORRLANDS LÄN</t>
        </is>
      </c>
      <c r="E623" t="inlineStr">
        <is>
          <t>ÅNGE</t>
        </is>
      </c>
      <c r="G623" t="n">
        <v>8.6</v>
      </c>
      <c r="H623" t="n">
        <v>0</v>
      </c>
      <c r="I623" t="n">
        <v>0</v>
      </c>
      <c r="J623" t="n">
        <v>0</v>
      </c>
      <c r="K623" t="n">
        <v>0</v>
      </c>
      <c r="L623" t="n">
        <v>0</v>
      </c>
      <c r="M623" t="n">
        <v>0</v>
      </c>
      <c r="N623" t="n">
        <v>0</v>
      </c>
      <c r="O623" t="n">
        <v>0</v>
      </c>
      <c r="P623" t="n">
        <v>0</v>
      </c>
      <c r="Q623" t="n">
        <v>0</v>
      </c>
      <c r="R623" s="2" t="inlineStr"/>
    </row>
    <row r="624" ht="15" customHeight="1">
      <c r="A624" t="inlineStr">
        <is>
          <t>A 37382-2021</t>
        </is>
      </c>
      <c r="B624" s="1" t="n">
        <v>44397</v>
      </c>
      <c r="C624" s="1" t="n">
        <v>45258</v>
      </c>
      <c r="D624" t="inlineStr">
        <is>
          <t>VÄSTERNORRLANDS LÄN</t>
        </is>
      </c>
      <c r="E624" t="inlineStr">
        <is>
          <t>ÅNGE</t>
        </is>
      </c>
      <c r="G624" t="n">
        <v>2.4</v>
      </c>
      <c r="H624" t="n">
        <v>0</v>
      </c>
      <c r="I624" t="n">
        <v>0</v>
      </c>
      <c r="J624" t="n">
        <v>0</v>
      </c>
      <c r="K624" t="n">
        <v>0</v>
      </c>
      <c r="L624" t="n">
        <v>0</v>
      </c>
      <c r="M624" t="n">
        <v>0</v>
      </c>
      <c r="N624" t="n">
        <v>0</v>
      </c>
      <c r="O624" t="n">
        <v>0</v>
      </c>
      <c r="P624" t="n">
        <v>0</v>
      </c>
      <c r="Q624" t="n">
        <v>0</v>
      </c>
      <c r="R624" s="2" t="inlineStr"/>
    </row>
    <row r="625" ht="15" customHeight="1">
      <c r="A625" t="inlineStr">
        <is>
          <t>A 37605-2021</t>
        </is>
      </c>
      <c r="B625" s="1" t="n">
        <v>44399</v>
      </c>
      <c r="C625" s="1" t="n">
        <v>45258</v>
      </c>
      <c r="D625" t="inlineStr">
        <is>
          <t>VÄSTERNORRLANDS LÄN</t>
        </is>
      </c>
      <c r="E625" t="inlineStr">
        <is>
          <t>ÅNGE</t>
        </is>
      </c>
      <c r="G625" t="n">
        <v>0.5</v>
      </c>
      <c r="H625" t="n">
        <v>0</v>
      </c>
      <c r="I625" t="n">
        <v>0</v>
      </c>
      <c r="J625" t="n">
        <v>0</v>
      </c>
      <c r="K625" t="n">
        <v>0</v>
      </c>
      <c r="L625" t="n">
        <v>0</v>
      </c>
      <c r="M625" t="n">
        <v>0</v>
      </c>
      <c r="N625" t="n">
        <v>0</v>
      </c>
      <c r="O625" t="n">
        <v>0</v>
      </c>
      <c r="P625" t="n">
        <v>0</v>
      </c>
      <c r="Q625" t="n">
        <v>0</v>
      </c>
      <c r="R625" s="2" t="inlineStr"/>
    </row>
    <row r="626" ht="15" customHeight="1">
      <c r="A626" t="inlineStr">
        <is>
          <t>A 37620-2021</t>
        </is>
      </c>
      <c r="B626" s="1" t="n">
        <v>44399</v>
      </c>
      <c r="C626" s="1" t="n">
        <v>45258</v>
      </c>
      <c r="D626" t="inlineStr">
        <is>
          <t>VÄSTERNORRLANDS LÄN</t>
        </is>
      </c>
      <c r="E626" t="inlineStr">
        <is>
          <t>ÅNGE</t>
        </is>
      </c>
      <c r="G626" t="n">
        <v>4.3</v>
      </c>
      <c r="H626" t="n">
        <v>0</v>
      </c>
      <c r="I626" t="n">
        <v>0</v>
      </c>
      <c r="J626" t="n">
        <v>0</v>
      </c>
      <c r="K626" t="n">
        <v>0</v>
      </c>
      <c r="L626" t="n">
        <v>0</v>
      </c>
      <c r="M626" t="n">
        <v>0</v>
      </c>
      <c r="N626" t="n">
        <v>0</v>
      </c>
      <c r="O626" t="n">
        <v>0</v>
      </c>
      <c r="P626" t="n">
        <v>0</v>
      </c>
      <c r="Q626" t="n">
        <v>0</v>
      </c>
      <c r="R626" s="2" t="inlineStr"/>
    </row>
    <row r="627" ht="15" customHeight="1">
      <c r="A627" t="inlineStr">
        <is>
          <t>A 37624-2021</t>
        </is>
      </c>
      <c r="B627" s="1" t="n">
        <v>44399</v>
      </c>
      <c r="C627" s="1" t="n">
        <v>45258</v>
      </c>
      <c r="D627" t="inlineStr">
        <is>
          <t>VÄSTERNORRLANDS LÄN</t>
        </is>
      </c>
      <c r="E627" t="inlineStr">
        <is>
          <t>ÅNGE</t>
        </is>
      </c>
      <c r="G627" t="n">
        <v>4.1</v>
      </c>
      <c r="H627" t="n">
        <v>0</v>
      </c>
      <c r="I627" t="n">
        <v>0</v>
      </c>
      <c r="J627" t="n">
        <v>0</v>
      </c>
      <c r="K627" t="n">
        <v>0</v>
      </c>
      <c r="L627" t="n">
        <v>0</v>
      </c>
      <c r="M627" t="n">
        <v>0</v>
      </c>
      <c r="N627" t="n">
        <v>0</v>
      </c>
      <c r="O627" t="n">
        <v>0</v>
      </c>
      <c r="P627" t="n">
        <v>0</v>
      </c>
      <c r="Q627" t="n">
        <v>0</v>
      </c>
      <c r="R627" s="2" t="inlineStr"/>
    </row>
    <row r="628" ht="15" customHeight="1">
      <c r="A628" t="inlineStr">
        <is>
          <t>A 37621-2021</t>
        </is>
      </c>
      <c r="B628" s="1" t="n">
        <v>44399</v>
      </c>
      <c r="C628" s="1" t="n">
        <v>45258</v>
      </c>
      <c r="D628" t="inlineStr">
        <is>
          <t>VÄSTERNORRLANDS LÄN</t>
        </is>
      </c>
      <c r="E628" t="inlineStr">
        <is>
          <t>ÅNGE</t>
        </is>
      </c>
      <c r="G628" t="n">
        <v>2.5</v>
      </c>
      <c r="H628" t="n">
        <v>0</v>
      </c>
      <c r="I628" t="n">
        <v>0</v>
      </c>
      <c r="J628" t="n">
        <v>0</v>
      </c>
      <c r="K628" t="n">
        <v>0</v>
      </c>
      <c r="L628" t="n">
        <v>0</v>
      </c>
      <c r="M628" t="n">
        <v>0</v>
      </c>
      <c r="N628" t="n">
        <v>0</v>
      </c>
      <c r="O628" t="n">
        <v>0</v>
      </c>
      <c r="P628" t="n">
        <v>0</v>
      </c>
      <c r="Q628" t="n">
        <v>0</v>
      </c>
      <c r="R628" s="2" t="inlineStr"/>
    </row>
    <row r="629" ht="15" customHeight="1">
      <c r="A629" t="inlineStr">
        <is>
          <t>A 38237-2021</t>
        </is>
      </c>
      <c r="B629" s="1" t="n">
        <v>44405</v>
      </c>
      <c r="C629" s="1" t="n">
        <v>45258</v>
      </c>
      <c r="D629" t="inlineStr">
        <is>
          <t>VÄSTERNORRLANDS LÄN</t>
        </is>
      </c>
      <c r="E629" t="inlineStr">
        <is>
          <t>ÅNGE</t>
        </is>
      </c>
      <c r="F629" t="inlineStr">
        <is>
          <t>Sveaskog</t>
        </is>
      </c>
      <c r="G629" t="n">
        <v>5</v>
      </c>
      <c r="H629" t="n">
        <v>0</v>
      </c>
      <c r="I629" t="n">
        <v>0</v>
      </c>
      <c r="J629" t="n">
        <v>0</v>
      </c>
      <c r="K629" t="n">
        <v>0</v>
      </c>
      <c r="L629" t="n">
        <v>0</v>
      </c>
      <c r="M629" t="n">
        <v>0</v>
      </c>
      <c r="N629" t="n">
        <v>0</v>
      </c>
      <c r="O629" t="n">
        <v>0</v>
      </c>
      <c r="P629" t="n">
        <v>0</v>
      </c>
      <c r="Q629" t="n">
        <v>0</v>
      </c>
      <c r="R629" s="2" t="inlineStr"/>
    </row>
    <row r="630" ht="15" customHeight="1">
      <c r="A630" t="inlineStr">
        <is>
          <t>A 38369-2021</t>
        </is>
      </c>
      <c r="B630" s="1" t="n">
        <v>44406</v>
      </c>
      <c r="C630" s="1" t="n">
        <v>45258</v>
      </c>
      <c r="D630" t="inlineStr">
        <is>
          <t>VÄSTERNORRLANDS LÄN</t>
        </is>
      </c>
      <c r="E630" t="inlineStr">
        <is>
          <t>ÅNGE</t>
        </is>
      </c>
      <c r="G630" t="n">
        <v>5.6</v>
      </c>
      <c r="H630" t="n">
        <v>0</v>
      </c>
      <c r="I630" t="n">
        <v>0</v>
      </c>
      <c r="J630" t="n">
        <v>0</v>
      </c>
      <c r="K630" t="n">
        <v>0</v>
      </c>
      <c r="L630" t="n">
        <v>0</v>
      </c>
      <c r="M630" t="n">
        <v>0</v>
      </c>
      <c r="N630" t="n">
        <v>0</v>
      </c>
      <c r="O630" t="n">
        <v>0</v>
      </c>
      <c r="P630" t="n">
        <v>0</v>
      </c>
      <c r="Q630" t="n">
        <v>0</v>
      </c>
      <c r="R630" s="2" t="inlineStr"/>
    </row>
    <row r="631" ht="15" customHeight="1">
      <c r="A631" t="inlineStr">
        <is>
          <t>A 38432-2021</t>
        </is>
      </c>
      <c r="B631" s="1" t="n">
        <v>44406</v>
      </c>
      <c r="C631" s="1" t="n">
        <v>45258</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38960-2021</t>
        </is>
      </c>
      <c r="B632" s="1" t="n">
        <v>44411</v>
      </c>
      <c r="C632" s="1" t="n">
        <v>45258</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39729-2021</t>
        </is>
      </c>
      <c r="B633" s="1" t="n">
        <v>44417</v>
      </c>
      <c r="C633" s="1" t="n">
        <v>45258</v>
      </c>
      <c r="D633" t="inlineStr">
        <is>
          <t>VÄSTERNORRLANDS LÄN</t>
        </is>
      </c>
      <c r="E633" t="inlineStr">
        <is>
          <t>ÅNGE</t>
        </is>
      </c>
      <c r="G633" t="n">
        <v>0.5</v>
      </c>
      <c r="H633" t="n">
        <v>0</v>
      </c>
      <c r="I633" t="n">
        <v>0</v>
      </c>
      <c r="J633" t="n">
        <v>0</v>
      </c>
      <c r="K633" t="n">
        <v>0</v>
      </c>
      <c r="L633" t="n">
        <v>0</v>
      </c>
      <c r="M633" t="n">
        <v>0</v>
      </c>
      <c r="N633" t="n">
        <v>0</v>
      </c>
      <c r="O633" t="n">
        <v>0</v>
      </c>
      <c r="P633" t="n">
        <v>0</v>
      </c>
      <c r="Q633" t="n">
        <v>0</v>
      </c>
      <c r="R633" s="2" t="inlineStr"/>
    </row>
    <row r="634" ht="15" customHeight="1">
      <c r="A634" t="inlineStr">
        <is>
          <t>A 39744-2021</t>
        </is>
      </c>
      <c r="B634" s="1" t="n">
        <v>44417</v>
      </c>
      <c r="C634" s="1" t="n">
        <v>45258</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41070-2021</t>
        </is>
      </c>
      <c r="B635" s="1" t="n">
        <v>44422</v>
      </c>
      <c r="C635" s="1" t="n">
        <v>45258</v>
      </c>
      <c r="D635" t="inlineStr">
        <is>
          <t>VÄSTERNORRLANDS LÄN</t>
        </is>
      </c>
      <c r="E635" t="inlineStr">
        <is>
          <t>ÅNGE</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41831-2021</t>
        </is>
      </c>
      <c r="B636" s="1" t="n">
        <v>44426</v>
      </c>
      <c r="C636" s="1" t="n">
        <v>45258</v>
      </c>
      <c r="D636" t="inlineStr">
        <is>
          <t>VÄSTERNORRLANDS LÄN</t>
        </is>
      </c>
      <c r="E636" t="inlineStr">
        <is>
          <t>ÅNGE</t>
        </is>
      </c>
      <c r="G636" t="n">
        <v>1</v>
      </c>
      <c r="H636" t="n">
        <v>0</v>
      </c>
      <c r="I636" t="n">
        <v>0</v>
      </c>
      <c r="J636" t="n">
        <v>0</v>
      </c>
      <c r="K636" t="n">
        <v>0</v>
      </c>
      <c r="L636" t="n">
        <v>0</v>
      </c>
      <c r="M636" t="n">
        <v>0</v>
      </c>
      <c r="N636" t="n">
        <v>0</v>
      </c>
      <c r="O636" t="n">
        <v>0</v>
      </c>
      <c r="P636" t="n">
        <v>0</v>
      </c>
      <c r="Q636" t="n">
        <v>0</v>
      </c>
      <c r="R636" s="2" t="inlineStr"/>
    </row>
    <row r="637" ht="15" customHeight="1">
      <c r="A637" t="inlineStr">
        <is>
          <t>A 41829-2021</t>
        </is>
      </c>
      <c r="B637" s="1" t="n">
        <v>44426</v>
      </c>
      <c r="C637" s="1" t="n">
        <v>45258</v>
      </c>
      <c r="D637" t="inlineStr">
        <is>
          <t>VÄSTERNORRLANDS LÄN</t>
        </is>
      </c>
      <c r="E637" t="inlineStr">
        <is>
          <t>ÅNGE</t>
        </is>
      </c>
      <c r="G637" t="n">
        <v>1.6</v>
      </c>
      <c r="H637" t="n">
        <v>0</v>
      </c>
      <c r="I637" t="n">
        <v>0</v>
      </c>
      <c r="J637" t="n">
        <v>0</v>
      </c>
      <c r="K637" t="n">
        <v>0</v>
      </c>
      <c r="L637" t="n">
        <v>0</v>
      </c>
      <c r="M637" t="n">
        <v>0</v>
      </c>
      <c r="N637" t="n">
        <v>0</v>
      </c>
      <c r="O637" t="n">
        <v>0</v>
      </c>
      <c r="P637" t="n">
        <v>0</v>
      </c>
      <c r="Q637" t="n">
        <v>0</v>
      </c>
      <c r="R637" s="2" t="inlineStr"/>
    </row>
    <row r="638" ht="15" customHeight="1">
      <c r="A638" t="inlineStr">
        <is>
          <t>A 43076-2021</t>
        </is>
      </c>
      <c r="B638" s="1" t="n">
        <v>44431</v>
      </c>
      <c r="C638" s="1" t="n">
        <v>45258</v>
      </c>
      <c r="D638" t="inlineStr">
        <is>
          <t>VÄSTERNORRLANDS LÄN</t>
        </is>
      </c>
      <c r="E638" t="inlineStr">
        <is>
          <t>ÅNGE</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42881-2021</t>
        </is>
      </c>
      <c r="B639" s="1" t="n">
        <v>44431</v>
      </c>
      <c r="C639" s="1" t="n">
        <v>45258</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43849-2021</t>
        </is>
      </c>
      <c r="B640" s="1" t="n">
        <v>44433</v>
      </c>
      <c r="C640" s="1" t="n">
        <v>45258</v>
      </c>
      <c r="D640" t="inlineStr">
        <is>
          <t>VÄSTERNORRLANDS LÄN</t>
        </is>
      </c>
      <c r="E640" t="inlineStr">
        <is>
          <t>ÅNGE</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44415-2021</t>
        </is>
      </c>
      <c r="B641" s="1" t="n">
        <v>44435</v>
      </c>
      <c r="C641" s="1" t="n">
        <v>45258</v>
      </c>
      <c r="D641" t="inlineStr">
        <is>
          <t>VÄSTERNORRLANDS LÄN</t>
        </is>
      </c>
      <c r="E641" t="inlineStr">
        <is>
          <t>ÅNGE</t>
        </is>
      </c>
      <c r="G641" t="n">
        <v>5.2</v>
      </c>
      <c r="H641" t="n">
        <v>0</v>
      </c>
      <c r="I641" t="n">
        <v>0</v>
      </c>
      <c r="J641" t="n">
        <v>0</v>
      </c>
      <c r="K641" t="n">
        <v>0</v>
      </c>
      <c r="L641" t="n">
        <v>0</v>
      </c>
      <c r="M641" t="n">
        <v>0</v>
      </c>
      <c r="N641" t="n">
        <v>0</v>
      </c>
      <c r="O641" t="n">
        <v>0</v>
      </c>
      <c r="P641" t="n">
        <v>0</v>
      </c>
      <c r="Q641" t="n">
        <v>0</v>
      </c>
      <c r="R641" s="2" t="inlineStr"/>
    </row>
    <row r="642" ht="15" customHeight="1">
      <c r="A642" t="inlineStr">
        <is>
          <t>A 44608-2021</t>
        </is>
      </c>
      <c r="B642" s="1" t="n">
        <v>44436</v>
      </c>
      <c r="C642" s="1" t="n">
        <v>45258</v>
      </c>
      <c r="D642" t="inlineStr">
        <is>
          <t>VÄSTERNORRLANDS LÄN</t>
        </is>
      </c>
      <c r="E642" t="inlineStr">
        <is>
          <t>ÅNGE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45145-2021</t>
        </is>
      </c>
      <c r="B643" s="1" t="n">
        <v>44439</v>
      </c>
      <c r="C643" s="1" t="n">
        <v>45258</v>
      </c>
      <c r="D643" t="inlineStr">
        <is>
          <t>VÄSTERNORRLANDS LÄN</t>
        </is>
      </c>
      <c r="E643" t="inlineStr">
        <is>
          <t>ÅNGE</t>
        </is>
      </c>
      <c r="F643" t="inlineStr">
        <is>
          <t>Holmen skog AB</t>
        </is>
      </c>
      <c r="G643" t="n">
        <v>1.1</v>
      </c>
      <c r="H643" t="n">
        <v>0</v>
      </c>
      <c r="I643" t="n">
        <v>0</v>
      </c>
      <c r="J643" t="n">
        <v>0</v>
      </c>
      <c r="K643" t="n">
        <v>0</v>
      </c>
      <c r="L643" t="n">
        <v>0</v>
      </c>
      <c r="M643" t="n">
        <v>0</v>
      </c>
      <c r="N643" t="n">
        <v>0</v>
      </c>
      <c r="O643" t="n">
        <v>0</v>
      </c>
      <c r="P643" t="n">
        <v>0</v>
      </c>
      <c r="Q643" t="n">
        <v>0</v>
      </c>
      <c r="R643" s="2" t="inlineStr"/>
    </row>
    <row r="644" ht="15" customHeight="1">
      <c r="A644" t="inlineStr">
        <is>
          <t>A 45353-2021</t>
        </is>
      </c>
      <c r="B644" s="1" t="n">
        <v>44439</v>
      </c>
      <c r="C644" s="1" t="n">
        <v>45258</v>
      </c>
      <c r="D644" t="inlineStr">
        <is>
          <t>VÄSTERNORRLANDS LÄN</t>
        </is>
      </c>
      <c r="E644" t="inlineStr">
        <is>
          <t>ÅNGE</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45631-2021</t>
        </is>
      </c>
      <c r="B645" s="1" t="n">
        <v>44441</v>
      </c>
      <c r="C645" s="1" t="n">
        <v>45258</v>
      </c>
      <c r="D645" t="inlineStr">
        <is>
          <t>VÄSTERNORRLANDS LÄN</t>
        </is>
      </c>
      <c r="E645" t="inlineStr">
        <is>
          <t>ÅNGE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45735-2021</t>
        </is>
      </c>
      <c r="B646" s="1" t="n">
        <v>44441</v>
      </c>
      <c r="C646" s="1" t="n">
        <v>45258</v>
      </c>
      <c r="D646" t="inlineStr">
        <is>
          <t>VÄSTERNORRLANDS LÄN</t>
        </is>
      </c>
      <c r="E646" t="inlineStr">
        <is>
          <t>ÅNGE</t>
        </is>
      </c>
      <c r="F646" t="inlineStr">
        <is>
          <t>Sveaskog</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45890-2021</t>
        </is>
      </c>
      <c r="B647" s="1" t="n">
        <v>44441</v>
      </c>
      <c r="C647" s="1" t="n">
        <v>45258</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46053-2021</t>
        </is>
      </c>
      <c r="B648" s="1" t="n">
        <v>44441</v>
      </c>
      <c r="C648" s="1" t="n">
        <v>45258</v>
      </c>
      <c r="D648" t="inlineStr">
        <is>
          <t>VÄSTERNORRLANDS LÄN</t>
        </is>
      </c>
      <c r="E648" t="inlineStr">
        <is>
          <t>ÅNGE</t>
        </is>
      </c>
      <c r="F648" t="inlineStr">
        <is>
          <t>SCA</t>
        </is>
      </c>
      <c r="G648" t="n">
        <v>0.2</v>
      </c>
      <c r="H648" t="n">
        <v>0</v>
      </c>
      <c r="I648" t="n">
        <v>0</v>
      </c>
      <c r="J648" t="n">
        <v>0</v>
      </c>
      <c r="K648" t="n">
        <v>0</v>
      </c>
      <c r="L648" t="n">
        <v>0</v>
      </c>
      <c r="M648" t="n">
        <v>0</v>
      </c>
      <c r="N648" t="n">
        <v>0</v>
      </c>
      <c r="O648" t="n">
        <v>0</v>
      </c>
      <c r="P648" t="n">
        <v>0</v>
      </c>
      <c r="Q648" t="n">
        <v>0</v>
      </c>
      <c r="R648" s="2" t="inlineStr"/>
    </row>
    <row r="649" ht="15" customHeight="1">
      <c r="A649" t="inlineStr">
        <is>
          <t>A 46865-2021</t>
        </is>
      </c>
      <c r="B649" s="1" t="n">
        <v>44446</v>
      </c>
      <c r="C649" s="1" t="n">
        <v>45258</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46824-2021</t>
        </is>
      </c>
      <c r="B650" s="1" t="n">
        <v>44446</v>
      </c>
      <c r="C650" s="1" t="n">
        <v>45258</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48876-2021</t>
        </is>
      </c>
      <c r="B651" s="1" t="n">
        <v>44452</v>
      </c>
      <c r="C651" s="1" t="n">
        <v>45258</v>
      </c>
      <c r="D651" t="inlineStr">
        <is>
          <t>VÄSTERNORRLANDS LÄN</t>
        </is>
      </c>
      <c r="E651" t="inlineStr">
        <is>
          <t>ÅNGE</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48990-2021</t>
        </is>
      </c>
      <c r="B652" s="1" t="n">
        <v>44453</v>
      </c>
      <c r="C652" s="1" t="n">
        <v>45258</v>
      </c>
      <c r="D652" t="inlineStr">
        <is>
          <t>VÄSTERNORRLANDS LÄN</t>
        </is>
      </c>
      <c r="E652" t="inlineStr">
        <is>
          <t>ÅNGE</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48988-2021</t>
        </is>
      </c>
      <c r="B653" s="1" t="n">
        <v>44453</v>
      </c>
      <c r="C653" s="1" t="n">
        <v>45258</v>
      </c>
      <c r="D653" t="inlineStr">
        <is>
          <t>VÄSTERNORRLANDS LÄN</t>
        </is>
      </c>
      <c r="E653" t="inlineStr">
        <is>
          <t>ÅNGE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49137-2021</t>
        </is>
      </c>
      <c r="B654" s="1" t="n">
        <v>44453</v>
      </c>
      <c r="C654" s="1" t="n">
        <v>45258</v>
      </c>
      <c r="D654" t="inlineStr">
        <is>
          <t>VÄSTERNORRLANDS LÄN</t>
        </is>
      </c>
      <c r="E654" t="inlineStr">
        <is>
          <t>ÅNGE</t>
        </is>
      </c>
      <c r="G654" t="n">
        <v>2.3</v>
      </c>
      <c r="H654" t="n">
        <v>0</v>
      </c>
      <c r="I654" t="n">
        <v>0</v>
      </c>
      <c r="J654" t="n">
        <v>0</v>
      </c>
      <c r="K654" t="n">
        <v>0</v>
      </c>
      <c r="L654" t="n">
        <v>0</v>
      </c>
      <c r="M654" t="n">
        <v>0</v>
      </c>
      <c r="N654" t="n">
        <v>0</v>
      </c>
      <c r="O654" t="n">
        <v>0</v>
      </c>
      <c r="P654" t="n">
        <v>0</v>
      </c>
      <c r="Q654" t="n">
        <v>0</v>
      </c>
      <c r="R654" s="2" t="inlineStr"/>
    </row>
    <row r="655" ht="15" customHeight="1">
      <c r="A655" t="inlineStr">
        <is>
          <t>A 50333-2021</t>
        </is>
      </c>
      <c r="B655" s="1" t="n">
        <v>44454</v>
      </c>
      <c r="C655" s="1" t="n">
        <v>45258</v>
      </c>
      <c r="D655" t="inlineStr">
        <is>
          <t>VÄSTERNORRLANDS LÄN</t>
        </is>
      </c>
      <c r="E655" t="inlineStr">
        <is>
          <t>ÅNGE</t>
        </is>
      </c>
      <c r="G655" t="n">
        <v>1</v>
      </c>
      <c r="H655" t="n">
        <v>0</v>
      </c>
      <c r="I655" t="n">
        <v>0</v>
      </c>
      <c r="J655" t="n">
        <v>0</v>
      </c>
      <c r="K655" t="n">
        <v>0</v>
      </c>
      <c r="L655" t="n">
        <v>0</v>
      </c>
      <c r="M655" t="n">
        <v>0</v>
      </c>
      <c r="N655" t="n">
        <v>0</v>
      </c>
      <c r="O655" t="n">
        <v>0</v>
      </c>
      <c r="P655" t="n">
        <v>0</v>
      </c>
      <c r="Q655" t="n">
        <v>0</v>
      </c>
      <c r="R655" s="2" t="inlineStr"/>
    </row>
    <row r="656" ht="15" customHeight="1">
      <c r="A656" t="inlineStr">
        <is>
          <t>A 50125-2021</t>
        </is>
      </c>
      <c r="B656" s="1" t="n">
        <v>44456</v>
      </c>
      <c r="C656" s="1" t="n">
        <v>45258</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50196-2021</t>
        </is>
      </c>
      <c r="B657" s="1" t="n">
        <v>44457</v>
      </c>
      <c r="C657" s="1" t="n">
        <v>45258</v>
      </c>
      <c r="D657" t="inlineStr">
        <is>
          <t>VÄSTERNORRLANDS LÄN</t>
        </is>
      </c>
      <c r="E657" t="inlineStr">
        <is>
          <t>ÅNGE</t>
        </is>
      </c>
      <c r="F657" t="inlineStr">
        <is>
          <t>SCA</t>
        </is>
      </c>
      <c r="G657" t="n">
        <v>10.6</v>
      </c>
      <c r="H657" t="n">
        <v>0</v>
      </c>
      <c r="I657" t="n">
        <v>0</v>
      </c>
      <c r="J657" t="n">
        <v>0</v>
      </c>
      <c r="K657" t="n">
        <v>0</v>
      </c>
      <c r="L657" t="n">
        <v>0</v>
      </c>
      <c r="M657" t="n">
        <v>0</v>
      </c>
      <c r="N657" t="n">
        <v>0</v>
      </c>
      <c r="O657" t="n">
        <v>0</v>
      </c>
      <c r="P657" t="n">
        <v>0</v>
      </c>
      <c r="Q657" t="n">
        <v>0</v>
      </c>
      <c r="R657" s="2" t="inlineStr"/>
    </row>
    <row r="658" ht="15" customHeight="1">
      <c r="A658" t="inlineStr">
        <is>
          <t>A 50186-2021</t>
        </is>
      </c>
      <c r="B658" s="1" t="n">
        <v>44456</v>
      </c>
      <c r="C658" s="1" t="n">
        <v>45258</v>
      </c>
      <c r="D658" t="inlineStr">
        <is>
          <t>VÄSTERNORRLANDS LÄN</t>
        </is>
      </c>
      <c r="E658" t="inlineStr">
        <is>
          <t>ÅNGE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50234-2021</t>
        </is>
      </c>
      <c r="B659" s="1" t="n">
        <v>44458</v>
      </c>
      <c r="C659" s="1" t="n">
        <v>45258</v>
      </c>
      <c r="D659" t="inlineStr">
        <is>
          <t>VÄSTERNORRLANDS LÄN</t>
        </is>
      </c>
      <c r="E659" t="inlineStr">
        <is>
          <t>ÅNGE</t>
        </is>
      </c>
      <c r="G659" t="n">
        <v>2.9</v>
      </c>
      <c r="H659" t="n">
        <v>0</v>
      </c>
      <c r="I659" t="n">
        <v>0</v>
      </c>
      <c r="J659" t="n">
        <v>0</v>
      </c>
      <c r="K659" t="n">
        <v>0</v>
      </c>
      <c r="L659" t="n">
        <v>0</v>
      </c>
      <c r="M659" t="n">
        <v>0</v>
      </c>
      <c r="N659" t="n">
        <v>0</v>
      </c>
      <c r="O659" t="n">
        <v>0</v>
      </c>
      <c r="P659" t="n">
        <v>0</v>
      </c>
      <c r="Q659" t="n">
        <v>0</v>
      </c>
      <c r="R659" s="2" t="inlineStr"/>
    </row>
    <row r="660" ht="15" customHeight="1">
      <c r="A660" t="inlineStr">
        <is>
          <t>A 50235-2021</t>
        </is>
      </c>
      <c r="B660" s="1" t="n">
        <v>44457</v>
      </c>
      <c r="C660" s="1" t="n">
        <v>45258</v>
      </c>
      <c r="D660" t="inlineStr">
        <is>
          <t>VÄSTERNORRLANDS LÄN</t>
        </is>
      </c>
      <c r="E660" t="inlineStr">
        <is>
          <t>ÅNGE</t>
        </is>
      </c>
      <c r="G660" t="n">
        <v>3.8</v>
      </c>
      <c r="H660" t="n">
        <v>0</v>
      </c>
      <c r="I660" t="n">
        <v>0</v>
      </c>
      <c r="J660" t="n">
        <v>0</v>
      </c>
      <c r="K660" t="n">
        <v>0</v>
      </c>
      <c r="L660" t="n">
        <v>0</v>
      </c>
      <c r="M660" t="n">
        <v>0</v>
      </c>
      <c r="N660" t="n">
        <v>0</v>
      </c>
      <c r="O660" t="n">
        <v>0</v>
      </c>
      <c r="P660" t="n">
        <v>0</v>
      </c>
      <c r="Q660" t="n">
        <v>0</v>
      </c>
      <c r="R660" s="2" t="inlineStr"/>
    </row>
    <row r="661" ht="15" customHeight="1">
      <c r="A661" t="inlineStr">
        <is>
          <t>A 50651-2021</t>
        </is>
      </c>
      <c r="B661" s="1" t="n">
        <v>44459</v>
      </c>
      <c r="C661" s="1" t="n">
        <v>45258</v>
      </c>
      <c r="D661" t="inlineStr">
        <is>
          <t>VÄSTERNORRLANDS LÄN</t>
        </is>
      </c>
      <c r="E661" t="inlineStr">
        <is>
          <t>ÅNGE</t>
        </is>
      </c>
      <c r="G661" t="n">
        <v>20.6</v>
      </c>
      <c r="H661" t="n">
        <v>0</v>
      </c>
      <c r="I661" t="n">
        <v>0</v>
      </c>
      <c r="J661" t="n">
        <v>0</v>
      </c>
      <c r="K661" t="n">
        <v>0</v>
      </c>
      <c r="L661" t="n">
        <v>0</v>
      </c>
      <c r="M661" t="n">
        <v>0</v>
      </c>
      <c r="N661" t="n">
        <v>0</v>
      </c>
      <c r="O661" t="n">
        <v>0</v>
      </c>
      <c r="P661" t="n">
        <v>0</v>
      </c>
      <c r="Q661" t="n">
        <v>0</v>
      </c>
      <c r="R661" s="2" t="inlineStr"/>
    </row>
    <row r="662" ht="15" customHeight="1">
      <c r="A662" t="inlineStr">
        <is>
          <t>A 50733-2021</t>
        </is>
      </c>
      <c r="B662" s="1" t="n">
        <v>44460</v>
      </c>
      <c r="C662" s="1" t="n">
        <v>45258</v>
      </c>
      <c r="D662" t="inlineStr">
        <is>
          <t>VÄSTERNORRLANDS LÄN</t>
        </is>
      </c>
      <c r="E662" t="inlineStr">
        <is>
          <t>ÅNGE</t>
        </is>
      </c>
      <c r="G662" t="n">
        <v>2.1</v>
      </c>
      <c r="H662" t="n">
        <v>0</v>
      </c>
      <c r="I662" t="n">
        <v>0</v>
      </c>
      <c r="J662" t="n">
        <v>0</v>
      </c>
      <c r="K662" t="n">
        <v>0</v>
      </c>
      <c r="L662" t="n">
        <v>0</v>
      </c>
      <c r="M662" t="n">
        <v>0</v>
      </c>
      <c r="N662" t="n">
        <v>0</v>
      </c>
      <c r="O662" t="n">
        <v>0</v>
      </c>
      <c r="P662" t="n">
        <v>0</v>
      </c>
      <c r="Q662" t="n">
        <v>0</v>
      </c>
      <c r="R662" s="2" t="inlineStr"/>
    </row>
    <row r="663" ht="15" customHeight="1">
      <c r="A663" t="inlineStr">
        <is>
          <t>A 50960-2021</t>
        </is>
      </c>
      <c r="B663" s="1" t="n">
        <v>44460</v>
      </c>
      <c r="C663" s="1" t="n">
        <v>45258</v>
      </c>
      <c r="D663" t="inlineStr">
        <is>
          <t>VÄSTERNORRLANDS LÄN</t>
        </is>
      </c>
      <c r="E663" t="inlineStr">
        <is>
          <t>ÅNGE</t>
        </is>
      </c>
      <c r="F663" t="inlineStr">
        <is>
          <t>Holmen skog AB</t>
        </is>
      </c>
      <c r="G663" t="n">
        <v>1</v>
      </c>
      <c r="H663" t="n">
        <v>0</v>
      </c>
      <c r="I663" t="n">
        <v>0</v>
      </c>
      <c r="J663" t="n">
        <v>0</v>
      </c>
      <c r="K663" t="n">
        <v>0</v>
      </c>
      <c r="L663" t="n">
        <v>0</v>
      </c>
      <c r="M663" t="n">
        <v>0</v>
      </c>
      <c r="N663" t="n">
        <v>0</v>
      </c>
      <c r="O663" t="n">
        <v>0</v>
      </c>
      <c r="P663" t="n">
        <v>0</v>
      </c>
      <c r="Q663" t="n">
        <v>0</v>
      </c>
      <c r="R663" s="2" t="inlineStr"/>
    </row>
    <row r="664" ht="15" customHeight="1">
      <c r="A664" t="inlineStr">
        <is>
          <t>A 51179-2021</t>
        </is>
      </c>
      <c r="B664" s="1" t="n">
        <v>44461</v>
      </c>
      <c r="C664" s="1" t="n">
        <v>45258</v>
      </c>
      <c r="D664" t="inlineStr">
        <is>
          <t>VÄSTERNORRLANDS LÄN</t>
        </is>
      </c>
      <c r="E664" t="inlineStr">
        <is>
          <t>ÅNGE</t>
        </is>
      </c>
      <c r="G664" t="n">
        <v>3.2</v>
      </c>
      <c r="H664" t="n">
        <v>0</v>
      </c>
      <c r="I664" t="n">
        <v>0</v>
      </c>
      <c r="J664" t="n">
        <v>0</v>
      </c>
      <c r="K664" t="n">
        <v>0</v>
      </c>
      <c r="L664" t="n">
        <v>0</v>
      </c>
      <c r="M664" t="n">
        <v>0</v>
      </c>
      <c r="N664" t="n">
        <v>0</v>
      </c>
      <c r="O664" t="n">
        <v>0</v>
      </c>
      <c r="P664" t="n">
        <v>0</v>
      </c>
      <c r="Q664" t="n">
        <v>0</v>
      </c>
      <c r="R664" s="2" t="inlineStr"/>
    </row>
    <row r="665" ht="15" customHeight="1">
      <c r="A665" t="inlineStr">
        <is>
          <t>A 51163-2021</t>
        </is>
      </c>
      <c r="B665" s="1" t="n">
        <v>44461</v>
      </c>
      <c r="C665" s="1" t="n">
        <v>45258</v>
      </c>
      <c r="D665" t="inlineStr">
        <is>
          <t>VÄSTERNORRLANDS LÄN</t>
        </is>
      </c>
      <c r="E665" t="inlineStr">
        <is>
          <t>ÅNGE</t>
        </is>
      </c>
      <c r="G665" t="n">
        <v>2.5</v>
      </c>
      <c r="H665" t="n">
        <v>0</v>
      </c>
      <c r="I665" t="n">
        <v>0</v>
      </c>
      <c r="J665" t="n">
        <v>0</v>
      </c>
      <c r="K665" t="n">
        <v>0</v>
      </c>
      <c r="L665" t="n">
        <v>0</v>
      </c>
      <c r="M665" t="n">
        <v>0</v>
      </c>
      <c r="N665" t="n">
        <v>0</v>
      </c>
      <c r="O665" t="n">
        <v>0</v>
      </c>
      <c r="P665" t="n">
        <v>0</v>
      </c>
      <c r="Q665" t="n">
        <v>0</v>
      </c>
      <c r="R665" s="2" t="inlineStr"/>
    </row>
    <row r="666" ht="15" customHeight="1">
      <c r="A666" t="inlineStr">
        <is>
          <t>A 51428-2021</t>
        </is>
      </c>
      <c r="B666" s="1" t="n">
        <v>44461</v>
      </c>
      <c r="C666" s="1" t="n">
        <v>45258</v>
      </c>
      <c r="D666" t="inlineStr">
        <is>
          <t>VÄSTERNORRLANDS LÄN</t>
        </is>
      </c>
      <c r="E666" t="inlineStr">
        <is>
          <t>ÅNGE</t>
        </is>
      </c>
      <c r="G666" t="n">
        <v>11</v>
      </c>
      <c r="H666" t="n">
        <v>0</v>
      </c>
      <c r="I666" t="n">
        <v>0</v>
      </c>
      <c r="J666" t="n">
        <v>0</v>
      </c>
      <c r="K666" t="n">
        <v>0</v>
      </c>
      <c r="L666" t="n">
        <v>0</v>
      </c>
      <c r="M666" t="n">
        <v>0</v>
      </c>
      <c r="N666" t="n">
        <v>0</v>
      </c>
      <c r="O666" t="n">
        <v>0</v>
      </c>
      <c r="P666" t="n">
        <v>0</v>
      </c>
      <c r="Q666" t="n">
        <v>0</v>
      </c>
      <c r="R666" s="2" t="inlineStr"/>
    </row>
    <row r="667" ht="15" customHeight="1">
      <c r="A667" t="inlineStr">
        <is>
          <t>A 51427-2021</t>
        </is>
      </c>
      <c r="B667" s="1" t="n">
        <v>44461</v>
      </c>
      <c r="C667" s="1" t="n">
        <v>45258</v>
      </c>
      <c r="D667" t="inlineStr">
        <is>
          <t>VÄSTERNORRLANDS LÄN</t>
        </is>
      </c>
      <c r="E667" t="inlineStr">
        <is>
          <t>ÅNGE</t>
        </is>
      </c>
      <c r="G667" t="n">
        <v>3.2</v>
      </c>
      <c r="H667" t="n">
        <v>0</v>
      </c>
      <c r="I667" t="n">
        <v>0</v>
      </c>
      <c r="J667" t="n">
        <v>0</v>
      </c>
      <c r="K667" t="n">
        <v>0</v>
      </c>
      <c r="L667" t="n">
        <v>0</v>
      </c>
      <c r="M667" t="n">
        <v>0</v>
      </c>
      <c r="N667" t="n">
        <v>0</v>
      </c>
      <c r="O667" t="n">
        <v>0</v>
      </c>
      <c r="P667" t="n">
        <v>0</v>
      </c>
      <c r="Q667" t="n">
        <v>0</v>
      </c>
      <c r="R667" s="2" t="inlineStr"/>
    </row>
    <row r="668" ht="15" customHeight="1">
      <c r="A668" t="inlineStr">
        <is>
          <t>A 52705-2021</t>
        </is>
      </c>
      <c r="B668" s="1" t="n">
        <v>44466</v>
      </c>
      <c r="C668" s="1" t="n">
        <v>45258</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52726-2021</t>
        </is>
      </c>
      <c r="B669" s="1" t="n">
        <v>44466</v>
      </c>
      <c r="C669" s="1" t="n">
        <v>45258</v>
      </c>
      <c r="D669" t="inlineStr">
        <is>
          <t>VÄSTERNORRLANDS LÄN</t>
        </is>
      </c>
      <c r="E669" t="inlineStr">
        <is>
          <t>ÅNGE</t>
        </is>
      </c>
      <c r="F669" t="inlineStr">
        <is>
          <t>SCA</t>
        </is>
      </c>
      <c r="G669" t="n">
        <v>9.5</v>
      </c>
      <c r="H669" t="n">
        <v>0</v>
      </c>
      <c r="I669" t="n">
        <v>0</v>
      </c>
      <c r="J669" t="n">
        <v>0</v>
      </c>
      <c r="K669" t="n">
        <v>0</v>
      </c>
      <c r="L669" t="n">
        <v>0</v>
      </c>
      <c r="M669" t="n">
        <v>0</v>
      </c>
      <c r="N669" t="n">
        <v>0</v>
      </c>
      <c r="O669" t="n">
        <v>0</v>
      </c>
      <c r="P669" t="n">
        <v>0</v>
      </c>
      <c r="Q669" t="n">
        <v>0</v>
      </c>
      <c r="R669" s="2" t="inlineStr"/>
    </row>
    <row r="670" ht="15" customHeight="1">
      <c r="A670" t="inlineStr">
        <is>
          <t>A 53970-2021</t>
        </is>
      </c>
      <c r="B670" s="1" t="n">
        <v>44469</v>
      </c>
      <c r="C670" s="1" t="n">
        <v>45258</v>
      </c>
      <c r="D670" t="inlineStr">
        <is>
          <t>VÄSTERNORRLANDS LÄN</t>
        </is>
      </c>
      <c r="E670" t="inlineStr">
        <is>
          <t>ÅNGE</t>
        </is>
      </c>
      <c r="G670" t="n">
        <v>3.4</v>
      </c>
      <c r="H670" t="n">
        <v>0</v>
      </c>
      <c r="I670" t="n">
        <v>0</v>
      </c>
      <c r="J670" t="n">
        <v>0</v>
      </c>
      <c r="K670" t="n">
        <v>0</v>
      </c>
      <c r="L670" t="n">
        <v>0</v>
      </c>
      <c r="M670" t="n">
        <v>0</v>
      </c>
      <c r="N670" t="n">
        <v>0</v>
      </c>
      <c r="O670" t="n">
        <v>0</v>
      </c>
      <c r="P670" t="n">
        <v>0</v>
      </c>
      <c r="Q670" t="n">
        <v>0</v>
      </c>
      <c r="R670" s="2" t="inlineStr"/>
    </row>
    <row r="671" ht="15" customHeight="1">
      <c r="A671" t="inlineStr">
        <is>
          <t>A 53969-2021</t>
        </is>
      </c>
      <c r="B671" s="1" t="n">
        <v>44469</v>
      </c>
      <c r="C671" s="1" t="n">
        <v>45258</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54750-2021</t>
        </is>
      </c>
      <c r="B672" s="1" t="n">
        <v>44473</v>
      </c>
      <c r="C672" s="1" t="n">
        <v>45258</v>
      </c>
      <c r="D672" t="inlineStr">
        <is>
          <t>VÄSTERNORRLANDS LÄN</t>
        </is>
      </c>
      <c r="E672" t="inlineStr">
        <is>
          <t>ÅNGE</t>
        </is>
      </c>
      <c r="G672" t="n">
        <v>4.8</v>
      </c>
      <c r="H672" t="n">
        <v>0</v>
      </c>
      <c r="I672" t="n">
        <v>0</v>
      </c>
      <c r="J672" t="n">
        <v>0</v>
      </c>
      <c r="K672" t="n">
        <v>0</v>
      </c>
      <c r="L672" t="n">
        <v>0</v>
      </c>
      <c r="M672" t="n">
        <v>0</v>
      </c>
      <c r="N672" t="n">
        <v>0</v>
      </c>
      <c r="O672" t="n">
        <v>0</v>
      </c>
      <c r="P672" t="n">
        <v>0</v>
      </c>
      <c r="Q672" t="n">
        <v>0</v>
      </c>
      <c r="R672" s="2" t="inlineStr"/>
    </row>
    <row r="673" ht="15" customHeight="1">
      <c r="A673" t="inlineStr">
        <is>
          <t>A 54800-2021</t>
        </is>
      </c>
      <c r="B673" s="1" t="n">
        <v>44474</v>
      </c>
      <c r="C673" s="1" t="n">
        <v>45258</v>
      </c>
      <c r="D673" t="inlineStr">
        <is>
          <t>VÄSTERNORRLANDS LÄN</t>
        </is>
      </c>
      <c r="E673" t="inlineStr">
        <is>
          <t>ÅNGE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54908-2021</t>
        </is>
      </c>
      <c r="B674" s="1" t="n">
        <v>44474</v>
      </c>
      <c r="C674" s="1" t="n">
        <v>45258</v>
      </c>
      <c r="D674" t="inlineStr">
        <is>
          <t>VÄSTERNORRLANDS LÄN</t>
        </is>
      </c>
      <c r="E674" t="inlineStr">
        <is>
          <t>ÅNGE</t>
        </is>
      </c>
      <c r="G674" t="n">
        <v>7.8</v>
      </c>
      <c r="H674" t="n">
        <v>0</v>
      </c>
      <c r="I674" t="n">
        <v>0</v>
      </c>
      <c r="J674" t="n">
        <v>0</v>
      </c>
      <c r="K674" t="n">
        <v>0</v>
      </c>
      <c r="L674" t="n">
        <v>0</v>
      </c>
      <c r="M674" t="n">
        <v>0</v>
      </c>
      <c r="N674" t="n">
        <v>0</v>
      </c>
      <c r="O674" t="n">
        <v>0</v>
      </c>
      <c r="P674" t="n">
        <v>0</v>
      </c>
      <c r="Q674" t="n">
        <v>0</v>
      </c>
      <c r="R674" s="2" t="inlineStr"/>
    </row>
    <row r="675" ht="15" customHeight="1">
      <c r="A675" t="inlineStr">
        <is>
          <t>A 54946-2021</t>
        </is>
      </c>
      <c r="B675" s="1" t="n">
        <v>44474</v>
      </c>
      <c r="C675" s="1" t="n">
        <v>45258</v>
      </c>
      <c r="D675" t="inlineStr">
        <is>
          <t>VÄSTERNORRLANDS LÄN</t>
        </is>
      </c>
      <c r="E675" t="inlineStr">
        <is>
          <t>ÅNGE</t>
        </is>
      </c>
      <c r="G675" t="n">
        <v>5.4</v>
      </c>
      <c r="H675" t="n">
        <v>0</v>
      </c>
      <c r="I675" t="n">
        <v>0</v>
      </c>
      <c r="J675" t="n">
        <v>0</v>
      </c>
      <c r="K675" t="n">
        <v>0</v>
      </c>
      <c r="L675" t="n">
        <v>0</v>
      </c>
      <c r="M675" t="n">
        <v>0</v>
      </c>
      <c r="N675" t="n">
        <v>0</v>
      </c>
      <c r="O675" t="n">
        <v>0</v>
      </c>
      <c r="P675" t="n">
        <v>0</v>
      </c>
      <c r="Q675" t="n">
        <v>0</v>
      </c>
      <c r="R675" s="2" t="inlineStr"/>
    </row>
    <row r="676" ht="15" customHeight="1">
      <c r="A676" t="inlineStr">
        <is>
          <t>A 55316-2021</t>
        </is>
      </c>
      <c r="B676" s="1" t="n">
        <v>44475</v>
      </c>
      <c r="C676" s="1" t="n">
        <v>45258</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55593-2021</t>
        </is>
      </c>
      <c r="B677" s="1" t="n">
        <v>44476</v>
      </c>
      <c r="C677" s="1" t="n">
        <v>45258</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55905-2021</t>
        </is>
      </c>
      <c r="B678" s="1" t="n">
        <v>44477</v>
      </c>
      <c r="C678" s="1" t="n">
        <v>45258</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55912-2021</t>
        </is>
      </c>
      <c r="B679" s="1" t="n">
        <v>44477</v>
      </c>
      <c r="C679" s="1" t="n">
        <v>45258</v>
      </c>
      <c r="D679" t="inlineStr">
        <is>
          <t>VÄSTERNORRLANDS LÄN</t>
        </is>
      </c>
      <c r="E679" t="inlineStr">
        <is>
          <t>ÅNGE</t>
        </is>
      </c>
      <c r="G679" t="n">
        <v>0.6</v>
      </c>
      <c r="H679" t="n">
        <v>0</v>
      </c>
      <c r="I679" t="n">
        <v>0</v>
      </c>
      <c r="J679" t="n">
        <v>0</v>
      </c>
      <c r="K679" t="n">
        <v>0</v>
      </c>
      <c r="L679" t="n">
        <v>0</v>
      </c>
      <c r="M679" t="n">
        <v>0</v>
      </c>
      <c r="N679" t="n">
        <v>0</v>
      </c>
      <c r="O679" t="n">
        <v>0</v>
      </c>
      <c r="P679" t="n">
        <v>0</v>
      </c>
      <c r="Q679" t="n">
        <v>0</v>
      </c>
      <c r="R679" s="2" t="inlineStr"/>
    </row>
    <row r="680" ht="15" customHeight="1">
      <c r="A680" t="inlineStr">
        <is>
          <t>A 56434-2021</t>
        </is>
      </c>
      <c r="B680" s="1" t="n">
        <v>44477</v>
      </c>
      <c r="C680" s="1" t="n">
        <v>45258</v>
      </c>
      <c r="D680" t="inlineStr">
        <is>
          <t>VÄSTERNORRLANDS LÄN</t>
        </is>
      </c>
      <c r="E680" t="inlineStr">
        <is>
          <t>ÅNGE</t>
        </is>
      </c>
      <c r="G680" t="n">
        <v>2.7</v>
      </c>
      <c r="H680" t="n">
        <v>0</v>
      </c>
      <c r="I680" t="n">
        <v>0</v>
      </c>
      <c r="J680" t="n">
        <v>0</v>
      </c>
      <c r="K680" t="n">
        <v>0</v>
      </c>
      <c r="L680" t="n">
        <v>0</v>
      </c>
      <c r="M680" t="n">
        <v>0</v>
      </c>
      <c r="N680" t="n">
        <v>0</v>
      </c>
      <c r="O680" t="n">
        <v>0</v>
      </c>
      <c r="P680" t="n">
        <v>0</v>
      </c>
      <c r="Q680" t="n">
        <v>0</v>
      </c>
      <c r="R680" s="2" t="inlineStr"/>
    </row>
    <row r="681" ht="15" customHeight="1">
      <c r="A681" t="inlineStr">
        <is>
          <t>A 56437-2021</t>
        </is>
      </c>
      <c r="B681" s="1" t="n">
        <v>44477</v>
      </c>
      <c r="C681" s="1" t="n">
        <v>45258</v>
      </c>
      <c r="D681" t="inlineStr">
        <is>
          <t>VÄSTERNORRLANDS LÄN</t>
        </is>
      </c>
      <c r="E681" t="inlineStr">
        <is>
          <t>ÅNGE</t>
        </is>
      </c>
      <c r="G681" t="n">
        <v>18.7</v>
      </c>
      <c r="H681" t="n">
        <v>0</v>
      </c>
      <c r="I681" t="n">
        <v>0</v>
      </c>
      <c r="J681" t="n">
        <v>0</v>
      </c>
      <c r="K681" t="n">
        <v>0</v>
      </c>
      <c r="L681" t="n">
        <v>0</v>
      </c>
      <c r="M681" t="n">
        <v>0</v>
      </c>
      <c r="N681" t="n">
        <v>0</v>
      </c>
      <c r="O681" t="n">
        <v>0</v>
      </c>
      <c r="P681" t="n">
        <v>0</v>
      </c>
      <c r="Q681" t="n">
        <v>0</v>
      </c>
      <c r="R681" s="2" t="inlineStr"/>
    </row>
    <row r="682" ht="15" customHeight="1">
      <c r="A682" t="inlineStr">
        <is>
          <t>A 56907-2021</t>
        </is>
      </c>
      <c r="B682" s="1" t="n">
        <v>44482</v>
      </c>
      <c r="C682" s="1" t="n">
        <v>45258</v>
      </c>
      <c r="D682" t="inlineStr">
        <is>
          <t>VÄSTERNORRLANDS LÄN</t>
        </is>
      </c>
      <c r="E682" t="inlineStr">
        <is>
          <t>ÅNGE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56908-2021</t>
        </is>
      </c>
      <c r="B683" s="1" t="n">
        <v>44482</v>
      </c>
      <c r="C683" s="1" t="n">
        <v>45258</v>
      </c>
      <c r="D683" t="inlineStr">
        <is>
          <t>VÄSTERNORRLANDS LÄN</t>
        </is>
      </c>
      <c r="E683" t="inlineStr">
        <is>
          <t>ÅNGE</t>
        </is>
      </c>
      <c r="G683" t="n">
        <v>12</v>
      </c>
      <c r="H683" t="n">
        <v>0</v>
      </c>
      <c r="I683" t="n">
        <v>0</v>
      </c>
      <c r="J683" t="n">
        <v>0</v>
      </c>
      <c r="K683" t="n">
        <v>0</v>
      </c>
      <c r="L683" t="n">
        <v>0</v>
      </c>
      <c r="M683" t="n">
        <v>0</v>
      </c>
      <c r="N683" t="n">
        <v>0</v>
      </c>
      <c r="O683" t="n">
        <v>0</v>
      </c>
      <c r="P683" t="n">
        <v>0</v>
      </c>
      <c r="Q683" t="n">
        <v>0</v>
      </c>
      <c r="R683" s="2" t="inlineStr"/>
    </row>
    <row r="684" ht="15" customHeight="1">
      <c r="A684" t="inlineStr">
        <is>
          <t>A 57162-2021</t>
        </is>
      </c>
      <c r="B684" s="1" t="n">
        <v>44482</v>
      </c>
      <c r="C684" s="1" t="n">
        <v>45258</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57418-2021</t>
        </is>
      </c>
      <c r="B685" s="1" t="n">
        <v>44483</v>
      </c>
      <c r="C685" s="1" t="n">
        <v>45258</v>
      </c>
      <c r="D685" t="inlineStr">
        <is>
          <t>VÄSTERNORRLANDS LÄN</t>
        </is>
      </c>
      <c r="E685" t="inlineStr">
        <is>
          <t>ÅNGE</t>
        </is>
      </c>
      <c r="G685" t="n">
        <v>4.4</v>
      </c>
      <c r="H685" t="n">
        <v>0</v>
      </c>
      <c r="I685" t="n">
        <v>0</v>
      </c>
      <c r="J685" t="n">
        <v>0</v>
      </c>
      <c r="K685" t="n">
        <v>0</v>
      </c>
      <c r="L685" t="n">
        <v>0</v>
      </c>
      <c r="M685" t="n">
        <v>0</v>
      </c>
      <c r="N685" t="n">
        <v>0</v>
      </c>
      <c r="O685" t="n">
        <v>0</v>
      </c>
      <c r="P685" t="n">
        <v>0</v>
      </c>
      <c r="Q685" t="n">
        <v>0</v>
      </c>
      <c r="R685" s="2" t="inlineStr"/>
    </row>
    <row r="686" ht="15" customHeight="1">
      <c r="A686" t="inlineStr">
        <is>
          <t>A 58939-2021</t>
        </is>
      </c>
      <c r="B686" s="1" t="n">
        <v>44489</v>
      </c>
      <c r="C686" s="1" t="n">
        <v>45258</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58941-2021</t>
        </is>
      </c>
      <c r="B687" s="1" t="n">
        <v>44490</v>
      </c>
      <c r="C687" s="1" t="n">
        <v>45258</v>
      </c>
      <c r="D687" t="inlineStr">
        <is>
          <t>VÄSTERNORRLANDS LÄN</t>
        </is>
      </c>
      <c r="E687" t="inlineStr">
        <is>
          <t>ÅNGE</t>
        </is>
      </c>
      <c r="G687" t="n">
        <v>6.7</v>
      </c>
      <c r="H687" t="n">
        <v>0</v>
      </c>
      <c r="I687" t="n">
        <v>0</v>
      </c>
      <c r="J687" t="n">
        <v>0</v>
      </c>
      <c r="K687" t="n">
        <v>0</v>
      </c>
      <c r="L687" t="n">
        <v>0</v>
      </c>
      <c r="M687" t="n">
        <v>0</v>
      </c>
      <c r="N687" t="n">
        <v>0</v>
      </c>
      <c r="O687" t="n">
        <v>0</v>
      </c>
      <c r="P687" t="n">
        <v>0</v>
      </c>
      <c r="Q687" t="n">
        <v>0</v>
      </c>
      <c r="R687" s="2" t="inlineStr"/>
    </row>
    <row r="688" ht="15" customHeight="1">
      <c r="A688" t="inlineStr">
        <is>
          <t>A 58942-2021</t>
        </is>
      </c>
      <c r="B688" s="1" t="n">
        <v>44490</v>
      </c>
      <c r="C688" s="1" t="n">
        <v>45258</v>
      </c>
      <c r="D688" t="inlineStr">
        <is>
          <t>VÄSTERNORRLANDS LÄN</t>
        </is>
      </c>
      <c r="E688" t="inlineStr">
        <is>
          <t>ÅNGE</t>
        </is>
      </c>
      <c r="G688" t="n">
        <v>5.6</v>
      </c>
      <c r="H688" t="n">
        <v>0</v>
      </c>
      <c r="I688" t="n">
        <v>0</v>
      </c>
      <c r="J688" t="n">
        <v>0</v>
      </c>
      <c r="K688" t="n">
        <v>0</v>
      </c>
      <c r="L688" t="n">
        <v>0</v>
      </c>
      <c r="M688" t="n">
        <v>0</v>
      </c>
      <c r="N688" t="n">
        <v>0</v>
      </c>
      <c r="O688" t="n">
        <v>0</v>
      </c>
      <c r="P688" t="n">
        <v>0</v>
      </c>
      <c r="Q688" t="n">
        <v>0</v>
      </c>
      <c r="R688" s="2" t="inlineStr"/>
    </row>
    <row r="689" ht="15" customHeight="1">
      <c r="A689" t="inlineStr">
        <is>
          <t>A 59982-2021</t>
        </is>
      </c>
      <c r="B689" s="1" t="n">
        <v>44495</v>
      </c>
      <c r="C689" s="1" t="n">
        <v>45258</v>
      </c>
      <c r="D689" t="inlineStr">
        <is>
          <t>VÄSTERNORRLANDS LÄN</t>
        </is>
      </c>
      <c r="E689" t="inlineStr">
        <is>
          <t>ÅNGE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59972-2021</t>
        </is>
      </c>
      <c r="B690" s="1" t="n">
        <v>44495</v>
      </c>
      <c r="C690" s="1" t="n">
        <v>45258</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59979-2021</t>
        </is>
      </c>
      <c r="B691" s="1" t="n">
        <v>44494</v>
      </c>
      <c r="C691" s="1" t="n">
        <v>45258</v>
      </c>
      <c r="D691" t="inlineStr">
        <is>
          <t>VÄSTERNORRLANDS LÄN</t>
        </is>
      </c>
      <c r="E691" t="inlineStr">
        <is>
          <t>ÅNGE</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59986-2021</t>
        </is>
      </c>
      <c r="B692" s="1" t="n">
        <v>44494</v>
      </c>
      <c r="C692" s="1" t="n">
        <v>45258</v>
      </c>
      <c r="D692" t="inlineStr">
        <is>
          <t>VÄSTERNORRLANDS LÄN</t>
        </is>
      </c>
      <c r="E692" t="inlineStr">
        <is>
          <t>ÅNGE</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60296-2021</t>
        </is>
      </c>
      <c r="B693" s="1" t="n">
        <v>44495</v>
      </c>
      <c r="C693" s="1" t="n">
        <v>45258</v>
      </c>
      <c r="D693" t="inlineStr">
        <is>
          <t>VÄSTERNORRLANDS LÄN</t>
        </is>
      </c>
      <c r="E693" t="inlineStr">
        <is>
          <t>ÅNGE</t>
        </is>
      </c>
      <c r="G693" t="n">
        <v>0.4</v>
      </c>
      <c r="H693" t="n">
        <v>0</v>
      </c>
      <c r="I693" t="n">
        <v>0</v>
      </c>
      <c r="J693" t="n">
        <v>0</v>
      </c>
      <c r="K693" t="n">
        <v>0</v>
      </c>
      <c r="L693" t="n">
        <v>0</v>
      </c>
      <c r="M693" t="n">
        <v>0</v>
      </c>
      <c r="N693" t="n">
        <v>0</v>
      </c>
      <c r="O693" t="n">
        <v>0</v>
      </c>
      <c r="P693" t="n">
        <v>0</v>
      </c>
      <c r="Q693" t="n">
        <v>0</v>
      </c>
      <c r="R693" s="2" t="inlineStr"/>
    </row>
    <row r="694" ht="15" customHeight="1">
      <c r="A694" t="inlineStr">
        <is>
          <t>A 61404-2021</t>
        </is>
      </c>
      <c r="B694" s="1" t="n">
        <v>44500</v>
      </c>
      <c r="C694" s="1" t="n">
        <v>45258</v>
      </c>
      <c r="D694" t="inlineStr">
        <is>
          <t>VÄSTERNORRLANDS LÄN</t>
        </is>
      </c>
      <c r="E694" t="inlineStr">
        <is>
          <t>ÅNGE</t>
        </is>
      </c>
      <c r="G694" t="n">
        <v>6.1</v>
      </c>
      <c r="H694" t="n">
        <v>0</v>
      </c>
      <c r="I694" t="n">
        <v>0</v>
      </c>
      <c r="J694" t="n">
        <v>0</v>
      </c>
      <c r="K694" t="n">
        <v>0</v>
      </c>
      <c r="L694" t="n">
        <v>0</v>
      </c>
      <c r="M694" t="n">
        <v>0</v>
      </c>
      <c r="N694" t="n">
        <v>0</v>
      </c>
      <c r="O694" t="n">
        <v>0</v>
      </c>
      <c r="P694" t="n">
        <v>0</v>
      </c>
      <c r="Q694" t="n">
        <v>0</v>
      </c>
      <c r="R694" s="2" t="inlineStr"/>
    </row>
    <row r="695" ht="15" customHeight="1">
      <c r="A695" t="inlineStr">
        <is>
          <t>A 61761-2021</t>
        </is>
      </c>
      <c r="B695" s="1" t="n">
        <v>44501</v>
      </c>
      <c r="C695" s="1" t="n">
        <v>45258</v>
      </c>
      <c r="D695" t="inlineStr">
        <is>
          <t>VÄSTERNORRLANDS LÄN</t>
        </is>
      </c>
      <c r="E695" t="inlineStr">
        <is>
          <t>ÅNGE</t>
        </is>
      </c>
      <c r="G695" t="n">
        <v>0.3</v>
      </c>
      <c r="H695" t="n">
        <v>0</v>
      </c>
      <c r="I695" t="n">
        <v>0</v>
      </c>
      <c r="J695" t="n">
        <v>0</v>
      </c>
      <c r="K695" t="n">
        <v>0</v>
      </c>
      <c r="L695" t="n">
        <v>0</v>
      </c>
      <c r="M695" t="n">
        <v>0</v>
      </c>
      <c r="N695" t="n">
        <v>0</v>
      </c>
      <c r="O695" t="n">
        <v>0</v>
      </c>
      <c r="P695" t="n">
        <v>0</v>
      </c>
      <c r="Q695" t="n">
        <v>0</v>
      </c>
      <c r="R695" s="2" t="inlineStr"/>
    </row>
    <row r="696" ht="15" customHeight="1">
      <c r="A696" t="inlineStr">
        <is>
          <t>A 61909-2021</t>
        </is>
      </c>
      <c r="B696" s="1" t="n">
        <v>44502</v>
      </c>
      <c r="C696" s="1" t="n">
        <v>45258</v>
      </c>
      <c r="D696" t="inlineStr">
        <is>
          <t>VÄSTERNORRLANDS LÄN</t>
        </is>
      </c>
      <c r="E696" t="inlineStr">
        <is>
          <t>ÅNGE</t>
        </is>
      </c>
      <c r="G696" t="n">
        <v>2.4</v>
      </c>
      <c r="H696" t="n">
        <v>0</v>
      </c>
      <c r="I696" t="n">
        <v>0</v>
      </c>
      <c r="J696" t="n">
        <v>0</v>
      </c>
      <c r="K696" t="n">
        <v>0</v>
      </c>
      <c r="L696" t="n">
        <v>0</v>
      </c>
      <c r="M696" t="n">
        <v>0</v>
      </c>
      <c r="N696" t="n">
        <v>0</v>
      </c>
      <c r="O696" t="n">
        <v>0</v>
      </c>
      <c r="P696" t="n">
        <v>0</v>
      </c>
      <c r="Q696" t="n">
        <v>0</v>
      </c>
      <c r="R696" s="2" t="inlineStr"/>
    </row>
    <row r="697" ht="15" customHeight="1">
      <c r="A697" t="inlineStr">
        <is>
          <t>A 61928-2021</t>
        </is>
      </c>
      <c r="B697" s="1" t="n">
        <v>44502</v>
      </c>
      <c r="C697" s="1" t="n">
        <v>45258</v>
      </c>
      <c r="D697" t="inlineStr">
        <is>
          <t>VÄSTERNORRLANDS LÄN</t>
        </is>
      </c>
      <c r="E697" t="inlineStr">
        <is>
          <t>ÅNGE</t>
        </is>
      </c>
      <c r="G697" t="n">
        <v>1</v>
      </c>
      <c r="H697" t="n">
        <v>0</v>
      </c>
      <c r="I697" t="n">
        <v>0</v>
      </c>
      <c r="J697" t="n">
        <v>0</v>
      </c>
      <c r="K697" t="n">
        <v>0</v>
      </c>
      <c r="L697" t="n">
        <v>0</v>
      </c>
      <c r="M697" t="n">
        <v>0</v>
      </c>
      <c r="N697" t="n">
        <v>0</v>
      </c>
      <c r="O697" t="n">
        <v>0</v>
      </c>
      <c r="P697" t="n">
        <v>0</v>
      </c>
      <c r="Q697" t="n">
        <v>0</v>
      </c>
      <c r="R697" s="2" t="inlineStr"/>
    </row>
    <row r="698" ht="15" customHeight="1">
      <c r="A698" t="inlineStr">
        <is>
          <t>A 62069-2021</t>
        </is>
      </c>
      <c r="B698" s="1" t="n">
        <v>44502</v>
      </c>
      <c r="C698" s="1" t="n">
        <v>45258</v>
      </c>
      <c r="D698" t="inlineStr">
        <is>
          <t>VÄSTERNORRLANDS LÄN</t>
        </is>
      </c>
      <c r="E698" t="inlineStr">
        <is>
          <t>ÅNGE</t>
        </is>
      </c>
      <c r="G698" t="n">
        <v>1.7</v>
      </c>
      <c r="H698" t="n">
        <v>0</v>
      </c>
      <c r="I698" t="n">
        <v>0</v>
      </c>
      <c r="J698" t="n">
        <v>0</v>
      </c>
      <c r="K698" t="n">
        <v>0</v>
      </c>
      <c r="L698" t="n">
        <v>0</v>
      </c>
      <c r="M698" t="n">
        <v>0</v>
      </c>
      <c r="N698" t="n">
        <v>0</v>
      </c>
      <c r="O698" t="n">
        <v>0</v>
      </c>
      <c r="P698" t="n">
        <v>0</v>
      </c>
      <c r="Q698" t="n">
        <v>0</v>
      </c>
      <c r="R698" s="2" t="inlineStr"/>
    </row>
    <row r="699" ht="15" customHeight="1">
      <c r="A699" t="inlineStr">
        <is>
          <t>A 62127-2021</t>
        </is>
      </c>
      <c r="B699" s="1" t="n">
        <v>44502</v>
      </c>
      <c r="C699" s="1" t="n">
        <v>45258</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62834-2021</t>
        </is>
      </c>
      <c r="B700" s="1" t="n">
        <v>44503</v>
      </c>
      <c r="C700" s="1" t="n">
        <v>45258</v>
      </c>
      <c r="D700" t="inlineStr">
        <is>
          <t>VÄSTERNORRLANDS LÄN</t>
        </is>
      </c>
      <c r="E700" t="inlineStr">
        <is>
          <t>ÅNGE</t>
        </is>
      </c>
      <c r="F700" t="inlineStr">
        <is>
          <t>Övriga statliga verk och myndigheter</t>
        </is>
      </c>
      <c r="G700" t="n">
        <v>2.6</v>
      </c>
      <c r="H700" t="n">
        <v>0</v>
      </c>
      <c r="I700" t="n">
        <v>0</v>
      </c>
      <c r="J700" t="n">
        <v>0</v>
      </c>
      <c r="K700" t="n">
        <v>0</v>
      </c>
      <c r="L700" t="n">
        <v>0</v>
      </c>
      <c r="M700" t="n">
        <v>0</v>
      </c>
      <c r="N700" t="n">
        <v>0</v>
      </c>
      <c r="O700" t="n">
        <v>0</v>
      </c>
      <c r="P700" t="n">
        <v>0</v>
      </c>
      <c r="Q700" t="n">
        <v>0</v>
      </c>
      <c r="R700" s="2" t="inlineStr"/>
    </row>
    <row r="701" ht="15" customHeight="1">
      <c r="A701" t="inlineStr">
        <is>
          <t>A 62870-2021</t>
        </is>
      </c>
      <c r="B701" s="1" t="n">
        <v>44503</v>
      </c>
      <c r="C701" s="1" t="n">
        <v>45258</v>
      </c>
      <c r="D701" t="inlineStr">
        <is>
          <t>VÄSTERNORRLANDS LÄN</t>
        </is>
      </c>
      <c r="E701" t="inlineStr">
        <is>
          <t>ÅNGE</t>
        </is>
      </c>
      <c r="F701" t="inlineStr">
        <is>
          <t>Övriga statliga verk och myndigheter</t>
        </is>
      </c>
      <c r="G701" t="n">
        <v>3</v>
      </c>
      <c r="H701" t="n">
        <v>0</v>
      </c>
      <c r="I701" t="n">
        <v>0</v>
      </c>
      <c r="J701" t="n">
        <v>0</v>
      </c>
      <c r="K701" t="n">
        <v>0</v>
      </c>
      <c r="L701" t="n">
        <v>0</v>
      </c>
      <c r="M701" t="n">
        <v>0</v>
      </c>
      <c r="N701" t="n">
        <v>0</v>
      </c>
      <c r="O701" t="n">
        <v>0</v>
      </c>
      <c r="P701" t="n">
        <v>0</v>
      </c>
      <c r="Q701" t="n">
        <v>0</v>
      </c>
      <c r="R701" s="2" t="inlineStr"/>
    </row>
    <row r="702" ht="15" customHeight="1">
      <c r="A702" t="inlineStr">
        <is>
          <t>A 63148-2021</t>
        </is>
      </c>
      <c r="B702" s="1" t="n">
        <v>44505</v>
      </c>
      <c r="C702" s="1" t="n">
        <v>45258</v>
      </c>
      <c r="D702" t="inlineStr">
        <is>
          <t>VÄSTERNORRLANDS LÄN</t>
        </is>
      </c>
      <c r="E702" t="inlineStr">
        <is>
          <t>ÅNGE</t>
        </is>
      </c>
      <c r="G702" t="n">
        <v>0.8</v>
      </c>
      <c r="H702" t="n">
        <v>0</v>
      </c>
      <c r="I702" t="n">
        <v>0</v>
      </c>
      <c r="J702" t="n">
        <v>0</v>
      </c>
      <c r="K702" t="n">
        <v>0</v>
      </c>
      <c r="L702" t="n">
        <v>0</v>
      </c>
      <c r="M702" t="n">
        <v>0</v>
      </c>
      <c r="N702" t="n">
        <v>0</v>
      </c>
      <c r="O702" t="n">
        <v>0</v>
      </c>
      <c r="P702" t="n">
        <v>0</v>
      </c>
      <c r="Q702" t="n">
        <v>0</v>
      </c>
      <c r="R702" s="2" t="inlineStr"/>
    </row>
    <row r="703" ht="15" customHeight="1">
      <c r="A703" t="inlineStr">
        <is>
          <t>A 63550-2021</t>
        </is>
      </c>
      <c r="B703" s="1" t="n">
        <v>44508</v>
      </c>
      <c r="C703" s="1" t="n">
        <v>45258</v>
      </c>
      <c r="D703" t="inlineStr">
        <is>
          <t>VÄSTERNORRLANDS LÄN</t>
        </is>
      </c>
      <c r="E703" t="inlineStr">
        <is>
          <t>ÅNGE</t>
        </is>
      </c>
      <c r="G703" t="n">
        <v>2.8</v>
      </c>
      <c r="H703" t="n">
        <v>0</v>
      </c>
      <c r="I703" t="n">
        <v>0</v>
      </c>
      <c r="J703" t="n">
        <v>0</v>
      </c>
      <c r="K703" t="n">
        <v>0</v>
      </c>
      <c r="L703" t="n">
        <v>0</v>
      </c>
      <c r="M703" t="n">
        <v>0</v>
      </c>
      <c r="N703" t="n">
        <v>0</v>
      </c>
      <c r="O703" t="n">
        <v>0</v>
      </c>
      <c r="P703" t="n">
        <v>0</v>
      </c>
      <c r="Q703" t="n">
        <v>0</v>
      </c>
      <c r="R703" s="2" t="inlineStr"/>
    </row>
    <row r="704" ht="15" customHeight="1">
      <c r="A704" t="inlineStr">
        <is>
          <t>A 63597-2021</t>
        </is>
      </c>
      <c r="B704" s="1" t="n">
        <v>44508</v>
      </c>
      <c r="C704" s="1" t="n">
        <v>45258</v>
      </c>
      <c r="D704" t="inlineStr">
        <is>
          <t>VÄSTERNORRLANDS LÄN</t>
        </is>
      </c>
      <c r="E704" t="inlineStr">
        <is>
          <t>ÅNGE</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63522-2021</t>
        </is>
      </c>
      <c r="B705" s="1" t="n">
        <v>44508</v>
      </c>
      <c r="C705" s="1" t="n">
        <v>45258</v>
      </c>
      <c r="D705" t="inlineStr">
        <is>
          <t>VÄSTERNORRLANDS LÄN</t>
        </is>
      </c>
      <c r="E705" t="inlineStr">
        <is>
          <t>ÅNGE</t>
        </is>
      </c>
      <c r="F705" t="inlineStr">
        <is>
          <t>Övriga Aktiebolag</t>
        </is>
      </c>
      <c r="G705" t="n">
        <v>3.5</v>
      </c>
      <c r="H705" t="n">
        <v>0</v>
      </c>
      <c r="I705" t="n">
        <v>0</v>
      </c>
      <c r="J705" t="n">
        <v>0</v>
      </c>
      <c r="K705" t="n">
        <v>0</v>
      </c>
      <c r="L705" t="n">
        <v>0</v>
      </c>
      <c r="M705" t="n">
        <v>0</v>
      </c>
      <c r="N705" t="n">
        <v>0</v>
      </c>
      <c r="O705" t="n">
        <v>0</v>
      </c>
      <c r="P705" t="n">
        <v>0</v>
      </c>
      <c r="Q705" t="n">
        <v>0</v>
      </c>
      <c r="R705" s="2" t="inlineStr"/>
    </row>
    <row r="706" ht="15" customHeight="1">
      <c r="A706" t="inlineStr">
        <is>
          <t>A 63556-2021</t>
        </is>
      </c>
      <c r="B706" s="1" t="n">
        <v>44508</v>
      </c>
      <c r="C706" s="1" t="n">
        <v>45258</v>
      </c>
      <c r="D706" t="inlineStr">
        <is>
          <t>VÄSTERNORRLANDS LÄN</t>
        </is>
      </c>
      <c r="E706" t="inlineStr">
        <is>
          <t>ÅNGE</t>
        </is>
      </c>
      <c r="G706" t="n">
        <v>4.2</v>
      </c>
      <c r="H706" t="n">
        <v>0</v>
      </c>
      <c r="I706" t="n">
        <v>0</v>
      </c>
      <c r="J706" t="n">
        <v>0</v>
      </c>
      <c r="K706" t="n">
        <v>0</v>
      </c>
      <c r="L706" t="n">
        <v>0</v>
      </c>
      <c r="M706" t="n">
        <v>0</v>
      </c>
      <c r="N706" t="n">
        <v>0</v>
      </c>
      <c r="O706" t="n">
        <v>0</v>
      </c>
      <c r="P706" t="n">
        <v>0</v>
      </c>
      <c r="Q706" t="n">
        <v>0</v>
      </c>
      <c r="R706" s="2" t="inlineStr"/>
    </row>
    <row r="707" ht="15" customHeight="1">
      <c r="A707" t="inlineStr">
        <is>
          <t>A 63598-2021</t>
        </is>
      </c>
      <c r="B707" s="1" t="n">
        <v>44508</v>
      </c>
      <c r="C707" s="1" t="n">
        <v>45258</v>
      </c>
      <c r="D707" t="inlineStr">
        <is>
          <t>VÄSTERNORRLANDS LÄN</t>
        </is>
      </c>
      <c r="E707" t="inlineStr">
        <is>
          <t>ÅNGE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63607-2021</t>
        </is>
      </c>
      <c r="B708" s="1" t="n">
        <v>44508</v>
      </c>
      <c r="C708" s="1" t="n">
        <v>45258</v>
      </c>
      <c r="D708" t="inlineStr">
        <is>
          <t>VÄSTERNORRLANDS LÄN</t>
        </is>
      </c>
      <c r="E708" t="inlineStr">
        <is>
          <t>ÅNGE</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63599-2021</t>
        </is>
      </c>
      <c r="B709" s="1" t="n">
        <v>44508</v>
      </c>
      <c r="C709" s="1" t="n">
        <v>45258</v>
      </c>
      <c r="D709" t="inlineStr">
        <is>
          <t>VÄSTERNORRLANDS LÄN</t>
        </is>
      </c>
      <c r="E709" t="inlineStr">
        <is>
          <t>ÅNGE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63608-2021</t>
        </is>
      </c>
      <c r="B710" s="1" t="n">
        <v>44508</v>
      </c>
      <c r="C710" s="1" t="n">
        <v>45258</v>
      </c>
      <c r="D710" t="inlineStr">
        <is>
          <t>VÄSTERNORRLANDS LÄN</t>
        </is>
      </c>
      <c r="E710" t="inlineStr">
        <is>
          <t>ÅNGE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63609-2021</t>
        </is>
      </c>
      <c r="B711" s="1" t="n">
        <v>44508</v>
      </c>
      <c r="C711" s="1" t="n">
        <v>45258</v>
      </c>
      <c r="D711" t="inlineStr">
        <is>
          <t>VÄSTERNORRLANDS LÄN</t>
        </is>
      </c>
      <c r="E711" t="inlineStr">
        <is>
          <t>ÅNGE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63836-2021</t>
        </is>
      </c>
      <c r="B712" s="1" t="n">
        <v>44509</v>
      </c>
      <c r="C712" s="1" t="n">
        <v>45258</v>
      </c>
      <c r="D712" t="inlineStr">
        <is>
          <t>VÄSTERNORRLANDS LÄN</t>
        </is>
      </c>
      <c r="E712" t="inlineStr">
        <is>
          <t>ÅNGE</t>
        </is>
      </c>
      <c r="G712" t="n">
        <v>1.9</v>
      </c>
      <c r="H712" t="n">
        <v>0</v>
      </c>
      <c r="I712" t="n">
        <v>0</v>
      </c>
      <c r="J712" t="n">
        <v>0</v>
      </c>
      <c r="K712" t="n">
        <v>0</v>
      </c>
      <c r="L712" t="n">
        <v>0</v>
      </c>
      <c r="M712" t="n">
        <v>0</v>
      </c>
      <c r="N712" t="n">
        <v>0</v>
      </c>
      <c r="O712" t="n">
        <v>0</v>
      </c>
      <c r="P712" t="n">
        <v>0</v>
      </c>
      <c r="Q712" t="n">
        <v>0</v>
      </c>
      <c r="R712" s="2" t="inlineStr"/>
    </row>
    <row r="713" ht="15" customHeight="1">
      <c r="A713" t="inlineStr">
        <is>
          <t>A 63897-2021</t>
        </is>
      </c>
      <c r="B713" s="1" t="n">
        <v>44509</v>
      </c>
      <c r="C713" s="1" t="n">
        <v>45258</v>
      </c>
      <c r="D713" t="inlineStr">
        <is>
          <t>VÄSTERNORRLANDS LÄN</t>
        </is>
      </c>
      <c r="E713" t="inlineStr">
        <is>
          <t>ÅNGE</t>
        </is>
      </c>
      <c r="G713" t="n">
        <v>4.1</v>
      </c>
      <c r="H713" t="n">
        <v>0</v>
      </c>
      <c r="I713" t="n">
        <v>0</v>
      </c>
      <c r="J713" t="n">
        <v>0</v>
      </c>
      <c r="K713" t="n">
        <v>0</v>
      </c>
      <c r="L713" t="n">
        <v>0</v>
      </c>
      <c r="M713" t="n">
        <v>0</v>
      </c>
      <c r="N713" t="n">
        <v>0</v>
      </c>
      <c r="O713" t="n">
        <v>0</v>
      </c>
      <c r="P713" t="n">
        <v>0</v>
      </c>
      <c r="Q713" t="n">
        <v>0</v>
      </c>
      <c r="R713" s="2" t="inlineStr"/>
    </row>
    <row r="714" ht="15" customHeight="1">
      <c r="A714" t="inlineStr">
        <is>
          <t>A 64121-2021</t>
        </is>
      </c>
      <c r="B714" s="1" t="n">
        <v>44510</v>
      </c>
      <c r="C714" s="1" t="n">
        <v>45258</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64962-2021</t>
        </is>
      </c>
      <c r="B715" s="1" t="n">
        <v>44512</v>
      </c>
      <c r="C715" s="1" t="n">
        <v>45258</v>
      </c>
      <c r="D715" t="inlineStr">
        <is>
          <t>VÄSTERNORRLANDS LÄN</t>
        </is>
      </c>
      <c r="E715" t="inlineStr">
        <is>
          <t>ÅNGE</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65229-2021</t>
        </is>
      </c>
      <c r="B716" s="1" t="n">
        <v>44515</v>
      </c>
      <c r="C716" s="1" t="n">
        <v>45258</v>
      </c>
      <c r="D716" t="inlineStr">
        <is>
          <t>VÄSTERNORRLANDS LÄN</t>
        </is>
      </c>
      <c r="E716" t="inlineStr">
        <is>
          <t>ÅNGE</t>
        </is>
      </c>
      <c r="G716" t="n">
        <v>12.1</v>
      </c>
      <c r="H716" t="n">
        <v>0</v>
      </c>
      <c r="I716" t="n">
        <v>0</v>
      </c>
      <c r="J716" t="n">
        <v>0</v>
      </c>
      <c r="K716" t="n">
        <v>0</v>
      </c>
      <c r="L716" t="n">
        <v>0</v>
      </c>
      <c r="M716" t="n">
        <v>0</v>
      </c>
      <c r="N716" t="n">
        <v>0</v>
      </c>
      <c r="O716" t="n">
        <v>0</v>
      </c>
      <c r="P716" t="n">
        <v>0</v>
      </c>
      <c r="Q716" t="n">
        <v>0</v>
      </c>
      <c r="R716" s="2" t="inlineStr"/>
    </row>
    <row r="717" ht="15" customHeight="1">
      <c r="A717" t="inlineStr">
        <is>
          <t>A 65425-2021</t>
        </is>
      </c>
      <c r="B717" s="1" t="n">
        <v>44515</v>
      </c>
      <c r="C717" s="1" t="n">
        <v>45258</v>
      </c>
      <c r="D717" t="inlineStr">
        <is>
          <t>VÄSTERNORRLANDS LÄN</t>
        </is>
      </c>
      <c r="E717" t="inlineStr">
        <is>
          <t>ÅNGE</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65435-2021</t>
        </is>
      </c>
      <c r="B718" s="1" t="n">
        <v>44515</v>
      </c>
      <c r="C718" s="1" t="n">
        <v>45258</v>
      </c>
      <c r="D718" t="inlineStr">
        <is>
          <t>VÄSTERNORRLANDS LÄN</t>
        </is>
      </c>
      <c r="E718" t="inlineStr">
        <is>
          <t>ÅNGE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65437-2021</t>
        </is>
      </c>
      <c r="B719" s="1" t="n">
        <v>44515</v>
      </c>
      <c r="C719" s="1" t="n">
        <v>45258</v>
      </c>
      <c r="D719" t="inlineStr">
        <is>
          <t>VÄSTERNORRLANDS LÄN</t>
        </is>
      </c>
      <c r="E719" t="inlineStr">
        <is>
          <t>ÅNGE</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65633-2021</t>
        </is>
      </c>
      <c r="B720" s="1" t="n">
        <v>44516</v>
      </c>
      <c r="C720" s="1" t="n">
        <v>45258</v>
      </c>
      <c r="D720" t="inlineStr">
        <is>
          <t>VÄSTERNORRLANDS LÄN</t>
        </is>
      </c>
      <c r="E720" t="inlineStr">
        <is>
          <t>ÅNGE</t>
        </is>
      </c>
      <c r="G720" t="n">
        <v>1.7</v>
      </c>
      <c r="H720" t="n">
        <v>0</v>
      </c>
      <c r="I720" t="n">
        <v>0</v>
      </c>
      <c r="J720" t="n">
        <v>0</v>
      </c>
      <c r="K720" t="n">
        <v>0</v>
      </c>
      <c r="L720" t="n">
        <v>0</v>
      </c>
      <c r="M720" t="n">
        <v>0</v>
      </c>
      <c r="N720" t="n">
        <v>0</v>
      </c>
      <c r="O720" t="n">
        <v>0</v>
      </c>
      <c r="P720" t="n">
        <v>0</v>
      </c>
      <c r="Q720" t="n">
        <v>0</v>
      </c>
      <c r="R720" s="2" t="inlineStr"/>
    </row>
    <row r="721" ht="15" customHeight="1">
      <c r="A721" t="inlineStr">
        <is>
          <t>A 65790-2021</t>
        </is>
      </c>
      <c r="B721" s="1" t="n">
        <v>44516</v>
      </c>
      <c r="C721" s="1" t="n">
        <v>45258</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66229-2021</t>
        </is>
      </c>
      <c r="B722" s="1" t="n">
        <v>44518</v>
      </c>
      <c r="C722" s="1" t="n">
        <v>45258</v>
      </c>
      <c r="D722" t="inlineStr">
        <is>
          <t>VÄSTERNORRLANDS LÄN</t>
        </is>
      </c>
      <c r="E722" t="inlineStr">
        <is>
          <t>ÅNGE</t>
        </is>
      </c>
      <c r="G722" t="n">
        <v>3.5</v>
      </c>
      <c r="H722" t="n">
        <v>0</v>
      </c>
      <c r="I722" t="n">
        <v>0</v>
      </c>
      <c r="J722" t="n">
        <v>0</v>
      </c>
      <c r="K722" t="n">
        <v>0</v>
      </c>
      <c r="L722" t="n">
        <v>0</v>
      </c>
      <c r="M722" t="n">
        <v>0</v>
      </c>
      <c r="N722" t="n">
        <v>0</v>
      </c>
      <c r="O722" t="n">
        <v>0</v>
      </c>
      <c r="P722" t="n">
        <v>0</v>
      </c>
      <c r="Q722" t="n">
        <v>0</v>
      </c>
      <c r="R722" s="2" t="inlineStr"/>
    </row>
    <row r="723" ht="15" customHeight="1">
      <c r="A723" t="inlineStr">
        <is>
          <t>A 66233-2021</t>
        </is>
      </c>
      <c r="B723" s="1" t="n">
        <v>44518</v>
      </c>
      <c r="C723" s="1" t="n">
        <v>45258</v>
      </c>
      <c r="D723" t="inlineStr">
        <is>
          <t>VÄSTERNORRLANDS LÄN</t>
        </is>
      </c>
      <c r="E723" t="inlineStr">
        <is>
          <t>ÅNGE</t>
        </is>
      </c>
      <c r="G723" t="n">
        <v>3.1</v>
      </c>
      <c r="H723" t="n">
        <v>0</v>
      </c>
      <c r="I723" t="n">
        <v>0</v>
      </c>
      <c r="J723" t="n">
        <v>0</v>
      </c>
      <c r="K723" t="n">
        <v>0</v>
      </c>
      <c r="L723" t="n">
        <v>0</v>
      </c>
      <c r="M723" t="n">
        <v>0</v>
      </c>
      <c r="N723" t="n">
        <v>0</v>
      </c>
      <c r="O723" t="n">
        <v>0</v>
      </c>
      <c r="P723" t="n">
        <v>0</v>
      </c>
      <c r="Q723" t="n">
        <v>0</v>
      </c>
      <c r="R723" s="2" t="inlineStr"/>
    </row>
    <row r="724" ht="15" customHeight="1">
      <c r="A724" t="inlineStr">
        <is>
          <t>A 66262-2021</t>
        </is>
      </c>
      <c r="B724" s="1" t="n">
        <v>44518</v>
      </c>
      <c r="C724" s="1" t="n">
        <v>45258</v>
      </c>
      <c r="D724" t="inlineStr">
        <is>
          <t>VÄSTERNORRLANDS LÄN</t>
        </is>
      </c>
      <c r="E724" t="inlineStr">
        <is>
          <t>ÅNGE</t>
        </is>
      </c>
      <c r="G724" t="n">
        <v>4.9</v>
      </c>
      <c r="H724" t="n">
        <v>0</v>
      </c>
      <c r="I724" t="n">
        <v>0</v>
      </c>
      <c r="J724" t="n">
        <v>0</v>
      </c>
      <c r="K724" t="n">
        <v>0</v>
      </c>
      <c r="L724" t="n">
        <v>0</v>
      </c>
      <c r="M724" t="n">
        <v>0</v>
      </c>
      <c r="N724" t="n">
        <v>0</v>
      </c>
      <c r="O724" t="n">
        <v>0</v>
      </c>
      <c r="P724" t="n">
        <v>0</v>
      </c>
      <c r="Q724" t="n">
        <v>0</v>
      </c>
      <c r="R724" s="2" t="inlineStr"/>
    </row>
    <row r="725" ht="15" customHeight="1">
      <c r="A725" t="inlineStr">
        <is>
          <t>A 66265-2021</t>
        </is>
      </c>
      <c r="B725" s="1" t="n">
        <v>44518</v>
      </c>
      <c r="C725" s="1" t="n">
        <v>45258</v>
      </c>
      <c r="D725" t="inlineStr">
        <is>
          <t>VÄSTERNORRLANDS LÄN</t>
        </is>
      </c>
      <c r="E725" t="inlineStr">
        <is>
          <t>ÅNGE</t>
        </is>
      </c>
      <c r="G725" t="n">
        <v>6</v>
      </c>
      <c r="H725" t="n">
        <v>0</v>
      </c>
      <c r="I725" t="n">
        <v>0</v>
      </c>
      <c r="J725" t="n">
        <v>0</v>
      </c>
      <c r="K725" t="n">
        <v>0</v>
      </c>
      <c r="L725" t="n">
        <v>0</v>
      </c>
      <c r="M725" t="n">
        <v>0</v>
      </c>
      <c r="N725" t="n">
        <v>0</v>
      </c>
      <c r="O725" t="n">
        <v>0</v>
      </c>
      <c r="P725" t="n">
        <v>0</v>
      </c>
      <c r="Q725" t="n">
        <v>0</v>
      </c>
      <c r="R725" s="2" t="inlineStr"/>
    </row>
    <row r="726" ht="15" customHeight="1">
      <c r="A726" t="inlineStr">
        <is>
          <t>A 66560-2021</t>
        </is>
      </c>
      <c r="B726" s="1" t="n">
        <v>44519</v>
      </c>
      <c r="C726" s="1" t="n">
        <v>45258</v>
      </c>
      <c r="D726" t="inlineStr">
        <is>
          <t>VÄSTERNORRLANDS LÄN</t>
        </is>
      </c>
      <c r="E726" t="inlineStr">
        <is>
          <t>ÅNGE</t>
        </is>
      </c>
      <c r="G726" t="n">
        <v>2.6</v>
      </c>
      <c r="H726" t="n">
        <v>0</v>
      </c>
      <c r="I726" t="n">
        <v>0</v>
      </c>
      <c r="J726" t="n">
        <v>0</v>
      </c>
      <c r="K726" t="n">
        <v>0</v>
      </c>
      <c r="L726" t="n">
        <v>0</v>
      </c>
      <c r="M726" t="n">
        <v>0</v>
      </c>
      <c r="N726" t="n">
        <v>0</v>
      </c>
      <c r="O726" t="n">
        <v>0</v>
      </c>
      <c r="P726" t="n">
        <v>0</v>
      </c>
      <c r="Q726" t="n">
        <v>0</v>
      </c>
      <c r="R726" s="2" t="inlineStr"/>
    </row>
    <row r="727" ht="15" customHeight="1">
      <c r="A727" t="inlineStr">
        <is>
          <t>A 67396-2021</t>
        </is>
      </c>
      <c r="B727" s="1" t="n">
        <v>44523</v>
      </c>
      <c r="C727" s="1" t="n">
        <v>45258</v>
      </c>
      <c r="D727" t="inlineStr">
        <is>
          <t>VÄSTERNORRLANDS LÄN</t>
        </is>
      </c>
      <c r="E727" t="inlineStr">
        <is>
          <t>ÅNGE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67546-2021</t>
        </is>
      </c>
      <c r="B728" s="1" t="n">
        <v>44524</v>
      </c>
      <c r="C728" s="1" t="n">
        <v>45258</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67708-2021</t>
        </is>
      </c>
      <c r="B729" s="1" t="n">
        <v>44524</v>
      </c>
      <c r="C729" s="1" t="n">
        <v>45258</v>
      </c>
      <c r="D729" t="inlineStr">
        <is>
          <t>VÄSTERNORRLANDS LÄN</t>
        </is>
      </c>
      <c r="E729" t="inlineStr">
        <is>
          <t>ÅNGE</t>
        </is>
      </c>
      <c r="G729" t="n">
        <v>4.4</v>
      </c>
      <c r="H729" t="n">
        <v>0</v>
      </c>
      <c r="I729" t="n">
        <v>0</v>
      </c>
      <c r="J729" t="n">
        <v>0</v>
      </c>
      <c r="K729" t="n">
        <v>0</v>
      </c>
      <c r="L729" t="n">
        <v>0</v>
      </c>
      <c r="M729" t="n">
        <v>0</v>
      </c>
      <c r="N729" t="n">
        <v>0</v>
      </c>
      <c r="O729" t="n">
        <v>0</v>
      </c>
      <c r="P729" t="n">
        <v>0</v>
      </c>
      <c r="Q729" t="n">
        <v>0</v>
      </c>
      <c r="R729" s="2" t="inlineStr"/>
    </row>
    <row r="730" ht="15" customHeight="1">
      <c r="A730" t="inlineStr">
        <is>
          <t>A 67712-2021</t>
        </is>
      </c>
      <c r="B730" s="1" t="n">
        <v>44524</v>
      </c>
      <c r="C730" s="1" t="n">
        <v>45258</v>
      </c>
      <c r="D730" t="inlineStr">
        <is>
          <t>VÄSTERNORRLANDS LÄN</t>
        </is>
      </c>
      <c r="E730" t="inlineStr">
        <is>
          <t>ÅNGE</t>
        </is>
      </c>
      <c r="G730" t="n">
        <v>3</v>
      </c>
      <c r="H730" t="n">
        <v>0</v>
      </c>
      <c r="I730" t="n">
        <v>0</v>
      </c>
      <c r="J730" t="n">
        <v>0</v>
      </c>
      <c r="K730" t="n">
        <v>0</v>
      </c>
      <c r="L730" t="n">
        <v>0</v>
      </c>
      <c r="M730" t="n">
        <v>0</v>
      </c>
      <c r="N730" t="n">
        <v>0</v>
      </c>
      <c r="O730" t="n">
        <v>0</v>
      </c>
      <c r="P730" t="n">
        <v>0</v>
      </c>
      <c r="Q730" t="n">
        <v>0</v>
      </c>
      <c r="R730" s="2" t="inlineStr"/>
    </row>
    <row r="731" ht="15" customHeight="1">
      <c r="A731" t="inlineStr">
        <is>
          <t>A 68743-2021</t>
        </is>
      </c>
      <c r="B731" s="1" t="n">
        <v>44529</v>
      </c>
      <c r="C731" s="1" t="n">
        <v>45258</v>
      </c>
      <c r="D731" t="inlineStr">
        <is>
          <t>VÄSTERNORRLANDS LÄN</t>
        </is>
      </c>
      <c r="E731" t="inlineStr">
        <is>
          <t>ÅNGE</t>
        </is>
      </c>
      <c r="G731" t="n">
        <v>2.1</v>
      </c>
      <c r="H731" t="n">
        <v>0</v>
      </c>
      <c r="I731" t="n">
        <v>0</v>
      </c>
      <c r="J731" t="n">
        <v>0</v>
      </c>
      <c r="K731" t="n">
        <v>0</v>
      </c>
      <c r="L731" t="n">
        <v>0</v>
      </c>
      <c r="M731" t="n">
        <v>0</v>
      </c>
      <c r="N731" t="n">
        <v>0</v>
      </c>
      <c r="O731" t="n">
        <v>0</v>
      </c>
      <c r="P731" t="n">
        <v>0</v>
      </c>
      <c r="Q731" t="n">
        <v>0</v>
      </c>
      <c r="R731" s="2" t="inlineStr"/>
    </row>
    <row r="732" ht="15" customHeight="1">
      <c r="A732" t="inlineStr">
        <is>
          <t>A 69736-2021</t>
        </is>
      </c>
      <c r="B732" s="1" t="n">
        <v>44532</v>
      </c>
      <c r="C732" s="1" t="n">
        <v>45258</v>
      </c>
      <c r="D732" t="inlineStr">
        <is>
          <t>VÄSTERNORRLANDS LÄN</t>
        </is>
      </c>
      <c r="E732" t="inlineStr">
        <is>
          <t>ÅNGE</t>
        </is>
      </c>
      <c r="G732" t="n">
        <v>5</v>
      </c>
      <c r="H732" t="n">
        <v>0</v>
      </c>
      <c r="I732" t="n">
        <v>0</v>
      </c>
      <c r="J732" t="n">
        <v>0</v>
      </c>
      <c r="K732" t="n">
        <v>0</v>
      </c>
      <c r="L732" t="n">
        <v>0</v>
      </c>
      <c r="M732" t="n">
        <v>0</v>
      </c>
      <c r="N732" t="n">
        <v>0</v>
      </c>
      <c r="O732" t="n">
        <v>0</v>
      </c>
      <c r="P732" t="n">
        <v>0</v>
      </c>
      <c r="Q732" t="n">
        <v>0</v>
      </c>
      <c r="R732" s="2" t="inlineStr"/>
    </row>
    <row r="733" ht="15" customHeight="1">
      <c r="A733" t="inlineStr">
        <is>
          <t>A 69790-2021</t>
        </is>
      </c>
      <c r="B733" s="1" t="n">
        <v>44532</v>
      </c>
      <c r="C733" s="1" t="n">
        <v>45258</v>
      </c>
      <c r="D733" t="inlineStr">
        <is>
          <t>VÄSTERNORRLANDS LÄN</t>
        </is>
      </c>
      <c r="E733" t="inlineStr">
        <is>
          <t>ÅNGE</t>
        </is>
      </c>
      <c r="G733" t="n">
        <v>1.9</v>
      </c>
      <c r="H733" t="n">
        <v>0</v>
      </c>
      <c r="I733" t="n">
        <v>0</v>
      </c>
      <c r="J733" t="n">
        <v>0</v>
      </c>
      <c r="K733" t="n">
        <v>0</v>
      </c>
      <c r="L733" t="n">
        <v>0</v>
      </c>
      <c r="M733" t="n">
        <v>0</v>
      </c>
      <c r="N733" t="n">
        <v>0</v>
      </c>
      <c r="O733" t="n">
        <v>0</v>
      </c>
      <c r="P733" t="n">
        <v>0</v>
      </c>
      <c r="Q733" t="n">
        <v>0</v>
      </c>
      <c r="R733" s="2" t="inlineStr"/>
    </row>
    <row r="734" ht="15" customHeight="1">
      <c r="A734" t="inlineStr">
        <is>
          <t>A 70809-2021</t>
        </is>
      </c>
      <c r="B734" s="1" t="n">
        <v>44537</v>
      </c>
      <c r="C734" s="1" t="n">
        <v>45258</v>
      </c>
      <c r="D734" t="inlineStr">
        <is>
          <t>VÄSTERNORRLANDS LÄN</t>
        </is>
      </c>
      <c r="E734" t="inlineStr">
        <is>
          <t>ÅNGE</t>
        </is>
      </c>
      <c r="G734" t="n">
        <v>2.4</v>
      </c>
      <c r="H734" t="n">
        <v>0</v>
      </c>
      <c r="I734" t="n">
        <v>0</v>
      </c>
      <c r="J734" t="n">
        <v>0</v>
      </c>
      <c r="K734" t="n">
        <v>0</v>
      </c>
      <c r="L734" t="n">
        <v>0</v>
      </c>
      <c r="M734" t="n">
        <v>0</v>
      </c>
      <c r="N734" t="n">
        <v>0</v>
      </c>
      <c r="O734" t="n">
        <v>0</v>
      </c>
      <c r="P734" t="n">
        <v>0</v>
      </c>
      <c r="Q734" t="n">
        <v>0</v>
      </c>
      <c r="R734" s="2" t="inlineStr"/>
    </row>
    <row r="735" ht="15" customHeight="1">
      <c r="A735" t="inlineStr">
        <is>
          <t>A 70899-2021</t>
        </is>
      </c>
      <c r="B735" s="1" t="n">
        <v>44537</v>
      </c>
      <c r="C735" s="1" t="n">
        <v>45258</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70893-2021</t>
        </is>
      </c>
      <c r="B736" s="1" t="n">
        <v>44538</v>
      </c>
      <c r="C736" s="1" t="n">
        <v>45258</v>
      </c>
      <c r="D736" t="inlineStr">
        <is>
          <t>VÄSTERNORRLANDS LÄN</t>
        </is>
      </c>
      <c r="E736" t="inlineStr">
        <is>
          <t>ÅNGE</t>
        </is>
      </c>
      <c r="G736" t="n">
        <v>6.2</v>
      </c>
      <c r="H736" t="n">
        <v>0</v>
      </c>
      <c r="I736" t="n">
        <v>0</v>
      </c>
      <c r="J736" t="n">
        <v>0</v>
      </c>
      <c r="K736" t="n">
        <v>0</v>
      </c>
      <c r="L736" t="n">
        <v>0</v>
      </c>
      <c r="M736" t="n">
        <v>0</v>
      </c>
      <c r="N736" t="n">
        <v>0</v>
      </c>
      <c r="O736" t="n">
        <v>0</v>
      </c>
      <c r="P736" t="n">
        <v>0</v>
      </c>
      <c r="Q736" t="n">
        <v>0</v>
      </c>
      <c r="R736" s="2" t="inlineStr"/>
    </row>
    <row r="737" ht="15" customHeight="1">
      <c r="A737" t="inlineStr">
        <is>
          <t>A 71651-2021</t>
        </is>
      </c>
      <c r="B737" s="1" t="n">
        <v>44538</v>
      </c>
      <c r="C737" s="1" t="n">
        <v>45258</v>
      </c>
      <c r="D737" t="inlineStr">
        <is>
          <t>VÄSTERNORRLANDS LÄN</t>
        </is>
      </c>
      <c r="E737" t="inlineStr">
        <is>
          <t>ÅNGE</t>
        </is>
      </c>
      <c r="G737" t="n">
        <v>4.4</v>
      </c>
      <c r="H737" t="n">
        <v>0</v>
      </c>
      <c r="I737" t="n">
        <v>0</v>
      </c>
      <c r="J737" t="n">
        <v>0</v>
      </c>
      <c r="K737" t="n">
        <v>0</v>
      </c>
      <c r="L737" t="n">
        <v>0</v>
      </c>
      <c r="M737" t="n">
        <v>0</v>
      </c>
      <c r="N737" t="n">
        <v>0</v>
      </c>
      <c r="O737" t="n">
        <v>0</v>
      </c>
      <c r="P737" t="n">
        <v>0</v>
      </c>
      <c r="Q737" t="n">
        <v>0</v>
      </c>
      <c r="R737" s="2" t="inlineStr"/>
    </row>
    <row r="738" ht="15" customHeight="1">
      <c r="A738" t="inlineStr">
        <is>
          <t>A 71669-2021</t>
        </is>
      </c>
      <c r="B738" s="1" t="n">
        <v>44538</v>
      </c>
      <c r="C738" s="1" t="n">
        <v>45258</v>
      </c>
      <c r="D738" t="inlineStr">
        <is>
          <t>VÄSTERNORRLANDS LÄN</t>
        </is>
      </c>
      <c r="E738" t="inlineStr">
        <is>
          <t>ÅNGE</t>
        </is>
      </c>
      <c r="G738" t="n">
        <v>2.1</v>
      </c>
      <c r="H738" t="n">
        <v>0</v>
      </c>
      <c r="I738" t="n">
        <v>0</v>
      </c>
      <c r="J738" t="n">
        <v>0</v>
      </c>
      <c r="K738" t="n">
        <v>0</v>
      </c>
      <c r="L738" t="n">
        <v>0</v>
      </c>
      <c r="M738" t="n">
        <v>0</v>
      </c>
      <c r="N738" t="n">
        <v>0</v>
      </c>
      <c r="O738" t="n">
        <v>0</v>
      </c>
      <c r="P738" t="n">
        <v>0</v>
      </c>
      <c r="Q738" t="n">
        <v>0</v>
      </c>
      <c r="R738" s="2" t="inlineStr"/>
    </row>
    <row r="739" ht="15" customHeight="1">
      <c r="A739" t="inlineStr">
        <is>
          <t>A 71302-2021</t>
        </is>
      </c>
      <c r="B739" s="1" t="n">
        <v>44539</v>
      </c>
      <c r="C739" s="1" t="n">
        <v>45258</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71357-2021</t>
        </is>
      </c>
      <c r="B740" s="1" t="n">
        <v>44539</v>
      </c>
      <c r="C740" s="1" t="n">
        <v>45258</v>
      </c>
      <c r="D740" t="inlineStr">
        <is>
          <t>VÄSTERNORRLANDS LÄN</t>
        </is>
      </c>
      <c r="E740" t="inlineStr">
        <is>
          <t>ÅNGE</t>
        </is>
      </c>
      <c r="G740" t="n">
        <v>5.4</v>
      </c>
      <c r="H740" t="n">
        <v>0</v>
      </c>
      <c r="I740" t="n">
        <v>0</v>
      </c>
      <c r="J740" t="n">
        <v>0</v>
      </c>
      <c r="K740" t="n">
        <v>0</v>
      </c>
      <c r="L740" t="n">
        <v>0</v>
      </c>
      <c r="M740" t="n">
        <v>0</v>
      </c>
      <c r="N740" t="n">
        <v>0</v>
      </c>
      <c r="O740" t="n">
        <v>0</v>
      </c>
      <c r="P740" t="n">
        <v>0</v>
      </c>
      <c r="Q740" t="n">
        <v>0</v>
      </c>
      <c r="R740" s="2" t="inlineStr"/>
    </row>
    <row r="741" ht="15" customHeight="1">
      <c r="A741" t="inlineStr">
        <is>
          <t>A 71396-2021</t>
        </is>
      </c>
      <c r="B741" s="1" t="n">
        <v>44540</v>
      </c>
      <c r="C741" s="1" t="n">
        <v>45258</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71449-2021</t>
        </is>
      </c>
      <c r="B742" s="1" t="n">
        <v>44540</v>
      </c>
      <c r="C742" s="1" t="n">
        <v>45258</v>
      </c>
      <c r="D742" t="inlineStr">
        <is>
          <t>VÄSTERNORRLANDS LÄN</t>
        </is>
      </c>
      <c r="E742" t="inlineStr">
        <is>
          <t>ÅNGE</t>
        </is>
      </c>
      <c r="G742" t="n">
        <v>1</v>
      </c>
      <c r="H742" t="n">
        <v>0</v>
      </c>
      <c r="I742" t="n">
        <v>0</v>
      </c>
      <c r="J742" t="n">
        <v>0</v>
      </c>
      <c r="K742" t="n">
        <v>0</v>
      </c>
      <c r="L742" t="n">
        <v>0</v>
      </c>
      <c r="M742" t="n">
        <v>0</v>
      </c>
      <c r="N742" t="n">
        <v>0</v>
      </c>
      <c r="O742" t="n">
        <v>0</v>
      </c>
      <c r="P742" t="n">
        <v>0</v>
      </c>
      <c r="Q742" t="n">
        <v>0</v>
      </c>
      <c r="R742" s="2" t="inlineStr"/>
    </row>
    <row r="743" ht="15" customHeight="1">
      <c r="A743" t="inlineStr">
        <is>
          <t>A 71965-2021</t>
        </is>
      </c>
      <c r="B743" s="1" t="n">
        <v>44544</v>
      </c>
      <c r="C743" s="1" t="n">
        <v>45258</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72239-2021</t>
        </is>
      </c>
      <c r="B744" s="1" t="n">
        <v>44544</v>
      </c>
      <c r="C744" s="1" t="n">
        <v>45258</v>
      </c>
      <c r="D744" t="inlineStr">
        <is>
          <t>VÄSTERNORRLANDS LÄN</t>
        </is>
      </c>
      <c r="E744" t="inlineStr">
        <is>
          <t>ÅNGE</t>
        </is>
      </c>
      <c r="G744" t="n">
        <v>1.2</v>
      </c>
      <c r="H744" t="n">
        <v>0</v>
      </c>
      <c r="I744" t="n">
        <v>0</v>
      </c>
      <c r="J744" t="n">
        <v>0</v>
      </c>
      <c r="K744" t="n">
        <v>0</v>
      </c>
      <c r="L744" t="n">
        <v>0</v>
      </c>
      <c r="M744" t="n">
        <v>0</v>
      </c>
      <c r="N744" t="n">
        <v>0</v>
      </c>
      <c r="O744" t="n">
        <v>0</v>
      </c>
      <c r="P744" t="n">
        <v>0</v>
      </c>
      <c r="Q744" t="n">
        <v>0</v>
      </c>
      <c r="R744" s="2" t="inlineStr"/>
    </row>
    <row r="745" ht="15" customHeight="1">
      <c r="A745" t="inlineStr">
        <is>
          <t>A 74088-2021</t>
        </is>
      </c>
      <c r="B745" s="1" t="n">
        <v>44557</v>
      </c>
      <c r="C745" s="1" t="n">
        <v>45258</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74109-2021</t>
        </is>
      </c>
      <c r="B746" s="1" t="n">
        <v>44557</v>
      </c>
      <c r="C746" s="1" t="n">
        <v>45258</v>
      </c>
      <c r="D746" t="inlineStr">
        <is>
          <t>VÄSTERNORRLANDS LÄN</t>
        </is>
      </c>
      <c r="E746" t="inlineStr">
        <is>
          <t>ÅNGE</t>
        </is>
      </c>
      <c r="G746" t="n">
        <v>2.4</v>
      </c>
      <c r="H746" t="n">
        <v>0</v>
      </c>
      <c r="I746" t="n">
        <v>0</v>
      </c>
      <c r="J746" t="n">
        <v>0</v>
      </c>
      <c r="K746" t="n">
        <v>0</v>
      </c>
      <c r="L746" t="n">
        <v>0</v>
      </c>
      <c r="M746" t="n">
        <v>0</v>
      </c>
      <c r="N746" t="n">
        <v>0</v>
      </c>
      <c r="O746" t="n">
        <v>0</v>
      </c>
      <c r="P746" t="n">
        <v>0</v>
      </c>
      <c r="Q746" t="n">
        <v>0</v>
      </c>
      <c r="R746" s="2" t="inlineStr"/>
    </row>
    <row r="747" ht="15" customHeight="1">
      <c r="A747" t="inlineStr">
        <is>
          <t>A 74194-2021</t>
        </is>
      </c>
      <c r="B747" s="1" t="n">
        <v>44558</v>
      </c>
      <c r="C747" s="1" t="n">
        <v>45258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1081-2022</t>
        </is>
      </c>
      <c r="B748" s="1" t="n">
        <v>44571</v>
      </c>
      <c r="C748" s="1" t="n">
        <v>45258</v>
      </c>
      <c r="D748" t="inlineStr">
        <is>
          <t>VÄSTERNORRLANDS LÄN</t>
        </is>
      </c>
      <c r="E748" t="inlineStr">
        <is>
          <t>ÅNGE</t>
        </is>
      </c>
      <c r="G748" t="n">
        <v>2.2</v>
      </c>
      <c r="H748" t="n">
        <v>0</v>
      </c>
      <c r="I748" t="n">
        <v>0</v>
      </c>
      <c r="J748" t="n">
        <v>0</v>
      </c>
      <c r="K748" t="n">
        <v>0</v>
      </c>
      <c r="L748" t="n">
        <v>0</v>
      </c>
      <c r="M748" t="n">
        <v>0</v>
      </c>
      <c r="N748" t="n">
        <v>0</v>
      </c>
      <c r="O748" t="n">
        <v>0</v>
      </c>
      <c r="P748" t="n">
        <v>0</v>
      </c>
      <c r="Q748" t="n">
        <v>0</v>
      </c>
      <c r="R748" s="2" t="inlineStr"/>
    </row>
    <row r="749" ht="15" customHeight="1">
      <c r="A749" t="inlineStr">
        <is>
          <t>A 1297-2022</t>
        </is>
      </c>
      <c r="B749" s="1" t="n">
        <v>44572</v>
      </c>
      <c r="C749" s="1" t="n">
        <v>45258</v>
      </c>
      <c r="D749" t="inlineStr">
        <is>
          <t>VÄSTERNORRLANDS LÄN</t>
        </is>
      </c>
      <c r="E749" t="inlineStr">
        <is>
          <t>ÅNGE</t>
        </is>
      </c>
      <c r="G749" t="n">
        <v>2.3</v>
      </c>
      <c r="H749" t="n">
        <v>0</v>
      </c>
      <c r="I749" t="n">
        <v>0</v>
      </c>
      <c r="J749" t="n">
        <v>0</v>
      </c>
      <c r="K749" t="n">
        <v>0</v>
      </c>
      <c r="L749" t="n">
        <v>0</v>
      </c>
      <c r="M749" t="n">
        <v>0</v>
      </c>
      <c r="N749" t="n">
        <v>0</v>
      </c>
      <c r="O749" t="n">
        <v>0</v>
      </c>
      <c r="P749" t="n">
        <v>0</v>
      </c>
      <c r="Q749" t="n">
        <v>0</v>
      </c>
      <c r="R749" s="2" t="inlineStr"/>
    </row>
    <row r="750" ht="15" customHeight="1">
      <c r="A750" t="inlineStr">
        <is>
          <t>A 1869-2022</t>
        </is>
      </c>
      <c r="B750" s="1" t="n">
        <v>44574</v>
      </c>
      <c r="C750" s="1" t="n">
        <v>45258</v>
      </c>
      <c r="D750" t="inlineStr">
        <is>
          <t>VÄSTERNORRLANDS LÄN</t>
        </is>
      </c>
      <c r="E750" t="inlineStr">
        <is>
          <t>ÅNGE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1964-2022</t>
        </is>
      </c>
      <c r="B751" s="1" t="n">
        <v>44575</v>
      </c>
      <c r="C751" s="1" t="n">
        <v>45258</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4651-2022</t>
        </is>
      </c>
      <c r="B752" s="1" t="n">
        <v>44592</v>
      </c>
      <c r="C752" s="1" t="n">
        <v>45258</v>
      </c>
      <c r="D752" t="inlineStr">
        <is>
          <t>VÄSTERNORRLANDS LÄN</t>
        </is>
      </c>
      <c r="E752" t="inlineStr">
        <is>
          <t>ÅNGE</t>
        </is>
      </c>
      <c r="G752" t="n">
        <v>1.7</v>
      </c>
      <c r="H752" t="n">
        <v>0</v>
      </c>
      <c r="I752" t="n">
        <v>0</v>
      </c>
      <c r="J752" t="n">
        <v>0</v>
      </c>
      <c r="K752" t="n">
        <v>0</v>
      </c>
      <c r="L752" t="n">
        <v>0</v>
      </c>
      <c r="M752" t="n">
        <v>0</v>
      </c>
      <c r="N752" t="n">
        <v>0</v>
      </c>
      <c r="O752" t="n">
        <v>0</v>
      </c>
      <c r="P752" t="n">
        <v>0</v>
      </c>
      <c r="Q752" t="n">
        <v>0</v>
      </c>
      <c r="R752" s="2" t="inlineStr"/>
    </row>
    <row r="753" ht="15" customHeight="1">
      <c r="A753" t="inlineStr">
        <is>
          <t>A 4939-2022</t>
        </is>
      </c>
      <c r="B753" s="1" t="n">
        <v>44593</v>
      </c>
      <c r="C753" s="1" t="n">
        <v>45258</v>
      </c>
      <c r="D753" t="inlineStr">
        <is>
          <t>VÄSTERNORRLANDS LÄN</t>
        </is>
      </c>
      <c r="E753" t="inlineStr">
        <is>
          <t>ÅNGE</t>
        </is>
      </c>
      <c r="G753" t="n">
        <v>1.7</v>
      </c>
      <c r="H753" t="n">
        <v>0</v>
      </c>
      <c r="I753" t="n">
        <v>0</v>
      </c>
      <c r="J753" t="n">
        <v>0</v>
      </c>
      <c r="K753" t="n">
        <v>0</v>
      </c>
      <c r="L753" t="n">
        <v>0</v>
      </c>
      <c r="M753" t="n">
        <v>0</v>
      </c>
      <c r="N753" t="n">
        <v>0</v>
      </c>
      <c r="O753" t="n">
        <v>0</v>
      </c>
      <c r="P753" t="n">
        <v>0</v>
      </c>
      <c r="Q753" t="n">
        <v>0</v>
      </c>
      <c r="R753" s="2" t="inlineStr"/>
    </row>
    <row r="754" ht="15" customHeight="1">
      <c r="A754" t="inlineStr">
        <is>
          <t>A 5113-2022</t>
        </is>
      </c>
      <c r="B754" s="1" t="n">
        <v>44593</v>
      </c>
      <c r="C754" s="1" t="n">
        <v>45258</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5112-2022</t>
        </is>
      </c>
      <c r="B755" s="1" t="n">
        <v>44593</v>
      </c>
      <c r="C755" s="1" t="n">
        <v>45258</v>
      </c>
      <c r="D755" t="inlineStr">
        <is>
          <t>VÄSTERNORRLANDS LÄN</t>
        </is>
      </c>
      <c r="E755" t="inlineStr">
        <is>
          <t>ÅNGE</t>
        </is>
      </c>
      <c r="F755" t="inlineStr">
        <is>
          <t>SCA</t>
        </is>
      </c>
      <c r="G755" t="n">
        <v>7.2</v>
      </c>
      <c r="H755" t="n">
        <v>0</v>
      </c>
      <c r="I755" t="n">
        <v>0</v>
      </c>
      <c r="J755" t="n">
        <v>0</v>
      </c>
      <c r="K755" t="n">
        <v>0</v>
      </c>
      <c r="L755" t="n">
        <v>0</v>
      </c>
      <c r="M755" t="n">
        <v>0</v>
      </c>
      <c r="N755" t="n">
        <v>0</v>
      </c>
      <c r="O755" t="n">
        <v>0</v>
      </c>
      <c r="P755" t="n">
        <v>0</v>
      </c>
      <c r="Q755" t="n">
        <v>0</v>
      </c>
      <c r="R755" s="2" t="inlineStr"/>
    </row>
    <row r="756" ht="15" customHeight="1">
      <c r="A756" t="inlineStr">
        <is>
          <t>A 5279-2022</t>
        </is>
      </c>
      <c r="B756" s="1" t="n">
        <v>44594</v>
      </c>
      <c r="C756" s="1" t="n">
        <v>45258</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5369-2022</t>
        </is>
      </c>
      <c r="B757" s="1" t="n">
        <v>44594</v>
      </c>
      <c r="C757" s="1" t="n">
        <v>45258</v>
      </c>
      <c r="D757" t="inlineStr">
        <is>
          <t>VÄSTERNORRLANDS LÄN</t>
        </is>
      </c>
      <c r="E757" t="inlineStr">
        <is>
          <t>ÅNGE</t>
        </is>
      </c>
      <c r="G757" t="n">
        <v>1.3</v>
      </c>
      <c r="H757" t="n">
        <v>0</v>
      </c>
      <c r="I757" t="n">
        <v>0</v>
      </c>
      <c r="J757" t="n">
        <v>0</v>
      </c>
      <c r="K757" t="n">
        <v>0</v>
      </c>
      <c r="L757" t="n">
        <v>0</v>
      </c>
      <c r="M757" t="n">
        <v>0</v>
      </c>
      <c r="N757" t="n">
        <v>0</v>
      </c>
      <c r="O757" t="n">
        <v>0</v>
      </c>
      <c r="P757" t="n">
        <v>0</v>
      </c>
      <c r="Q757" t="n">
        <v>0</v>
      </c>
      <c r="R757" s="2" t="inlineStr"/>
    </row>
    <row r="758" ht="15" customHeight="1">
      <c r="A758" t="inlineStr">
        <is>
          <t>A 5381-2022</t>
        </is>
      </c>
      <c r="B758" s="1" t="n">
        <v>44594</v>
      </c>
      <c r="C758" s="1" t="n">
        <v>45258</v>
      </c>
      <c r="D758" t="inlineStr">
        <is>
          <t>VÄSTERNORRLANDS LÄN</t>
        </is>
      </c>
      <c r="E758" t="inlineStr">
        <is>
          <t>ÅNGE</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5367-2022</t>
        </is>
      </c>
      <c r="B759" s="1" t="n">
        <v>44594</v>
      </c>
      <c r="C759" s="1" t="n">
        <v>45258</v>
      </c>
      <c r="D759" t="inlineStr">
        <is>
          <t>VÄSTERNORRLANDS LÄN</t>
        </is>
      </c>
      <c r="E759" t="inlineStr">
        <is>
          <t>ÅNGE</t>
        </is>
      </c>
      <c r="G759" t="n">
        <v>1.4</v>
      </c>
      <c r="H759" t="n">
        <v>0</v>
      </c>
      <c r="I759" t="n">
        <v>0</v>
      </c>
      <c r="J759" t="n">
        <v>0</v>
      </c>
      <c r="K759" t="n">
        <v>0</v>
      </c>
      <c r="L759" t="n">
        <v>0</v>
      </c>
      <c r="M759" t="n">
        <v>0</v>
      </c>
      <c r="N759" t="n">
        <v>0</v>
      </c>
      <c r="O759" t="n">
        <v>0</v>
      </c>
      <c r="P759" t="n">
        <v>0</v>
      </c>
      <c r="Q759" t="n">
        <v>0</v>
      </c>
      <c r="R759" s="2" t="inlineStr"/>
    </row>
    <row r="760" ht="15" customHeight="1">
      <c r="A760" t="inlineStr">
        <is>
          <t>A 5366-2022</t>
        </is>
      </c>
      <c r="B760" s="1" t="n">
        <v>44594</v>
      </c>
      <c r="C760" s="1" t="n">
        <v>45258</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5520-2022</t>
        </is>
      </c>
      <c r="B761" s="1" t="n">
        <v>44595</v>
      </c>
      <c r="C761" s="1" t="n">
        <v>45258</v>
      </c>
      <c r="D761" t="inlineStr">
        <is>
          <t>VÄSTERNORRLANDS LÄN</t>
        </is>
      </c>
      <c r="E761" t="inlineStr">
        <is>
          <t>ÅNGE</t>
        </is>
      </c>
      <c r="G761" t="n">
        <v>4.9</v>
      </c>
      <c r="H761" t="n">
        <v>0</v>
      </c>
      <c r="I761" t="n">
        <v>0</v>
      </c>
      <c r="J761" t="n">
        <v>0</v>
      </c>
      <c r="K761" t="n">
        <v>0</v>
      </c>
      <c r="L761" t="n">
        <v>0</v>
      </c>
      <c r="M761" t="n">
        <v>0</v>
      </c>
      <c r="N761" t="n">
        <v>0</v>
      </c>
      <c r="O761" t="n">
        <v>0</v>
      </c>
      <c r="P761" t="n">
        <v>0</v>
      </c>
      <c r="Q761" t="n">
        <v>0</v>
      </c>
      <c r="R761" s="2" t="inlineStr"/>
    </row>
    <row r="762" ht="15" customHeight="1">
      <c r="A762" t="inlineStr">
        <is>
          <t>A 5552-2022</t>
        </is>
      </c>
      <c r="B762" s="1" t="n">
        <v>44595</v>
      </c>
      <c r="C762" s="1" t="n">
        <v>45258</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5565-2022</t>
        </is>
      </c>
      <c r="B763" s="1" t="n">
        <v>44595</v>
      </c>
      <c r="C763" s="1" t="n">
        <v>45258</v>
      </c>
      <c r="D763" t="inlineStr">
        <is>
          <t>VÄSTERNORRLANDS LÄN</t>
        </is>
      </c>
      <c r="E763" t="inlineStr">
        <is>
          <t>ÅNGE</t>
        </is>
      </c>
      <c r="G763" t="n">
        <v>0.3</v>
      </c>
      <c r="H763" t="n">
        <v>0</v>
      </c>
      <c r="I763" t="n">
        <v>0</v>
      </c>
      <c r="J763" t="n">
        <v>0</v>
      </c>
      <c r="K763" t="n">
        <v>0</v>
      </c>
      <c r="L763" t="n">
        <v>0</v>
      </c>
      <c r="M763" t="n">
        <v>0</v>
      </c>
      <c r="N763" t="n">
        <v>0</v>
      </c>
      <c r="O763" t="n">
        <v>0</v>
      </c>
      <c r="P763" t="n">
        <v>0</v>
      </c>
      <c r="Q763" t="n">
        <v>0</v>
      </c>
      <c r="R763" s="2" t="inlineStr"/>
    </row>
    <row r="764" ht="15" customHeight="1">
      <c r="A764" t="inlineStr">
        <is>
          <t>A 6113-2022</t>
        </is>
      </c>
      <c r="B764" s="1" t="n">
        <v>44599</v>
      </c>
      <c r="C764" s="1" t="n">
        <v>45258</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6112-2022</t>
        </is>
      </c>
      <c r="B765" s="1" t="n">
        <v>44599</v>
      </c>
      <c r="C765" s="1" t="n">
        <v>45258</v>
      </c>
      <c r="D765" t="inlineStr">
        <is>
          <t>VÄSTERNORRLANDS LÄN</t>
        </is>
      </c>
      <c r="E765" t="inlineStr">
        <is>
          <t>ÅNGE</t>
        </is>
      </c>
      <c r="G765" t="n">
        <v>5.6</v>
      </c>
      <c r="H765" t="n">
        <v>0</v>
      </c>
      <c r="I765" t="n">
        <v>0</v>
      </c>
      <c r="J765" t="n">
        <v>0</v>
      </c>
      <c r="K765" t="n">
        <v>0</v>
      </c>
      <c r="L765" t="n">
        <v>0</v>
      </c>
      <c r="M765" t="n">
        <v>0</v>
      </c>
      <c r="N765" t="n">
        <v>0</v>
      </c>
      <c r="O765" t="n">
        <v>0</v>
      </c>
      <c r="P765" t="n">
        <v>0</v>
      </c>
      <c r="Q765" t="n">
        <v>0</v>
      </c>
      <c r="R765" s="2" t="inlineStr"/>
    </row>
    <row r="766" ht="15" customHeight="1">
      <c r="A766" t="inlineStr">
        <is>
          <t>A 6115-2022</t>
        </is>
      </c>
      <c r="B766" s="1" t="n">
        <v>44599</v>
      </c>
      <c r="C766" s="1" t="n">
        <v>45258</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6263-2022</t>
        </is>
      </c>
      <c r="B767" s="1" t="n">
        <v>44600</v>
      </c>
      <c r="C767" s="1" t="n">
        <v>45258</v>
      </c>
      <c r="D767" t="inlineStr">
        <is>
          <t>VÄSTERNORRLANDS LÄN</t>
        </is>
      </c>
      <c r="E767" t="inlineStr">
        <is>
          <t>ÅNGE</t>
        </is>
      </c>
      <c r="G767" t="n">
        <v>1.4</v>
      </c>
      <c r="H767" t="n">
        <v>0</v>
      </c>
      <c r="I767" t="n">
        <v>0</v>
      </c>
      <c r="J767" t="n">
        <v>0</v>
      </c>
      <c r="K767" t="n">
        <v>0</v>
      </c>
      <c r="L767" t="n">
        <v>0</v>
      </c>
      <c r="M767" t="n">
        <v>0</v>
      </c>
      <c r="N767" t="n">
        <v>0</v>
      </c>
      <c r="O767" t="n">
        <v>0</v>
      </c>
      <c r="P767" t="n">
        <v>0</v>
      </c>
      <c r="Q767" t="n">
        <v>0</v>
      </c>
      <c r="R767" s="2" t="inlineStr"/>
    </row>
    <row r="768" ht="15" customHeight="1">
      <c r="A768" t="inlineStr">
        <is>
          <t>A 6443-2022</t>
        </is>
      </c>
      <c r="B768" s="1" t="n">
        <v>44601</v>
      </c>
      <c r="C768" s="1" t="n">
        <v>45258</v>
      </c>
      <c r="D768" t="inlineStr">
        <is>
          <t>VÄSTERNORRLANDS LÄN</t>
        </is>
      </c>
      <c r="E768" t="inlineStr">
        <is>
          <t>ÅNGE</t>
        </is>
      </c>
      <c r="G768" t="n">
        <v>3.3</v>
      </c>
      <c r="H768" t="n">
        <v>0</v>
      </c>
      <c r="I768" t="n">
        <v>0</v>
      </c>
      <c r="J768" t="n">
        <v>0</v>
      </c>
      <c r="K768" t="n">
        <v>0</v>
      </c>
      <c r="L768" t="n">
        <v>0</v>
      </c>
      <c r="M768" t="n">
        <v>0</v>
      </c>
      <c r="N768" t="n">
        <v>0</v>
      </c>
      <c r="O768" t="n">
        <v>0</v>
      </c>
      <c r="P768" t="n">
        <v>0</v>
      </c>
      <c r="Q768" t="n">
        <v>0</v>
      </c>
      <c r="R768" s="2" t="inlineStr"/>
    </row>
    <row r="769" ht="15" customHeight="1">
      <c r="A769" t="inlineStr">
        <is>
          <t>A 6677-2022</t>
        </is>
      </c>
      <c r="B769" s="1" t="n">
        <v>44602</v>
      </c>
      <c r="C769" s="1" t="n">
        <v>45258</v>
      </c>
      <c r="D769" t="inlineStr">
        <is>
          <t>VÄSTERNORRLANDS LÄN</t>
        </is>
      </c>
      <c r="E769" t="inlineStr">
        <is>
          <t>ÅNGE</t>
        </is>
      </c>
      <c r="G769" t="n">
        <v>2.7</v>
      </c>
      <c r="H769" t="n">
        <v>0</v>
      </c>
      <c r="I769" t="n">
        <v>0</v>
      </c>
      <c r="J769" t="n">
        <v>0</v>
      </c>
      <c r="K769" t="n">
        <v>0</v>
      </c>
      <c r="L769" t="n">
        <v>0</v>
      </c>
      <c r="M769" t="n">
        <v>0</v>
      </c>
      <c r="N769" t="n">
        <v>0</v>
      </c>
      <c r="O769" t="n">
        <v>0</v>
      </c>
      <c r="P769" t="n">
        <v>0</v>
      </c>
      <c r="Q769" t="n">
        <v>0</v>
      </c>
      <c r="R769" s="2" t="inlineStr"/>
    </row>
    <row r="770" ht="15" customHeight="1">
      <c r="A770" t="inlineStr">
        <is>
          <t>A 6732-2022</t>
        </is>
      </c>
      <c r="B770" s="1" t="n">
        <v>44602</v>
      </c>
      <c r="C770" s="1" t="n">
        <v>45258</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6899-2022</t>
        </is>
      </c>
      <c r="B771" s="1" t="n">
        <v>44602</v>
      </c>
      <c r="C771" s="1" t="n">
        <v>45258</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6898-2022</t>
        </is>
      </c>
      <c r="B772" s="1" t="n">
        <v>44602</v>
      </c>
      <c r="C772" s="1" t="n">
        <v>45258</v>
      </c>
      <c r="D772" t="inlineStr">
        <is>
          <t>VÄSTERNORRLANDS LÄN</t>
        </is>
      </c>
      <c r="E772" t="inlineStr">
        <is>
          <t>ÅNGE</t>
        </is>
      </c>
      <c r="G772" t="n">
        <v>0.6</v>
      </c>
      <c r="H772" t="n">
        <v>0</v>
      </c>
      <c r="I772" t="n">
        <v>0</v>
      </c>
      <c r="J772" t="n">
        <v>0</v>
      </c>
      <c r="K772" t="n">
        <v>0</v>
      </c>
      <c r="L772" t="n">
        <v>0</v>
      </c>
      <c r="M772" t="n">
        <v>0</v>
      </c>
      <c r="N772" t="n">
        <v>0</v>
      </c>
      <c r="O772" t="n">
        <v>0</v>
      </c>
      <c r="P772" t="n">
        <v>0</v>
      </c>
      <c r="Q772" t="n">
        <v>0</v>
      </c>
      <c r="R772" s="2" t="inlineStr"/>
    </row>
    <row r="773" ht="15" customHeight="1">
      <c r="A773" t="inlineStr">
        <is>
          <t>A 7158-2022</t>
        </is>
      </c>
      <c r="B773" s="1" t="n">
        <v>44604</v>
      </c>
      <c r="C773" s="1" t="n">
        <v>45258</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7205-2022</t>
        </is>
      </c>
      <c r="B774" s="1" t="n">
        <v>44606</v>
      </c>
      <c r="C774" s="1" t="n">
        <v>45258</v>
      </c>
      <c r="D774" t="inlineStr">
        <is>
          <t>VÄSTERNORRLANDS LÄN</t>
        </is>
      </c>
      <c r="E774" t="inlineStr">
        <is>
          <t>ÅNGE</t>
        </is>
      </c>
      <c r="G774" t="n">
        <v>20.5</v>
      </c>
      <c r="H774" t="n">
        <v>0</v>
      </c>
      <c r="I774" t="n">
        <v>0</v>
      </c>
      <c r="J774" t="n">
        <v>0</v>
      </c>
      <c r="K774" t="n">
        <v>0</v>
      </c>
      <c r="L774" t="n">
        <v>0</v>
      </c>
      <c r="M774" t="n">
        <v>0</v>
      </c>
      <c r="N774" t="n">
        <v>0</v>
      </c>
      <c r="O774" t="n">
        <v>0</v>
      </c>
      <c r="P774" t="n">
        <v>0</v>
      </c>
      <c r="Q774" t="n">
        <v>0</v>
      </c>
      <c r="R774" s="2" t="inlineStr"/>
    </row>
    <row r="775" ht="15" customHeight="1">
      <c r="A775" t="inlineStr">
        <is>
          <t>A 7298-2022</t>
        </is>
      </c>
      <c r="B775" s="1" t="n">
        <v>44606</v>
      </c>
      <c r="C775" s="1" t="n">
        <v>45258</v>
      </c>
      <c r="D775" t="inlineStr">
        <is>
          <t>VÄSTERNORRLANDS LÄN</t>
        </is>
      </c>
      <c r="E775" t="inlineStr">
        <is>
          <t>ÅNGE</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7633-2022</t>
        </is>
      </c>
      <c r="B776" s="1" t="n">
        <v>44607</v>
      </c>
      <c r="C776" s="1" t="n">
        <v>45258</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7649-2022</t>
        </is>
      </c>
      <c r="B777" s="1" t="n">
        <v>44607</v>
      </c>
      <c r="C777" s="1" t="n">
        <v>45258</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8070-2022</t>
        </is>
      </c>
      <c r="B778" s="1" t="n">
        <v>44609</v>
      </c>
      <c r="C778" s="1" t="n">
        <v>45258</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8755-2022</t>
        </is>
      </c>
      <c r="B779" s="1" t="n">
        <v>44614</v>
      </c>
      <c r="C779" s="1" t="n">
        <v>45258</v>
      </c>
      <c r="D779" t="inlineStr">
        <is>
          <t>VÄSTERNORRLANDS LÄN</t>
        </is>
      </c>
      <c r="E779" t="inlineStr">
        <is>
          <t>ÅNGE</t>
        </is>
      </c>
      <c r="G779" t="n">
        <v>2</v>
      </c>
      <c r="H779" t="n">
        <v>0</v>
      </c>
      <c r="I779" t="n">
        <v>0</v>
      </c>
      <c r="J779" t="n">
        <v>0</v>
      </c>
      <c r="K779" t="n">
        <v>0</v>
      </c>
      <c r="L779" t="n">
        <v>0</v>
      </c>
      <c r="M779" t="n">
        <v>0</v>
      </c>
      <c r="N779" t="n">
        <v>0</v>
      </c>
      <c r="O779" t="n">
        <v>0</v>
      </c>
      <c r="P779" t="n">
        <v>0</v>
      </c>
      <c r="Q779" t="n">
        <v>0</v>
      </c>
      <c r="R779" s="2" t="inlineStr"/>
    </row>
    <row r="780" ht="15" customHeight="1">
      <c r="A780" t="inlineStr">
        <is>
          <t>A 8747-2022</t>
        </is>
      </c>
      <c r="B780" s="1" t="n">
        <v>44614</v>
      </c>
      <c r="C780" s="1" t="n">
        <v>45258</v>
      </c>
      <c r="D780" t="inlineStr">
        <is>
          <t>VÄSTERNORRLANDS LÄN</t>
        </is>
      </c>
      <c r="E780" t="inlineStr">
        <is>
          <t>ÅNGE</t>
        </is>
      </c>
      <c r="G780" t="n">
        <v>1.5</v>
      </c>
      <c r="H780" t="n">
        <v>0</v>
      </c>
      <c r="I780" t="n">
        <v>0</v>
      </c>
      <c r="J780" t="n">
        <v>0</v>
      </c>
      <c r="K780" t="n">
        <v>0</v>
      </c>
      <c r="L780" t="n">
        <v>0</v>
      </c>
      <c r="M780" t="n">
        <v>0</v>
      </c>
      <c r="N780" t="n">
        <v>0</v>
      </c>
      <c r="O780" t="n">
        <v>0</v>
      </c>
      <c r="P780" t="n">
        <v>0</v>
      </c>
      <c r="Q780" t="n">
        <v>0</v>
      </c>
      <c r="R780" s="2" t="inlineStr"/>
    </row>
    <row r="781" ht="15" customHeight="1">
      <c r="A781" t="inlineStr">
        <is>
          <t>A 9480-2022</t>
        </is>
      </c>
      <c r="B781" s="1" t="n">
        <v>44616</v>
      </c>
      <c r="C781" s="1" t="n">
        <v>45258</v>
      </c>
      <c r="D781" t="inlineStr">
        <is>
          <t>VÄSTERNORRLANDS LÄN</t>
        </is>
      </c>
      <c r="E781" t="inlineStr">
        <is>
          <t>ÅNGE</t>
        </is>
      </c>
      <c r="G781" t="n">
        <v>0.3</v>
      </c>
      <c r="H781" t="n">
        <v>0</v>
      </c>
      <c r="I781" t="n">
        <v>0</v>
      </c>
      <c r="J781" t="n">
        <v>0</v>
      </c>
      <c r="K781" t="n">
        <v>0</v>
      </c>
      <c r="L781" t="n">
        <v>0</v>
      </c>
      <c r="M781" t="n">
        <v>0</v>
      </c>
      <c r="N781" t="n">
        <v>0</v>
      </c>
      <c r="O781" t="n">
        <v>0</v>
      </c>
      <c r="P781" t="n">
        <v>0</v>
      </c>
      <c r="Q781" t="n">
        <v>0</v>
      </c>
      <c r="R781" s="2" t="inlineStr"/>
    </row>
    <row r="782" ht="15" customHeight="1">
      <c r="A782" t="inlineStr">
        <is>
          <t>A 9544-2022</t>
        </is>
      </c>
      <c r="B782" s="1" t="n">
        <v>44617</v>
      </c>
      <c r="C782" s="1" t="n">
        <v>45258</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9911-2022</t>
        </is>
      </c>
      <c r="B783" s="1" t="n">
        <v>44620</v>
      </c>
      <c r="C783" s="1" t="n">
        <v>45258</v>
      </c>
      <c r="D783" t="inlineStr">
        <is>
          <t>VÄSTERNORRLANDS LÄN</t>
        </is>
      </c>
      <c r="E783" t="inlineStr">
        <is>
          <t>ÅNGE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9998-2022</t>
        </is>
      </c>
      <c r="B784" s="1" t="n">
        <v>44621</v>
      </c>
      <c r="C784" s="1" t="n">
        <v>45258</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10113-2022</t>
        </is>
      </c>
      <c r="B785" s="1" t="n">
        <v>44621</v>
      </c>
      <c r="C785" s="1" t="n">
        <v>45258</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10313-2022</t>
        </is>
      </c>
      <c r="B786" s="1" t="n">
        <v>44622</v>
      </c>
      <c r="C786" s="1" t="n">
        <v>45258</v>
      </c>
      <c r="D786" t="inlineStr">
        <is>
          <t>VÄSTERNORRLANDS LÄN</t>
        </is>
      </c>
      <c r="E786" t="inlineStr">
        <is>
          <t>ÅNGE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10331-2022</t>
        </is>
      </c>
      <c r="B787" s="1" t="n">
        <v>44622</v>
      </c>
      <c r="C787" s="1" t="n">
        <v>45258</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10680-2022</t>
        </is>
      </c>
      <c r="B788" s="1" t="n">
        <v>44624</v>
      </c>
      <c r="C788" s="1" t="n">
        <v>45258</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10686-2022</t>
        </is>
      </c>
      <c r="B789" s="1" t="n">
        <v>44624</v>
      </c>
      <c r="C789" s="1" t="n">
        <v>45258</v>
      </c>
      <c r="D789" t="inlineStr">
        <is>
          <t>VÄSTERNORRLANDS LÄN</t>
        </is>
      </c>
      <c r="E789" t="inlineStr">
        <is>
          <t>ÅNGE</t>
        </is>
      </c>
      <c r="G789" t="n">
        <v>1.2</v>
      </c>
      <c r="H789" t="n">
        <v>0</v>
      </c>
      <c r="I789" t="n">
        <v>0</v>
      </c>
      <c r="J789" t="n">
        <v>0</v>
      </c>
      <c r="K789" t="n">
        <v>0</v>
      </c>
      <c r="L789" t="n">
        <v>0</v>
      </c>
      <c r="M789" t="n">
        <v>0</v>
      </c>
      <c r="N789" t="n">
        <v>0</v>
      </c>
      <c r="O789" t="n">
        <v>0</v>
      </c>
      <c r="P789" t="n">
        <v>0</v>
      </c>
      <c r="Q789" t="n">
        <v>0</v>
      </c>
      <c r="R789" s="2" t="inlineStr"/>
    </row>
    <row r="790" ht="15" customHeight="1">
      <c r="A790" t="inlineStr">
        <is>
          <t>A 10687-2022</t>
        </is>
      </c>
      <c r="B790" s="1" t="n">
        <v>44624</v>
      </c>
      <c r="C790" s="1" t="n">
        <v>45258</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10933-2022</t>
        </is>
      </c>
      <c r="B791" s="1" t="n">
        <v>44627</v>
      </c>
      <c r="C791" s="1" t="n">
        <v>45258</v>
      </c>
      <c r="D791" t="inlineStr">
        <is>
          <t>VÄSTERNORRLANDS LÄN</t>
        </is>
      </c>
      <c r="E791" t="inlineStr">
        <is>
          <t>ÅNGE</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11098-2022</t>
        </is>
      </c>
      <c r="B792" s="1" t="n">
        <v>44628</v>
      </c>
      <c r="C792" s="1" t="n">
        <v>45258</v>
      </c>
      <c r="D792" t="inlineStr">
        <is>
          <t>VÄSTERNORRLANDS LÄN</t>
        </is>
      </c>
      <c r="E792" t="inlineStr">
        <is>
          <t>ÅNGE</t>
        </is>
      </c>
      <c r="G792" t="n">
        <v>8.9</v>
      </c>
      <c r="H792" t="n">
        <v>0</v>
      </c>
      <c r="I792" t="n">
        <v>0</v>
      </c>
      <c r="J792" t="n">
        <v>0</v>
      </c>
      <c r="K792" t="n">
        <v>0</v>
      </c>
      <c r="L792" t="n">
        <v>0</v>
      </c>
      <c r="M792" t="n">
        <v>0</v>
      </c>
      <c r="N792" t="n">
        <v>0</v>
      </c>
      <c r="O792" t="n">
        <v>0</v>
      </c>
      <c r="P792" t="n">
        <v>0</v>
      </c>
      <c r="Q792" t="n">
        <v>0</v>
      </c>
      <c r="R792" s="2" t="inlineStr"/>
    </row>
    <row r="793" ht="15" customHeight="1">
      <c r="A793" t="inlineStr">
        <is>
          <t>A 11306-2022</t>
        </is>
      </c>
      <c r="B793" s="1" t="n">
        <v>44629</v>
      </c>
      <c r="C793" s="1" t="n">
        <v>45258</v>
      </c>
      <c r="D793" t="inlineStr">
        <is>
          <t>VÄSTERNORRLANDS LÄN</t>
        </is>
      </c>
      <c r="E793" t="inlineStr">
        <is>
          <t>ÅNGE</t>
        </is>
      </c>
      <c r="F793" t="inlineStr">
        <is>
          <t>SCA</t>
        </is>
      </c>
      <c r="G793" t="n">
        <v>15.6</v>
      </c>
      <c r="H793" t="n">
        <v>0</v>
      </c>
      <c r="I793" t="n">
        <v>0</v>
      </c>
      <c r="J793" t="n">
        <v>0</v>
      </c>
      <c r="K793" t="n">
        <v>0</v>
      </c>
      <c r="L793" t="n">
        <v>0</v>
      </c>
      <c r="M793" t="n">
        <v>0</v>
      </c>
      <c r="N793" t="n">
        <v>0</v>
      </c>
      <c r="O793" t="n">
        <v>0</v>
      </c>
      <c r="P793" t="n">
        <v>0</v>
      </c>
      <c r="Q793" t="n">
        <v>0</v>
      </c>
      <c r="R793" s="2" t="inlineStr"/>
    </row>
    <row r="794" ht="15" customHeight="1">
      <c r="A794" t="inlineStr">
        <is>
          <t>A 11843-2022</t>
        </is>
      </c>
      <c r="B794" s="1" t="n">
        <v>44634</v>
      </c>
      <c r="C794" s="1" t="n">
        <v>45258</v>
      </c>
      <c r="D794" t="inlineStr">
        <is>
          <t>VÄSTERNORRLANDS LÄN</t>
        </is>
      </c>
      <c r="E794" t="inlineStr">
        <is>
          <t>ÅNGE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12021-2022</t>
        </is>
      </c>
      <c r="B795" s="1" t="n">
        <v>44635</v>
      </c>
      <c r="C795" s="1" t="n">
        <v>45258</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12797-2022</t>
        </is>
      </c>
      <c r="B796" s="1" t="n">
        <v>44641</v>
      </c>
      <c r="C796" s="1" t="n">
        <v>45258</v>
      </c>
      <c r="D796" t="inlineStr">
        <is>
          <t>VÄSTERNORRLANDS LÄN</t>
        </is>
      </c>
      <c r="E796" t="inlineStr">
        <is>
          <t>ÅNGE</t>
        </is>
      </c>
      <c r="G796" t="n">
        <v>7.1</v>
      </c>
      <c r="H796" t="n">
        <v>0</v>
      </c>
      <c r="I796" t="n">
        <v>0</v>
      </c>
      <c r="J796" t="n">
        <v>0</v>
      </c>
      <c r="K796" t="n">
        <v>0</v>
      </c>
      <c r="L796" t="n">
        <v>0</v>
      </c>
      <c r="M796" t="n">
        <v>0</v>
      </c>
      <c r="N796" t="n">
        <v>0</v>
      </c>
      <c r="O796" t="n">
        <v>0</v>
      </c>
      <c r="P796" t="n">
        <v>0</v>
      </c>
      <c r="Q796" t="n">
        <v>0</v>
      </c>
      <c r="R796" s="2" t="inlineStr"/>
    </row>
    <row r="797" ht="15" customHeight="1">
      <c r="A797" t="inlineStr">
        <is>
          <t>A 12948-2022</t>
        </is>
      </c>
      <c r="B797" s="1" t="n">
        <v>44642</v>
      </c>
      <c r="C797" s="1" t="n">
        <v>45258</v>
      </c>
      <c r="D797" t="inlineStr">
        <is>
          <t>VÄSTERNORRLANDS LÄN</t>
        </is>
      </c>
      <c r="E797" t="inlineStr">
        <is>
          <t>ÅNGE</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13164-2022</t>
        </is>
      </c>
      <c r="B798" s="1" t="n">
        <v>44644</v>
      </c>
      <c r="C798" s="1" t="n">
        <v>45258</v>
      </c>
      <c r="D798" t="inlineStr">
        <is>
          <t>VÄSTERNORRLANDS LÄN</t>
        </is>
      </c>
      <c r="E798" t="inlineStr">
        <is>
          <t>ÅNGE</t>
        </is>
      </c>
      <c r="G798" t="n">
        <v>1.8</v>
      </c>
      <c r="H798" t="n">
        <v>0</v>
      </c>
      <c r="I798" t="n">
        <v>0</v>
      </c>
      <c r="J798" t="n">
        <v>0</v>
      </c>
      <c r="K798" t="n">
        <v>0</v>
      </c>
      <c r="L798" t="n">
        <v>0</v>
      </c>
      <c r="M798" t="n">
        <v>0</v>
      </c>
      <c r="N798" t="n">
        <v>0</v>
      </c>
      <c r="O798" t="n">
        <v>0</v>
      </c>
      <c r="P798" t="n">
        <v>0</v>
      </c>
      <c r="Q798" t="n">
        <v>0</v>
      </c>
      <c r="R798" s="2" t="inlineStr"/>
    </row>
    <row r="799" ht="15" customHeight="1">
      <c r="A799" t="inlineStr">
        <is>
          <t>A 13628-2022</t>
        </is>
      </c>
      <c r="B799" s="1" t="n">
        <v>44648</v>
      </c>
      <c r="C799" s="1" t="n">
        <v>45258</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13648-2022</t>
        </is>
      </c>
      <c r="B800" s="1" t="n">
        <v>44648</v>
      </c>
      <c r="C800" s="1" t="n">
        <v>45258</v>
      </c>
      <c r="D800" t="inlineStr">
        <is>
          <t>VÄSTERNORRLANDS LÄN</t>
        </is>
      </c>
      <c r="E800" t="inlineStr">
        <is>
          <t>ÅNGE</t>
        </is>
      </c>
      <c r="G800" t="n">
        <v>0.9</v>
      </c>
      <c r="H800" t="n">
        <v>0</v>
      </c>
      <c r="I800" t="n">
        <v>0</v>
      </c>
      <c r="J800" t="n">
        <v>0</v>
      </c>
      <c r="K800" t="n">
        <v>0</v>
      </c>
      <c r="L800" t="n">
        <v>0</v>
      </c>
      <c r="M800" t="n">
        <v>0</v>
      </c>
      <c r="N800" t="n">
        <v>0</v>
      </c>
      <c r="O800" t="n">
        <v>0</v>
      </c>
      <c r="P800" t="n">
        <v>0</v>
      </c>
      <c r="Q800" t="n">
        <v>0</v>
      </c>
      <c r="R800" s="2" t="inlineStr"/>
    </row>
    <row r="801" ht="15" customHeight="1">
      <c r="A801" t="inlineStr">
        <is>
          <t>A 13641-2022</t>
        </is>
      </c>
      <c r="B801" s="1" t="n">
        <v>44648</v>
      </c>
      <c r="C801" s="1" t="n">
        <v>45258</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13680-2022</t>
        </is>
      </c>
      <c r="B802" s="1" t="n">
        <v>44648</v>
      </c>
      <c r="C802" s="1" t="n">
        <v>45258</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13872-2022</t>
        </is>
      </c>
      <c r="B803" s="1" t="n">
        <v>44650</v>
      </c>
      <c r="C803" s="1" t="n">
        <v>45258</v>
      </c>
      <c r="D803" t="inlineStr">
        <is>
          <t>VÄSTERNORRLANDS LÄN</t>
        </is>
      </c>
      <c r="E803" t="inlineStr">
        <is>
          <t>ÅNGE</t>
        </is>
      </c>
      <c r="G803" t="n">
        <v>10.3</v>
      </c>
      <c r="H803" t="n">
        <v>0</v>
      </c>
      <c r="I803" t="n">
        <v>0</v>
      </c>
      <c r="J803" t="n">
        <v>0</v>
      </c>
      <c r="K803" t="n">
        <v>0</v>
      </c>
      <c r="L803" t="n">
        <v>0</v>
      </c>
      <c r="M803" t="n">
        <v>0</v>
      </c>
      <c r="N803" t="n">
        <v>0</v>
      </c>
      <c r="O803" t="n">
        <v>0</v>
      </c>
      <c r="P803" t="n">
        <v>0</v>
      </c>
      <c r="Q803" t="n">
        <v>0</v>
      </c>
      <c r="R803" s="2" t="inlineStr"/>
    </row>
    <row r="804" ht="15" customHeight="1">
      <c r="A804" t="inlineStr">
        <is>
          <t>A 13874-2022</t>
        </is>
      </c>
      <c r="B804" s="1" t="n">
        <v>44649</v>
      </c>
      <c r="C804" s="1" t="n">
        <v>45258</v>
      </c>
      <c r="D804" t="inlineStr">
        <is>
          <t>VÄSTERNORRLANDS LÄN</t>
        </is>
      </c>
      <c r="E804" t="inlineStr">
        <is>
          <t>ÅNGE</t>
        </is>
      </c>
      <c r="G804" t="n">
        <v>3.9</v>
      </c>
      <c r="H804" t="n">
        <v>0</v>
      </c>
      <c r="I804" t="n">
        <v>0</v>
      </c>
      <c r="J804" t="n">
        <v>0</v>
      </c>
      <c r="K804" t="n">
        <v>0</v>
      </c>
      <c r="L804" t="n">
        <v>0</v>
      </c>
      <c r="M804" t="n">
        <v>0</v>
      </c>
      <c r="N804" t="n">
        <v>0</v>
      </c>
      <c r="O804" t="n">
        <v>0</v>
      </c>
      <c r="P804" t="n">
        <v>0</v>
      </c>
      <c r="Q804" t="n">
        <v>0</v>
      </c>
      <c r="R804" s="2" t="inlineStr"/>
    </row>
    <row r="805" ht="15" customHeight="1">
      <c r="A805" t="inlineStr">
        <is>
          <t>A 13873-2022</t>
        </is>
      </c>
      <c r="B805" s="1" t="n">
        <v>44649</v>
      </c>
      <c r="C805" s="1" t="n">
        <v>45258</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13875-2022</t>
        </is>
      </c>
      <c r="B806" s="1" t="n">
        <v>44649</v>
      </c>
      <c r="C806" s="1" t="n">
        <v>45258</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14091-2022</t>
        </is>
      </c>
      <c r="B807" s="1" t="n">
        <v>44651</v>
      </c>
      <c r="C807" s="1" t="n">
        <v>45258</v>
      </c>
      <c r="D807" t="inlineStr">
        <is>
          <t>VÄSTERNORRLANDS LÄN</t>
        </is>
      </c>
      <c r="E807" t="inlineStr">
        <is>
          <t>ÅNGE</t>
        </is>
      </c>
      <c r="G807" t="n">
        <v>2.4</v>
      </c>
      <c r="H807" t="n">
        <v>0</v>
      </c>
      <c r="I807" t="n">
        <v>0</v>
      </c>
      <c r="J807" t="n">
        <v>0</v>
      </c>
      <c r="K807" t="n">
        <v>0</v>
      </c>
      <c r="L807" t="n">
        <v>0</v>
      </c>
      <c r="M807" t="n">
        <v>0</v>
      </c>
      <c r="N807" t="n">
        <v>0</v>
      </c>
      <c r="O807" t="n">
        <v>0</v>
      </c>
      <c r="P807" t="n">
        <v>0</v>
      </c>
      <c r="Q807" t="n">
        <v>0</v>
      </c>
      <c r="R807" s="2" t="inlineStr"/>
    </row>
    <row r="808" ht="15" customHeight="1">
      <c r="A808" t="inlineStr">
        <is>
          <t>A 14097-2022</t>
        </is>
      </c>
      <c r="B808" s="1" t="n">
        <v>44651</v>
      </c>
      <c r="C808" s="1" t="n">
        <v>45258</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14084-2022</t>
        </is>
      </c>
      <c r="B809" s="1" t="n">
        <v>44651</v>
      </c>
      <c r="C809" s="1" t="n">
        <v>45258</v>
      </c>
      <c r="D809" t="inlineStr">
        <is>
          <t>VÄSTERNORRLANDS LÄN</t>
        </is>
      </c>
      <c r="E809" t="inlineStr">
        <is>
          <t>ÅNGE</t>
        </is>
      </c>
      <c r="G809" t="n">
        <v>1</v>
      </c>
      <c r="H809" t="n">
        <v>0</v>
      </c>
      <c r="I809" t="n">
        <v>0</v>
      </c>
      <c r="J809" t="n">
        <v>0</v>
      </c>
      <c r="K809" t="n">
        <v>0</v>
      </c>
      <c r="L809" t="n">
        <v>0</v>
      </c>
      <c r="M809" t="n">
        <v>0</v>
      </c>
      <c r="N809" t="n">
        <v>0</v>
      </c>
      <c r="O809" t="n">
        <v>0</v>
      </c>
      <c r="P809" t="n">
        <v>0</v>
      </c>
      <c r="Q809" t="n">
        <v>0</v>
      </c>
      <c r="R809" s="2" t="inlineStr"/>
    </row>
    <row r="810" ht="15" customHeight="1">
      <c r="A810" t="inlineStr">
        <is>
          <t>A 14433-2022</t>
        </is>
      </c>
      <c r="B810" s="1" t="n">
        <v>44652</v>
      </c>
      <c r="C810" s="1" t="n">
        <v>45258</v>
      </c>
      <c r="D810" t="inlineStr">
        <is>
          <t>VÄSTERNORRLANDS LÄN</t>
        </is>
      </c>
      <c r="E810" t="inlineStr">
        <is>
          <t>ÅNGE</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14813-2022</t>
        </is>
      </c>
      <c r="B811" s="1" t="n">
        <v>44656</v>
      </c>
      <c r="C811" s="1" t="n">
        <v>45258</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14834-2022</t>
        </is>
      </c>
      <c r="B812" s="1" t="n">
        <v>44656</v>
      </c>
      <c r="C812" s="1" t="n">
        <v>45258</v>
      </c>
      <c r="D812" t="inlineStr">
        <is>
          <t>VÄSTERNORRLANDS LÄN</t>
        </is>
      </c>
      <c r="E812" t="inlineStr">
        <is>
          <t>ÅNGE</t>
        </is>
      </c>
      <c r="G812" t="n">
        <v>3.3</v>
      </c>
      <c r="H812" t="n">
        <v>0</v>
      </c>
      <c r="I812" t="n">
        <v>0</v>
      </c>
      <c r="J812" t="n">
        <v>0</v>
      </c>
      <c r="K812" t="n">
        <v>0</v>
      </c>
      <c r="L812" t="n">
        <v>0</v>
      </c>
      <c r="M812" t="n">
        <v>0</v>
      </c>
      <c r="N812" t="n">
        <v>0</v>
      </c>
      <c r="O812" t="n">
        <v>0</v>
      </c>
      <c r="P812" t="n">
        <v>0</v>
      </c>
      <c r="Q812" t="n">
        <v>0</v>
      </c>
      <c r="R812" s="2" t="inlineStr"/>
    </row>
    <row r="813" ht="15" customHeight="1">
      <c r="A813" t="inlineStr">
        <is>
          <t>A 14888-2022</t>
        </is>
      </c>
      <c r="B813" s="1" t="n">
        <v>44656</v>
      </c>
      <c r="C813" s="1" t="n">
        <v>45258</v>
      </c>
      <c r="D813" t="inlineStr">
        <is>
          <t>VÄSTERNORRLANDS LÄN</t>
        </is>
      </c>
      <c r="E813" t="inlineStr">
        <is>
          <t>ÅNGE</t>
        </is>
      </c>
      <c r="G813" t="n">
        <v>6.2</v>
      </c>
      <c r="H813" t="n">
        <v>0</v>
      </c>
      <c r="I813" t="n">
        <v>0</v>
      </c>
      <c r="J813" t="n">
        <v>0</v>
      </c>
      <c r="K813" t="n">
        <v>0</v>
      </c>
      <c r="L813" t="n">
        <v>0</v>
      </c>
      <c r="M813" t="n">
        <v>0</v>
      </c>
      <c r="N813" t="n">
        <v>0</v>
      </c>
      <c r="O813" t="n">
        <v>0</v>
      </c>
      <c r="P813" t="n">
        <v>0</v>
      </c>
      <c r="Q813" t="n">
        <v>0</v>
      </c>
      <c r="R813" s="2" t="inlineStr"/>
    </row>
    <row r="814" ht="15" customHeight="1">
      <c r="A814" t="inlineStr">
        <is>
          <t>A 14885-2022</t>
        </is>
      </c>
      <c r="B814" s="1" t="n">
        <v>44656</v>
      </c>
      <c r="C814" s="1" t="n">
        <v>45258</v>
      </c>
      <c r="D814" t="inlineStr">
        <is>
          <t>VÄSTERNORRLANDS LÄN</t>
        </is>
      </c>
      <c r="E814" t="inlineStr">
        <is>
          <t>ÅNGE</t>
        </is>
      </c>
      <c r="G814" t="n">
        <v>4</v>
      </c>
      <c r="H814" t="n">
        <v>0</v>
      </c>
      <c r="I814" t="n">
        <v>0</v>
      </c>
      <c r="J814" t="n">
        <v>0</v>
      </c>
      <c r="K814" t="n">
        <v>0</v>
      </c>
      <c r="L814" t="n">
        <v>0</v>
      </c>
      <c r="M814" t="n">
        <v>0</v>
      </c>
      <c r="N814" t="n">
        <v>0</v>
      </c>
      <c r="O814" t="n">
        <v>0</v>
      </c>
      <c r="P814" t="n">
        <v>0</v>
      </c>
      <c r="Q814" t="n">
        <v>0</v>
      </c>
      <c r="R814" s="2" t="inlineStr"/>
    </row>
    <row r="815" ht="15" customHeight="1">
      <c r="A815" t="inlineStr">
        <is>
          <t>A 14889-2022</t>
        </is>
      </c>
      <c r="B815" s="1" t="n">
        <v>44656</v>
      </c>
      <c r="C815" s="1" t="n">
        <v>45258</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14949-2022</t>
        </is>
      </c>
      <c r="B816" s="1" t="n">
        <v>44657</v>
      </c>
      <c r="C816" s="1" t="n">
        <v>45258</v>
      </c>
      <c r="D816" t="inlineStr">
        <is>
          <t>VÄSTERNORRLANDS LÄN</t>
        </is>
      </c>
      <c r="E816" t="inlineStr">
        <is>
          <t>ÅNGE</t>
        </is>
      </c>
      <c r="G816" t="n">
        <v>1.6</v>
      </c>
      <c r="H816" t="n">
        <v>0</v>
      </c>
      <c r="I816" t="n">
        <v>0</v>
      </c>
      <c r="J816" t="n">
        <v>0</v>
      </c>
      <c r="K816" t="n">
        <v>0</v>
      </c>
      <c r="L816" t="n">
        <v>0</v>
      </c>
      <c r="M816" t="n">
        <v>0</v>
      </c>
      <c r="N816" t="n">
        <v>0</v>
      </c>
      <c r="O816" t="n">
        <v>0</v>
      </c>
      <c r="P816" t="n">
        <v>0</v>
      </c>
      <c r="Q816" t="n">
        <v>0</v>
      </c>
      <c r="R816" s="2" t="inlineStr"/>
    </row>
    <row r="817" ht="15" customHeight="1">
      <c r="A817" t="inlineStr">
        <is>
          <t>A 15863-2022</t>
        </is>
      </c>
      <c r="B817" s="1" t="n">
        <v>44664</v>
      </c>
      <c r="C817" s="1" t="n">
        <v>45258</v>
      </c>
      <c r="D817" t="inlineStr">
        <is>
          <t>VÄSTERNORRLANDS LÄN</t>
        </is>
      </c>
      <c r="E817" t="inlineStr">
        <is>
          <t>ÅNGE</t>
        </is>
      </c>
      <c r="G817" t="n">
        <v>3.6</v>
      </c>
      <c r="H817" t="n">
        <v>0</v>
      </c>
      <c r="I817" t="n">
        <v>0</v>
      </c>
      <c r="J817" t="n">
        <v>0</v>
      </c>
      <c r="K817" t="n">
        <v>0</v>
      </c>
      <c r="L817" t="n">
        <v>0</v>
      </c>
      <c r="M817" t="n">
        <v>0</v>
      </c>
      <c r="N817" t="n">
        <v>0</v>
      </c>
      <c r="O817" t="n">
        <v>0</v>
      </c>
      <c r="P817" t="n">
        <v>0</v>
      </c>
      <c r="Q817" t="n">
        <v>0</v>
      </c>
      <c r="R817" s="2" t="inlineStr"/>
    </row>
    <row r="818" ht="15" customHeight="1">
      <c r="A818" t="inlineStr">
        <is>
          <t>A 16038-2022</t>
        </is>
      </c>
      <c r="B818" s="1" t="n">
        <v>44665</v>
      </c>
      <c r="C818" s="1" t="n">
        <v>45258</v>
      </c>
      <c r="D818" t="inlineStr">
        <is>
          <t>VÄSTERNORRLANDS LÄN</t>
        </is>
      </c>
      <c r="E818" t="inlineStr">
        <is>
          <t>ÅNGE</t>
        </is>
      </c>
      <c r="G818" t="n">
        <v>2.9</v>
      </c>
      <c r="H818" t="n">
        <v>0</v>
      </c>
      <c r="I818" t="n">
        <v>0</v>
      </c>
      <c r="J818" t="n">
        <v>0</v>
      </c>
      <c r="K818" t="n">
        <v>0</v>
      </c>
      <c r="L818" t="n">
        <v>0</v>
      </c>
      <c r="M818" t="n">
        <v>0</v>
      </c>
      <c r="N818" t="n">
        <v>0</v>
      </c>
      <c r="O818" t="n">
        <v>0</v>
      </c>
      <c r="P818" t="n">
        <v>0</v>
      </c>
      <c r="Q818" t="n">
        <v>0</v>
      </c>
      <c r="R818" s="2" t="inlineStr"/>
    </row>
    <row r="819" ht="15" customHeight="1">
      <c r="A819" t="inlineStr">
        <is>
          <t>A 16058-2022</t>
        </is>
      </c>
      <c r="B819" s="1" t="n">
        <v>44665</v>
      </c>
      <c r="C819" s="1" t="n">
        <v>45258</v>
      </c>
      <c r="D819" t="inlineStr">
        <is>
          <t>VÄSTERNORRLANDS LÄN</t>
        </is>
      </c>
      <c r="E819" t="inlineStr">
        <is>
          <t>ÅNGE</t>
        </is>
      </c>
      <c r="G819" t="n">
        <v>2.8</v>
      </c>
      <c r="H819" t="n">
        <v>0</v>
      </c>
      <c r="I819" t="n">
        <v>0</v>
      </c>
      <c r="J819" t="n">
        <v>0</v>
      </c>
      <c r="K819" t="n">
        <v>0</v>
      </c>
      <c r="L819" t="n">
        <v>0</v>
      </c>
      <c r="M819" t="n">
        <v>0</v>
      </c>
      <c r="N819" t="n">
        <v>0</v>
      </c>
      <c r="O819" t="n">
        <v>0</v>
      </c>
      <c r="P819" t="n">
        <v>0</v>
      </c>
      <c r="Q819" t="n">
        <v>0</v>
      </c>
      <c r="R819" s="2" t="inlineStr"/>
    </row>
    <row r="820" ht="15" customHeight="1">
      <c r="A820" t="inlineStr">
        <is>
          <t>A 17047-2022</t>
        </is>
      </c>
      <c r="B820" s="1" t="n">
        <v>44677</v>
      </c>
      <c r="C820" s="1" t="n">
        <v>45258</v>
      </c>
      <c r="D820" t="inlineStr">
        <is>
          <t>VÄSTERNORRLANDS LÄN</t>
        </is>
      </c>
      <c r="E820" t="inlineStr">
        <is>
          <t>ÅNGE</t>
        </is>
      </c>
      <c r="G820" t="n">
        <v>4.2</v>
      </c>
      <c r="H820" t="n">
        <v>0</v>
      </c>
      <c r="I820" t="n">
        <v>0</v>
      </c>
      <c r="J820" t="n">
        <v>0</v>
      </c>
      <c r="K820" t="n">
        <v>0</v>
      </c>
      <c r="L820" t="n">
        <v>0</v>
      </c>
      <c r="M820" t="n">
        <v>0</v>
      </c>
      <c r="N820" t="n">
        <v>0</v>
      </c>
      <c r="O820" t="n">
        <v>0</v>
      </c>
      <c r="P820" t="n">
        <v>0</v>
      </c>
      <c r="Q820" t="n">
        <v>0</v>
      </c>
      <c r="R820" s="2" t="inlineStr"/>
    </row>
    <row r="821" ht="15" customHeight="1">
      <c r="A821" t="inlineStr">
        <is>
          <t>A 17044-2022</t>
        </is>
      </c>
      <c r="B821" s="1" t="n">
        <v>44676</v>
      </c>
      <c r="C821" s="1" t="n">
        <v>45258</v>
      </c>
      <c r="D821" t="inlineStr">
        <is>
          <t>VÄSTERNORRLANDS LÄN</t>
        </is>
      </c>
      <c r="E821" t="inlineStr">
        <is>
          <t>ÅNGE</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17144-2022</t>
        </is>
      </c>
      <c r="B822" s="1" t="n">
        <v>44677</v>
      </c>
      <c r="C822" s="1" t="n">
        <v>45258</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17210-2022</t>
        </is>
      </c>
      <c r="B823" s="1" t="n">
        <v>44678</v>
      </c>
      <c r="C823" s="1" t="n">
        <v>45258</v>
      </c>
      <c r="D823" t="inlineStr">
        <is>
          <t>VÄSTERNORRLANDS LÄN</t>
        </is>
      </c>
      <c r="E823" t="inlineStr">
        <is>
          <t>ÅNGE</t>
        </is>
      </c>
      <c r="G823" t="n">
        <v>1.8</v>
      </c>
      <c r="H823" t="n">
        <v>0</v>
      </c>
      <c r="I823" t="n">
        <v>0</v>
      </c>
      <c r="J823" t="n">
        <v>0</v>
      </c>
      <c r="K823" t="n">
        <v>0</v>
      </c>
      <c r="L823" t="n">
        <v>0</v>
      </c>
      <c r="M823" t="n">
        <v>0</v>
      </c>
      <c r="N823" t="n">
        <v>0</v>
      </c>
      <c r="O823" t="n">
        <v>0</v>
      </c>
      <c r="P823" t="n">
        <v>0</v>
      </c>
      <c r="Q823" t="n">
        <v>0</v>
      </c>
      <c r="R823" s="2" t="inlineStr"/>
    </row>
    <row r="824" ht="15" customHeight="1">
      <c r="A824" t="inlineStr">
        <is>
          <t>A 17220-2022</t>
        </is>
      </c>
      <c r="B824" s="1" t="n">
        <v>44678</v>
      </c>
      <c r="C824" s="1" t="n">
        <v>45258</v>
      </c>
      <c r="D824" t="inlineStr">
        <is>
          <t>VÄSTERNORRLANDS LÄN</t>
        </is>
      </c>
      <c r="E824" t="inlineStr">
        <is>
          <t>ÅNGE</t>
        </is>
      </c>
      <c r="F824" t="inlineStr">
        <is>
          <t>SCA</t>
        </is>
      </c>
      <c r="G824" t="n">
        <v>19.7</v>
      </c>
      <c r="H824" t="n">
        <v>0</v>
      </c>
      <c r="I824" t="n">
        <v>0</v>
      </c>
      <c r="J824" t="n">
        <v>0</v>
      </c>
      <c r="K824" t="n">
        <v>0</v>
      </c>
      <c r="L824" t="n">
        <v>0</v>
      </c>
      <c r="M824" t="n">
        <v>0</v>
      </c>
      <c r="N824" t="n">
        <v>0</v>
      </c>
      <c r="O824" t="n">
        <v>0</v>
      </c>
      <c r="P824" t="n">
        <v>0</v>
      </c>
      <c r="Q824" t="n">
        <v>0</v>
      </c>
      <c r="R824" s="2" t="inlineStr"/>
    </row>
    <row r="825" ht="15" customHeight="1">
      <c r="A825" t="inlineStr">
        <is>
          <t>A 17242-2022</t>
        </is>
      </c>
      <c r="B825" s="1" t="n">
        <v>44679</v>
      </c>
      <c r="C825" s="1" t="n">
        <v>45258</v>
      </c>
      <c r="D825" t="inlineStr">
        <is>
          <t>VÄSTERNORRLANDS LÄN</t>
        </is>
      </c>
      <c r="E825" t="inlineStr">
        <is>
          <t>ÅNGE</t>
        </is>
      </c>
      <c r="G825" t="n">
        <v>1.4</v>
      </c>
      <c r="H825" t="n">
        <v>0</v>
      </c>
      <c r="I825" t="n">
        <v>0</v>
      </c>
      <c r="J825" t="n">
        <v>0</v>
      </c>
      <c r="K825" t="n">
        <v>0</v>
      </c>
      <c r="L825" t="n">
        <v>0</v>
      </c>
      <c r="M825" t="n">
        <v>0</v>
      </c>
      <c r="N825" t="n">
        <v>0</v>
      </c>
      <c r="O825" t="n">
        <v>0</v>
      </c>
      <c r="P825" t="n">
        <v>0</v>
      </c>
      <c r="Q825" t="n">
        <v>0</v>
      </c>
      <c r="R825" s="2" t="inlineStr"/>
    </row>
    <row r="826" ht="15" customHeight="1">
      <c r="A826" t="inlineStr">
        <is>
          <t>A 17580-2022</t>
        </is>
      </c>
      <c r="B826" s="1" t="n">
        <v>44679</v>
      </c>
      <c r="C826" s="1" t="n">
        <v>45258</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18020-2022</t>
        </is>
      </c>
      <c r="B827" s="1" t="n">
        <v>44684</v>
      </c>
      <c r="C827" s="1" t="n">
        <v>45258</v>
      </c>
      <c r="D827" t="inlineStr">
        <is>
          <t>VÄSTERNORRLANDS LÄN</t>
        </is>
      </c>
      <c r="E827" t="inlineStr">
        <is>
          <t>ÅNGE</t>
        </is>
      </c>
      <c r="F827" t="inlineStr">
        <is>
          <t>SCA</t>
        </is>
      </c>
      <c r="G827" t="n">
        <v>28.8</v>
      </c>
      <c r="H827" t="n">
        <v>0</v>
      </c>
      <c r="I827" t="n">
        <v>0</v>
      </c>
      <c r="J827" t="n">
        <v>0</v>
      </c>
      <c r="K827" t="n">
        <v>0</v>
      </c>
      <c r="L827" t="n">
        <v>0</v>
      </c>
      <c r="M827" t="n">
        <v>0</v>
      </c>
      <c r="N827" t="n">
        <v>0</v>
      </c>
      <c r="O827" t="n">
        <v>0</v>
      </c>
      <c r="P827" t="n">
        <v>0</v>
      </c>
      <c r="Q827" t="n">
        <v>0</v>
      </c>
      <c r="R827" s="2" t="inlineStr"/>
    </row>
    <row r="828" ht="15" customHeight="1">
      <c r="A828" t="inlineStr">
        <is>
          <t>A 18024-2022</t>
        </is>
      </c>
      <c r="B828" s="1" t="n">
        <v>44684</v>
      </c>
      <c r="C828" s="1" t="n">
        <v>45258</v>
      </c>
      <c r="D828" t="inlineStr">
        <is>
          <t>VÄSTERNORRLANDS LÄN</t>
        </is>
      </c>
      <c r="E828" t="inlineStr">
        <is>
          <t>ÅNGE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17963-2022</t>
        </is>
      </c>
      <c r="B829" s="1" t="n">
        <v>44683</v>
      </c>
      <c r="C829" s="1" t="n">
        <v>45258</v>
      </c>
      <c r="D829" t="inlineStr">
        <is>
          <t>VÄSTERNORRLANDS LÄN</t>
        </is>
      </c>
      <c r="E829" t="inlineStr">
        <is>
          <t>ÅNGE</t>
        </is>
      </c>
      <c r="G829" t="n">
        <v>0.2</v>
      </c>
      <c r="H829" t="n">
        <v>0</v>
      </c>
      <c r="I829" t="n">
        <v>0</v>
      </c>
      <c r="J829" t="n">
        <v>0</v>
      </c>
      <c r="K829" t="n">
        <v>0</v>
      </c>
      <c r="L829" t="n">
        <v>0</v>
      </c>
      <c r="M829" t="n">
        <v>0</v>
      </c>
      <c r="N829" t="n">
        <v>0</v>
      </c>
      <c r="O829" t="n">
        <v>0</v>
      </c>
      <c r="P829" t="n">
        <v>0</v>
      </c>
      <c r="Q829" t="n">
        <v>0</v>
      </c>
      <c r="R829" s="2" t="inlineStr"/>
    </row>
    <row r="830" ht="15" customHeight="1">
      <c r="A830" t="inlineStr">
        <is>
          <t>A 18562-2022</t>
        </is>
      </c>
      <c r="B830" s="1" t="n">
        <v>44686</v>
      </c>
      <c r="C830" s="1" t="n">
        <v>45258</v>
      </c>
      <c r="D830" t="inlineStr">
        <is>
          <t>VÄSTERNORRLANDS LÄN</t>
        </is>
      </c>
      <c r="E830" t="inlineStr">
        <is>
          <t>ÅNGE</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18542-2022</t>
        </is>
      </c>
      <c r="B831" s="1" t="n">
        <v>44686</v>
      </c>
      <c r="C831" s="1" t="n">
        <v>45258</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18989-2022</t>
        </is>
      </c>
      <c r="B832" s="1" t="n">
        <v>44690</v>
      </c>
      <c r="C832" s="1" t="n">
        <v>45258</v>
      </c>
      <c r="D832" t="inlineStr">
        <is>
          <t>VÄSTERNORRLANDS LÄN</t>
        </is>
      </c>
      <c r="E832" t="inlineStr">
        <is>
          <t>ÅNGE</t>
        </is>
      </c>
      <c r="F832" t="inlineStr">
        <is>
          <t>SCA</t>
        </is>
      </c>
      <c r="G832" t="n">
        <v>37.8</v>
      </c>
      <c r="H832" t="n">
        <v>0</v>
      </c>
      <c r="I832" t="n">
        <v>0</v>
      </c>
      <c r="J832" t="n">
        <v>0</v>
      </c>
      <c r="K832" t="n">
        <v>0</v>
      </c>
      <c r="L832" t="n">
        <v>0</v>
      </c>
      <c r="M832" t="n">
        <v>0</v>
      </c>
      <c r="N832" t="n">
        <v>0</v>
      </c>
      <c r="O832" t="n">
        <v>0</v>
      </c>
      <c r="P832" t="n">
        <v>0</v>
      </c>
      <c r="Q832" t="n">
        <v>0</v>
      </c>
      <c r="R832" s="2" t="inlineStr"/>
      <c r="U832">
        <f>HYPERLINK("https://klasma.github.io/Logging_2260/knärot/A 18989-2022 karta knärot.png", "A 18989-2022")</f>
        <v/>
      </c>
      <c r="V832">
        <f>HYPERLINK("https://klasma.github.io/Logging_2260/klagomål/A 18989-2022 FSC-klagomål.docx", "A 18989-2022")</f>
        <v/>
      </c>
      <c r="W832">
        <f>HYPERLINK("https://klasma.github.io/Logging_2260/klagomålsmail/A 18989-2022 FSC-klagomål mail.docx", "A 18989-2022")</f>
        <v/>
      </c>
      <c r="X832">
        <f>HYPERLINK("https://klasma.github.io/Logging_2260/tillsyn/A 18989-2022 tillsynsbegäran.docx", "A 18989-2022")</f>
        <v/>
      </c>
      <c r="Y832">
        <f>HYPERLINK("https://klasma.github.io/Logging_2260/tillsynsmail/A 18989-2022 tillsynsbegäran mail.docx", "A 18989-2022")</f>
        <v/>
      </c>
    </row>
    <row r="833" ht="15" customHeight="1">
      <c r="A833" t="inlineStr">
        <is>
          <t>A 19166-2022</t>
        </is>
      </c>
      <c r="B833" s="1" t="n">
        <v>44691</v>
      </c>
      <c r="C833" s="1" t="n">
        <v>45258</v>
      </c>
      <c r="D833" t="inlineStr">
        <is>
          <t>VÄSTERNORRLANDS LÄN</t>
        </is>
      </c>
      <c r="E833" t="inlineStr">
        <is>
          <t>ÅNGE</t>
        </is>
      </c>
      <c r="F833" t="inlineStr">
        <is>
          <t>Holmen skog AB</t>
        </is>
      </c>
      <c r="G833" t="n">
        <v>5.4</v>
      </c>
      <c r="H833" t="n">
        <v>0</v>
      </c>
      <c r="I833" t="n">
        <v>0</v>
      </c>
      <c r="J833" t="n">
        <v>0</v>
      </c>
      <c r="K833" t="n">
        <v>0</v>
      </c>
      <c r="L833" t="n">
        <v>0</v>
      </c>
      <c r="M833" t="n">
        <v>0</v>
      </c>
      <c r="N833" t="n">
        <v>0</v>
      </c>
      <c r="O833" t="n">
        <v>0</v>
      </c>
      <c r="P833" t="n">
        <v>0</v>
      </c>
      <c r="Q833" t="n">
        <v>0</v>
      </c>
      <c r="R833" s="2" t="inlineStr"/>
    </row>
    <row r="834" ht="15" customHeight="1">
      <c r="A834" t="inlineStr">
        <is>
          <t>A 19035-2022</t>
        </is>
      </c>
      <c r="B834" s="1" t="n">
        <v>44691</v>
      </c>
      <c r="C834" s="1" t="n">
        <v>45258</v>
      </c>
      <c r="D834" t="inlineStr">
        <is>
          <t>VÄSTERNORRLANDS LÄN</t>
        </is>
      </c>
      <c r="E834" t="inlineStr">
        <is>
          <t>ÅNGE</t>
        </is>
      </c>
      <c r="G834" t="n">
        <v>1.9</v>
      </c>
      <c r="H834" t="n">
        <v>0</v>
      </c>
      <c r="I834" t="n">
        <v>0</v>
      </c>
      <c r="J834" t="n">
        <v>0</v>
      </c>
      <c r="K834" t="n">
        <v>0</v>
      </c>
      <c r="L834" t="n">
        <v>0</v>
      </c>
      <c r="M834" t="n">
        <v>0</v>
      </c>
      <c r="N834" t="n">
        <v>0</v>
      </c>
      <c r="O834" t="n">
        <v>0</v>
      </c>
      <c r="P834" t="n">
        <v>0</v>
      </c>
      <c r="Q834" t="n">
        <v>0</v>
      </c>
      <c r="R834" s="2" t="inlineStr"/>
    </row>
    <row r="835" ht="15" customHeight="1">
      <c r="A835" t="inlineStr">
        <is>
          <t>A 19236-2022</t>
        </is>
      </c>
      <c r="B835" s="1" t="n">
        <v>44692</v>
      </c>
      <c r="C835" s="1" t="n">
        <v>45258</v>
      </c>
      <c r="D835" t="inlineStr">
        <is>
          <t>VÄSTERNORRLANDS LÄN</t>
        </is>
      </c>
      <c r="E835" t="inlineStr">
        <is>
          <t>ÅNGE</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19592-2022</t>
        </is>
      </c>
      <c r="B836" s="1" t="n">
        <v>44694</v>
      </c>
      <c r="C836" s="1" t="n">
        <v>45258</v>
      </c>
      <c r="D836" t="inlineStr">
        <is>
          <t>VÄSTERNORRLANDS LÄN</t>
        </is>
      </c>
      <c r="E836" t="inlineStr">
        <is>
          <t>ÅNGE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20231-2022</t>
        </is>
      </c>
      <c r="B837" s="1" t="n">
        <v>44698</v>
      </c>
      <c r="C837" s="1" t="n">
        <v>45258</v>
      </c>
      <c r="D837" t="inlineStr">
        <is>
          <t>VÄSTERNORRLANDS LÄN</t>
        </is>
      </c>
      <c r="E837" t="inlineStr">
        <is>
          <t>ÅNGE</t>
        </is>
      </c>
      <c r="G837" t="n">
        <v>4.2</v>
      </c>
      <c r="H837" t="n">
        <v>0</v>
      </c>
      <c r="I837" t="n">
        <v>0</v>
      </c>
      <c r="J837" t="n">
        <v>0</v>
      </c>
      <c r="K837" t="n">
        <v>0</v>
      </c>
      <c r="L837" t="n">
        <v>0</v>
      </c>
      <c r="M837" t="n">
        <v>0</v>
      </c>
      <c r="N837" t="n">
        <v>0</v>
      </c>
      <c r="O837" t="n">
        <v>0</v>
      </c>
      <c r="P837" t="n">
        <v>0</v>
      </c>
      <c r="Q837" t="n">
        <v>0</v>
      </c>
      <c r="R837" s="2" t="inlineStr"/>
    </row>
    <row r="838" ht="15" customHeight="1">
      <c r="A838" t="inlineStr">
        <is>
          <t>A 20229-2022</t>
        </is>
      </c>
      <c r="B838" s="1" t="n">
        <v>44698</v>
      </c>
      <c r="C838" s="1" t="n">
        <v>45258</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20369-2022</t>
        </is>
      </c>
      <c r="B839" s="1" t="n">
        <v>44699</v>
      </c>
      <c r="C839" s="1" t="n">
        <v>45258</v>
      </c>
      <c r="D839" t="inlineStr">
        <is>
          <t>VÄSTERNORRLANDS LÄN</t>
        </is>
      </c>
      <c r="E839" t="inlineStr">
        <is>
          <t>ÅNGE</t>
        </is>
      </c>
      <c r="G839" t="n">
        <v>5.5</v>
      </c>
      <c r="H839" t="n">
        <v>0</v>
      </c>
      <c r="I839" t="n">
        <v>0</v>
      </c>
      <c r="J839" t="n">
        <v>0</v>
      </c>
      <c r="K839" t="n">
        <v>0</v>
      </c>
      <c r="L839" t="n">
        <v>0</v>
      </c>
      <c r="M839" t="n">
        <v>0</v>
      </c>
      <c r="N839" t="n">
        <v>0</v>
      </c>
      <c r="O839" t="n">
        <v>0</v>
      </c>
      <c r="P839" t="n">
        <v>0</v>
      </c>
      <c r="Q839" t="n">
        <v>0</v>
      </c>
      <c r="R839" s="2" t="inlineStr"/>
    </row>
    <row r="840" ht="15" customHeight="1">
      <c r="A840" t="inlineStr">
        <is>
          <t>A 20393-2022</t>
        </is>
      </c>
      <c r="B840" s="1" t="n">
        <v>44699</v>
      </c>
      <c r="C840" s="1" t="n">
        <v>45258</v>
      </c>
      <c r="D840" t="inlineStr">
        <is>
          <t>VÄSTERNORRLANDS LÄN</t>
        </is>
      </c>
      <c r="E840" t="inlineStr">
        <is>
          <t>ÅNGE</t>
        </is>
      </c>
      <c r="G840" t="n">
        <v>6.9</v>
      </c>
      <c r="H840" t="n">
        <v>0</v>
      </c>
      <c r="I840" t="n">
        <v>0</v>
      </c>
      <c r="J840" t="n">
        <v>0</v>
      </c>
      <c r="K840" t="n">
        <v>0</v>
      </c>
      <c r="L840" t="n">
        <v>0</v>
      </c>
      <c r="M840" t="n">
        <v>0</v>
      </c>
      <c r="N840" t="n">
        <v>0</v>
      </c>
      <c r="O840" t="n">
        <v>0</v>
      </c>
      <c r="P840" t="n">
        <v>0</v>
      </c>
      <c r="Q840" t="n">
        <v>0</v>
      </c>
      <c r="R840" s="2" t="inlineStr"/>
    </row>
    <row r="841" ht="15" customHeight="1">
      <c r="A841" t="inlineStr">
        <is>
          <t>A 20943-2022</t>
        </is>
      </c>
      <c r="B841" s="1" t="n">
        <v>44701</v>
      </c>
      <c r="C841" s="1" t="n">
        <v>45258</v>
      </c>
      <c r="D841" t="inlineStr">
        <is>
          <t>VÄSTERNORRLANDS LÄN</t>
        </is>
      </c>
      <c r="E841" t="inlineStr">
        <is>
          <t>ÅNGE</t>
        </is>
      </c>
      <c r="G841" t="n">
        <v>0.5</v>
      </c>
      <c r="H841" t="n">
        <v>0</v>
      </c>
      <c r="I841" t="n">
        <v>0</v>
      </c>
      <c r="J841" t="n">
        <v>0</v>
      </c>
      <c r="K841" t="n">
        <v>0</v>
      </c>
      <c r="L841" t="n">
        <v>0</v>
      </c>
      <c r="M841" t="n">
        <v>0</v>
      </c>
      <c r="N841" t="n">
        <v>0</v>
      </c>
      <c r="O841" t="n">
        <v>0</v>
      </c>
      <c r="P841" t="n">
        <v>0</v>
      </c>
      <c r="Q841" t="n">
        <v>0</v>
      </c>
      <c r="R841" s="2" t="inlineStr"/>
    </row>
    <row r="842" ht="15" customHeight="1">
      <c r="A842" t="inlineStr">
        <is>
          <t>A 21412-2022</t>
        </is>
      </c>
      <c r="B842" s="1" t="n">
        <v>44705</v>
      </c>
      <c r="C842" s="1" t="n">
        <v>45258</v>
      </c>
      <c r="D842" t="inlineStr">
        <is>
          <t>VÄSTERNORRLANDS LÄN</t>
        </is>
      </c>
      <c r="E842" t="inlineStr">
        <is>
          <t>ÅNGE</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21406-2022</t>
        </is>
      </c>
      <c r="B843" s="1" t="n">
        <v>44706</v>
      </c>
      <c r="C843" s="1" t="n">
        <v>45258</v>
      </c>
      <c r="D843" t="inlineStr">
        <is>
          <t>VÄSTERNORRLANDS LÄN</t>
        </is>
      </c>
      <c r="E843" t="inlineStr">
        <is>
          <t>ÅNGE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21409-2022</t>
        </is>
      </c>
      <c r="B844" s="1" t="n">
        <v>44706</v>
      </c>
      <c r="C844" s="1" t="n">
        <v>45258</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21740-2022</t>
        </is>
      </c>
      <c r="B845" s="1" t="n">
        <v>44708</v>
      </c>
      <c r="C845" s="1" t="n">
        <v>45258</v>
      </c>
      <c r="D845" t="inlineStr">
        <is>
          <t>VÄSTERNORRLANDS LÄN</t>
        </is>
      </c>
      <c r="E845" t="inlineStr">
        <is>
          <t>ÅNGE</t>
        </is>
      </c>
      <c r="G845" t="n">
        <v>2</v>
      </c>
      <c r="H845" t="n">
        <v>0</v>
      </c>
      <c r="I845" t="n">
        <v>0</v>
      </c>
      <c r="J845" t="n">
        <v>0</v>
      </c>
      <c r="K845" t="n">
        <v>0</v>
      </c>
      <c r="L845" t="n">
        <v>0</v>
      </c>
      <c r="M845" t="n">
        <v>0</v>
      </c>
      <c r="N845" t="n">
        <v>0</v>
      </c>
      <c r="O845" t="n">
        <v>0</v>
      </c>
      <c r="P845" t="n">
        <v>0</v>
      </c>
      <c r="Q845" t="n">
        <v>0</v>
      </c>
      <c r="R845" s="2" t="inlineStr"/>
    </row>
    <row r="846" ht="15" customHeight="1">
      <c r="A846" t="inlineStr">
        <is>
          <t>A 21744-2022</t>
        </is>
      </c>
      <c r="B846" s="1" t="n">
        <v>44708</v>
      </c>
      <c r="C846" s="1" t="n">
        <v>45258</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23999-2022</t>
        </is>
      </c>
      <c r="B847" s="1" t="n">
        <v>44723</v>
      </c>
      <c r="C847" s="1" t="n">
        <v>45258</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24324-2022</t>
        </is>
      </c>
      <c r="B848" s="1" t="n">
        <v>44726</v>
      </c>
      <c r="C848" s="1" t="n">
        <v>45258</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24325-2022</t>
        </is>
      </c>
      <c r="B849" s="1" t="n">
        <v>44726</v>
      </c>
      <c r="C849" s="1" t="n">
        <v>45258</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24355-2022</t>
        </is>
      </c>
      <c r="B850" s="1" t="n">
        <v>44726</v>
      </c>
      <c r="C850" s="1" t="n">
        <v>45258</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24353-2022</t>
        </is>
      </c>
      <c r="B851" s="1" t="n">
        <v>44726</v>
      </c>
      <c r="C851" s="1" t="n">
        <v>45258</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24527-2022</t>
        </is>
      </c>
      <c r="B852" s="1" t="n">
        <v>44726</v>
      </c>
      <c r="C852" s="1" t="n">
        <v>45258</v>
      </c>
      <c r="D852" t="inlineStr">
        <is>
          <t>VÄSTERNORRLANDS LÄN</t>
        </is>
      </c>
      <c r="E852" t="inlineStr">
        <is>
          <t>ÅNGE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25023-2022</t>
        </is>
      </c>
      <c r="B853" s="1" t="n">
        <v>44728</v>
      </c>
      <c r="C853" s="1" t="n">
        <v>45258</v>
      </c>
      <c r="D853" t="inlineStr">
        <is>
          <t>VÄSTERNORRLANDS LÄN</t>
        </is>
      </c>
      <c r="E853" t="inlineStr">
        <is>
          <t>ÅNGE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25903-2022</t>
        </is>
      </c>
      <c r="B854" s="1" t="n">
        <v>44733</v>
      </c>
      <c r="C854" s="1" t="n">
        <v>45258</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25900-2022</t>
        </is>
      </c>
      <c r="B855" s="1" t="n">
        <v>44734</v>
      </c>
      <c r="C855" s="1" t="n">
        <v>45258</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25973-2022</t>
        </is>
      </c>
      <c r="B856" s="1" t="n">
        <v>44734</v>
      </c>
      <c r="C856" s="1" t="n">
        <v>45258</v>
      </c>
      <c r="D856" t="inlineStr">
        <is>
          <t>VÄSTERNORRLANDS LÄN</t>
        </is>
      </c>
      <c r="E856" t="inlineStr">
        <is>
          <t>ÅNGE</t>
        </is>
      </c>
      <c r="G856" t="n">
        <v>4.1</v>
      </c>
      <c r="H856" t="n">
        <v>0</v>
      </c>
      <c r="I856" t="n">
        <v>0</v>
      </c>
      <c r="J856" t="n">
        <v>0</v>
      </c>
      <c r="K856" t="n">
        <v>0</v>
      </c>
      <c r="L856" t="n">
        <v>0</v>
      </c>
      <c r="M856" t="n">
        <v>0</v>
      </c>
      <c r="N856" t="n">
        <v>0</v>
      </c>
      <c r="O856" t="n">
        <v>0</v>
      </c>
      <c r="P856" t="n">
        <v>0</v>
      </c>
      <c r="Q856" t="n">
        <v>0</v>
      </c>
      <c r="R856" s="2" t="inlineStr"/>
    </row>
    <row r="857" ht="15" customHeight="1">
      <c r="A857" t="inlineStr">
        <is>
          <t>A 26489-2022</t>
        </is>
      </c>
      <c r="B857" s="1" t="n">
        <v>44739</v>
      </c>
      <c r="C857" s="1" t="n">
        <v>45258</v>
      </c>
      <c r="D857" t="inlineStr">
        <is>
          <t>VÄSTERNORRLANDS LÄN</t>
        </is>
      </c>
      <c r="E857" t="inlineStr">
        <is>
          <t>ÅNGE</t>
        </is>
      </c>
      <c r="F857" t="inlineStr">
        <is>
          <t>Sveaskog</t>
        </is>
      </c>
      <c r="G857" t="n">
        <v>18.5</v>
      </c>
      <c r="H857" t="n">
        <v>0</v>
      </c>
      <c r="I857" t="n">
        <v>0</v>
      </c>
      <c r="J857" t="n">
        <v>0</v>
      </c>
      <c r="K857" t="n">
        <v>0</v>
      </c>
      <c r="L857" t="n">
        <v>0</v>
      </c>
      <c r="M857" t="n">
        <v>0</v>
      </c>
      <c r="N857" t="n">
        <v>0</v>
      </c>
      <c r="O857" t="n">
        <v>0</v>
      </c>
      <c r="P857" t="n">
        <v>0</v>
      </c>
      <c r="Q857" t="n">
        <v>0</v>
      </c>
      <c r="R857" s="2" t="inlineStr"/>
    </row>
    <row r="858" ht="15" customHeight="1">
      <c r="A858" t="inlineStr">
        <is>
          <t>A 26676-2022</t>
        </is>
      </c>
      <c r="B858" s="1" t="n">
        <v>44739</v>
      </c>
      <c r="C858" s="1" t="n">
        <v>45258</v>
      </c>
      <c r="D858" t="inlineStr">
        <is>
          <t>VÄSTERNORRLANDS LÄN</t>
        </is>
      </c>
      <c r="E858" t="inlineStr">
        <is>
          <t>ÅNGE</t>
        </is>
      </c>
      <c r="F858" t="inlineStr">
        <is>
          <t>Sveaskog</t>
        </is>
      </c>
      <c r="G858" t="n">
        <v>2.6</v>
      </c>
      <c r="H858" t="n">
        <v>0</v>
      </c>
      <c r="I858" t="n">
        <v>0</v>
      </c>
      <c r="J858" t="n">
        <v>0</v>
      </c>
      <c r="K858" t="n">
        <v>0</v>
      </c>
      <c r="L858" t="n">
        <v>0</v>
      </c>
      <c r="M858" t="n">
        <v>0</v>
      </c>
      <c r="N858" t="n">
        <v>0</v>
      </c>
      <c r="O858" t="n">
        <v>0</v>
      </c>
      <c r="P858" t="n">
        <v>0</v>
      </c>
      <c r="Q858" t="n">
        <v>0</v>
      </c>
      <c r="R858" s="2" t="inlineStr"/>
    </row>
    <row r="859" ht="15" customHeight="1">
      <c r="A859" t="inlineStr">
        <is>
          <t>A 26498-2022</t>
        </is>
      </c>
      <c r="B859" s="1" t="n">
        <v>44739</v>
      </c>
      <c r="C859" s="1" t="n">
        <v>45258</v>
      </c>
      <c r="D859" t="inlineStr">
        <is>
          <t>VÄSTERNORRLANDS LÄN</t>
        </is>
      </c>
      <c r="E859" t="inlineStr">
        <is>
          <t>ÅNGE</t>
        </is>
      </c>
      <c r="F859" t="inlineStr">
        <is>
          <t>Sveaskog</t>
        </is>
      </c>
      <c r="G859" t="n">
        <v>6.9</v>
      </c>
      <c r="H859" t="n">
        <v>0</v>
      </c>
      <c r="I859" t="n">
        <v>0</v>
      </c>
      <c r="J859" t="n">
        <v>0</v>
      </c>
      <c r="K859" t="n">
        <v>0</v>
      </c>
      <c r="L859" t="n">
        <v>0</v>
      </c>
      <c r="M859" t="n">
        <v>0</v>
      </c>
      <c r="N859" t="n">
        <v>0</v>
      </c>
      <c r="O859" t="n">
        <v>0</v>
      </c>
      <c r="P859" t="n">
        <v>0</v>
      </c>
      <c r="Q859" t="n">
        <v>0</v>
      </c>
      <c r="R859" s="2" t="inlineStr"/>
    </row>
    <row r="860" ht="15" customHeight="1">
      <c r="A860" t="inlineStr">
        <is>
          <t>A 27357-2022</t>
        </is>
      </c>
      <c r="B860" s="1" t="n">
        <v>44742</v>
      </c>
      <c r="C860" s="1" t="n">
        <v>45258</v>
      </c>
      <c r="D860" t="inlineStr">
        <is>
          <t>VÄSTERNORRLANDS LÄN</t>
        </is>
      </c>
      <c r="E860" t="inlineStr">
        <is>
          <t>ÅNGE</t>
        </is>
      </c>
      <c r="F860" t="inlineStr">
        <is>
          <t>Holmen skog AB</t>
        </is>
      </c>
      <c r="G860" t="n">
        <v>8</v>
      </c>
      <c r="H860" t="n">
        <v>0</v>
      </c>
      <c r="I860" t="n">
        <v>0</v>
      </c>
      <c r="J860" t="n">
        <v>0</v>
      </c>
      <c r="K860" t="n">
        <v>0</v>
      </c>
      <c r="L860" t="n">
        <v>0</v>
      </c>
      <c r="M860" t="n">
        <v>0</v>
      </c>
      <c r="N860" t="n">
        <v>0</v>
      </c>
      <c r="O860" t="n">
        <v>0</v>
      </c>
      <c r="P860" t="n">
        <v>0</v>
      </c>
      <c r="Q860" t="n">
        <v>0</v>
      </c>
      <c r="R860" s="2" t="inlineStr"/>
    </row>
    <row r="861" ht="15" customHeight="1">
      <c r="A861" t="inlineStr">
        <is>
          <t>A 27588-2022</t>
        </is>
      </c>
      <c r="B861" s="1" t="n">
        <v>44743</v>
      </c>
      <c r="C861" s="1" t="n">
        <v>45258</v>
      </c>
      <c r="D861" t="inlineStr">
        <is>
          <t>VÄSTERNORRLANDS LÄN</t>
        </is>
      </c>
      <c r="E861" t="inlineStr">
        <is>
          <t>ÅNGE</t>
        </is>
      </c>
      <c r="F861" t="inlineStr">
        <is>
          <t>SCA</t>
        </is>
      </c>
      <c r="G861" t="n">
        <v>17.2</v>
      </c>
      <c r="H861" t="n">
        <v>0</v>
      </c>
      <c r="I861" t="n">
        <v>0</v>
      </c>
      <c r="J861" t="n">
        <v>0</v>
      </c>
      <c r="K861" t="n">
        <v>0</v>
      </c>
      <c r="L861" t="n">
        <v>0</v>
      </c>
      <c r="M861" t="n">
        <v>0</v>
      </c>
      <c r="N861" t="n">
        <v>0</v>
      </c>
      <c r="O861" t="n">
        <v>0</v>
      </c>
      <c r="P861" t="n">
        <v>0</v>
      </c>
      <c r="Q861" t="n">
        <v>0</v>
      </c>
      <c r="R861" s="2" t="inlineStr"/>
    </row>
    <row r="862" ht="15" customHeight="1">
      <c r="A862" t="inlineStr">
        <is>
          <t>A 29221-2022</t>
        </is>
      </c>
      <c r="B862" s="1" t="n">
        <v>44750</v>
      </c>
      <c r="C862" s="1" t="n">
        <v>45258</v>
      </c>
      <c r="D862" t="inlineStr">
        <is>
          <t>VÄSTERNORRLANDS LÄN</t>
        </is>
      </c>
      <c r="E862" t="inlineStr">
        <is>
          <t>ÅNGE</t>
        </is>
      </c>
      <c r="F862" t="inlineStr">
        <is>
          <t>Holmen skog AB</t>
        </is>
      </c>
      <c r="G862" t="n">
        <v>4</v>
      </c>
      <c r="H862" t="n">
        <v>0</v>
      </c>
      <c r="I862" t="n">
        <v>0</v>
      </c>
      <c r="J862" t="n">
        <v>0</v>
      </c>
      <c r="K862" t="n">
        <v>0</v>
      </c>
      <c r="L862" t="n">
        <v>0</v>
      </c>
      <c r="M862" t="n">
        <v>0</v>
      </c>
      <c r="N862" t="n">
        <v>0</v>
      </c>
      <c r="O862" t="n">
        <v>0</v>
      </c>
      <c r="P862" t="n">
        <v>0</v>
      </c>
      <c r="Q862" t="n">
        <v>0</v>
      </c>
      <c r="R862" s="2" t="inlineStr"/>
    </row>
    <row r="863" ht="15" customHeight="1">
      <c r="A863" t="inlineStr">
        <is>
          <t>A 29216-2022</t>
        </is>
      </c>
      <c r="B863" s="1" t="n">
        <v>44750</v>
      </c>
      <c r="C863" s="1" t="n">
        <v>45258</v>
      </c>
      <c r="D863" t="inlineStr">
        <is>
          <t>VÄSTERNORRLANDS LÄN</t>
        </is>
      </c>
      <c r="E863" t="inlineStr">
        <is>
          <t>ÅNGE</t>
        </is>
      </c>
      <c r="G863" t="n">
        <v>0.7</v>
      </c>
      <c r="H863" t="n">
        <v>0</v>
      </c>
      <c r="I863" t="n">
        <v>0</v>
      </c>
      <c r="J863" t="n">
        <v>0</v>
      </c>
      <c r="K863" t="n">
        <v>0</v>
      </c>
      <c r="L863" t="n">
        <v>0</v>
      </c>
      <c r="M863" t="n">
        <v>0</v>
      </c>
      <c r="N863" t="n">
        <v>0</v>
      </c>
      <c r="O863" t="n">
        <v>0</v>
      </c>
      <c r="P863" t="n">
        <v>0</v>
      </c>
      <c r="Q863" t="n">
        <v>0</v>
      </c>
      <c r="R863" s="2" t="inlineStr"/>
    </row>
    <row r="864" ht="15" customHeight="1">
      <c r="A864" t="inlineStr">
        <is>
          <t>A 29500-2022</t>
        </is>
      </c>
      <c r="B864" s="1" t="n">
        <v>44753</v>
      </c>
      <c r="C864" s="1" t="n">
        <v>45258</v>
      </c>
      <c r="D864" t="inlineStr">
        <is>
          <t>VÄSTERNORRLANDS LÄN</t>
        </is>
      </c>
      <c r="E864" t="inlineStr">
        <is>
          <t>ÅNGE</t>
        </is>
      </c>
      <c r="F864" t="inlineStr">
        <is>
          <t>Sveaskog</t>
        </is>
      </c>
      <c r="G864" t="n">
        <v>5.5</v>
      </c>
      <c r="H864" t="n">
        <v>0</v>
      </c>
      <c r="I864" t="n">
        <v>0</v>
      </c>
      <c r="J864" t="n">
        <v>0</v>
      </c>
      <c r="K864" t="n">
        <v>0</v>
      </c>
      <c r="L864" t="n">
        <v>0</v>
      </c>
      <c r="M864" t="n">
        <v>0</v>
      </c>
      <c r="N864" t="n">
        <v>0</v>
      </c>
      <c r="O864" t="n">
        <v>0</v>
      </c>
      <c r="P864" t="n">
        <v>0</v>
      </c>
      <c r="Q864" t="n">
        <v>0</v>
      </c>
      <c r="R864" s="2" t="inlineStr"/>
    </row>
    <row r="865" ht="15" customHeight="1">
      <c r="A865" t="inlineStr">
        <is>
          <t>A 29824-2022</t>
        </is>
      </c>
      <c r="B865" s="1" t="n">
        <v>44756</v>
      </c>
      <c r="C865" s="1" t="n">
        <v>45258</v>
      </c>
      <c r="D865" t="inlineStr">
        <is>
          <t>VÄSTERNORRLANDS LÄN</t>
        </is>
      </c>
      <c r="E865" t="inlineStr">
        <is>
          <t>ÅNGE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29831-2022</t>
        </is>
      </c>
      <c r="B866" s="1" t="n">
        <v>44756</v>
      </c>
      <c r="C866" s="1" t="n">
        <v>45258</v>
      </c>
      <c r="D866" t="inlineStr">
        <is>
          <t>VÄSTERNORRLANDS LÄN</t>
        </is>
      </c>
      <c r="E866" t="inlineStr">
        <is>
          <t>ÅNGE</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29832-2022</t>
        </is>
      </c>
      <c r="B867" s="1" t="n">
        <v>44756</v>
      </c>
      <c r="C867" s="1" t="n">
        <v>45258</v>
      </c>
      <c r="D867" t="inlineStr">
        <is>
          <t>VÄSTERNORRLANDS LÄN</t>
        </is>
      </c>
      <c r="E867" t="inlineStr">
        <is>
          <t>ÅNGE</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30221-2022</t>
        </is>
      </c>
      <c r="B868" s="1" t="n">
        <v>44757</v>
      </c>
      <c r="C868" s="1" t="n">
        <v>45258</v>
      </c>
      <c r="D868" t="inlineStr">
        <is>
          <t>VÄSTERNORRLANDS LÄN</t>
        </is>
      </c>
      <c r="E868" t="inlineStr">
        <is>
          <t>ÅNGE</t>
        </is>
      </c>
      <c r="F868" t="inlineStr">
        <is>
          <t>SCA</t>
        </is>
      </c>
      <c r="G868" t="n">
        <v>6.8</v>
      </c>
      <c r="H868" t="n">
        <v>0</v>
      </c>
      <c r="I868" t="n">
        <v>0</v>
      </c>
      <c r="J868" t="n">
        <v>0</v>
      </c>
      <c r="K868" t="n">
        <v>0</v>
      </c>
      <c r="L868" t="n">
        <v>0</v>
      </c>
      <c r="M868" t="n">
        <v>0</v>
      </c>
      <c r="N868" t="n">
        <v>0</v>
      </c>
      <c r="O868" t="n">
        <v>0</v>
      </c>
      <c r="P868" t="n">
        <v>0</v>
      </c>
      <c r="Q868" t="n">
        <v>0</v>
      </c>
      <c r="R868" s="2" t="inlineStr"/>
    </row>
    <row r="869" ht="15" customHeight="1">
      <c r="A869" t="inlineStr">
        <is>
          <t>A 30358-2022</t>
        </is>
      </c>
      <c r="B869" s="1" t="n">
        <v>44760</v>
      </c>
      <c r="C869" s="1" t="n">
        <v>45258</v>
      </c>
      <c r="D869" t="inlineStr">
        <is>
          <t>VÄSTERNORRLANDS LÄN</t>
        </is>
      </c>
      <c r="E869" t="inlineStr">
        <is>
          <t>ÅNGE</t>
        </is>
      </c>
      <c r="G869" t="n">
        <v>3.8</v>
      </c>
      <c r="H869" t="n">
        <v>0</v>
      </c>
      <c r="I869" t="n">
        <v>0</v>
      </c>
      <c r="J869" t="n">
        <v>0</v>
      </c>
      <c r="K869" t="n">
        <v>0</v>
      </c>
      <c r="L869" t="n">
        <v>0</v>
      </c>
      <c r="M869" t="n">
        <v>0</v>
      </c>
      <c r="N869" t="n">
        <v>0</v>
      </c>
      <c r="O869" t="n">
        <v>0</v>
      </c>
      <c r="P869" t="n">
        <v>0</v>
      </c>
      <c r="Q869" t="n">
        <v>0</v>
      </c>
      <c r="R869" s="2" t="inlineStr"/>
    </row>
    <row r="870" ht="15" customHeight="1">
      <c r="A870" t="inlineStr">
        <is>
          <t>A 30495-2022</t>
        </is>
      </c>
      <c r="B870" s="1" t="n">
        <v>44762</v>
      </c>
      <c r="C870" s="1" t="n">
        <v>45258</v>
      </c>
      <c r="D870" t="inlineStr">
        <is>
          <t>VÄSTERNORRLANDS LÄN</t>
        </is>
      </c>
      <c r="E870" t="inlineStr">
        <is>
          <t>ÅNGE</t>
        </is>
      </c>
      <c r="F870" t="inlineStr">
        <is>
          <t>SCA</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30768-2022</t>
        </is>
      </c>
      <c r="B871" s="1" t="n">
        <v>44764</v>
      </c>
      <c r="C871" s="1" t="n">
        <v>45258</v>
      </c>
      <c r="D871" t="inlineStr">
        <is>
          <t>VÄSTERNORRLANDS LÄN</t>
        </is>
      </c>
      <c r="E871" t="inlineStr">
        <is>
          <t>ÅNGE</t>
        </is>
      </c>
      <c r="F871" t="inlineStr">
        <is>
          <t>Sveaskog</t>
        </is>
      </c>
      <c r="G871" t="n">
        <v>2.3</v>
      </c>
      <c r="H871" t="n">
        <v>0</v>
      </c>
      <c r="I871" t="n">
        <v>0</v>
      </c>
      <c r="J871" t="n">
        <v>0</v>
      </c>
      <c r="K871" t="n">
        <v>0</v>
      </c>
      <c r="L871" t="n">
        <v>0</v>
      </c>
      <c r="M871" t="n">
        <v>0</v>
      </c>
      <c r="N871" t="n">
        <v>0</v>
      </c>
      <c r="O871" t="n">
        <v>0</v>
      </c>
      <c r="P871" t="n">
        <v>0</v>
      </c>
      <c r="Q871" t="n">
        <v>0</v>
      </c>
      <c r="R871" s="2" t="inlineStr"/>
    </row>
    <row r="872" ht="15" customHeight="1">
      <c r="A872" t="inlineStr">
        <is>
          <t>A 30803-2022</t>
        </is>
      </c>
      <c r="B872" s="1" t="n">
        <v>44764</v>
      </c>
      <c r="C872" s="1" t="n">
        <v>45258</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30804-2022</t>
        </is>
      </c>
      <c r="B873" s="1" t="n">
        <v>44765</v>
      </c>
      <c r="C873" s="1" t="n">
        <v>45258</v>
      </c>
      <c r="D873" t="inlineStr">
        <is>
          <t>VÄSTERNORRLANDS LÄN</t>
        </is>
      </c>
      <c r="E873" t="inlineStr">
        <is>
          <t>ÅNGE</t>
        </is>
      </c>
      <c r="G873" t="n">
        <v>2.3</v>
      </c>
      <c r="H873" t="n">
        <v>0</v>
      </c>
      <c r="I873" t="n">
        <v>0</v>
      </c>
      <c r="J873" t="n">
        <v>0</v>
      </c>
      <c r="K873" t="n">
        <v>0</v>
      </c>
      <c r="L873" t="n">
        <v>0</v>
      </c>
      <c r="M873" t="n">
        <v>0</v>
      </c>
      <c r="N873" t="n">
        <v>0</v>
      </c>
      <c r="O873" t="n">
        <v>0</v>
      </c>
      <c r="P873" t="n">
        <v>0</v>
      </c>
      <c r="Q873" t="n">
        <v>0</v>
      </c>
      <c r="R873" s="2" t="inlineStr"/>
    </row>
    <row r="874" ht="15" customHeight="1">
      <c r="A874" t="inlineStr">
        <is>
          <t>A 31136-2022</t>
        </is>
      </c>
      <c r="B874" s="1" t="n">
        <v>44770</v>
      </c>
      <c r="C874" s="1" t="n">
        <v>45258</v>
      </c>
      <c r="D874" t="inlineStr">
        <is>
          <t>VÄSTERNORRLANDS LÄN</t>
        </is>
      </c>
      <c r="E874" t="inlineStr">
        <is>
          <t>ÅNGE</t>
        </is>
      </c>
      <c r="F874" t="inlineStr">
        <is>
          <t>Övriga Aktiebolag</t>
        </is>
      </c>
      <c r="G874" t="n">
        <v>4.4</v>
      </c>
      <c r="H874" t="n">
        <v>0</v>
      </c>
      <c r="I874" t="n">
        <v>0</v>
      </c>
      <c r="J874" t="n">
        <v>0</v>
      </c>
      <c r="K874" t="n">
        <v>0</v>
      </c>
      <c r="L874" t="n">
        <v>0</v>
      </c>
      <c r="M874" t="n">
        <v>0</v>
      </c>
      <c r="N874" t="n">
        <v>0</v>
      </c>
      <c r="O874" t="n">
        <v>0</v>
      </c>
      <c r="P874" t="n">
        <v>0</v>
      </c>
      <c r="Q874" t="n">
        <v>0</v>
      </c>
      <c r="R874" s="2" t="inlineStr"/>
    </row>
    <row r="875" ht="15" customHeight="1">
      <c r="A875" t="inlineStr">
        <is>
          <t>A 31325-2022</t>
        </is>
      </c>
      <c r="B875" s="1" t="n">
        <v>44774</v>
      </c>
      <c r="C875" s="1" t="n">
        <v>45258</v>
      </c>
      <c r="D875" t="inlineStr">
        <is>
          <t>VÄSTERNORRLANDS LÄN</t>
        </is>
      </c>
      <c r="E875" t="inlineStr">
        <is>
          <t>ÅNGE</t>
        </is>
      </c>
      <c r="G875" t="n">
        <v>6.3</v>
      </c>
      <c r="H875" t="n">
        <v>0</v>
      </c>
      <c r="I875" t="n">
        <v>0</v>
      </c>
      <c r="J875" t="n">
        <v>0</v>
      </c>
      <c r="K875" t="n">
        <v>0</v>
      </c>
      <c r="L875" t="n">
        <v>0</v>
      </c>
      <c r="M875" t="n">
        <v>0</v>
      </c>
      <c r="N875" t="n">
        <v>0</v>
      </c>
      <c r="O875" t="n">
        <v>0</v>
      </c>
      <c r="P875" t="n">
        <v>0</v>
      </c>
      <c r="Q875" t="n">
        <v>0</v>
      </c>
      <c r="R875" s="2" t="inlineStr"/>
    </row>
    <row r="876" ht="15" customHeight="1">
      <c r="A876" t="inlineStr">
        <is>
          <t>A 31366-2022</t>
        </is>
      </c>
      <c r="B876" s="1" t="n">
        <v>44774</v>
      </c>
      <c r="C876" s="1" t="n">
        <v>45258</v>
      </c>
      <c r="D876" t="inlineStr">
        <is>
          <t>VÄSTERNORRLANDS LÄN</t>
        </is>
      </c>
      <c r="E876" t="inlineStr">
        <is>
          <t>ÅNGE</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31368-2022</t>
        </is>
      </c>
      <c r="B877" s="1" t="n">
        <v>44774</v>
      </c>
      <c r="C877" s="1" t="n">
        <v>45258</v>
      </c>
      <c r="D877" t="inlineStr">
        <is>
          <t>VÄSTERNORRLANDS LÄN</t>
        </is>
      </c>
      <c r="E877" t="inlineStr">
        <is>
          <t>ÅNGE</t>
        </is>
      </c>
      <c r="F877" t="inlineStr">
        <is>
          <t>Sveaskog</t>
        </is>
      </c>
      <c r="G877" t="n">
        <v>3.8</v>
      </c>
      <c r="H877" t="n">
        <v>0</v>
      </c>
      <c r="I877" t="n">
        <v>0</v>
      </c>
      <c r="J877" t="n">
        <v>0</v>
      </c>
      <c r="K877" t="n">
        <v>0</v>
      </c>
      <c r="L877" t="n">
        <v>0</v>
      </c>
      <c r="M877" t="n">
        <v>0</v>
      </c>
      <c r="N877" t="n">
        <v>0</v>
      </c>
      <c r="O877" t="n">
        <v>0</v>
      </c>
      <c r="P877" t="n">
        <v>0</v>
      </c>
      <c r="Q877" t="n">
        <v>0</v>
      </c>
      <c r="R877" s="2" t="inlineStr"/>
    </row>
    <row r="878" ht="15" customHeight="1">
      <c r="A878" t="inlineStr">
        <is>
          <t>A 31647-2022</t>
        </is>
      </c>
      <c r="B878" s="1" t="n">
        <v>44776</v>
      </c>
      <c r="C878" s="1" t="n">
        <v>45258</v>
      </c>
      <c r="D878" t="inlineStr">
        <is>
          <t>VÄSTERNORRLANDS LÄN</t>
        </is>
      </c>
      <c r="E878" t="inlineStr">
        <is>
          <t>ÅNGE</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31649-2022</t>
        </is>
      </c>
      <c r="B879" s="1" t="n">
        <v>44776</v>
      </c>
      <c r="C879" s="1" t="n">
        <v>45258</v>
      </c>
      <c r="D879" t="inlineStr">
        <is>
          <t>VÄSTERNORRLANDS LÄN</t>
        </is>
      </c>
      <c r="E879" t="inlineStr">
        <is>
          <t>ÅNGE</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31696-2022</t>
        </is>
      </c>
      <c r="B880" s="1" t="n">
        <v>44776</v>
      </c>
      <c r="C880" s="1" t="n">
        <v>45258</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31845-2022</t>
        </is>
      </c>
      <c r="B881" s="1" t="n">
        <v>44777</v>
      </c>
      <c r="C881" s="1" t="n">
        <v>45258</v>
      </c>
      <c r="D881" t="inlineStr">
        <is>
          <t>VÄSTERNORRLANDS LÄN</t>
        </is>
      </c>
      <c r="E881" t="inlineStr">
        <is>
          <t>ÅNGE</t>
        </is>
      </c>
      <c r="F881" t="inlineStr">
        <is>
          <t>SCA</t>
        </is>
      </c>
      <c r="G881" t="n">
        <v>6</v>
      </c>
      <c r="H881" t="n">
        <v>0</v>
      </c>
      <c r="I881" t="n">
        <v>0</v>
      </c>
      <c r="J881" t="n">
        <v>0</v>
      </c>
      <c r="K881" t="n">
        <v>0</v>
      </c>
      <c r="L881" t="n">
        <v>0</v>
      </c>
      <c r="M881" t="n">
        <v>0</v>
      </c>
      <c r="N881" t="n">
        <v>0</v>
      </c>
      <c r="O881" t="n">
        <v>0</v>
      </c>
      <c r="P881" t="n">
        <v>0</v>
      </c>
      <c r="Q881" t="n">
        <v>0</v>
      </c>
      <c r="R881" s="2" t="inlineStr"/>
    </row>
    <row r="882" ht="15" customHeight="1">
      <c r="A882" t="inlineStr">
        <is>
          <t>A 32535-2022</t>
        </is>
      </c>
      <c r="B882" s="1" t="n">
        <v>44783</v>
      </c>
      <c r="C882" s="1" t="n">
        <v>45258</v>
      </c>
      <c r="D882" t="inlineStr">
        <is>
          <t>VÄSTERNORRLANDS LÄN</t>
        </is>
      </c>
      <c r="E882" t="inlineStr">
        <is>
          <t>ÅNGE</t>
        </is>
      </c>
      <c r="G882" t="n">
        <v>10.3</v>
      </c>
      <c r="H882" t="n">
        <v>0</v>
      </c>
      <c r="I882" t="n">
        <v>0</v>
      </c>
      <c r="J882" t="n">
        <v>0</v>
      </c>
      <c r="K882" t="n">
        <v>0</v>
      </c>
      <c r="L882" t="n">
        <v>0</v>
      </c>
      <c r="M882" t="n">
        <v>0</v>
      </c>
      <c r="N882" t="n">
        <v>0</v>
      </c>
      <c r="O882" t="n">
        <v>0</v>
      </c>
      <c r="P882" t="n">
        <v>0</v>
      </c>
      <c r="Q882" t="n">
        <v>0</v>
      </c>
      <c r="R882" s="2" t="inlineStr"/>
    </row>
    <row r="883" ht="15" customHeight="1">
      <c r="A883" t="inlineStr">
        <is>
          <t>A 32536-2022</t>
        </is>
      </c>
      <c r="B883" s="1" t="n">
        <v>44783</v>
      </c>
      <c r="C883" s="1" t="n">
        <v>45258</v>
      </c>
      <c r="D883" t="inlineStr">
        <is>
          <t>VÄSTERNORRLANDS LÄN</t>
        </is>
      </c>
      <c r="E883" t="inlineStr">
        <is>
          <t>ÅNGE</t>
        </is>
      </c>
      <c r="G883" t="n">
        <v>0.4</v>
      </c>
      <c r="H883" t="n">
        <v>0</v>
      </c>
      <c r="I883" t="n">
        <v>0</v>
      </c>
      <c r="J883" t="n">
        <v>0</v>
      </c>
      <c r="K883" t="n">
        <v>0</v>
      </c>
      <c r="L883" t="n">
        <v>0</v>
      </c>
      <c r="M883" t="n">
        <v>0</v>
      </c>
      <c r="N883" t="n">
        <v>0</v>
      </c>
      <c r="O883" t="n">
        <v>0</v>
      </c>
      <c r="P883" t="n">
        <v>0</v>
      </c>
      <c r="Q883" t="n">
        <v>0</v>
      </c>
      <c r="R883" s="2" t="inlineStr"/>
    </row>
    <row r="884" ht="15" customHeight="1">
      <c r="A884" t="inlineStr">
        <is>
          <t>A 32538-2022</t>
        </is>
      </c>
      <c r="B884" s="1" t="n">
        <v>44783</v>
      </c>
      <c r="C884" s="1" t="n">
        <v>45258</v>
      </c>
      <c r="D884" t="inlineStr">
        <is>
          <t>VÄSTERNORRLANDS LÄN</t>
        </is>
      </c>
      <c r="E884" t="inlineStr">
        <is>
          <t>ÅNGE</t>
        </is>
      </c>
      <c r="G884" t="n">
        <v>2.4</v>
      </c>
      <c r="H884" t="n">
        <v>0</v>
      </c>
      <c r="I884" t="n">
        <v>0</v>
      </c>
      <c r="J884" t="n">
        <v>0</v>
      </c>
      <c r="K884" t="n">
        <v>0</v>
      </c>
      <c r="L884" t="n">
        <v>0</v>
      </c>
      <c r="M884" t="n">
        <v>0</v>
      </c>
      <c r="N884" t="n">
        <v>0</v>
      </c>
      <c r="O884" t="n">
        <v>0</v>
      </c>
      <c r="P884" t="n">
        <v>0</v>
      </c>
      <c r="Q884" t="n">
        <v>0</v>
      </c>
      <c r="R884" s="2" t="inlineStr"/>
    </row>
    <row r="885" ht="15" customHeight="1">
      <c r="A885" t="inlineStr">
        <is>
          <t>A 32631-2022</t>
        </is>
      </c>
      <c r="B885" s="1" t="n">
        <v>44783</v>
      </c>
      <c r="C885" s="1" t="n">
        <v>45258</v>
      </c>
      <c r="D885" t="inlineStr">
        <is>
          <t>VÄSTERNORRLANDS LÄN</t>
        </is>
      </c>
      <c r="E885" t="inlineStr">
        <is>
          <t>ÅNGE</t>
        </is>
      </c>
      <c r="G885" t="n">
        <v>0.7</v>
      </c>
      <c r="H885" t="n">
        <v>0</v>
      </c>
      <c r="I885" t="n">
        <v>0</v>
      </c>
      <c r="J885" t="n">
        <v>0</v>
      </c>
      <c r="K885" t="n">
        <v>0</v>
      </c>
      <c r="L885" t="n">
        <v>0</v>
      </c>
      <c r="M885" t="n">
        <v>0</v>
      </c>
      <c r="N885" t="n">
        <v>0</v>
      </c>
      <c r="O885" t="n">
        <v>0</v>
      </c>
      <c r="P885" t="n">
        <v>0</v>
      </c>
      <c r="Q885" t="n">
        <v>0</v>
      </c>
      <c r="R885" s="2" t="inlineStr"/>
    </row>
    <row r="886" ht="15" customHeight="1">
      <c r="A886" t="inlineStr">
        <is>
          <t>A 32776-2022</t>
        </is>
      </c>
      <c r="B886" s="1" t="n">
        <v>44784</v>
      </c>
      <c r="C886" s="1" t="n">
        <v>45258</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33112-2022</t>
        </is>
      </c>
      <c r="B887" s="1" t="n">
        <v>44785</v>
      </c>
      <c r="C887" s="1" t="n">
        <v>45258</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33062-2022</t>
        </is>
      </c>
      <c r="B888" s="1" t="n">
        <v>44785</v>
      </c>
      <c r="C888" s="1" t="n">
        <v>45258</v>
      </c>
      <c r="D888" t="inlineStr">
        <is>
          <t>VÄSTERNORRLANDS LÄN</t>
        </is>
      </c>
      <c r="E888" t="inlineStr">
        <is>
          <t>ÅNGE</t>
        </is>
      </c>
      <c r="G888" t="n">
        <v>0.5</v>
      </c>
      <c r="H888" t="n">
        <v>0</v>
      </c>
      <c r="I888" t="n">
        <v>0</v>
      </c>
      <c r="J888" t="n">
        <v>0</v>
      </c>
      <c r="K888" t="n">
        <v>0</v>
      </c>
      <c r="L888" t="n">
        <v>0</v>
      </c>
      <c r="M888" t="n">
        <v>0</v>
      </c>
      <c r="N888" t="n">
        <v>0</v>
      </c>
      <c r="O888" t="n">
        <v>0</v>
      </c>
      <c r="P888" t="n">
        <v>0</v>
      </c>
      <c r="Q888" t="n">
        <v>0</v>
      </c>
      <c r="R888" s="2" t="inlineStr"/>
    </row>
    <row r="889" ht="15" customHeight="1">
      <c r="A889" t="inlineStr">
        <is>
          <t>A 33229-2022</t>
        </is>
      </c>
      <c r="B889" s="1" t="n">
        <v>44785</v>
      </c>
      <c r="C889" s="1" t="n">
        <v>45258</v>
      </c>
      <c r="D889" t="inlineStr">
        <is>
          <t>VÄSTERNORRLANDS LÄN</t>
        </is>
      </c>
      <c r="E889" t="inlineStr">
        <is>
          <t>ÅNGE</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33274-2022</t>
        </is>
      </c>
      <c r="B890" s="1" t="n">
        <v>44788</v>
      </c>
      <c r="C890" s="1" t="n">
        <v>45258</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34091-2022</t>
        </is>
      </c>
      <c r="B891" s="1" t="n">
        <v>44791</v>
      </c>
      <c r="C891" s="1" t="n">
        <v>45258</v>
      </c>
      <c r="D891" t="inlineStr">
        <is>
          <t>VÄSTERNORRLANDS LÄN</t>
        </is>
      </c>
      <c r="E891" t="inlineStr">
        <is>
          <t>ÅNGE</t>
        </is>
      </c>
      <c r="G891" t="n">
        <v>10.1</v>
      </c>
      <c r="H891" t="n">
        <v>0</v>
      </c>
      <c r="I891" t="n">
        <v>0</v>
      </c>
      <c r="J891" t="n">
        <v>0</v>
      </c>
      <c r="K891" t="n">
        <v>0</v>
      </c>
      <c r="L891" t="n">
        <v>0</v>
      </c>
      <c r="M891" t="n">
        <v>0</v>
      </c>
      <c r="N891" t="n">
        <v>0</v>
      </c>
      <c r="O891" t="n">
        <v>0</v>
      </c>
      <c r="P891" t="n">
        <v>0</v>
      </c>
      <c r="Q891" t="n">
        <v>0</v>
      </c>
      <c r="R891" s="2" t="inlineStr"/>
    </row>
    <row r="892" ht="15" customHeight="1">
      <c r="A892" t="inlineStr">
        <is>
          <t>A 35002-2022</t>
        </is>
      </c>
      <c r="B892" s="1" t="n">
        <v>44796</v>
      </c>
      <c r="C892" s="1" t="n">
        <v>45258</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35026-2022</t>
        </is>
      </c>
      <c r="B893" s="1" t="n">
        <v>44796</v>
      </c>
      <c r="C893" s="1" t="n">
        <v>45258</v>
      </c>
      <c r="D893" t="inlineStr">
        <is>
          <t>VÄSTERNORRLANDS LÄN</t>
        </is>
      </c>
      <c r="E893" t="inlineStr">
        <is>
          <t>ÅNGE</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35283-2022</t>
        </is>
      </c>
      <c r="B894" s="1" t="n">
        <v>44798</v>
      </c>
      <c r="C894" s="1" t="n">
        <v>45258</v>
      </c>
      <c r="D894" t="inlineStr">
        <is>
          <t>VÄSTERNORRLANDS LÄN</t>
        </is>
      </c>
      <c r="E894" t="inlineStr">
        <is>
          <t>ÅNGE</t>
        </is>
      </c>
      <c r="G894" t="n">
        <v>4.5</v>
      </c>
      <c r="H894" t="n">
        <v>0</v>
      </c>
      <c r="I894" t="n">
        <v>0</v>
      </c>
      <c r="J894" t="n">
        <v>0</v>
      </c>
      <c r="K894" t="n">
        <v>0</v>
      </c>
      <c r="L894" t="n">
        <v>0</v>
      </c>
      <c r="M894" t="n">
        <v>0</v>
      </c>
      <c r="N894" t="n">
        <v>0</v>
      </c>
      <c r="O894" t="n">
        <v>0</v>
      </c>
      <c r="P894" t="n">
        <v>0</v>
      </c>
      <c r="Q894" t="n">
        <v>0</v>
      </c>
      <c r="R894" s="2" t="inlineStr"/>
    </row>
    <row r="895" ht="15" customHeight="1">
      <c r="A895" t="inlineStr">
        <is>
          <t>A 35276-2022</t>
        </is>
      </c>
      <c r="B895" s="1" t="n">
        <v>44798</v>
      </c>
      <c r="C895" s="1" t="n">
        <v>45258</v>
      </c>
      <c r="D895" t="inlineStr">
        <is>
          <t>VÄSTERNORRLANDS LÄN</t>
        </is>
      </c>
      <c r="E895" t="inlineStr">
        <is>
          <t>ÅNGE</t>
        </is>
      </c>
      <c r="G895" t="n">
        <v>15.2</v>
      </c>
      <c r="H895" t="n">
        <v>0</v>
      </c>
      <c r="I895" t="n">
        <v>0</v>
      </c>
      <c r="J895" t="n">
        <v>0</v>
      </c>
      <c r="K895" t="n">
        <v>0</v>
      </c>
      <c r="L895" t="n">
        <v>0</v>
      </c>
      <c r="M895" t="n">
        <v>0</v>
      </c>
      <c r="N895" t="n">
        <v>0</v>
      </c>
      <c r="O895" t="n">
        <v>0</v>
      </c>
      <c r="P895" t="n">
        <v>0</v>
      </c>
      <c r="Q895" t="n">
        <v>0</v>
      </c>
      <c r="R895" s="2" t="inlineStr"/>
    </row>
    <row r="896" ht="15" customHeight="1">
      <c r="A896" t="inlineStr">
        <is>
          <t>A 35497-2022</t>
        </is>
      </c>
      <c r="B896" s="1" t="n">
        <v>44798</v>
      </c>
      <c r="C896" s="1" t="n">
        <v>45258</v>
      </c>
      <c r="D896" t="inlineStr">
        <is>
          <t>VÄSTERNORRLANDS LÄN</t>
        </is>
      </c>
      <c r="E896" t="inlineStr">
        <is>
          <t>ÅNGE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35496-2022</t>
        </is>
      </c>
      <c r="B897" s="1" t="n">
        <v>44798</v>
      </c>
      <c r="C897" s="1" t="n">
        <v>45258</v>
      </c>
      <c r="D897" t="inlineStr">
        <is>
          <t>VÄSTERNORRLANDS LÄN</t>
        </is>
      </c>
      <c r="E897" t="inlineStr">
        <is>
          <t>ÅNGE</t>
        </is>
      </c>
      <c r="F897" t="inlineStr">
        <is>
          <t>SCA</t>
        </is>
      </c>
      <c r="G897" t="n">
        <v>15.6</v>
      </c>
      <c r="H897" t="n">
        <v>0</v>
      </c>
      <c r="I897" t="n">
        <v>0</v>
      </c>
      <c r="J897" t="n">
        <v>0</v>
      </c>
      <c r="K897" t="n">
        <v>0</v>
      </c>
      <c r="L897" t="n">
        <v>0</v>
      </c>
      <c r="M897" t="n">
        <v>0</v>
      </c>
      <c r="N897" t="n">
        <v>0</v>
      </c>
      <c r="O897" t="n">
        <v>0</v>
      </c>
      <c r="P897" t="n">
        <v>0</v>
      </c>
      <c r="Q897" t="n">
        <v>0</v>
      </c>
      <c r="R897" s="2" t="inlineStr"/>
    </row>
    <row r="898" ht="15" customHeight="1">
      <c r="A898" t="inlineStr">
        <is>
          <t>A 35509-2022</t>
        </is>
      </c>
      <c r="B898" s="1" t="n">
        <v>44798</v>
      </c>
      <c r="C898" s="1" t="n">
        <v>45258</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35507-2022</t>
        </is>
      </c>
      <c r="B899" s="1" t="n">
        <v>44798</v>
      </c>
      <c r="C899" s="1" t="n">
        <v>45258</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35498-2022</t>
        </is>
      </c>
      <c r="B900" s="1" t="n">
        <v>44799</v>
      </c>
      <c r="C900" s="1" t="n">
        <v>45258</v>
      </c>
      <c r="D900" t="inlineStr">
        <is>
          <t>VÄSTERNORRLANDS LÄN</t>
        </is>
      </c>
      <c r="E900" t="inlineStr">
        <is>
          <t>ÅNGE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35508-2022</t>
        </is>
      </c>
      <c r="B901" s="1" t="n">
        <v>44798</v>
      </c>
      <c r="C901" s="1" t="n">
        <v>45258</v>
      </c>
      <c r="D901" t="inlineStr">
        <is>
          <t>VÄSTERNORRLANDS LÄN</t>
        </is>
      </c>
      <c r="E901" t="inlineStr">
        <is>
          <t>ÅNGE</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36937-2022</t>
        </is>
      </c>
      <c r="B902" s="1" t="n">
        <v>44806</v>
      </c>
      <c r="C902" s="1" t="n">
        <v>45258</v>
      </c>
      <c r="D902" t="inlineStr">
        <is>
          <t>VÄSTERNORRLANDS LÄN</t>
        </is>
      </c>
      <c r="E902" t="inlineStr">
        <is>
          <t>ÅNGE</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36924-2022</t>
        </is>
      </c>
      <c r="B903" s="1" t="n">
        <v>44805</v>
      </c>
      <c r="C903" s="1" t="n">
        <v>45258</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36936-2022</t>
        </is>
      </c>
      <c r="B904" s="1" t="n">
        <v>44805</v>
      </c>
      <c r="C904" s="1" t="n">
        <v>45258</v>
      </c>
      <c r="D904" t="inlineStr">
        <is>
          <t>VÄSTERNORRLANDS LÄN</t>
        </is>
      </c>
      <c r="E904" t="inlineStr">
        <is>
          <t>ÅNGE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38284-2022</t>
        </is>
      </c>
      <c r="B905" s="1" t="n">
        <v>44812</v>
      </c>
      <c r="C905" s="1" t="n">
        <v>45258</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38680-2022</t>
        </is>
      </c>
      <c r="B906" s="1" t="n">
        <v>44813</v>
      </c>
      <c r="C906" s="1" t="n">
        <v>45258</v>
      </c>
      <c r="D906" t="inlineStr">
        <is>
          <t>VÄSTERNORRLANDS LÄN</t>
        </is>
      </c>
      <c r="E906" t="inlineStr">
        <is>
          <t>ÅNGE</t>
        </is>
      </c>
      <c r="F906" t="inlineStr">
        <is>
          <t>SCA</t>
        </is>
      </c>
      <c r="G906" t="n">
        <v>12.3</v>
      </c>
      <c r="H906" t="n">
        <v>0</v>
      </c>
      <c r="I906" t="n">
        <v>0</v>
      </c>
      <c r="J906" t="n">
        <v>0</v>
      </c>
      <c r="K906" t="n">
        <v>0</v>
      </c>
      <c r="L906" t="n">
        <v>0</v>
      </c>
      <c r="M906" t="n">
        <v>0</v>
      </c>
      <c r="N906" t="n">
        <v>0</v>
      </c>
      <c r="O906" t="n">
        <v>0</v>
      </c>
      <c r="P906" t="n">
        <v>0</v>
      </c>
      <c r="Q906" t="n">
        <v>0</v>
      </c>
      <c r="R906" s="2" t="inlineStr"/>
    </row>
    <row r="907" ht="15" customHeight="1">
      <c r="A907" t="inlineStr">
        <is>
          <t>A 39374-2022</t>
        </is>
      </c>
      <c r="B907" s="1" t="n">
        <v>44817</v>
      </c>
      <c r="C907" s="1" t="n">
        <v>45258</v>
      </c>
      <c r="D907" t="inlineStr">
        <is>
          <t>VÄSTERNORRLANDS LÄN</t>
        </is>
      </c>
      <c r="E907" t="inlineStr">
        <is>
          <t>ÅNGE</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39594-2022</t>
        </is>
      </c>
      <c r="B908" s="1" t="n">
        <v>44818</v>
      </c>
      <c r="C908" s="1" t="n">
        <v>45258</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39681-2022</t>
        </is>
      </c>
      <c r="B909" s="1" t="n">
        <v>44818</v>
      </c>
      <c r="C909" s="1" t="n">
        <v>45258</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39589-2022</t>
        </is>
      </c>
      <c r="B910" s="1" t="n">
        <v>44818</v>
      </c>
      <c r="C910" s="1" t="n">
        <v>45258</v>
      </c>
      <c r="D910" t="inlineStr">
        <is>
          <t>VÄSTERNORRLANDS LÄN</t>
        </is>
      </c>
      <c r="E910" t="inlineStr">
        <is>
          <t>ÅNGE</t>
        </is>
      </c>
      <c r="G910" t="n">
        <v>4.8</v>
      </c>
      <c r="H910" t="n">
        <v>0</v>
      </c>
      <c r="I910" t="n">
        <v>0</v>
      </c>
      <c r="J910" t="n">
        <v>0</v>
      </c>
      <c r="K910" t="n">
        <v>0</v>
      </c>
      <c r="L910" t="n">
        <v>0</v>
      </c>
      <c r="M910" t="n">
        <v>0</v>
      </c>
      <c r="N910" t="n">
        <v>0</v>
      </c>
      <c r="O910" t="n">
        <v>0</v>
      </c>
      <c r="P910" t="n">
        <v>0</v>
      </c>
      <c r="Q910" t="n">
        <v>0</v>
      </c>
      <c r="R910" s="2" t="inlineStr"/>
    </row>
    <row r="911" ht="15" customHeight="1">
      <c r="A911" t="inlineStr">
        <is>
          <t>A 39685-2022</t>
        </is>
      </c>
      <c r="B911" s="1" t="n">
        <v>44818</v>
      </c>
      <c r="C911" s="1" t="n">
        <v>45258</v>
      </c>
      <c r="D911" t="inlineStr">
        <is>
          <t>VÄSTERNORRLANDS LÄN</t>
        </is>
      </c>
      <c r="E911" t="inlineStr">
        <is>
          <t>ÅNGE</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40475-2022</t>
        </is>
      </c>
      <c r="B912" s="1" t="n">
        <v>44823</v>
      </c>
      <c r="C912" s="1" t="n">
        <v>45258</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40476-2022</t>
        </is>
      </c>
      <c r="B913" s="1" t="n">
        <v>44823</v>
      </c>
      <c r="C913" s="1" t="n">
        <v>45258</v>
      </c>
      <c r="D913" t="inlineStr">
        <is>
          <t>VÄSTERNORRLANDS LÄN</t>
        </is>
      </c>
      <c r="E913" t="inlineStr">
        <is>
          <t>ÅNGE</t>
        </is>
      </c>
      <c r="G913" t="n">
        <v>0.5</v>
      </c>
      <c r="H913" t="n">
        <v>0</v>
      </c>
      <c r="I913" t="n">
        <v>0</v>
      </c>
      <c r="J913" t="n">
        <v>0</v>
      </c>
      <c r="K913" t="n">
        <v>0</v>
      </c>
      <c r="L913" t="n">
        <v>0</v>
      </c>
      <c r="M913" t="n">
        <v>0</v>
      </c>
      <c r="N913" t="n">
        <v>0</v>
      </c>
      <c r="O913" t="n">
        <v>0</v>
      </c>
      <c r="P913" t="n">
        <v>0</v>
      </c>
      <c r="Q913" t="n">
        <v>0</v>
      </c>
      <c r="R913" s="2" t="inlineStr"/>
    </row>
    <row r="914" ht="15" customHeight="1">
      <c r="A914" t="inlineStr">
        <is>
          <t>A 41261-2022</t>
        </is>
      </c>
      <c r="B914" s="1" t="n">
        <v>44825</v>
      </c>
      <c r="C914" s="1" t="n">
        <v>45258</v>
      </c>
      <c r="D914" t="inlineStr">
        <is>
          <t>VÄSTERNORRLANDS LÄN</t>
        </is>
      </c>
      <c r="E914" t="inlineStr">
        <is>
          <t>ÅNGE</t>
        </is>
      </c>
      <c r="G914" t="n">
        <v>0.8</v>
      </c>
      <c r="H914" t="n">
        <v>0</v>
      </c>
      <c r="I914" t="n">
        <v>0</v>
      </c>
      <c r="J914" t="n">
        <v>0</v>
      </c>
      <c r="K914" t="n">
        <v>0</v>
      </c>
      <c r="L914" t="n">
        <v>0</v>
      </c>
      <c r="M914" t="n">
        <v>0</v>
      </c>
      <c r="N914" t="n">
        <v>0</v>
      </c>
      <c r="O914" t="n">
        <v>0</v>
      </c>
      <c r="P914" t="n">
        <v>0</v>
      </c>
      <c r="Q914" t="n">
        <v>0</v>
      </c>
      <c r="R914" s="2" t="inlineStr"/>
    </row>
    <row r="915" ht="15" customHeight="1">
      <c r="A915" t="inlineStr">
        <is>
          <t>A 41464-2022</t>
        </is>
      </c>
      <c r="B915" s="1" t="n">
        <v>44827</v>
      </c>
      <c r="C915" s="1" t="n">
        <v>45258</v>
      </c>
      <c r="D915" t="inlineStr">
        <is>
          <t>VÄSTERNORRLANDS LÄN</t>
        </is>
      </c>
      <c r="E915" t="inlineStr">
        <is>
          <t>ÅNGE</t>
        </is>
      </c>
      <c r="F915" t="inlineStr">
        <is>
          <t>SCA</t>
        </is>
      </c>
      <c r="G915" t="n">
        <v>32.2</v>
      </c>
      <c r="H915" t="n">
        <v>0</v>
      </c>
      <c r="I915" t="n">
        <v>0</v>
      </c>
      <c r="J915" t="n">
        <v>0</v>
      </c>
      <c r="K915" t="n">
        <v>0</v>
      </c>
      <c r="L915" t="n">
        <v>0</v>
      </c>
      <c r="M915" t="n">
        <v>0</v>
      </c>
      <c r="N915" t="n">
        <v>0</v>
      </c>
      <c r="O915" t="n">
        <v>0</v>
      </c>
      <c r="P915" t="n">
        <v>0</v>
      </c>
      <c r="Q915" t="n">
        <v>0</v>
      </c>
      <c r="R915" s="2" t="inlineStr"/>
    </row>
    <row r="916" ht="15" customHeight="1">
      <c r="A916" t="inlineStr">
        <is>
          <t>A 41825-2022</t>
        </is>
      </c>
      <c r="B916" s="1" t="n">
        <v>44827</v>
      </c>
      <c r="C916" s="1" t="n">
        <v>45258</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c r="U916">
        <f>HYPERLINK("https://klasma.github.io/Logging_2260/knärot/A 41825-2022 karta knärot.png", "A 41825-2022")</f>
        <v/>
      </c>
      <c r="V916">
        <f>HYPERLINK("https://klasma.github.io/Logging_2260/klagomål/A 41825-2022 FSC-klagomål.docx", "A 41825-2022")</f>
        <v/>
      </c>
      <c r="W916">
        <f>HYPERLINK("https://klasma.github.io/Logging_2260/klagomålsmail/A 41825-2022 FSC-klagomål mail.docx", "A 41825-2022")</f>
        <v/>
      </c>
      <c r="X916">
        <f>HYPERLINK("https://klasma.github.io/Logging_2260/tillsyn/A 41825-2022 tillsynsbegäran.docx", "A 41825-2022")</f>
        <v/>
      </c>
      <c r="Y916">
        <f>HYPERLINK("https://klasma.github.io/Logging_2260/tillsynsmail/A 41825-2022 tillsynsbegäran mail.docx", "A 41825-2022")</f>
        <v/>
      </c>
    </row>
    <row r="917" ht="15" customHeight="1">
      <c r="A917" t="inlineStr">
        <is>
          <t>A 42857-2022</t>
        </is>
      </c>
      <c r="B917" s="1" t="n">
        <v>44832</v>
      </c>
      <c r="C917" s="1" t="n">
        <v>45258</v>
      </c>
      <c r="D917" t="inlineStr">
        <is>
          <t>VÄSTERNORRLANDS LÄN</t>
        </is>
      </c>
      <c r="E917" t="inlineStr">
        <is>
          <t>ÅNGE</t>
        </is>
      </c>
      <c r="G917" t="n">
        <v>3.4</v>
      </c>
      <c r="H917" t="n">
        <v>0</v>
      </c>
      <c r="I917" t="n">
        <v>0</v>
      </c>
      <c r="J917" t="n">
        <v>0</v>
      </c>
      <c r="K917" t="n">
        <v>0</v>
      </c>
      <c r="L917" t="n">
        <v>0</v>
      </c>
      <c r="M917" t="n">
        <v>0</v>
      </c>
      <c r="N917" t="n">
        <v>0</v>
      </c>
      <c r="O917" t="n">
        <v>0</v>
      </c>
      <c r="P917" t="n">
        <v>0</v>
      </c>
      <c r="Q917" t="n">
        <v>0</v>
      </c>
      <c r="R917" s="2" t="inlineStr"/>
    </row>
    <row r="918" ht="15" customHeight="1">
      <c r="A918" t="inlineStr">
        <is>
          <t>A 43066-2022</t>
        </is>
      </c>
      <c r="B918" s="1" t="n">
        <v>44833</v>
      </c>
      <c r="C918" s="1" t="n">
        <v>45258</v>
      </c>
      <c r="D918" t="inlineStr">
        <is>
          <t>VÄSTERNORRLANDS LÄN</t>
        </is>
      </c>
      <c r="E918" t="inlineStr">
        <is>
          <t>ÅNGE</t>
        </is>
      </c>
      <c r="G918" t="n">
        <v>1.2</v>
      </c>
      <c r="H918" t="n">
        <v>0</v>
      </c>
      <c r="I918" t="n">
        <v>0</v>
      </c>
      <c r="J918" t="n">
        <v>0</v>
      </c>
      <c r="K918" t="n">
        <v>0</v>
      </c>
      <c r="L918" t="n">
        <v>0</v>
      </c>
      <c r="M918" t="n">
        <v>0</v>
      </c>
      <c r="N918" t="n">
        <v>0</v>
      </c>
      <c r="O918" t="n">
        <v>0</v>
      </c>
      <c r="P918" t="n">
        <v>0</v>
      </c>
      <c r="Q918" t="n">
        <v>0</v>
      </c>
      <c r="R918" s="2" t="inlineStr"/>
    </row>
    <row r="919" ht="15" customHeight="1">
      <c r="A919" t="inlineStr">
        <is>
          <t>A 43775-2022</t>
        </is>
      </c>
      <c r="B919" s="1" t="n">
        <v>44838</v>
      </c>
      <c r="C919" s="1" t="n">
        <v>45258</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43788-2022</t>
        </is>
      </c>
      <c r="B920" s="1" t="n">
        <v>44837</v>
      </c>
      <c r="C920" s="1" t="n">
        <v>45258</v>
      </c>
      <c r="D920" t="inlineStr">
        <is>
          <t>VÄSTERNORRLANDS LÄN</t>
        </is>
      </c>
      <c r="E920" t="inlineStr">
        <is>
          <t>ÅNGE</t>
        </is>
      </c>
      <c r="F920" t="inlineStr">
        <is>
          <t>SCA</t>
        </is>
      </c>
      <c r="G920" t="n">
        <v>7.7</v>
      </c>
      <c r="H920" t="n">
        <v>0</v>
      </c>
      <c r="I920" t="n">
        <v>0</v>
      </c>
      <c r="J920" t="n">
        <v>0</v>
      </c>
      <c r="K920" t="n">
        <v>0</v>
      </c>
      <c r="L920" t="n">
        <v>0</v>
      </c>
      <c r="M920" t="n">
        <v>0</v>
      </c>
      <c r="N920" t="n">
        <v>0</v>
      </c>
      <c r="O920" t="n">
        <v>0</v>
      </c>
      <c r="P920" t="n">
        <v>0</v>
      </c>
      <c r="Q920" t="n">
        <v>0</v>
      </c>
      <c r="R920" s="2" t="inlineStr"/>
    </row>
    <row r="921" ht="15" customHeight="1">
      <c r="A921" t="inlineStr">
        <is>
          <t>A 44412-2022</t>
        </is>
      </c>
      <c r="B921" s="1" t="n">
        <v>44840</v>
      </c>
      <c r="C921" s="1" t="n">
        <v>45258</v>
      </c>
      <c r="D921" t="inlineStr">
        <is>
          <t>VÄSTERNORRLANDS LÄN</t>
        </is>
      </c>
      <c r="E921" t="inlineStr">
        <is>
          <t>ÅNGE</t>
        </is>
      </c>
      <c r="G921" t="n">
        <v>1.6</v>
      </c>
      <c r="H921" t="n">
        <v>0</v>
      </c>
      <c r="I921" t="n">
        <v>0</v>
      </c>
      <c r="J921" t="n">
        <v>0</v>
      </c>
      <c r="K921" t="n">
        <v>0</v>
      </c>
      <c r="L921" t="n">
        <v>0</v>
      </c>
      <c r="M921" t="n">
        <v>0</v>
      </c>
      <c r="N921" t="n">
        <v>0</v>
      </c>
      <c r="O921" t="n">
        <v>0</v>
      </c>
      <c r="P921" t="n">
        <v>0</v>
      </c>
      <c r="Q921" t="n">
        <v>0</v>
      </c>
      <c r="R921" s="2" t="inlineStr"/>
    </row>
    <row r="922" ht="15" customHeight="1">
      <c r="A922" t="inlineStr">
        <is>
          <t>A 44414-2022</t>
        </is>
      </c>
      <c r="B922" s="1" t="n">
        <v>44840</v>
      </c>
      <c r="C922" s="1" t="n">
        <v>45258</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44413-2022</t>
        </is>
      </c>
      <c r="B923" s="1" t="n">
        <v>44840</v>
      </c>
      <c r="C923" s="1" t="n">
        <v>45258</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45086-2022</t>
        </is>
      </c>
      <c r="B924" s="1" t="n">
        <v>44841</v>
      </c>
      <c r="C924" s="1" t="n">
        <v>45258</v>
      </c>
      <c r="D924" t="inlineStr">
        <is>
          <t>VÄSTERNORRLANDS LÄN</t>
        </is>
      </c>
      <c r="E924" t="inlineStr">
        <is>
          <t>ÅNGE</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45087-2022</t>
        </is>
      </c>
      <c r="B925" s="1" t="n">
        <v>44841</v>
      </c>
      <c r="C925" s="1" t="n">
        <v>45258</v>
      </c>
      <c r="D925" t="inlineStr">
        <is>
          <t>VÄSTERNORRLANDS LÄN</t>
        </is>
      </c>
      <c r="E925" t="inlineStr">
        <is>
          <t>ÅNGE</t>
        </is>
      </c>
      <c r="F925" t="inlineStr">
        <is>
          <t>SCA</t>
        </is>
      </c>
      <c r="G925" t="n">
        <v>5.3</v>
      </c>
      <c r="H925" t="n">
        <v>0</v>
      </c>
      <c r="I925" t="n">
        <v>0</v>
      </c>
      <c r="J925" t="n">
        <v>0</v>
      </c>
      <c r="K925" t="n">
        <v>0</v>
      </c>
      <c r="L925" t="n">
        <v>0</v>
      </c>
      <c r="M925" t="n">
        <v>0</v>
      </c>
      <c r="N925" t="n">
        <v>0</v>
      </c>
      <c r="O925" t="n">
        <v>0</v>
      </c>
      <c r="P925" t="n">
        <v>0</v>
      </c>
      <c r="Q925" t="n">
        <v>0</v>
      </c>
      <c r="R925" s="2" t="inlineStr"/>
    </row>
    <row r="926" ht="15" customHeight="1">
      <c r="A926" t="inlineStr">
        <is>
          <t>A 45128-2022</t>
        </is>
      </c>
      <c r="B926" s="1" t="n">
        <v>44844</v>
      </c>
      <c r="C926" s="1" t="n">
        <v>45258</v>
      </c>
      <c r="D926" t="inlineStr">
        <is>
          <t>VÄSTERNORRLANDS LÄN</t>
        </is>
      </c>
      <c r="E926" t="inlineStr">
        <is>
          <t>ÅNGE</t>
        </is>
      </c>
      <c r="G926" t="n">
        <v>4.1</v>
      </c>
      <c r="H926" t="n">
        <v>0</v>
      </c>
      <c r="I926" t="n">
        <v>0</v>
      </c>
      <c r="J926" t="n">
        <v>0</v>
      </c>
      <c r="K926" t="n">
        <v>0</v>
      </c>
      <c r="L926" t="n">
        <v>0</v>
      </c>
      <c r="M926" t="n">
        <v>0</v>
      </c>
      <c r="N926" t="n">
        <v>0</v>
      </c>
      <c r="O926" t="n">
        <v>0</v>
      </c>
      <c r="P926" t="n">
        <v>0</v>
      </c>
      <c r="Q926" t="n">
        <v>0</v>
      </c>
      <c r="R926" s="2" t="inlineStr"/>
    </row>
    <row r="927" ht="15" customHeight="1">
      <c r="A927" t="inlineStr">
        <is>
          <t>A 45432-2022</t>
        </is>
      </c>
      <c r="B927" s="1" t="n">
        <v>44844</v>
      </c>
      <c r="C927" s="1" t="n">
        <v>45258</v>
      </c>
      <c r="D927" t="inlineStr">
        <is>
          <t>VÄSTERNORRLANDS LÄN</t>
        </is>
      </c>
      <c r="E927" t="inlineStr">
        <is>
          <t>ÅNGE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45459-2022</t>
        </is>
      </c>
      <c r="B928" s="1" t="n">
        <v>44845</v>
      </c>
      <c r="C928" s="1" t="n">
        <v>45258</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45703-2022</t>
        </is>
      </c>
      <c r="B929" s="1" t="n">
        <v>44845</v>
      </c>
      <c r="C929" s="1" t="n">
        <v>45258</v>
      </c>
      <c r="D929" t="inlineStr">
        <is>
          <t>VÄSTERNORRLANDS LÄN</t>
        </is>
      </c>
      <c r="E929" t="inlineStr">
        <is>
          <t>ÅNGE</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45931-2022</t>
        </is>
      </c>
      <c r="B930" s="1" t="n">
        <v>44846</v>
      </c>
      <c r="C930" s="1" t="n">
        <v>45258</v>
      </c>
      <c r="D930" t="inlineStr">
        <is>
          <t>VÄSTERNORRLANDS LÄN</t>
        </is>
      </c>
      <c r="E930" t="inlineStr">
        <is>
          <t>ÅNGE</t>
        </is>
      </c>
      <c r="G930" t="n">
        <v>27.6</v>
      </c>
      <c r="H930" t="n">
        <v>0</v>
      </c>
      <c r="I930" t="n">
        <v>0</v>
      </c>
      <c r="J930" t="n">
        <v>0</v>
      </c>
      <c r="K930" t="n">
        <v>0</v>
      </c>
      <c r="L930" t="n">
        <v>0</v>
      </c>
      <c r="M930" t="n">
        <v>0</v>
      </c>
      <c r="N930" t="n">
        <v>0</v>
      </c>
      <c r="O930" t="n">
        <v>0</v>
      </c>
      <c r="P930" t="n">
        <v>0</v>
      </c>
      <c r="Q930" t="n">
        <v>0</v>
      </c>
      <c r="R930" s="2" t="inlineStr"/>
    </row>
    <row r="931" ht="15" customHeight="1">
      <c r="A931" t="inlineStr">
        <is>
          <t>A 46334-2022</t>
        </is>
      </c>
      <c r="B931" s="1" t="n">
        <v>44848</v>
      </c>
      <c r="C931" s="1" t="n">
        <v>45258</v>
      </c>
      <c r="D931" t="inlineStr">
        <is>
          <t>VÄSTERNORRLANDS LÄN</t>
        </is>
      </c>
      <c r="E931" t="inlineStr">
        <is>
          <t>ÅNGE</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46352-2022</t>
        </is>
      </c>
      <c r="B932" s="1" t="n">
        <v>44848</v>
      </c>
      <c r="C932" s="1" t="n">
        <v>45258</v>
      </c>
      <c r="D932" t="inlineStr">
        <is>
          <t>VÄSTERNORRLANDS LÄN</t>
        </is>
      </c>
      <c r="E932" t="inlineStr">
        <is>
          <t>ÅNGE</t>
        </is>
      </c>
      <c r="F932" t="inlineStr">
        <is>
          <t>SCA</t>
        </is>
      </c>
      <c r="G932" t="n">
        <v>2.9</v>
      </c>
      <c r="H932" t="n">
        <v>0</v>
      </c>
      <c r="I932" t="n">
        <v>0</v>
      </c>
      <c r="J932" t="n">
        <v>0</v>
      </c>
      <c r="K932" t="n">
        <v>0</v>
      </c>
      <c r="L932" t="n">
        <v>0</v>
      </c>
      <c r="M932" t="n">
        <v>0</v>
      </c>
      <c r="N932" t="n">
        <v>0</v>
      </c>
      <c r="O932" t="n">
        <v>0</v>
      </c>
      <c r="P932" t="n">
        <v>0</v>
      </c>
      <c r="Q932" t="n">
        <v>0</v>
      </c>
      <c r="R932" s="2" t="inlineStr"/>
    </row>
    <row r="933" ht="15" customHeight="1">
      <c r="A933" t="inlineStr">
        <is>
          <t>A 46351-2022</t>
        </is>
      </c>
      <c r="B933" s="1" t="n">
        <v>44847</v>
      </c>
      <c r="C933" s="1" t="n">
        <v>45258</v>
      </c>
      <c r="D933" t="inlineStr">
        <is>
          <t>VÄSTERNORRLANDS LÄN</t>
        </is>
      </c>
      <c r="E933" t="inlineStr">
        <is>
          <t>ÅNGE</t>
        </is>
      </c>
      <c r="F933" t="inlineStr">
        <is>
          <t>SCA</t>
        </is>
      </c>
      <c r="G933" t="n">
        <v>4.4</v>
      </c>
      <c r="H933" t="n">
        <v>0</v>
      </c>
      <c r="I933" t="n">
        <v>0</v>
      </c>
      <c r="J933" t="n">
        <v>0</v>
      </c>
      <c r="K933" t="n">
        <v>0</v>
      </c>
      <c r="L933" t="n">
        <v>0</v>
      </c>
      <c r="M933" t="n">
        <v>0</v>
      </c>
      <c r="N933" t="n">
        <v>0</v>
      </c>
      <c r="O933" t="n">
        <v>0</v>
      </c>
      <c r="P933" t="n">
        <v>0</v>
      </c>
      <c r="Q933" t="n">
        <v>0</v>
      </c>
      <c r="R933" s="2" t="inlineStr"/>
    </row>
    <row r="934" ht="15" customHeight="1">
      <c r="A934" t="inlineStr">
        <is>
          <t>A 46350-2022</t>
        </is>
      </c>
      <c r="B934" s="1" t="n">
        <v>44848</v>
      </c>
      <c r="C934" s="1" t="n">
        <v>45258</v>
      </c>
      <c r="D934" t="inlineStr">
        <is>
          <t>VÄSTERNORRLANDS LÄN</t>
        </is>
      </c>
      <c r="E934" t="inlineStr">
        <is>
          <t>ÅNGE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47282-2022</t>
        </is>
      </c>
      <c r="B935" s="1" t="n">
        <v>44853</v>
      </c>
      <c r="C935" s="1" t="n">
        <v>45258</v>
      </c>
      <c r="D935" t="inlineStr">
        <is>
          <t>VÄSTERNORRLANDS LÄN</t>
        </is>
      </c>
      <c r="E935" t="inlineStr">
        <is>
          <t>ÅNGE</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47106-2022</t>
        </is>
      </c>
      <c r="B936" s="1" t="n">
        <v>44852</v>
      </c>
      <c r="C936" s="1" t="n">
        <v>45258</v>
      </c>
      <c r="D936" t="inlineStr">
        <is>
          <t>VÄSTERNORRLANDS LÄN</t>
        </is>
      </c>
      <c r="E936" t="inlineStr">
        <is>
          <t>ÅNGE</t>
        </is>
      </c>
      <c r="G936" t="n">
        <v>11.9</v>
      </c>
      <c r="H936" t="n">
        <v>0</v>
      </c>
      <c r="I936" t="n">
        <v>0</v>
      </c>
      <c r="J936" t="n">
        <v>0</v>
      </c>
      <c r="K936" t="n">
        <v>0</v>
      </c>
      <c r="L936" t="n">
        <v>0</v>
      </c>
      <c r="M936" t="n">
        <v>0</v>
      </c>
      <c r="N936" t="n">
        <v>0</v>
      </c>
      <c r="O936" t="n">
        <v>0</v>
      </c>
      <c r="P936" t="n">
        <v>0</v>
      </c>
      <c r="Q936" t="n">
        <v>0</v>
      </c>
      <c r="R936" s="2" t="inlineStr"/>
    </row>
    <row r="937" ht="15" customHeight="1">
      <c r="A937" t="inlineStr">
        <is>
          <t>A 47443-2022</t>
        </is>
      </c>
      <c r="B937" s="1" t="n">
        <v>44853</v>
      </c>
      <c r="C937" s="1" t="n">
        <v>45258</v>
      </c>
      <c r="D937" t="inlineStr">
        <is>
          <t>VÄSTERNORRLANDS LÄN</t>
        </is>
      </c>
      <c r="E937" t="inlineStr">
        <is>
          <t>ÅNGE</t>
        </is>
      </c>
      <c r="F937" t="inlineStr">
        <is>
          <t>Sveaskog</t>
        </is>
      </c>
      <c r="G937" t="n">
        <v>1.9</v>
      </c>
      <c r="H937" t="n">
        <v>0</v>
      </c>
      <c r="I937" t="n">
        <v>0</v>
      </c>
      <c r="J937" t="n">
        <v>0</v>
      </c>
      <c r="K937" t="n">
        <v>0</v>
      </c>
      <c r="L937" t="n">
        <v>0</v>
      </c>
      <c r="M937" t="n">
        <v>0</v>
      </c>
      <c r="N937" t="n">
        <v>0</v>
      </c>
      <c r="O937" t="n">
        <v>0</v>
      </c>
      <c r="P937" t="n">
        <v>0</v>
      </c>
      <c r="Q937" t="n">
        <v>0</v>
      </c>
      <c r="R937" s="2" t="inlineStr"/>
    </row>
    <row r="938" ht="15" customHeight="1">
      <c r="A938" t="inlineStr">
        <is>
          <t>A 47576-2022</t>
        </is>
      </c>
      <c r="B938" s="1" t="n">
        <v>44854</v>
      </c>
      <c r="C938" s="1" t="n">
        <v>45258</v>
      </c>
      <c r="D938" t="inlineStr">
        <is>
          <t>VÄSTERNORRLANDS LÄN</t>
        </is>
      </c>
      <c r="E938" t="inlineStr">
        <is>
          <t>ÅNGE</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47605-2022</t>
        </is>
      </c>
      <c r="B939" s="1" t="n">
        <v>44854</v>
      </c>
      <c r="C939" s="1" t="n">
        <v>45258</v>
      </c>
      <c r="D939" t="inlineStr">
        <is>
          <t>VÄSTERNORRLANDS LÄN</t>
        </is>
      </c>
      <c r="E939" t="inlineStr">
        <is>
          <t>ÅNGE</t>
        </is>
      </c>
      <c r="F939" t="inlineStr">
        <is>
          <t>Holmen skog AB</t>
        </is>
      </c>
      <c r="G939" t="n">
        <v>4.5</v>
      </c>
      <c r="H939" t="n">
        <v>0</v>
      </c>
      <c r="I939" t="n">
        <v>0</v>
      </c>
      <c r="J939" t="n">
        <v>0</v>
      </c>
      <c r="K939" t="n">
        <v>0</v>
      </c>
      <c r="L939" t="n">
        <v>0</v>
      </c>
      <c r="M939" t="n">
        <v>0</v>
      </c>
      <c r="N939" t="n">
        <v>0</v>
      </c>
      <c r="O939" t="n">
        <v>0</v>
      </c>
      <c r="P939" t="n">
        <v>0</v>
      </c>
      <c r="Q939" t="n">
        <v>0</v>
      </c>
      <c r="R939" s="2" t="inlineStr"/>
    </row>
    <row r="940" ht="15" customHeight="1">
      <c r="A940" t="inlineStr">
        <is>
          <t>A 47660-2022</t>
        </is>
      </c>
      <c r="B940" s="1" t="n">
        <v>44854</v>
      </c>
      <c r="C940" s="1" t="n">
        <v>45258</v>
      </c>
      <c r="D940" t="inlineStr">
        <is>
          <t>VÄSTERNORRLANDS LÄN</t>
        </is>
      </c>
      <c r="E940" t="inlineStr">
        <is>
          <t>ÅNGE</t>
        </is>
      </c>
      <c r="F940" t="inlineStr">
        <is>
          <t>Holmen skog AB</t>
        </is>
      </c>
      <c r="G940" t="n">
        <v>0.5</v>
      </c>
      <c r="H940" t="n">
        <v>0</v>
      </c>
      <c r="I940" t="n">
        <v>0</v>
      </c>
      <c r="J940" t="n">
        <v>0</v>
      </c>
      <c r="K940" t="n">
        <v>0</v>
      </c>
      <c r="L940" t="n">
        <v>0</v>
      </c>
      <c r="M940" t="n">
        <v>0</v>
      </c>
      <c r="N940" t="n">
        <v>0</v>
      </c>
      <c r="O940" t="n">
        <v>0</v>
      </c>
      <c r="P940" t="n">
        <v>0</v>
      </c>
      <c r="Q940" t="n">
        <v>0</v>
      </c>
      <c r="R940" s="2" t="inlineStr"/>
    </row>
    <row r="941" ht="15" customHeight="1">
      <c r="A941" t="inlineStr">
        <is>
          <t>A 47654-2022</t>
        </is>
      </c>
      <c r="B941" s="1" t="n">
        <v>44854</v>
      </c>
      <c r="C941" s="1" t="n">
        <v>45258</v>
      </c>
      <c r="D941" t="inlineStr">
        <is>
          <t>VÄSTERNORRLANDS LÄN</t>
        </is>
      </c>
      <c r="E941" t="inlineStr">
        <is>
          <t>ÅNGE</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47785-2022</t>
        </is>
      </c>
      <c r="B942" s="1" t="n">
        <v>44855</v>
      </c>
      <c r="C942" s="1" t="n">
        <v>45258</v>
      </c>
      <c r="D942" t="inlineStr">
        <is>
          <t>VÄSTERNORRLANDS LÄN</t>
        </is>
      </c>
      <c r="E942" t="inlineStr">
        <is>
          <t>ÅNGE</t>
        </is>
      </c>
      <c r="F942" t="inlineStr">
        <is>
          <t>SCA</t>
        </is>
      </c>
      <c r="G942" t="n">
        <v>12.6</v>
      </c>
      <c r="H942" t="n">
        <v>0</v>
      </c>
      <c r="I942" t="n">
        <v>0</v>
      </c>
      <c r="J942" t="n">
        <v>0</v>
      </c>
      <c r="K942" t="n">
        <v>0</v>
      </c>
      <c r="L942" t="n">
        <v>0</v>
      </c>
      <c r="M942" t="n">
        <v>0</v>
      </c>
      <c r="N942" t="n">
        <v>0</v>
      </c>
      <c r="O942" t="n">
        <v>0</v>
      </c>
      <c r="P942" t="n">
        <v>0</v>
      </c>
      <c r="Q942" t="n">
        <v>0</v>
      </c>
      <c r="R942" s="2" t="inlineStr"/>
    </row>
    <row r="943" ht="15" customHeight="1">
      <c r="A943" t="inlineStr">
        <is>
          <t>A 47792-2022</t>
        </is>
      </c>
      <c r="B943" s="1" t="n">
        <v>44855</v>
      </c>
      <c r="C943" s="1" t="n">
        <v>45258</v>
      </c>
      <c r="D943" t="inlineStr">
        <is>
          <t>VÄSTERNORRLANDS LÄN</t>
        </is>
      </c>
      <c r="E943" t="inlineStr">
        <is>
          <t>ÅNGE</t>
        </is>
      </c>
      <c r="F943" t="inlineStr">
        <is>
          <t>SCA</t>
        </is>
      </c>
      <c r="G943" t="n">
        <v>10.9</v>
      </c>
      <c r="H943" t="n">
        <v>0</v>
      </c>
      <c r="I943" t="n">
        <v>0</v>
      </c>
      <c r="J943" t="n">
        <v>0</v>
      </c>
      <c r="K943" t="n">
        <v>0</v>
      </c>
      <c r="L943" t="n">
        <v>0</v>
      </c>
      <c r="M943" t="n">
        <v>0</v>
      </c>
      <c r="N943" t="n">
        <v>0</v>
      </c>
      <c r="O943" t="n">
        <v>0</v>
      </c>
      <c r="P943" t="n">
        <v>0</v>
      </c>
      <c r="Q943" t="n">
        <v>0</v>
      </c>
      <c r="R943" s="2" t="inlineStr"/>
    </row>
    <row r="944" ht="15" customHeight="1">
      <c r="A944" t="inlineStr">
        <is>
          <t>A 47791-2022</t>
        </is>
      </c>
      <c r="B944" s="1" t="n">
        <v>44855</v>
      </c>
      <c r="C944" s="1" t="n">
        <v>45258</v>
      </c>
      <c r="D944" t="inlineStr">
        <is>
          <t>VÄSTERNORRLANDS LÄN</t>
        </is>
      </c>
      <c r="E944" t="inlineStr">
        <is>
          <t>ÅNGE</t>
        </is>
      </c>
      <c r="F944" t="inlineStr">
        <is>
          <t>SCA</t>
        </is>
      </c>
      <c r="G944" t="n">
        <v>15.2</v>
      </c>
      <c r="H944" t="n">
        <v>0</v>
      </c>
      <c r="I944" t="n">
        <v>0</v>
      </c>
      <c r="J944" t="n">
        <v>0</v>
      </c>
      <c r="K944" t="n">
        <v>0</v>
      </c>
      <c r="L944" t="n">
        <v>0</v>
      </c>
      <c r="M944" t="n">
        <v>0</v>
      </c>
      <c r="N944" t="n">
        <v>0</v>
      </c>
      <c r="O944" t="n">
        <v>0</v>
      </c>
      <c r="P944" t="n">
        <v>0</v>
      </c>
      <c r="Q944" t="n">
        <v>0</v>
      </c>
      <c r="R944" s="2" t="inlineStr"/>
    </row>
    <row r="945" ht="15" customHeight="1">
      <c r="A945" t="inlineStr">
        <is>
          <t>A 48521-2022</t>
        </is>
      </c>
      <c r="B945" s="1" t="n">
        <v>44858</v>
      </c>
      <c r="C945" s="1" t="n">
        <v>45258</v>
      </c>
      <c r="D945" t="inlineStr">
        <is>
          <t>VÄSTERNORRLANDS LÄN</t>
        </is>
      </c>
      <c r="E945" t="inlineStr">
        <is>
          <t>ÅNGE</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50357-2022</t>
        </is>
      </c>
      <c r="B946" s="1" t="n">
        <v>44860</v>
      </c>
      <c r="C946" s="1" t="n">
        <v>45258</v>
      </c>
      <c r="D946" t="inlineStr">
        <is>
          <t>VÄSTERNORRLANDS LÄN</t>
        </is>
      </c>
      <c r="E946" t="inlineStr">
        <is>
          <t>ÅNGE</t>
        </is>
      </c>
      <c r="G946" t="n">
        <v>11</v>
      </c>
      <c r="H946" t="n">
        <v>0</v>
      </c>
      <c r="I946" t="n">
        <v>0</v>
      </c>
      <c r="J946" t="n">
        <v>0</v>
      </c>
      <c r="K946" t="n">
        <v>0</v>
      </c>
      <c r="L946" t="n">
        <v>0</v>
      </c>
      <c r="M946" t="n">
        <v>0</v>
      </c>
      <c r="N946" t="n">
        <v>0</v>
      </c>
      <c r="O946" t="n">
        <v>0</v>
      </c>
      <c r="P946" t="n">
        <v>0</v>
      </c>
      <c r="Q946" t="n">
        <v>0</v>
      </c>
      <c r="R946" s="2" t="inlineStr"/>
    </row>
    <row r="947" ht="15" customHeight="1">
      <c r="A947" t="inlineStr">
        <is>
          <t>A 49503-2022</t>
        </is>
      </c>
      <c r="B947" s="1" t="n">
        <v>44862</v>
      </c>
      <c r="C947" s="1" t="n">
        <v>45258</v>
      </c>
      <c r="D947" t="inlineStr">
        <is>
          <t>VÄSTERNORRLANDS LÄN</t>
        </is>
      </c>
      <c r="E947" t="inlineStr">
        <is>
          <t>ÅNGE</t>
        </is>
      </c>
      <c r="G947" t="n">
        <v>0.7</v>
      </c>
      <c r="H947" t="n">
        <v>0</v>
      </c>
      <c r="I947" t="n">
        <v>0</v>
      </c>
      <c r="J947" t="n">
        <v>0</v>
      </c>
      <c r="K947" t="n">
        <v>0</v>
      </c>
      <c r="L947" t="n">
        <v>0</v>
      </c>
      <c r="M947" t="n">
        <v>0</v>
      </c>
      <c r="N947" t="n">
        <v>0</v>
      </c>
      <c r="O947" t="n">
        <v>0</v>
      </c>
      <c r="P947" t="n">
        <v>0</v>
      </c>
      <c r="Q947" t="n">
        <v>0</v>
      </c>
      <c r="R947" s="2" t="inlineStr"/>
    </row>
    <row r="948" ht="15" customHeight="1">
      <c r="A948" t="inlineStr">
        <is>
          <t>A 49502-2022</t>
        </is>
      </c>
      <c r="B948" s="1" t="n">
        <v>44862</v>
      </c>
      <c r="C948" s="1" t="n">
        <v>45258</v>
      </c>
      <c r="D948" t="inlineStr">
        <is>
          <t>VÄSTERNORRLANDS LÄN</t>
        </is>
      </c>
      <c r="E948" t="inlineStr">
        <is>
          <t>ÅNGE</t>
        </is>
      </c>
      <c r="G948" t="n">
        <v>0.8</v>
      </c>
      <c r="H948" t="n">
        <v>0</v>
      </c>
      <c r="I948" t="n">
        <v>0</v>
      </c>
      <c r="J948" t="n">
        <v>0</v>
      </c>
      <c r="K948" t="n">
        <v>0</v>
      </c>
      <c r="L948" t="n">
        <v>0</v>
      </c>
      <c r="M948" t="n">
        <v>0</v>
      </c>
      <c r="N948" t="n">
        <v>0</v>
      </c>
      <c r="O948" t="n">
        <v>0</v>
      </c>
      <c r="P948" t="n">
        <v>0</v>
      </c>
      <c r="Q948" t="n">
        <v>0</v>
      </c>
      <c r="R948" s="2" t="inlineStr"/>
    </row>
    <row r="949" ht="15" customHeight="1">
      <c r="A949" t="inlineStr">
        <is>
          <t>A 50419-2022</t>
        </is>
      </c>
      <c r="B949" s="1" t="n">
        <v>44861</v>
      </c>
      <c r="C949" s="1" t="n">
        <v>45258</v>
      </c>
      <c r="D949" t="inlineStr">
        <is>
          <t>VÄSTERNORRLANDS LÄN</t>
        </is>
      </c>
      <c r="E949" t="inlineStr">
        <is>
          <t>ÅNGE</t>
        </is>
      </c>
      <c r="G949" t="n">
        <v>1.3</v>
      </c>
      <c r="H949" t="n">
        <v>0</v>
      </c>
      <c r="I949" t="n">
        <v>0</v>
      </c>
      <c r="J949" t="n">
        <v>0</v>
      </c>
      <c r="K949" t="n">
        <v>0</v>
      </c>
      <c r="L949" t="n">
        <v>0</v>
      </c>
      <c r="M949" t="n">
        <v>0</v>
      </c>
      <c r="N949" t="n">
        <v>0</v>
      </c>
      <c r="O949" t="n">
        <v>0</v>
      </c>
      <c r="P949" t="n">
        <v>0</v>
      </c>
      <c r="Q949" t="n">
        <v>0</v>
      </c>
      <c r="R949" s="2" t="inlineStr"/>
    </row>
    <row r="950" ht="15" customHeight="1">
      <c r="A950" t="inlineStr">
        <is>
          <t>A 49865-2022</t>
        </is>
      </c>
      <c r="B950" s="1" t="n">
        <v>44863</v>
      </c>
      <c r="C950" s="1" t="n">
        <v>45258</v>
      </c>
      <c r="D950" t="inlineStr">
        <is>
          <t>VÄSTERNORRLANDS LÄN</t>
        </is>
      </c>
      <c r="E950" t="inlineStr">
        <is>
          <t>ÅNGE</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50332-2022</t>
        </is>
      </c>
      <c r="B951" s="1" t="n">
        <v>44865</v>
      </c>
      <c r="C951" s="1" t="n">
        <v>45258</v>
      </c>
      <c r="D951" t="inlineStr">
        <is>
          <t>VÄSTERNORRLANDS LÄN</t>
        </is>
      </c>
      <c r="E951" t="inlineStr">
        <is>
          <t>ÅNGE</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50643-2022</t>
        </is>
      </c>
      <c r="B952" s="1" t="n">
        <v>44866</v>
      </c>
      <c r="C952" s="1" t="n">
        <v>45258</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50640-2022</t>
        </is>
      </c>
      <c r="B953" s="1" t="n">
        <v>44866</v>
      </c>
      <c r="C953" s="1" t="n">
        <v>45258</v>
      </c>
      <c r="D953" t="inlineStr">
        <is>
          <t>VÄSTERNORRLANDS LÄN</t>
        </is>
      </c>
      <c r="E953" t="inlineStr">
        <is>
          <t>ÅNGE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50665-2022</t>
        </is>
      </c>
      <c r="B954" s="1" t="n">
        <v>44866</v>
      </c>
      <c r="C954" s="1" t="n">
        <v>45258</v>
      </c>
      <c r="D954" t="inlineStr">
        <is>
          <t>VÄSTERNORRLANDS LÄN</t>
        </is>
      </c>
      <c r="E954" t="inlineStr">
        <is>
          <t>ÅNGE</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51383-2022</t>
        </is>
      </c>
      <c r="B955" s="1" t="n">
        <v>44866</v>
      </c>
      <c r="C955" s="1" t="n">
        <v>45258</v>
      </c>
      <c r="D955" t="inlineStr">
        <is>
          <t>VÄSTERNORRLANDS LÄN</t>
        </is>
      </c>
      <c r="E955" t="inlineStr">
        <is>
          <t>ÅNGE</t>
        </is>
      </c>
      <c r="G955" t="n">
        <v>1.5</v>
      </c>
      <c r="H955" t="n">
        <v>0</v>
      </c>
      <c r="I955" t="n">
        <v>0</v>
      </c>
      <c r="J955" t="n">
        <v>0</v>
      </c>
      <c r="K955" t="n">
        <v>0</v>
      </c>
      <c r="L955" t="n">
        <v>0</v>
      </c>
      <c r="M955" t="n">
        <v>0</v>
      </c>
      <c r="N955" t="n">
        <v>0</v>
      </c>
      <c r="O955" t="n">
        <v>0</v>
      </c>
      <c r="P955" t="n">
        <v>0</v>
      </c>
      <c r="Q955" t="n">
        <v>0</v>
      </c>
      <c r="R955" s="2" t="inlineStr"/>
    </row>
    <row r="956" ht="15" customHeight="1">
      <c r="A956" t="inlineStr">
        <is>
          <t>A 51131-2022</t>
        </is>
      </c>
      <c r="B956" s="1" t="n">
        <v>44868</v>
      </c>
      <c r="C956" s="1" t="n">
        <v>45258</v>
      </c>
      <c r="D956" t="inlineStr">
        <is>
          <t>VÄSTERNORRLANDS LÄN</t>
        </is>
      </c>
      <c r="E956" t="inlineStr">
        <is>
          <t>ÅNGE</t>
        </is>
      </c>
      <c r="G956" t="n">
        <v>11.1</v>
      </c>
      <c r="H956" t="n">
        <v>0</v>
      </c>
      <c r="I956" t="n">
        <v>0</v>
      </c>
      <c r="J956" t="n">
        <v>0</v>
      </c>
      <c r="K956" t="n">
        <v>0</v>
      </c>
      <c r="L956" t="n">
        <v>0</v>
      </c>
      <c r="M956" t="n">
        <v>0</v>
      </c>
      <c r="N956" t="n">
        <v>0</v>
      </c>
      <c r="O956" t="n">
        <v>0</v>
      </c>
      <c r="P956" t="n">
        <v>0</v>
      </c>
      <c r="Q956" t="n">
        <v>0</v>
      </c>
      <c r="R956" s="2" t="inlineStr"/>
    </row>
    <row r="957" ht="15" customHeight="1">
      <c r="A957" t="inlineStr">
        <is>
          <t>A 51263-2022</t>
        </is>
      </c>
      <c r="B957" s="1" t="n">
        <v>44868</v>
      </c>
      <c r="C957" s="1" t="n">
        <v>45258</v>
      </c>
      <c r="D957" t="inlineStr">
        <is>
          <t>VÄSTERNORRLANDS LÄN</t>
        </is>
      </c>
      <c r="E957" t="inlineStr">
        <is>
          <t>ÅNGE</t>
        </is>
      </c>
      <c r="F957" t="inlineStr">
        <is>
          <t>Holmen skog AB</t>
        </is>
      </c>
      <c r="G957" t="n">
        <v>12.1</v>
      </c>
      <c r="H957" t="n">
        <v>0</v>
      </c>
      <c r="I957" t="n">
        <v>0</v>
      </c>
      <c r="J957" t="n">
        <v>0</v>
      </c>
      <c r="K957" t="n">
        <v>0</v>
      </c>
      <c r="L957" t="n">
        <v>0</v>
      </c>
      <c r="M957" t="n">
        <v>0</v>
      </c>
      <c r="N957" t="n">
        <v>0</v>
      </c>
      <c r="O957" t="n">
        <v>0</v>
      </c>
      <c r="P957" t="n">
        <v>0</v>
      </c>
      <c r="Q957" t="n">
        <v>0</v>
      </c>
      <c r="R957" s="2" t="inlineStr"/>
    </row>
    <row r="958" ht="15" customHeight="1">
      <c r="A958" t="inlineStr">
        <is>
          <t>A 51311-2022</t>
        </is>
      </c>
      <c r="B958" s="1" t="n">
        <v>44868</v>
      </c>
      <c r="C958" s="1" t="n">
        <v>45258</v>
      </c>
      <c r="D958" t="inlineStr">
        <is>
          <t>VÄSTERNORRLANDS LÄN</t>
        </is>
      </c>
      <c r="E958" t="inlineStr">
        <is>
          <t>ÅNGE</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51261-2022</t>
        </is>
      </c>
      <c r="B959" s="1" t="n">
        <v>44868</v>
      </c>
      <c r="C959" s="1" t="n">
        <v>45258</v>
      </c>
      <c r="D959" t="inlineStr">
        <is>
          <t>VÄSTERNORRLANDS LÄN</t>
        </is>
      </c>
      <c r="E959" t="inlineStr">
        <is>
          <t>ÅNGE</t>
        </is>
      </c>
      <c r="F959" t="inlineStr">
        <is>
          <t>Holmen skog AB</t>
        </is>
      </c>
      <c r="G959" t="n">
        <v>2.4</v>
      </c>
      <c r="H959" t="n">
        <v>0</v>
      </c>
      <c r="I959" t="n">
        <v>0</v>
      </c>
      <c r="J959" t="n">
        <v>0</v>
      </c>
      <c r="K959" t="n">
        <v>0</v>
      </c>
      <c r="L959" t="n">
        <v>0</v>
      </c>
      <c r="M959" t="n">
        <v>0</v>
      </c>
      <c r="N959" t="n">
        <v>0</v>
      </c>
      <c r="O959" t="n">
        <v>0</v>
      </c>
      <c r="P959" t="n">
        <v>0</v>
      </c>
      <c r="Q959" t="n">
        <v>0</v>
      </c>
      <c r="R959" s="2" t="inlineStr"/>
    </row>
    <row r="960" ht="15" customHeight="1">
      <c r="A960" t="inlineStr">
        <is>
          <t>A 51313-2022</t>
        </is>
      </c>
      <c r="B960" s="1" t="n">
        <v>44868</v>
      </c>
      <c r="C960" s="1" t="n">
        <v>45258</v>
      </c>
      <c r="D960" t="inlineStr">
        <is>
          <t>VÄSTERNORRLANDS LÄN</t>
        </is>
      </c>
      <c r="E960" t="inlineStr">
        <is>
          <t>ÅNGE</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51393-2022</t>
        </is>
      </c>
      <c r="B961" s="1" t="n">
        <v>44869</v>
      </c>
      <c r="C961" s="1" t="n">
        <v>45258</v>
      </c>
      <c r="D961" t="inlineStr">
        <is>
          <t>VÄSTERNORRLANDS LÄN</t>
        </is>
      </c>
      <c r="E961" t="inlineStr">
        <is>
          <t>ÅNGE</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51542-2022</t>
        </is>
      </c>
      <c r="B962" s="1" t="n">
        <v>44869</v>
      </c>
      <c r="C962" s="1" t="n">
        <v>45258</v>
      </c>
      <c r="D962" t="inlineStr">
        <is>
          <t>VÄSTERNORRLANDS LÄN</t>
        </is>
      </c>
      <c r="E962" t="inlineStr">
        <is>
          <t>ÅNGE</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51555-2022</t>
        </is>
      </c>
      <c r="B963" s="1" t="n">
        <v>44869</v>
      </c>
      <c r="C963" s="1" t="n">
        <v>45258</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51494-2022</t>
        </is>
      </c>
      <c r="B964" s="1" t="n">
        <v>44869</v>
      </c>
      <c r="C964" s="1" t="n">
        <v>45258</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51997-2022</t>
        </is>
      </c>
      <c r="B965" s="1" t="n">
        <v>44872</v>
      </c>
      <c r="C965" s="1" t="n">
        <v>45258</v>
      </c>
      <c r="D965" t="inlineStr">
        <is>
          <t>VÄSTERNORRLANDS LÄN</t>
        </is>
      </c>
      <c r="E965" t="inlineStr">
        <is>
          <t>ÅNGE</t>
        </is>
      </c>
      <c r="G965" t="n">
        <v>3.3</v>
      </c>
      <c r="H965" t="n">
        <v>0</v>
      </c>
      <c r="I965" t="n">
        <v>0</v>
      </c>
      <c r="J965" t="n">
        <v>0</v>
      </c>
      <c r="K965" t="n">
        <v>0</v>
      </c>
      <c r="L965" t="n">
        <v>0</v>
      </c>
      <c r="M965" t="n">
        <v>0</v>
      </c>
      <c r="N965" t="n">
        <v>0</v>
      </c>
      <c r="O965" t="n">
        <v>0</v>
      </c>
      <c r="P965" t="n">
        <v>0</v>
      </c>
      <c r="Q965" t="n">
        <v>0</v>
      </c>
      <c r="R965" s="2" t="inlineStr"/>
    </row>
    <row r="966" ht="15" customHeight="1">
      <c r="A966" t="inlineStr">
        <is>
          <t>A 51996-2022</t>
        </is>
      </c>
      <c r="B966" s="1" t="n">
        <v>44872</v>
      </c>
      <c r="C966" s="1" t="n">
        <v>45258</v>
      </c>
      <c r="D966" t="inlineStr">
        <is>
          <t>VÄSTERNORRLANDS LÄN</t>
        </is>
      </c>
      <c r="E966" t="inlineStr">
        <is>
          <t>ÅNGE</t>
        </is>
      </c>
      <c r="G966" t="n">
        <v>2.1</v>
      </c>
      <c r="H966" t="n">
        <v>0</v>
      </c>
      <c r="I966" t="n">
        <v>0</v>
      </c>
      <c r="J966" t="n">
        <v>0</v>
      </c>
      <c r="K966" t="n">
        <v>0</v>
      </c>
      <c r="L966" t="n">
        <v>0</v>
      </c>
      <c r="M966" t="n">
        <v>0</v>
      </c>
      <c r="N966" t="n">
        <v>0</v>
      </c>
      <c r="O966" t="n">
        <v>0</v>
      </c>
      <c r="P966" t="n">
        <v>0</v>
      </c>
      <c r="Q966" t="n">
        <v>0</v>
      </c>
      <c r="R966" s="2" t="inlineStr"/>
    </row>
    <row r="967" ht="15" customHeight="1">
      <c r="A967" t="inlineStr">
        <is>
          <t>A 52015-2022</t>
        </is>
      </c>
      <c r="B967" s="1" t="n">
        <v>44872</v>
      </c>
      <c r="C967" s="1" t="n">
        <v>45258</v>
      </c>
      <c r="D967" t="inlineStr">
        <is>
          <t>VÄSTERNORRLANDS LÄN</t>
        </is>
      </c>
      <c r="E967" t="inlineStr">
        <is>
          <t>ÅNGE</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52182-2022</t>
        </is>
      </c>
      <c r="B968" s="1" t="n">
        <v>44873</v>
      </c>
      <c r="C968" s="1" t="n">
        <v>45258</v>
      </c>
      <c r="D968" t="inlineStr">
        <is>
          <t>VÄSTERNORRLANDS LÄN</t>
        </is>
      </c>
      <c r="E968" t="inlineStr">
        <is>
          <t>ÅNGE</t>
        </is>
      </c>
      <c r="G968" t="n">
        <v>1.3</v>
      </c>
      <c r="H968" t="n">
        <v>0</v>
      </c>
      <c r="I968" t="n">
        <v>0</v>
      </c>
      <c r="J968" t="n">
        <v>0</v>
      </c>
      <c r="K968" t="n">
        <v>0</v>
      </c>
      <c r="L968" t="n">
        <v>0</v>
      </c>
      <c r="M968" t="n">
        <v>0</v>
      </c>
      <c r="N968" t="n">
        <v>0</v>
      </c>
      <c r="O968" t="n">
        <v>0</v>
      </c>
      <c r="P968" t="n">
        <v>0</v>
      </c>
      <c r="Q968" t="n">
        <v>0</v>
      </c>
      <c r="R968" s="2" t="inlineStr"/>
    </row>
    <row r="969" ht="15" customHeight="1">
      <c r="A969" t="inlineStr">
        <is>
          <t>A 52179-2022</t>
        </is>
      </c>
      <c r="B969" s="1" t="n">
        <v>44873</v>
      </c>
      <c r="C969" s="1" t="n">
        <v>45258</v>
      </c>
      <c r="D969" t="inlineStr">
        <is>
          <t>VÄSTERNORRLANDS LÄN</t>
        </is>
      </c>
      <c r="E969" t="inlineStr">
        <is>
          <t>ÅNGE</t>
        </is>
      </c>
      <c r="G969" t="n">
        <v>5.8</v>
      </c>
      <c r="H969" t="n">
        <v>0</v>
      </c>
      <c r="I969" t="n">
        <v>0</v>
      </c>
      <c r="J969" t="n">
        <v>0</v>
      </c>
      <c r="K969" t="n">
        <v>0</v>
      </c>
      <c r="L969" t="n">
        <v>0</v>
      </c>
      <c r="M969" t="n">
        <v>0</v>
      </c>
      <c r="N969" t="n">
        <v>0</v>
      </c>
      <c r="O969" t="n">
        <v>0</v>
      </c>
      <c r="P969" t="n">
        <v>0</v>
      </c>
      <c r="Q969" t="n">
        <v>0</v>
      </c>
      <c r="R969" s="2" t="inlineStr"/>
    </row>
    <row r="970" ht="15" customHeight="1">
      <c r="A970" t="inlineStr">
        <is>
          <t>A 52347-2022</t>
        </is>
      </c>
      <c r="B970" s="1" t="n">
        <v>44873</v>
      </c>
      <c r="C970" s="1" t="n">
        <v>45258</v>
      </c>
      <c r="D970" t="inlineStr">
        <is>
          <t>VÄSTERNORRLANDS LÄN</t>
        </is>
      </c>
      <c r="E970" t="inlineStr">
        <is>
          <t>ÅNGE</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52346-2022</t>
        </is>
      </c>
      <c r="B971" s="1" t="n">
        <v>44873</v>
      </c>
      <c r="C971" s="1" t="n">
        <v>45258</v>
      </c>
      <c r="D971" t="inlineStr">
        <is>
          <t>VÄSTERNORRLANDS LÄN</t>
        </is>
      </c>
      <c r="E971" t="inlineStr">
        <is>
          <t>ÅNGE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53010-2022</t>
        </is>
      </c>
      <c r="B972" s="1" t="n">
        <v>44875</v>
      </c>
      <c r="C972" s="1" t="n">
        <v>45258</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53304-2022</t>
        </is>
      </c>
      <c r="B973" s="1" t="n">
        <v>44878</v>
      </c>
      <c r="C973" s="1" t="n">
        <v>45258</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53439-2022</t>
        </is>
      </c>
      <c r="B974" s="1" t="n">
        <v>44879</v>
      </c>
      <c r="C974" s="1" t="n">
        <v>45258</v>
      </c>
      <c r="D974" t="inlineStr">
        <is>
          <t>VÄSTERNORRLANDS LÄN</t>
        </is>
      </c>
      <c r="E974" t="inlineStr">
        <is>
          <t>ÅNGE</t>
        </is>
      </c>
      <c r="F974" t="inlineStr">
        <is>
          <t>Holmen skog AB</t>
        </is>
      </c>
      <c r="G974" t="n">
        <v>2.3</v>
      </c>
      <c r="H974" t="n">
        <v>0</v>
      </c>
      <c r="I974" t="n">
        <v>0</v>
      </c>
      <c r="J974" t="n">
        <v>0</v>
      </c>
      <c r="K974" t="n">
        <v>0</v>
      </c>
      <c r="L974" t="n">
        <v>0</v>
      </c>
      <c r="M974" t="n">
        <v>0</v>
      </c>
      <c r="N974" t="n">
        <v>0</v>
      </c>
      <c r="O974" t="n">
        <v>0</v>
      </c>
      <c r="P974" t="n">
        <v>0</v>
      </c>
      <c r="Q974" t="n">
        <v>0</v>
      </c>
      <c r="R974" s="2" t="inlineStr"/>
    </row>
    <row r="975" ht="15" customHeight="1">
      <c r="A975" t="inlineStr">
        <is>
          <t>A 53663-2022</t>
        </is>
      </c>
      <c r="B975" s="1" t="n">
        <v>44879</v>
      </c>
      <c r="C975" s="1" t="n">
        <v>45258</v>
      </c>
      <c r="D975" t="inlineStr">
        <is>
          <t>VÄSTERNORRLANDS LÄN</t>
        </is>
      </c>
      <c r="E975" t="inlineStr">
        <is>
          <t>ÅNGE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53664-2022</t>
        </is>
      </c>
      <c r="B976" s="1" t="n">
        <v>44879</v>
      </c>
      <c r="C976" s="1" t="n">
        <v>45258</v>
      </c>
      <c r="D976" t="inlineStr">
        <is>
          <t>VÄSTERNORRLANDS LÄN</t>
        </is>
      </c>
      <c r="E976" t="inlineStr">
        <is>
          <t>ÅNGE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53854-2022</t>
        </is>
      </c>
      <c r="B977" s="1" t="n">
        <v>44880</v>
      </c>
      <c r="C977" s="1" t="n">
        <v>45258</v>
      </c>
      <c r="D977" t="inlineStr">
        <is>
          <t>VÄSTERNORRLANDS LÄN</t>
        </is>
      </c>
      <c r="E977" t="inlineStr">
        <is>
          <t>ÅNGE</t>
        </is>
      </c>
      <c r="G977" t="n">
        <v>2.2</v>
      </c>
      <c r="H977" t="n">
        <v>0</v>
      </c>
      <c r="I977" t="n">
        <v>0</v>
      </c>
      <c r="J977" t="n">
        <v>0</v>
      </c>
      <c r="K977" t="n">
        <v>0</v>
      </c>
      <c r="L977" t="n">
        <v>0</v>
      </c>
      <c r="M977" t="n">
        <v>0</v>
      </c>
      <c r="N977" t="n">
        <v>0</v>
      </c>
      <c r="O977" t="n">
        <v>0</v>
      </c>
      <c r="P977" t="n">
        <v>0</v>
      </c>
      <c r="Q977" t="n">
        <v>0</v>
      </c>
      <c r="R977" s="2" t="inlineStr"/>
    </row>
    <row r="978" ht="15" customHeight="1">
      <c r="A978" t="inlineStr">
        <is>
          <t>A 53950-2022</t>
        </is>
      </c>
      <c r="B978" s="1" t="n">
        <v>44880</v>
      </c>
      <c r="C978" s="1" t="n">
        <v>45258</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54027-2022</t>
        </is>
      </c>
      <c r="B979" s="1" t="n">
        <v>44881</v>
      </c>
      <c r="C979" s="1" t="n">
        <v>45258</v>
      </c>
      <c r="D979" t="inlineStr">
        <is>
          <t>VÄSTERNORRLANDS LÄN</t>
        </is>
      </c>
      <c r="E979" t="inlineStr">
        <is>
          <t>ÅNGE</t>
        </is>
      </c>
      <c r="F979" t="inlineStr">
        <is>
          <t>Holmen skog AB</t>
        </is>
      </c>
      <c r="G979" t="n">
        <v>4.6</v>
      </c>
      <c r="H979" t="n">
        <v>0</v>
      </c>
      <c r="I979" t="n">
        <v>0</v>
      </c>
      <c r="J979" t="n">
        <v>0</v>
      </c>
      <c r="K979" t="n">
        <v>0</v>
      </c>
      <c r="L979" t="n">
        <v>0</v>
      </c>
      <c r="M979" t="n">
        <v>0</v>
      </c>
      <c r="N979" t="n">
        <v>0</v>
      </c>
      <c r="O979" t="n">
        <v>0</v>
      </c>
      <c r="P979" t="n">
        <v>0</v>
      </c>
      <c r="Q979" t="n">
        <v>0</v>
      </c>
      <c r="R979" s="2" t="inlineStr"/>
    </row>
    <row r="980" ht="15" customHeight="1">
      <c r="A980" t="inlineStr">
        <is>
          <t>A 54250-2022</t>
        </is>
      </c>
      <c r="B980" s="1" t="n">
        <v>44881</v>
      </c>
      <c r="C980" s="1" t="n">
        <v>45258</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55007-2022</t>
        </is>
      </c>
      <c r="B981" s="1" t="n">
        <v>44881</v>
      </c>
      <c r="C981" s="1" t="n">
        <v>45258</v>
      </c>
      <c r="D981" t="inlineStr">
        <is>
          <t>VÄSTERNORRLANDS LÄN</t>
        </is>
      </c>
      <c r="E981" t="inlineStr">
        <is>
          <t>ÅNGE</t>
        </is>
      </c>
      <c r="G981" t="n">
        <v>2</v>
      </c>
      <c r="H981" t="n">
        <v>0</v>
      </c>
      <c r="I981" t="n">
        <v>0</v>
      </c>
      <c r="J981" t="n">
        <v>0</v>
      </c>
      <c r="K981" t="n">
        <v>0</v>
      </c>
      <c r="L981" t="n">
        <v>0</v>
      </c>
      <c r="M981" t="n">
        <v>0</v>
      </c>
      <c r="N981" t="n">
        <v>0</v>
      </c>
      <c r="O981" t="n">
        <v>0</v>
      </c>
      <c r="P981" t="n">
        <v>0</v>
      </c>
      <c r="Q981" t="n">
        <v>0</v>
      </c>
      <c r="R981" s="2" t="inlineStr"/>
    </row>
    <row r="982" ht="15" customHeight="1">
      <c r="A982" t="inlineStr">
        <is>
          <t>A 54453-2022</t>
        </is>
      </c>
      <c r="B982" s="1" t="n">
        <v>44882</v>
      </c>
      <c r="C982" s="1" t="n">
        <v>45258</v>
      </c>
      <c r="D982" t="inlineStr">
        <is>
          <t>VÄSTERNORRLANDS LÄN</t>
        </is>
      </c>
      <c r="E982" t="inlineStr">
        <is>
          <t>ÅNGE</t>
        </is>
      </c>
      <c r="G982" t="n">
        <v>22.3</v>
      </c>
      <c r="H982" t="n">
        <v>0</v>
      </c>
      <c r="I982" t="n">
        <v>0</v>
      </c>
      <c r="J982" t="n">
        <v>0</v>
      </c>
      <c r="K982" t="n">
        <v>0</v>
      </c>
      <c r="L982" t="n">
        <v>0</v>
      </c>
      <c r="M982" t="n">
        <v>0</v>
      </c>
      <c r="N982" t="n">
        <v>0</v>
      </c>
      <c r="O982" t="n">
        <v>0</v>
      </c>
      <c r="P982" t="n">
        <v>0</v>
      </c>
      <c r="Q982" t="n">
        <v>0</v>
      </c>
      <c r="R982" s="2" t="inlineStr"/>
    </row>
    <row r="983" ht="15" customHeight="1">
      <c r="A983" t="inlineStr">
        <is>
          <t>A 54575-2022</t>
        </is>
      </c>
      <c r="B983" s="1" t="n">
        <v>44882</v>
      </c>
      <c r="C983" s="1" t="n">
        <v>45258</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54579-2022</t>
        </is>
      </c>
      <c r="B984" s="1" t="n">
        <v>44882</v>
      </c>
      <c r="C984" s="1" t="n">
        <v>45258</v>
      </c>
      <c r="D984" t="inlineStr">
        <is>
          <t>VÄSTERNORRLANDS LÄN</t>
        </is>
      </c>
      <c r="E984" t="inlineStr">
        <is>
          <t>ÅNGE</t>
        </is>
      </c>
      <c r="F984" t="inlineStr">
        <is>
          <t>SCA</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54821-2022</t>
        </is>
      </c>
      <c r="B985" s="1" t="n">
        <v>44883</v>
      </c>
      <c r="C985" s="1" t="n">
        <v>45258</v>
      </c>
      <c r="D985" t="inlineStr">
        <is>
          <t>VÄSTERNORRLANDS LÄN</t>
        </is>
      </c>
      <c r="E985" t="inlineStr">
        <is>
          <t>ÅNGE</t>
        </is>
      </c>
      <c r="G985" t="n">
        <v>7.4</v>
      </c>
      <c r="H985" t="n">
        <v>0</v>
      </c>
      <c r="I985" t="n">
        <v>0</v>
      </c>
      <c r="J985" t="n">
        <v>0</v>
      </c>
      <c r="K985" t="n">
        <v>0</v>
      </c>
      <c r="L985" t="n">
        <v>0</v>
      </c>
      <c r="M985" t="n">
        <v>0</v>
      </c>
      <c r="N985" t="n">
        <v>0</v>
      </c>
      <c r="O985" t="n">
        <v>0</v>
      </c>
      <c r="P985" t="n">
        <v>0</v>
      </c>
      <c r="Q985" t="n">
        <v>0</v>
      </c>
      <c r="R985" s="2" t="inlineStr"/>
    </row>
    <row r="986" ht="15" customHeight="1">
      <c r="A986" t="inlineStr">
        <is>
          <t>A 55197-2022</t>
        </is>
      </c>
      <c r="B986" s="1" t="n">
        <v>44886</v>
      </c>
      <c r="C986" s="1" t="n">
        <v>45258</v>
      </c>
      <c r="D986" t="inlineStr">
        <is>
          <t>VÄSTERNORRLANDS LÄN</t>
        </is>
      </c>
      <c r="E986" t="inlineStr">
        <is>
          <t>ÅNGE</t>
        </is>
      </c>
      <c r="G986" t="n">
        <v>1.4</v>
      </c>
      <c r="H986" t="n">
        <v>0</v>
      </c>
      <c r="I986" t="n">
        <v>0</v>
      </c>
      <c r="J986" t="n">
        <v>0</v>
      </c>
      <c r="K986" t="n">
        <v>0</v>
      </c>
      <c r="L986" t="n">
        <v>0</v>
      </c>
      <c r="M986" t="n">
        <v>0</v>
      </c>
      <c r="N986" t="n">
        <v>0</v>
      </c>
      <c r="O986" t="n">
        <v>0</v>
      </c>
      <c r="P986" t="n">
        <v>0</v>
      </c>
      <c r="Q986" t="n">
        <v>0</v>
      </c>
      <c r="R986" s="2" t="inlineStr"/>
    </row>
    <row r="987" ht="15" customHeight="1">
      <c r="A987" t="inlineStr">
        <is>
          <t>A 55112-2022</t>
        </is>
      </c>
      <c r="B987" s="1" t="n">
        <v>44886</v>
      </c>
      <c r="C987" s="1" t="n">
        <v>45258</v>
      </c>
      <c r="D987" t="inlineStr">
        <is>
          <t>VÄSTERNORRLANDS LÄN</t>
        </is>
      </c>
      <c r="E987" t="inlineStr">
        <is>
          <t>ÅNGE</t>
        </is>
      </c>
      <c r="F987" t="inlineStr">
        <is>
          <t>Holmen skog AB</t>
        </is>
      </c>
      <c r="G987" t="n">
        <v>3.9</v>
      </c>
      <c r="H987" t="n">
        <v>0</v>
      </c>
      <c r="I987" t="n">
        <v>0</v>
      </c>
      <c r="J987" t="n">
        <v>0</v>
      </c>
      <c r="K987" t="n">
        <v>0</v>
      </c>
      <c r="L987" t="n">
        <v>0</v>
      </c>
      <c r="M987" t="n">
        <v>0</v>
      </c>
      <c r="N987" t="n">
        <v>0</v>
      </c>
      <c r="O987" t="n">
        <v>0</v>
      </c>
      <c r="P987" t="n">
        <v>0</v>
      </c>
      <c r="Q987" t="n">
        <v>0</v>
      </c>
      <c r="R987" s="2" t="inlineStr"/>
    </row>
    <row r="988" ht="15" customHeight="1">
      <c r="A988" t="inlineStr">
        <is>
          <t>A 55213-2022</t>
        </is>
      </c>
      <c r="B988" s="1" t="n">
        <v>44887</v>
      </c>
      <c r="C988" s="1" t="n">
        <v>45258</v>
      </c>
      <c r="D988" t="inlineStr">
        <is>
          <t>VÄSTERNORRLANDS LÄN</t>
        </is>
      </c>
      <c r="E988" t="inlineStr">
        <is>
          <t>ÅNGE</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55212-2022</t>
        </is>
      </c>
      <c r="B989" s="1" t="n">
        <v>44886</v>
      </c>
      <c r="C989" s="1" t="n">
        <v>45258</v>
      </c>
      <c r="D989" t="inlineStr">
        <is>
          <t>VÄSTERNORRLANDS LÄN</t>
        </is>
      </c>
      <c r="E989" t="inlineStr">
        <is>
          <t>ÅNGE</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55361-2022</t>
        </is>
      </c>
      <c r="B990" s="1" t="n">
        <v>44887</v>
      </c>
      <c r="C990" s="1" t="n">
        <v>45258</v>
      </c>
      <c r="D990" t="inlineStr">
        <is>
          <t>VÄSTERNORRLANDS LÄN</t>
        </is>
      </c>
      <c r="E990" t="inlineStr">
        <is>
          <t>ÅNGE</t>
        </is>
      </c>
      <c r="G990" t="n">
        <v>2.2</v>
      </c>
      <c r="H990" t="n">
        <v>0</v>
      </c>
      <c r="I990" t="n">
        <v>0</v>
      </c>
      <c r="J990" t="n">
        <v>0</v>
      </c>
      <c r="K990" t="n">
        <v>0</v>
      </c>
      <c r="L990" t="n">
        <v>0</v>
      </c>
      <c r="M990" t="n">
        <v>0</v>
      </c>
      <c r="N990" t="n">
        <v>0</v>
      </c>
      <c r="O990" t="n">
        <v>0</v>
      </c>
      <c r="P990" t="n">
        <v>0</v>
      </c>
      <c r="Q990" t="n">
        <v>0</v>
      </c>
      <c r="R990" s="2" t="inlineStr"/>
    </row>
    <row r="991" ht="15" customHeight="1">
      <c r="A991" t="inlineStr">
        <is>
          <t>A 55526-2022</t>
        </is>
      </c>
      <c r="B991" s="1" t="n">
        <v>44887</v>
      </c>
      <c r="C991" s="1" t="n">
        <v>45258</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55474-2022</t>
        </is>
      </c>
      <c r="B992" s="1" t="n">
        <v>44887</v>
      </c>
      <c r="C992" s="1" t="n">
        <v>45258</v>
      </c>
      <c r="D992" t="inlineStr">
        <is>
          <t>VÄSTERNORRLANDS LÄN</t>
        </is>
      </c>
      <c r="E992" t="inlineStr">
        <is>
          <t>ÅNGE</t>
        </is>
      </c>
      <c r="F992" t="inlineStr">
        <is>
          <t>Holmen skog AB</t>
        </is>
      </c>
      <c r="G992" t="n">
        <v>17.9</v>
      </c>
      <c r="H992" t="n">
        <v>0</v>
      </c>
      <c r="I992" t="n">
        <v>0</v>
      </c>
      <c r="J992" t="n">
        <v>0</v>
      </c>
      <c r="K992" t="n">
        <v>0</v>
      </c>
      <c r="L992" t="n">
        <v>0</v>
      </c>
      <c r="M992" t="n">
        <v>0</v>
      </c>
      <c r="N992" t="n">
        <v>0</v>
      </c>
      <c r="O992" t="n">
        <v>0</v>
      </c>
      <c r="P992" t="n">
        <v>0</v>
      </c>
      <c r="Q992" t="n">
        <v>0</v>
      </c>
      <c r="R992" s="2" t="inlineStr"/>
    </row>
    <row r="993" ht="15" customHeight="1">
      <c r="A993" t="inlineStr">
        <is>
          <t>A 55527-2022</t>
        </is>
      </c>
      <c r="B993" s="1" t="n">
        <v>44887</v>
      </c>
      <c r="C993" s="1" t="n">
        <v>45258</v>
      </c>
      <c r="D993" t="inlineStr">
        <is>
          <t>VÄSTERNORRLANDS LÄN</t>
        </is>
      </c>
      <c r="E993" t="inlineStr">
        <is>
          <t>ÅNGE</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55729-2022</t>
        </is>
      </c>
      <c r="B994" s="1" t="n">
        <v>44888</v>
      </c>
      <c r="C994" s="1" t="n">
        <v>45258</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55754-2022</t>
        </is>
      </c>
      <c r="B995" s="1" t="n">
        <v>44888</v>
      </c>
      <c r="C995" s="1" t="n">
        <v>45258</v>
      </c>
      <c r="D995" t="inlineStr">
        <is>
          <t>VÄSTERNORRLANDS LÄN</t>
        </is>
      </c>
      <c r="E995" t="inlineStr">
        <is>
          <t>ÅNGE</t>
        </is>
      </c>
      <c r="G995" t="n">
        <v>1.6</v>
      </c>
      <c r="H995" t="n">
        <v>0</v>
      </c>
      <c r="I995" t="n">
        <v>0</v>
      </c>
      <c r="J995" t="n">
        <v>0</v>
      </c>
      <c r="K995" t="n">
        <v>0</v>
      </c>
      <c r="L995" t="n">
        <v>0</v>
      </c>
      <c r="M995" t="n">
        <v>0</v>
      </c>
      <c r="N995" t="n">
        <v>0</v>
      </c>
      <c r="O995" t="n">
        <v>0</v>
      </c>
      <c r="P995" t="n">
        <v>0</v>
      </c>
      <c r="Q995" t="n">
        <v>0</v>
      </c>
      <c r="R995" s="2" t="inlineStr"/>
    </row>
    <row r="996" ht="15" customHeight="1">
      <c r="A996" t="inlineStr">
        <is>
          <t>A 55816-2022</t>
        </is>
      </c>
      <c r="B996" s="1" t="n">
        <v>44888</v>
      </c>
      <c r="C996" s="1" t="n">
        <v>45258</v>
      </c>
      <c r="D996" t="inlineStr">
        <is>
          <t>VÄSTERNORRLANDS LÄN</t>
        </is>
      </c>
      <c r="E996" t="inlineStr">
        <is>
          <t>ÅNGE</t>
        </is>
      </c>
      <c r="F996" t="inlineStr">
        <is>
          <t>Holmen skog AB</t>
        </is>
      </c>
      <c r="G996" t="n">
        <v>5.3</v>
      </c>
      <c r="H996" t="n">
        <v>0</v>
      </c>
      <c r="I996" t="n">
        <v>0</v>
      </c>
      <c r="J996" t="n">
        <v>0</v>
      </c>
      <c r="K996" t="n">
        <v>0</v>
      </c>
      <c r="L996" t="n">
        <v>0</v>
      </c>
      <c r="M996" t="n">
        <v>0</v>
      </c>
      <c r="N996" t="n">
        <v>0</v>
      </c>
      <c r="O996" t="n">
        <v>0</v>
      </c>
      <c r="P996" t="n">
        <v>0</v>
      </c>
      <c r="Q996" t="n">
        <v>0</v>
      </c>
      <c r="R996" s="2" t="inlineStr"/>
    </row>
    <row r="997" ht="15" customHeight="1">
      <c r="A997" t="inlineStr">
        <is>
          <t>A 55883-2022</t>
        </is>
      </c>
      <c r="B997" s="1" t="n">
        <v>44888</v>
      </c>
      <c r="C997" s="1" t="n">
        <v>45258</v>
      </c>
      <c r="D997" t="inlineStr">
        <is>
          <t>VÄSTERNORRLANDS LÄN</t>
        </is>
      </c>
      <c r="E997" t="inlineStr">
        <is>
          <t>ÅNGE</t>
        </is>
      </c>
      <c r="G997" t="n">
        <v>4.5</v>
      </c>
      <c r="H997" t="n">
        <v>0</v>
      </c>
      <c r="I997" t="n">
        <v>0</v>
      </c>
      <c r="J997" t="n">
        <v>0</v>
      </c>
      <c r="K997" t="n">
        <v>0</v>
      </c>
      <c r="L997" t="n">
        <v>0</v>
      </c>
      <c r="M997" t="n">
        <v>0</v>
      </c>
      <c r="N997" t="n">
        <v>0</v>
      </c>
      <c r="O997" t="n">
        <v>0</v>
      </c>
      <c r="P997" t="n">
        <v>0</v>
      </c>
      <c r="Q997" t="n">
        <v>0</v>
      </c>
      <c r="R997" s="2" t="inlineStr"/>
    </row>
    <row r="998" ht="15" customHeight="1">
      <c r="A998" t="inlineStr">
        <is>
          <t>A 55882-2022</t>
        </is>
      </c>
      <c r="B998" s="1" t="n">
        <v>44888</v>
      </c>
      <c r="C998" s="1" t="n">
        <v>45258</v>
      </c>
      <c r="D998" t="inlineStr">
        <is>
          <t>VÄSTERNORRLANDS LÄN</t>
        </is>
      </c>
      <c r="E998" t="inlineStr">
        <is>
          <t>ÅNGE</t>
        </is>
      </c>
      <c r="G998" t="n">
        <v>2.7</v>
      </c>
      <c r="H998" t="n">
        <v>0</v>
      </c>
      <c r="I998" t="n">
        <v>0</v>
      </c>
      <c r="J998" t="n">
        <v>0</v>
      </c>
      <c r="K998" t="n">
        <v>0</v>
      </c>
      <c r="L998" t="n">
        <v>0</v>
      </c>
      <c r="M998" t="n">
        <v>0</v>
      </c>
      <c r="N998" t="n">
        <v>0</v>
      </c>
      <c r="O998" t="n">
        <v>0</v>
      </c>
      <c r="P998" t="n">
        <v>0</v>
      </c>
      <c r="Q998" t="n">
        <v>0</v>
      </c>
      <c r="R998" s="2" t="inlineStr"/>
    </row>
    <row r="999" ht="15" customHeight="1">
      <c r="A999" t="inlineStr">
        <is>
          <t>A 55907-2022</t>
        </is>
      </c>
      <c r="B999" s="1" t="n">
        <v>44888</v>
      </c>
      <c r="C999" s="1" t="n">
        <v>45258</v>
      </c>
      <c r="D999" t="inlineStr">
        <is>
          <t>VÄSTERNORRLANDS LÄN</t>
        </is>
      </c>
      <c r="E999" t="inlineStr">
        <is>
          <t>ÅNGE</t>
        </is>
      </c>
      <c r="F999" t="inlineStr">
        <is>
          <t>SCA</t>
        </is>
      </c>
      <c r="G999" t="n">
        <v>8.4</v>
      </c>
      <c r="H999" t="n">
        <v>0</v>
      </c>
      <c r="I999" t="n">
        <v>0</v>
      </c>
      <c r="J999" t="n">
        <v>0</v>
      </c>
      <c r="K999" t="n">
        <v>0</v>
      </c>
      <c r="L999" t="n">
        <v>0</v>
      </c>
      <c r="M999" t="n">
        <v>0</v>
      </c>
      <c r="N999" t="n">
        <v>0</v>
      </c>
      <c r="O999" t="n">
        <v>0</v>
      </c>
      <c r="P999" t="n">
        <v>0</v>
      </c>
      <c r="Q999" t="n">
        <v>0</v>
      </c>
      <c r="R999" s="2" t="inlineStr"/>
    </row>
    <row r="1000" ht="15" customHeight="1">
      <c r="A1000" t="inlineStr">
        <is>
          <t>A 55906-2022</t>
        </is>
      </c>
      <c r="B1000" s="1" t="n">
        <v>44888</v>
      </c>
      <c r="C1000" s="1" t="n">
        <v>45258</v>
      </c>
      <c r="D1000" t="inlineStr">
        <is>
          <t>VÄSTERNORRLANDS LÄN</t>
        </is>
      </c>
      <c r="E1000" t="inlineStr">
        <is>
          <t>ÅNGE</t>
        </is>
      </c>
      <c r="F1000" t="inlineStr">
        <is>
          <t>SCA</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56181-2022</t>
        </is>
      </c>
      <c r="B1001" s="1" t="n">
        <v>44889</v>
      </c>
      <c r="C1001" s="1" t="n">
        <v>45258</v>
      </c>
      <c r="D1001" t="inlineStr">
        <is>
          <t>VÄSTERNORRLANDS LÄN</t>
        </is>
      </c>
      <c r="E1001" t="inlineStr">
        <is>
          <t>ÅNGE</t>
        </is>
      </c>
      <c r="F1001" t="inlineStr">
        <is>
          <t>SCA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55934-2022</t>
        </is>
      </c>
      <c r="B1002" s="1" t="n">
        <v>44889</v>
      </c>
      <c r="C1002" s="1" t="n">
        <v>45258</v>
      </c>
      <c r="D1002" t="inlineStr">
        <is>
          <t>VÄSTERNORRLANDS LÄN</t>
        </is>
      </c>
      <c r="E1002" t="inlineStr">
        <is>
          <t>ÅNGE</t>
        </is>
      </c>
      <c r="F1002" t="inlineStr">
        <is>
          <t>Holmen skog AB</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56399-2022</t>
        </is>
      </c>
      <c r="B1003" s="1" t="n">
        <v>44890</v>
      </c>
      <c r="C1003" s="1" t="n">
        <v>45258</v>
      </c>
      <c r="D1003" t="inlineStr">
        <is>
          <t>VÄSTERNORRLANDS LÄN</t>
        </is>
      </c>
      <c r="E1003" t="inlineStr">
        <is>
          <t>ÅNGE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56403-2022</t>
        </is>
      </c>
      <c r="B1004" s="1" t="n">
        <v>44890</v>
      </c>
      <c r="C1004" s="1" t="n">
        <v>45258</v>
      </c>
      <c r="D1004" t="inlineStr">
        <is>
          <t>VÄSTERNORRLANDS LÄN</t>
        </is>
      </c>
      <c r="E1004" t="inlineStr">
        <is>
          <t>ÅNGE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56400-2022</t>
        </is>
      </c>
      <c r="B1005" s="1" t="n">
        <v>44890</v>
      </c>
      <c r="C1005" s="1" t="n">
        <v>45258</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56401-2022</t>
        </is>
      </c>
      <c r="B1006" s="1" t="n">
        <v>44890</v>
      </c>
      <c r="C1006" s="1" t="n">
        <v>45258</v>
      </c>
      <c r="D1006" t="inlineStr">
        <is>
          <t>VÄSTERNORRLANDS LÄN</t>
        </is>
      </c>
      <c r="E1006" t="inlineStr">
        <is>
          <t>ÅNGE</t>
        </is>
      </c>
      <c r="F1006" t="inlineStr">
        <is>
          <t>SCA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56591-2022</t>
        </is>
      </c>
      <c r="B1007" s="1" t="n">
        <v>44893</v>
      </c>
      <c r="C1007" s="1" t="n">
        <v>45258</v>
      </c>
      <c r="D1007" t="inlineStr">
        <is>
          <t>VÄSTERNORRLANDS LÄN</t>
        </is>
      </c>
      <c r="E1007" t="inlineStr">
        <is>
          <t>ÅNGE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56666-2022</t>
        </is>
      </c>
      <c r="B1008" s="1" t="n">
        <v>44893</v>
      </c>
      <c r="C1008" s="1" t="n">
        <v>45258</v>
      </c>
      <c r="D1008" t="inlineStr">
        <is>
          <t>VÄSTERNORRLANDS LÄN</t>
        </is>
      </c>
      <c r="E1008" t="inlineStr">
        <is>
          <t>ÅNGE</t>
        </is>
      </c>
      <c r="F1008" t="inlineStr">
        <is>
          <t>Holmen skog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56731-2022</t>
        </is>
      </c>
      <c r="B1009" s="1" t="n">
        <v>44893</v>
      </c>
      <c r="C1009" s="1" t="n">
        <v>45258</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56775-2022</t>
        </is>
      </c>
      <c r="B1010" s="1" t="n">
        <v>44894</v>
      </c>
      <c r="C1010" s="1" t="n">
        <v>45258</v>
      </c>
      <c r="D1010" t="inlineStr">
        <is>
          <t>VÄSTERNORRLANDS LÄN</t>
        </is>
      </c>
      <c r="E1010" t="inlineStr">
        <is>
          <t>ÅNGE</t>
        </is>
      </c>
      <c r="F1010" t="inlineStr">
        <is>
          <t>Holmen skog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56946-2022</t>
        </is>
      </c>
      <c r="B1011" s="1" t="n">
        <v>44894</v>
      </c>
      <c r="C1011" s="1" t="n">
        <v>45258</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56956-2022</t>
        </is>
      </c>
      <c r="B1012" s="1" t="n">
        <v>44894</v>
      </c>
      <c r="C1012" s="1" t="n">
        <v>45258</v>
      </c>
      <c r="D1012" t="inlineStr">
        <is>
          <t>VÄSTERNORRLANDS LÄN</t>
        </is>
      </c>
      <c r="E1012" t="inlineStr">
        <is>
          <t>ÅNGE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57289-2022</t>
        </is>
      </c>
      <c r="B1013" s="1" t="n">
        <v>44895</v>
      </c>
      <c r="C1013" s="1" t="n">
        <v>45258</v>
      </c>
      <c r="D1013" t="inlineStr">
        <is>
          <t>VÄSTERNORRLANDS LÄN</t>
        </is>
      </c>
      <c r="E1013" t="inlineStr">
        <is>
          <t>ÅNGE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57250-2022</t>
        </is>
      </c>
      <c r="B1014" s="1" t="n">
        <v>44895</v>
      </c>
      <c r="C1014" s="1" t="n">
        <v>45258</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57287-2022</t>
        </is>
      </c>
      <c r="B1015" s="1" t="n">
        <v>44895</v>
      </c>
      <c r="C1015" s="1" t="n">
        <v>45258</v>
      </c>
      <c r="D1015" t="inlineStr">
        <is>
          <t>VÄSTERNORRLANDS LÄN</t>
        </is>
      </c>
      <c r="E1015" t="inlineStr">
        <is>
          <t>ÅNGE</t>
        </is>
      </c>
      <c r="F1015" t="inlineStr">
        <is>
          <t>SCA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57286-2022</t>
        </is>
      </c>
      <c r="B1016" s="1" t="n">
        <v>44895</v>
      </c>
      <c r="C1016" s="1" t="n">
        <v>45258</v>
      </c>
      <c r="D1016" t="inlineStr">
        <is>
          <t>VÄSTERNORRLANDS LÄN</t>
        </is>
      </c>
      <c r="E1016" t="inlineStr">
        <is>
          <t>ÅNGE</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57291-2022</t>
        </is>
      </c>
      <c r="B1017" s="1" t="n">
        <v>44895</v>
      </c>
      <c r="C1017" s="1" t="n">
        <v>45258</v>
      </c>
      <c r="D1017" t="inlineStr">
        <is>
          <t>VÄSTERNORRLANDS LÄN</t>
        </is>
      </c>
      <c r="E1017" t="inlineStr">
        <is>
          <t>ÅNGE</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57288-2022</t>
        </is>
      </c>
      <c r="B1018" s="1" t="n">
        <v>44895</v>
      </c>
      <c r="C1018" s="1" t="n">
        <v>45258</v>
      </c>
      <c r="D1018" t="inlineStr">
        <is>
          <t>VÄSTERNORRLANDS LÄN</t>
        </is>
      </c>
      <c r="E1018" t="inlineStr">
        <is>
          <t>ÅNGE</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57592-2022</t>
        </is>
      </c>
      <c r="B1019" s="1" t="n">
        <v>44897</v>
      </c>
      <c r="C1019" s="1" t="n">
        <v>45258</v>
      </c>
      <c r="D1019" t="inlineStr">
        <is>
          <t>VÄSTERNORRLANDS LÄN</t>
        </is>
      </c>
      <c r="E1019" t="inlineStr">
        <is>
          <t>ÅNGE</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57596-2022</t>
        </is>
      </c>
      <c r="B1020" s="1" t="n">
        <v>44897</v>
      </c>
      <c r="C1020" s="1" t="n">
        <v>45258</v>
      </c>
      <c r="D1020" t="inlineStr">
        <is>
          <t>VÄSTERNORRLANDS LÄN</t>
        </is>
      </c>
      <c r="E1020" t="inlineStr">
        <is>
          <t>ÅNGE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57601-2022</t>
        </is>
      </c>
      <c r="B1021" s="1" t="n">
        <v>44896</v>
      </c>
      <c r="C1021" s="1" t="n">
        <v>45258</v>
      </c>
      <c r="D1021" t="inlineStr">
        <is>
          <t>VÄSTERNORRLANDS LÄN</t>
        </is>
      </c>
      <c r="E1021" t="inlineStr">
        <is>
          <t>ÅNGE</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57593-2022</t>
        </is>
      </c>
      <c r="B1022" s="1" t="n">
        <v>44897</v>
      </c>
      <c r="C1022" s="1" t="n">
        <v>45258</v>
      </c>
      <c r="D1022" t="inlineStr">
        <is>
          <t>VÄSTERNORRLANDS LÄN</t>
        </is>
      </c>
      <c r="E1022" t="inlineStr">
        <is>
          <t>ÅNGE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57602-2022</t>
        </is>
      </c>
      <c r="B1023" s="1" t="n">
        <v>44896</v>
      </c>
      <c r="C1023" s="1" t="n">
        <v>45258</v>
      </c>
      <c r="D1023" t="inlineStr">
        <is>
          <t>VÄSTERNORRLANDS LÄN</t>
        </is>
      </c>
      <c r="E1023" t="inlineStr">
        <is>
          <t>ÅNGE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57591-2022</t>
        </is>
      </c>
      <c r="B1024" s="1" t="n">
        <v>44897</v>
      </c>
      <c r="C1024" s="1" t="n">
        <v>45258</v>
      </c>
      <c r="D1024" t="inlineStr">
        <is>
          <t>VÄSTERNORRLANDS LÄN</t>
        </is>
      </c>
      <c r="E1024" t="inlineStr">
        <is>
          <t>ÅNGE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57595-2022</t>
        </is>
      </c>
      <c r="B1025" s="1" t="n">
        <v>44897</v>
      </c>
      <c r="C1025" s="1" t="n">
        <v>45258</v>
      </c>
      <c r="D1025" t="inlineStr">
        <is>
          <t>VÄSTERNORRLANDS LÄN</t>
        </is>
      </c>
      <c r="E1025" t="inlineStr">
        <is>
          <t>ÅNGE</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57598-2022</t>
        </is>
      </c>
      <c r="B1026" s="1" t="n">
        <v>44896</v>
      </c>
      <c r="C1026" s="1" t="n">
        <v>45258</v>
      </c>
      <c r="D1026" t="inlineStr">
        <is>
          <t>VÄSTERNORRLANDS LÄN</t>
        </is>
      </c>
      <c r="E1026" t="inlineStr">
        <is>
          <t>ÅNGE</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57636-2022</t>
        </is>
      </c>
      <c r="B1027" s="1" t="n">
        <v>44897</v>
      </c>
      <c r="C1027" s="1" t="n">
        <v>45258</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57846-2022</t>
        </is>
      </c>
      <c r="B1028" s="1" t="n">
        <v>44897</v>
      </c>
      <c r="C1028" s="1" t="n">
        <v>45258</v>
      </c>
      <c r="D1028" t="inlineStr">
        <is>
          <t>VÄSTERNORRLANDS LÄN</t>
        </is>
      </c>
      <c r="E1028" t="inlineStr">
        <is>
          <t>ÅNGE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58275-2022</t>
        </is>
      </c>
      <c r="B1029" s="1" t="n">
        <v>44901</v>
      </c>
      <c r="C1029" s="1" t="n">
        <v>45258</v>
      </c>
      <c r="D1029" t="inlineStr">
        <is>
          <t>VÄSTERNORRLANDS LÄN</t>
        </is>
      </c>
      <c r="E1029" t="inlineStr">
        <is>
          <t>ÅNGE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58445-2022</t>
        </is>
      </c>
      <c r="B1030" s="1" t="n">
        <v>44901</v>
      </c>
      <c r="C1030" s="1" t="n">
        <v>45258</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58444-2022</t>
        </is>
      </c>
      <c r="B1031" s="1" t="n">
        <v>44901</v>
      </c>
      <c r="C1031" s="1" t="n">
        <v>45258</v>
      </c>
      <c r="D1031" t="inlineStr">
        <is>
          <t>VÄSTERNORRLANDS LÄN</t>
        </is>
      </c>
      <c r="E1031" t="inlineStr">
        <is>
          <t>ÅNGE</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58469-2022</t>
        </is>
      </c>
      <c r="B1032" s="1" t="n">
        <v>44902</v>
      </c>
      <c r="C1032" s="1" t="n">
        <v>45258</v>
      </c>
      <c r="D1032" t="inlineStr">
        <is>
          <t>VÄSTERNORRLANDS LÄN</t>
        </is>
      </c>
      <c r="E1032" t="inlineStr">
        <is>
          <t>ÅNGE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58943-2022</t>
        </is>
      </c>
      <c r="B1033" s="1" t="n">
        <v>44903</v>
      </c>
      <c r="C1033" s="1" t="n">
        <v>45258</v>
      </c>
      <c r="D1033" t="inlineStr">
        <is>
          <t>VÄSTERNORRLANDS LÄN</t>
        </is>
      </c>
      <c r="E1033" t="inlineStr">
        <is>
          <t>ÅNGE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59520-2022</t>
        </is>
      </c>
      <c r="B1034" s="1" t="n">
        <v>44907</v>
      </c>
      <c r="C1034" s="1" t="n">
        <v>45258</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59626-2022</t>
        </is>
      </c>
      <c r="B1035" s="1" t="n">
        <v>44907</v>
      </c>
      <c r="C1035" s="1" t="n">
        <v>45258</v>
      </c>
      <c r="D1035" t="inlineStr">
        <is>
          <t>VÄSTERNORRLANDS LÄN</t>
        </is>
      </c>
      <c r="E1035" t="inlineStr">
        <is>
          <t>ÅNGE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60369-2022</t>
        </is>
      </c>
      <c r="B1036" s="1" t="n">
        <v>44910</v>
      </c>
      <c r="C1036" s="1" t="n">
        <v>45258</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60658-2022</t>
        </is>
      </c>
      <c r="B1037" s="1" t="n">
        <v>44911</v>
      </c>
      <c r="C1037" s="1" t="n">
        <v>45258</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60770-2022</t>
        </is>
      </c>
      <c r="B1038" s="1" t="n">
        <v>44914</v>
      </c>
      <c r="C1038" s="1" t="n">
        <v>45258</v>
      </c>
      <c r="D1038" t="inlineStr">
        <is>
          <t>VÄSTERNORRLANDS LÄN</t>
        </is>
      </c>
      <c r="E1038" t="inlineStr">
        <is>
          <t>ÅNGE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60860-2022</t>
        </is>
      </c>
      <c r="B1039" s="1" t="n">
        <v>44914</v>
      </c>
      <c r="C1039" s="1" t="n">
        <v>45258</v>
      </c>
      <c r="D1039" t="inlineStr">
        <is>
          <t>VÄSTERNORRLANDS LÄN</t>
        </is>
      </c>
      <c r="E1039" t="inlineStr">
        <is>
          <t>ÅNGE</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61585-2022</t>
        </is>
      </c>
      <c r="B1040" s="1" t="n">
        <v>44916</v>
      </c>
      <c r="C1040" s="1" t="n">
        <v>45258</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62261-2022</t>
        </is>
      </c>
      <c r="B1041" s="1" t="n">
        <v>44922</v>
      </c>
      <c r="C1041" s="1" t="n">
        <v>45258</v>
      </c>
      <c r="D1041" t="inlineStr">
        <is>
          <t>VÄSTERNORRLANDS LÄN</t>
        </is>
      </c>
      <c r="E1041" t="inlineStr">
        <is>
          <t>ÅNGE</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62290-2022</t>
        </is>
      </c>
      <c r="B1042" s="1" t="n">
        <v>44923</v>
      </c>
      <c r="C1042" s="1" t="n">
        <v>45258</v>
      </c>
      <c r="D1042" t="inlineStr">
        <is>
          <t>VÄSTERNORRLANDS LÄN</t>
        </is>
      </c>
      <c r="E1042" t="inlineStr">
        <is>
          <t>ÅNGE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62441-2022</t>
        </is>
      </c>
      <c r="B1043" s="1" t="n">
        <v>44924</v>
      </c>
      <c r="C1043" s="1" t="n">
        <v>45258</v>
      </c>
      <c r="D1043" t="inlineStr">
        <is>
          <t>VÄSTERNORRLANDS LÄN</t>
        </is>
      </c>
      <c r="E1043" t="inlineStr">
        <is>
          <t>ÅNGE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62438-2022</t>
        </is>
      </c>
      <c r="B1044" s="1" t="n">
        <v>44924</v>
      </c>
      <c r="C1044" s="1" t="n">
        <v>45258</v>
      </c>
      <c r="D1044" t="inlineStr">
        <is>
          <t>VÄSTERNORRLANDS LÄN</t>
        </is>
      </c>
      <c r="E1044" t="inlineStr">
        <is>
          <t>ÅNGE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1116-2023</t>
        </is>
      </c>
      <c r="B1045" s="1" t="n">
        <v>44929</v>
      </c>
      <c r="C1045" s="1" t="n">
        <v>45258</v>
      </c>
      <c r="D1045" t="inlineStr">
        <is>
          <t>VÄSTERNORRLANDS LÄN</t>
        </is>
      </c>
      <c r="E1045" t="inlineStr">
        <is>
          <t>ÅNGE</t>
        </is>
      </c>
      <c r="G1045" t="n">
        <v>17.2</v>
      </c>
      <c r="H1045" t="n">
        <v>0</v>
      </c>
      <c r="I1045" t="n">
        <v>0</v>
      </c>
      <c r="J1045" t="n">
        <v>0</v>
      </c>
      <c r="K1045" t="n">
        <v>0</v>
      </c>
      <c r="L1045" t="n">
        <v>0</v>
      </c>
      <c r="M1045" t="n">
        <v>0</v>
      </c>
      <c r="N1045" t="n">
        <v>0</v>
      </c>
      <c r="O1045" t="n">
        <v>0</v>
      </c>
      <c r="P1045" t="n">
        <v>0</v>
      </c>
      <c r="Q1045" t="n">
        <v>0</v>
      </c>
      <c r="R1045" s="2" t="inlineStr"/>
    </row>
    <row r="1046" ht="15" customHeight="1">
      <c r="A1046" t="inlineStr">
        <is>
          <t>A 1103-2023</t>
        </is>
      </c>
      <c r="B1046" s="1" t="n">
        <v>44929</v>
      </c>
      <c r="C1046" s="1" t="n">
        <v>45258</v>
      </c>
      <c r="D1046" t="inlineStr">
        <is>
          <t>VÄSTERNORRLANDS LÄN</t>
        </is>
      </c>
      <c r="E1046" t="inlineStr">
        <is>
          <t>ÅNGE</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1090-2023</t>
        </is>
      </c>
      <c r="B1047" s="1" t="n">
        <v>44929</v>
      </c>
      <c r="C1047" s="1" t="n">
        <v>45258</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482-2023</t>
        </is>
      </c>
      <c r="B1048" s="1" t="n">
        <v>44929</v>
      </c>
      <c r="C1048" s="1" t="n">
        <v>45258</v>
      </c>
      <c r="D1048" t="inlineStr">
        <is>
          <t>VÄSTERNORRLANDS LÄN</t>
        </is>
      </c>
      <c r="E1048" t="inlineStr">
        <is>
          <t>ÅNGE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1127-2023</t>
        </is>
      </c>
      <c r="B1049" s="1" t="n">
        <v>44929</v>
      </c>
      <c r="C1049" s="1" t="n">
        <v>45258</v>
      </c>
      <c r="D1049" t="inlineStr">
        <is>
          <t>VÄSTERNORRLANDS LÄN</t>
        </is>
      </c>
      <c r="E1049" t="inlineStr">
        <is>
          <t>ÅNGE</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1095-2023</t>
        </is>
      </c>
      <c r="B1050" s="1" t="n">
        <v>44929</v>
      </c>
      <c r="C1050" s="1" t="n">
        <v>45258</v>
      </c>
      <c r="D1050" t="inlineStr">
        <is>
          <t>VÄSTERNORRLANDS LÄN</t>
        </is>
      </c>
      <c r="E1050" t="inlineStr">
        <is>
          <t>ÅNGE</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723-2023</t>
        </is>
      </c>
      <c r="B1051" s="1" t="n">
        <v>44930</v>
      </c>
      <c r="C1051" s="1" t="n">
        <v>45258</v>
      </c>
      <c r="D1051" t="inlineStr">
        <is>
          <t>VÄSTERNORRLANDS LÄN</t>
        </is>
      </c>
      <c r="E1051" t="inlineStr">
        <is>
          <t>ÅNGE</t>
        </is>
      </c>
      <c r="F1051" t="inlineStr">
        <is>
          <t>SCA</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721-2023</t>
        </is>
      </c>
      <c r="B1052" s="1" t="n">
        <v>44930</v>
      </c>
      <c r="C1052" s="1" t="n">
        <v>45258</v>
      </c>
      <c r="D1052" t="inlineStr">
        <is>
          <t>VÄSTERNORRLANDS LÄN</t>
        </is>
      </c>
      <c r="E1052" t="inlineStr">
        <is>
          <t>ÅNGE</t>
        </is>
      </c>
      <c r="F1052" t="inlineStr">
        <is>
          <t>SCA</t>
        </is>
      </c>
      <c r="G1052" t="n">
        <v>23.6</v>
      </c>
      <c r="H1052" t="n">
        <v>0</v>
      </c>
      <c r="I1052" t="n">
        <v>0</v>
      </c>
      <c r="J1052" t="n">
        <v>0</v>
      </c>
      <c r="K1052" t="n">
        <v>0</v>
      </c>
      <c r="L1052" t="n">
        <v>0</v>
      </c>
      <c r="M1052" t="n">
        <v>0</v>
      </c>
      <c r="N1052" t="n">
        <v>0</v>
      </c>
      <c r="O1052" t="n">
        <v>0</v>
      </c>
      <c r="P1052" t="n">
        <v>0</v>
      </c>
      <c r="Q1052" t="n">
        <v>0</v>
      </c>
      <c r="R1052" s="2" t="inlineStr"/>
    </row>
    <row r="1053" ht="15" customHeight="1">
      <c r="A1053" t="inlineStr">
        <is>
          <t>A 722-2023</t>
        </is>
      </c>
      <c r="B1053" s="1" t="n">
        <v>44930</v>
      </c>
      <c r="C1053" s="1" t="n">
        <v>45258</v>
      </c>
      <c r="D1053" t="inlineStr">
        <is>
          <t>VÄSTERNORRLANDS LÄN</t>
        </is>
      </c>
      <c r="E1053" t="inlineStr">
        <is>
          <t>ÅNGE</t>
        </is>
      </c>
      <c r="F1053" t="inlineStr">
        <is>
          <t>SCA</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720-2023</t>
        </is>
      </c>
      <c r="B1054" s="1" t="n">
        <v>44930</v>
      </c>
      <c r="C1054" s="1" t="n">
        <v>45258</v>
      </c>
      <c r="D1054" t="inlineStr">
        <is>
          <t>VÄSTERNORRLANDS LÄN</t>
        </is>
      </c>
      <c r="E1054" t="inlineStr">
        <is>
          <t>ÅNGE</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732-2023</t>
        </is>
      </c>
      <c r="B1055" s="1" t="n">
        <v>44931</v>
      </c>
      <c r="C1055" s="1" t="n">
        <v>45258</v>
      </c>
      <c r="D1055" t="inlineStr">
        <is>
          <t>VÄSTERNORRLANDS LÄN</t>
        </is>
      </c>
      <c r="E1055" t="inlineStr">
        <is>
          <t>ÅNGE</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1235-2023</t>
        </is>
      </c>
      <c r="B1056" s="1" t="n">
        <v>44935</v>
      </c>
      <c r="C1056" s="1" t="n">
        <v>45258</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1412-2023</t>
        </is>
      </c>
      <c r="B1057" s="1" t="n">
        <v>44936</v>
      </c>
      <c r="C1057" s="1" t="n">
        <v>45258</v>
      </c>
      <c r="D1057" t="inlineStr">
        <is>
          <t>VÄSTERNORRLANDS LÄN</t>
        </is>
      </c>
      <c r="E1057" t="inlineStr">
        <is>
          <t>ÅNGE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1420-2023</t>
        </is>
      </c>
      <c r="B1058" s="1" t="n">
        <v>44936</v>
      </c>
      <c r="C1058" s="1" t="n">
        <v>45258</v>
      </c>
      <c r="D1058" t="inlineStr">
        <is>
          <t>VÄSTERNORRLANDS LÄN</t>
        </is>
      </c>
      <c r="E1058" t="inlineStr">
        <is>
          <t>ÅNGE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1769-2023</t>
        </is>
      </c>
      <c r="B1059" s="1" t="n">
        <v>44938</v>
      </c>
      <c r="C1059" s="1" t="n">
        <v>45258</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1775-2023</t>
        </is>
      </c>
      <c r="B1060" s="1" t="n">
        <v>44938</v>
      </c>
      <c r="C1060" s="1" t="n">
        <v>45258</v>
      </c>
      <c r="D1060" t="inlineStr">
        <is>
          <t>VÄSTERNORRLANDS LÄN</t>
        </is>
      </c>
      <c r="E1060" t="inlineStr">
        <is>
          <t>ÅNGE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2140-2023</t>
        </is>
      </c>
      <c r="B1061" s="1" t="n">
        <v>44940</v>
      </c>
      <c r="C1061" s="1" t="n">
        <v>45258</v>
      </c>
      <c r="D1061" t="inlineStr">
        <is>
          <t>VÄSTERNORRLANDS LÄN</t>
        </is>
      </c>
      <c r="E1061" t="inlineStr">
        <is>
          <t>ÅNGE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3022-2023</t>
        </is>
      </c>
      <c r="B1062" s="1" t="n">
        <v>44945</v>
      </c>
      <c r="C1062" s="1" t="n">
        <v>45258</v>
      </c>
      <c r="D1062" t="inlineStr">
        <is>
          <t>VÄSTERNORRLANDS LÄN</t>
        </is>
      </c>
      <c r="E1062" t="inlineStr">
        <is>
          <t>ÅNGE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3023-2023</t>
        </is>
      </c>
      <c r="B1063" s="1" t="n">
        <v>44945</v>
      </c>
      <c r="C1063" s="1" t="n">
        <v>45258</v>
      </c>
      <c r="D1063" t="inlineStr">
        <is>
          <t>VÄSTERNORRLANDS LÄN</t>
        </is>
      </c>
      <c r="E1063" t="inlineStr">
        <is>
          <t>ÅNGE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3025-2023</t>
        </is>
      </c>
      <c r="B1064" s="1" t="n">
        <v>44945</v>
      </c>
      <c r="C1064" s="1" t="n">
        <v>45258</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3323-2023</t>
        </is>
      </c>
      <c r="B1065" s="1" t="n">
        <v>44945</v>
      </c>
      <c r="C1065" s="1" t="n">
        <v>45258</v>
      </c>
      <c r="D1065" t="inlineStr">
        <is>
          <t>VÄSTERNORRLANDS LÄN</t>
        </is>
      </c>
      <c r="E1065" t="inlineStr">
        <is>
          <t>ÅNGE</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3362-2023</t>
        </is>
      </c>
      <c r="B1066" s="1" t="n">
        <v>44945</v>
      </c>
      <c r="C1066" s="1" t="n">
        <v>45258</v>
      </c>
      <c r="D1066" t="inlineStr">
        <is>
          <t>VÄSTERNORRLANDS LÄN</t>
        </is>
      </c>
      <c r="E1066" t="inlineStr">
        <is>
          <t>ÅNGE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3631-2023</t>
        </is>
      </c>
      <c r="B1067" s="1" t="n">
        <v>44950</v>
      </c>
      <c r="C1067" s="1" t="n">
        <v>45258</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3629-2023</t>
        </is>
      </c>
      <c r="B1068" s="1" t="n">
        <v>44950</v>
      </c>
      <c r="C1068" s="1" t="n">
        <v>45258</v>
      </c>
      <c r="D1068" t="inlineStr">
        <is>
          <t>VÄSTERNORRLANDS LÄN</t>
        </is>
      </c>
      <c r="E1068" t="inlineStr">
        <is>
          <t>ÅNGE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3686-2023</t>
        </is>
      </c>
      <c r="B1069" s="1" t="n">
        <v>44950</v>
      </c>
      <c r="C1069" s="1" t="n">
        <v>45258</v>
      </c>
      <c r="D1069" t="inlineStr">
        <is>
          <t>VÄSTERNORRLANDS LÄN</t>
        </is>
      </c>
      <c r="E1069" t="inlineStr">
        <is>
          <t>ÅNGE</t>
        </is>
      </c>
      <c r="F1069" t="inlineStr">
        <is>
          <t>SCA</t>
        </is>
      </c>
      <c r="G1069" t="n">
        <v>11.5</v>
      </c>
      <c r="H1069" t="n">
        <v>0</v>
      </c>
      <c r="I1069" t="n">
        <v>0</v>
      </c>
      <c r="J1069" t="n">
        <v>0</v>
      </c>
      <c r="K1069" t="n">
        <v>0</v>
      </c>
      <c r="L1069" t="n">
        <v>0</v>
      </c>
      <c r="M1069" t="n">
        <v>0</v>
      </c>
      <c r="N1069" t="n">
        <v>0</v>
      </c>
      <c r="O1069" t="n">
        <v>0</v>
      </c>
      <c r="P1069" t="n">
        <v>0</v>
      </c>
      <c r="Q1069" t="n">
        <v>0</v>
      </c>
      <c r="R1069" s="2" t="inlineStr"/>
    </row>
    <row r="1070" ht="15" customHeight="1">
      <c r="A1070" t="inlineStr">
        <is>
          <t>A 4095-2023</t>
        </is>
      </c>
      <c r="B1070" s="1" t="n">
        <v>44952</v>
      </c>
      <c r="C1070" s="1" t="n">
        <v>45258</v>
      </c>
      <c r="D1070" t="inlineStr">
        <is>
          <t>VÄSTERNORRLANDS LÄN</t>
        </is>
      </c>
      <c r="E1070" t="inlineStr">
        <is>
          <t>ÅNGE</t>
        </is>
      </c>
      <c r="G1070" t="n">
        <v>13.4</v>
      </c>
      <c r="H1070" t="n">
        <v>0</v>
      </c>
      <c r="I1070" t="n">
        <v>0</v>
      </c>
      <c r="J1070" t="n">
        <v>0</v>
      </c>
      <c r="K1070" t="n">
        <v>0</v>
      </c>
      <c r="L1070" t="n">
        <v>0</v>
      </c>
      <c r="M1070" t="n">
        <v>0</v>
      </c>
      <c r="N1070" t="n">
        <v>0</v>
      </c>
      <c r="O1070" t="n">
        <v>0</v>
      </c>
      <c r="P1070" t="n">
        <v>0</v>
      </c>
      <c r="Q1070" t="n">
        <v>0</v>
      </c>
      <c r="R1070" s="2" t="inlineStr"/>
    </row>
    <row r="1071" ht="15" customHeight="1">
      <c r="A1071" t="inlineStr">
        <is>
          <t>A 4727-2023</t>
        </is>
      </c>
      <c r="B1071" s="1" t="n">
        <v>44953</v>
      </c>
      <c r="C1071" s="1" t="n">
        <v>45258</v>
      </c>
      <c r="D1071" t="inlineStr">
        <is>
          <t>VÄSTERNORRLANDS LÄN</t>
        </is>
      </c>
      <c r="E1071" t="inlineStr">
        <is>
          <t>ÅNGE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4876-2023</t>
        </is>
      </c>
      <c r="B1072" s="1" t="n">
        <v>44957</v>
      </c>
      <c r="C1072" s="1" t="n">
        <v>45258</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4877-2023</t>
        </is>
      </c>
      <c r="B1073" s="1" t="n">
        <v>44957</v>
      </c>
      <c r="C1073" s="1" t="n">
        <v>45258</v>
      </c>
      <c r="D1073" t="inlineStr">
        <is>
          <t>VÄSTERNORRLANDS LÄN</t>
        </is>
      </c>
      <c r="E1073" t="inlineStr">
        <is>
          <t>ÅNGE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4883-2023</t>
        </is>
      </c>
      <c r="B1074" s="1" t="n">
        <v>44957</v>
      </c>
      <c r="C1074" s="1" t="n">
        <v>45258</v>
      </c>
      <c r="D1074" t="inlineStr">
        <is>
          <t>VÄSTERNORRLANDS LÄN</t>
        </is>
      </c>
      <c r="E1074" t="inlineStr">
        <is>
          <t>ÅNGE</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5083-2023</t>
        </is>
      </c>
      <c r="B1075" s="1" t="n">
        <v>44958</v>
      </c>
      <c r="C1075" s="1" t="n">
        <v>45258</v>
      </c>
      <c r="D1075" t="inlineStr">
        <is>
          <t>VÄSTERNORRLANDS LÄN</t>
        </is>
      </c>
      <c r="E1075" t="inlineStr">
        <is>
          <t>ÅNGE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5455-2023</t>
        </is>
      </c>
      <c r="B1076" s="1" t="n">
        <v>44959</v>
      </c>
      <c r="C1076" s="1" t="n">
        <v>45258</v>
      </c>
      <c r="D1076" t="inlineStr">
        <is>
          <t>VÄSTERNORRLANDS LÄN</t>
        </is>
      </c>
      <c r="E1076" t="inlineStr">
        <is>
          <t>ÅNGE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5868-2023</t>
        </is>
      </c>
      <c r="B1077" s="1" t="n">
        <v>44963</v>
      </c>
      <c r="C1077" s="1" t="n">
        <v>45258</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6179-2023</t>
        </is>
      </c>
      <c r="B1078" s="1" t="n">
        <v>44964</v>
      </c>
      <c r="C1078" s="1" t="n">
        <v>45258</v>
      </c>
      <c r="D1078" t="inlineStr">
        <is>
          <t>VÄSTERNORRLANDS LÄN</t>
        </is>
      </c>
      <c r="E1078" t="inlineStr">
        <is>
          <t>ÅNGE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6186-2023</t>
        </is>
      </c>
      <c r="B1079" s="1" t="n">
        <v>44964</v>
      </c>
      <c r="C1079" s="1" t="n">
        <v>45258</v>
      </c>
      <c r="D1079" t="inlineStr">
        <is>
          <t>VÄSTERNORRLANDS LÄN</t>
        </is>
      </c>
      <c r="E1079" t="inlineStr">
        <is>
          <t>ÅNGE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6790-2023</t>
        </is>
      </c>
      <c r="B1080" s="1" t="n">
        <v>44966</v>
      </c>
      <c r="C1080" s="1" t="n">
        <v>45258</v>
      </c>
      <c r="D1080" t="inlineStr">
        <is>
          <t>VÄSTERNORRLANDS LÄN</t>
        </is>
      </c>
      <c r="E1080" t="inlineStr">
        <is>
          <t>ÅNGE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6789-2023</t>
        </is>
      </c>
      <c r="B1081" s="1" t="n">
        <v>44966</v>
      </c>
      <c r="C1081" s="1" t="n">
        <v>45258</v>
      </c>
      <c r="D1081" t="inlineStr">
        <is>
          <t>VÄSTERNORRLANDS LÄN</t>
        </is>
      </c>
      <c r="E1081" t="inlineStr">
        <is>
          <t>ÅNGE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6791-2023</t>
        </is>
      </c>
      <c r="B1082" s="1" t="n">
        <v>44966</v>
      </c>
      <c r="C1082" s="1" t="n">
        <v>45258</v>
      </c>
      <c r="D1082" t="inlineStr">
        <is>
          <t>VÄSTERNORRLANDS LÄN</t>
        </is>
      </c>
      <c r="E1082" t="inlineStr">
        <is>
          <t>ÅNGE</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6799-2023</t>
        </is>
      </c>
      <c r="B1083" s="1" t="n">
        <v>44966</v>
      </c>
      <c r="C1083" s="1" t="n">
        <v>45258</v>
      </c>
      <c r="D1083" t="inlineStr">
        <is>
          <t>VÄSTERNORRLANDS LÄN</t>
        </is>
      </c>
      <c r="E1083" t="inlineStr">
        <is>
          <t>ÅNGE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6787-2023</t>
        </is>
      </c>
      <c r="B1084" s="1" t="n">
        <v>44966</v>
      </c>
      <c r="C1084" s="1" t="n">
        <v>45258</v>
      </c>
      <c r="D1084" t="inlineStr">
        <is>
          <t>VÄSTERNORRLANDS LÄN</t>
        </is>
      </c>
      <c r="E1084" t="inlineStr">
        <is>
          <t>ÅNGE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7025-2023</t>
        </is>
      </c>
      <c r="B1085" s="1" t="n">
        <v>44968</v>
      </c>
      <c r="C1085" s="1" t="n">
        <v>45258</v>
      </c>
      <c r="D1085" t="inlineStr">
        <is>
          <t>VÄSTERNORRLANDS LÄN</t>
        </is>
      </c>
      <c r="E1085" t="inlineStr">
        <is>
          <t>ÅNGE</t>
        </is>
      </c>
      <c r="F1085" t="inlineStr">
        <is>
          <t>SCA</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7528-2023</t>
        </is>
      </c>
      <c r="B1086" s="1" t="n">
        <v>44972</v>
      </c>
      <c r="C1086" s="1" t="n">
        <v>45258</v>
      </c>
      <c r="D1086" t="inlineStr">
        <is>
          <t>VÄSTERNORRLANDS LÄN</t>
        </is>
      </c>
      <c r="E1086" t="inlineStr">
        <is>
          <t>ÅNGE</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7529-2023</t>
        </is>
      </c>
      <c r="B1087" s="1" t="n">
        <v>44972</v>
      </c>
      <c r="C1087" s="1" t="n">
        <v>45258</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7527-2023</t>
        </is>
      </c>
      <c r="B1088" s="1" t="n">
        <v>44971</v>
      </c>
      <c r="C1088" s="1" t="n">
        <v>45258</v>
      </c>
      <c r="D1088" t="inlineStr">
        <is>
          <t>VÄSTERNORRLANDS LÄN</t>
        </is>
      </c>
      <c r="E1088" t="inlineStr">
        <is>
          <t>ÅNGE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7535-2023</t>
        </is>
      </c>
      <c r="B1089" s="1" t="n">
        <v>44971</v>
      </c>
      <c r="C1089" s="1" t="n">
        <v>45258</v>
      </c>
      <c r="D1089" t="inlineStr">
        <is>
          <t>VÄSTERNORRLANDS LÄN</t>
        </is>
      </c>
      <c r="E1089" t="inlineStr">
        <is>
          <t>ÅNGE</t>
        </is>
      </c>
      <c r="F1089" t="inlineStr">
        <is>
          <t>SCA</t>
        </is>
      </c>
      <c r="G1089" t="n">
        <v>14.6</v>
      </c>
      <c r="H1089" t="n">
        <v>0</v>
      </c>
      <c r="I1089" t="n">
        <v>0</v>
      </c>
      <c r="J1089" t="n">
        <v>0</v>
      </c>
      <c r="K1089" t="n">
        <v>0</v>
      </c>
      <c r="L1089" t="n">
        <v>0</v>
      </c>
      <c r="M1089" t="n">
        <v>0</v>
      </c>
      <c r="N1089" t="n">
        <v>0</v>
      </c>
      <c r="O1089" t="n">
        <v>0</v>
      </c>
      <c r="P1089" t="n">
        <v>0</v>
      </c>
      <c r="Q1089" t="n">
        <v>0</v>
      </c>
      <c r="R1089" s="2" t="inlineStr"/>
    </row>
    <row r="1090" ht="15" customHeight="1">
      <c r="A1090" t="inlineStr">
        <is>
          <t>A 7526-2023</t>
        </is>
      </c>
      <c r="B1090" s="1" t="n">
        <v>44972</v>
      </c>
      <c r="C1090" s="1" t="n">
        <v>45258</v>
      </c>
      <c r="D1090" t="inlineStr">
        <is>
          <t>VÄSTERNORRLANDS LÄN</t>
        </is>
      </c>
      <c r="E1090" t="inlineStr">
        <is>
          <t>ÅNGE</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8406-2023</t>
        </is>
      </c>
      <c r="B1091" s="1" t="n">
        <v>44971</v>
      </c>
      <c r="C1091" s="1" t="n">
        <v>45258</v>
      </c>
      <c r="D1091" t="inlineStr">
        <is>
          <t>VÄSTERNORRLANDS LÄN</t>
        </is>
      </c>
      <c r="E1091" t="inlineStr">
        <is>
          <t>ÅNGE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8418-2023</t>
        </is>
      </c>
      <c r="B1092" s="1" t="n">
        <v>44971</v>
      </c>
      <c r="C1092" s="1" t="n">
        <v>45258</v>
      </c>
      <c r="D1092" t="inlineStr">
        <is>
          <t>VÄSTERNORRLANDS LÄN</t>
        </is>
      </c>
      <c r="E1092" t="inlineStr">
        <is>
          <t>ÅNGE</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7720-2023</t>
        </is>
      </c>
      <c r="B1093" s="1" t="n">
        <v>44972</v>
      </c>
      <c r="C1093" s="1" t="n">
        <v>45258</v>
      </c>
      <c r="D1093" t="inlineStr">
        <is>
          <t>VÄSTERNORRLANDS LÄN</t>
        </is>
      </c>
      <c r="E1093" t="inlineStr">
        <is>
          <t>ÅNGE</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7723-2023</t>
        </is>
      </c>
      <c r="B1094" s="1" t="n">
        <v>44972</v>
      </c>
      <c r="C1094" s="1" t="n">
        <v>45258</v>
      </c>
      <c r="D1094" t="inlineStr">
        <is>
          <t>VÄSTERNORRLANDS LÄN</t>
        </is>
      </c>
      <c r="E1094" t="inlineStr">
        <is>
          <t>ÅNGE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8627-2023</t>
        </is>
      </c>
      <c r="B1095" s="1" t="n">
        <v>44977</v>
      </c>
      <c r="C1095" s="1" t="n">
        <v>45258</v>
      </c>
      <c r="D1095" t="inlineStr">
        <is>
          <t>VÄSTERNORRLANDS LÄN</t>
        </is>
      </c>
      <c r="E1095" t="inlineStr">
        <is>
          <t>ÅNGE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8666-2023</t>
        </is>
      </c>
      <c r="B1096" s="1" t="n">
        <v>44977</v>
      </c>
      <c r="C1096" s="1" t="n">
        <v>45258</v>
      </c>
      <c r="D1096" t="inlineStr">
        <is>
          <t>VÄSTERNORRLANDS LÄN</t>
        </is>
      </c>
      <c r="E1096" t="inlineStr">
        <is>
          <t>ÅNGE</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8869-2023</t>
        </is>
      </c>
      <c r="B1097" s="1" t="n">
        <v>44978</v>
      </c>
      <c r="C1097" s="1" t="n">
        <v>45258</v>
      </c>
      <c r="D1097" t="inlineStr">
        <is>
          <t>VÄSTERNORRLANDS LÄN</t>
        </is>
      </c>
      <c r="E1097" t="inlineStr">
        <is>
          <t>ÅNGE</t>
        </is>
      </c>
      <c r="F1097" t="inlineStr">
        <is>
          <t>SCA</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8868-2023</t>
        </is>
      </c>
      <c r="B1098" s="1" t="n">
        <v>44978</v>
      </c>
      <c r="C1098" s="1" t="n">
        <v>45258</v>
      </c>
      <c r="D1098" t="inlineStr">
        <is>
          <t>VÄSTERNORRLANDS LÄN</t>
        </is>
      </c>
      <c r="E1098" t="inlineStr">
        <is>
          <t>ÅNGE</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8867-2023</t>
        </is>
      </c>
      <c r="B1099" s="1" t="n">
        <v>44978</v>
      </c>
      <c r="C1099" s="1" t="n">
        <v>45258</v>
      </c>
      <c r="D1099" t="inlineStr">
        <is>
          <t>VÄSTERNORRLANDS LÄN</t>
        </is>
      </c>
      <c r="E1099" t="inlineStr">
        <is>
          <t>ÅNGE</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9211-2023</t>
        </is>
      </c>
      <c r="B1100" s="1" t="n">
        <v>44980</v>
      </c>
      <c r="C1100" s="1" t="n">
        <v>45258</v>
      </c>
      <c r="D1100" t="inlineStr">
        <is>
          <t>VÄSTERNORRLANDS LÄN</t>
        </is>
      </c>
      <c r="E1100" t="inlineStr">
        <is>
          <t>ÅNGE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9215-2023</t>
        </is>
      </c>
      <c r="B1101" s="1" t="n">
        <v>44980</v>
      </c>
      <c r="C1101" s="1" t="n">
        <v>45258</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9861-2023</t>
        </is>
      </c>
      <c r="B1102" s="1" t="n">
        <v>44984</v>
      </c>
      <c r="C1102" s="1" t="n">
        <v>45258</v>
      </c>
      <c r="D1102" t="inlineStr">
        <is>
          <t>VÄSTERNORRLANDS LÄN</t>
        </is>
      </c>
      <c r="E1102" t="inlineStr">
        <is>
          <t>ÅNGE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10067-2023</t>
        </is>
      </c>
      <c r="B1103" s="1" t="n">
        <v>44985</v>
      </c>
      <c r="C1103" s="1" t="n">
        <v>45258</v>
      </c>
      <c r="D1103" t="inlineStr">
        <is>
          <t>VÄSTERNORRLANDS LÄN</t>
        </is>
      </c>
      <c r="E1103" t="inlineStr">
        <is>
          <t>ÅNGE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10071-2023</t>
        </is>
      </c>
      <c r="B1104" s="1" t="n">
        <v>44985</v>
      </c>
      <c r="C1104" s="1" t="n">
        <v>45258</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10084-2023</t>
        </is>
      </c>
      <c r="B1105" s="1" t="n">
        <v>44985</v>
      </c>
      <c r="C1105" s="1" t="n">
        <v>45258</v>
      </c>
      <c r="D1105" t="inlineStr">
        <is>
          <t>VÄSTERNORRLANDS LÄN</t>
        </is>
      </c>
      <c r="E1105" t="inlineStr">
        <is>
          <t>ÅNGE</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10089-2023</t>
        </is>
      </c>
      <c r="B1106" s="1" t="n">
        <v>44985</v>
      </c>
      <c r="C1106" s="1" t="n">
        <v>45258</v>
      </c>
      <c r="D1106" t="inlineStr">
        <is>
          <t>VÄSTERNORRLANDS LÄN</t>
        </is>
      </c>
      <c r="E1106" t="inlineStr">
        <is>
          <t>ÅNGE</t>
        </is>
      </c>
      <c r="F1106" t="inlineStr">
        <is>
          <t>SCA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10068-2023</t>
        </is>
      </c>
      <c r="B1107" s="1" t="n">
        <v>44985</v>
      </c>
      <c r="C1107" s="1" t="n">
        <v>45258</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10090-2023</t>
        </is>
      </c>
      <c r="B1108" s="1" t="n">
        <v>44985</v>
      </c>
      <c r="C1108" s="1" t="n">
        <v>45258</v>
      </c>
      <c r="D1108" t="inlineStr">
        <is>
          <t>VÄSTERNORRLANDS LÄN</t>
        </is>
      </c>
      <c r="E1108" t="inlineStr">
        <is>
          <t>ÅNGE</t>
        </is>
      </c>
      <c r="F1108" t="inlineStr">
        <is>
          <t>SCA</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10070-2023</t>
        </is>
      </c>
      <c r="B1109" s="1" t="n">
        <v>44985</v>
      </c>
      <c r="C1109" s="1" t="n">
        <v>45258</v>
      </c>
      <c r="D1109" t="inlineStr">
        <is>
          <t>VÄSTERNORRLANDS LÄN</t>
        </is>
      </c>
      <c r="E1109" t="inlineStr">
        <is>
          <t>ÅNGE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10087-2023</t>
        </is>
      </c>
      <c r="B1110" s="1" t="n">
        <v>44985</v>
      </c>
      <c r="C1110" s="1" t="n">
        <v>45258</v>
      </c>
      <c r="D1110" t="inlineStr">
        <is>
          <t>VÄSTERNORRLANDS LÄN</t>
        </is>
      </c>
      <c r="E1110" t="inlineStr">
        <is>
          <t>ÅNGE</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10558-2023</t>
        </is>
      </c>
      <c r="B1111" s="1" t="n">
        <v>44987</v>
      </c>
      <c r="C1111" s="1" t="n">
        <v>45258</v>
      </c>
      <c r="D1111" t="inlineStr">
        <is>
          <t>VÄSTERNORRLANDS LÄN</t>
        </is>
      </c>
      <c r="E1111" t="inlineStr">
        <is>
          <t>ÅNGE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10557-2023</t>
        </is>
      </c>
      <c r="B1112" s="1" t="n">
        <v>44987</v>
      </c>
      <c r="C1112" s="1" t="n">
        <v>45258</v>
      </c>
      <c r="D1112" t="inlineStr">
        <is>
          <t>VÄSTERNORRLANDS LÄN</t>
        </is>
      </c>
      <c r="E1112" t="inlineStr">
        <is>
          <t>ÅNGE</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10778-2023</t>
        </is>
      </c>
      <c r="B1113" s="1" t="n">
        <v>44988</v>
      </c>
      <c r="C1113" s="1" t="n">
        <v>45258</v>
      </c>
      <c r="D1113" t="inlineStr">
        <is>
          <t>VÄSTERNORRLANDS LÄN</t>
        </is>
      </c>
      <c r="E1113" t="inlineStr">
        <is>
          <t>ÅNGE</t>
        </is>
      </c>
      <c r="F1113" t="inlineStr">
        <is>
          <t>SCA</t>
        </is>
      </c>
      <c r="G1113" t="n">
        <v>46.4</v>
      </c>
      <c r="H1113" t="n">
        <v>0</v>
      </c>
      <c r="I1113" t="n">
        <v>0</v>
      </c>
      <c r="J1113" t="n">
        <v>0</v>
      </c>
      <c r="K1113" t="n">
        <v>0</v>
      </c>
      <c r="L1113" t="n">
        <v>0</v>
      </c>
      <c r="M1113" t="n">
        <v>0</v>
      </c>
      <c r="N1113" t="n">
        <v>0</v>
      </c>
      <c r="O1113" t="n">
        <v>0</v>
      </c>
      <c r="P1113" t="n">
        <v>0</v>
      </c>
      <c r="Q1113" t="n">
        <v>0</v>
      </c>
      <c r="R1113" s="2" t="inlineStr"/>
    </row>
    <row r="1114" ht="15" customHeight="1">
      <c r="A1114" t="inlineStr">
        <is>
          <t>A 11300-2023</t>
        </is>
      </c>
      <c r="B1114" s="1" t="n">
        <v>44993</v>
      </c>
      <c r="C1114" s="1" t="n">
        <v>45258</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11309-2023</t>
        </is>
      </c>
      <c r="B1115" s="1" t="n">
        <v>44993</v>
      </c>
      <c r="C1115" s="1" t="n">
        <v>45258</v>
      </c>
      <c r="D1115" t="inlineStr">
        <is>
          <t>VÄSTERNORRLANDS LÄN</t>
        </is>
      </c>
      <c r="E1115" t="inlineStr">
        <is>
          <t>ÅNGE</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11529-2023</t>
        </is>
      </c>
      <c r="B1116" s="1" t="n">
        <v>44993</v>
      </c>
      <c r="C1116" s="1" t="n">
        <v>45258</v>
      </c>
      <c r="D1116" t="inlineStr">
        <is>
          <t>VÄSTERNORRLANDS LÄN</t>
        </is>
      </c>
      <c r="E1116" t="inlineStr">
        <is>
          <t>ÅNGE</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11299-2023</t>
        </is>
      </c>
      <c r="B1117" s="1" t="n">
        <v>44993</v>
      </c>
      <c r="C1117" s="1" t="n">
        <v>45258</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11310-2023</t>
        </is>
      </c>
      <c r="B1118" s="1" t="n">
        <v>44993</v>
      </c>
      <c r="C1118" s="1" t="n">
        <v>45258</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11531-2023</t>
        </is>
      </c>
      <c r="B1119" s="1" t="n">
        <v>44993</v>
      </c>
      <c r="C1119" s="1" t="n">
        <v>45258</v>
      </c>
      <c r="D1119" t="inlineStr">
        <is>
          <t>VÄSTERNORRLANDS LÄN</t>
        </is>
      </c>
      <c r="E1119" t="inlineStr">
        <is>
          <t>ÅNGE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11532-2023</t>
        </is>
      </c>
      <c r="B1120" s="1" t="n">
        <v>44993</v>
      </c>
      <c r="C1120" s="1" t="n">
        <v>45258</v>
      </c>
      <c r="D1120" t="inlineStr">
        <is>
          <t>VÄSTERNORRLANDS LÄN</t>
        </is>
      </c>
      <c r="E1120" t="inlineStr">
        <is>
          <t>ÅNGE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12749-2023</t>
        </is>
      </c>
      <c r="B1121" s="1" t="n">
        <v>45000</v>
      </c>
      <c r="C1121" s="1" t="n">
        <v>45258</v>
      </c>
      <c r="D1121" t="inlineStr">
        <is>
          <t>VÄSTERNORRLANDS LÄN</t>
        </is>
      </c>
      <c r="E1121" t="inlineStr">
        <is>
          <t>ÅNGE</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12748-2023</t>
        </is>
      </c>
      <c r="B1122" s="1" t="n">
        <v>45000</v>
      </c>
      <c r="C1122" s="1" t="n">
        <v>45258</v>
      </c>
      <c r="D1122" t="inlineStr">
        <is>
          <t>VÄSTERNORRLANDS LÄN</t>
        </is>
      </c>
      <c r="E1122" t="inlineStr">
        <is>
          <t>ÅNGE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12742-2023</t>
        </is>
      </c>
      <c r="B1123" s="1" t="n">
        <v>45000</v>
      </c>
      <c r="C1123" s="1" t="n">
        <v>45258</v>
      </c>
      <c r="D1123" t="inlineStr">
        <is>
          <t>VÄSTERNORRLANDS LÄN</t>
        </is>
      </c>
      <c r="E1123" t="inlineStr">
        <is>
          <t>ÅNGE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12997-2023</t>
        </is>
      </c>
      <c r="B1124" s="1" t="n">
        <v>45002</v>
      </c>
      <c r="C1124" s="1" t="n">
        <v>45258</v>
      </c>
      <c r="D1124" t="inlineStr">
        <is>
          <t>VÄSTERNORRLANDS LÄN</t>
        </is>
      </c>
      <c r="E1124" t="inlineStr">
        <is>
          <t>ÅNGE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12987-2023</t>
        </is>
      </c>
      <c r="B1125" s="1" t="n">
        <v>45002</v>
      </c>
      <c r="C1125" s="1" t="n">
        <v>45258</v>
      </c>
      <c r="D1125" t="inlineStr">
        <is>
          <t>VÄSTERNORRLANDS LÄN</t>
        </is>
      </c>
      <c r="E1125" t="inlineStr">
        <is>
          <t>ÅNGE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12999-2023</t>
        </is>
      </c>
      <c r="B1126" s="1" t="n">
        <v>45002</v>
      </c>
      <c r="C1126" s="1" t="n">
        <v>45258</v>
      </c>
      <c r="D1126" t="inlineStr">
        <is>
          <t>VÄSTERNORRLANDS LÄN</t>
        </is>
      </c>
      <c r="E1126" t="inlineStr">
        <is>
          <t>ÅNGE</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12998-2023</t>
        </is>
      </c>
      <c r="B1127" s="1" t="n">
        <v>45002</v>
      </c>
      <c r="C1127" s="1" t="n">
        <v>45258</v>
      </c>
      <c r="D1127" t="inlineStr">
        <is>
          <t>VÄSTERNORRLANDS LÄN</t>
        </is>
      </c>
      <c r="E1127" t="inlineStr">
        <is>
          <t>ÅNGE</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13485-2023</t>
        </is>
      </c>
      <c r="B1128" s="1" t="n">
        <v>45005</v>
      </c>
      <c r="C1128" s="1" t="n">
        <v>45258</v>
      </c>
      <c r="D1128" t="inlineStr">
        <is>
          <t>VÄSTERNORRLANDS LÄN</t>
        </is>
      </c>
      <c r="E1128" t="inlineStr">
        <is>
          <t>ÅNGE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13491-2023</t>
        </is>
      </c>
      <c r="B1129" s="1" t="n">
        <v>45005</v>
      </c>
      <c r="C1129" s="1" t="n">
        <v>45258</v>
      </c>
      <c r="D1129" t="inlineStr">
        <is>
          <t>VÄSTERNORRLANDS LÄN</t>
        </is>
      </c>
      <c r="E1129" t="inlineStr">
        <is>
          <t>ÅNGE</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13705-2023</t>
        </is>
      </c>
      <c r="B1130" s="1" t="n">
        <v>45006</v>
      </c>
      <c r="C1130" s="1" t="n">
        <v>45258</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13704-2023</t>
        </is>
      </c>
      <c r="B1131" s="1" t="n">
        <v>45006</v>
      </c>
      <c r="C1131" s="1" t="n">
        <v>45258</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13706-2023</t>
        </is>
      </c>
      <c r="B1132" s="1" t="n">
        <v>45006</v>
      </c>
      <c r="C1132" s="1" t="n">
        <v>45258</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14183-2023</t>
        </is>
      </c>
      <c r="B1133" s="1" t="n">
        <v>45009</v>
      </c>
      <c r="C1133" s="1" t="n">
        <v>45258</v>
      </c>
      <c r="D1133" t="inlineStr">
        <is>
          <t>VÄSTERNORRLANDS LÄN</t>
        </is>
      </c>
      <c r="E1133" t="inlineStr">
        <is>
          <t>ÅNGE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14257-2023</t>
        </is>
      </c>
      <c r="B1134" s="1" t="n">
        <v>45009</v>
      </c>
      <c r="C1134" s="1" t="n">
        <v>45258</v>
      </c>
      <c r="D1134" t="inlineStr">
        <is>
          <t>VÄSTERNORRLANDS LÄN</t>
        </is>
      </c>
      <c r="E1134" t="inlineStr">
        <is>
          <t>ÅNGE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14258-2023</t>
        </is>
      </c>
      <c r="B1135" s="1" t="n">
        <v>45009</v>
      </c>
      <c r="C1135" s="1" t="n">
        <v>45258</v>
      </c>
      <c r="D1135" t="inlineStr">
        <is>
          <t>VÄSTERNORRLANDS LÄN</t>
        </is>
      </c>
      <c r="E1135" t="inlineStr">
        <is>
          <t>ÅNGE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14260-2023</t>
        </is>
      </c>
      <c r="B1136" s="1" t="n">
        <v>45009</v>
      </c>
      <c r="C1136" s="1" t="n">
        <v>45258</v>
      </c>
      <c r="D1136" t="inlineStr">
        <is>
          <t>VÄSTERNORRLANDS LÄN</t>
        </is>
      </c>
      <c r="E1136" t="inlineStr">
        <is>
          <t>ÅNGE</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14527-2023</t>
        </is>
      </c>
      <c r="B1137" s="1" t="n">
        <v>45013</v>
      </c>
      <c r="C1137" s="1" t="n">
        <v>45258</v>
      </c>
      <c r="D1137" t="inlineStr">
        <is>
          <t>VÄSTERNORRLANDS LÄN</t>
        </is>
      </c>
      <c r="E1137" t="inlineStr">
        <is>
          <t>ÅNGE</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14667-2023</t>
        </is>
      </c>
      <c r="B1138" s="1" t="n">
        <v>45013</v>
      </c>
      <c r="C1138" s="1" t="n">
        <v>45258</v>
      </c>
      <c r="D1138" t="inlineStr">
        <is>
          <t>VÄSTERNORRLANDS LÄN</t>
        </is>
      </c>
      <c r="E1138" t="inlineStr">
        <is>
          <t>ÅNGE</t>
        </is>
      </c>
      <c r="F1138" t="inlineStr">
        <is>
          <t>SCA</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14676-2023</t>
        </is>
      </c>
      <c r="B1139" s="1" t="n">
        <v>45013</v>
      </c>
      <c r="C1139" s="1" t="n">
        <v>45258</v>
      </c>
      <c r="D1139" t="inlineStr">
        <is>
          <t>VÄSTERNORRLANDS LÄN</t>
        </is>
      </c>
      <c r="E1139" t="inlineStr">
        <is>
          <t>ÅNGE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14879-2023</t>
        </is>
      </c>
      <c r="B1140" s="1" t="n">
        <v>45015</v>
      </c>
      <c r="C1140" s="1" t="n">
        <v>45258</v>
      </c>
      <c r="D1140" t="inlineStr">
        <is>
          <t>VÄSTERNORRLANDS LÄN</t>
        </is>
      </c>
      <c r="E1140" t="inlineStr">
        <is>
          <t>ÅNGE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14885-2023</t>
        </is>
      </c>
      <c r="B1141" s="1" t="n">
        <v>45015</v>
      </c>
      <c r="C1141" s="1" t="n">
        <v>45258</v>
      </c>
      <c r="D1141" t="inlineStr">
        <is>
          <t>VÄSTERNORRLANDS LÄN</t>
        </is>
      </c>
      <c r="E1141" t="inlineStr">
        <is>
          <t>ÅNGE</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14870-2023</t>
        </is>
      </c>
      <c r="B1142" s="1" t="n">
        <v>45015</v>
      </c>
      <c r="C1142" s="1" t="n">
        <v>45258</v>
      </c>
      <c r="D1142" t="inlineStr">
        <is>
          <t>VÄSTERNORRLANDS LÄN</t>
        </is>
      </c>
      <c r="E1142" t="inlineStr">
        <is>
          <t>ÅNGE</t>
        </is>
      </c>
      <c r="F1142" t="inlineStr">
        <is>
          <t>SCA</t>
        </is>
      </c>
      <c r="G1142" t="n">
        <v>30.5</v>
      </c>
      <c r="H1142" t="n">
        <v>0</v>
      </c>
      <c r="I1142" t="n">
        <v>0</v>
      </c>
      <c r="J1142" t="n">
        <v>0</v>
      </c>
      <c r="K1142" t="n">
        <v>0</v>
      </c>
      <c r="L1142" t="n">
        <v>0</v>
      </c>
      <c r="M1142" t="n">
        <v>0</v>
      </c>
      <c r="N1142" t="n">
        <v>0</v>
      </c>
      <c r="O1142" t="n">
        <v>0</v>
      </c>
      <c r="P1142" t="n">
        <v>0</v>
      </c>
      <c r="Q1142" t="n">
        <v>0</v>
      </c>
      <c r="R1142" s="2" t="inlineStr"/>
    </row>
    <row r="1143" ht="15" customHeight="1">
      <c r="A1143" t="inlineStr">
        <is>
          <t>A 16192-2023</t>
        </is>
      </c>
      <c r="B1143" s="1" t="n">
        <v>45028</v>
      </c>
      <c r="C1143" s="1" t="n">
        <v>45258</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16191-2023</t>
        </is>
      </c>
      <c r="B1144" s="1" t="n">
        <v>45028</v>
      </c>
      <c r="C1144" s="1" t="n">
        <v>45258</v>
      </c>
      <c r="D1144" t="inlineStr">
        <is>
          <t>VÄSTERNORRLANDS LÄN</t>
        </is>
      </c>
      <c r="E1144" t="inlineStr">
        <is>
          <t>ÅNGE</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16361-2023</t>
        </is>
      </c>
      <c r="B1145" s="1" t="n">
        <v>45029</v>
      </c>
      <c r="C1145" s="1" t="n">
        <v>45258</v>
      </c>
      <c r="D1145" t="inlineStr">
        <is>
          <t>VÄSTERNORRLANDS LÄN</t>
        </is>
      </c>
      <c r="E1145" t="inlineStr">
        <is>
          <t>ÅNGE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16365-2023</t>
        </is>
      </c>
      <c r="B1146" s="1" t="n">
        <v>45028</v>
      </c>
      <c r="C1146" s="1" t="n">
        <v>45258</v>
      </c>
      <c r="D1146" t="inlineStr">
        <is>
          <t>VÄSTERNORRLANDS LÄN</t>
        </is>
      </c>
      <c r="E1146" t="inlineStr">
        <is>
          <t>ÅNGE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16281-2023</t>
        </is>
      </c>
      <c r="B1147" s="1" t="n">
        <v>45028</v>
      </c>
      <c r="C1147" s="1" t="n">
        <v>45258</v>
      </c>
      <c r="D1147" t="inlineStr">
        <is>
          <t>VÄSTERNORRLANDS LÄN</t>
        </is>
      </c>
      <c r="E1147" t="inlineStr">
        <is>
          <t>ÅNGE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16362-2023</t>
        </is>
      </c>
      <c r="B1148" s="1" t="n">
        <v>45029</v>
      </c>
      <c r="C1148" s="1" t="n">
        <v>45258</v>
      </c>
      <c r="D1148" t="inlineStr">
        <is>
          <t>VÄSTERNORRLANDS LÄN</t>
        </is>
      </c>
      <c r="E1148" t="inlineStr">
        <is>
          <t>ÅNGE</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16360-2023</t>
        </is>
      </c>
      <c r="B1149" s="1" t="n">
        <v>45029</v>
      </c>
      <c r="C1149" s="1" t="n">
        <v>45258</v>
      </c>
      <c r="D1149" t="inlineStr">
        <is>
          <t>VÄSTERNORRLANDS LÄN</t>
        </is>
      </c>
      <c r="E1149" t="inlineStr">
        <is>
          <t>ÅNGE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16378-2023</t>
        </is>
      </c>
      <c r="B1150" s="1" t="n">
        <v>45028</v>
      </c>
      <c r="C1150" s="1" t="n">
        <v>45258</v>
      </c>
      <c r="D1150" t="inlineStr">
        <is>
          <t>VÄSTERNORRLANDS LÄN</t>
        </is>
      </c>
      <c r="E1150" t="inlineStr">
        <is>
          <t>ÅNGE</t>
        </is>
      </c>
      <c r="F1150" t="inlineStr">
        <is>
          <t>SCA</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16380-2023</t>
        </is>
      </c>
      <c r="B1151" s="1" t="n">
        <v>45028</v>
      </c>
      <c r="C1151" s="1" t="n">
        <v>45258</v>
      </c>
      <c r="D1151" t="inlineStr">
        <is>
          <t>VÄSTERNORRLANDS LÄN</t>
        </is>
      </c>
      <c r="E1151" t="inlineStr">
        <is>
          <t>ÅNGE</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16571-2023</t>
        </is>
      </c>
      <c r="B1152" s="1" t="n">
        <v>45030</v>
      </c>
      <c r="C1152" s="1" t="n">
        <v>45258</v>
      </c>
      <c r="D1152" t="inlineStr">
        <is>
          <t>VÄSTERNORRLANDS LÄN</t>
        </is>
      </c>
      <c r="E1152" t="inlineStr">
        <is>
          <t>ÅNGE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16572-2023</t>
        </is>
      </c>
      <c r="B1153" s="1" t="n">
        <v>45030</v>
      </c>
      <c r="C1153" s="1" t="n">
        <v>45258</v>
      </c>
      <c r="D1153" t="inlineStr">
        <is>
          <t>VÄSTERNORRLANDS LÄN</t>
        </is>
      </c>
      <c r="E1153" t="inlineStr">
        <is>
          <t>ÅNGE</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16576-2023</t>
        </is>
      </c>
      <c r="B1154" s="1" t="n">
        <v>45030</v>
      </c>
      <c r="C1154" s="1" t="n">
        <v>45258</v>
      </c>
      <c r="D1154" t="inlineStr">
        <is>
          <t>VÄSTERNORRLANDS LÄN</t>
        </is>
      </c>
      <c r="E1154" t="inlineStr">
        <is>
          <t>ÅNGE</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16600-2023</t>
        </is>
      </c>
      <c r="B1155" s="1" t="n">
        <v>45030</v>
      </c>
      <c r="C1155" s="1" t="n">
        <v>45258</v>
      </c>
      <c r="D1155" t="inlineStr">
        <is>
          <t>VÄSTERNORRLANDS LÄN</t>
        </is>
      </c>
      <c r="E1155" t="inlineStr">
        <is>
          <t>ÅNGE</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16606-2023</t>
        </is>
      </c>
      <c r="B1156" s="1" t="n">
        <v>45030</v>
      </c>
      <c r="C1156" s="1" t="n">
        <v>45258</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16763-2023</t>
        </is>
      </c>
      <c r="B1157" s="1" t="n">
        <v>45030</v>
      </c>
      <c r="C1157" s="1" t="n">
        <v>45258</v>
      </c>
      <c r="D1157" t="inlineStr">
        <is>
          <t>VÄSTERNORRLANDS LÄN</t>
        </is>
      </c>
      <c r="E1157" t="inlineStr">
        <is>
          <t>ÅNGE</t>
        </is>
      </c>
      <c r="F1157" t="inlineStr">
        <is>
          <t>SCA</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16593-2023</t>
        </is>
      </c>
      <c r="B1158" s="1" t="n">
        <v>45030</v>
      </c>
      <c r="C1158" s="1" t="n">
        <v>45258</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16762-2023</t>
        </is>
      </c>
      <c r="B1159" s="1" t="n">
        <v>45030</v>
      </c>
      <c r="C1159" s="1" t="n">
        <v>45258</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16815-2023</t>
        </is>
      </c>
      <c r="B1160" s="1" t="n">
        <v>45033</v>
      </c>
      <c r="C1160" s="1" t="n">
        <v>45258</v>
      </c>
      <c r="D1160" t="inlineStr">
        <is>
          <t>VÄSTERNORRLANDS LÄN</t>
        </is>
      </c>
      <c r="E1160" t="inlineStr">
        <is>
          <t>ÅNGE</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16812-2023</t>
        </is>
      </c>
      <c r="B1161" s="1" t="n">
        <v>45033</v>
      </c>
      <c r="C1161" s="1" t="n">
        <v>45258</v>
      </c>
      <c r="D1161" t="inlineStr">
        <is>
          <t>VÄSTERNORRLANDS LÄN</t>
        </is>
      </c>
      <c r="E1161" t="inlineStr">
        <is>
          <t>ÅNGE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16853-2023</t>
        </is>
      </c>
      <c r="B1162" s="1" t="n">
        <v>45033</v>
      </c>
      <c r="C1162" s="1" t="n">
        <v>45258</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17009-2023</t>
        </is>
      </c>
      <c r="B1163" s="1" t="n">
        <v>45034</v>
      </c>
      <c r="C1163" s="1" t="n">
        <v>45258</v>
      </c>
      <c r="D1163" t="inlineStr">
        <is>
          <t>VÄSTERNORRLANDS LÄN</t>
        </is>
      </c>
      <c r="E1163" t="inlineStr">
        <is>
          <t>ÅNGE</t>
        </is>
      </c>
      <c r="F1163" t="inlineStr">
        <is>
          <t>SCA</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17044-2023</t>
        </is>
      </c>
      <c r="B1164" s="1" t="n">
        <v>45034</v>
      </c>
      <c r="C1164" s="1" t="n">
        <v>45258</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17103-2023</t>
        </is>
      </c>
      <c r="B1165" s="1" t="n">
        <v>45034</v>
      </c>
      <c r="C1165" s="1" t="n">
        <v>45258</v>
      </c>
      <c r="D1165" t="inlineStr">
        <is>
          <t>VÄSTERNORRLANDS LÄN</t>
        </is>
      </c>
      <c r="E1165" t="inlineStr">
        <is>
          <t>ÅNGE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17668-2023</t>
        </is>
      </c>
      <c r="B1166" s="1" t="n">
        <v>45036</v>
      </c>
      <c r="C1166" s="1" t="n">
        <v>45258</v>
      </c>
      <c r="D1166" t="inlineStr">
        <is>
          <t>VÄSTERNORRLANDS LÄN</t>
        </is>
      </c>
      <c r="E1166" t="inlineStr">
        <is>
          <t>ÅNGE</t>
        </is>
      </c>
      <c r="F1166" t="inlineStr">
        <is>
          <t>SCA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17669-2023</t>
        </is>
      </c>
      <c r="B1167" s="1" t="n">
        <v>45037</v>
      </c>
      <c r="C1167" s="1" t="n">
        <v>45258</v>
      </c>
      <c r="D1167" t="inlineStr">
        <is>
          <t>VÄSTERNORRLANDS LÄN</t>
        </is>
      </c>
      <c r="E1167" t="inlineStr">
        <is>
          <t>ÅNGE</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17670-2023</t>
        </is>
      </c>
      <c r="B1168" s="1" t="n">
        <v>45036</v>
      </c>
      <c r="C1168" s="1" t="n">
        <v>45258</v>
      </c>
      <c r="D1168" t="inlineStr">
        <is>
          <t>VÄSTERNORRLANDS LÄN</t>
        </is>
      </c>
      <c r="E1168" t="inlineStr">
        <is>
          <t>ÅNGE</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17934-2023</t>
        </is>
      </c>
      <c r="B1169" s="1" t="n">
        <v>45037</v>
      </c>
      <c r="C1169" s="1" t="n">
        <v>45258</v>
      </c>
      <c r="D1169" t="inlineStr">
        <is>
          <t>VÄSTERNORRLANDS LÄN</t>
        </is>
      </c>
      <c r="E1169" t="inlineStr">
        <is>
          <t>ÅNGE</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18033-2023</t>
        </is>
      </c>
      <c r="B1170" s="1" t="n">
        <v>45037</v>
      </c>
      <c r="C1170" s="1" t="n">
        <v>45258</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17860-2023</t>
        </is>
      </c>
      <c r="B1171" s="1" t="n">
        <v>45038</v>
      </c>
      <c r="C1171" s="1" t="n">
        <v>45258</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18061-2023</t>
        </is>
      </c>
      <c r="B1172" s="1" t="n">
        <v>45037</v>
      </c>
      <c r="C1172" s="1" t="n">
        <v>45258</v>
      </c>
      <c r="D1172" t="inlineStr">
        <is>
          <t>VÄSTERNORRLANDS LÄN</t>
        </is>
      </c>
      <c r="E1172" t="inlineStr">
        <is>
          <t>ÅNGE</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18168-2023</t>
        </is>
      </c>
      <c r="B1173" s="1" t="n">
        <v>45040</v>
      </c>
      <c r="C1173" s="1" t="n">
        <v>45258</v>
      </c>
      <c r="D1173" t="inlineStr">
        <is>
          <t>VÄSTERNORRLANDS LÄN</t>
        </is>
      </c>
      <c r="E1173" t="inlineStr">
        <is>
          <t>ÅNGE</t>
        </is>
      </c>
      <c r="F1173" t="inlineStr">
        <is>
          <t>SCA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18169-2023</t>
        </is>
      </c>
      <c r="B1174" s="1" t="n">
        <v>45040</v>
      </c>
      <c r="C1174" s="1" t="n">
        <v>45258</v>
      </c>
      <c r="D1174" t="inlineStr">
        <is>
          <t>VÄSTERNORRLANDS LÄN</t>
        </is>
      </c>
      <c r="E1174" t="inlineStr">
        <is>
          <t>ÅNGE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18170-2023</t>
        </is>
      </c>
      <c r="B1175" s="1" t="n">
        <v>45040</v>
      </c>
      <c r="C1175" s="1" t="n">
        <v>45258</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18305-2023</t>
        </is>
      </c>
      <c r="B1176" s="1" t="n">
        <v>45041</v>
      </c>
      <c r="C1176" s="1" t="n">
        <v>45258</v>
      </c>
      <c r="D1176" t="inlineStr">
        <is>
          <t>VÄSTERNORRLANDS LÄN</t>
        </is>
      </c>
      <c r="E1176" t="inlineStr">
        <is>
          <t>ÅNGE</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18370-2023</t>
        </is>
      </c>
      <c r="B1177" s="1" t="n">
        <v>45041</v>
      </c>
      <c r="C1177" s="1" t="n">
        <v>45258</v>
      </c>
      <c r="D1177" t="inlineStr">
        <is>
          <t>VÄSTERNORRLANDS LÄN</t>
        </is>
      </c>
      <c r="E1177" t="inlineStr">
        <is>
          <t>ÅNGE</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18487-2023</t>
        </is>
      </c>
      <c r="B1178" s="1" t="n">
        <v>45042</v>
      </c>
      <c r="C1178" s="1" t="n">
        <v>45258</v>
      </c>
      <c r="D1178" t="inlineStr">
        <is>
          <t>VÄSTERNORRLANDS LÄN</t>
        </is>
      </c>
      <c r="E1178" t="inlineStr">
        <is>
          <t>ÅNGE</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18560-2023</t>
        </is>
      </c>
      <c r="B1179" s="1" t="n">
        <v>45042</v>
      </c>
      <c r="C1179" s="1" t="n">
        <v>45258</v>
      </c>
      <c r="D1179" t="inlineStr">
        <is>
          <t>VÄSTERNORRLANDS LÄN</t>
        </is>
      </c>
      <c r="E1179" t="inlineStr">
        <is>
          <t>ÅNGE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18668-2023</t>
        </is>
      </c>
      <c r="B1180" s="1" t="n">
        <v>45043</v>
      </c>
      <c r="C1180" s="1" t="n">
        <v>45258</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19231-2023</t>
        </is>
      </c>
      <c r="B1181" s="1" t="n">
        <v>45048</v>
      </c>
      <c r="C1181" s="1" t="n">
        <v>45258</v>
      </c>
      <c r="D1181" t="inlineStr">
        <is>
          <t>VÄSTERNORRLANDS LÄN</t>
        </is>
      </c>
      <c r="E1181" t="inlineStr">
        <is>
          <t>ÅNGE</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19624-2023</t>
        </is>
      </c>
      <c r="B1182" s="1" t="n">
        <v>45051</v>
      </c>
      <c r="C1182" s="1" t="n">
        <v>45258</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19622-2023</t>
        </is>
      </c>
      <c r="B1183" s="1" t="n">
        <v>45051</v>
      </c>
      <c r="C1183" s="1" t="n">
        <v>45258</v>
      </c>
      <c r="D1183" t="inlineStr">
        <is>
          <t>VÄSTERNORRLANDS LÄN</t>
        </is>
      </c>
      <c r="E1183" t="inlineStr">
        <is>
          <t>ÅNGE</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19811-2023</t>
        </is>
      </c>
      <c r="B1184" s="1" t="n">
        <v>45052</v>
      </c>
      <c r="C1184" s="1" t="n">
        <v>45258</v>
      </c>
      <c r="D1184" t="inlineStr">
        <is>
          <t>VÄSTERNORRLANDS LÄN</t>
        </is>
      </c>
      <c r="E1184" t="inlineStr">
        <is>
          <t>ÅNGE</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19810-2023</t>
        </is>
      </c>
      <c r="B1185" s="1" t="n">
        <v>45052</v>
      </c>
      <c r="C1185" s="1" t="n">
        <v>45258</v>
      </c>
      <c r="D1185" t="inlineStr">
        <is>
          <t>VÄSTERNORRLANDS LÄN</t>
        </is>
      </c>
      <c r="E1185" t="inlineStr">
        <is>
          <t>ÅNGE</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19827-2023</t>
        </is>
      </c>
      <c r="B1186" s="1" t="n">
        <v>45052</v>
      </c>
      <c r="C1186" s="1" t="n">
        <v>45258</v>
      </c>
      <c r="D1186" t="inlineStr">
        <is>
          <t>VÄSTERNORRLANDS LÄN</t>
        </is>
      </c>
      <c r="E1186" t="inlineStr">
        <is>
          <t>ÅNGE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20009-2023</t>
        </is>
      </c>
      <c r="B1187" s="1" t="n">
        <v>45051</v>
      </c>
      <c r="C1187" s="1" t="n">
        <v>45258</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20110-2023</t>
        </is>
      </c>
      <c r="B1188" s="1" t="n">
        <v>45051</v>
      </c>
      <c r="C1188" s="1" t="n">
        <v>45258</v>
      </c>
      <c r="D1188" t="inlineStr">
        <is>
          <t>VÄSTERNORRLANDS LÄN</t>
        </is>
      </c>
      <c r="E1188" t="inlineStr">
        <is>
          <t>ÅNGE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20024-2023</t>
        </is>
      </c>
      <c r="B1189" s="1" t="n">
        <v>45051</v>
      </c>
      <c r="C1189" s="1" t="n">
        <v>45258</v>
      </c>
      <c r="D1189" t="inlineStr">
        <is>
          <t>VÄSTERNORRLANDS LÄN</t>
        </is>
      </c>
      <c r="E1189" t="inlineStr">
        <is>
          <t>ÅNGE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19997-2023</t>
        </is>
      </c>
      <c r="B1190" s="1" t="n">
        <v>45054</v>
      </c>
      <c r="C1190" s="1" t="n">
        <v>45258</v>
      </c>
      <c r="D1190" t="inlineStr">
        <is>
          <t>VÄSTERNORRLANDS LÄN</t>
        </is>
      </c>
      <c r="E1190" t="inlineStr">
        <is>
          <t>ÅNGE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20099-2023</t>
        </is>
      </c>
      <c r="B1191" s="1" t="n">
        <v>45055</v>
      </c>
      <c r="C1191" s="1" t="n">
        <v>45258</v>
      </c>
      <c r="D1191" t="inlineStr">
        <is>
          <t>VÄSTERNORRLANDS LÄN</t>
        </is>
      </c>
      <c r="E1191" t="inlineStr">
        <is>
          <t>ÅNGE</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20255-2023</t>
        </is>
      </c>
      <c r="B1192" s="1" t="n">
        <v>45055</v>
      </c>
      <c r="C1192" s="1" t="n">
        <v>45258</v>
      </c>
      <c r="D1192" t="inlineStr">
        <is>
          <t>VÄSTERNORRLANDS LÄN</t>
        </is>
      </c>
      <c r="E1192" t="inlineStr">
        <is>
          <t>ÅNGE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20256-2023</t>
        </is>
      </c>
      <c r="B1193" s="1" t="n">
        <v>45055</v>
      </c>
      <c r="C1193" s="1" t="n">
        <v>45258</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20453-2023</t>
        </is>
      </c>
      <c r="B1194" s="1" t="n">
        <v>45057</v>
      </c>
      <c r="C1194" s="1" t="n">
        <v>45258</v>
      </c>
      <c r="D1194" t="inlineStr">
        <is>
          <t>VÄSTERNORRLANDS LÄN</t>
        </is>
      </c>
      <c r="E1194" t="inlineStr">
        <is>
          <t>ÅNGE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20627-2023</t>
        </is>
      </c>
      <c r="B1195" s="1" t="n">
        <v>45057</v>
      </c>
      <c r="C1195" s="1" t="n">
        <v>45258</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20853-2023</t>
        </is>
      </c>
      <c r="B1196" s="1" t="n">
        <v>45058</v>
      </c>
      <c r="C1196" s="1" t="n">
        <v>45258</v>
      </c>
      <c r="D1196" t="inlineStr">
        <is>
          <t>VÄSTERNORRLANDS LÄN</t>
        </is>
      </c>
      <c r="E1196" t="inlineStr">
        <is>
          <t>ÅNGE</t>
        </is>
      </c>
      <c r="F1196" t="inlineStr">
        <is>
          <t>Holmen skog AB</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20881-2023</t>
        </is>
      </c>
      <c r="B1197" s="1" t="n">
        <v>45059</v>
      </c>
      <c r="C1197" s="1" t="n">
        <v>45258</v>
      </c>
      <c r="D1197" t="inlineStr">
        <is>
          <t>VÄSTERNORRLANDS LÄN</t>
        </is>
      </c>
      <c r="E1197" t="inlineStr">
        <is>
          <t>ÅNGE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20885-2023</t>
        </is>
      </c>
      <c r="B1198" s="1" t="n">
        <v>45058</v>
      </c>
      <c r="C1198" s="1" t="n">
        <v>45258</v>
      </c>
      <c r="D1198" t="inlineStr">
        <is>
          <t>VÄSTERNORRLANDS LÄN</t>
        </is>
      </c>
      <c r="E1198" t="inlineStr">
        <is>
          <t>ÅNGE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20883-2023</t>
        </is>
      </c>
      <c r="B1199" s="1" t="n">
        <v>45059</v>
      </c>
      <c r="C1199" s="1" t="n">
        <v>45258</v>
      </c>
      <c r="D1199" t="inlineStr">
        <is>
          <t>VÄSTERNORRLANDS LÄN</t>
        </is>
      </c>
      <c r="E1199" t="inlineStr">
        <is>
          <t>ÅNGE</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20890-2023</t>
        </is>
      </c>
      <c r="B1200" s="1" t="n">
        <v>45058</v>
      </c>
      <c r="C1200" s="1" t="n">
        <v>45258</v>
      </c>
      <c r="D1200" t="inlineStr">
        <is>
          <t>VÄSTERNORRLANDS LÄN</t>
        </is>
      </c>
      <c r="E1200" t="inlineStr">
        <is>
          <t>ÅNGE</t>
        </is>
      </c>
      <c r="F1200" t="inlineStr">
        <is>
          <t>SCA</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20884-2023</t>
        </is>
      </c>
      <c r="B1201" s="1" t="n">
        <v>45059</v>
      </c>
      <c r="C1201" s="1" t="n">
        <v>45258</v>
      </c>
      <c r="D1201" t="inlineStr">
        <is>
          <t>VÄSTERNORRLANDS LÄN</t>
        </is>
      </c>
      <c r="E1201" t="inlineStr">
        <is>
          <t>ÅNGE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21354-2023</t>
        </is>
      </c>
      <c r="B1202" s="1" t="n">
        <v>45063</v>
      </c>
      <c r="C1202" s="1" t="n">
        <v>45258</v>
      </c>
      <c r="D1202" t="inlineStr">
        <is>
          <t>VÄSTERNORRLANDS LÄN</t>
        </is>
      </c>
      <c r="E1202" t="inlineStr">
        <is>
          <t>ÅNGE</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21352-2023</t>
        </is>
      </c>
      <c r="B1203" s="1" t="n">
        <v>45062</v>
      </c>
      <c r="C1203" s="1" t="n">
        <v>45258</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21355-2023</t>
        </is>
      </c>
      <c r="B1204" s="1" t="n">
        <v>45063</v>
      </c>
      <c r="C1204" s="1" t="n">
        <v>45258</v>
      </c>
      <c r="D1204" t="inlineStr">
        <is>
          <t>VÄSTERNORRLANDS LÄN</t>
        </is>
      </c>
      <c r="E1204" t="inlineStr">
        <is>
          <t>ÅNGE</t>
        </is>
      </c>
      <c r="F1204" t="inlineStr">
        <is>
          <t>SCA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21694-2023</t>
        </is>
      </c>
      <c r="B1205" s="1" t="n">
        <v>45063</v>
      </c>
      <c r="C1205" s="1" t="n">
        <v>45258</v>
      </c>
      <c r="D1205" t="inlineStr">
        <is>
          <t>VÄSTERNORRLANDS LÄN</t>
        </is>
      </c>
      <c r="E1205" t="inlineStr">
        <is>
          <t>ÅNGE</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21681-2023</t>
        </is>
      </c>
      <c r="B1206" s="1" t="n">
        <v>45064</v>
      </c>
      <c r="C1206" s="1" t="n">
        <v>45258</v>
      </c>
      <c r="D1206" t="inlineStr">
        <is>
          <t>VÄSTERNORRLANDS LÄN</t>
        </is>
      </c>
      <c r="E1206" t="inlineStr">
        <is>
          <t>ÅNGE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21691-2023</t>
        </is>
      </c>
      <c r="B1207" s="1" t="n">
        <v>45063</v>
      </c>
      <c r="C1207" s="1" t="n">
        <v>45258</v>
      </c>
      <c r="D1207" t="inlineStr">
        <is>
          <t>VÄSTERNORRLANDS LÄN</t>
        </is>
      </c>
      <c r="E1207" t="inlineStr">
        <is>
          <t>ÅNGE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21695-2023</t>
        </is>
      </c>
      <c r="B1208" s="1" t="n">
        <v>45063</v>
      </c>
      <c r="C1208" s="1" t="n">
        <v>45258</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21668-2023</t>
        </is>
      </c>
      <c r="B1209" s="1" t="n">
        <v>45064</v>
      </c>
      <c r="C1209" s="1" t="n">
        <v>45258</v>
      </c>
      <c r="D1209" t="inlineStr">
        <is>
          <t>VÄSTERNORRLANDS LÄN</t>
        </is>
      </c>
      <c r="E1209" t="inlineStr">
        <is>
          <t>ÅNGE</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21692-2023</t>
        </is>
      </c>
      <c r="B1210" s="1" t="n">
        <v>45063</v>
      </c>
      <c r="C1210" s="1" t="n">
        <v>45258</v>
      </c>
      <c r="D1210" t="inlineStr">
        <is>
          <t>VÄSTERNORRLANDS LÄN</t>
        </is>
      </c>
      <c r="E1210" t="inlineStr">
        <is>
          <t>ÅNGE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21680-2023</t>
        </is>
      </c>
      <c r="B1211" s="1" t="n">
        <v>45064</v>
      </c>
      <c r="C1211" s="1" t="n">
        <v>45258</v>
      </c>
      <c r="D1211" t="inlineStr">
        <is>
          <t>VÄSTERNORRLANDS LÄN</t>
        </is>
      </c>
      <c r="E1211" t="inlineStr">
        <is>
          <t>ÅNGE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21693-2023</t>
        </is>
      </c>
      <c r="B1212" s="1" t="n">
        <v>45063</v>
      </c>
      <c r="C1212" s="1" t="n">
        <v>45258</v>
      </c>
      <c r="D1212" t="inlineStr">
        <is>
          <t>VÄSTERNORRLANDS LÄN</t>
        </is>
      </c>
      <c r="E1212" t="inlineStr">
        <is>
          <t>ÅNGE</t>
        </is>
      </c>
      <c r="F1212" t="inlineStr">
        <is>
          <t>SCA</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22005-2023</t>
        </is>
      </c>
      <c r="B1213" s="1" t="n">
        <v>45069</v>
      </c>
      <c r="C1213" s="1" t="n">
        <v>45258</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22013-2023</t>
        </is>
      </c>
      <c r="B1214" s="1" t="n">
        <v>45069</v>
      </c>
      <c r="C1214" s="1" t="n">
        <v>45258</v>
      </c>
      <c r="D1214" t="inlineStr">
        <is>
          <t>VÄSTERNORRLANDS LÄN</t>
        </is>
      </c>
      <c r="E1214" t="inlineStr">
        <is>
          <t>ÅNGE</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22248-2023</t>
        </is>
      </c>
      <c r="B1215" s="1" t="n">
        <v>45070</v>
      </c>
      <c r="C1215" s="1" t="n">
        <v>45258</v>
      </c>
      <c r="D1215" t="inlineStr">
        <is>
          <t>VÄSTERNORRLANDS LÄN</t>
        </is>
      </c>
      <c r="E1215" t="inlineStr">
        <is>
          <t>ÅNGE</t>
        </is>
      </c>
      <c r="F1215" t="inlineStr">
        <is>
          <t>Sveaskog</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22411-2023</t>
        </is>
      </c>
      <c r="B1216" s="1" t="n">
        <v>45070</v>
      </c>
      <c r="C1216" s="1" t="n">
        <v>45258</v>
      </c>
      <c r="D1216" t="inlineStr">
        <is>
          <t>VÄSTERNORRLANDS LÄN</t>
        </is>
      </c>
      <c r="E1216" t="inlineStr">
        <is>
          <t>ÅNGE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22740-2023</t>
        </is>
      </c>
      <c r="B1217" s="1" t="n">
        <v>45072</v>
      </c>
      <c r="C1217" s="1" t="n">
        <v>45258</v>
      </c>
      <c r="D1217" t="inlineStr">
        <is>
          <t>VÄSTERNORRLANDS LÄN</t>
        </is>
      </c>
      <c r="E1217" t="inlineStr">
        <is>
          <t>ÅNGE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22755-2023</t>
        </is>
      </c>
      <c r="B1218" s="1" t="n">
        <v>45072</v>
      </c>
      <c r="C1218" s="1" t="n">
        <v>45258</v>
      </c>
      <c r="D1218" t="inlineStr">
        <is>
          <t>VÄSTERNORRLANDS LÄN</t>
        </is>
      </c>
      <c r="E1218" t="inlineStr">
        <is>
          <t>ÅNGE</t>
        </is>
      </c>
      <c r="F1218" t="inlineStr">
        <is>
          <t>SCA</t>
        </is>
      </c>
      <c r="G1218" t="n">
        <v>12.6</v>
      </c>
      <c r="H1218" t="n">
        <v>0</v>
      </c>
      <c r="I1218" t="n">
        <v>0</v>
      </c>
      <c r="J1218" t="n">
        <v>0</v>
      </c>
      <c r="K1218" t="n">
        <v>0</v>
      </c>
      <c r="L1218" t="n">
        <v>0</v>
      </c>
      <c r="M1218" t="n">
        <v>0</v>
      </c>
      <c r="N1218" t="n">
        <v>0</v>
      </c>
      <c r="O1218" t="n">
        <v>0</v>
      </c>
      <c r="P1218" t="n">
        <v>0</v>
      </c>
      <c r="Q1218" t="n">
        <v>0</v>
      </c>
      <c r="R1218" s="2" t="inlineStr"/>
    </row>
    <row r="1219" ht="15" customHeight="1">
      <c r="A1219" t="inlineStr">
        <is>
          <t>A 22752-2023</t>
        </is>
      </c>
      <c r="B1219" s="1" t="n">
        <v>45072</v>
      </c>
      <c r="C1219" s="1" t="n">
        <v>45258</v>
      </c>
      <c r="D1219" t="inlineStr">
        <is>
          <t>VÄSTERNORRLANDS LÄN</t>
        </is>
      </c>
      <c r="E1219" t="inlineStr">
        <is>
          <t>ÅNGE</t>
        </is>
      </c>
      <c r="F1219" t="inlineStr">
        <is>
          <t>SCA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22756-2023</t>
        </is>
      </c>
      <c r="B1220" s="1" t="n">
        <v>45072</v>
      </c>
      <c r="C1220" s="1" t="n">
        <v>45258</v>
      </c>
      <c r="D1220" t="inlineStr">
        <is>
          <t>VÄSTERNORRLANDS LÄN</t>
        </is>
      </c>
      <c r="E1220" t="inlineStr">
        <is>
          <t>ÅNGE</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22753-2023</t>
        </is>
      </c>
      <c r="B1221" s="1" t="n">
        <v>45072</v>
      </c>
      <c r="C1221" s="1" t="n">
        <v>45258</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22987-2023</t>
        </is>
      </c>
      <c r="B1222" s="1" t="n">
        <v>45072</v>
      </c>
      <c r="C1222" s="1" t="n">
        <v>45258</v>
      </c>
      <c r="D1222" t="inlineStr">
        <is>
          <t>VÄSTERNORRLANDS LÄN</t>
        </is>
      </c>
      <c r="E1222" t="inlineStr">
        <is>
          <t>ÅNGE</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22997-2023</t>
        </is>
      </c>
      <c r="B1223" s="1" t="n">
        <v>45073</v>
      </c>
      <c r="C1223" s="1" t="n">
        <v>45258</v>
      </c>
      <c r="D1223" t="inlineStr">
        <is>
          <t>VÄSTERNORRLANDS LÄN</t>
        </is>
      </c>
      <c r="E1223" t="inlineStr">
        <is>
          <t>ÅNGE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23308-2023</t>
        </is>
      </c>
      <c r="B1224" s="1" t="n">
        <v>45075</v>
      </c>
      <c r="C1224" s="1" t="n">
        <v>45258</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23307-2023</t>
        </is>
      </c>
      <c r="B1225" s="1" t="n">
        <v>45075</v>
      </c>
      <c r="C1225" s="1" t="n">
        <v>45258</v>
      </c>
      <c r="D1225" t="inlineStr">
        <is>
          <t>VÄSTERNORRLANDS LÄN</t>
        </is>
      </c>
      <c r="E1225" t="inlineStr">
        <is>
          <t>ÅNGE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23520-2023</t>
        </is>
      </c>
      <c r="B1226" s="1" t="n">
        <v>45077</v>
      </c>
      <c r="C1226" s="1" t="n">
        <v>45258</v>
      </c>
      <c r="D1226" t="inlineStr">
        <is>
          <t>VÄSTERNORRLANDS LÄN</t>
        </is>
      </c>
      <c r="E1226" t="inlineStr">
        <is>
          <t>ÅNGE</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23671-2023</t>
        </is>
      </c>
      <c r="B1227" s="1" t="n">
        <v>45077</v>
      </c>
      <c r="C1227" s="1" t="n">
        <v>45258</v>
      </c>
      <c r="D1227" t="inlineStr">
        <is>
          <t>VÄSTERNORRLANDS LÄN</t>
        </is>
      </c>
      <c r="E1227" t="inlineStr">
        <is>
          <t>ÅNGE</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23746-2023</t>
        </is>
      </c>
      <c r="B1228" s="1" t="n">
        <v>45077</v>
      </c>
      <c r="C1228" s="1" t="n">
        <v>45258</v>
      </c>
      <c r="D1228" t="inlineStr">
        <is>
          <t>VÄSTERNORRLANDS LÄN</t>
        </is>
      </c>
      <c r="E1228" t="inlineStr">
        <is>
          <t>ÅNGE</t>
        </is>
      </c>
      <c r="F1228" t="inlineStr">
        <is>
          <t>Holmen skog AB</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24037-2023</t>
        </is>
      </c>
      <c r="B1229" s="1" t="n">
        <v>45078</v>
      </c>
      <c r="C1229" s="1" t="n">
        <v>45258</v>
      </c>
      <c r="D1229" t="inlineStr">
        <is>
          <t>VÄSTERNORRLANDS LÄN</t>
        </is>
      </c>
      <c r="E1229" t="inlineStr">
        <is>
          <t>ÅNGE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24058-2023</t>
        </is>
      </c>
      <c r="B1230" s="1" t="n">
        <v>45079</v>
      </c>
      <c r="C1230" s="1" t="n">
        <v>45258</v>
      </c>
      <c r="D1230" t="inlineStr">
        <is>
          <t>VÄSTERNORRLANDS LÄN</t>
        </is>
      </c>
      <c r="E1230" t="inlineStr">
        <is>
          <t>ÅNGE</t>
        </is>
      </c>
      <c r="F1230" t="inlineStr">
        <is>
          <t>SCA</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24060-2023</t>
        </is>
      </c>
      <c r="B1231" s="1" t="n">
        <v>45079</v>
      </c>
      <c r="C1231" s="1" t="n">
        <v>45258</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24061-2023</t>
        </is>
      </c>
      <c r="B1232" s="1" t="n">
        <v>45079</v>
      </c>
      <c r="C1232" s="1" t="n">
        <v>45258</v>
      </c>
      <c r="D1232" t="inlineStr">
        <is>
          <t>VÄSTERNORRLANDS LÄN</t>
        </is>
      </c>
      <c r="E1232" t="inlineStr">
        <is>
          <t>ÅNGE</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24059-2023</t>
        </is>
      </c>
      <c r="B1233" s="1" t="n">
        <v>45079</v>
      </c>
      <c r="C1233" s="1" t="n">
        <v>45258</v>
      </c>
      <c r="D1233" t="inlineStr">
        <is>
          <t>VÄSTERNORRLANDS LÄN</t>
        </is>
      </c>
      <c r="E1233" t="inlineStr">
        <is>
          <t>ÅNGE</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24063-2023</t>
        </is>
      </c>
      <c r="B1234" s="1" t="n">
        <v>45079</v>
      </c>
      <c r="C1234" s="1" t="n">
        <v>45258</v>
      </c>
      <c r="D1234" t="inlineStr">
        <is>
          <t>VÄSTERNORRLANDS LÄN</t>
        </is>
      </c>
      <c r="E1234" t="inlineStr">
        <is>
          <t>ÅNGE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24062-2023</t>
        </is>
      </c>
      <c r="B1235" s="1" t="n">
        <v>45079</v>
      </c>
      <c r="C1235" s="1" t="n">
        <v>45258</v>
      </c>
      <c r="D1235" t="inlineStr">
        <is>
          <t>VÄSTERNORRLANDS LÄN</t>
        </is>
      </c>
      <c r="E1235" t="inlineStr">
        <is>
          <t>ÅNGE</t>
        </is>
      </c>
      <c r="F1235" t="inlineStr">
        <is>
          <t>SCA</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24066-2023</t>
        </is>
      </c>
      <c r="B1236" s="1" t="n">
        <v>45078</v>
      </c>
      <c r="C1236" s="1" t="n">
        <v>45258</v>
      </c>
      <c r="D1236" t="inlineStr">
        <is>
          <t>VÄSTERNORRLANDS LÄN</t>
        </is>
      </c>
      <c r="E1236" t="inlineStr">
        <is>
          <t>ÅNGE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24064-2023</t>
        </is>
      </c>
      <c r="B1237" s="1" t="n">
        <v>45078</v>
      </c>
      <c r="C1237" s="1" t="n">
        <v>45258</v>
      </c>
      <c r="D1237" t="inlineStr">
        <is>
          <t>VÄSTERNORRLANDS LÄN</t>
        </is>
      </c>
      <c r="E1237" t="inlineStr">
        <is>
          <t>ÅNGE</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24068-2023</t>
        </is>
      </c>
      <c r="B1238" s="1" t="n">
        <v>45078</v>
      </c>
      <c r="C1238" s="1" t="n">
        <v>45258</v>
      </c>
      <c r="D1238" t="inlineStr">
        <is>
          <t>VÄSTERNORRLANDS LÄN</t>
        </is>
      </c>
      <c r="E1238" t="inlineStr">
        <is>
          <t>ÅNGE</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24995-2023</t>
        </is>
      </c>
      <c r="B1239" s="1" t="n">
        <v>45078</v>
      </c>
      <c r="C1239" s="1" t="n">
        <v>45258</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24971-2023</t>
        </is>
      </c>
      <c r="B1240" s="1" t="n">
        <v>45078</v>
      </c>
      <c r="C1240" s="1" t="n">
        <v>45258</v>
      </c>
      <c r="D1240" t="inlineStr">
        <is>
          <t>VÄSTERNORRLANDS LÄN</t>
        </is>
      </c>
      <c r="E1240" t="inlineStr">
        <is>
          <t>ÅNGE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24290-2023</t>
        </is>
      </c>
      <c r="B1241" s="1" t="n">
        <v>45080</v>
      </c>
      <c r="C1241" s="1" t="n">
        <v>45258</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24293-2023</t>
        </is>
      </c>
      <c r="B1242" s="1" t="n">
        <v>45080</v>
      </c>
      <c r="C1242" s="1" t="n">
        <v>45258</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25266-2023</t>
        </is>
      </c>
      <c r="B1243" s="1" t="n">
        <v>45079</v>
      </c>
      <c r="C1243" s="1" t="n">
        <v>45258</v>
      </c>
      <c r="D1243" t="inlineStr">
        <is>
          <t>VÄSTERNORRLANDS LÄN</t>
        </is>
      </c>
      <c r="E1243" t="inlineStr">
        <is>
          <t>ÅNGE</t>
        </is>
      </c>
      <c r="G1243" t="n">
        <v>12.2</v>
      </c>
      <c r="H1243" t="n">
        <v>0</v>
      </c>
      <c r="I1243" t="n">
        <v>0</v>
      </c>
      <c r="J1243" t="n">
        <v>0</v>
      </c>
      <c r="K1243" t="n">
        <v>0</v>
      </c>
      <c r="L1243" t="n">
        <v>0</v>
      </c>
      <c r="M1243" t="n">
        <v>0</v>
      </c>
      <c r="N1243" t="n">
        <v>0</v>
      </c>
      <c r="O1243" t="n">
        <v>0</v>
      </c>
      <c r="P1243" t="n">
        <v>0</v>
      </c>
      <c r="Q1243" t="n">
        <v>0</v>
      </c>
      <c r="R1243" s="2" t="inlineStr"/>
    </row>
    <row r="1244" ht="15" customHeight="1">
      <c r="A1244" t="inlineStr">
        <is>
          <t>A 24552-2023</t>
        </is>
      </c>
      <c r="B1244" s="1" t="n">
        <v>45083</v>
      </c>
      <c r="C1244" s="1" t="n">
        <v>45258</v>
      </c>
      <c r="D1244" t="inlineStr">
        <is>
          <t>VÄSTERNORRLANDS LÄN</t>
        </is>
      </c>
      <c r="E1244" t="inlineStr">
        <is>
          <t>ÅNGE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24554-2023</t>
        </is>
      </c>
      <c r="B1245" s="1" t="n">
        <v>45083</v>
      </c>
      <c r="C1245" s="1" t="n">
        <v>45258</v>
      </c>
      <c r="D1245" t="inlineStr">
        <is>
          <t>VÄSTERNORRLANDS LÄN</t>
        </is>
      </c>
      <c r="E1245" t="inlineStr">
        <is>
          <t>ÅNGE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24541-2023</t>
        </is>
      </c>
      <c r="B1246" s="1" t="n">
        <v>45083</v>
      </c>
      <c r="C1246" s="1" t="n">
        <v>45258</v>
      </c>
      <c r="D1246" t="inlineStr">
        <is>
          <t>VÄSTERNORRLANDS LÄN</t>
        </is>
      </c>
      <c r="E1246" t="inlineStr">
        <is>
          <t>ÅNGE</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24553-2023</t>
        </is>
      </c>
      <c r="B1247" s="1" t="n">
        <v>45083</v>
      </c>
      <c r="C1247" s="1" t="n">
        <v>45258</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24614-2023</t>
        </is>
      </c>
      <c r="B1248" s="1" t="n">
        <v>45084</v>
      </c>
      <c r="C1248" s="1" t="n">
        <v>45258</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24817-2023</t>
        </is>
      </c>
      <c r="B1249" s="1" t="n">
        <v>45084</v>
      </c>
      <c r="C1249" s="1" t="n">
        <v>45258</v>
      </c>
      <c r="D1249" t="inlineStr">
        <is>
          <t>VÄSTERNORRLANDS LÄN</t>
        </is>
      </c>
      <c r="E1249" t="inlineStr">
        <is>
          <t>ÅNGE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24904-2023</t>
        </is>
      </c>
      <c r="B1250" s="1" t="n">
        <v>45085</v>
      </c>
      <c r="C1250" s="1" t="n">
        <v>45258</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25035-2023</t>
        </is>
      </c>
      <c r="B1251" s="1" t="n">
        <v>45085</v>
      </c>
      <c r="C1251" s="1" t="n">
        <v>45258</v>
      </c>
      <c r="D1251" t="inlineStr">
        <is>
          <t>VÄSTERNORRLANDS LÄN</t>
        </is>
      </c>
      <c r="E1251" t="inlineStr">
        <is>
          <t>ÅNGE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25047-2023</t>
        </is>
      </c>
      <c r="B1252" s="1" t="n">
        <v>45086</v>
      </c>
      <c r="C1252" s="1" t="n">
        <v>45258</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25063-2023</t>
        </is>
      </c>
      <c r="B1253" s="1" t="n">
        <v>45086</v>
      </c>
      <c r="C1253" s="1" t="n">
        <v>45258</v>
      </c>
      <c r="D1253" t="inlineStr">
        <is>
          <t>VÄSTERNORRLANDS LÄN</t>
        </is>
      </c>
      <c r="E1253" t="inlineStr">
        <is>
          <t>ÅNGE</t>
        </is>
      </c>
      <c r="F1253" t="inlineStr">
        <is>
          <t>SCA</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25034-2023</t>
        </is>
      </c>
      <c r="B1254" s="1" t="n">
        <v>45085</v>
      </c>
      <c r="C1254" s="1" t="n">
        <v>45258</v>
      </c>
      <c r="D1254" t="inlineStr">
        <is>
          <t>VÄSTERNORRLANDS LÄN</t>
        </is>
      </c>
      <c r="E1254" t="inlineStr">
        <is>
          <t>ÅNGE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25311-2023</t>
        </is>
      </c>
      <c r="B1255" s="1" t="n">
        <v>45087</v>
      </c>
      <c r="C1255" s="1" t="n">
        <v>45258</v>
      </c>
      <c r="D1255" t="inlineStr">
        <is>
          <t>VÄSTERNORRLANDS LÄN</t>
        </is>
      </c>
      <c r="E1255" t="inlineStr">
        <is>
          <t>ÅNGE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25320-2023</t>
        </is>
      </c>
      <c r="B1256" s="1" t="n">
        <v>45087</v>
      </c>
      <c r="C1256" s="1" t="n">
        <v>45258</v>
      </c>
      <c r="D1256" t="inlineStr">
        <is>
          <t>VÄSTERNORRLANDS LÄN</t>
        </is>
      </c>
      <c r="E1256" t="inlineStr">
        <is>
          <t>ÅNGE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25324-2023</t>
        </is>
      </c>
      <c r="B1257" s="1" t="n">
        <v>45087</v>
      </c>
      <c r="C1257" s="1" t="n">
        <v>45258</v>
      </c>
      <c r="D1257" t="inlineStr">
        <is>
          <t>VÄSTERNORRLANDS LÄN</t>
        </is>
      </c>
      <c r="E1257" t="inlineStr">
        <is>
          <t>ÅNGE</t>
        </is>
      </c>
      <c r="F1257" t="inlineStr">
        <is>
          <t>SCA</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25312-2023</t>
        </is>
      </c>
      <c r="B1258" s="1" t="n">
        <v>45087</v>
      </c>
      <c r="C1258" s="1" t="n">
        <v>45258</v>
      </c>
      <c r="D1258" t="inlineStr">
        <is>
          <t>VÄSTERNORRLANDS LÄN</t>
        </is>
      </c>
      <c r="E1258" t="inlineStr">
        <is>
          <t>ÅNGE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25321-2023</t>
        </is>
      </c>
      <c r="B1259" s="1" t="n">
        <v>45087</v>
      </c>
      <c r="C1259" s="1" t="n">
        <v>45258</v>
      </c>
      <c r="D1259" t="inlineStr">
        <is>
          <t>VÄSTERNORRLANDS LÄN</t>
        </is>
      </c>
      <c r="E1259" t="inlineStr">
        <is>
          <t>ÅNGE</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25325-2023</t>
        </is>
      </c>
      <c r="B1260" s="1" t="n">
        <v>45087</v>
      </c>
      <c r="C1260" s="1" t="n">
        <v>45258</v>
      </c>
      <c r="D1260" t="inlineStr">
        <is>
          <t>VÄSTERNORRLANDS LÄN</t>
        </is>
      </c>
      <c r="E1260" t="inlineStr">
        <is>
          <t>ÅNGE</t>
        </is>
      </c>
      <c r="F1260" t="inlineStr">
        <is>
          <t>SCA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25680-2023</t>
        </is>
      </c>
      <c r="B1261" s="1" t="n">
        <v>45089</v>
      </c>
      <c r="C1261" s="1" t="n">
        <v>45258</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25779-2023</t>
        </is>
      </c>
      <c r="B1262" s="1" t="n">
        <v>45090</v>
      </c>
      <c r="C1262" s="1" t="n">
        <v>45258</v>
      </c>
      <c r="D1262" t="inlineStr">
        <is>
          <t>VÄSTERNORRLANDS LÄN</t>
        </is>
      </c>
      <c r="E1262" t="inlineStr">
        <is>
          <t>ÅNGE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25771-2023</t>
        </is>
      </c>
      <c r="B1263" s="1" t="n">
        <v>45090</v>
      </c>
      <c r="C1263" s="1" t="n">
        <v>45258</v>
      </c>
      <c r="D1263" t="inlineStr">
        <is>
          <t>VÄSTERNORRLANDS LÄN</t>
        </is>
      </c>
      <c r="E1263" t="inlineStr">
        <is>
          <t>ÅNGE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26014-2023</t>
        </is>
      </c>
      <c r="B1264" s="1" t="n">
        <v>45091</v>
      </c>
      <c r="C1264" s="1" t="n">
        <v>45258</v>
      </c>
      <c r="D1264" t="inlineStr">
        <is>
          <t>VÄSTERNORRLANDS LÄN</t>
        </is>
      </c>
      <c r="E1264" t="inlineStr">
        <is>
          <t>ÅNGE</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26362-2023</t>
        </is>
      </c>
      <c r="B1265" s="1" t="n">
        <v>45091</v>
      </c>
      <c r="C1265" s="1" t="n">
        <v>45258</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26363-2023</t>
        </is>
      </c>
      <c r="B1266" s="1" t="n">
        <v>45091</v>
      </c>
      <c r="C1266" s="1" t="n">
        <v>45258</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26371-2023</t>
        </is>
      </c>
      <c r="B1267" s="1" t="n">
        <v>45092</v>
      </c>
      <c r="C1267" s="1" t="n">
        <v>45258</v>
      </c>
      <c r="D1267" t="inlineStr">
        <is>
          <t>VÄSTERNORRLANDS LÄN</t>
        </is>
      </c>
      <c r="E1267" t="inlineStr">
        <is>
          <t>ÅNGE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26365-2023</t>
        </is>
      </c>
      <c r="B1268" s="1" t="n">
        <v>45092</v>
      </c>
      <c r="C1268" s="1" t="n">
        <v>45258</v>
      </c>
      <c r="D1268" t="inlineStr">
        <is>
          <t>VÄSTERNORRLANDS LÄN</t>
        </is>
      </c>
      <c r="E1268" t="inlineStr">
        <is>
          <t>ÅNGE</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26364-2023</t>
        </is>
      </c>
      <c r="B1269" s="1" t="n">
        <v>45092</v>
      </c>
      <c r="C1269" s="1" t="n">
        <v>45258</v>
      </c>
      <c r="D1269" t="inlineStr">
        <is>
          <t>VÄSTERNORRLANDS LÄN</t>
        </is>
      </c>
      <c r="E1269" t="inlineStr">
        <is>
          <t>ÅNGE</t>
        </is>
      </c>
      <c r="F1269" t="inlineStr">
        <is>
          <t>SCA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26360-2023</t>
        </is>
      </c>
      <c r="B1270" s="1" t="n">
        <v>45092</v>
      </c>
      <c r="C1270" s="1" t="n">
        <v>45258</v>
      </c>
      <c r="D1270" t="inlineStr">
        <is>
          <t>VÄSTERNORRLANDS LÄN</t>
        </is>
      </c>
      <c r="E1270" t="inlineStr">
        <is>
          <t>ÅNGE</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26513-2023</t>
        </is>
      </c>
      <c r="B1271" s="1" t="n">
        <v>45092</v>
      </c>
      <c r="C1271" s="1" t="n">
        <v>45258</v>
      </c>
      <c r="D1271" t="inlineStr">
        <is>
          <t>VÄSTERNORRLANDS LÄN</t>
        </is>
      </c>
      <c r="E1271" t="inlineStr">
        <is>
          <t>ÅNGE</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27260-2023</t>
        </is>
      </c>
      <c r="B1272" s="1" t="n">
        <v>45092</v>
      </c>
      <c r="C1272" s="1" t="n">
        <v>45258</v>
      </c>
      <c r="D1272" t="inlineStr">
        <is>
          <t>VÄSTERNORRLANDS LÄN</t>
        </is>
      </c>
      <c r="E1272" t="inlineStr">
        <is>
          <t>ÅNGE</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26898-2023</t>
        </is>
      </c>
      <c r="B1273" s="1" t="n">
        <v>45093</v>
      </c>
      <c r="C1273" s="1" t="n">
        <v>45258</v>
      </c>
      <c r="D1273" t="inlineStr">
        <is>
          <t>VÄSTERNORRLANDS LÄN</t>
        </is>
      </c>
      <c r="E1273" t="inlineStr">
        <is>
          <t>ÅNGE</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26865-2023</t>
        </is>
      </c>
      <c r="B1274" s="1" t="n">
        <v>45093</v>
      </c>
      <c r="C1274" s="1" t="n">
        <v>45258</v>
      </c>
      <c r="D1274" t="inlineStr">
        <is>
          <t>VÄSTERNORRLANDS LÄN</t>
        </is>
      </c>
      <c r="E1274" t="inlineStr">
        <is>
          <t>ÅNGE</t>
        </is>
      </c>
      <c r="F1274" t="inlineStr">
        <is>
          <t>Holmen skog AB</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27002-2023</t>
        </is>
      </c>
      <c r="B1275" s="1" t="n">
        <v>45093</v>
      </c>
      <c r="C1275" s="1" t="n">
        <v>45258</v>
      </c>
      <c r="D1275" t="inlineStr">
        <is>
          <t>VÄSTERNORRLANDS LÄN</t>
        </is>
      </c>
      <c r="E1275" t="inlineStr">
        <is>
          <t>ÅNGE</t>
        </is>
      </c>
      <c r="F1275" t="inlineStr">
        <is>
          <t>SCA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27016-2023</t>
        </is>
      </c>
      <c r="B1276" s="1" t="n">
        <v>45094</v>
      </c>
      <c r="C1276" s="1" t="n">
        <v>45258</v>
      </c>
      <c r="D1276" t="inlineStr">
        <is>
          <t>VÄSTERNORRLANDS LÄN</t>
        </is>
      </c>
      <c r="E1276" t="inlineStr">
        <is>
          <t>ÅNGE</t>
        </is>
      </c>
      <c r="F1276" t="inlineStr">
        <is>
          <t>Holmen skog AB</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27356-2023</t>
        </is>
      </c>
      <c r="B1277" s="1" t="n">
        <v>45097</v>
      </c>
      <c r="C1277" s="1" t="n">
        <v>45258</v>
      </c>
      <c r="D1277" t="inlineStr">
        <is>
          <t>VÄSTERNORRLANDS LÄN</t>
        </is>
      </c>
      <c r="E1277" t="inlineStr">
        <is>
          <t>ÅNGE</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27645-2023</t>
        </is>
      </c>
      <c r="B1278" s="1" t="n">
        <v>45097</v>
      </c>
      <c r="C1278" s="1" t="n">
        <v>45258</v>
      </c>
      <c r="D1278" t="inlineStr">
        <is>
          <t>VÄSTERNORRLANDS LÄN</t>
        </is>
      </c>
      <c r="E1278" t="inlineStr">
        <is>
          <t>ÅNGE</t>
        </is>
      </c>
      <c r="F1278" t="inlineStr">
        <is>
          <t>Holmen skog AB</t>
        </is>
      </c>
      <c r="G1278" t="n">
        <v>11.1</v>
      </c>
      <c r="H1278" t="n">
        <v>0</v>
      </c>
      <c r="I1278" t="n">
        <v>0</v>
      </c>
      <c r="J1278" t="n">
        <v>0</v>
      </c>
      <c r="K1278" t="n">
        <v>0</v>
      </c>
      <c r="L1278" t="n">
        <v>0</v>
      </c>
      <c r="M1278" t="n">
        <v>0</v>
      </c>
      <c r="N1278" t="n">
        <v>0</v>
      </c>
      <c r="O1278" t="n">
        <v>0</v>
      </c>
      <c r="P1278" t="n">
        <v>0</v>
      </c>
      <c r="Q1278" t="n">
        <v>0</v>
      </c>
      <c r="R1278" s="2" t="inlineStr"/>
    </row>
    <row r="1279" ht="15" customHeight="1">
      <c r="A1279" t="inlineStr">
        <is>
          <t>A 27682-2023</t>
        </is>
      </c>
      <c r="B1279" s="1" t="n">
        <v>45098</v>
      </c>
      <c r="C1279" s="1" t="n">
        <v>45258</v>
      </c>
      <c r="D1279" t="inlineStr">
        <is>
          <t>VÄSTERNORRLANDS LÄN</t>
        </is>
      </c>
      <c r="E1279" t="inlineStr">
        <is>
          <t>ÅNGE</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28367-2023</t>
        </is>
      </c>
      <c r="B1280" s="1" t="n">
        <v>45099</v>
      </c>
      <c r="C1280" s="1" t="n">
        <v>45258</v>
      </c>
      <c r="D1280" t="inlineStr">
        <is>
          <t>VÄSTERNORRLANDS LÄN</t>
        </is>
      </c>
      <c r="E1280" t="inlineStr">
        <is>
          <t>ÅNGE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30273-2023</t>
        </is>
      </c>
      <c r="B1281" s="1" t="n">
        <v>45099</v>
      </c>
      <c r="C1281" s="1" t="n">
        <v>45258</v>
      </c>
      <c r="D1281" t="inlineStr">
        <is>
          <t>VÄSTERNORRLANDS LÄN</t>
        </is>
      </c>
      <c r="E1281" t="inlineStr">
        <is>
          <t>ÅNGE</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28427-2023</t>
        </is>
      </c>
      <c r="B1282" s="1" t="n">
        <v>45102</v>
      </c>
      <c r="C1282" s="1" t="n">
        <v>45258</v>
      </c>
      <c r="D1282" t="inlineStr">
        <is>
          <t>VÄSTERNORRLANDS LÄN</t>
        </is>
      </c>
      <c r="E1282" t="inlineStr">
        <is>
          <t>ÅNGE</t>
        </is>
      </c>
      <c r="F1282" t="inlineStr">
        <is>
          <t>Kyrkan</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28435-2023</t>
        </is>
      </c>
      <c r="B1283" s="1" t="n">
        <v>45102</v>
      </c>
      <c r="C1283" s="1" t="n">
        <v>45258</v>
      </c>
      <c r="D1283" t="inlineStr">
        <is>
          <t>VÄSTERNORRLANDS LÄN</t>
        </is>
      </c>
      <c r="E1283" t="inlineStr">
        <is>
          <t>ÅNGE</t>
        </is>
      </c>
      <c r="F1283" t="inlineStr">
        <is>
          <t>Kyrkan</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28428-2023</t>
        </is>
      </c>
      <c r="B1284" s="1" t="n">
        <v>45102</v>
      </c>
      <c r="C1284" s="1" t="n">
        <v>45258</v>
      </c>
      <c r="D1284" t="inlineStr">
        <is>
          <t>VÄSTERNORRLANDS LÄN</t>
        </is>
      </c>
      <c r="E1284" t="inlineStr">
        <is>
          <t>ÅNGE</t>
        </is>
      </c>
      <c r="F1284" t="inlineStr">
        <is>
          <t>Kyrkan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28699-2023</t>
        </is>
      </c>
      <c r="B1285" s="1" t="n">
        <v>45103</v>
      </c>
      <c r="C1285" s="1" t="n">
        <v>45258</v>
      </c>
      <c r="D1285" t="inlineStr">
        <is>
          <t>VÄSTERNORRLANDS LÄN</t>
        </is>
      </c>
      <c r="E1285" t="inlineStr">
        <is>
          <t>ÅNGE</t>
        </is>
      </c>
      <c r="F1285" t="inlineStr">
        <is>
          <t>Holmen skog AB</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28707-2023</t>
        </is>
      </c>
      <c r="B1286" s="1" t="n">
        <v>45103</v>
      </c>
      <c r="C1286" s="1" t="n">
        <v>45258</v>
      </c>
      <c r="D1286" t="inlineStr">
        <is>
          <t>VÄSTERNORRLANDS LÄN</t>
        </is>
      </c>
      <c r="E1286" t="inlineStr">
        <is>
          <t>ÅNGE</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28784-2023</t>
        </is>
      </c>
      <c r="B1287" s="1" t="n">
        <v>45104</v>
      </c>
      <c r="C1287" s="1" t="n">
        <v>45258</v>
      </c>
      <c r="D1287" t="inlineStr">
        <is>
          <t>VÄSTERNORRLANDS LÄN</t>
        </is>
      </c>
      <c r="E1287" t="inlineStr">
        <is>
          <t>ÅNGE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28779-2023</t>
        </is>
      </c>
      <c r="B1288" s="1" t="n">
        <v>45104</v>
      </c>
      <c r="C1288" s="1" t="n">
        <v>45258</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28821-2023</t>
        </is>
      </c>
      <c r="B1289" s="1" t="n">
        <v>45104</v>
      </c>
      <c r="C1289" s="1" t="n">
        <v>45258</v>
      </c>
      <c r="D1289" t="inlineStr">
        <is>
          <t>VÄSTERNORRLANDS LÄN</t>
        </is>
      </c>
      <c r="E1289" t="inlineStr">
        <is>
          <t>ÅNGE</t>
        </is>
      </c>
      <c r="F1289" t="inlineStr">
        <is>
          <t>Holmen skog AB</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29063-2023</t>
        </is>
      </c>
      <c r="B1290" s="1" t="n">
        <v>45105</v>
      </c>
      <c r="C1290" s="1" t="n">
        <v>45258</v>
      </c>
      <c r="D1290" t="inlineStr">
        <is>
          <t>VÄSTERNORRLANDS LÄN</t>
        </is>
      </c>
      <c r="E1290" t="inlineStr">
        <is>
          <t>ÅNGE</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29321-2023</t>
        </is>
      </c>
      <c r="B1291" s="1" t="n">
        <v>45106</v>
      </c>
      <c r="C1291" s="1" t="n">
        <v>45258</v>
      </c>
      <c r="D1291" t="inlineStr">
        <is>
          <t>VÄSTERNORRLANDS LÄN</t>
        </is>
      </c>
      <c r="E1291" t="inlineStr">
        <is>
          <t>ÅNGE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29330-2023</t>
        </is>
      </c>
      <c r="B1292" s="1" t="n">
        <v>45105</v>
      </c>
      <c r="C1292" s="1" t="n">
        <v>45258</v>
      </c>
      <c r="D1292" t="inlineStr">
        <is>
          <t>VÄSTERNORRLANDS LÄN</t>
        </is>
      </c>
      <c r="E1292" t="inlineStr">
        <is>
          <t>ÅNGE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29342-2023</t>
        </is>
      </c>
      <c r="B1293" s="1" t="n">
        <v>45105</v>
      </c>
      <c r="C1293" s="1" t="n">
        <v>45258</v>
      </c>
      <c r="D1293" t="inlineStr">
        <is>
          <t>VÄSTERNORRLANDS LÄN</t>
        </is>
      </c>
      <c r="E1293" t="inlineStr">
        <is>
          <t>ÅNGE</t>
        </is>
      </c>
      <c r="F1293" t="inlineStr">
        <is>
          <t>SCA</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29320-2023</t>
        </is>
      </c>
      <c r="B1294" s="1" t="n">
        <v>45106</v>
      </c>
      <c r="C1294" s="1" t="n">
        <v>45258</v>
      </c>
      <c r="D1294" t="inlineStr">
        <is>
          <t>VÄSTERNORRLANDS LÄN</t>
        </is>
      </c>
      <c r="E1294" t="inlineStr">
        <is>
          <t>ÅNGE</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29327-2023</t>
        </is>
      </c>
      <c r="B1295" s="1" t="n">
        <v>45106</v>
      </c>
      <c r="C1295" s="1" t="n">
        <v>45258</v>
      </c>
      <c r="D1295" t="inlineStr">
        <is>
          <t>VÄSTERNORRLANDS LÄN</t>
        </is>
      </c>
      <c r="E1295" t="inlineStr">
        <is>
          <t>ÅNGE</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29331-2023</t>
        </is>
      </c>
      <c r="B1296" s="1" t="n">
        <v>45105</v>
      </c>
      <c r="C1296" s="1" t="n">
        <v>45258</v>
      </c>
      <c r="D1296" t="inlineStr">
        <is>
          <t>VÄSTERNORRLANDS LÄN</t>
        </is>
      </c>
      <c r="E1296" t="inlineStr">
        <is>
          <t>ÅNGE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29395-2023</t>
        </is>
      </c>
      <c r="B1297" s="1" t="n">
        <v>45106</v>
      </c>
      <c r="C1297" s="1" t="n">
        <v>45258</v>
      </c>
      <c r="D1297" t="inlineStr">
        <is>
          <t>VÄSTERNORRLANDS LÄN</t>
        </is>
      </c>
      <c r="E1297" t="inlineStr">
        <is>
          <t>ÅNGE</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29610-2023</t>
        </is>
      </c>
      <c r="B1298" s="1" t="n">
        <v>45106</v>
      </c>
      <c r="C1298" s="1" t="n">
        <v>45258</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29618-2023</t>
        </is>
      </c>
      <c r="B1299" s="1" t="n">
        <v>45107</v>
      </c>
      <c r="C1299" s="1" t="n">
        <v>45258</v>
      </c>
      <c r="D1299" t="inlineStr">
        <is>
          <t>VÄSTERNORRLANDS LÄN</t>
        </is>
      </c>
      <c r="E1299" t="inlineStr">
        <is>
          <t>ÅNGE</t>
        </is>
      </c>
      <c r="F1299" t="inlineStr">
        <is>
          <t>SCA</t>
        </is>
      </c>
      <c r="G1299" t="n">
        <v>26.8</v>
      </c>
      <c r="H1299" t="n">
        <v>0</v>
      </c>
      <c r="I1299" t="n">
        <v>0</v>
      </c>
      <c r="J1299" t="n">
        <v>0</v>
      </c>
      <c r="K1299" t="n">
        <v>0</v>
      </c>
      <c r="L1299" t="n">
        <v>0</v>
      </c>
      <c r="M1299" t="n">
        <v>0</v>
      </c>
      <c r="N1299" t="n">
        <v>0</v>
      </c>
      <c r="O1299" t="n">
        <v>0</v>
      </c>
      <c r="P1299" t="n">
        <v>0</v>
      </c>
      <c r="Q1299" t="n">
        <v>0</v>
      </c>
      <c r="R1299" s="2" t="inlineStr"/>
    </row>
    <row r="1300" ht="15" customHeight="1">
      <c r="A1300" t="inlineStr">
        <is>
          <t>A 29609-2023</t>
        </is>
      </c>
      <c r="B1300" s="1" t="n">
        <v>45107</v>
      </c>
      <c r="C1300" s="1" t="n">
        <v>45258</v>
      </c>
      <c r="D1300" t="inlineStr">
        <is>
          <t>VÄSTERNORRLANDS LÄN</t>
        </is>
      </c>
      <c r="E1300" t="inlineStr">
        <is>
          <t>ÅNGE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29945-2023</t>
        </is>
      </c>
      <c r="B1301" s="1" t="n">
        <v>45108</v>
      </c>
      <c r="C1301" s="1" t="n">
        <v>45258</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32069-2023</t>
        </is>
      </c>
      <c r="B1302" s="1" t="n">
        <v>45107</v>
      </c>
      <c r="C1302" s="1" t="n">
        <v>45258</v>
      </c>
      <c r="D1302" t="inlineStr">
        <is>
          <t>VÄSTERNORRLANDS LÄN</t>
        </is>
      </c>
      <c r="E1302" t="inlineStr">
        <is>
          <t>ÅNGE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30304-2023</t>
        </is>
      </c>
      <c r="B1303" s="1" t="n">
        <v>45111</v>
      </c>
      <c r="C1303" s="1" t="n">
        <v>45258</v>
      </c>
      <c r="D1303" t="inlineStr">
        <is>
          <t>VÄSTERNORRLANDS LÄN</t>
        </is>
      </c>
      <c r="E1303" t="inlineStr">
        <is>
          <t>ÅNGE</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30303-2023</t>
        </is>
      </c>
      <c r="B1304" s="1" t="n">
        <v>45111</v>
      </c>
      <c r="C1304" s="1" t="n">
        <v>45258</v>
      </c>
      <c r="D1304" t="inlineStr">
        <is>
          <t>VÄSTERNORRLANDS LÄN</t>
        </is>
      </c>
      <c r="E1304" t="inlineStr">
        <is>
          <t>ÅNGE</t>
        </is>
      </c>
      <c r="F1304" t="inlineStr">
        <is>
          <t>SCA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30556-2023</t>
        </is>
      </c>
      <c r="B1305" s="1" t="n">
        <v>45111</v>
      </c>
      <c r="C1305" s="1" t="n">
        <v>45258</v>
      </c>
      <c r="D1305" t="inlineStr">
        <is>
          <t>VÄSTERNORRLANDS LÄN</t>
        </is>
      </c>
      <c r="E1305" t="inlineStr">
        <is>
          <t>ÅNGE</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30558-2023</t>
        </is>
      </c>
      <c r="B1306" s="1" t="n">
        <v>45111</v>
      </c>
      <c r="C1306" s="1" t="n">
        <v>45258</v>
      </c>
      <c r="D1306" t="inlineStr">
        <is>
          <t>VÄSTERNORRLANDS LÄN</t>
        </is>
      </c>
      <c r="E1306" t="inlineStr">
        <is>
          <t>ÅNGE</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30817-2023</t>
        </is>
      </c>
      <c r="B1307" s="1" t="n">
        <v>45112</v>
      </c>
      <c r="C1307" s="1" t="n">
        <v>45258</v>
      </c>
      <c r="D1307" t="inlineStr">
        <is>
          <t>VÄSTERNORRLANDS LÄN</t>
        </is>
      </c>
      <c r="E1307" t="inlineStr">
        <is>
          <t>ÅNGE</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30853-2023</t>
        </is>
      </c>
      <c r="B1308" s="1" t="n">
        <v>45113</v>
      </c>
      <c r="C1308" s="1" t="n">
        <v>45258</v>
      </c>
      <c r="D1308" t="inlineStr">
        <is>
          <t>VÄSTERNORRLANDS LÄN</t>
        </is>
      </c>
      <c r="E1308" t="inlineStr">
        <is>
          <t>ÅNGE</t>
        </is>
      </c>
      <c r="F1308" t="inlineStr">
        <is>
          <t>SCA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30844-2023</t>
        </is>
      </c>
      <c r="B1309" s="1" t="n">
        <v>45112</v>
      </c>
      <c r="C1309" s="1" t="n">
        <v>45258</v>
      </c>
      <c r="D1309" t="inlineStr">
        <is>
          <t>VÄSTERNORRLANDS LÄN</t>
        </is>
      </c>
      <c r="E1309" t="inlineStr">
        <is>
          <t>ÅNGE</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30852-2023</t>
        </is>
      </c>
      <c r="B1310" s="1" t="n">
        <v>45113</v>
      </c>
      <c r="C1310" s="1" t="n">
        <v>45258</v>
      </c>
      <c r="D1310" t="inlineStr">
        <is>
          <t>VÄSTERNORRLANDS LÄN</t>
        </is>
      </c>
      <c r="E1310" t="inlineStr">
        <is>
          <t>ÅNGE</t>
        </is>
      </c>
      <c r="F1310" t="inlineStr">
        <is>
          <t>SCA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31224-2023</t>
        </is>
      </c>
      <c r="B1311" s="1" t="n">
        <v>45114</v>
      </c>
      <c r="C1311" s="1" t="n">
        <v>45258</v>
      </c>
      <c r="D1311" t="inlineStr">
        <is>
          <t>VÄSTERNORRLANDS LÄN</t>
        </is>
      </c>
      <c r="E1311" t="inlineStr">
        <is>
          <t>ÅNGE</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31225-2023</t>
        </is>
      </c>
      <c r="B1312" s="1" t="n">
        <v>45114</v>
      </c>
      <c r="C1312" s="1" t="n">
        <v>45258</v>
      </c>
      <c r="D1312" t="inlineStr">
        <is>
          <t>VÄSTERNORRLANDS LÄN</t>
        </is>
      </c>
      <c r="E1312" t="inlineStr">
        <is>
          <t>ÅNGE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31229-2023</t>
        </is>
      </c>
      <c r="B1313" s="1" t="n">
        <v>45114</v>
      </c>
      <c r="C1313" s="1" t="n">
        <v>45258</v>
      </c>
      <c r="D1313" t="inlineStr">
        <is>
          <t>VÄSTERNORRLANDS LÄN</t>
        </is>
      </c>
      <c r="E1313" t="inlineStr">
        <is>
          <t>ÅNGE</t>
        </is>
      </c>
      <c r="F1313" t="inlineStr">
        <is>
          <t>Sveaskog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31740-2023</t>
        </is>
      </c>
      <c r="B1314" s="1" t="n">
        <v>45118</v>
      </c>
      <c r="C1314" s="1" t="n">
        <v>45258</v>
      </c>
      <c r="D1314" t="inlineStr">
        <is>
          <t>VÄSTERNORRLANDS LÄN</t>
        </is>
      </c>
      <c r="E1314" t="inlineStr">
        <is>
          <t>ÅNGE</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31735-2023</t>
        </is>
      </c>
      <c r="B1315" s="1" t="n">
        <v>45117</v>
      </c>
      <c r="C1315" s="1" t="n">
        <v>45258</v>
      </c>
      <c r="D1315" t="inlineStr">
        <is>
          <t>VÄSTERNORRLANDS LÄN</t>
        </is>
      </c>
      <c r="E1315" t="inlineStr">
        <is>
          <t>ÅNGE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32227-2023</t>
        </is>
      </c>
      <c r="B1316" s="1" t="n">
        <v>45120</v>
      </c>
      <c r="C1316" s="1" t="n">
        <v>45258</v>
      </c>
      <c r="D1316" t="inlineStr">
        <is>
          <t>VÄSTERNORRLANDS LÄN</t>
        </is>
      </c>
      <c r="E1316" t="inlineStr">
        <is>
          <t>ÅNGE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32587-2023</t>
        </is>
      </c>
      <c r="B1317" s="1" t="n">
        <v>45121</v>
      </c>
      <c r="C1317" s="1" t="n">
        <v>45258</v>
      </c>
      <c r="D1317" t="inlineStr">
        <is>
          <t>VÄSTERNORRLANDS LÄN</t>
        </is>
      </c>
      <c r="E1317" t="inlineStr">
        <is>
          <t>ÅNGE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32901-2023</t>
        </is>
      </c>
      <c r="B1318" s="1" t="n">
        <v>45125</v>
      </c>
      <c r="C1318" s="1" t="n">
        <v>45258</v>
      </c>
      <c r="D1318" t="inlineStr">
        <is>
          <t>VÄSTERNORRLANDS LÄN</t>
        </is>
      </c>
      <c r="E1318" t="inlineStr">
        <is>
          <t>ÅNGE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33429-2023</t>
        </is>
      </c>
      <c r="B1319" s="1" t="n">
        <v>45129</v>
      </c>
      <c r="C1319" s="1" t="n">
        <v>45258</v>
      </c>
      <c r="D1319" t="inlineStr">
        <is>
          <t>VÄSTERNORRLANDS LÄN</t>
        </is>
      </c>
      <c r="E1319" t="inlineStr">
        <is>
          <t>ÅNGE</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33428-2023</t>
        </is>
      </c>
      <c r="B1320" s="1" t="n">
        <v>45129</v>
      </c>
      <c r="C1320" s="1" t="n">
        <v>45258</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33586-2023</t>
        </is>
      </c>
      <c r="B1321" s="1" t="n">
        <v>45132</v>
      </c>
      <c r="C1321" s="1" t="n">
        <v>45258</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33587-2023</t>
        </is>
      </c>
      <c r="B1322" s="1" t="n">
        <v>45132</v>
      </c>
      <c r="C1322" s="1" t="n">
        <v>45258</v>
      </c>
      <c r="D1322" t="inlineStr">
        <is>
          <t>VÄSTERNORRLANDS LÄN</t>
        </is>
      </c>
      <c r="E1322" t="inlineStr">
        <is>
          <t>ÅNGE</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34355-2023</t>
        </is>
      </c>
      <c r="B1323" s="1" t="n">
        <v>45131</v>
      </c>
      <c r="C1323" s="1" t="n">
        <v>45258</v>
      </c>
      <c r="D1323" t="inlineStr">
        <is>
          <t>VÄSTERNORRLANDS LÄN</t>
        </is>
      </c>
      <c r="E1323" t="inlineStr">
        <is>
          <t>ÅNGE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33864-2023</t>
        </is>
      </c>
      <c r="B1324" s="1" t="n">
        <v>45133</v>
      </c>
      <c r="C1324" s="1" t="n">
        <v>45258</v>
      </c>
      <c r="D1324" t="inlineStr">
        <is>
          <t>VÄSTERNORRLANDS LÄN</t>
        </is>
      </c>
      <c r="E1324" t="inlineStr">
        <is>
          <t>ÅNGE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33866-2023</t>
        </is>
      </c>
      <c r="B1325" s="1" t="n">
        <v>45133</v>
      </c>
      <c r="C1325" s="1" t="n">
        <v>45258</v>
      </c>
      <c r="D1325" t="inlineStr">
        <is>
          <t>VÄSTERNORRLANDS LÄN</t>
        </is>
      </c>
      <c r="E1325" t="inlineStr">
        <is>
          <t>ÅNGE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33936-2023</t>
        </is>
      </c>
      <c r="B1326" s="1" t="n">
        <v>45134</v>
      </c>
      <c r="C1326" s="1" t="n">
        <v>45258</v>
      </c>
      <c r="D1326" t="inlineStr">
        <is>
          <t>VÄSTERNORRLANDS LÄN</t>
        </is>
      </c>
      <c r="E1326" t="inlineStr">
        <is>
          <t>ÅNGE</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34318-2023</t>
        </is>
      </c>
      <c r="B1327" s="1" t="n">
        <v>45138</v>
      </c>
      <c r="C1327" s="1" t="n">
        <v>45258</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34316-2023</t>
        </is>
      </c>
      <c r="B1328" s="1" t="n">
        <v>45138</v>
      </c>
      <c r="C1328" s="1" t="n">
        <v>45258</v>
      </c>
      <c r="D1328" t="inlineStr">
        <is>
          <t>VÄSTERNORRLANDS LÄN</t>
        </is>
      </c>
      <c r="E1328" t="inlineStr">
        <is>
          <t>ÅNGE</t>
        </is>
      </c>
      <c r="F1328" t="inlineStr">
        <is>
          <t>SCA</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34317-2023</t>
        </is>
      </c>
      <c r="B1329" s="1" t="n">
        <v>45138</v>
      </c>
      <c r="C1329" s="1" t="n">
        <v>45258</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34620-2023</t>
        </is>
      </c>
      <c r="B1330" s="1" t="n">
        <v>45138</v>
      </c>
      <c r="C1330" s="1" t="n">
        <v>45258</v>
      </c>
      <c r="D1330" t="inlineStr">
        <is>
          <t>VÄSTERNORRLANDS LÄN</t>
        </is>
      </c>
      <c r="E1330" t="inlineStr">
        <is>
          <t>ÅNGE</t>
        </is>
      </c>
      <c r="F1330" t="inlineStr">
        <is>
          <t>SCA</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34269-2023</t>
        </is>
      </c>
      <c r="B1331" s="1" t="n">
        <v>45138</v>
      </c>
      <c r="C1331" s="1" t="n">
        <v>45258</v>
      </c>
      <c r="D1331" t="inlineStr">
        <is>
          <t>VÄSTERNORRLANDS LÄN</t>
        </is>
      </c>
      <c r="E1331" t="inlineStr">
        <is>
          <t>ÅNGE</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34315-2023</t>
        </is>
      </c>
      <c r="B1332" s="1" t="n">
        <v>45138</v>
      </c>
      <c r="C1332" s="1" t="n">
        <v>45258</v>
      </c>
      <c r="D1332" t="inlineStr">
        <is>
          <t>VÄSTERNORRLANDS LÄN</t>
        </is>
      </c>
      <c r="E1332" t="inlineStr">
        <is>
          <t>ÅNGE</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34319-2023</t>
        </is>
      </c>
      <c r="B1333" s="1" t="n">
        <v>45138</v>
      </c>
      <c r="C1333" s="1" t="n">
        <v>45258</v>
      </c>
      <c r="D1333" t="inlineStr">
        <is>
          <t>VÄSTERNORRLANDS LÄN</t>
        </is>
      </c>
      <c r="E1333" t="inlineStr">
        <is>
          <t>ÅNGE</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34491-2023</t>
        </is>
      </c>
      <c r="B1334" s="1" t="n">
        <v>45140</v>
      </c>
      <c r="C1334" s="1" t="n">
        <v>45258</v>
      </c>
      <c r="D1334" t="inlineStr">
        <is>
          <t>VÄSTERNORRLANDS LÄN</t>
        </is>
      </c>
      <c r="E1334" t="inlineStr">
        <is>
          <t>ÅNGE</t>
        </is>
      </c>
      <c r="F1334" t="inlineStr">
        <is>
          <t>SCA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34755-2023</t>
        </is>
      </c>
      <c r="B1335" s="1" t="n">
        <v>45139</v>
      </c>
      <c r="C1335" s="1" t="n">
        <v>45258</v>
      </c>
      <c r="D1335" t="inlineStr">
        <is>
          <t>VÄSTERNORRLANDS LÄN</t>
        </is>
      </c>
      <c r="E1335" t="inlineStr">
        <is>
          <t>ÅNGE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34490-2023</t>
        </is>
      </c>
      <c r="B1336" s="1" t="n">
        <v>45139</v>
      </c>
      <c r="C1336" s="1" t="n">
        <v>45258</v>
      </c>
      <c r="D1336" t="inlineStr">
        <is>
          <t>VÄSTERNORRLANDS LÄN</t>
        </is>
      </c>
      <c r="E1336" t="inlineStr">
        <is>
          <t>ÅNGE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34750-2023</t>
        </is>
      </c>
      <c r="B1337" s="1" t="n">
        <v>45139</v>
      </c>
      <c r="C1337" s="1" t="n">
        <v>45258</v>
      </c>
      <c r="D1337" t="inlineStr">
        <is>
          <t>VÄSTERNORRLANDS LÄN</t>
        </is>
      </c>
      <c r="E1337" t="inlineStr">
        <is>
          <t>ÅNGE</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34754-2023</t>
        </is>
      </c>
      <c r="B1338" s="1" t="n">
        <v>45139</v>
      </c>
      <c r="C1338" s="1" t="n">
        <v>45258</v>
      </c>
      <c r="D1338" t="inlineStr">
        <is>
          <t>VÄSTERNORRLANDS LÄN</t>
        </is>
      </c>
      <c r="E1338" t="inlineStr">
        <is>
          <t>ÅNGE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34705-2023</t>
        </is>
      </c>
      <c r="B1339" s="1" t="n">
        <v>45141</v>
      </c>
      <c r="C1339" s="1" t="n">
        <v>45258</v>
      </c>
      <c r="D1339" t="inlineStr">
        <is>
          <t>VÄSTERNORRLANDS LÄN</t>
        </is>
      </c>
      <c r="E1339" t="inlineStr">
        <is>
          <t>ÅNGE</t>
        </is>
      </c>
      <c r="F1339" t="inlineStr">
        <is>
          <t>SCA</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34703-2023</t>
        </is>
      </c>
      <c r="B1340" s="1" t="n">
        <v>45141</v>
      </c>
      <c r="C1340" s="1" t="n">
        <v>45258</v>
      </c>
      <c r="D1340" t="inlineStr">
        <is>
          <t>VÄSTERNORRLANDS LÄN</t>
        </is>
      </c>
      <c r="E1340" t="inlineStr">
        <is>
          <t>ÅNGE</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34690-2023</t>
        </is>
      </c>
      <c r="B1341" s="1" t="n">
        <v>45141</v>
      </c>
      <c r="C1341" s="1" t="n">
        <v>45258</v>
      </c>
      <c r="D1341" t="inlineStr">
        <is>
          <t>VÄSTERNORRLANDS LÄN</t>
        </is>
      </c>
      <c r="E1341" t="inlineStr">
        <is>
          <t>ÅNGE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34698-2023</t>
        </is>
      </c>
      <c r="B1342" s="1" t="n">
        <v>45140</v>
      </c>
      <c r="C1342" s="1" t="n">
        <v>45258</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34692-2023</t>
        </is>
      </c>
      <c r="B1343" s="1" t="n">
        <v>45140</v>
      </c>
      <c r="C1343" s="1" t="n">
        <v>45258</v>
      </c>
      <c r="D1343" t="inlineStr">
        <is>
          <t>VÄSTERNORRLANDS LÄN</t>
        </is>
      </c>
      <c r="E1343" t="inlineStr">
        <is>
          <t>ÅNGE</t>
        </is>
      </c>
      <c r="F1343" t="inlineStr">
        <is>
          <t>SCA</t>
        </is>
      </c>
      <c r="G1343" t="n">
        <v>12.8</v>
      </c>
      <c r="H1343" t="n">
        <v>0</v>
      </c>
      <c r="I1343" t="n">
        <v>0</v>
      </c>
      <c r="J1343" t="n">
        <v>0</v>
      </c>
      <c r="K1343" t="n">
        <v>0</v>
      </c>
      <c r="L1343" t="n">
        <v>0</v>
      </c>
      <c r="M1343" t="n">
        <v>0</v>
      </c>
      <c r="N1343" t="n">
        <v>0</v>
      </c>
      <c r="O1343" t="n">
        <v>0</v>
      </c>
      <c r="P1343" t="n">
        <v>0</v>
      </c>
      <c r="Q1343" t="n">
        <v>0</v>
      </c>
      <c r="R1343" s="2" t="inlineStr"/>
    </row>
    <row r="1344" ht="15" customHeight="1">
      <c r="A1344" t="inlineStr">
        <is>
          <t>A 34851-2023</t>
        </is>
      </c>
      <c r="B1344" s="1" t="n">
        <v>45141</v>
      </c>
      <c r="C1344" s="1" t="n">
        <v>45258</v>
      </c>
      <c r="D1344" t="inlineStr">
        <is>
          <t>VÄSTERNORRLANDS LÄN</t>
        </is>
      </c>
      <c r="E1344" t="inlineStr">
        <is>
          <t>ÅNGE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34850-2023</t>
        </is>
      </c>
      <c r="B1345" s="1" t="n">
        <v>45141</v>
      </c>
      <c r="C1345" s="1" t="n">
        <v>45258</v>
      </c>
      <c r="D1345" t="inlineStr">
        <is>
          <t>VÄSTERNORRLANDS LÄN</t>
        </is>
      </c>
      <c r="E1345" t="inlineStr">
        <is>
          <t>ÅNGE</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34852-2023</t>
        </is>
      </c>
      <c r="B1346" s="1" t="n">
        <v>45141</v>
      </c>
      <c r="C1346" s="1" t="n">
        <v>45258</v>
      </c>
      <c r="D1346" t="inlineStr">
        <is>
          <t>VÄSTERNORRLANDS LÄN</t>
        </is>
      </c>
      <c r="E1346" t="inlineStr">
        <is>
          <t>ÅNGE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34959-2023</t>
        </is>
      </c>
      <c r="B1347" s="1" t="n">
        <v>45142</v>
      </c>
      <c r="C1347" s="1" t="n">
        <v>45258</v>
      </c>
      <c r="D1347" t="inlineStr">
        <is>
          <t>VÄSTERNORRLANDS LÄN</t>
        </is>
      </c>
      <c r="E1347" t="inlineStr">
        <is>
          <t>ÅNGE</t>
        </is>
      </c>
      <c r="F1347" t="inlineStr">
        <is>
          <t>Sveaskog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34965-2023</t>
        </is>
      </c>
      <c r="B1348" s="1" t="n">
        <v>45142</v>
      </c>
      <c r="C1348" s="1" t="n">
        <v>45258</v>
      </c>
      <c r="D1348" t="inlineStr">
        <is>
          <t>VÄSTERNORRLANDS LÄN</t>
        </is>
      </c>
      <c r="E1348" t="inlineStr">
        <is>
          <t>ÅNGE</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34971-2023</t>
        </is>
      </c>
      <c r="B1349" s="1" t="n">
        <v>45142</v>
      </c>
      <c r="C1349" s="1" t="n">
        <v>45258</v>
      </c>
      <c r="D1349" t="inlineStr">
        <is>
          <t>VÄSTERNORRLANDS LÄN</t>
        </is>
      </c>
      <c r="E1349" t="inlineStr">
        <is>
          <t>ÅNGE</t>
        </is>
      </c>
      <c r="F1349" t="inlineStr">
        <is>
          <t>Sveaskog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34954-2023</t>
        </is>
      </c>
      <c r="B1350" s="1" t="n">
        <v>45142</v>
      </c>
      <c r="C1350" s="1" t="n">
        <v>45258</v>
      </c>
      <c r="D1350" t="inlineStr">
        <is>
          <t>VÄSTERNORRLANDS LÄN</t>
        </is>
      </c>
      <c r="E1350" t="inlineStr">
        <is>
          <t>ÅNGE</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34962-2023</t>
        </is>
      </c>
      <c r="B1351" s="1" t="n">
        <v>45142</v>
      </c>
      <c r="C1351" s="1" t="n">
        <v>45258</v>
      </c>
      <c r="D1351" t="inlineStr">
        <is>
          <t>VÄSTERNORRLANDS LÄN</t>
        </is>
      </c>
      <c r="E1351" t="inlineStr">
        <is>
          <t>ÅNGE</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35100-2023</t>
        </is>
      </c>
      <c r="B1352" s="1" t="n">
        <v>45142</v>
      </c>
      <c r="C1352" s="1" t="n">
        <v>45258</v>
      </c>
      <c r="D1352" t="inlineStr">
        <is>
          <t>VÄSTERNORRLANDS LÄN</t>
        </is>
      </c>
      <c r="E1352" t="inlineStr">
        <is>
          <t>ÅNGE</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35259-2023</t>
        </is>
      </c>
      <c r="B1353" s="1" t="n">
        <v>45145</v>
      </c>
      <c r="C1353" s="1" t="n">
        <v>45258</v>
      </c>
      <c r="D1353" t="inlineStr">
        <is>
          <t>VÄSTERNORRLANDS LÄN</t>
        </is>
      </c>
      <c r="E1353" t="inlineStr">
        <is>
          <t>ÅNGE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35260-2023</t>
        </is>
      </c>
      <c r="B1354" s="1" t="n">
        <v>45145</v>
      </c>
      <c r="C1354" s="1" t="n">
        <v>45258</v>
      </c>
      <c r="D1354" t="inlineStr">
        <is>
          <t>VÄSTERNORRLANDS LÄN</t>
        </is>
      </c>
      <c r="E1354" t="inlineStr">
        <is>
          <t>ÅNGE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35261-2023</t>
        </is>
      </c>
      <c r="B1355" s="1" t="n">
        <v>45145</v>
      </c>
      <c r="C1355" s="1" t="n">
        <v>45258</v>
      </c>
      <c r="D1355" t="inlineStr">
        <is>
          <t>VÄSTERNORRLANDS LÄN</t>
        </is>
      </c>
      <c r="E1355" t="inlineStr">
        <is>
          <t>ÅNGE</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35328-2023</t>
        </is>
      </c>
      <c r="B1356" s="1" t="n">
        <v>45145</v>
      </c>
      <c r="C1356" s="1" t="n">
        <v>45258</v>
      </c>
      <c r="D1356" t="inlineStr">
        <is>
          <t>VÄSTERNORRLANDS LÄN</t>
        </is>
      </c>
      <c r="E1356" t="inlineStr">
        <is>
          <t>ÅNGE</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35366-2023</t>
        </is>
      </c>
      <c r="B1357" s="1" t="n">
        <v>45145</v>
      </c>
      <c r="C1357" s="1" t="n">
        <v>45258</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35258-2023</t>
        </is>
      </c>
      <c r="B1358" s="1" t="n">
        <v>45145</v>
      </c>
      <c r="C1358" s="1" t="n">
        <v>45258</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35762-2023</t>
        </is>
      </c>
      <c r="B1359" s="1" t="n">
        <v>45147</v>
      </c>
      <c r="C1359" s="1" t="n">
        <v>45258</v>
      </c>
      <c r="D1359" t="inlineStr">
        <is>
          <t>VÄSTERNORRLANDS LÄN</t>
        </is>
      </c>
      <c r="E1359" t="inlineStr">
        <is>
          <t>ÅNGE</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35747-2023</t>
        </is>
      </c>
      <c r="B1360" s="1" t="n">
        <v>45147</v>
      </c>
      <c r="C1360" s="1" t="n">
        <v>45258</v>
      </c>
      <c r="D1360" t="inlineStr">
        <is>
          <t>VÄSTERNORRLANDS LÄN</t>
        </is>
      </c>
      <c r="E1360" t="inlineStr">
        <is>
          <t>ÅNGE</t>
        </is>
      </c>
      <c r="F1360" t="inlineStr">
        <is>
          <t>SCA</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35748-2023</t>
        </is>
      </c>
      <c r="B1361" s="1" t="n">
        <v>45148</v>
      </c>
      <c r="C1361" s="1" t="n">
        <v>45258</v>
      </c>
      <c r="D1361" t="inlineStr">
        <is>
          <t>VÄSTERNORRLANDS LÄN</t>
        </is>
      </c>
      <c r="E1361" t="inlineStr">
        <is>
          <t>ÅNGE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35749-2023</t>
        </is>
      </c>
      <c r="B1362" s="1" t="n">
        <v>45147</v>
      </c>
      <c r="C1362" s="1" t="n">
        <v>45258</v>
      </c>
      <c r="D1362" t="inlineStr">
        <is>
          <t>VÄSTERNORRLANDS LÄN</t>
        </is>
      </c>
      <c r="E1362" t="inlineStr">
        <is>
          <t>ÅNGE</t>
        </is>
      </c>
      <c r="F1362" t="inlineStr">
        <is>
          <t>SCA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35979-2023</t>
        </is>
      </c>
      <c r="B1363" s="1" t="n">
        <v>45148</v>
      </c>
      <c r="C1363" s="1" t="n">
        <v>45258</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35970-2023</t>
        </is>
      </c>
      <c r="B1364" s="1" t="n">
        <v>45148</v>
      </c>
      <c r="C1364" s="1" t="n">
        <v>45258</v>
      </c>
      <c r="D1364" t="inlineStr">
        <is>
          <t>VÄSTERNORRLANDS LÄN</t>
        </is>
      </c>
      <c r="E1364" t="inlineStr">
        <is>
          <t>ÅNGE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36210-2023</t>
        </is>
      </c>
      <c r="B1365" s="1" t="n">
        <v>45149</v>
      </c>
      <c r="C1365" s="1" t="n">
        <v>45258</v>
      </c>
      <c r="D1365" t="inlineStr">
        <is>
          <t>VÄSTERNORRLANDS LÄN</t>
        </is>
      </c>
      <c r="E1365" t="inlineStr">
        <is>
          <t>ÅNGE</t>
        </is>
      </c>
      <c r="F1365" t="inlineStr">
        <is>
          <t>SCA</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36290-2023</t>
        </is>
      </c>
      <c r="B1366" s="1" t="n">
        <v>45152</v>
      </c>
      <c r="C1366" s="1" t="n">
        <v>45258</v>
      </c>
      <c r="D1366" t="inlineStr">
        <is>
          <t>VÄSTERNORRLANDS LÄN</t>
        </is>
      </c>
      <c r="E1366" t="inlineStr">
        <is>
          <t>ÅNGE</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36494-2023</t>
        </is>
      </c>
      <c r="B1367" s="1" t="n">
        <v>45153</v>
      </c>
      <c r="C1367" s="1" t="n">
        <v>45258</v>
      </c>
      <c r="D1367" t="inlineStr">
        <is>
          <t>VÄSTERNORRLANDS LÄN</t>
        </is>
      </c>
      <c r="E1367" t="inlineStr">
        <is>
          <t>ÅNGE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36492-2023</t>
        </is>
      </c>
      <c r="B1368" s="1" t="n">
        <v>45153</v>
      </c>
      <c r="C1368" s="1" t="n">
        <v>45258</v>
      </c>
      <c r="D1368" t="inlineStr">
        <is>
          <t>VÄSTERNORRLANDS LÄN</t>
        </is>
      </c>
      <c r="E1368" t="inlineStr">
        <is>
          <t>ÅNGE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36766-2023</t>
        </is>
      </c>
      <c r="B1369" s="1" t="n">
        <v>45153</v>
      </c>
      <c r="C1369" s="1" t="n">
        <v>45258</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36760-2023</t>
        </is>
      </c>
      <c r="B1370" s="1" t="n">
        <v>45153</v>
      </c>
      <c r="C1370" s="1" t="n">
        <v>45258</v>
      </c>
      <c r="D1370" t="inlineStr">
        <is>
          <t>VÄSTERNORRLANDS LÄN</t>
        </is>
      </c>
      <c r="E1370" t="inlineStr">
        <is>
          <t>ÅNGE</t>
        </is>
      </c>
      <c r="F1370" t="inlineStr">
        <is>
          <t>SCA</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36801-2023</t>
        </is>
      </c>
      <c r="B1371" s="1" t="n">
        <v>45153</v>
      </c>
      <c r="C1371" s="1" t="n">
        <v>45258</v>
      </c>
      <c r="D1371" t="inlineStr">
        <is>
          <t>VÄSTERNORRLANDS LÄN</t>
        </is>
      </c>
      <c r="E1371" t="inlineStr">
        <is>
          <t>ÅNGE</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36790-2023</t>
        </is>
      </c>
      <c r="B1372" s="1" t="n">
        <v>45154</v>
      </c>
      <c r="C1372" s="1" t="n">
        <v>45258</v>
      </c>
      <c r="D1372" t="inlineStr">
        <is>
          <t>VÄSTERNORRLANDS LÄN</t>
        </is>
      </c>
      <c r="E1372" t="inlineStr">
        <is>
          <t>ÅNGE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36973-2023</t>
        </is>
      </c>
      <c r="B1373" s="1" t="n">
        <v>45154</v>
      </c>
      <c r="C1373" s="1" t="n">
        <v>45258</v>
      </c>
      <c r="D1373" t="inlineStr">
        <is>
          <t>VÄSTERNORRLANDS LÄN</t>
        </is>
      </c>
      <c r="E1373" t="inlineStr">
        <is>
          <t>ÅNGE</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36987-2023</t>
        </is>
      </c>
      <c r="B1374" s="1" t="n">
        <v>45155</v>
      </c>
      <c r="C1374" s="1" t="n">
        <v>45258</v>
      </c>
      <c r="D1374" t="inlineStr">
        <is>
          <t>VÄSTERNORRLANDS LÄN</t>
        </is>
      </c>
      <c r="E1374" t="inlineStr">
        <is>
          <t>ÅNGE</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37252-2023</t>
        </is>
      </c>
      <c r="B1375" s="1" t="n">
        <v>45155</v>
      </c>
      <c r="C1375" s="1" t="n">
        <v>45258</v>
      </c>
      <c r="D1375" t="inlineStr">
        <is>
          <t>VÄSTERNORRLANDS LÄN</t>
        </is>
      </c>
      <c r="E1375" t="inlineStr">
        <is>
          <t>ÅNGE</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37471-2023</t>
        </is>
      </c>
      <c r="B1376" s="1" t="n">
        <v>45157</v>
      </c>
      <c r="C1376" s="1" t="n">
        <v>45258</v>
      </c>
      <c r="D1376" t="inlineStr">
        <is>
          <t>VÄSTERNORRLANDS LÄN</t>
        </is>
      </c>
      <c r="E1376" t="inlineStr">
        <is>
          <t>ÅNGE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37503-2023</t>
        </is>
      </c>
      <c r="B1377" s="1" t="n">
        <v>45157</v>
      </c>
      <c r="C1377" s="1" t="n">
        <v>45258</v>
      </c>
      <c r="D1377" t="inlineStr">
        <is>
          <t>VÄSTERNORRLANDS LÄN</t>
        </is>
      </c>
      <c r="E1377" t="inlineStr">
        <is>
          <t>ÅNGE</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37502-2023</t>
        </is>
      </c>
      <c r="B1378" s="1" t="n">
        <v>45157</v>
      </c>
      <c r="C1378" s="1" t="n">
        <v>45258</v>
      </c>
      <c r="D1378" t="inlineStr">
        <is>
          <t>VÄSTERNORRLANDS LÄN</t>
        </is>
      </c>
      <c r="E1378" t="inlineStr">
        <is>
          <t>ÅNGE</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37800-2023</t>
        </is>
      </c>
      <c r="B1379" s="1" t="n">
        <v>45159</v>
      </c>
      <c r="C1379" s="1" t="n">
        <v>45258</v>
      </c>
      <c r="D1379" t="inlineStr">
        <is>
          <t>VÄSTERNORRLANDS LÄN</t>
        </is>
      </c>
      <c r="E1379" t="inlineStr">
        <is>
          <t>ÅNGE</t>
        </is>
      </c>
      <c r="F1379" t="inlineStr">
        <is>
          <t>SCA</t>
        </is>
      </c>
      <c r="G1379" t="n">
        <v>15.3</v>
      </c>
      <c r="H1379" t="n">
        <v>0</v>
      </c>
      <c r="I1379" t="n">
        <v>0</v>
      </c>
      <c r="J1379" t="n">
        <v>0</v>
      </c>
      <c r="K1379" t="n">
        <v>0</v>
      </c>
      <c r="L1379" t="n">
        <v>0</v>
      </c>
      <c r="M1379" t="n">
        <v>0</v>
      </c>
      <c r="N1379" t="n">
        <v>0</v>
      </c>
      <c r="O1379" t="n">
        <v>0</v>
      </c>
      <c r="P1379" t="n">
        <v>0</v>
      </c>
      <c r="Q1379" t="n">
        <v>0</v>
      </c>
      <c r="R1379" s="2" t="inlineStr"/>
    </row>
    <row r="1380" ht="15" customHeight="1">
      <c r="A1380" t="inlineStr">
        <is>
          <t>A 37558-2023</t>
        </is>
      </c>
      <c r="B1380" s="1" t="n">
        <v>45159</v>
      </c>
      <c r="C1380" s="1" t="n">
        <v>45258</v>
      </c>
      <c r="D1380" t="inlineStr">
        <is>
          <t>VÄSTERNORRLANDS LÄN</t>
        </is>
      </c>
      <c r="E1380" t="inlineStr">
        <is>
          <t>ÅNGE</t>
        </is>
      </c>
      <c r="F1380" t="inlineStr">
        <is>
          <t>Kyrkan</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37801-2023</t>
        </is>
      </c>
      <c r="B1381" s="1" t="n">
        <v>45159</v>
      </c>
      <c r="C1381" s="1" t="n">
        <v>45258</v>
      </c>
      <c r="D1381" t="inlineStr">
        <is>
          <t>VÄSTERNORRLANDS LÄN</t>
        </is>
      </c>
      <c r="E1381" t="inlineStr">
        <is>
          <t>ÅNGE</t>
        </is>
      </c>
      <c r="F1381" t="inlineStr">
        <is>
          <t>SCA</t>
        </is>
      </c>
      <c r="G1381" t="n">
        <v>33.4</v>
      </c>
      <c r="H1381" t="n">
        <v>0</v>
      </c>
      <c r="I1381" t="n">
        <v>0</v>
      </c>
      <c r="J1381" t="n">
        <v>0</v>
      </c>
      <c r="K1381" t="n">
        <v>0</v>
      </c>
      <c r="L1381" t="n">
        <v>0</v>
      </c>
      <c r="M1381" t="n">
        <v>0</v>
      </c>
      <c r="N1381" t="n">
        <v>0</v>
      </c>
      <c r="O1381" t="n">
        <v>0</v>
      </c>
      <c r="P1381" t="n">
        <v>0</v>
      </c>
      <c r="Q1381" t="n">
        <v>0</v>
      </c>
      <c r="R1381" s="2" t="inlineStr"/>
    </row>
    <row r="1382" ht="15" customHeight="1">
      <c r="A1382" t="inlineStr">
        <is>
          <t>A 38090-2023</t>
        </is>
      </c>
      <c r="B1382" s="1" t="n">
        <v>45161</v>
      </c>
      <c r="C1382" s="1" t="n">
        <v>45258</v>
      </c>
      <c r="D1382" t="inlineStr">
        <is>
          <t>VÄSTERNORRLANDS LÄN</t>
        </is>
      </c>
      <c r="E1382" t="inlineStr">
        <is>
          <t>ÅNGE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39245-2023</t>
        </is>
      </c>
      <c r="B1383" s="1" t="n">
        <v>45162</v>
      </c>
      <c r="C1383" s="1" t="n">
        <v>45258</v>
      </c>
      <c r="D1383" t="inlineStr">
        <is>
          <t>VÄSTERNORRLANDS LÄN</t>
        </is>
      </c>
      <c r="E1383" t="inlineStr">
        <is>
          <t>ÅNGE</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38886-2023</t>
        </is>
      </c>
      <c r="B1384" s="1" t="n">
        <v>45162</v>
      </c>
      <c r="C1384" s="1" t="n">
        <v>45258</v>
      </c>
      <c r="D1384" t="inlineStr">
        <is>
          <t>VÄSTERNORRLANDS LÄN</t>
        </is>
      </c>
      <c r="E1384" t="inlineStr">
        <is>
          <t>ÅNGE</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38871-2023</t>
        </is>
      </c>
      <c r="B1385" s="1" t="n">
        <v>45162</v>
      </c>
      <c r="C1385" s="1" t="n">
        <v>45258</v>
      </c>
      <c r="D1385" t="inlineStr">
        <is>
          <t>VÄSTERNORRLANDS LÄN</t>
        </is>
      </c>
      <c r="E1385" t="inlineStr">
        <is>
          <t>ÅNGE</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39206-2023</t>
        </is>
      </c>
      <c r="B1386" s="1" t="n">
        <v>45162</v>
      </c>
      <c r="C1386" s="1" t="n">
        <v>45258</v>
      </c>
      <c r="D1386" t="inlineStr">
        <is>
          <t>VÄSTERNORRLANDS LÄN</t>
        </is>
      </c>
      <c r="E1386" t="inlineStr">
        <is>
          <t>ÅNGE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39261-2023</t>
        </is>
      </c>
      <c r="B1387" s="1" t="n">
        <v>45162</v>
      </c>
      <c r="C1387" s="1" t="n">
        <v>45258</v>
      </c>
      <c r="D1387" t="inlineStr">
        <is>
          <t>VÄSTERNORRLANDS LÄN</t>
        </is>
      </c>
      <c r="E1387" t="inlineStr">
        <is>
          <t>ÅNGE</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39254-2023</t>
        </is>
      </c>
      <c r="B1388" s="1" t="n">
        <v>45162</v>
      </c>
      <c r="C1388" s="1" t="n">
        <v>45258</v>
      </c>
      <c r="D1388" t="inlineStr">
        <is>
          <t>VÄSTERNORRLANDS LÄN</t>
        </is>
      </c>
      <c r="E1388" t="inlineStr">
        <is>
          <t>ÅNGE</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38795-2023</t>
        </is>
      </c>
      <c r="B1389" s="1" t="n">
        <v>45162</v>
      </c>
      <c r="C1389" s="1" t="n">
        <v>45258</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39112-2023</t>
        </is>
      </c>
      <c r="B1390" s="1" t="n">
        <v>45164</v>
      </c>
      <c r="C1390" s="1" t="n">
        <v>45258</v>
      </c>
      <c r="D1390" t="inlineStr">
        <is>
          <t>VÄSTERNORRLANDS LÄN</t>
        </is>
      </c>
      <c r="E1390" t="inlineStr">
        <is>
          <t>ÅNGE</t>
        </is>
      </c>
      <c r="F1390" t="inlineStr">
        <is>
          <t>SCA</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39500-2023</t>
        </is>
      </c>
      <c r="B1391" s="1" t="n">
        <v>45166</v>
      </c>
      <c r="C1391" s="1" t="n">
        <v>45258</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39811-2023</t>
        </is>
      </c>
      <c r="B1392" s="1" t="n">
        <v>45167</v>
      </c>
      <c r="C1392" s="1" t="n">
        <v>45258</v>
      </c>
      <c r="D1392" t="inlineStr">
        <is>
          <t>VÄSTERNORRLANDS LÄN</t>
        </is>
      </c>
      <c r="E1392" t="inlineStr">
        <is>
          <t>ÅNGE</t>
        </is>
      </c>
      <c r="F1392" t="inlineStr">
        <is>
          <t>SCA</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39813-2023</t>
        </is>
      </c>
      <c r="B1393" s="1" t="n">
        <v>45168</v>
      </c>
      <c r="C1393" s="1" t="n">
        <v>45258</v>
      </c>
      <c r="D1393" t="inlineStr">
        <is>
          <t>VÄSTERNORRLANDS LÄN</t>
        </is>
      </c>
      <c r="E1393" t="inlineStr">
        <is>
          <t>ÅNGE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39812-2023</t>
        </is>
      </c>
      <c r="B1394" s="1" t="n">
        <v>45168</v>
      </c>
      <c r="C1394" s="1" t="n">
        <v>45258</v>
      </c>
      <c r="D1394" t="inlineStr">
        <is>
          <t>VÄSTERNORRLANDS LÄN</t>
        </is>
      </c>
      <c r="E1394" t="inlineStr">
        <is>
          <t>ÅNGE</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40013-2023</t>
        </is>
      </c>
      <c r="B1395" s="1" t="n">
        <v>45167</v>
      </c>
      <c r="C1395" s="1" t="n">
        <v>45258</v>
      </c>
      <c r="D1395" t="inlineStr">
        <is>
          <t>VÄSTERNORRLANDS LÄN</t>
        </is>
      </c>
      <c r="E1395" t="inlineStr">
        <is>
          <t>ÅNGE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39814-2023</t>
        </is>
      </c>
      <c r="B1396" s="1" t="n">
        <v>45168</v>
      </c>
      <c r="C1396" s="1" t="n">
        <v>45258</v>
      </c>
      <c r="D1396" t="inlineStr">
        <is>
          <t>VÄSTERNORRLANDS LÄN</t>
        </is>
      </c>
      <c r="E1396" t="inlineStr">
        <is>
          <t>ÅNGE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39991-2023</t>
        </is>
      </c>
      <c r="B1397" s="1" t="n">
        <v>45168</v>
      </c>
      <c r="C1397" s="1" t="n">
        <v>45258</v>
      </c>
      <c r="D1397" t="inlineStr">
        <is>
          <t>VÄSTERNORRLANDS LÄN</t>
        </is>
      </c>
      <c r="E1397" t="inlineStr">
        <is>
          <t>ÅNGE</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39996-2023</t>
        </is>
      </c>
      <c r="B1398" s="1" t="n">
        <v>45168</v>
      </c>
      <c r="C1398" s="1" t="n">
        <v>45258</v>
      </c>
      <c r="D1398" t="inlineStr">
        <is>
          <t>VÄSTERNORRLANDS LÄN</t>
        </is>
      </c>
      <c r="E1398" t="inlineStr">
        <is>
          <t>ÅNGE</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39842-2023</t>
        </is>
      </c>
      <c r="B1399" s="1" t="n">
        <v>45168</v>
      </c>
      <c r="C1399" s="1" t="n">
        <v>45258</v>
      </c>
      <c r="D1399" t="inlineStr">
        <is>
          <t>VÄSTERNORRLANDS LÄN</t>
        </is>
      </c>
      <c r="E1399" t="inlineStr">
        <is>
          <t>ÅNGE</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39843-2023</t>
        </is>
      </c>
      <c r="B1400" s="1" t="n">
        <v>45168</v>
      </c>
      <c r="C1400" s="1" t="n">
        <v>45258</v>
      </c>
      <c r="D1400" t="inlineStr">
        <is>
          <t>VÄSTERNORRLANDS LÄN</t>
        </is>
      </c>
      <c r="E1400" t="inlineStr">
        <is>
          <t>ÅNGE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40005-2023</t>
        </is>
      </c>
      <c r="B1401" s="1" t="n">
        <v>45168</v>
      </c>
      <c r="C1401" s="1" t="n">
        <v>45258</v>
      </c>
      <c r="D1401" t="inlineStr">
        <is>
          <t>VÄSTERNORRLANDS LÄN</t>
        </is>
      </c>
      <c r="E1401" t="inlineStr">
        <is>
          <t>ÅNGE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39936-2023</t>
        </is>
      </c>
      <c r="B1402" s="1" t="n">
        <v>45168</v>
      </c>
      <c r="C1402" s="1" t="n">
        <v>45258</v>
      </c>
      <c r="D1402" t="inlineStr">
        <is>
          <t>VÄSTERNORRLANDS LÄN</t>
        </is>
      </c>
      <c r="E1402" t="inlineStr">
        <is>
          <t>ÅNGE</t>
        </is>
      </c>
      <c r="F1402" t="inlineStr">
        <is>
          <t>Sveaskog</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39975-2023</t>
        </is>
      </c>
      <c r="B1403" s="1" t="n">
        <v>45168</v>
      </c>
      <c r="C1403" s="1" t="n">
        <v>45258</v>
      </c>
      <c r="D1403" t="inlineStr">
        <is>
          <t>VÄSTERNORRLANDS LÄN</t>
        </is>
      </c>
      <c r="E1403" t="inlineStr">
        <is>
          <t>ÅNGE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40208-2023</t>
        </is>
      </c>
      <c r="B1404" s="1" t="n">
        <v>45168</v>
      </c>
      <c r="C1404" s="1" t="n">
        <v>45258</v>
      </c>
      <c r="D1404" t="inlineStr">
        <is>
          <t>VÄSTERNORRLANDS LÄN</t>
        </is>
      </c>
      <c r="E1404" t="inlineStr">
        <is>
          <t>ÅNGE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39973-2023</t>
        </is>
      </c>
      <c r="B1405" s="1" t="n">
        <v>45168</v>
      </c>
      <c r="C1405" s="1" t="n">
        <v>45258</v>
      </c>
      <c r="D1405" t="inlineStr">
        <is>
          <t>VÄSTERNORRLANDS LÄN</t>
        </is>
      </c>
      <c r="E1405" t="inlineStr">
        <is>
          <t>ÅNGE</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39985-2023</t>
        </is>
      </c>
      <c r="B1406" s="1" t="n">
        <v>45168</v>
      </c>
      <c r="C1406" s="1" t="n">
        <v>45258</v>
      </c>
      <c r="D1406" t="inlineStr">
        <is>
          <t>VÄSTERNORRLANDS LÄN</t>
        </is>
      </c>
      <c r="E1406" t="inlineStr">
        <is>
          <t>ÅNGE</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39995-2023</t>
        </is>
      </c>
      <c r="B1407" s="1" t="n">
        <v>45168</v>
      </c>
      <c r="C1407" s="1" t="n">
        <v>45258</v>
      </c>
      <c r="D1407" t="inlineStr">
        <is>
          <t>VÄSTERNORRLANDS LÄN</t>
        </is>
      </c>
      <c r="E1407" t="inlineStr">
        <is>
          <t>ÅNGE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40378-2023</t>
        </is>
      </c>
      <c r="B1408" s="1" t="n">
        <v>45169</v>
      </c>
      <c r="C1408" s="1" t="n">
        <v>45258</v>
      </c>
      <c r="D1408" t="inlineStr">
        <is>
          <t>VÄSTERNORRLANDS LÄN</t>
        </is>
      </c>
      <c r="E1408" t="inlineStr">
        <is>
          <t>ÅNGE</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40663-2023</t>
        </is>
      </c>
      <c r="B1409" s="1" t="n">
        <v>45169</v>
      </c>
      <c r="C1409" s="1" t="n">
        <v>45258</v>
      </c>
      <c r="D1409" t="inlineStr">
        <is>
          <t>VÄSTERNORRLANDS LÄN</t>
        </is>
      </c>
      <c r="E1409" t="inlineStr">
        <is>
          <t>ÅNGE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40626-2023</t>
        </is>
      </c>
      <c r="B1410" s="1" t="n">
        <v>45170</v>
      </c>
      <c r="C1410" s="1" t="n">
        <v>45258</v>
      </c>
      <c r="D1410" t="inlineStr">
        <is>
          <t>VÄSTERNORRLANDS LÄN</t>
        </is>
      </c>
      <c r="E1410" t="inlineStr">
        <is>
          <t>ÅNGE</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40622-2023</t>
        </is>
      </c>
      <c r="B1411" s="1" t="n">
        <v>45170</v>
      </c>
      <c r="C1411" s="1" t="n">
        <v>45258</v>
      </c>
      <c r="D1411" t="inlineStr">
        <is>
          <t>VÄSTERNORRLANDS LÄN</t>
        </is>
      </c>
      <c r="E1411" t="inlineStr">
        <is>
          <t>ÅNGE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40789-2023</t>
        </is>
      </c>
      <c r="B1412" s="1" t="n">
        <v>45171</v>
      </c>
      <c r="C1412" s="1" t="n">
        <v>45258</v>
      </c>
      <c r="D1412" t="inlineStr">
        <is>
          <t>VÄSTERNORRLANDS LÄN</t>
        </is>
      </c>
      <c r="E1412" t="inlineStr">
        <is>
          <t>ÅNGE</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40790-2023</t>
        </is>
      </c>
      <c r="B1413" s="1" t="n">
        <v>45171</v>
      </c>
      <c r="C1413" s="1" t="n">
        <v>45258</v>
      </c>
      <c r="D1413" t="inlineStr">
        <is>
          <t>VÄSTERNORRLANDS LÄN</t>
        </is>
      </c>
      <c r="E1413" t="inlineStr">
        <is>
          <t>ÅNGE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40755-2023</t>
        </is>
      </c>
      <c r="B1414" s="1" t="n">
        <v>45170</v>
      </c>
      <c r="C1414" s="1" t="n">
        <v>45258</v>
      </c>
      <c r="D1414" t="inlineStr">
        <is>
          <t>VÄSTERNORRLANDS LÄN</t>
        </is>
      </c>
      <c r="E1414" t="inlineStr">
        <is>
          <t>ÅNGE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40791-2023</t>
        </is>
      </c>
      <c r="B1415" s="1" t="n">
        <v>45171</v>
      </c>
      <c r="C1415" s="1" t="n">
        <v>45258</v>
      </c>
      <c r="D1415" t="inlineStr">
        <is>
          <t>VÄSTERNORRLANDS LÄN</t>
        </is>
      </c>
      <c r="E1415" t="inlineStr">
        <is>
          <t>ÅNGE</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40834-2023</t>
        </is>
      </c>
      <c r="B1416" s="1" t="n">
        <v>45172</v>
      </c>
      <c r="C1416" s="1" t="n">
        <v>45258</v>
      </c>
      <c r="D1416" t="inlineStr">
        <is>
          <t>VÄSTERNORRLANDS LÄN</t>
        </is>
      </c>
      <c r="E1416" t="inlineStr">
        <is>
          <t>ÅNGE</t>
        </is>
      </c>
      <c r="F1416" t="inlineStr">
        <is>
          <t>Kyrkan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40831-2023</t>
        </is>
      </c>
      <c r="B1417" s="1" t="n">
        <v>45172</v>
      </c>
      <c r="C1417" s="1" t="n">
        <v>45258</v>
      </c>
      <c r="D1417" t="inlineStr">
        <is>
          <t>VÄSTERNORRLANDS LÄN</t>
        </is>
      </c>
      <c r="E1417" t="inlineStr">
        <is>
          <t>ÅNGE</t>
        </is>
      </c>
      <c r="F1417" t="inlineStr">
        <is>
          <t>Kyrkan</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40832-2023</t>
        </is>
      </c>
      <c r="B1418" s="1" t="n">
        <v>45172</v>
      </c>
      <c r="C1418" s="1" t="n">
        <v>45258</v>
      </c>
      <c r="D1418" t="inlineStr">
        <is>
          <t>VÄSTERNORRLANDS LÄN</t>
        </is>
      </c>
      <c r="E1418" t="inlineStr">
        <is>
          <t>ÅNGE</t>
        </is>
      </c>
      <c r="F1418" t="inlineStr">
        <is>
          <t>Kyrkan</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42081-2023</t>
        </is>
      </c>
      <c r="B1419" s="1" t="n">
        <v>45174</v>
      </c>
      <c r="C1419" s="1" t="n">
        <v>45258</v>
      </c>
      <c r="D1419" t="inlineStr">
        <is>
          <t>VÄSTERNORRLANDS LÄN</t>
        </is>
      </c>
      <c r="E1419" t="inlineStr">
        <is>
          <t>ÅNGE</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41370-2023</t>
        </is>
      </c>
      <c r="B1420" s="1" t="n">
        <v>45174</v>
      </c>
      <c r="C1420" s="1" t="n">
        <v>45258</v>
      </c>
      <c r="D1420" t="inlineStr">
        <is>
          <t>VÄSTERNORRLANDS LÄN</t>
        </is>
      </c>
      <c r="E1420" t="inlineStr">
        <is>
          <t>ÅNGE</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42073-2023</t>
        </is>
      </c>
      <c r="B1421" s="1" t="n">
        <v>45174</v>
      </c>
      <c r="C1421" s="1" t="n">
        <v>45258</v>
      </c>
      <c r="D1421" t="inlineStr">
        <is>
          <t>VÄSTERNORRLANDS LÄN</t>
        </is>
      </c>
      <c r="E1421" t="inlineStr">
        <is>
          <t>ÅNGE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42100-2023</t>
        </is>
      </c>
      <c r="B1422" s="1" t="n">
        <v>45174</v>
      </c>
      <c r="C1422" s="1" t="n">
        <v>45258</v>
      </c>
      <c r="D1422" t="inlineStr">
        <is>
          <t>VÄSTERNORRLANDS LÄN</t>
        </is>
      </c>
      <c r="E1422" t="inlineStr">
        <is>
          <t>ÅNGE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41659-2023</t>
        </is>
      </c>
      <c r="B1423" s="1" t="n">
        <v>45176</v>
      </c>
      <c r="C1423" s="1" t="n">
        <v>45258</v>
      </c>
      <c r="D1423" t="inlineStr">
        <is>
          <t>VÄSTERNORRLANDS LÄN</t>
        </is>
      </c>
      <c r="E1423" t="inlineStr">
        <is>
          <t>ÅNGE</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41741-2023</t>
        </is>
      </c>
      <c r="B1424" s="1" t="n">
        <v>45176</v>
      </c>
      <c r="C1424" s="1" t="n">
        <v>45258</v>
      </c>
      <c r="D1424" t="inlineStr">
        <is>
          <t>VÄSTERNORRLANDS LÄN</t>
        </is>
      </c>
      <c r="E1424" t="inlineStr">
        <is>
          <t>ÅNGE</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42559-2023</t>
        </is>
      </c>
      <c r="B1425" s="1" t="n">
        <v>45176</v>
      </c>
      <c r="C1425" s="1" t="n">
        <v>45258</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42699-2023</t>
        </is>
      </c>
      <c r="B1426" s="1" t="n">
        <v>45176</v>
      </c>
      <c r="C1426" s="1" t="n">
        <v>45258</v>
      </c>
      <c r="D1426" t="inlineStr">
        <is>
          <t>VÄSTERNORRLANDS LÄN</t>
        </is>
      </c>
      <c r="E1426" t="inlineStr">
        <is>
          <t>ÅNGE</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42130-2023</t>
        </is>
      </c>
      <c r="B1427" s="1" t="n">
        <v>45177</v>
      </c>
      <c r="C1427" s="1" t="n">
        <v>45258</v>
      </c>
      <c r="D1427" t="inlineStr">
        <is>
          <t>VÄSTERNORRLANDS LÄN</t>
        </is>
      </c>
      <c r="E1427" t="inlineStr">
        <is>
          <t>ÅNGE</t>
        </is>
      </c>
      <c r="F1427" t="inlineStr">
        <is>
          <t>Holmen skog AB</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42139-2023</t>
        </is>
      </c>
      <c r="B1428" s="1" t="n">
        <v>45177</v>
      </c>
      <c r="C1428" s="1" t="n">
        <v>45258</v>
      </c>
      <c r="D1428" t="inlineStr">
        <is>
          <t>VÄSTERNORRLANDS LÄN</t>
        </is>
      </c>
      <c r="E1428" t="inlineStr">
        <is>
          <t>ÅNGE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42346-2023</t>
        </is>
      </c>
      <c r="B1429" s="1" t="n">
        <v>45180</v>
      </c>
      <c r="C1429" s="1" t="n">
        <v>45258</v>
      </c>
      <c r="D1429" t="inlineStr">
        <is>
          <t>VÄSTERNORRLANDS LÄN</t>
        </is>
      </c>
      <c r="E1429" t="inlineStr">
        <is>
          <t>ÅNGE</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42242-2023</t>
        </is>
      </c>
      <c r="B1430" s="1" t="n">
        <v>45180</v>
      </c>
      <c r="C1430" s="1" t="n">
        <v>45258</v>
      </c>
      <c r="D1430" t="inlineStr">
        <is>
          <t>VÄSTERNORRLANDS LÄN</t>
        </is>
      </c>
      <c r="E1430" t="inlineStr">
        <is>
          <t>ÅNGE</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42506-2023</t>
        </is>
      </c>
      <c r="B1431" s="1" t="n">
        <v>45180</v>
      </c>
      <c r="C1431" s="1" t="n">
        <v>45258</v>
      </c>
      <c r="D1431" t="inlineStr">
        <is>
          <t>VÄSTERNORRLANDS LÄN</t>
        </is>
      </c>
      <c r="E1431" t="inlineStr">
        <is>
          <t>ÅNGE</t>
        </is>
      </c>
      <c r="F1431" t="inlineStr">
        <is>
          <t>SCA</t>
        </is>
      </c>
      <c r="G1431" t="n">
        <v>20.9</v>
      </c>
      <c r="H1431" t="n">
        <v>0</v>
      </c>
      <c r="I1431" t="n">
        <v>0</v>
      </c>
      <c r="J1431" t="n">
        <v>0</v>
      </c>
      <c r="K1431" t="n">
        <v>0</v>
      </c>
      <c r="L1431" t="n">
        <v>0</v>
      </c>
      <c r="M1431" t="n">
        <v>0</v>
      </c>
      <c r="N1431" t="n">
        <v>0</v>
      </c>
      <c r="O1431" t="n">
        <v>0</v>
      </c>
      <c r="P1431" t="n">
        <v>0</v>
      </c>
      <c r="Q1431" t="n">
        <v>0</v>
      </c>
      <c r="R1431" s="2" t="inlineStr"/>
    </row>
    <row r="1432" ht="15" customHeight="1">
      <c r="A1432" t="inlineStr">
        <is>
          <t>A 43053-2023</t>
        </is>
      </c>
      <c r="B1432" s="1" t="n">
        <v>45180</v>
      </c>
      <c r="C1432" s="1" t="n">
        <v>45258</v>
      </c>
      <c r="D1432" t="inlineStr">
        <is>
          <t>VÄSTERNORRLANDS LÄN</t>
        </is>
      </c>
      <c r="E1432" t="inlineStr">
        <is>
          <t>ÅNGE</t>
        </is>
      </c>
      <c r="F1432" t="inlineStr">
        <is>
          <t>SCA</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43218-2023</t>
        </is>
      </c>
      <c r="B1433" s="1" t="n">
        <v>45180</v>
      </c>
      <c r="C1433" s="1" t="n">
        <v>45258</v>
      </c>
      <c r="D1433" t="inlineStr">
        <is>
          <t>VÄSTERNORRLANDS LÄN</t>
        </is>
      </c>
      <c r="E1433" t="inlineStr">
        <is>
          <t>ÅNGE</t>
        </is>
      </c>
      <c r="F1433" t="inlineStr">
        <is>
          <t>SCA</t>
        </is>
      </c>
      <c r="G1433" t="n">
        <v>37.3</v>
      </c>
      <c r="H1433" t="n">
        <v>0</v>
      </c>
      <c r="I1433" t="n">
        <v>0</v>
      </c>
      <c r="J1433" t="n">
        <v>0</v>
      </c>
      <c r="K1433" t="n">
        <v>0</v>
      </c>
      <c r="L1433" t="n">
        <v>0</v>
      </c>
      <c r="M1433" t="n">
        <v>0</v>
      </c>
      <c r="N1433" t="n">
        <v>0</v>
      </c>
      <c r="O1433" t="n">
        <v>0</v>
      </c>
      <c r="P1433" t="n">
        <v>0</v>
      </c>
      <c r="Q1433" t="n">
        <v>0</v>
      </c>
      <c r="R1433" s="2" t="inlineStr"/>
    </row>
    <row r="1434" ht="15" customHeight="1">
      <c r="A1434" t="inlineStr">
        <is>
          <t>A 43186-2023</t>
        </is>
      </c>
      <c r="B1434" s="1" t="n">
        <v>45180</v>
      </c>
      <c r="C1434" s="1" t="n">
        <v>45258</v>
      </c>
      <c r="D1434" t="inlineStr">
        <is>
          <t>VÄSTERNORRLANDS LÄN</t>
        </is>
      </c>
      <c r="E1434" t="inlineStr">
        <is>
          <t>ÅNGE</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43552-2023</t>
        </is>
      </c>
      <c r="B1435" s="1" t="n">
        <v>45181</v>
      </c>
      <c r="C1435" s="1" t="n">
        <v>45258</v>
      </c>
      <c r="D1435" t="inlineStr">
        <is>
          <t>VÄSTERNORRLANDS LÄN</t>
        </is>
      </c>
      <c r="E1435" t="inlineStr">
        <is>
          <t>ÅNGE</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42881-2023</t>
        </is>
      </c>
      <c r="B1436" s="1" t="n">
        <v>45182</v>
      </c>
      <c r="C1436" s="1" t="n">
        <v>45258</v>
      </c>
      <c r="D1436" t="inlineStr">
        <is>
          <t>VÄSTERNORRLANDS LÄN</t>
        </is>
      </c>
      <c r="E1436" t="inlineStr">
        <is>
          <t>ÅNGE</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43096-2023</t>
        </is>
      </c>
      <c r="B1437" s="1" t="n">
        <v>45182</v>
      </c>
      <c r="C1437" s="1" t="n">
        <v>45258</v>
      </c>
      <c r="D1437" t="inlineStr">
        <is>
          <t>VÄSTERNORRLANDS LÄN</t>
        </is>
      </c>
      <c r="E1437" t="inlineStr">
        <is>
          <t>ÅNGE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44178-2023</t>
        </is>
      </c>
      <c r="B1438" s="1" t="n">
        <v>45183</v>
      </c>
      <c r="C1438" s="1" t="n">
        <v>45258</v>
      </c>
      <c r="D1438" t="inlineStr">
        <is>
          <t>VÄSTERNORRLANDS LÄN</t>
        </is>
      </c>
      <c r="E1438" t="inlineStr">
        <is>
          <t>ÅNGE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44180-2023</t>
        </is>
      </c>
      <c r="B1439" s="1" t="n">
        <v>45183</v>
      </c>
      <c r="C1439" s="1" t="n">
        <v>45258</v>
      </c>
      <c r="D1439" t="inlineStr">
        <is>
          <t>VÄSTERNORRLANDS LÄN</t>
        </is>
      </c>
      <c r="E1439" t="inlineStr">
        <is>
          <t>ÅNGE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43615-2023</t>
        </is>
      </c>
      <c r="B1440" s="1" t="n">
        <v>45184</v>
      </c>
      <c r="C1440" s="1" t="n">
        <v>45258</v>
      </c>
      <c r="D1440" t="inlineStr">
        <is>
          <t>VÄSTERNORRLANDS LÄN</t>
        </is>
      </c>
      <c r="E1440" t="inlineStr">
        <is>
          <t>ÅNGE</t>
        </is>
      </c>
      <c r="F1440" t="inlineStr">
        <is>
          <t>Holmen skog AB</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43618-2023</t>
        </is>
      </c>
      <c r="B1441" s="1" t="n">
        <v>45184</v>
      </c>
      <c r="C1441" s="1" t="n">
        <v>45258</v>
      </c>
      <c r="D1441" t="inlineStr">
        <is>
          <t>VÄSTERNORRLANDS LÄN</t>
        </is>
      </c>
      <c r="E1441" t="inlineStr">
        <is>
          <t>ÅNGE</t>
        </is>
      </c>
      <c r="G1441" t="n">
        <v>22.6</v>
      </c>
      <c r="H1441" t="n">
        <v>0</v>
      </c>
      <c r="I1441" t="n">
        <v>0</v>
      </c>
      <c r="J1441" t="n">
        <v>0</v>
      </c>
      <c r="K1441" t="n">
        <v>0</v>
      </c>
      <c r="L1441" t="n">
        <v>0</v>
      </c>
      <c r="M1441" t="n">
        <v>0</v>
      </c>
      <c r="N1441" t="n">
        <v>0</v>
      </c>
      <c r="O1441" t="n">
        <v>0</v>
      </c>
      <c r="P1441" t="n">
        <v>0</v>
      </c>
      <c r="Q1441" t="n">
        <v>0</v>
      </c>
      <c r="R1441" s="2" t="inlineStr"/>
    </row>
    <row r="1442" ht="15" customHeight="1">
      <c r="A1442" t="inlineStr">
        <is>
          <t>A 43622-2023</t>
        </is>
      </c>
      <c r="B1442" s="1" t="n">
        <v>45184</v>
      </c>
      <c r="C1442" s="1" t="n">
        <v>45258</v>
      </c>
      <c r="D1442" t="inlineStr">
        <is>
          <t>VÄSTERNORRLANDS LÄN</t>
        </is>
      </c>
      <c r="E1442" t="inlineStr">
        <is>
          <t>ÅNGE</t>
        </is>
      </c>
      <c r="F1442" t="inlineStr">
        <is>
          <t>Holmen skog AB</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44639-2023</t>
        </is>
      </c>
      <c r="B1443" s="1" t="n">
        <v>45184</v>
      </c>
      <c r="C1443" s="1" t="n">
        <v>45258</v>
      </c>
      <c r="D1443" t="inlineStr">
        <is>
          <t>VÄSTERNORRLANDS LÄN</t>
        </is>
      </c>
      <c r="E1443" t="inlineStr">
        <is>
          <t>ÅNGE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43916-2023</t>
        </is>
      </c>
      <c r="B1444" s="1" t="n">
        <v>45187</v>
      </c>
      <c r="C1444" s="1" t="n">
        <v>45258</v>
      </c>
      <c r="D1444" t="inlineStr">
        <is>
          <t>VÄSTERNORRLANDS LÄN</t>
        </is>
      </c>
      <c r="E1444" t="inlineStr">
        <is>
          <t>ÅNGE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43984-2023</t>
        </is>
      </c>
      <c r="B1445" s="1" t="n">
        <v>45187</v>
      </c>
      <c r="C1445" s="1" t="n">
        <v>45258</v>
      </c>
      <c r="D1445" t="inlineStr">
        <is>
          <t>VÄSTERNORRLANDS LÄN</t>
        </is>
      </c>
      <c r="E1445" t="inlineStr">
        <is>
          <t>ÅNGE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44013-2023</t>
        </is>
      </c>
      <c r="B1446" s="1" t="n">
        <v>45188</v>
      </c>
      <c r="C1446" s="1" t="n">
        <v>45258</v>
      </c>
      <c r="D1446" t="inlineStr">
        <is>
          <t>VÄSTERNORRLANDS LÄN</t>
        </is>
      </c>
      <c r="E1446" t="inlineStr">
        <is>
          <t>ÅNGE</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44268-2023</t>
        </is>
      </c>
      <c r="B1447" s="1" t="n">
        <v>45188</v>
      </c>
      <c r="C1447" s="1" t="n">
        <v>45258</v>
      </c>
      <c r="D1447" t="inlineStr">
        <is>
          <t>VÄSTERNORRLANDS LÄN</t>
        </is>
      </c>
      <c r="E1447" t="inlineStr">
        <is>
          <t>ÅNGE</t>
        </is>
      </c>
      <c r="F1447" t="inlineStr">
        <is>
          <t>Holmen skog AB</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45572-2023</t>
        </is>
      </c>
      <c r="B1448" s="1" t="n">
        <v>45188</v>
      </c>
      <c r="C1448" s="1" t="n">
        <v>45258</v>
      </c>
      <c r="D1448" t="inlineStr">
        <is>
          <t>VÄSTERNORRLANDS LÄN</t>
        </is>
      </c>
      <c r="E1448" t="inlineStr">
        <is>
          <t>ÅNGE</t>
        </is>
      </c>
      <c r="F1448" t="inlineStr">
        <is>
          <t>SCA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45598-2023</t>
        </is>
      </c>
      <c r="B1449" s="1" t="n">
        <v>45188</v>
      </c>
      <c r="C1449" s="1" t="n">
        <v>45258</v>
      </c>
      <c r="D1449" t="inlineStr">
        <is>
          <t>VÄSTERNORRLANDS LÄN</t>
        </is>
      </c>
      <c r="E1449" t="inlineStr">
        <is>
          <t>ÅNGE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44979-2023</t>
        </is>
      </c>
      <c r="B1450" s="1" t="n">
        <v>45191</v>
      </c>
      <c r="C1450" s="1" t="n">
        <v>45258</v>
      </c>
      <c r="D1450" t="inlineStr">
        <is>
          <t>VÄSTERNORRLANDS LÄN</t>
        </is>
      </c>
      <c r="E1450" t="inlineStr">
        <is>
          <t>ÅNGE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45027-2023</t>
        </is>
      </c>
      <c r="B1451" s="1" t="n">
        <v>45191</v>
      </c>
      <c r="C1451" s="1" t="n">
        <v>45258</v>
      </c>
      <c r="D1451" t="inlineStr">
        <is>
          <t>VÄSTERNORRLANDS LÄN</t>
        </is>
      </c>
      <c r="E1451" t="inlineStr">
        <is>
          <t>ÅNGE</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45933-2023</t>
        </is>
      </c>
      <c r="B1452" s="1" t="n">
        <v>45195</v>
      </c>
      <c r="C1452" s="1" t="n">
        <v>45258</v>
      </c>
      <c r="D1452" t="inlineStr">
        <is>
          <t>VÄSTERNORRLANDS LÄN</t>
        </is>
      </c>
      <c r="E1452" t="inlineStr">
        <is>
          <t>ÅNGE</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45941-2023</t>
        </is>
      </c>
      <c r="B1453" s="1" t="n">
        <v>45196</v>
      </c>
      <c r="C1453" s="1" t="n">
        <v>45258</v>
      </c>
      <c r="D1453" t="inlineStr">
        <is>
          <t>VÄSTERNORRLANDS LÄN</t>
        </is>
      </c>
      <c r="E1453" t="inlineStr">
        <is>
          <t>ÅNGE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45932-2023</t>
        </is>
      </c>
      <c r="B1454" s="1" t="n">
        <v>45195</v>
      </c>
      <c r="C1454" s="1" t="n">
        <v>45258</v>
      </c>
      <c r="D1454" t="inlineStr">
        <is>
          <t>VÄSTERNORRLANDS LÄN</t>
        </is>
      </c>
      <c r="E1454" t="inlineStr">
        <is>
          <t>ÅNGE</t>
        </is>
      </c>
      <c r="F1454" t="inlineStr">
        <is>
          <t>SCA</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45940-2023</t>
        </is>
      </c>
      <c r="B1455" s="1" t="n">
        <v>45196</v>
      </c>
      <c r="C1455" s="1" t="n">
        <v>45258</v>
      </c>
      <c r="D1455" t="inlineStr">
        <is>
          <t>VÄSTERNORRLANDS LÄN</t>
        </is>
      </c>
      <c r="E1455" t="inlineStr">
        <is>
          <t>ÅNGE</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45717-2023</t>
        </is>
      </c>
      <c r="B1456" s="1" t="n">
        <v>45195</v>
      </c>
      <c r="C1456" s="1" t="n">
        <v>45258</v>
      </c>
      <c r="D1456" t="inlineStr">
        <is>
          <t>VÄSTERNORRLANDS LÄN</t>
        </is>
      </c>
      <c r="E1456" t="inlineStr">
        <is>
          <t>ÅNGE</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45939-2023</t>
        </is>
      </c>
      <c r="B1457" s="1" t="n">
        <v>45196</v>
      </c>
      <c r="C1457" s="1" t="n">
        <v>45258</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46254-2023</t>
        </is>
      </c>
      <c r="B1458" s="1" t="n">
        <v>45196</v>
      </c>
      <c r="C1458" s="1" t="n">
        <v>45258</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46262-2023</t>
        </is>
      </c>
      <c r="B1459" s="1" t="n">
        <v>45197</v>
      </c>
      <c r="C1459" s="1" t="n">
        <v>45258</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46332-2023</t>
        </is>
      </c>
      <c r="B1460" s="1" t="n">
        <v>45196</v>
      </c>
      <c r="C1460" s="1" t="n">
        <v>45258</v>
      </c>
      <c r="D1460" t="inlineStr">
        <is>
          <t>VÄSTERNORRLANDS LÄN</t>
        </is>
      </c>
      <c r="E1460" t="inlineStr">
        <is>
          <t>ÅNGE</t>
        </is>
      </c>
      <c r="F1460" t="inlineStr">
        <is>
          <t>SCA</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46255-2023</t>
        </is>
      </c>
      <c r="B1461" s="1" t="n">
        <v>45196</v>
      </c>
      <c r="C1461" s="1" t="n">
        <v>45258</v>
      </c>
      <c r="D1461" t="inlineStr">
        <is>
          <t>VÄSTERNORRLANDS LÄN</t>
        </is>
      </c>
      <c r="E1461" t="inlineStr">
        <is>
          <t>ÅNGE</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47324-2023</t>
        </is>
      </c>
      <c r="B1462" s="1" t="n">
        <v>45196</v>
      </c>
      <c r="C1462" s="1" t="n">
        <v>45258</v>
      </c>
      <c r="D1462" t="inlineStr">
        <is>
          <t>VÄSTERNORRLANDS LÄN</t>
        </is>
      </c>
      <c r="E1462" t="inlineStr">
        <is>
          <t>ÅNGE</t>
        </is>
      </c>
      <c r="F1462" t="inlineStr">
        <is>
          <t>SCA</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46211-2023</t>
        </is>
      </c>
      <c r="B1463" s="1" t="n">
        <v>45196</v>
      </c>
      <c r="C1463" s="1" t="n">
        <v>45258</v>
      </c>
      <c r="D1463" t="inlineStr">
        <is>
          <t>VÄSTERNORRLANDS LÄN</t>
        </is>
      </c>
      <c r="E1463" t="inlineStr">
        <is>
          <t>ÅNGE</t>
        </is>
      </c>
      <c r="F1463" t="inlineStr">
        <is>
          <t>Sveaskog</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46548-2023</t>
        </is>
      </c>
      <c r="B1464" s="1" t="n">
        <v>45197</v>
      </c>
      <c r="C1464" s="1" t="n">
        <v>45258</v>
      </c>
      <c r="D1464" t="inlineStr">
        <is>
          <t>VÄSTERNORRLANDS LÄN</t>
        </is>
      </c>
      <c r="E1464" t="inlineStr">
        <is>
          <t>ÅNGE</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47432-2023</t>
        </is>
      </c>
      <c r="B1465" s="1" t="n">
        <v>45197</v>
      </c>
      <c r="C1465" s="1" t="n">
        <v>45258</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46679-2023</t>
        </is>
      </c>
      <c r="B1466" s="1" t="n">
        <v>45198</v>
      </c>
      <c r="C1466" s="1" t="n">
        <v>45258</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46689-2023</t>
        </is>
      </c>
      <c r="B1467" s="1" t="n">
        <v>45198</v>
      </c>
      <c r="C1467" s="1" t="n">
        <v>45258</v>
      </c>
      <c r="D1467" t="inlineStr">
        <is>
          <t>VÄSTERNORRLANDS LÄN</t>
        </is>
      </c>
      <c r="E1467" t="inlineStr">
        <is>
          <t>ÅNGE</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46681-2023</t>
        </is>
      </c>
      <c r="B1468" s="1" t="n">
        <v>45198</v>
      </c>
      <c r="C1468" s="1" t="n">
        <v>45258</v>
      </c>
      <c r="D1468" t="inlineStr">
        <is>
          <t>VÄSTERNORRLANDS LÄN</t>
        </is>
      </c>
      <c r="E1468" t="inlineStr">
        <is>
          <t>ÅNGE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46667-2023</t>
        </is>
      </c>
      <c r="B1469" s="1" t="n">
        <v>45198</v>
      </c>
      <c r="C1469" s="1" t="n">
        <v>45258</v>
      </c>
      <c r="D1469" t="inlineStr">
        <is>
          <t>VÄSTERNORRLANDS LÄN</t>
        </is>
      </c>
      <c r="E1469" t="inlineStr">
        <is>
          <t>ÅNGE</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46795-2023</t>
        </is>
      </c>
      <c r="B1470" s="1" t="n">
        <v>45198</v>
      </c>
      <c r="C1470" s="1" t="n">
        <v>45258</v>
      </c>
      <c r="D1470" t="inlineStr">
        <is>
          <t>VÄSTERNORRLANDS LÄN</t>
        </is>
      </c>
      <c r="E1470" t="inlineStr">
        <is>
          <t>ÅNGE</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47153-2023</t>
        </is>
      </c>
      <c r="B1471" s="1" t="n">
        <v>45202</v>
      </c>
      <c r="C1471" s="1" t="n">
        <v>45258</v>
      </c>
      <c r="D1471" t="inlineStr">
        <is>
          <t>VÄSTERNORRLANDS LÄN</t>
        </is>
      </c>
      <c r="E1471" t="inlineStr">
        <is>
          <t>ÅNGE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47233-2023</t>
        </is>
      </c>
      <c r="B1472" s="1" t="n">
        <v>45202</v>
      </c>
      <c r="C1472" s="1" t="n">
        <v>45258</v>
      </c>
      <c r="D1472" t="inlineStr">
        <is>
          <t>VÄSTERNORRLANDS LÄN</t>
        </is>
      </c>
      <c r="E1472" t="inlineStr">
        <is>
          <t>ÅNGE</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47489-2023</t>
        </is>
      </c>
      <c r="B1473" s="1" t="n">
        <v>45203</v>
      </c>
      <c r="C1473" s="1" t="n">
        <v>45258</v>
      </c>
      <c r="D1473" t="inlineStr">
        <is>
          <t>VÄSTERNORRLANDS LÄN</t>
        </is>
      </c>
      <c r="E1473" t="inlineStr">
        <is>
          <t>ÅNGE</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47488-2023</t>
        </is>
      </c>
      <c r="B1474" s="1" t="n">
        <v>45203</v>
      </c>
      <c r="C1474" s="1" t="n">
        <v>45258</v>
      </c>
      <c r="D1474" t="inlineStr">
        <is>
          <t>VÄSTERNORRLANDS LÄN</t>
        </is>
      </c>
      <c r="E1474" t="inlineStr">
        <is>
          <t>ÅNGE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47779-2023</t>
        </is>
      </c>
      <c r="B1475" s="1" t="n">
        <v>45204</v>
      </c>
      <c r="C1475" s="1" t="n">
        <v>45258</v>
      </c>
      <c r="D1475" t="inlineStr">
        <is>
          <t>VÄSTERNORRLANDS LÄN</t>
        </is>
      </c>
      <c r="E1475" t="inlineStr">
        <is>
          <t>ÅNGE</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47787-2023</t>
        </is>
      </c>
      <c r="B1476" s="1" t="n">
        <v>45203</v>
      </c>
      <c r="C1476" s="1" t="n">
        <v>45258</v>
      </c>
      <c r="D1476" t="inlineStr">
        <is>
          <t>VÄSTERNORRLANDS LÄN</t>
        </is>
      </c>
      <c r="E1476" t="inlineStr">
        <is>
          <t>ÅNGE</t>
        </is>
      </c>
      <c r="F1476" t="inlineStr">
        <is>
          <t>SCA</t>
        </is>
      </c>
      <c r="G1476" t="n">
        <v>50.1</v>
      </c>
      <c r="H1476" t="n">
        <v>0</v>
      </c>
      <c r="I1476" t="n">
        <v>0</v>
      </c>
      <c r="J1476" t="n">
        <v>0</v>
      </c>
      <c r="K1476" t="n">
        <v>0</v>
      </c>
      <c r="L1476" t="n">
        <v>0</v>
      </c>
      <c r="M1476" t="n">
        <v>0</v>
      </c>
      <c r="N1476" t="n">
        <v>0</v>
      </c>
      <c r="O1476" t="n">
        <v>0</v>
      </c>
      <c r="P1476" t="n">
        <v>0</v>
      </c>
      <c r="Q1476" t="n">
        <v>0</v>
      </c>
      <c r="R1476" s="2" t="inlineStr"/>
    </row>
    <row r="1477" ht="15" customHeight="1">
      <c r="A1477" t="inlineStr">
        <is>
          <t>A 47789-2023</t>
        </is>
      </c>
      <c r="B1477" s="1" t="n">
        <v>45203</v>
      </c>
      <c r="C1477" s="1" t="n">
        <v>45258</v>
      </c>
      <c r="D1477" t="inlineStr">
        <is>
          <t>VÄSTERNORRLANDS LÄN</t>
        </is>
      </c>
      <c r="E1477" t="inlineStr">
        <is>
          <t>ÅNGE</t>
        </is>
      </c>
      <c r="F1477" t="inlineStr">
        <is>
          <t>SCA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47786-2023</t>
        </is>
      </c>
      <c r="B1478" s="1" t="n">
        <v>45203</v>
      </c>
      <c r="C1478" s="1" t="n">
        <v>45258</v>
      </c>
      <c r="D1478" t="inlineStr">
        <is>
          <t>VÄSTERNORRLANDS LÄN</t>
        </is>
      </c>
      <c r="E1478" t="inlineStr">
        <is>
          <t>ÅNGE</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48815-2023</t>
        </is>
      </c>
      <c r="B1479" s="1" t="n">
        <v>45203</v>
      </c>
      <c r="C1479" s="1" t="n">
        <v>45258</v>
      </c>
      <c r="D1479" t="inlineStr">
        <is>
          <t>VÄSTERNORRLANDS LÄN</t>
        </is>
      </c>
      <c r="E1479" t="inlineStr">
        <is>
          <t>ÅNGE</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48811-2023</t>
        </is>
      </c>
      <c r="B1480" s="1" t="n">
        <v>45203</v>
      </c>
      <c r="C1480" s="1" t="n">
        <v>45258</v>
      </c>
      <c r="D1480" t="inlineStr">
        <is>
          <t>VÄSTERNORRLANDS LÄN</t>
        </is>
      </c>
      <c r="E1480" t="inlineStr">
        <is>
          <t>ÅNGE</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48061-2023</t>
        </is>
      </c>
      <c r="B1481" s="1" t="n">
        <v>45205</v>
      </c>
      <c r="C1481" s="1" t="n">
        <v>45258</v>
      </c>
      <c r="D1481" t="inlineStr">
        <is>
          <t>VÄSTERNORRLANDS LÄN</t>
        </is>
      </c>
      <c r="E1481" t="inlineStr">
        <is>
          <t>ÅNGE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48773-2023</t>
        </is>
      </c>
      <c r="B1482" s="1" t="n">
        <v>45209</v>
      </c>
      <c r="C1482" s="1" t="n">
        <v>45258</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48774-2023</t>
        </is>
      </c>
      <c r="B1483" s="1" t="n">
        <v>45208</v>
      </c>
      <c r="C1483" s="1" t="n">
        <v>45258</v>
      </c>
      <c r="D1483" t="inlineStr">
        <is>
          <t>VÄSTERNORRLANDS LÄN</t>
        </is>
      </c>
      <c r="E1483" t="inlineStr">
        <is>
          <t>ÅNGE</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48632-2023</t>
        </is>
      </c>
      <c r="B1484" s="1" t="n">
        <v>45208</v>
      </c>
      <c r="C1484" s="1" t="n">
        <v>45258</v>
      </c>
      <c r="D1484" t="inlineStr">
        <is>
          <t>VÄSTERNORRLANDS LÄN</t>
        </is>
      </c>
      <c r="E1484" t="inlineStr">
        <is>
          <t>ÅNGE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50095-2023</t>
        </is>
      </c>
      <c r="B1485" s="1" t="n">
        <v>45208</v>
      </c>
      <c r="C1485" s="1" t="n">
        <v>45258</v>
      </c>
      <c r="D1485" t="inlineStr">
        <is>
          <t>VÄSTERNORRLANDS LÄN</t>
        </is>
      </c>
      <c r="E1485" t="inlineStr">
        <is>
          <t>ÅNGE</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49038-2023</t>
        </is>
      </c>
      <c r="B1486" s="1" t="n">
        <v>45209</v>
      </c>
      <c r="C1486" s="1" t="n">
        <v>45258</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49945-2023</t>
        </is>
      </c>
      <c r="B1487" s="1" t="n">
        <v>45215</v>
      </c>
      <c r="C1487" s="1" t="n">
        <v>45258</v>
      </c>
      <c r="D1487" t="inlineStr">
        <is>
          <t>VÄSTERNORRLANDS LÄN</t>
        </is>
      </c>
      <c r="E1487" t="inlineStr">
        <is>
          <t>ÅNGE</t>
        </is>
      </c>
      <c r="F1487" t="inlineStr">
        <is>
          <t>Holmen skog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50215-2023</t>
        </is>
      </c>
      <c r="B1488" s="1" t="n">
        <v>45216</v>
      </c>
      <c r="C1488" s="1" t="n">
        <v>45258</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51890-2023</t>
        </is>
      </c>
      <c r="B1489" s="1" t="n">
        <v>45215</v>
      </c>
      <c r="C1489" s="1" t="n">
        <v>45258</v>
      </c>
      <c r="D1489" t="inlineStr">
        <is>
          <t>VÄSTERNORRLANDS LÄN</t>
        </is>
      </c>
      <c r="E1489" t="inlineStr">
        <is>
          <t>ÅNGE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51887-2023</t>
        </is>
      </c>
      <c r="B1490" s="1" t="n">
        <v>45215</v>
      </c>
      <c r="C1490" s="1" t="n">
        <v>45258</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51895-2023</t>
        </is>
      </c>
      <c r="B1491" s="1" t="n">
        <v>45215</v>
      </c>
      <c r="C1491" s="1" t="n">
        <v>45258</v>
      </c>
      <c r="D1491" t="inlineStr">
        <is>
          <t>VÄSTERNORRLANDS LÄN</t>
        </is>
      </c>
      <c r="E1491" t="inlineStr">
        <is>
          <t>ÅNGE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51609-2023</t>
        </is>
      </c>
      <c r="B1492" s="1" t="n">
        <v>45215</v>
      </c>
      <c r="C1492" s="1" t="n">
        <v>45258</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51899-2023</t>
        </is>
      </c>
      <c r="B1493" s="1" t="n">
        <v>45215</v>
      </c>
      <c r="C1493" s="1" t="n">
        <v>45258</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50508-2023</t>
        </is>
      </c>
      <c r="B1494" s="1" t="n">
        <v>45217</v>
      </c>
      <c r="C1494" s="1" t="n">
        <v>45258</v>
      </c>
      <c r="D1494" t="inlineStr">
        <is>
          <t>VÄSTERNORRLANDS LÄN</t>
        </is>
      </c>
      <c r="E1494" t="inlineStr">
        <is>
          <t>ÅNGE</t>
        </is>
      </c>
      <c r="F1494" t="inlineStr">
        <is>
          <t>SCA</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51011-2023</t>
        </is>
      </c>
      <c r="B1495" s="1" t="n">
        <v>45218</v>
      </c>
      <c r="C1495" s="1" t="n">
        <v>45258</v>
      </c>
      <c r="D1495" t="inlineStr">
        <is>
          <t>VÄSTERNORRLANDS LÄN</t>
        </is>
      </c>
      <c r="E1495" t="inlineStr">
        <is>
          <t>ÅNGE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51055-2023</t>
        </is>
      </c>
      <c r="B1496" s="1" t="n">
        <v>45218</v>
      </c>
      <c r="C1496" s="1" t="n">
        <v>45258</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51411-2023</t>
        </is>
      </c>
      <c r="B1497" s="1" t="n">
        <v>45219</v>
      </c>
      <c r="C1497" s="1" t="n">
        <v>45258</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51270-2023</t>
        </is>
      </c>
      <c r="B1498" s="1" t="n">
        <v>45219</v>
      </c>
      <c r="C1498" s="1" t="n">
        <v>45258</v>
      </c>
      <c r="D1498" t="inlineStr">
        <is>
          <t>VÄSTERNORRLANDS LÄN</t>
        </is>
      </c>
      <c r="E1498" t="inlineStr">
        <is>
          <t>ÅNGE</t>
        </is>
      </c>
      <c r="F1498" t="inlineStr">
        <is>
          <t>Kyrkan</t>
        </is>
      </c>
      <c r="G1498" t="n">
        <v>16.2</v>
      </c>
      <c r="H1498" t="n">
        <v>0</v>
      </c>
      <c r="I1498" t="n">
        <v>0</v>
      </c>
      <c r="J1498" t="n">
        <v>0</v>
      </c>
      <c r="K1498" t="n">
        <v>0</v>
      </c>
      <c r="L1498" t="n">
        <v>0</v>
      </c>
      <c r="M1498" t="n">
        <v>0</v>
      </c>
      <c r="N1498" t="n">
        <v>0</v>
      </c>
      <c r="O1498" t="n">
        <v>0</v>
      </c>
      <c r="P1498" t="n">
        <v>0</v>
      </c>
      <c r="Q1498" t="n">
        <v>0</v>
      </c>
      <c r="R1498" s="2" t="inlineStr"/>
    </row>
    <row r="1499" ht="15" customHeight="1">
      <c r="A1499" t="inlineStr">
        <is>
          <t>A 51453-2023</t>
        </is>
      </c>
      <c r="B1499" s="1" t="n">
        <v>45220</v>
      </c>
      <c r="C1499" s="1" t="n">
        <v>45258</v>
      </c>
      <c r="D1499" t="inlineStr">
        <is>
          <t>VÄSTERNORRLANDS LÄN</t>
        </is>
      </c>
      <c r="E1499" t="inlineStr">
        <is>
          <t>ÅNGE</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51575-2023</t>
        </is>
      </c>
      <c r="B1500" s="1" t="n">
        <v>45222</v>
      </c>
      <c r="C1500" s="1" t="n">
        <v>45258</v>
      </c>
      <c r="D1500" t="inlineStr">
        <is>
          <t>VÄSTERNORRLANDS LÄN</t>
        </is>
      </c>
      <c r="E1500" t="inlineStr">
        <is>
          <t>ÅNGE</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53246-2023</t>
        </is>
      </c>
      <c r="B1501" s="1" t="n">
        <v>45222</v>
      </c>
      <c r="C1501" s="1" t="n">
        <v>45258</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51810-2023</t>
        </is>
      </c>
      <c r="B1502" s="1" t="n">
        <v>45223</v>
      </c>
      <c r="C1502" s="1" t="n">
        <v>45258</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51907-2023</t>
        </is>
      </c>
      <c r="B1503" s="1" t="n">
        <v>45223</v>
      </c>
      <c r="C1503" s="1" t="n">
        <v>45258</v>
      </c>
      <c r="D1503" t="inlineStr">
        <is>
          <t>VÄSTERNORRLANDS LÄN</t>
        </is>
      </c>
      <c r="E1503" t="inlineStr">
        <is>
          <t>ÅNGE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52742-2023</t>
        </is>
      </c>
      <c r="B1504" s="1" t="n">
        <v>45226</v>
      </c>
      <c r="C1504" s="1" t="n">
        <v>45258</v>
      </c>
      <c r="D1504" t="inlineStr">
        <is>
          <t>VÄSTERNORRLANDS LÄN</t>
        </is>
      </c>
      <c r="E1504" t="inlineStr">
        <is>
          <t>ÅNGE</t>
        </is>
      </c>
      <c r="F1504" t="inlineStr">
        <is>
          <t>SCA</t>
        </is>
      </c>
      <c r="G1504" t="n">
        <v>19.8</v>
      </c>
      <c r="H1504" t="n">
        <v>0</v>
      </c>
      <c r="I1504" t="n">
        <v>0</v>
      </c>
      <c r="J1504" t="n">
        <v>0</v>
      </c>
      <c r="K1504" t="n">
        <v>0</v>
      </c>
      <c r="L1504" t="n">
        <v>0</v>
      </c>
      <c r="M1504" t="n">
        <v>0</v>
      </c>
      <c r="N1504" t="n">
        <v>0</v>
      </c>
      <c r="O1504" t="n">
        <v>0</v>
      </c>
      <c r="P1504" t="n">
        <v>0</v>
      </c>
      <c r="Q1504" t="n">
        <v>0</v>
      </c>
      <c r="R1504" s="2" t="inlineStr"/>
    </row>
    <row r="1505" ht="15" customHeight="1">
      <c r="A1505" t="inlineStr">
        <is>
          <t>A 54769-2023</t>
        </is>
      </c>
      <c r="B1505" s="1" t="n">
        <v>45229</v>
      </c>
      <c r="C1505" s="1" t="n">
        <v>45258</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54823-2023</t>
        </is>
      </c>
      <c r="B1506" s="1" t="n">
        <v>45229</v>
      </c>
      <c r="C1506" s="1" t="n">
        <v>45258</v>
      </c>
      <c r="D1506" t="inlineStr">
        <is>
          <t>VÄSTERNORRLANDS LÄN</t>
        </is>
      </c>
      <c r="E1506" t="inlineStr">
        <is>
          <t>ÅNGE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54754-2023</t>
        </is>
      </c>
      <c r="B1507" s="1" t="n">
        <v>45229</v>
      </c>
      <c r="C1507" s="1" t="n">
        <v>45258</v>
      </c>
      <c r="D1507" t="inlineStr">
        <is>
          <t>VÄSTERNORRLANDS LÄN</t>
        </is>
      </c>
      <c r="E1507" t="inlineStr">
        <is>
          <t>ÅNGE</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54771-2023</t>
        </is>
      </c>
      <c r="B1508" s="1" t="n">
        <v>45229</v>
      </c>
      <c r="C1508" s="1" t="n">
        <v>45258</v>
      </c>
      <c r="D1508" t="inlineStr">
        <is>
          <t>VÄSTERNORRLANDS LÄN</t>
        </is>
      </c>
      <c r="E1508" t="inlineStr">
        <is>
          <t>ÅNGE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54773-2023</t>
        </is>
      </c>
      <c r="B1509" s="1" t="n">
        <v>45229</v>
      </c>
      <c r="C1509" s="1" t="n">
        <v>45258</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54761-2023</t>
        </is>
      </c>
      <c r="B1510" s="1" t="n">
        <v>45229</v>
      </c>
      <c r="C1510" s="1" t="n">
        <v>45258</v>
      </c>
      <c r="D1510" t="inlineStr">
        <is>
          <t>VÄSTERNORRLANDS LÄN</t>
        </is>
      </c>
      <c r="E1510" t="inlineStr">
        <is>
          <t>ÅNGE</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53512-2023</t>
        </is>
      </c>
      <c r="B1511" s="1" t="n">
        <v>45230</v>
      </c>
      <c r="C1511" s="1" t="n">
        <v>45258</v>
      </c>
      <c r="D1511" t="inlineStr">
        <is>
          <t>VÄSTERNORRLANDS LÄN</t>
        </is>
      </c>
      <c r="E1511" t="inlineStr">
        <is>
          <t>ÅNGE</t>
        </is>
      </c>
      <c r="F1511" t="inlineStr">
        <is>
          <t>Holmen skog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53549-2023</t>
        </is>
      </c>
      <c r="B1512" s="1" t="n">
        <v>45230</v>
      </c>
      <c r="C1512" s="1" t="n">
        <v>45258</v>
      </c>
      <c r="D1512" t="inlineStr">
        <is>
          <t>VÄSTERNORRLANDS LÄN</t>
        </is>
      </c>
      <c r="E1512" t="inlineStr">
        <is>
          <t>ÅNGE</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53627-2023</t>
        </is>
      </c>
      <c r="B1513" s="1" t="n">
        <v>45230</v>
      </c>
      <c r="C1513" s="1" t="n">
        <v>45258</v>
      </c>
      <c r="D1513" t="inlineStr">
        <is>
          <t>VÄSTERNORRLANDS LÄN</t>
        </is>
      </c>
      <c r="E1513" t="inlineStr">
        <is>
          <t>ÅNGE</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53651-2023</t>
        </is>
      </c>
      <c r="B1514" s="1" t="n">
        <v>45230</v>
      </c>
      <c r="C1514" s="1" t="n">
        <v>45258</v>
      </c>
      <c r="D1514" t="inlineStr">
        <is>
          <t>VÄSTERNORRLANDS LÄN</t>
        </is>
      </c>
      <c r="E1514" t="inlineStr">
        <is>
          <t>ÅNGE</t>
        </is>
      </c>
      <c r="F1514" t="inlineStr">
        <is>
          <t>Holmen skog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53765-2023</t>
        </is>
      </c>
      <c r="B1515" s="1" t="n">
        <v>45231</v>
      </c>
      <c r="C1515" s="1" t="n">
        <v>45258</v>
      </c>
      <c r="D1515" t="inlineStr">
        <is>
          <t>VÄSTERNORRLANDS LÄN</t>
        </is>
      </c>
      <c r="E1515" t="inlineStr">
        <is>
          <t>ÅNGE</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54079-2023</t>
        </is>
      </c>
      <c r="B1516" s="1" t="n">
        <v>45231</v>
      </c>
      <c r="C1516" s="1" t="n">
        <v>45258</v>
      </c>
      <c r="D1516" t="inlineStr">
        <is>
          <t>VÄSTERNORRLANDS LÄN</t>
        </is>
      </c>
      <c r="E1516" t="inlineStr">
        <is>
          <t>ÅNGE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54060-2023</t>
        </is>
      </c>
      <c r="B1517" s="1" t="n">
        <v>45232</v>
      </c>
      <c r="C1517" s="1" t="n">
        <v>45258</v>
      </c>
      <c r="D1517" t="inlineStr">
        <is>
          <t>VÄSTERNORRLANDS LÄN</t>
        </is>
      </c>
      <c r="E1517" t="inlineStr">
        <is>
          <t>ÅNGE</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54065-2023</t>
        </is>
      </c>
      <c r="B1518" s="1" t="n">
        <v>45232</v>
      </c>
      <c r="C1518" s="1" t="n">
        <v>45258</v>
      </c>
      <c r="D1518" t="inlineStr">
        <is>
          <t>VÄSTERNORRLANDS LÄN</t>
        </is>
      </c>
      <c r="E1518" t="inlineStr">
        <is>
          <t>ÅNGE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54336-2023</t>
        </is>
      </c>
      <c r="B1519" s="1" t="n">
        <v>45233</v>
      </c>
      <c r="C1519" s="1" t="n">
        <v>45258</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54341-2023</t>
        </is>
      </c>
      <c r="B1520" s="1" t="n">
        <v>45232</v>
      </c>
      <c r="C1520" s="1" t="n">
        <v>45258</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45258</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54339-2023</t>
        </is>
      </c>
      <c r="B1522" s="1" t="n">
        <v>45233</v>
      </c>
      <c r="C1522" s="1" t="n">
        <v>45258</v>
      </c>
      <c r="D1522" t="inlineStr">
        <is>
          <t>VÄSTERNORRLANDS LÄN</t>
        </is>
      </c>
      <c r="E1522" t="inlineStr">
        <is>
          <t>ÅNGE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54342-2023</t>
        </is>
      </c>
      <c r="B1523" s="1" t="n">
        <v>45232</v>
      </c>
      <c r="C1523" s="1" t="n">
        <v>45258</v>
      </c>
      <c r="D1523" t="inlineStr">
        <is>
          <t>VÄSTERNORRLANDS LÄN</t>
        </is>
      </c>
      <c r="E1523" t="inlineStr">
        <is>
          <t>ÅNGE</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54346-2023</t>
        </is>
      </c>
      <c r="B1524" s="1" t="n">
        <v>45233</v>
      </c>
      <c r="C1524" s="1" t="n">
        <v>45258</v>
      </c>
      <c r="D1524" t="inlineStr">
        <is>
          <t>VÄSTERNORRLANDS LÄN</t>
        </is>
      </c>
      <c r="E1524" t="inlineStr">
        <is>
          <t>ÅNGE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54566-2023</t>
        </is>
      </c>
      <c r="B1525" s="1" t="n">
        <v>45233</v>
      </c>
      <c r="C1525" s="1" t="n">
        <v>45258</v>
      </c>
      <c r="D1525" t="inlineStr">
        <is>
          <t>VÄSTERNORRLANDS LÄN</t>
        </is>
      </c>
      <c r="E1525" t="inlineStr">
        <is>
          <t>ÅNGE</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54602-2023</t>
        </is>
      </c>
      <c r="B1526" s="1" t="n">
        <v>45233</v>
      </c>
      <c r="C1526" s="1" t="n">
        <v>45258</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54567-2023</t>
        </is>
      </c>
      <c r="B1527" s="1" t="n">
        <v>45233</v>
      </c>
      <c r="C1527" s="1" t="n">
        <v>45258</v>
      </c>
      <c r="D1527" t="inlineStr">
        <is>
          <t>VÄSTERNORRLANDS LÄN</t>
        </is>
      </c>
      <c r="E1527" t="inlineStr">
        <is>
          <t>ÅNGE</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45258</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45258</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45258</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54677-2023</t>
        </is>
      </c>
      <c r="B1531" s="1" t="n">
        <v>45235</v>
      </c>
      <c r="C1531" s="1" t="n">
        <v>45258</v>
      </c>
      <c r="D1531" t="inlineStr">
        <is>
          <t>VÄSTERNORRLANDS LÄN</t>
        </is>
      </c>
      <c r="E1531" t="inlineStr">
        <is>
          <t>ÅNGE</t>
        </is>
      </c>
      <c r="G1531" t="n">
        <v>23.4</v>
      </c>
      <c r="H1531" t="n">
        <v>0</v>
      </c>
      <c r="I1531" t="n">
        <v>0</v>
      </c>
      <c r="J1531" t="n">
        <v>0</v>
      </c>
      <c r="K1531" t="n">
        <v>0</v>
      </c>
      <c r="L1531" t="n">
        <v>0</v>
      </c>
      <c r="M1531" t="n">
        <v>0</v>
      </c>
      <c r="N1531" t="n">
        <v>0</v>
      </c>
      <c r="O1531" t="n">
        <v>0</v>
      </c>
      <c r="P1531" t="n">
        <v>0</v>
      </c>
      <c r="Q1531" t="n">
        <v>0</v>
      </c>
      <c r="R1531" s="2" t="inlineStr"/>
    </row>
    <row r="1532" ht="15" customHeight="1">
      <c r="A1532" t="inlineStr">
        <is>
          <t>A 54982-2023</t>
        </is>
      </c>
      <c r="B1532" s="1" t="n">
        <v>45236</v>
      </c>
      <c r="C1532" s="1" t="n">
        <v>45258</v>
      </c>
      <c r="D1532" t="inlineStr">
        <is>
          <t>VÄSTERNORRLANDS LÄN</t>
        </is>
      </c>
      <c r="E1532" t="inlineStr">
        <is>
          <t>ÅNGE</t>
        </is>
      </c>
      <c r="F1532" t="inlineStr">
        <is>
          <t>SCA</t>
        </is>
      </c>
      <c r="G1532" t="n">
        <v>26.2</v>
      </c>
      <c r="H1532" t="n">
        <v>0</v>
      </c>
      <c r="I1532" t="n">
        <v>0</v>
      </c>
      <c r="J1532" t="n">
        <v>0</v>
      </c>
      <c r="K1532" t="n">
        <v>0</v>
      </c>
      <c r="L1532" t="n">
        <v>0</v>
      </c>
      <c r="M1532" t="n">
        <v>0</v>
      </c>
      <c r="N1532" t="n">
        <v>0</v>
      </c>
      <c r="O1532" t="n">
        <v>0</v>
      </c>
      <c r="P1532" t="n">
        <v>0</v>
      </c>
      <c r="Q1532" t="n">
        <v>0</v>
      </c>
      <c r="R1532" s="2" t="inlineStr"/>
    </row>
    <row r="1533" ht="15" customHeight="1">
      <c r="A1533" t="inlineStr">
        <is>
          <t>A 55015-2023</t>
        </is>
      </c>
      <c r="B1533" s="1" t="n">
        <v>45237</v>
      </c>
      <c r="C1533" s="1" t="n">
        <v>45258</v>
      </c>
      <c r="D1533" t="inlineStr">
        <is>
          <t>VÄSTERNORRLANDS LÄN</t>
        </is>
      </c>
      <c r="E1533" t="inlineStr">
        <is>
          <t>ÅNGE</t>
        </is>
      </c>
      <c r="F1533" t="inlineStr">
        <is>
          <t>Sveaskog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45258</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45258</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45258</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56519-2023</t>
        </is>
      </c>
      <c r="B1537" s="1" t="n">
        <v>45238</v>
      </c>
      <c r="C1537" s="1" t="n">
        <v>45258</v>
      </c>
      <c r="D1537" t="inlineStr">
        <is>
          <t>VÄSTERNORRLANDS LÄN</t>
        </is>
      </c>
      <c r="E1537" t="inlineStr">
        <is>
          <t>ÅNGE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55664-2023</t>
        </is>
      </c>
      <c r="B1538" s="1" t="n">
        <v>45239</v>
      </c>
      <c r="C1538" s="1" t="n">
        <v>45258</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55670-2023</t>
        </is>
      </c>
      <c r="B1539" s="1" t="n">
        <v>45239</v>
      </c>
      <c r="C1539" s="1" t="n">
        <v>45258</v>
      </c>
      <c r="D1539" t="inlineStr">
        <is>
          <t>VÄSTERNORRLANDS LÄN</t>
        </is>
      </c>
      <c r="E1539" t="inlineStr">
        <is>
          <t>ÅNGE</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55925-2023</t>
        </is>
      </c>
      <c r="B1540" s="1" t="n">
        <v>45240</v>
      </c>
      <c r="C1540" s="1" t="n">
        <v>45258</v>
      </c>
      <c r="D1540" t="inlineStr">
        <is>
          <t>VÄSTERNORRLANDS LÄN</t>
        </is>
      </c>
      <c r="E1540" t="inlineStr">
        <is>
          <t>ÅNGE</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55924-2023</t>
        </is>
      </c>
      <c r="B1541" s="1" t="n">
        <v>45239</v>
      </c>
      <c r="C1541" s="1" t="n">
        <v>45258</v>
      </c>
      <c r="D1541" t="inlineStr">
        <is>
          <t>VÄSTERNORRLANDS LÄN</t>
        </is>
      </c>
      <c r="E1541" t="inlineStr">
        <is>
          <t>ÅNGE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55932-2023</t>
        </is>
      </c>
      <c r="B1542" s="1" t="n">
        <v>45239</v>
      </c>
      <c r="C1542" s="1" t="n">
        <v>45258</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45258</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45258</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56683-2023</t>
        </is>
      </c>
      <c r="B1545" s="1" t="n">
        <v>45244</v>
      </c>
      <c r="C1545" s="1" t="n">
        <v>45258</v>
      </c>
      <c r="D1545" t="inlineStr">
        <is>
          <t>VÄSTERNORRLANDS LÄN</t>
        </is>
      </c>
      <c r="E1545" t="inlineStr">
        <is>
          <t>ÅNGE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56699-2023</t>
        </is>
      </c>
      <c r="B1546" s="1" t="n">
        <v>45244</v>
      </c>
      <c r="C1546" s="1" t="n">
        <v>45258</v>
      </c>
      <c r="D1546" t="inlineStr">
        <is>
          <t>VÄSTERNORRLANDS LÄN</t>
        </is>
      </c>
      <c r="E1546" t="inlineStr">
        <is>
          <t>ÅNGE</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56696-2023</t>
        </is>
      </c>
      <c r="B1547" s="1" t="n">
        <v>45244</v>
      </c>
      <c r="C1547" s="1" t="n">
        <v>45258</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56700-2023</t>
        </is>
      </c>
      <c r="B1548" s="1" t="n">
        <v>45244</v>
      </c>
      <c r="C1548" s="1" t="n">
        <v>45258</v>
      </c>
      <c r="D1548" t="inlineStr">
        <is>
          <t>VÄSTERNORRLANDS LÄN</t>
        </is>
      </c>
      <c r="E1548" t="inlineStr">
        <is>
          <t>ÅNGE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57560-2023</t>
        </is>
      </c>
      <c r="B1549" s="1" t="n">
        <v>45243</v>
      </c>
      <c r="C1549" s="1" t="n">
        <v>45258</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45258</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45258</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45258</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45258</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45246</v>
      </c>
      <c r="C1554" s="1" t="n">
        <v>45258</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45258</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45258</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57780-2023</t>
        </is>
      </c>
      <c r="B1557" s="1" t="n">
        <v>45247</v>
      </c>
      <c r="C1557" s="1" t="n">
        <v>45258</v>
      </c>
      <c r="D1557" t="inlineStr">
        <is>
          <t>VÄSTERNORRLANDS LÄN</t>
        </is>
      </c>
      <c r="E1557" t="inlineStr">
        <is>
          <t>ÅNGE</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57791-2023</t>
        </is>
      </c>
      <c r="B1558" s="1" t="n">
        <v>45247</v>
      </c>
      <c r="C1558" s="1" t="n">
        <v>45258</v>
      </c>
      <c r="D1558" t="inlineStr">
        <is>
          <t>VÄSTERNORRLANDS LÄN</t>
        </is>
      </c>
      <c r="E1558" t="inlineStr">
        <is>
          <t>ÅNGE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45258</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58086-2023</t>
        </is>
      </c>
      <c r="B1560" s="1" t="n">
        <v>45248</v>
      </c>
      <c r="C1560" s="1" t="n">
        <v>45258</v>
      </c>
      <c r="D1560" t="inlineStr">
        <is>
          <t>VÄSTERNORRLANDS LÄN</t>
        </is>
      </c>
      <c r="E1560" t="inlineStr">
        <is>
          <t>ÅNGE</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45258</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45258</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58469-2023</t>
        </is>
      </c>
      <c r="B1563" s="1" t="n">
        <v>45251</v>
      </c>
      <c r="C1563" s="1" t="n">
        <v>45258</v>
      </c>
      <c r="D1563" t="inlineStr">
        <is>
          <t>VÄSTERNORRLANDS LÄN</t>
        </is>
      </c>
      <c r="E1563" t="inlineStr">
        <is>
          <t>ÅNGE</t>
        </is>
      </c>
      <c r="F1563" t="inlineStr">
        <is>
          <t>SCA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58287-2023</t>
        </is>
      </c>
      <c r="B1564" s="1" t="n">
        <v>45250</v>
      </c>
      <c r="C1564" s="1" t="n">
        <v>45258</v>
      </c>
      <c r="D1564" t="inlineStr">
        <is>
          <t>VÄSTERNORRLANDS LÄN</t>
        </is>
      </c>
      <c r="E1564" t="inlineStr">
        <is>
          <t>ÅNGE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58550-2023</t>
        </is>
      </c>
      <c r="B1565" s="1" t="n">
        <v>45251</v>
      </c>
      <c r="C1565" s="1" t="n">
        <v>45258</v>
      </c>
      <c r="D1565" t="inlineStr">
        <is>
          <t>VÄSTERNORRLANDS LÄN</t>
        </is>
      </c>
      <c r="E1565" t="inlineStr">
        <is>
          <t>ÅNGE</t>
        </is>
      </c>
      <c r="F1565" t="inlineStr">
        <is>
          <t>Övriga Aktiebolag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58613-2023</t>
        </is>
      </c>
      <c r="B1566" s="1" t="n">
        <v>45251</v>
      </c>
      <c r="C1566" s="1" t="n">
        <v>45258</v>
      </c>
      <c r="D1566" t="inlineStr">
        <is>
          <t>VÄSTERNORRLANDS LÄN</t>
        </is>
      </c>
      <c r="E1566" t="inlineStr">
        <is>
          <t>ÅNGE</t>
        </is>
      </c>
      <c r="F1566" t="inlineStr">
        <is>
          <t>Övriga Aktiebolag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58634-2023</t>
        </is>
      </c>
      <c r="B1567" s="1" t="n">
        <v>45251</v>
      </c>
      <c r="C1567" s="1" t="n">
        <v>45258</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58637-2023</t>
        </is>
      </c>
      <c r="B1568" s="1" t="n">
        <v>45251</v>
      </c>
      <c r="C1568" s="1" t="n">
        <v>45258</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58522-2023</t>
        </is>
      </c>
      <c r="B1569" s="1" t="n">
        <v>45251</v>
      </c>
      <c r="C1569" s="1" t="n">
        <v>45258</v>
      </c>
      <c r="D1569" t="inlineStr">
        <is>
          <t>VÄSTERNORRLANDS LÄN</t>
        </is>
      </c>
      <c r="E1569" t="inlineStr">
        <is>
          <t>ÅNGE</t>
        </is>
      </c>
      <c r="F1569" t="inlineStr">
        <is>
          <t>Övriga Aktiebolag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58639-2023</t>
        </is>
      </c>
      <c r="B1570" s="1" t="n">
        <v>45251</v>
      </c>
      <c r="C1570" s="1" t="n">
        <v>45258</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45258</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45252</v>
      </c>
      <c r="C1572" s="1" t="n">
        <v>45258</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45258</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45258</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45258</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45258</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60004-2023</t>
        </is>
      </c>
      <c r="B1577" s="1" t="n">
        <v>45258</v>
      </c>
      <c r="C1577" s="1" t="n">
        <v>45258</v>
      </c>
      <c r="D1577" t="inlineStr">
        <is>
          <t>VÄSTERNORRLANDS LÄN</t>
        </is>
      </c>
      <c r="E1577" t="inlineStr">
        <is>
          <t>ÅNGE</t>
        </is>
      </c>
      <c r="F1577" t="inlineStr">
        <is>
          <t>SCA</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59999-2023</t>
        </is>
      </c>
      <c r="B1578" s="1" t="n">
        <v>45258</v>
      </c>
      <c r="C1578" s="1" t="n">
        <v>45258</v>
      </c>
      <c r="D1578" t="inlineStr">
        <is>
          <t>VÄSTERNORRLANDS LÄN</t>
        </is>
      </c>
      <c r="E1578" t="inlineStr">
        <is>
          <t>ÅNGE</t>
        </is>
      </c>
      <c r="F1578" t="inlineStr">
        <is>
          <t>SCA</t>
        </is>
      </c>
      <c r="G1578" t="n">
        <v>13.6</v>
      </c>
      <c r="H1578" t="n">
        <v>0</v>
      </c>
      <c r="I1578" t="n">
        <v>0</v>
      </c>
      <c r="J1578" t="n">
        <v>0</v>
      </c>
      <c r="K1578" t="n">
        <v>0</v>
      </c>
      <c r="L1578" t="n">
        <v>0</v>
      </c>
      <c r="M1578" t="n">
        <v>0</v>
      </c>
      <c r="N1578" t="n">
        <v>0</v>
      </c>
      <c r="O1578" t="n">
        <v>0</v>
      </c>
      <c r="P1578" t="n">
        <v>0</v>
      </c>
      <c r="Q1578" t="n">
        <v>0</v>
      </c>
      <c r="R1578" s="2" t="inlineStr"/>
    </row>
    <row r="1579" ht="15" customHeight="1">
      <c r="A1579" t="inlineStr">
        <is>
          <t>A 60003-2023</t>
        </is>
      </c>
      <c r="B1579" s="1" t="n">
        <v>45258</v>
      </c>
      <c r="C1579" s="1" t="n">
        <v>45258</v>
      </c>
      <c r="D1579" t="inlineStr">
        <is>
          <t>VÄSTERNORRLANDS LÄN</t>
        </is>
      </c>
      <c r="E1579" t="inlineStr">
        <is>
          <t>ÅNGE</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45258</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c r="A1581" t="inlineStr">
        <is>
          <t>A 60001-2023</t>
        </is>
      </c>
      <c r="B1581" s="1" t="n">
        <v>45258</v>
      </c>
      <c r="C1581" s="1" t="n">
        <v>45258</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2023-11-28T17:16:34Z</dcterms:created>
  <dcterms:modified xmlns:dcterms="http://purl.org/dc/terms/" xmlns:xsi="http://www.w3.org/2001/XMLSchema-instance" xsi:type="dcterms:W3CDTF">2023-11-28T17:16:35Z</dcterms:modified>
</cp:coreProperties>
</file>