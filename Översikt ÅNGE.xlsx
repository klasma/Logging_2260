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46310</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46310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46310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46310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46310</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8</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46310</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46310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46310</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46310</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46310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46310</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46310</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35437-2022</t>
        </is>
      </c>
      <c r="B17" t="inlineStr">
        <is>
          <t>avverkningsanmälan</t>
        </is>
      </c>
      <c r="C17" t="inlineStr">
        <is>
          <t>Föryngringsavverkning</t>
        </is>
      </c>
      <c r="D17" s="1" t="n">
        <v>44798</v>
      </c>
      <c r="E17" s="1" t="n">
        <v>46310</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46310</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46310</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46310</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46310</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46310</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46310</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46310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46310</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46310</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46329-2022</t>
        </is>
      </c>
      <c r="B27" t="inlineStr">
        <is>
          <t>avverkningsanmälan</t>
        </is>
      </c>
      <c r="C27" t="inlineStr">
        <is>
          <t>Föryngringsavverkning</t>
        </is>
      </c>
      <c r="D27" s="1" t="n">
        <v>44847</v>
      </c>
      <c r="E27" s="1" t="n">
        <v>46310</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24772-2026</t>
        </is>
      </c>
      <c r="B28" t="inlineStr">
        <is>
          <t>avverkningsanmälan</t>
        </is>
      </c>
      <c r="C28" t="inlineStr">
        <is>
          <t>Föryngringsavverkning</t>
        </is>
      </c>
      <c r="D28" s="1" t="n">
        <v>46171</v>
      </c>
      <c r="E28" s="1" t="n">
        <v>46310</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46310</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46310</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46310</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46310</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46310</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46310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46310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46310</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46163-2025</t>
        </is>
      </c>
      <c r="B40" t="inlineStr">
        <is>
          <t>avverkningsanmälan</t>
        </is>
      </c>
      <c r="C40" t="inlineStr">
        <is>
          <t>Föryngringsavverkning</t>
        </is>
      </c>
      <c r="D40" s="1" t="n">
        <v>45924</v>
      </c>
      <c r="E40" s="1" t="n">
        <v>46310</v>
      </c>
      <c r="F40" t="inlineStr">
        <is>
          <t>VÄSTERNORRLANDS LÄN</t>
        </is>
      </c>
      <c r="G40" t="inlineStr">
        <is>
          <t>ÅNGE</t>
        </is>
      </c>
      <c r="I40" t="n">
        <v>9.300000000000001</v>
      </c>
      <c r="J40" t="n">
        <v>6</v>
      </c>
      <c r="K40" t="n">
        <v>3</v>
      </c>
      <c r="L40" t="n">
        <v>6</v>
      </c>
      <c r="M40" t="n">
        <v>3</v>
      </c>
      <c r="N40" t="n">
        <v>0</v>
      </c>
      <c r="O40" t="n">
        <v>0</v>
      </c>
      <c r="P40" t="n">
        <v>0</v>
      </c>
      <c r="Q40" t="n">
        <v>9</v>
      </c>
      <c r="R40" t="n">
        <v>3</v>
      </c>
      <c r="S40" t="n">
        <v>16</v>
      </c>
      <c r="T40" t="n">
        <v>41</v>
      </c>
      <c r="U40" t="n">
        <v>0</v>
      </c>
      <c r="V40" s="2" t="inlineStr">
        <is>
          <t>Garnlav
Gräddporing
Knärot
Dvärgbägarlav
Kolflarnlav
Lunglav
Talltita
Ullticka
Vedtrappmossa
Barkticka
Korallblylav
Stuplav
Fiskgjuse
Kungsfågel
Svartvit flugsnappare
Revlummer</t>
        </is>
      </c>
      <c r="W40">
        <f>HYPERLINK("https://klasma.github.io/Logging_2260/artfynd/A 46163-2025 artfynd.xlsx", "A 46163-2025")</f>
        <v/>
      </c>
      <c r="X40">
        <f>HYPERLINK("https://klasma.github.io/Logging_2260/kartor/A 46163-2025 karta.png", "A 46163-2025")</f>
        <v/>
      </c>
      <c r="Y40">
        <f>HYPERLINK("https://klasma.github.io/Logging_2260/kartor_geotiff/A 46163-2025 georefererad karta.tif", "A 46163-2025")</f>
        <v/>
      </c>
      <c r="Z40">
        <f>HYPERLINK("https://klasma.github.io/Logging_2260/knärot/A 46163-2025 karta knärot.png", "A 46163-2025")</f>
        <v/>
      </c>
      <c r="AA40">
        <f>HYPERLINK("https://klasma.github.io/Logging_2260/klagomål/A 46163-2025 FSC-klagomål.docx", "A 46163-2025")</f>
        <v/>
      </c>
      <c r="AB40">
        <f>HYPERLINK("https://klasma.github.io/Logging_2260/klagomålsmail/A 46163-2025 FSC-klagomål mail.docx", "A 46163-2025")</f>
        <v/>
      </c>
      <c r="AC40">
        <f>HYPERLINK("https://klasma.github.io/Logging_2260/tillsyn/A 46163-2025 tillsynsbegäran.docx", "A 46163-2025")</f>
        <v/>
      </c>
      <c r="AD40">
        <f>HYPERLINK("https://klasma.github.io/Logging_2260/tillsynsmail/A 46163-2025 tillsynsbegäran mail.docx", "A 46163-2025")</f>
        <v/>
      </c>
      <c r="AE40">
        <f>HYPERLINK("https://klasma.github.io/Logging_2260/fåglar/A 46163-2025 prioriterade fågelarter.docx", "A 46163-2025")</f>
        <v/>
      </c>
    </row>
    <row r="41" ht="15" customHeight="1">
      <c r="A41" t="inlineStr">
        <is>
          <t>A 34519-2022</t>
        </is>
      </c>
      <c r="B41" t="inlineStr">
        <is>
          <t>avverkningsanmälan</t>
        </is>
      </c>
      <c r="C41" t="inlineStr">
        <is>
          <t>Avverkning för att bevara och utveckla /försöksver</t>
        </is>
      </c>
      <c r="D41" s="1" t="n">
        <v>44792</v>
      </c>
      <c r="E41" s="1" t="n">
        <v>46310</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46310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46310</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46310</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46310</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46310</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46310</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46310</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46310</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46310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46310</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46310</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46310</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46310</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46310</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20694-2022</t>
        </is>
      </c>
      <c r="B57" t="inlineStr">
        <is>
          <t>avverkningsanmälan</t>
        </is>
      </c>
      <c r="C57" t="inlineStr">
        <is>
          <t>Föryngringsavverkning</t>
        </is>
      </c>
      <c r="D57" s="1" t="n">
        <v>44700</v>
      </c>
      <c r="E57" s="1" t="n">
        <v>46310</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46310</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41747-2026</t>
        </is>
      </c>
      <c r="B59" t="inlineStr">
        <is>
          <t>avverkningsanmälan</t>
        </is>
      </c>
      <c r="C59" t="inlineStr">
        <is>
          <t>Föryngringsavverkning</t>
        </is>
      </c>
      <c r="D59" s="1" t="n">
        <v>46302</v>
      </c>
      <c r="E59" s="1" t="n">
        <v>46310</v>
      </c>
      <c r="F59" t="inlineStr">
        <is>
          <t>VÄSTERNORRLANDS LÄN</t>
        </is>
      </c>
      <c r="G59" t="inlineStr">
        <is>
          <t>ÅNGE</t>
        </is>
      </c>
      <c r="I59" t="n">
        <v>12.7</v>
      </c>
      <c r="J59" t="n">
        <v>4</v>
      </c>
      <c r="K59" t="n">
        <v>1</v>
      </c>
      <c r="L59" t="n">
        <v>8</v>
      </c>
      <c r="M59" t="n">
        <v>2</v>
      </c>
      <c r="N59" t="n">
        <v>0</v>
      </c>
      <c r="O59" t="n">
        <v>0</v>
      </c>
      <c r="P59" t="n">
        <v>0</v>
      </c>
      <c r="Q59" t="n">
        <v>10</v>
      </c>
      <c r="R59" t="n">
        <v>2</v>
      </c>
      <c r="S59" t="n">
        <v>13</v>
      </c>
      <c r="T59" t="n">
        <v>20</v>
      </c>
      <c r="U59" t="n">
        <v>0</v>
      </c>
      <c r="V59" s="2" t="inlineStr">
        <is>
          <t>Garnlav
Knärot
Blågrå svartspik
Dropptaggsvamp
Gammelgransskål
Sotvaxskivling
Tretåig hackspett
Ullticka
Violettgrå tagellav
Vitgrynig nållav
Rödgul trumpetsvamp
Fläcknycklar
Revlummer</t>
        </is>
      </c>
      <c r="W59">
        <f>HYPERLINK("https://klasma.github.io/Logging_2260/artfynd/A 41747-2026 artfynd.xlsx", "A 41747-2026")</f>
        <v/>
      </c>
      <c r="X59">
        <f>HYPERLINK("https://klasma.github.io/Logging_2260/kartor/A 41747-2026 karta.png", "A 41747-2026")</f>
        <v/>
      </c>
      <c r="Y59">
        <f>HYPERLINK("https://klasma.github.io/Logging_2260/kartor_geotiff/A 41747-2026 georefererad karta.tif", "A 41747-2026")</f>
        <v/>
      </c>
      <c r="Z59">
        <f>HYPERLINK("https://klasma.github.io/Logging_2260/knärot/A 41747-2026 karta knärot.png", "A 41747-2026")</f>
        <v/>
      </c>
      <c r="AA59">
        <f>HYPERLINK("https://klasma.github.io/Logging_2260/klagomål/A 41747-2026 FSC-klagomål.docx", "A 41747-2026")</f>
        <v/>
      </c>
      <c r="AB59">
        <f>HYPERLINK("https://klasma.github.io/Logging_2260/klagomålsmail/A 41747-2026 FSC-klagomål mail.docx", "A 41747-2026")</f>
        <v/>
      </c>
      <c r="AC59">
        <f>HYPERLINK("https://klasma.github.io/Logging_2260/tillsyn/A 41747-2026 tillsynsbegäran.docx", "A 41747-2026")</f>
        <v/>
      </c>
      <c r="AD59">
        <f>HYPERLINK("https://klasma.github.io/Logging_2260/tillsynsmail/A 41747-2026 tillsynsbegäran mail.docx", "A 41747-2026")</f>
        <v/>
      </c>
      <c r="AE59">
        <f>HYPERLINK("https://klasma.github.io/Logging_2260/fåglar/A 41747-2026 prioriterade fågelarter.docx", "A 41747-2026")</f>
        <v/>
      </c>
    </row>
    <row r="60" ht="15" customHeight="1">
      <c r="A60" t="inlineStr">
        <is>
          <t>A 48738-2024</t>
        </is>
      </c>
      <c r="B60" t="inlineStr">
        <is>
          <t>avverkningsanmälan</t>
        </is>
      </c>
      <c r="C60" t="inlineStr">
        <is>
          <t>Avverkning för att bevara och utveckla /försöksver</t>
        </is>
      </c>
      <c r="D60" s="1" t="n">
        <v>45593</v>
      </c>
      <c r="E60" s="1" t="n">
        <v>46310</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55004-2023</t>
        </is>
      </c>
      <c r="B61" t="inlineStr">
        <is>
          <t>avverkningsanmälan</t>
        </is>
      </c>
      <c r="C61" t="inlineStr">
        <is>
          <t>Föryngringsavverkning</t>
        </is>
      </c>
      <c r="D61" s="1" t="n">
        <v>45236</v>
      </c>
      <c r="E61" s="1" t="n">
        <v>46310</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46310</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46310</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33783-2025</t>
        </is>
      </c>
      <c r="B64" t="inlineStr">
        <is>
          <t>avverkningsanmälan</t>
        </is>
      </c>
      <c r="C64" t="inlineStr">
        <is>
          <t>Föryngringsavverkning</t>
        </is>
      </c>
      <c r="D64" s="1" t="n">
        <v>45842</v>
      </c>
      <c r="E64" s="1" t="n">
        <v>46310</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41874-2025</t>
        </is>
      </c>
      <c r="B65" t="inlineStr">
        <is>
          <t>avverkningsanmälan</t>
        </is>
      </c>
      <c r="C65" t="inlineStr">
        <is>
          <t>Föryngringsavverkning</t>
        </is>
      </c>
      <c r="D65" s="1" t="n">
        <v>45903</v>
      </c>
      <c r="E65" s="1" t="n">
        <v>46310</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46310</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46310</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10086-2023</t>
        </is>
      </c>
      <c r="B68" t="inlineStr">
        <is>
          <t>avverkningsanmälan</t>
        </is>
      </c>
      <c r="C68" t="inlineStr">
        <is>
          <t>Avverkning för att bevara och utveckla /försöksver</t>
        </is>
      </c>
      <c r="D68" s="1" t="n">
        <v>44985</v>
      </c>
      <c r="E68" s="1" t="n">
        <v>46310</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57843-2024</t>
        </is>
      </c>
      <c r="B69" t="inlineStr">
        <is>
          <t>avverkningsanmälan</t>
        </is>
      </c>
      <c r="C69" t="inlineStr">
        <is>
          <t>Föryngringsavverkning</t>
        </is>
      </c>
      <c r="D69" s="1" t="n">
        <v>45631</v>
      </c>
      <c r="E69" s="1" t="n">
        <v>46310</v>
      </c>
      <c r="F69" t="inlineStr">
        <is>
          <t>VÄSTERNORRLANDS LÄN</t>
        </is>
      </c>
      <c r="G69" t="inlineStr">
        <is>
          <t>ÅNGE</t>
        </is>
      </c>
      <c r="I69" t="n">
        <v>6</v>
      </c>
      <c r="J69" t="n">
        <v>3</v>
      </c>
      <c r="K69" t="n">
        <v>4</v>
      </c>
      <c r="L69" t="n">
        <v>3</v>
      </c>
      <c r="M69" t="n">
        <v>1</v>
      </c>
      <c r="N69" t="n">
        <v>0</v>
      </c>
      <c r="O69" t="n">
        <v>0</v>
      </c>
      <c r="P69" t="n">
        <v>0</v>
      </c>
      <c r="Q69" t="n">
        <v>4</v>
      </c>
      <c r="R69" t="n">
        <v>1</v>
      </c>
      <c r="S69" t="n">
        <v>11</v>
      </c>
      <c r="T69" t="n">
        <v>20</v>
      </c>
      <c r="U69" t="n">
        <v>4</v>
      </c>
      <c r="V69" s="2" t="inlineStr">
        <is>
          <t>Garnlav
Gammelgransskål
Lunglav
Skrovellav
Barkkornlav
Bårdlav
Luddlav
Stuplav
Tjäder
Fläcknycklar
Revlummer</t>
        </is>
      </c>
      <c r="W69">
        <f>HYPERLINK("https://klasma.github.io/Logging_2260/artfynd/A 57843-2024 artfynd.xlsx", "A 57843-2024")</f>
        <v/>
      </c>
      <c r="X69">
        <f>HYPERLINK("https://klasma.github.io/Logging_2260/kartor/A 57843-2024 karta.png", "A 57843-2024")</f>
        <v/>
      </c>
      <c r="Y69">
        <f>HYPERLINK("https://klasma.github.io/Logging_2260/kartor_geotiff/A 57843-2024 georefererad karta.tif", "A 57843-2024")</f>
        <v/>
      </c>
      <c r="AA69">
        <f>HYPERLINK("https://klasma.github.io/Logging_2260/klagomål/A 57843-2024 FSC-klagomål.docx", "A 57843-2024")</f>
        <v/>
      </c>
      <c r="AB69">
        <f>HYPERLINK("https://klasma.github.io/Logging_2260/klagomålsmail/A 57843-2024 FSC-klagomål mail.docx", "A 57843-2024")</f>
        <v/>
      </c>
      <c r="AC69">
        <f>HYPERLINK("https://klasma.github.io/Logging_2260/tillsyn/A 57843-2024 tillsynsbegäran.docx", "A 57843-2024")</f>
        <v/>
      </c>
      <c r="AD69">
        <f>HYPERLINK("https://klasma.github.io/Logging_2260/tillsynsmail/A 57843-2024 tillsynsbegäran mail.docx", "A 57843-2024")</f>
        <v/>
      </c>
      <c r="AE69">
        <f>HYPERLINK("https://klasma.github.io/Logging_2260/fåglar/A 57843-2024 prioriterade fågelarter.docx", "A 57843-2024")</f>
        <v/>
      </c>
    </row>
    <row r="70" ht="15" customHeight="1">
      <c r="A70" t="inlineStr">
        <is>
          <t>A 24176-2025</t>
        </is>
      </c>
      <c r="B70" t="inlineStr">
        <is>
          <t>avverkningsanmälan</t>
        </is>
      </c>
      <c r="C70" t="inlineStr">
        <is>
          <t>Föryngringsavverkning</t>
        </is>
      </c>
      <c r="D70" s="1" t="n">
        <v>45796</v>
      </c>
      <c r="E70" s="1" t="n">
        <v>46310</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37992-2026</t>
        </is>
      </c>
      <c r="B71" t="inlineStr">
        <is>
          <t>avverkningsanmälan</t>
        </is>
      </c>
      <c r="C71" t="inlineStr">
        <is>
          <t>Föryngringsavverkning</t>
        </is>
      </c>
      <c r="D71" s="1" t="n">
        <v>46280</v>
      </c>
      <c r="E71" s="1" t="n">
        <v>46310</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60817-2024</t>
        </is>
      </c>
      <c r="B72" t="inlineStr">
        <is>
          <t>avverkningsanmälan</t>
        </is>
      </c>
      <c r="C72" t="inlineStr">
        <is>
          <t>Föryngringsavverkning</t>
        </is>
      </c>
      <c r="D72" s="1" t="n">
        <v>45644</v>
      </c>
      <c r="E72" s="1" t="n">
        <v>46310</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39065-2023</t>
        </is>
      </c>
      <c r="B73" t="inlineStr">
        <is>
          <t>avverkningsanmälan</t>
        </is>
      </c>
      <c r="C73" t="inlineStr">
        <is>
          <t>Avverkning för att bevara och utveckla /försöksver</t>
        </is>
      </c>
      <c r="D73" s="1" t="n">
        <v>45163</v>
      </c>
      <c r="E73" s="1" t="n">
        <v>46310</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46310</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11894-2022</t>
        </is>
      </c>
      <c r="B75" t="inlineStr">
        <is>
          <t>avverkningsanmälan</t>
        </is>
      </c>
      <c r="C75" t="inlineStr">
        <is>
          <t>Föryngringsavverkning</t>
        </is>
      </c>
      <c r="D75" s="1" t="n">
        <v>44635</v>
      </c>
      <c r="E75" s="1" t="n">
        <v>46310</v>
      </c>
      <c r="F75" t="inlineStr">
        <is>
          <t>VÄSTERNORRLANDS LÄN</t>
        </is>
      </c>
      <c r="G75" t="inlineStr">
        <is>
          <t>ÅNGE</t>
        </is>
      </c>
      <c r="I75" t="n">
        <v>10.6</v>
      </c>
      <c r="J75" t="n">
        <v>4</v>
      </c>
      <c r="K75" t="n">
        <v>2</v>
      </c>
      <c r="L75" t="n">
        <v>5</v>
      </c>
      <c r="M75" t="n">
        <v>1</v>
      </c>
      <c r="N75" t="n">
        <v>0</v>
      </c>
      <c r="O75" t="n">
        <v>0</v>
      </c>
      <c r="P75" t="n">
        <v>0</v>
      </c>
      <c r="Q75" t="n">
        <v>6</v>
      </c>
      <c r="R75" t="n">
        <v>1</v>
      </c>
      <c r="S75" t="n">
        <v>10</v>
      </c>
      <c r="T75" t="n">
        <v>37</v>
      </c>
      <c r="U75" t="n">
        <v>1</v>
      </c>
      <c r="V75" s="2" t="inlineStr">
        <is>
          <t>Garnlav
Gammelgransskål
Rynkskinn
Tretåig hackspett
Ullticka
Vitgrynig nållav
Plattlummer
Vedticka
Spillkråka
Fläcknycklar</t>
        </is>
      </c>
      <c r="W75">
        <f>HYPERLINK("https://klasma.github.io/Logging_2260/artfynd/A 11894-2022 artfynd.xlsx", "A 11894-2022")</f>
        <v/>
      </c>
      <c r="X75">
        <f>HYPERLINK("https://klasma.github.io/Logging_2260/kartor/A 11894-2022 karta.png", "A 11894-2022")</f>
        <v/>
      </c>
      <c r="Y75">
        <f>HYPERLINK("https://klasma.github.io/Logging_2260/kartor_geotiff/A 11894-2022 georefererad karta.tif", "A 11894-2022")</f>
        <v/>
      </c>
      <c r="AA75">
        <f>HYPERLINK("https://klasma.github.io/Logging_2260/klagomål/A 11894-2022 FSC-klagomål.docx", "A 11894-2022")</f>
        <v/>
      </c>
      <c r="AB75">
        <f>HYPERLINK("https://klasma.github.io/Logging_2260/klagomålsmail/A 11894-2022 FSC-klagomål mail.docx", "A 11894-2022")</f>
        <v/>
      </c>
      <c r="AC75">
        <f>HYPERLINK("https://klasma.github.io/Logging_2260/tillsyn/A 11894-2022 tillsynsbegäran.docx", "A 11894-2022")</f>
        <v/>
      </c>
      <c r="AD75">
        <f>HYPERLINK("https://klasma.github.io/Logging_2260/tillsynsmail/A 11894-2022 tillsynsbegäran mail.docx", "A 11894-2022")</f>
        <v/>
      </c>
      <c r="AE75">
        <f>HYPERLINK("https://klasma.github.io/Logging_2260/fåglar/A 11894-2022 prioriterade fågelarter.docx", "A 11894-2022")</f>
        <v/>
      </c>
    </row>
    <row r="76" ht="15" customHeight="1">
      <c r="A76" t="inlineStr">
        <is>
          <t>A 47102-2025</t>
        </is>
      </c>
      <c r="B76" t="inlineStr">
        <is>
          <t>avverkningsanmälan</t>
        </is>
      </c>
      <c r="C76" t="inlineStr">
        <is>
          <t>Avverkning för annat ändamål</t>
        </is>
      </c>
      <c r="D76" s="1" t="n">
        <v>45929</v>
      </c>
      <c r="E76" s="1" t="n">
        <v>46310</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46310</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46310</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46310</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46310</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5435-2026</t>
        </is>
      </c>
      <c r="B81" t="inlineStr">
        <is>
          <t>avverkningsanmälan</t>
        </is>
      </c>
      <c r="C81" t="inlineStr">
        <is>
          <t>Föryngringsavverkning</t>
        </is>
      </c>
      <c r="D81" s="1" t="n">
        <v>46050</v>
      </c>
      <c r="E81" s="1" t="n">
        <v>46310</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26604-2026</t>
        </is>
      </c>
      <c r="B82" t="inlineStr">
        <is>
          <t>avverkningsanmälan</t>
        </is>
      </c>
      <c r="C82" t="inlineStr">
        <is>
          <t>Föryngringsavverkning</t>
        </is>
      </c>
      <c r="D82" s="1" t="n">
        <v>46183</v>
      </c>
      <c r="E82" s="1" t="n">
        <v>46310</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46310</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46310</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35826-2025</t>
        </is>
      </c>
      <c r="B86" t="inlineStr">
        <is>
          <t>avverkningsanmälan</t>
        </is>
      </c>
      <c r="C86" t="inlineStr">
        <is>
          <t>Föryngringsavverkning</t>
        </is>
      </c>
      <c r="D86" s="1" t="n">
        <v>45861</v>
      </c>
      <c r="E86" s="1" t="n">
        <v>46310</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46310</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46310</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46310</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22737-2023</t>
        </is>
      </c>
      <c r="B90" t="inlineStr">
        <is>
          <t>avverkningsanmälan</t>
        </is>
      </c>
      <c r="C90" t="inlineStr">
        <is>
          <t>Föryngringsavverkning</t>
        </is>
      </c>
      <c r="D90" s="1" t="n">
        <v>45071</v>
      </c>
      <c r="E90" s="1" t="n">
        <v>46310</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39708-2024</t>
        </is>
      </c>
      <c r="B91" t="inlineStr">
        <is>
          <t>avverkningsanmälan</t>
        </is>
      </c>
      <c r="C91" t="inlineStr">
        <is>
          <t>Föryngringsavverkning</t>
        </is>
      </c>
      <c r="D91" s="1" t="n">
        <v>45552</v>
      </c>
      <c r="E91" s="1" t="n">
        <v>46310</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26314-2024</t>
        </is>
      </c>
      <c r="B92" t="inlineStr">
        <is>
          <t>avverkningsanmälan</t>
        </is>
      </c>
      <c r="C92" t="inlineStr">
        <is>
          <t>Föryngringsavverkning</t>
        </is>
      </c>
      <c r="D92" s="1" t="n">
        <v>45468</v>
      </c>
      <c r="E92" s="1" t="n">
        <v>46310</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46310</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46310</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46310</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4130-2023</t>
        </is>
      </c>
      <c r="B96" t="inlineStr">
        <is>
          <t>avverkningsanmälan</t>
        </is>
      </c>
      <c r="C96" t="inlineStr">
        <is>
          <t>Föryngringsavverkning</t>
        </is>
      </c>
      <c r="D96" s="1" t="n">
        <v>44952</v>
      </c>
      <c r="E96" s="1" t="n">
        <v>46310</v>
      </c>
      <c r="F96" t="inlineStr">
        <is>
          <t>VÄSTERNORRLANDS LÄN</t>
        </is>
      </c>
      <c r="G96" t="inlineStr">
        <is>
          <t>ÅNGE</t>
        </is>
      </c>
      <c r="H96" t="inlineStr">
        <is>
          <t>SCA</t>
        </is>
      </c>
      <c r="I96" t="n">
        <v>2.2</v>
      </c>
      <c r="J96" t="n">
        <v>5</v>
      </c>
      <c r="K96" t="n">
        <v>3</v>
      </c>
      <c r="L96" t="n">
        <v>2</v>
      </c>
      <c r="M96" t="n">
        <v>1</v>
      </c>
      <c r="N96" t="n">
        <v>0</v>
      </c>
      <c r="O96" t="n">
        <v>0</v>
      </c>
      <c r="P96" t="n">
        <v>0</v>
      </c>
      <c r="Q96" t="n">
        <v>3</v>
      </c>
      <c r="R96" t="n">
        <v>1</v>
      </c>
      <c r="S96" t="n">
        <v>8</v>
      </c>
      <c r="T96" t="n">
        <v>10</v>
      </c>
      <c r="U96" t="n">
        <v>2</v>
      </c>
      <c r="V96" s="2" t="inlineStr">
        <is>
          <t>Knärot
Höstlåsbräken
Månlåsbräken
Grönkulla
Spetsvaxing
Ängsfingersvamp
Järpe
Tjäder</t>
        </is>
      </c>
      <c r="W96">
        <f>HYPERLINK("https://klasma.github.io/Logging_2260/artfynd/A 4130-2023 artfynd.xlsx", "A 4130-2023")</f>
        <v/>
      </c>
      <c r="X96">
        <f>HYPERLINK("https://klasma.github.io/Logging_2260/kartor/A 4130-2023 karta.png", "A 4130-2023")</f>
        <v/>
      </c>
      <c r="Y96">
        <f>HYPERLINK("https://klasma.github.io/Logging_2260/kartor_geotiff/A 4130-2023 georefererad karta.tif", "A 4130-2023")</f>
        <v/>
      </c>
      <c r="Z96">
        <f>HYPERLINK("https://klasma.github.io/Logging_2260/knärot/A 4130-2023 karta knärot.png", "A 4130-2023")</f>
        <v/>
      </c>
      <c r="AA96">
        <f>HYPERLINK("https://klasma.github.io/Logging_2260/klagomål/A 4130-2023 FSC-klagomål.docx", "A 4130-2023")</f>
        <v/>
      </c>
      <c r="AB96">
        <f>HYPERLINK("https://klasma.github.io/Logging_2260/klagomålsmail/A 4130-2023 FSC-klagomål mail.docx", "A 4130-2023")</f>
        <v/>
      </c>
      <c r="AC96">
        <f>HYPERLINK("https://klasma.github.io/Logging_2260/tillsyn/A 4130-2023 tillsynsbegäran.docx", "A 4130-2023")</f>
        <v/>
      </c>
      <c r="AD96">
        <f>HYPERLINK("https://klasma.github.io/Logging_2260/tillsynsmail/A 4130-2023 tillsynsbegäran mail.docx", "A 4130-2023")</f>
        <v/>
      </c>
      <c r="AE96">
        <f>HYPERLINK("https://klasma.github.io/Logging_2260/fåglar/A 4130-2023 prioriterade fågelarter.docx", "A 4130-2023")</f>
        <v/>
      </c>
    </row>
    <row r="97" ht="15" customHeight="1">
      <c r="A97" t="inlineStr">
        <is>
          <t>A 46417-2025</t>
        </is>
      </c>
      <c r="B97" t="inlineStr">
        <is>
          <t>avverkningsanmälan</t>
        </is>
      </c>
      <c r="C97" t="inlineStr">
        <is>
          <t>Föryngringsavverkning</t>
        </is>
      </c>
      <c r="D97" s="1" t="n">
        <v>45925</v>
      </c>
      <c r="E97" s="1" t="n">
        <v>46310</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46310</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46310</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55178-2024</t>
        </is>
      </c>
      <c r="B100" t="inlineStr">
        <is>
          <t>avverkningsanmälan</t>
        </is>
      </c>
      <c r="C100" t="inlineStr">
        <is>
          <t>Föryngringsavverkning</t>
        </is>
      </c>
      <c r="D100" s="1" t="n">
        <v>45621</v>
      </c>
      <c r="E100" s="1" t="n">
        <v>46310</v>
      </c>
      <c r="F100" t="inlineStr">
        <is>
          <t>VÄSTERNORRLANDS LÄN</t>
        </is>
      </c>
      <c r="G100" t="inlineStr">
        <is>
          <t>ÅNGE</t>
        </is>
      </c>
      <c r="H100" t="inlineStr">
        <is>
          <t>SCA</t>
        </is>
      </c>
      <c r="I100" t="n">
        <v>4.8</v>
      </c>
      <c r="J100" t="n">
        <v>2</v>
      </c>
      <c r="K100" t="n">
        <v>1</v>
      </c>
      <c r="L100" t="n">
        <v>6</v>
      </c>
      <c r="M100" t="n">
        <v>1</v>
      </c>
      <c r="N100" t="n">
        <v>0</v>
      </c>
      <c r="O100" t="n">
        <v>0</v>
      </c>
      <c r="P100" t="n">
        <v>0</v>
      </c>
      <c r="Q100" t="n">
        <v>7</v>
      </c>
      <c r="R100" t="n">
        <v>1</v>
      </c>
      <c r="S100" t="n">
        <v>8</v>
      </c>
      <c r="T100" t="n">
        <v>11</v>
      </c>
      <c r="U100" t="n">
        <v>8</v>
      </c>
      <c r="V100" s="2" t="inlineStr">
        <is>
          <t>Knärot
Brunpudrad nållav
Dropptaggsvamp
Stiftgelélav
Talltita
Ullticka
Violettgrå tagellav
Gulnål</t>
        </is>
      </c>
      <c r="W100">
        <f>HYPERLINK("https://klasma.github.io/Logging_2260/artfynd/A 55178-2024 artfynd.xlsx", "A 55178-2024")</f>
        <v/>
      </c>
      <c r="X100">
        <f>HYPERLINK("https://klasma.github.io/Logging_2260/kartor/A 55178-2024 karta.png", "A 55178-2024")</f>
        <v/>
      </c>
      <c r="Y100">
        <f>HYPERLINK("https://klasma.github.io/Logging_2260/kartor_geotiff/A 55178-2024 georefererad karta.tif", "A 55178-2024")</f>
        <v/>
      </c>
      <c r="Z100">
        <f>HYPERLINK("https://klasma.github.io/Logging_2260/knärot/A 55178-2024 karta knärot.png", "A 55178-2024")</f>
        <v/>
      </c>
      <c r="AA100">
        <f>HYPERLINK("https://klasma.github.io/Logging_2260/klagomål/A 55178-2024 FSC-klagomål.docx", "A 55178-2024")</f>
        <v/>
      </c>
      <c r="AB100">
        <f>HYPERLINK("https://klasma.github.io/Logging_2260/klagomålsmail/A 55178-2024 FSC-klagomål mail.docx", "A 55178-2024")</f>
        <v/>
      </c>
      <c r="AC100">
        <f>HYPERLINK("https://klasma.github.io/Logging_2260/tillsyn/A 55178-2024 tillsynsbegäran.docx", "A 55178-2024")</f>
        <v/>
      </c>
      <c r="AD100">
        <f>HYPERLINK("https://klasma.github.io/Logging_2260/tillsynsmail/A 55178-2024 tillsynsbegäran mail.docx", "A 55178-2024")</f>
        <v/>
      </c>
      <c r="AE100">
        <f>HYPERLINK("https://klasma.github.io/Logging_2260/fåglar/A 55178-2024 prioriterade fågelarter.docx", "A 55178-2024")</f>
        <v/>
      </c>
    </row>
    <row r="101" ht="15" customHeight="1">
      <c r="A101" t="inlineStr">
        <is>
          <t>A 60240-2025</t>
        </is>
      </c>
      <c r="B101" t="inlineStr">
        <is>
          <t>avverkningsanmälan</t>
        </is>
      </c>
      <c r="C101" t="inlineStr">
        <is>
          <t>Avverkning för att bevara och utveckla /försöksver</t>
        </is>
      </c>
      <c r="D101" s="1" t="n">
        <v>45994</v>
      </c>
      <c r="E101" s="1" t="n">
        <v>46310</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21682-2023</t>
        </is>
      </c>
      <c r="B102" t="inlineStr">
        <is>
          <t>avverkningsanmälan</t>
        </is>
      </c>
      <c r="C102" t="inlineStr">
        <is>
          <t>Föryngringsavverkning</t>
        </is>
      </c>
      <c r="D102" s="1" t="n">
        <v>45063</v>
      </c>
      <c r="E102" s="1" t="n">
        <v>46310</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3966-2025</t>
        </is>
      </c>
      <c r="B103" t="inlineStr">
        <is>
          <t>avverkningsanmälan</t>
        </is>
      </c>
      <c r="C103" t="inlineStr">
        <is>
          <t>Föryngringsavverkning</t>
        </is>
      </c>
      <c r="D103" s="1" t="n">
        <v>45684</v>
      </c>
      <c r="E103" s="1" t="n">
        <v>46310</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A 40545-2024</t>
        </is>
      </c>
      <c r="B104" t="inlineStr">
        <is>
          <t>avverkningsanmälan</t>
        </is>
      </c>
      <c r="C104" t="inlineStr">
        <is>
          <t>Avverkning för att bevara och utveckla /försöksver</t>
        </is>
      </c>
      <c r="D104" s="1" t="n">
        <v>45555</v>
      </c>
      <c r="E104" s="1" t="n">
        <v>46310</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46310</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46310</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46310</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46310</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37723-2025</t>
        </is>
      </c>
      <c r="B109" t="inlineStr">
        <is>
          <t>avverkningsanmälan</t>
        </is>
      </c>
      <c r="C109" t="inlineStr">
        <is>
          <t>Föryngringsavverkning</t>
        </is>
      </c>
      <c r="D109" s="1" t="n">
        <v>45880</v>
      </c>
      <c r="E109" s="1" t="n">
        <v>46310</v>
      </c>
      <c r="F109" t="inlineStr">
        <is>
          <t>VÄSTERNORRLANDS LÄN</t>
        </is>
      </c>
      <c r="G109" t="inlineStr">
        <is>
          <t>ÅNGE</t>
        </is>
      </c>
      <c r="I109" t="n">
        <v>3</v>
      </c>
      <c r="J109" t="n">
        <v>1</v>
      </c>
      <c r="K109" t="n">
        <v>0</v>
      </c>
      <c r="L109" t="n">
        <v>6</v>
      </c>
      <c r="M109" t="n">
        <v>1</v>
      </c>
      <c r="N109" t="n">
        <v>0</v>
      </c>
      <c r="O109" t="n">
        <v>0</v>
      </c>
      <c r="P109" t="n">
        <v>0</v>
      </c>
      <c r="Q109" t="n">
        <v>7</v>
      </c>
      <c r="R109" t="n">
        <v>1</v>
      </c>
      <c r="S109" t="n">
        <v>7</v>
      </c>
      <c r="T109" t="n">
        <v>11</v>
      </c>
      <c r="U109" t="n">
        <v>11</v>
      </c>
      <c r="V109" s="2" t="inlineStr">
        <is>
          <t>Doftticka
Dropptaggsvamp
Dvärgbägarlav
Kolflarnlav
Lunglav
Mörk kolflarnlav
Vedskivlav</t>
        </is>
      </c>
      <c r="W109">
        <f>HYPERLINK("https://klasma.github.io/Logging_2260/artfynd/A 37723-2025 artfynd.xlsx", "A 37723-2025")</f>
        <v/>
      </c>
      <c r="X109">
        <f>HYPERLINK("https://klasma.github.io/Logging_2260/kartor/A 37723-2025 karta.png", "A 37723-2025")</f>
        <v/>
      </c>
      <c r="Y109">
        <f>HYPERLINK("https://klasma.github.io/Logging_2260/kartor_geotiff/A 37723-2025 georefererad karta.tif", "A 37723-2025")</f>
        <v/>
      </c>
      <c r="AA109">
        <f>HYPERLINK("https://klasma.github.io/Logging_2260/klagomål/A 37723-2025 FSC-klagomål.docx", "A 37723-2025")</f>
        <v/>
      </c>
      <c r="AB109">
        <f>HYPERLINK("https://klasma.github.io/Logging_2260/klagomålsmail/A 37723-2025 FSC-klagomål mail.docx", "A 37723-2025")</f>
        <v/>
      </c>
      <c r="AC109">
        <f>HYPERLINK("https://klasma.github.io/Logging_2260/tillsyn/A 37723-2025 tillsynsbegäran.docx", "A 37723-2025")</f>
        <v/>
      </c>
      <c r="AD109">
        <f>HYPERLINK("https://klasma.github.io/Logging_2260/tillsynsmail/A 37723-2025 tillsynsbegäran mail.docx", "A 37723-2025")</f>
        <v/>
      </c>
    </row>
    <row r="110" ht="15" customHeight="1">
      <c r="A110" t="inlineStr">
        <is>
          <t>A 38322-2025</t>
        </is>
      </c>
      <c r="B110" t="inlineStr">
        <is>
          <t>avverkningsanmälan</t>
        </is>
      </c>
      <c r="C110" t="inlineStr">
        <is>
          <t>Föryngringsavverkning</t>
        </is>
      </c>
      <c r="D110" s="1" t="n">
        <v>45883</v>
      </c>
      <c r="E110" s="1" t="n">
        <v>46310</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45402-2025</t>
        </is>
      </c>
      <c r="B111" t="inlineStr">
        <is>
          <t>avverkningsanmälan</t>
        </is>
      </c>
      <c r="C111" t="inlineStr">
        <is>
          <t>Föryngringsavverkning</t>
        </is>
      </c>
      <c r="D111" s="1" t="n">
        <v>45922</v>
      </c>
      <c r="E111" s="1" t="n">
        <v>46310</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26313-2024</t>
        </is>
      </c>
      <c r="B112" t="inlineStr">
        <is>
          <t>avverkningsanmälan</t>
        </is>
      </c>
      <c r="C112" t="inlineStr">
        <is>
          <t>Föryngringsavverkning</t>
        </is>
      </c>
      <c r="D112" s="1" t="n">
        <v>45468</v>
      </c>
      <c r="E112" s="1" t="n">
        <v>46310</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53456-2023</t>
        </is>
      </c>
      <c r="B113" t="inlineStr">
        <is>
          <t>avverkningsanmälan</t>
        </is>
      </c>
      <c r="C113" t="inlineStr">
        <is>
          <t>Föryngringsavverkning</t>
        </is>
      </c>
      <c r="D113" s="1" t="n">
        <v>45229</v>
      </c>
      <c r="E113" s="1" t="n">
        <v>46310</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62257-2025</t>
        </is>
      </c>
      <c r="B114" t="inlineStr">
        <is>
          <t>avverkningsanmälan</t>
        </is>
      </c>
      <c r="C114" t="inlineStr">
        <is>
          <t>Föryngringsavverkning</t>
        </is>
      </c>
      <c r="D114" s="1" t="n">
        <v>46006</v>
      </c>
      <c r="E114" s="1" t="n">
        <v>46310</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20580-2026</t>
        </is>
      </c>
      <c r="B115" t="inlineStr">
        <is>
          <t>avverkningsanmälan</t>
        </is>
      </c>
      <c r="C115" t="inlineStr">
        <is>
          <t>Föryngringsavverkning</t>
        </is>
      </c>
      <c r="D115" s="1" t="n">
        <v>46140</v>
      </c>
      <c r="E115" s="1" t="n">
        <v>46310</v>
      </c>
      <c r="F115" t="inlineStr">
        <is>
          <t>VÄSTERNORRLANDS LÄN</t>
        </is>
      </c>
      <c r="G115" t="inlineStr">
        <is>
          <t>ÅNGE</t>
        </is>
      </c>
      <c r="H115" t="inlineStr">
        <is>
          <t>SCA</t>
        </is>
      </c>
      <c r="I115" t="n">
        <v>5.6</v>
      </c>
      <c r="J115" t="n">
        <v>1</v>
      </c>
      <c r="K115" t="n">
        <v>3</v>
      </c>
      <c r="L115" t="n">
        <v>2</v>
      </c>
      <c r="M115" t="n">
        <v>1</v>
      </c>
      <c r="N115" t="n">
        <v>0</v>
      </c>
      <c r="O115" t="n">
        <v>0</v>
      </c>
      <c r="P115" t="n">
        <v>0</v>
      </c>
      <c r="Q115" t="n">
        <v>3</v>
      </c>
      <c r="R115" t="n">
        <v>1</v>
      </c>
      <c r="S115" t="n">
        <v>7</v>
      </c>
      <c r="T115" t="n">
        <v>7</v>
      </c>
      <c r="U115" t="n">
        <v>1</v>
      </c>
      <c r="V115" s="2" t="inlineStr">
        <is>
          <t>Garnlav
Dropptaggsvamp
Vedskivlav
Skogshakmossa
Stor aspticka
Vedticka
Tjäder</t>
        </is>
      </c>
      <c r="W115">
        <f>HYPERLINK("https://klasma.github.io/Logging_2260/artfynd/A 20580-2026 artfynd.xlsx", "A 20580-2026")</f>
        <v/>
      </c>
      <c r="X115">
        <f>HYPERLINK("https://klasma.github.io/Logging_2260/kartor/A 20580-2026 karta.png", "A 20580-2026")</f>
        <v/>
      </c>
      <c r="Y115">
        <f>HYPERLINK("https://klasma.github.io/Logging_2260/kartor_geotiff/A 20580-2026 georefererad karta.tif", "A 20580-2026")</f>
        <v/>
      </c>
      <c r="AA115">
        <f>HYPERLINK("https://klasma.github.io/Logging_2260/klagomål/A 20580-2026 FSC-klagomål.docx", "A 20580-2026")</f>
        <v/>
      </c>
      <c r="AB115">
        <f>HYPERLINK("https://klasma.github.io/Logging_2260/klagomålsmail/A 20580-2026 FSC-klagomål mail.docx", "A 20580-2026")</f>
        <v/>
      </c>
      <c r="AC115">
        <f>HYPERLINK("https://klasma.github.io/Logging_2260/tillsyn/A 20580-2026 tillsynsbegäran.docx", "A 20580-2026")</f>
        <v/>
      </c>
      <c r="AD115">
        <f>HYPERLINK("https://klasma.github.io/Logging_2260/tillsynsmail/A 20580-2026 tillsynsbegäran mail.docx", "A 20580-2026")</f>
        <v/>
      </c>
      <c r="AE115">
        <f>HYPERLINK("https://klasma.github.io/Logging_2260/fåglar/A 20580-2026 prioriterade fågelarter.docx", "A 20580-2026")</f>
        <v/>
      </c>
    </row>
    <row r="116" ht="15" customHeight="1">
      <c r="A116" t="inlineStr">
        <is>
          <t>A 31545-2024</t>
        </is>
      </c>
      <c r="B116" t="inlineStr">
        <is>
          <t>avverkningsanmälan</t>
        </is>
      </c>
      <c r="C116" t="inlineStr">
        <is>
          <t>Föryngringsavverkning</t>
        </is>
      </c>
      <c r="D116" s="1" t="n">
        <v>45505</v>
      </c>
      <c r="E116" s="1" t="n">
        <v>46310</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26268-2026</t>
        </is>
      </c>
      <c r="B117" t="inlineStr">
        <is>
          <t>avverkningsanmälan</t>
        </is>
      </c>
      <c r="C117" t="inlineStr">
        <is>
          <t>Föryngringsavverkning</t>
        </is>
      </c>
      <c r="D117" s="1" t="n">
        <v>46182</v>
      </c>
      <c r="E117" s="1" t="n">
        <v>46310</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46548-2023</t>
        </is>
      </c>
      <c r="B118" t="inlineStr">
        <is>
          <t>avverkningsanmälan</t>
        </is>
      </c>
      <c r="C118" t="inlineStr">
        <is>
          <t>Föryngringsavverkning</t>
        </is>
      </c>
      <c r="D118" s="1" t="n">
        <v>45197</v>
      </c>
      <c r="E118" s="1" t="n">
        <v>46310</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60812-2024</t>
        </is>
      </c>
      <c r="B119" t="inlineStr">
        <is>
          <t>avverkningsanmälan</t>
        </is>
      </c>
      <c r="C119" t="inlineStr">
        <is>
          <t>Föryngringsavverkning</t>
        </is>
      </c>
      <c r="D119" s="1" t="n">
        <v>45644</v>
      </c>
      <c r="E119" s="1" t="n">
        <v>46310</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34694-2023</t>
        </is>
      </c>
      <c r="B120" t="inlineStr">
        <is>
          <t>avverkningsanmälan</t>
        </is>
      </c>
      <c r="C120" t="inlineStr">
        <is>
          <t>Föryngringsavverkning</t>
        </is>
      </c>
      <c r="D120" s="1" t="n">
        <v>45140</v>
      </c>
      <c r="E120" s="1" t="n">
        <v>46310</v>
      </c>
      <c r="F120" t="inlineStr">
        <is>
          <t>VÄSTERNORRLANDS LÄN</t>
        </is>
      </c>
      <c r="G120" t="inlineStr">
        <is>
          <t>ÅNGE</t>
        </is>
      </c>
      <c r="H120" t="inlineStr">
        <is>
          <t>SCA</t>
        </is>
      </c>
      <c r="I120" t="n">
        <v>3</v>
      </c>
      <c r="J120" t="n">
        <v>1</v>
      </c>
      <c r="K120" t="n">
        <v>2</v>
      </c>
      <c r="L120" t="n">
        <v>3</v>
      </c>
      <c r="M120" t="n">
        <v>2</v>
      </c>
      <c r="N120" t="n">
        <v>0</v>
      </c>
      <c r="O120" t="n">
        <v>0</v>
      </c>
      <c r="P120" t="n">
        <v>0</v>
      </c>
      <c r="Q120" t="n">
        <v>5</v>
      </c>
      <c r="R120" t="n">
        <v>2</v>
      </c>
      <c r="S120" t="n">
        <v>7</v>
      </c>
      <c r="T120" t="n">
        <v>7</v>
      </c>
      <c r="U120" t="n">
        <v>7</v>
      </c>
      <c r="V120" s="2" t="inlineStr">
        <is>
          <t>Garnlav
Laxgröppa
Dropptaggsvamp
Koralltaggsvamp
Vedskivlav
Spindelblomster
Vedticka</t>
        </is>
      </c>
      <c r="W120">
        <f>HYPERLINK("https://klasma.github.io/Logging_2260/artfynd/A 34694-2023 artfynd.xlsx", "A 34694-2023")</f>
        <v/>
      </c>
      <c r="X120">
        <f>HYPERLINK("https://klasma.github.io/Logging_2260/kartor/A 34694-2023 karta.png", "A 34694-2023")</f>
        <v/>
      </c>
      <c r="Y120">
        <f>HYPERLINK("https://klasma.github.io/Logging_2260/kartor_geotiff/A 34694-2023 georefererad karta.tif", "A 34694-2023")</f>
        <v/>
      </c>
      <c r="AA120">
        <f>HYPERLINK("https://klasma.github.io/Logging_2260/klagomål/A 34694-2023 FSC-klagomål.docx", "A 34694-2023")</f>
        <v/>
      </c>
      <c r="AB120">
        <f>HYPERLINK("https://klasma.github.io/Logging_2260/klagomålsmail/A 34694-2023 FSC-klagomål mail.docx", "A 34694-2023")</f>
        <v/>
      </c>
      <c r="AC120">
        <f>HYPERLINK("https://klasma.github.io/Logging_2260/tillsyn/A 34694-2023 tillsynsbegäran.docx", "A 34694-2023")</f>
        <v/>
      </c>
      <c r="AD120">
        <f>HYPERLINK("https://klasma.github.io/Logging_2260/tillsynsmail/A 34694-2023 tillsynsbegäran mail.docx", "A 34694-2023")</f>
        <v/>
      </c>
    </row>
    <row r="121" ht="15" customHeight="1">
      <c r="A121" t="inlineStr">
        <is>
          <t>A 35662-2026</t>
        </is>
      </c>
      <c r="B121" t="inlineStr">
        <is>
          <t>avverkningsanmälan</t>
        </is>
      </c>
      <c r="C121" t="inlineStr">
        <is>
          <t>Föryngringsavverkning</t>
        </is>
      </c>
      <c r="D121" s="1" t="n">
        <v>46265</v>
      </c>
      <c r="E121" s="1" t="n">
        <v>46310</v>
      </c>
      <c r="F121" t="inlineStr">
        <is>
          <t>VÄSTERNORRLANDS LÄN</t>
        </is>
      </c>
      <c r="G121" t="inlineStr">
        <is>
          <t>ÅNGE</t>
        </is>
      </c>
      <c r="I121" t="n">
        <v>1.3</v>
      </c>
      <c r="J121" t="n">
        <v>2</v>
      </c>
      <c r="K121" t="n">
        <v>1</v>
      </c>
      <c r="L121" t="n">
        <v>3</v>
      </c>
      <c r="M121" t="n">
        <v>2</v>
      </c>
      <c r="N121" t="n">
        <v>0</v>
      </c>
      <c r="O121" t="n">
        <v>0</v>
      </c>
      <c r="P121" t="n">
        <v>0</v>
      </c>
      <c r="Q121" t="n">
        <v>5</v>
      </c>
      <c r="R121" t="n">
        <v>2</v>
      </c>
      <c r="S121" t="n">
        <v>7</v>
      </c>
      <c r="T121" t="n">
        <v>9</v>
      </c>
      <c r="U121" t="n">
        <v>0</v>
      </c>
      <c r="V121" s="2" t="inlineStr">
        <is>
          <t>Garnlav
Knärot
Lunglav
Mörk kolflarnlav
Vedskivlav
Vedticka
Spillkråka</t>
        </is>
      </c>
      <c r="W121">
        <f>HYPERLINK("https://klasma.github.io/Logging_2260/artfynd/A 35662-2026 artfynd.xlsx", "A 35662-2026")</f>
        <v/>
      </c>
      <c r="X121">
        <f>HYPERLINK("https://klasma.github.io/Logging_2260/kartor/A 35662-2026 karta.png", "A 35662-2026")</f>
        <v/>
      </c>
      <c r="Y121">
        <f>HYPERLINK("https://klasma.github.io/Logging_2260/kartor_geotiff/A 35662-2026 georefererad karta.tif", "A 35662-2026")</f>
        <v/>
      </c>
      <c r="Z121">
        <f>HYPERLINK("https://klasma.github.io/Logging_2260/knärot/A 35662-2026 karta knärot.png", "A 35662-2026")</f>
        <v/>
      </c>
      <c r="AA121">
        <f>HYPERLINK("https://klasma.github.io/Logging_2260/klagomål/A 35662-2026 FSC-klagomål.docx", "A 35662-2026")</f>
        <v/>
      </c>
      <c r="AB121">
        <f>HYPERLINK("https://klasma.github.io/Logging_2260/klagomålsmail/A 35662-2026 FSC-klagomål mail.docx", "A 35662-2026")</f>
        <v/>
      </c>
      <c r="AC121">
        <f>HYPERLINK("https://klasma.github.io/Logging_2260/tillsyn/A 35662-2026 tillsynsbegäran.docx", "A 35662-2026")</f>
        <v/>
      </c>
      <c r="AD121">
        <f>HYPERLINK("https://klasma.github.io/Logging_2260/tillsynsmail/A 35662-2026 tillsynsbegäran mail.docx", "A 35662-2026")</f>
        <v/>
      </c>
      <c r="AE121">
        <f>HYPERLINK("https://klasma.github.io/Logging_2260/fåglar/A 35662-2026 prioriterade fågelarter.docx", "A 35662-2026")</f>
        <v/>
      </c>
    </row>
    <row r="122" ht="15" customHeight="1">
      <c r="A122" t="inlineStr">
        <is>
          <t>S 5127-2024</t>
        </is>
      </c>
      <c r="B122" t="inlineStr">
        <is>
          <t>samrådsanmälan</t>
        </is>
      </c>
      <c r="C122" t="inlineStr">
        <is>
          <t>Traktorväg</t>
        </is>
      </c>
      <c r="D122" s="1" t="n">
        <v>45644</v>
      </c>
      <c r="E122" s="1" t="n">
        <v>46310</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46310</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46310</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18112-2025</t>
        </is>
      </c>
      <c r="B125" t="inlineStr">
        <is>
          <t>avverkningsanmälan</t>
        </is>
      </c>
      <c r="C125" t="inlineStr">
        <is>
          <t>Föryngringsavverkning</t>
        </is>
      </c>
      <c r="D125" s="1" t="n">
        <v>45761</v>
      </c>
      <c r="E125" s="1" t="n">
        <v>46310</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46310</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49528-2025</t>
        </is>
      </c>
      <c r="B127" t="inlineStr">
        <is>
          <t>avverkningsanmälan</t>
        </is>
      </c>
      <c r="C127" t="inlineStr">
        <is>
          <t>Föryngringsavverkning</t>
        </is>
      </c>
      <c r="D127" s="1" t="n">
        <v>45939</v>
      </c>
      <c r="E127" s="1" t="n">
        <v>46310</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30754-2024</t>
        </is>
      </c>
      <c r="B128" t="inlineStr">
        <is>
          <t>avverkningsanmälan</t>
        </is>
      </c>
      <c r="C128" t="inlineStr">
        <is>
          <t>Avverkning för annat ändamål</t>
        </is>
      </c>
      <c r="D128" s="1" t="n">
        <v>45496</v>
      </c>
      <c r="E128" s="1" t="n">
        <v>46310</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19010-2025</t>
        </is>
      </c>
      <c r="B129" t="inlineStr">
        <is>
          <t>avverkningsanmälan</t>
        </is>
      </c>
      <c r="C129" t="inlineStr">
        <is>
          <t>Föryngringsavverkning</t>
        </is>
      </c>
      <c r="D129" s="1" t="n">
        <v>45764</v>
      </c>
      <c r="E129" s="1" t="n">
        <v>46310</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46310</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22996-2023</t>
        </is>
      </c>
      <c r="B131" t="inlineStr">
        <is>
          <t>avverkningsanmälan</t>
        </is>
      </c>
      <c r="C131" t="inlineStr">
        <is>
          <t>Föryngringsavverkning</t>
        </is>
      </c>
      <c r="D131" s="1" t="n">
        <v>45072</v>
      </c>
      <c r="E131" s="1" t="n">
        <v>46310</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32847-2025</t>
        </is>
      </c>
      <c r="B132" t="inlineStr">
        <is>
          <t>avverkningsanmälan</t>
        </is>
      </c>
      <c r="C132" t="inlineStr">
        <is>
          <t>Föryngringsavverkning</t>
        </is>
      </c>
      <c r="D132" s="1" t="n">
        <v>45839</v>
      </c>
      <c r="E132" s="1" t="n">
        <v>46310</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43520-2025</t>
        </is>
      </c>
      <c r="B133" t="inlineStr">
        <is>
          <t>avverkningsanmälan</t>
        </is>
      </c>
      <c r="C133" t="inlineStr">
        <is>
          <t>Föryngringsavverkning</t>
        </is>
      </c>
      <c r="D133" s="1" t="n">
        <v>45911</v>
      </c>
      <c r="E133" s="1" t="n">
        <v>46310</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13696-2023</t>
        </is>
      </c>
      <c r="B134" t="inlineStr">
        <is>
          <t>avverkningsanmälan</t>
        </is>
      </c>
      <c r="C134" t="inlineStr">
        <is>
          <t>Föryngringsavverkning</t>
        </is>
      </c>
      <c r="D134" s="1" t="n">
        <v>45006</v>
      </c>
      <c r="E134" s="1" t="n">
        <v>46310</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38327-2025</t>
        </is>
      </c>
      <c r="B135" t="inlineStr">
        <is>
          <t>avverkningsanmälan</t>
        </is>
      </c>
      <c r="C135" t="inlineStr">
        <is>
          <t>Föryngringsavverkning</t>
        </is>
      </c>
      <c r="D135" s="1" t="n">
        <v>45883</v>
      </c>
      <c r="E135" s="1" t="n">
        <v>46310</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48237-2025</t>
        </is>
      </c>
      <c r="B136" t="inlineStr">
        <is>
          <t>avverkningsanmälan</t>
        </is>
      </c>
      <c r="C136" t="inlineStr">
        <is>
          <t>Föryngringsavverkning</t>
        </is>
      </c>
      <c r="D136" s="1" t="n">
        <v>45933</v>
      </c>
      <c r="E136" s="1" t="n">
        <v>46310</v>
      </c>
      <c r="F136" t="inlineStr">
        <is>
          <t>VÄSTERNORRLANDS LÄN</t>
        </is>
      </c>
      <c r="G136" t="inlineStr">
        <is>
          <t>ÅNGE</t>
        </is>
      </c>
      <c r="H136" t="inlineStr">
        <is>
          <t>SCA</t>
        </is>
      </c>
      <c r="I136" t="n">
        <v>1.9</v>
      </c>
      <c r="J136" t="n">
        <v>1</v>
      </c>
      <c r="K136" t="n">
        <v>0</v>
      </c>
      <c r="L136" t="n">
        <v>3</v>
      </c>
      <c r="M136" t="n">
        <v>2</v>
      </c>
      <c r="N136" t="n">
        <v>0</v>
      </c>
      <c r="O136" t="n">
        <v>0</v>
      </c>
      <c r="P136" t="n">
        <v>0</v>
      </c>
      <c r="Q136" t="n">
        <v>5</v>
      </c>
      <c r="R136" t="n">
        <v>2</v>
      </c>
      <c r="S136" t="n">
        <v>5</v>
      </c>
      <c r="T136" t="n">
        <v>8</v>
      </c>
      <c r="U136" t="n">
        <v>0</v>
      </c>
      <c r="V136" s="2" t="inlineStr">
        <is>
          <t>Garnlav
Knärot
Kolflarnlav
Rosenticka
Rynkskinn</t>
        </is>
      </c>
      <c r="W136">
        <f>HYPERLINK("https://klasma.github.io/Logging_2260/artfynd/A 48237-2025 artfynd.xlsx", "A 48237-2025")</f>
        <v/>
      </c>
      <c r="X136">
        <f>HYPERLINK("https://klasma.github.io/Logging_2260/kartor/A 48237-2025 karta.png", "A 48237-2025")</f>
        <v/>
      </c>
      <c r="Y136">
        <f>HYPERLINK("https://klasma.github.io/Logging_2260/kartor_geotiff/A 48237-2025 georefererad karta.tif", "A 48237-2025")</f>
        <v/>
      </c>
      <c r="Z136">
        <f>HYPERLINK("https://klasma.github.io/Logging_2260/knärot/A 48237-2025 karta knärot.png", "A 48237-2025")</f>
        <v/>
      </c>
      <c r="AA136">
        <f>HYPERLINK("https://klasma.github.io/Logging_2260/klagomål/A 48237-2025 FSC-klagomål.docx", "A 48237-2025")</f>
        <v/>
      </c>
      <c r="AB136">
        <f>HYPERLINK("https://klasma.github.io/Logging_2260/klagomålsmail/A 48237-2025 FSC-klagomål mail.docx", "A 48237-2025")</f>
        <v/>
      </c>
      <c r="AC136">
        <f>HYPERLINK("https://klasma.github.io/Logging_2260/tillsyn/A 48237-2025 tillsynsbegäran.docx", "A 48237-2025")</f>
        <v/>
      </c>
      <c r="AD136">
        <f>HYPERLINK("https://klasma.github.io/Logging_2260/tillsynsmail/A 48237-2025 tillsynsbegäran mail.docx", "A 48237-2025")</f>
        <v/>
      </c>
    </row>
    <row r="137" ht="15" customHeight="1">
      <c r="A137" t="inlineStr">
        <is>
          <t>A 15784-2026</t>
        </is>
      </c>
      <c r="B137" t="inlineStr">
        <is>
          <t>avverkningsanmälan</t>
        </is>
      </c>
      <c r="C137" t="inlineStr">
        <is>
          <t>Föryngringsavverkning</t>
        </is>
      </c>
      <c r="D137" s="1" t="n">
        <v>46107</v>
      </c>
      <c r="E137" s="1" t="n">
        <v>46310</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46310</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25972-2026</t>
        </is>
      </c>
      <c r="B139" t="inlineStr">
        <is>
          <t>avverkningsanmälan</t>
        </is>
      </c>
      <c r="C139" t="inlineStr">
        <is>
          <t>Föryngringsavverkning</t>
        </is>
      </c>
      <c r="D139" s="1" t="n">
        <v>46181</v>
      </c>
      <c r="E139" s="1" t="n">
        <v>46310</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46310</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46310</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32911-2024</t>
        </is>
      </c>
      <c r="B142" t="inlineStr">
        <is>
          <t>avverkningsanmälan</t>
        </is>
      </c>
      <c r="C142" t="inlineStr">
        <is>
          <t>Föryngringsavverkning</t>
        </is>
      </c>
      <c r="D142" s="1" t="n">
        <v>45516</v>
      </c>
      <c r="E142" s="1" t="n">
        <v>46310</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46310</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46310</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46310</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46310</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46310</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46310</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46310</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39005-2024</t>
        </is>
      </c>
      <c r="B150" t="inlineStr">
        <is>
          <t>avverkningsanmälan</t>
        </is>
      </c>
      <c r="C150" t="inlineStr">
        <is>
          <t>Avverkning för att bevara och utveckla /försöksver</t>
        </is>
      </c>
      <c r="D150" s="1" t="n">
        <v>45548</v>
      </c>
      <c r="E150" s="1" t="n">
        <v>46310</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18081-2025</t>
        </is>
      </c>
      <c r="B151" t="inlineStr">
        <is>
          <t>avverkningsanmälan</t>
        </is>
      </c>
      <c r="C151" t="inlineStr">
        <is>
          <t>Föryngringsavverkning</t>
        </is>
      </c>
      <c r="D151" s="1" t="n">
        <v>45761</v>
      </c>
      <c r="E151" s="1" t="n">
        <v>46310</v>
      </c>
      <c r="F151" t="inlineStr">
        <is>
          <t>VÄSTERNORRLANDS LÄN</t>
        </is>
      </c>
      <c r="G151" t="inlineStr">
        <is>
          <t>ÅNGE</t>
        </is>
      </c>
      <c r="H151" t="inlineStr">
        <is>
          <t>SCA</t>
        </is>
      </c>
      <c r="I151" t="n">
        <v>2.6</v>
      </c>
      <c r="J151" t="n">
        <v>1</v>
      </c>
      <c r="K151" t="n">
        <v>0</v>
      </c>
      <c r="L151" t="n">
        <v>3</v>
      </c>
      <c r="M151" t="n">
        <v>1</v>
      </c>
      <c r="N151" t="n">
        <v>0</v>
      </c>
      <c r="O151" t="n">
        <v>0</v>
      </c>
      <c r="P151" t="n">
        <v>0</v>
      </c>
      <c r="Q151" t="n">
        <v>4</v>
      </c>
      <c r="R151" t="n">
        <v>1</v>
      </c>
      <c r="S151" t="n">
        <v>4</v>
      </c>
      <c r="T151" t="n">
        <v>5</v>
      </c>
      <c r="U151" t="n">
        <v>5</v>
      </c>
      <c r="V151" s="2" t="inlineStr">
        <is>
          <t>Knärot
Dofttaggsvamp
Dropptaggsvamp
Svartvit taggsvamp</t>
        </is>
      </c>
      <c r="W151">
        <f>HYPERLINK("https://klasma.github.io/Logging_2260/artfynd/A 18081-2025 artfynd.xlsx", "A 18081-2025")</f>
        <v/>
      </c>
      <c r="X151">
        <f>HYPERLINK("https://klasma.github.io/Logging_2260/kartor/A 18081-2025 karta.png", "A 18081-2025")</f>
        <v/>
      </c>
      <c r="Y151">
        <f>HYPERLINK("https://klasma.github.io/Logging_2260/kartor_geotiff/A 18081-2025 georefererad karta.tif", "A 18081-2025")</f>
        <v/>
      </c>
      <c r="Z151">
        <f>HYPERLINK("https://klasma.github.io/Logging_2260/knärot/A 18081-2025 karta knärot.png", "A 18081-2025")</f>
        <v/>
      </c>
      <c r="AA151">
        <f>HYPERLINK("https://klasma.github.io/Logging_2260/klagomål/A 18081-2025 FSC-klagomål.docx", "A 18081-2025")</f>
        <v/>
      </c>
      <c r="AB151">
        <f>HYPERLINK("https://klasma.github.io/Logging_2260/klagomålsmail/A 18081-2025 FSC-klagomål mail.docx", "A 18081-2025")</f>
        <v/>
      </c>
      <c r="AC151">
        <f>HYPERLINK("https://klasma.github.io/Logging_2260/tillsyn/A 18081-2025 tillsynsbegäran.docx", "A 18081-2025")</f>
        <v/>
      </c>
      <c r="AD151">
        <f>HYPERLINK("https://klasma.github.io/Logging_2260/tillsynsmail/A 18081-2025 tillsynsbegäran mail.docx", "A 18081-2025")</f>
        <v/>
      </c>
    </row>
    <row r="152" ht="15" customHeight="1">
      <c r="A152" t="inlineStr">
        <is>
          <t>A 38326-2024</t>
        </is>
      </c>
      <c r="B152" t="inlineStr">
        <is>
          <t>avverkningsanmälan</t>
        </is>
      </c>
      <c r="C152" t="inlineStr">
        <is>
          <t>Föryngringsavverkning</t>
        </is>
      </c>
      <c r="D152" s="1" t="n">
        <v>45545</v>
      </c>
      <c r="E152" s="1" t="n">
        <v>46310</v>
      </c>
      <c r="F152" t="inlineStr">
        <is>
          <t>VÄSTERNORRLANDS LÄN</t>
        </is>
      </c>
      <c r="G152" t="inlineStr">
        <is>
          <t>ÅNGE</t>
        </is>
      </c>
      <c r="H152" t="inlineStr">
        <is>
          <t>SCA</t>
        </is>
      </c>
      <c r="I152" t="n">
        <v>15</v>
      </c>
      <c r="J152" t="n">
        <v>0</v>
      </c>
      <c r="K152" t="n">
        <v>1</v>
      </c>
      <c r="L152" t="n">
        <v>2</v>
      </c>
      <c r="M152" t="n">
        <v>1</v>
      </c>
      <c r="N152" t="n">
        <v>0</v>
      </c>
      <c r="O152" t="n">
        <v>0</v>
      </c>
      <c r="P152" t="n">
        <v>0</v>
      </c>
      <c r="Q152" t="n">
        <v>3</v>
      </c>
      <c r="R152" t="n">
        <v>1</v>
      </c>
      <c r="S152" t="n">
        <v>4</v>
      </c>
      <c r="T152" t="n">
        <v>6</v>
      </c>
      <c r="U152" t="n">
        <v>0</v>
      </c>
      <c r="V152" s="2" t="inlineStr">
        <is>
          <t>Garnlav
Gammelgransskål
Lunglav
Stuplav</t>
        </is>
      </c>
      <c r="W152">
        <f>HYPERLINK("https://klasma.github.io/Logging_2260/artfynd/A 38326-2024 artfynd.xlsx", "A 38326-2024")</f>
        <v/>
      </c>
      <c r="X152">
        <f>HYPERLINK("https://klasma.github.io/Logging_2260/kartor/A 38326-2024 karta.png", "A 38326-2024")</f>
        <v/>
      </c>
      <c r="Y152">
        <f>HYPERLINK("https://klasma.github.io/Logging_2260/kartor_geotiff/A 38326-2024 georefererad karta.tif", "A 38326-2024")</f>
        <v/>
      </c>
      <c r="AA152">
        <f>HYPERLINK("https://klasma.github.io/Logging_2260/klagomål/A 38326-2024 FSC-klagomål.docx", "A 38326-2024")</f>
        <v/>
      </c>
      <c r="AB152">
        <f>HYPERLINK("https://klasma.github.io/Logging_2260/klagomålsmail/A 38326-2024 FSC-klagomål mail.docx", "A 38326-2024")</f>
        <v/>
      </c>
      <c r="AC152">
        <f>HYPERLINK("https://klasma.github.io/Logging_2260/tillsyn/A 38326-2024 tillsynsbegäran.docx", "A 38326-2024")</f>
        <v/>
      </c>
      <c r="AD152">
        <f>HYPERLINK("https://klasma.github.io/Logging_2260/tillsynsmail/A 38326-2024 tillsynsbegäran mail.docx", "A 38326-2024")</f>
        <v/>
      </c>
    </row>
    <row r="153" ht="15" customHeight="1">
      <c r="A153" t="inlineStr">
        <is>
          <t>A 35498-2022</t>
        </is>
      </c>
      <c r="B153" t="inlineStr">
        <is>
          <t>avverkningsanmälan</t>
        </is>
      </c>
      <c r="C153" t="inlineStr">
        <is>
          <t>Avverkning för att bevara och utveckla /försöksver</t>
        </is>
      </c>
      <c r="D153" s="1" t="n">
        <v>44798</v>
      </c>
      <c r="E153" s="1" t="n">
        <v>46310</v>
      </c>
      <c r="F153" t="inlineStr">
        <is>
          <t>VÄSTERNORRLANDS LÄN</t>
        </is>
      </c>
      <c r="G153" t="inlineStr">
        <is>
          <t>ÅNGE</t>
        </is>
      </c>
      <c r="H153" t="inlineStr">
        <is>
          <t>SCA</t>
        </is>
      </c>
      <c r="I153" t="n">
        <v>3</v>
      </c>
      <c r="J153" t="n">
        <v>1</v>
      </c>
      <c r="K153" t="n">
        <v>1</v>
      </c>
      <c r="L153" t="n">
        <v>1</v>
      </c>
      <c r="M153" t="n">
        <v>2</v>
      </c>
      <c r="N153" t="n">
        <v>0</v>
      </c>
      <c r="O153" t="n">
        <v>0</v>
      </c>
      <c r="P153" t="n">
        <v>0</v>
      </c>
      <c r="Q153" t="n">
        <v>3</v>
      </c>
      <c r="R153" t="n">
        <v>2</v>
      </c>
      <c r="S153" t="n">
        <v>4</v>
      </c>
      <c r="T153" t="n">
        <v>8</v>
      </c>
      <c r="U153" t="n">
        <v>8</v>
      </c>
      <c r="V153" s="2" t="inlineStr">
        <is>
          <t>Garnlav
Knärot
Lunglav
Bårdlav</t>
        </is>
      </c>
      <c r="W153">
        <f>HYPERLINK("https://klasma.github.io/Logging_2260/artfynd/A 35498-2022 artfynd.xlsx", "A 35498-2022")</f>
        <v/>
      </c>
      <c r="X153">
        <f>HYPERLINK("https://klasma.github.io/Logging_2260/kartor/A 35498-2022 karta.png", "A 35498-2022")</f>
        <v/>
      </c>
      <c r="Y153">
        <f>HYPERLINK("https://klasma.github.io/Logging_2260/kartor_geotiff/A 35498-2022 georefererad karta.tif", "A 35498-2022")</f>
        <v/>
      </c>
      <c r="Z153">
        <f>HYPERLINK("https://klasma.github.io/Logging_2260/knärot/A 35498-2022 karta knärot.png", "A 35498-2022")</f>
        <v/>
      </c>
      <c r="AA153">
        <f>HYPERLINK("https://klasma.github.io/Logging_2260/klagomål/A 35498-2022 FSC-klagomål.docx", "A 35498-2022")</f>
        <v/>
      </c>
      <c r="AB153">
        <f>HYPERLINK("https://klasma.github.io/Logging_2260/klagomålsmail/A 35498-2022 FSC-klagomål mail.docx", "A 35498-2022")</f>
        <v/>
      </c>
      <c r="AC153">
        <f>HYPERLINK("https://klasma.github.io/Logging_2260/tillsyn/A 35498-2022 tillsynsbegäran.docx", "A 35498-2022")</f>
        <v/>
      </c>
      <c r="AD153">
        <f>HYPERLINK("https://klasma.github.io/Logging_2260/tillsynsmail/A 35498-2022 tillsynsbegäran mail.docx", "A 35498-2022")</f>
        <v/>
      </c>
    </row>
    <row r="154" ht="15" customHeight="1">
      <c r="A154" t="inlineStr">
        <is>
          <t>A 36786-2024</t>
        </is>
      </c>
      <c r="B154" t="inlineStr">
        <is>
          <t>avverkningsanmälan</t>
        </is>
      </c>
      <c r="C154" t="inlineStr">
        <is>
          <t>Avverkning för att bevara och utveckla /försöksver</t>
        </is>
      </c>
      <c r="D154" s="1" t="n">
        <v>45538</v>
      </c>
      <c r="E154" s="1" t="n">
        <v>46310</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46310</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46310</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46310</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46310</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46310</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46310</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46310</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29691-2024</t>
        </is>
      </c>
      <c r="B162" t="inlineStr">
        <is>
          <t>avverkningsanmälan</t>
        </is>
      </c>
      <c r="C162" t="inlineStr">
        <is>
          <t>Avverkning för att bevara och utveckla /försöksver</t>
        </is>
      </c>
      <c r="D162" s="1" t="n">
        <v>45484</v>
      </c>
      <c r="E162" s="1" t="n">
        <v>46310</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40139-2026</t>
        </is>
      </c>
      <c r="B163" t="inlineStr">
        <is>
          <t>avverkningsanmälan</t>
        </is>
      </c>
      <c r="C163" t="inlineStr">
        <is>
          <t>Avverkning för att bevara och utveckla /försöksver</t>
        </is>
      </c>
      <c r="D163" s="1" t="n">
        <v>46293</v>
      </c>
      <c r="E163" s="1" t="n">
        <v>46310</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17861-2023</t>
        </is>
      </c>
      <c r="B164" t="inlineStr">
        <is>
          <t>avverkningsanmälan</t>
        </is>
      </c>
      <c r="C164" t="inlineStr">
        <is>
          <t>Föryngringsavverkning</t>
        </is>
      </c>
      <c r="D164" s="1" t="n">
        <v>45037</v>
      </c>
      <c r="E164" s="1" t="n">
        <v>46310</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35524-2026</t>
        </is>
      </c>
      <c r="B165" t="inlineStr">
        <is>
          <t>avverkningsanmälan</t>
        </is>
      </c>
      <c r="C165" t="inlineStr">
        <is>
          <t>Föryngringsavverkning</t>
        </is>
      </c>
      <c r="D165" s="1" t="n">
        <v>46262</v>
      </c>
      <c r="E165" s="1" t="n">
        <v>46310</v>
      </c>
      <c r="F165" t="inlineStr">
        <is>
          <t>VÄSTERNORRLANDS LÄN</t>
        </is>
      </c>
      <c r="G165" t="inlineStr">
        <is>
          <t>ÅNGE</t>
        </is>
      </c>
      <c r="H165" t="inlineStr">
        <is>
          <t>SCA</t>
        </is>
      </c>
      <c r="I165" t="n">
        <v>39.8</v>
      </c>
      <c r="J165" t="n">
        <v>4</v>
      </c>
      <c r="K165" t="n">
        <v>0</v>
      </c>
      <c r="L165" t="n">
        <v>0</v>
      </c>
      <c r="M165" t="n">
        <v>0</v>
      </c>
      <c r="N165" t="n">
        <v>0</v>
      </c>
      <c r="O165" t="n">
        <v>0</v>
      </c>
      <c r="P165" t="n">
        <v>0</v>
      </c>
      <c r="Q165" t="n">
        <v>0</v>
      </c>
      <c r="R165" t="n">
        <v>0</v>
      </c>
      <c r="S165" t="n">
        <v>4</v>
      </c>
      <c r="T165" t="n">
        <v>4</v>
      </c>
      <c r="U165" t="n">
        <v>0</v>
      </c>
      <c r="V165" s="2" t="inlineStr">
        <is>
          <t>Spillkråka
Tjäder
Fläcknycklar
Revlummer</t>
        </is>
      </c>
      <c r="W165">
        <f>HYPERLINK("https://klasma.github.io/Logging_2260/artfynd/A 35524-2026 artfynd.xlsx", "A 35524-2026")</f>
        <v/>
      </c>
      <c r="X165">
        <f>HYPERLINK("https://klasma.github.io/Logging_2260/kartor/A 35524-2026 karta.png", "A 35524-2026")</f>
        <v/>
      </c>
      <c r="Y165">
        <f>HYPERLINK("https://klasma.github.io/Logging_2260/kartor_geotiff/A 35524-2026 georefererad karta.tif", "A 35524-2026")</f>
        <v/>
      </c>
      <c r="AA165">
        <f>HYPERLINK("https://klasma.github.io/Logging_2260/klagomål/A 35524-2026 FSC-klagomål.docx", "A 35524-2026")</f>
        <v/>
      </c>
      <c r="AB165">
        <f>HYPERLINK("https://klasma.github.io/Logging_2260/klagomålsmail/A 35524-2026 FSC-klagomål mail.docx", "A 35524-2026")</f>
        <v/>
      </c>
      <c r="AC165">
        <f>HYPERLINK("https://klasma.github.io/Logging_2260/tillsyn/A 35524-2026 tillsynsbegäran.docx", "A 35524-2026")</f>
        <v/>
      </c>
      <c r="AD165">
        <f>HYPERLINK("https://klasma.github.io/Logging_2260/tillsynsmail/A 35524-2026 tillsynsbegäran mail.docx", "A 35524-2026")</f>
        <v/>
      </c>
      <c r="AE165">
        <f>HYPERLINK("https://klasma.github.io/Logging_2260/fåglar/A 35524-2026 prioriterade fågelarter.docx", "A 35524-2026")</f>
        <v/>
      </c>
    </row>
    <row r="166" ht="15" customHeight="1">
      <c r="A166" t="inlineStr">
        <is>
          <t>A 21267-2025</t>
        </is>
      </c>
      <c r="B166" t="inlineStr">
        <is>
          <t>avverkningsanmälan</t>
        </is>
      </c>
      <c r="C166" t="inlineStr">
        <is>
          <t>Föryngringsavverkning</t>
        </is>
      </c>
      <c r="D166" s="1" t="n">
        <v>45779</v>
      </c>
      <c r="E166" s="1" t="n">
        <v>46310</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46310</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2</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46310</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46310</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46310</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46310</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7533-2023</t>
        </is>
      </c>
      <c r="B172" t="inlineStr">
        <is>
          <t>avverkningsanmälan</t>
        </is>
      </c>
      <c r="C172" t="inlineStr">
        <is>
          <t>Föryngringsavverkning</t>
        </is>
      </c>
      <c r="D172" s="1" t="n">
        <v>44971</v>
      </c>
      <c r="E172" s="1" t="n">
        <v>46310</v>
      </c>
      <c r="F172" t="inlineStr">
        <is>
          <t>VÄSTERNORRLANDS LÄN</t>
        </is>
      </c>
      <c r="G172" t="inlineStr">
        <is>
          <t>ÅNGE</t>
        </is>
      </c>
      <c r="H172" t="inlineStr">
        <is>
          <t>SCA</t>
        </is>
      </c>
      <c r="I172" t="n">
        <v>15.7</v>
      </c>
      <c r="J172" t="n">
        <v>2</v>
      </c>
      <c r="K172" t="n">
        <v>0</v>
      </c>
      <c r="L172" t="n">
        <v>1</v>
      </c>
      <c r="M172" t="n">
        <v>1</v>
      </c>
      <c r="N172" t="n">
        <v>0</v>
      </c>
      <c r="O172" t="n">
        <v>0</v>
      </c>
      <c r="P172" t="n">
        <v>0</v>
      </c>
      <c r="Q172" t="n">
        <v>2</v>
      </c>
      <c r="R172" t="n">
        <v>1</v>
      </c>
      <c r="S172" t="n">
        <v>3</v>
      </c>
      <c r="T172" t="n">
        <v>3</v>
      </c>
      <c r="U172" t="n">
        <v>0</v>
      </c>
      <c r="V172" s="2" t="inlineStr">
        <is>
          <t>Doftticka
Lunglav
Blåsippa</t>
        </is>
      </c>
      <c r="W172">
        <f>HYPERLINK("https://klasma.github.io/Logging_2260/artfynd/A 7533-2023 artfynd.xlsx", "A 7533-2023")</f>
        <v/>
      </c>
      <c r="X172">
        <f>HYPERLINK("https://klasma.github.io/Logging_2260/kartor/A 7533-2023 karta.png", "A 7533-2023")</f>
        <v/>
      </c>
      <c r="Y172">
        <f>HYPERLINK("https://klasma.github.io/Logging_2260/kartor_geotiff/A 7533-2023 georefererad karta.tif", "A 7533-2023")</f>
        <v/>
      </c>
      <c r="AA172">
        <f>HYPERLINK("https://klasma.github.io/Logging_2260/klagomål/A 7533-2023 FSC-klagomål.docx", "A 7533-2023")</f>
        <v/>
      </c>
      <c r="AB172">
        <f>HYPERLINK("https://klasma.github.io/Logging_2260/klagomålsmail/A 7533-2023 FSC-klagomål mail.docx", "A 7533-2023")</f>
        <v/>
      </c>
      <c r="AC172">
        <f>HYPERLINK("https://klasma.github.io/Logging_2260/tillsyn/A 7533-2023 tillsynsbegäran.docx", "A 7533-2023")</f>
        <v/>
      </c>
      <c r="AD172">
        <f>HYPERLINK("https://klasma.github.io/Logging_2260/tillsynsmail/A 7533-2023 tillsynsbegäran mail.docx", "A 7533-2023")</f>
        <v/>
      </c>
    </row>
    <row r="173" ht="15" customHeight="1">
      <c r="A173" t="inlineStr">
        <is>
          <t>A 26679-2025</t>
        </is>
      </c>
      <c r="B173" t="inlineStr">
        <is>
          <t>avverkningsanmälan</t>
        </is>
      </c>
      <c r="C173" t="inlineStr">
        <is>
          <t>Föryngringsavverkning</t>
        </is>
      </c>
      <c r="D173" s="1" t="n">
        <v>45810</v>
      </c>
      <c r="E173" s="1" t="n">
        <v>46310</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t="n">
        <v>0</v>
      </c>
      <c r="V173" s="2" t="inlineStr">
        <is>
          <t>Garnlav
Lunglav
Rödgul trumpetsvamp</t>
        </is>
      </c>
      <c r="W173">
        <f>HYPERLINK("https://klasma.github.io/Logging_2260/artfynd/A 26679-2025 artfynd.xlsx", "A 26679-2025")</f>
        <v/>
      </c>
      <c r="X173">
        <f>HYPERLINK("https://klasma.github.io/Logging_2260/kartor/A 26679-2025 karta.png", "A 26679-2025")</f>
        <v/>
      </c>
      <c r="Y173">
        <f>HYPERLINK("https://klasma.github.io/Logging_2260/kartor_geotiff/A 26679-2025 georefererad karta.tif", "A 26679-2025")</f>
        <v/>
      </c>
      <c r="AA173">
        <f>HYPERLINK("https://klasma.github.io/Logging_2260/klagomål/A 26679-2025 FSC-klagomål.docx", "A 26679-2025")</f>
        <v/>
      </c>
      <c r="AB173">
        <f>HYPERLINK("https://klasma.github.io/Logging_2260/klagomålsmail/A 26679-2025 FSC-klagomål mail.docx", "A 26679-2025")</f>
        <v/>
      </c>
      <c r="AC173">
        <f>HYPERLINK("https://klasma.github.io/Logging_2260/tillsyn/A 26679-2025 tillsynsbegäran.docx", "A 26679-2025")</f>
        <v/>
      </c>
      <c r="AD173">
        <f>HYPERLINK("https://klasma.github.io/Logging_2260/tillsynsmail/A 26679-2025 tillsynsbegäran mail.docx", "A 26679-2025")</f>
        <v/>
      </c>
    </row>
    <row r="174" ht="15" customHeight="1">
      <c r="A174" t="inlineStr">
        <is>
          <t>A 51054-2024</t>
        </is>
      </c>
      <c r="B174" t="inlineStr">
        <is>
          <t>avverkningsanmälan</t>
        </is>
      </c>
      <c r="C174" t="inlineStr">
        <is>
          <t>Föryngringsavverkning</t>
        </is>
      </c>
      <c r="D174" s="1" t="n">
        <v>45603</v>
      </c>
      <c r="E174" s="1" t="n">
        <v>46310</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46310</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39179-2024</t>
        </is>
      </c>
      <c r="B176" t="inlineStr">
        <is>
          <t>avverkningsanmälan</t>
        </is>
      </c>
      <c r="C176" t="inlineStr">
        <is>
          <t>Föryngringsavverkning</t>
        </is>
      </c>
      <c r="D176" s="1" t="n">
        <v>45548</v>
      </c>
      <c r="E176" s="1" t="n">
        <v>46310</v>
      </c>
      <c r="F176" t="inlineStr">
        <is>
          <t>VÄSTERNORRLANDS LÄN</t>
        </is>
      </c>
      <c r="G176" t="inlineStr">
        <is>
          <t>ÅNGE</t>
        </is>
      </c>
      <c r="H176" t="inlineStr">
        <is>
          <t>SCA</t>
        </is>
      </c>
      <c r="I176" t="n">
        <v>4.2</v>
      </c>
      <c r="J176" t="n">
        <v>1</v>
      </c>
      <c r="K176" t="n">
        <v>1</v>
      </c>
      <c r="L176" t="n">
        <v>2</v>
      </c>
      <c r="M176" t="n">
        <v>0</v>
      </c>
      <c r="N176" t="n">
        <v>0</v>
      </c>
      <c r="O176" t="n">
        <v>0</v>
      </c>
      <c r="P176" t="n">
        <v>0</v>
      </c>
      <c r="Q176" t="n">
        <v>2</v>
      </c>
      <c r="R176" t="n">
        <v>0</v>
      </c>
      <c r="S176" t="n">
        <v>3</v>
      </c>
      <c r="T176" t="n">
        <v>3</v>
      </c>
      <c r="U176" t="n">
        <v>0</v>
      </c>
      <c r="V176" s="2" t="inlineStr">
        <is>
          <t>Fjällig taggsvamp s.str.
Rosenticka
Spindelblomster</t>
        </is>
      </c>
      <c r="W176">
        <f>HYPERLINK("https://klasma.github.io/Logging_2260/artfynd/A 39179-2024 artfynd.xlsx", "A 39179-2024")</f>
        <v/>
      </c>
      <c r="X176">
        <f>HYPERLINK("https://klasma.github.io/Logging_2260/kartor/A 39179-2024 karta.png", "A 39179-2024")</f>
        <v/>
      </c>
      <c r="Y176">
        <f>HYPERLINK("https://klasma.github.io/Logging_2260/kartor_geotiff/A 39179-2024 georefererad karta.tif", "A 39179-2024")</f>
        <v/>
      </c>
      <c r="AA176">
        <f>HYPERLINK("https://klasma.github.io/Logging_2260/klagomål/A 39179-2024 FSC-klagomål.docx", "A 39179-2024")</f>
        <v/>
      </c>
      <c r="AB176">
        <f>HYPERLINK("https://klasma.github.io/Logging_2260/klagomålsmail/A 39179-2024 FSC-klagomål mail.docx", "A 39179-2024")</f>
        <v/>
      </c>
      <c r="AC176">
        <f>HYPERLINK("https://klasma.github.io/Logging_2260/tillsyn/A 39179-2024 tillsynsbegäran.docx", "A 39179-2024")</f>
        <v/>
      </c>
      <c r="AD176">
        <f>HYPERLINK("https://klasma.github.io/Logging_2260/tillsynsmail/A 39179-2024 tillsynsbegäran mail.docx", "A 39179-2024")</f>
        <v/>
      </c>
    </row>
    <row r="177" ht="15" customHeight="1">
      <c r="A177" t="inlineStr">
        <is>
          <t>A 25034-2024</t>
        </is>
      </c>
      <c r="B177" t="inlineStr">
        <is>
          <t>avverkningsanmälan</t>
        </is>
      </c>
      <c r="C177" t="inlineStr">
        <is>
          <t>Avverkning för att bevara och utveckla /försöksver</t>
        </is>
      </c>
      <c r="D177" s="1" t="n">
        <v>45461</v>
      </c>
      <c r="E177" s="1" t="n">
        <v>46310</v>
      </c>
      <c r="F177" t="inlineStr">
        <is>
          <t>VÄSTERNORRLANDS LÄN</t>
        </is>
      </c>
      <c r="G177" t="inlineStr">
        <is>
          <t>ÅNGE</t>
        </is>
      </c>
      <c r="H177" t="inlineStr">
        <is>
          <t>SCA</t>
        </is>
      </c>
      <c r="I177" t="n">
        <v>3.3</v>
      </c>
      <c r="J177" t="n">
        <v>1</v>
      </c>
      <c r="K177" t="n">
        <v>0</v>
      </c>
      <c r="L177" t="n">
        <v>3</v>
      </c>
      <c r="M177" t="n">
        <v>0</v>
      </c>
      <c r="N177" t="n">
        <v>0</v>
      </c>
      <c r="O177" t="n">
        <v>0</v>
      </c>
      <c r="P177" t="n">
        <v>0</v>
      </c>
      <c r="Q177" t="n">
        <v>3</v>
      </c>
      <c r="R177" t="n">
        <v>0</v>
      </c>
      <c r="S177" t="n">
        <v>3</v>
      </c>
      <c r="T177" t="n">
        <v>4</v>
      </c>
      <c r="U177" t="n">
        <v>1</v>
      </c>
      <c r="V177" s="2" t="inlineStr">
        <is>
          <t>Lavskrika
Rosenticka
Ullticka</t>
        </is>
      </c>
      <c r="W177">
        <f>HYPERLINK("https://klasma.github.io/Logging_2260/artfynd/A 25034-2024 artfynd.xlsx", "A 25034-2024")</f>
        <v/>
      </c>
      <c r="X177">
        <f>HYPERLINK("https://klasma.github.io/Logging_2260/kartor/A 25034-2024 karta.png", "A 25034-2024")</f>
        <v/>
      </c>
      <c r="Y177">
        <f>HYPERLINK("https://klasma.github.io/Logging_2260/kartor_geotiff/A 25034-2024 georefererad karta.tif", "A 25034-2024")</f>
        <v/>
      </c>
      <c r="AA177">
        <f>HYPERLINK("https://klasma.github.io/Logging_2260/klagomål/A 25034-2024 FSC-klagomål.docx", "A 25034-2024")</f>
        <v/>
      </c>
      <c r="AB177">
        <f>HYPERLINK("https://klasma.github.io/Logging_2260/klagomålsmail/A 25034-2024 FSC-klagomål mail.docx", "A 25034-2024")</f>
        <v/>
      </c>
      <c r="AC177">
        <f>HYPERLINK("https://klasma.github.io/Logging_2260/tillsyn/A 25034-2024 tillsynsbegäran.docx", "A 25034-2024")</f>
        <v/>
      </c>
      <c r="AD177">
        <f>HYPERLINK("https://klasma.github.io/Logging_2260/tillsynsmail/A 25034-2024 tillsynsbegäran mail.docx", "A 25034-2024")</f>
        <v/>
      </c>
      <c r="AE177">
        <f>HYPERLINK("https://klasma.github.io/Logging_2260/fåglar/A 25034-2024 prioriterade fågelarter.docx", "A 25034-2024")</f>
        <v/>
      </c>
    </row>
    <row r="178" ht="15" customHeight="1">
      <c r="A178" t="inlineStr">
        <is>
          <t>A 50259-2025</t>
        </is>
      </c>
      <c r="B178" t="inlineStr">
        <is>
          <t>avverkningsanmälan</t>
        </is>
      </c>
      <c r="C178" t="inlineStr">
        <is>
          <t>Föryngringsavverkning</t>
        </is>
      </c>
      <c r="D178" s="1" t="n">
        <v>45944</v>
      </c>
      <c r="E178" s="1" t="n">
        <v>46310</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t="n">
        <v>0</v>
      </c>
      <c r="V178" s="2" t="inlineStr">
        <is>
          <t>Lunglav
Bollvitmossa
Fläcknycklar</t>
        </is>
      </c>
      <c r="W178">
        <f>HYPERLINK("https://klasma.github.io/Logging_2260/artfynd/A 50259-2025 artfynd.xlsx", "A 50259-2025")</f>
        <v/>
      </c>
      <c r="X178">
        <f>HYPERLINK("https://klasma.github.io/Logging_2260/kartor/A 50259-2025 karta.png", "A 50259-2025")</f>
        <v/>
      </c>
      <c r="Y178">
        <f>HYPERLINK("https://klasma.github.io/Logging_2260/kartor_geotiff/A 50259-2025 georefererad karta.tif", "A 50259-2025")</f>
        <v/>
      </c>
      <c r="AA178">
        <f>HYPERLINK("https://klasma.github.io/Logging_2260/klagomål/A 50259-2025 FSC-klagomål.docx", "A 50259-2025")</f>
        <v/>
      </c>
      <c r="AB178">
        <f>HYPERLINK("https://klasma.github.io/Logging_2260/klagomålsmail/A 50259-2025 FSC-klagomål mail.docx", "A 50259-2025")</f>
        <v/>
      </c>
      <c r="AC178">
        <f>HYPERLINK("https://klasma.github.io/Logging_2260/tillsyn/A 50259-2025 tillsynsbegäran.docx", "A 50259-2025")</f>
        <v/>
      </c>
      <c r="AD178">
        <f>HYPERLINK("https://klasma.github.io/Logging_2260/tillsynsmail/A 50259-2025 tillsynsbegäran mail.docx", "A 50259-2025")</f>
        <v/>
      </c>
    </row>
    <row r="179" ht="15" customHeight="1">
      <c r="A179" t="inlineStr">
        <is>
          <t>A 53683-2025</t>
        </is>
      </c>
      <c r="B179" t="inlineStr">
        <is>
          <t>avverkningsanmälan</t>
        </is>
      </c>
      <c r="C179" t="inlineStr">
        <is>
          <t>Föryngringsavverkning</t>
        </is>
      </c>
      <c r="D179" s="1" t="n">
        <v>45960</v>
      </c>
      <c r="E179" s="1" t="n">
        <v>46310</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329-2026</t>
        </is>
      </c>
      <c r="B180" t="inlineStr">
        <is>
          <t>avverkningsanmälan</t>
        </is>
      </c>
      <c r="C180" t="inlineStr">
        <is>
          <t>Föryngringsavverkning</t>
        </is>
      </c>
      <c r="D180" s="1" t="n">
        <v>46027</v>
      </c>
      <c r="E180" s="1" t="n">
        <v>46310</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57299-2022</t>
        </is>
      </c>
      <c r="B181" t="inlineStr">
        <is>
          <t>avverkningsanmälan</t>
        </is>
      </c>
      <c r="C181" t="inlineStr">
        <is>
          <t>Föryngringsavverkning</t>
        </is>
      </c>
      <c r="D181" s="1" t="n">
        <v>44895</v>
      </c>
      <c r="E181" s="1" t="n">
        <v>46310</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28274-2023</t>
        </is>
      </c>
      <c r="B182" t="inlineStr">
        <is>
          <t>avverkningsanmälan</t>
        </is>
      </c>
      <c r="C182" t="inlineStr">
        <is>
          <t>Föryngringsavverkning</t>
        </is>
      </c>
      <c r="D182" s="1" t="n">
        <v>45099</v>
      </c>
      <c r="E182" s="1" t="n">
        <v>46310</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16853-2023</t>
        </is>
      </c>
      <c r="B183" t="inlineStr">
        <is>
          <t>avverkningsanmälan</t>
        </is>
      </c>
      <c r="C183" t="inlineStr">
        <is>
          <t>Avverkning för att bevara och utveckla /försöksver</t>
        </is>
      </c>
      <c r="D183" s="1" t="n">
        <v>45033</v>
      </c>
      <c r="E183" s="1" t="n">
        <v>46310</v>
      </c>
      <c r="F183" t="inlineStr">
        <is>
          <t>VÄSTERNORRLANDS LÄN</t>
        </is>
      </c>
      <c r="G183" t="inlineStr">
        <is>
          <t>ÅNGE</t>
        </is>
      </c>
      <c r="I183" t="n">
        <v>0.7</v>
      </c>
      <c r="J183" t="n">
        <v>2</v>
      </c>
      <c r="K183" t="n">
        <v>0</v>
      </c>
      <c r="L183" t="n">
        <v>1</v>
      </c>
      <c r="M183" t="n">
        <v>0</v>
      </c>
      <c r="N183" t="n">
        <v>1</v>
      </c>
      <c r="O183" t="n">
        <v>0</v>
      </c>
      <c r="P183" t="n">
        <v>0</v>
      </c>
      <c r="Q183" t="n">
        <v>2</v>
      </c>
      <c r="R183" t="n">
        <v>1</v>
      </c>
      <c r="S183" t="n">
        <v>3</v>
      </c>
      <c r="T183" t="n">
        <v>3</v>
      </c>
      <c r="U183" t="n">
        <v>1</v>
      </c>
      <c r="V183" s="2" t="inlineStr">
        <is>
          <t>Flodpärlmussla
Duvhök
Tallbit</t>
        </is>
      </c>
      <c r="W183">
        <f>HYPERLINK("https://klasma.github.io/Logging_2260/artfynd/A 16853-2023 artfynd.xlsx", "A 16853-2023")</f>
        <v/>
      </c>
      <c r="X183">
        <f>HYPERLINK("https://klasma.github.io/Logging_2260/kartor/A 16853-2023 karta.png", "A 16853-2023")</f>
        <v/>
      </c>
      <c r="Y183">
        <f>HYPERLINK("https://klasma.github.io/Logging_2260/kartor_geotiff/A 16853-2023 georefererad karta.tif", "A 16853-2023")</f>
        <v/>
      </c>
      <c r="AA183">
        <f>HYPERLINK("https://klasma.github.io/Logging_2260/klagomål/A 16853-2023 FSC-klagomål.docx", "A 16853-2023")</f>
        <v/>
      </c>
      <c r="AB183">
        <f>HYPERLINK("https://klasma.github.io/Logging_2260/klagomålsmail/A 16853-2023 FSC-klagomål mail.docx", "A 16853-2023")</f>
        <v/>
      </c>
      <c r="AC183">
        <f>HYPERLINK("https://klasma.github.io/Logging_2260/tillsyn/A 16853-2023 tillsynsbegäran.docx", "A 16853-2023")</f>
        <v/>
      </c>
      <c r="AD183">
        <f>HYPERLINK("https://klasma.github.io/Logging_2260/tillsynsmail/A 16853-2023 tillsynsbegäran mail.docx", "A 16853-2023")</f>
        <v/>
      </c>
      <c r="AE183">
        <f>HYPERLINK("https://klasma.github.io/Logging_2260/fåglar/A 16853-2023 prioriterade fågelarter.docx", "A 16853-2023")</f>
        <v/>
      </c>
    </row>
    <row r="184" ht="15" customHeight="1">
      <c r="A184" t="inlineStr">
        <is>
          <t>A 36242-2026</t>
        </is>
      </c>
      <c r="B184" t="inlineStr">
        <is>
          <t>avverkningsanmälan</t>
        </is>
      </c>
      <c r="C184" t="inlineStr">
        <is>
          <t>Föryngringsavverkning</t>
        </is>
      </c>
      <c r="D184" s="1" t="n">
        <v>46268</v>
      </c>
      <c r="E184" s="1" t="n">
        <v>46310</v>
      </c>
      <c r="F184" t="inlineStr">
        <is>
          <t>VÄSTERNORRLANDS LÄN</t>
        </is>
      </c>
      <c r="G184" t="inlineStr">
        <is>
          <t>ÅNGE</t>
        </is>
      </c>
      <c r="H184" t="inlineStr">
        <is>
          <t>SCA</t>
        </is>
      </c>
      <c r="I184" t="n">
        <v>5.4</v>
      </c>
      <c r="J184" t="n">
        <v>0</v>
      </c>
      <c r="K184" t="n">
        <v>0</v>
      </c>
      <c r="L184" t="n">
        <v>2</v>
      </c>
      <c r="M184" t="n">
        <v>1</v>
      </c>
      <c r="N184" t="n">
        <v>0</v>
      </c>
      <c r="O184" t="n">
        <v>0</v>
      </c>
      <c r="P184" t="n">
        <v>0</v>
      </c>
      <c r="Q184" t="n">
        <v>3</v>
      </c>
      <c r="R184" t="n">
        <v>1</v>
      </c>
      <c r="S184" t="n">
        <v>3</v>
      </c>
      <c r="T184" t="n">
        <v>5</v>
      </c>
      <c r="U184" t="n">
        <v>0</v>
      </c>
      <c r="V184" s="2" t="inlineStr">
        <is>
          <t>Garnlav
Dropptaggsvamp
Lunglav</t>
        </is>
      </c>
      <c r="W184">
        <f>HYPERLINK("https://klasma.github.io/Logging_2260/artfynd/A 36242-2026 artfynd.xlsx", "A 36242-2026")</f>
        <v/>
      </c>
      <c r="X184">
        <f>HYPERLINK("https://klasma.github.io/Logging_2260/kartor/A 36242-2026 karta.png", "A 36242-2026")</f>
        <v/>
      </c>
      <c r="Y184">
        <f>HYPERLINK("https://klasma.github.io/Logging_2260/kartor_geotiff/A 36242-2026 georefererad karta.tif", "A 36242-2026")</f>
        <v/>
      </c>
      <c r="AA184">
        <f>HYPERLINK("https://klasma.github.io/Logging_2260/klagomål/A 36242-2026 FSC-klagomål.docx", "A 36242-2026")</f>
        <v/>
      </c>
      <c r="AB184">
        <f>HYPERLINK("https://klasma.github.io/Logging_2260/klagomålsmail/A 36242-2026 FSC-klagomål mail.docx", "A 36242-2026")</f>
        <v/>
      </c>
      <c r="AC184">
        <f>HYPERLINK("https://klasma.github.io/Logging_2260/tillsyn/A 36242-2026 tillsynsbegäran.docx", "A 36242-2026")</f>
        <v/>
      </c>
      <c r="AD184">
        <f>HYPERLINK("https://klasma.github.io/Logging_2260/tillsynsmail/A 36242-2026 tillsynsbegäran mail.docx", "A 36242-2026")</f>
        <v/>
      </c>
    </row>
    <row r="185" ht="15" customHeight="1">
      <c r="A185" t="inlineStr">
        <is>
          <t>A 32310-2026</t>
        </is>
      </c>
      <c r="B185" t="inlineStr">
        <is>
          <t>avverkningsanmälan</t>
        </is>
      </c>
      <c r="C185" t="inlineStr">
        <is>
          <t>Föryngringsavverkning</t>
        </is>
      </c>
      <c r="D185" s="1" t="n">
        <v>46237</v>
      </c>
      <c r="E185" s="1" t="n">
        <v>46310</v>
      </c>
      <c r="F185" t="inlineStr">
        <is>
          <t>VÄSTERNORRLANDS LÄN</t>
        </is>
      </c>
      <c r="G185" t="inlineStr">
        <is>
          <t>ÅNGE</t>
        </is>
      </c>
      <c r="H185" t="inlineStr">
        <is>
          <t>Sveaskog</t>
        </is>
      </c>
      <c r="I185" t="n">
        <v>2.7</v>
      </c>
      <c r="J185" t="n">
        <v>0</v>
      </c>
      <c r="K185" t="n">
        <v>2</v>
      </c>
      <c r="L185" t="n">
        <v>0</v>
      </c>
      <c r="M185" t="n">
        <v>1</v>
      </c>
      <c r="N185" t="n">
        <v>0</v>
      </c>
      <c r="O185" t="n">
        <v>0</v>
      </c>
      <c r="P185" t="n">
        <v>0</v>
      </c>
      <c r="Q185" t="n">
        <v>1</v>
      </c>
      <c r="R185" t="n">
        <v>1</v>
      </c>
      <c r="S185" t="n">
        <v>3</v>
      </c>
      <c r="T185" t="n">
        <v>3</v>
      </c>
      <c r="U185" t="n">
        <v>0</v>
      </c>
      <c r="V185" s="2" t="inlineStr">
        <is>
          <t>Garnlav
Stuplav
Svavelriska</t>
        </is>
      </c>
      <c r="W185">
        <f>HYPERLINK("https://klasma.github.io/Logging_2260/artfynd/A 32310-2026 artfynd.xlsx", "A 32310-2026")</f>
        <v/>
      </c>
      <c r="X185">
        <f>HYPERLINK("https://klasma.github.io/Logging_2260/kartor/A 32310-2026 karta.png", "A 32310-2026")</f>
        <v/>
      </c>
      <c r="Y185">
        <f>HYPERLINK("https://klasma.github.io/Logging_2260/kartor_geotiff/A 32310-2026 georefererad karta.tif", "A 32310-2026")</f>
        <v/>
      </c>
      <c r="AA185">
        <f>HYPERLINK("https://klasma.github.io/Logging_2260/klagomål/A 32310-2026 FSC-klagomål.docx", "A 32310-2026")</f>
        <v/>
      </c>
      <c r="AB185">
        <f>HYPERLINK("https://klasma.github.io/Logging_2260/klagomålsmail/A 32310-2026 FSC-klagomål mail.docx", "A 32310-2026")</f>
        <v/>
      </c>
      <c r="AC185">
        <f>HYPERLINK("https://klasma.github.io/Logging_2260/tillsyn/A 32310-2026 tillsynsbegäran.docx", "A 32310-2026")</f>
        <v/>
      </c>
      <c r="AD185">
        <f>HYPERLINK("https://klasma.github.io/Logging_2260/tillsynsmail/A 32310-2026 tillsynsbegäran mail.docx", "A 32310-2026")</f>
        <v/>
      </c>
    </row>
    <row r="186" ht="15" customHeight="1">
      <c r="A186" t="inlineStr">
        <is>
          <t>A 4093-2025</t>
        </is>
      </c>
      <c r="B186" t="inlineStr">
        <is>
          <t>avverkningsanmälan</t>
        </is>
      </c>
      <c r="C186" t="inlineStr">
        <is>
          <t>Föryngringsavverkning</t>
        </is>
      </c>
      <c r="D186" s="1" t="n">
        <v>45684</v>
      </c>
      <c r="E186" s="1" t="n">
        <v>46310</v>
      </c>
      <c r="F186" t="inlineStr">
        <is>
          <t>VÄSTERNORRLANDS LÄN</t>
        </is>
      </c>
      <c r="G186" t="inlineStr">
        <is>
          <t>ÅNGE</t>
        </is>
      </c>
      <c r="H186" t="inlineStr">
        <is>
          <t>SCA</t>
        </is>
      </c>
      <c r="I186" t="n">
        <v>2.6</v>
      </c>
      <c r="J186" t="n">
        <v>1</v>
      </c>
      <c r="K186" t="n">
        <v>2</v>
      </c>
      <c r="L186" t="n">
        <v>0</v>
      </c>
      <c r="M186" t="n">
        <v>1</v>
      </c>
      <c r="N186" t="n">
        <v>0</v>
      </c>
      <c r="O186" t="n">
        <v>0</v>
      </c>
      <c r="P186" t="n">
        <v>0</v>
      </c>
      <c r="Q186" t="n">
        <v>1</v>
      </c>
      <c r="R186" t="n">
        <v>1</v>
      </c>
      <c r="S186" t="n">
        <v>3</v>
      </c>
      <c r="T186" t="n">
        <v>3</v>
      </c>
      <c r="U186" t="n">
        <v>3</v>
      </c>
      <c r="V186" s="2" t="inlineStr">
        <is>
          <t>Garnlav
Kransrams
Spindelblomster</t>
        </is>
      </c>
      <c r="W186">
        <f>HYPERLINK("https://klasma.github.io/Logging_2260/artfynd/A 4093-2025 artfynd.xlsx", "A 4093-2025")</f>
        <v/>
      </c>
      <c r="X186">
        <f>HYPERLINK("https://klasma.github.io/Logging_2260/kartor/A 4093-2025 karta.png", "A 4093-2025")</f>
        <v/>
      </c>
      <c r="Y186">
        <f>HYPERLINK("https://klasma.github.io/Logging_2260/kartor_geotiff/A 4093-2025 georefererad karta.tif", "A 4093-2025")</f>
        <v/>
      </c>
      <c r="AA186">
        <f>HYPERLINK("https://klasma.github.io/Logging_2260/klagomål/A 4093-2025 FSC-klagomål.docx", "A 4093-2025")</f>
        <v/>
      </c>
      <c r="AB186">
        <f>HYPERLINK("https://klasma.github.io/Logging_2260/klagomålsmail/A 4093-2025 FSC-klagomål mail.docx", "A 4093-2025")</f>
        <v/>
      </c>
      <c r="AC186">
        <f>HYPERLINK("https://klasma.github.io/Logging_2260/tillsyn/A 4093-2025 tillsynsbegäran.docx", "A 4093-2025")</f>
        <v/>
      </c>
      <c r="AD186">
        <f>HYPERLINK("https://klasma.github.io/Logging_2260/tillsynsmail/A 4093-2025 tillsynsbegäran mail.docx", "A 4093-2025")</f>
        <v/>
      </c>
    </row>
    <row r="187" ht="15" customHeight="1">
      <c r="A187" t="inlineStr">
        <is>
          <t>A 25390-2026</t>
        </is>
      </c>
      <c r="B187" t="inlineStr">
        <is>
          <t>avverkningsanmälan</t>
        </is>
      </c>
      <c r="C187" t="inlineStr">
        <is>
          <t>Föryngringsavverkning</t>
        </is>
      </c>
      <c r="D187" s="1" t="n">
        <v>46176</v>
      </c>
      <c r="E187" s="1" t="n">
        <v>46310</v>
      </c>
      <c r="F187" t="inlineStr">
        <is>
          <t>VÄSTERNORRLANDS LÄN</t>
        </is>
      </c>
      <c r="G187" t="inlineStr">
        <is>
          <t>ÅNGE</t>
        </is>
      </c>
      <c r="H187" t="inlineStr">
        <is>
          <t>SCA</t>
        </is>
      </c>
      <c r="I187" t="n">
        <v>4</v>
      </c>
      <c r="J187" t="n">
        <v>2</v>
      </c>
      <c r="K187" t="n">
        <v>0</v>
      </c>
      <c r="L187" t="n">
        <v>1</v>
      </c>
      <c r="M187" t="n">
        <v>0</v>
      </c>
      <c r="N187" t="n">
        <v>0</v>
      </c>
      <c r="O187" t="n">
        <v>0</v>
      </c>
      <c r="P187" t="n">
        <v>0</v>
      </c>
      <c r="Q187" t="n">
        <v>1</v>
      </c>
      <c r="R187" t="n">
        <v>0</v>
      </c>
      <c r="S187" t="n">
        <v>3</v>
      </c>
      <c r="T187" t="n">
        <v>3</v>
      </c>
      <c r="U187" t="n">
        <v>0</v>
      </c>
      <c r="V187" s="2" t="inlineStr">
        <is>
          <t>Lunglav
Fläcknycklar
Revlummer</t>
        </is>
      </c>
      <c r="W187">
        <f>HYPERLINK("https://klasma.github.io/Logging_2260/artfynd/A 25390-2026 artfynd.xlsx", "A 25390-2026")</f>
        <v/>
      </c>
      <c r="X187">
        <f>HYPERLINK("https://klasma.github.io/Logging_2260/kartor/A 25390-2026 karta.png", "A 25390-2026")</f>
        <v/>
      </c>
      <c r="Y187">
        <f>HYPERLINK("https://klasma.github.io/Logging_2260/kartor_geotiff/A 25390-2026 georefererad karta.tif", "A 25390-2026")</f>
        <v/>
      </c>
      <c r="AA187">
        <f>HYPERLINK("https://klasma.github.io/Logging_2260/klagomål/A 25390-2026 FSC-klagomål.docx", "A 25390-2026")</f>
        <v/>
      </c>
      <c r="AB187">
        <f>HYPERLINK("https://klasma.github.io/Logging_2260/klagomålsmail/A 25390-2026 FSC-klagomål mail.docx", "A 25390-2026")</f>
        <v/>
      </c>
      <c r="AC187">
        <f>HYPERLINK("https://klasma.github.io/Logging_2260/tillsyn/A 25390-2026 tillsynsbegäran.docx", "A 25390-2026")</f>
        <v/>
      </c>
      <c r="AD187">
        <f>HYPERLINK("https://klasma.github.io/Logging_2260/tillsynsmail/A 25390-2026 tillsynsbegäran mail.docx", "A 25390-2026")</f>
        <v/>
      </c>
    </row>
    <row r="188" ht="15" customHeight="1">
      <c r="A188" t="inlineStr">
        <is>
          <t>A 33367-2026</t>
        </is>
      </c>
      <c r="B188" t="inlineStr">
        <is>
          <t>avverkningsanmälan</t>
        </is>
      </c>
      <c r="C188" t="inlineStr">
        <is>
          <t>Föryngringsavverkning</t>
        </is>
      </c>
      <c r="D188" s="1" t="n">
        <v>46247</v>
      </c>
      <c r="E188" s="1" t="n">
        <v>46310</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43552-2023</t>
        </is>
      </c>
      <c r="B189" t="inlineStr">
        <is>
          <t>avverkningsanmälan</t>
        </is>
      </c>
      <c r="C189" t="inlineStr">
        <is>
          <t>Föryngringsavverkning</t>
        </is>
      </c>
      <c r="D189" s="1" t="n">
        <v>45181</v>
      </c>
      <c r="E189" s="1" t="n">
        <v>46310</v>
      </c>
      <c r="F189" t="inlineStr">
        <is>
          <t>VÄSTERNORRLANDS LÄN</t>
        </is>
      </c>
      <c r="G189" t="inlineStr">
        <is>
          <t>ÅNGE</t>
        </is>
      </c>
      <c r="H189" t="inlineStr">
        <is>
          <t>SCA</t>
        </is>
      </c>
      <c r="I189" t="n">
        <v>7.3</v>
      </c>
      <c r="J189" t="n">
        <v>1</v>
      </c>
      <c r="K189" t="n">
        <v>1</v>
      </c>
      <c r="L189" t="n">
        <v>0</v>
      </c>
      <c r="M189" t="n">
        <v>1</v>
      </c>
      <c r="N189" t="n">
        <v>0</v>
      </c>
      <c r="O189" t="n">
        <v>0</v>
      </c>
      <c r="P189" t="n">
        <v>0</v>
      </c>
      <c r="Q189" t="n">
        <v>1</v>
      </c>
      <c r="R189" t="n">
        <v>1</v>
      </c>
      <c r="S189" t="n">
        <v>3</v>
      </c>
      <c r="T189" t="n">
        <v>4</v>
      </c>
      <c r="U189" t="n">
        <v>0</v>
      </c>
      <c r="V189" s="2" t="inlineStr">
        <is>
          <t>Garnlav
Stuplav
Revlummer</t>
        </is>
      </c>
      <c r="W189">
        <f>HYPERLINK("https://klasma.github.io/Logging_2260/artfynd/A 43552-2023 artfynd.xlsx", "A 43552-2023")</f>
        <v/>
      </c>
      <c r="X189">
        <f>HYPERLINK("https://klasma.github.io/Logging_2260/kartor/A 43552-2023 karta.png", "A 43552-2023")</f>
        <v/>
      </c>
      <c r="Y189">
        <f>HYPERLINK("https://klasma.github.io/Logging_2260/kartor_geotiff/A 43552-2023 georefererad karta.tif", "A 43552-2023")</f>
        <v/>
      </c>
      <c r="AA189">
        <f>HYPERLINK("https://klasma.github.io/Logging_2260/klagomål/A 43552-2023 FSC-klagomål.docx", "A 43552-2023")</f>
        <v/>
      </c>
      <c r="AB189">
        <f>HYPERLINK("https://klasma.github.io/Logging_2260/klagomålsmail/A 43552-2023 FSC-klagomål mail.docx", "A 43552-2023")</f>
        <v/>
      </c>
      <c r="AC189">
        <f>HYPERLINK("https://klasma.github.io/Logging_2260/tillsyn/A 43552-2023 tillsynsbegäran.docx", "A 43552-2023")</f>
        <v/>
      </c>
      <c r="AD189">
        <f>HYPERLINK("https://klasma.github.io/Logging_2260/tillsynsmail/A 43552-2023 tillsynsbegäran mail.docx", "A 43552-2023")</f>
        <v/>
      </c>
    </row>
    <row r="190" ht="15" customHeight="1">
      <c r="A190" t="inlineStr">
        <is>
          <t>A 4186-2025</t>
        </is>
      </c>
      <c r="B190" t="inlineStr">
        <is>
          <t>avverkningsanmälan</t>
        </is>
      </c>
      <c r="C190" t="inlineStr">
        <is>
          <t>Avverkning för att bevara och utveckla /försöksver</t>
        </is>
      </c>
      <c r="D190" s="1" t="n">
        <v>45685</v>
      </c>
      <c r="E190" s="1" t="n">
        <v>46310</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39181-2024</t>
        </is>
      </c>
      <c r="B191" t="inlineStr">
        <is>
          <t>avverkningsanmälan</t>
        </is>
      </c>
      <c r="C191" t="inlineStr">
        <is>
          <t>Föryngringsavverkning</t>
        </is>
      </c>
      <c r="D191" s="1" t="n">
        <v>45548</v>
      </c>
      <c r="E191" s="1" t="n">
        <v>46310</v>
      </c>
      <c r="F191" t="inlineStr">
        <is>
          <t>VÄSTERNORRLANDS LÄN</t>
        </is>
      </c>
      <c r="G191" t="inlineStr">
        <is>
          <t>ÅNGE</t>
        </is>
      </c>
      <c r="H191" t="inlineStr">
        <is>
          <t>SCA</t>
        </is>
      </c>
      <c r="I191" t="n">
        <v>21.1</v>
      </c>
      <c r="J191" t="n">
        <v>1</v>
      </c>
      <c r="K191" t="n">
        <v>2</v>
      </c>
      <c r="L191" t="n">
        <v>0</v>
      </c>
      <c r="M191" t="n">
        <v>1</v>
      </c>
      <c r="N191" t="n">
        <v>0</v>
      </c>
      <c r="O191" t="n">
        <v>0</v>
      </c>
      <c r="P191" t="n">
        <v>0</v>
      </c>
      <c r="Q191" t="n">
        <v>1</v>
      </c>
      <c r="R191" t="n">
        <v>1</v>
      </c>
      <c r="S191" t="n">
        <v>3</v>
      </c>
      <c r="T191" t="n">
        <v>7</v>
      </c>
      <c r="U191" t="n">
        <v>0</v>
      </c>
      <c r="V191" s="2" t="inlineStr">
        <is>
          <t>Knärot
Kransrams
Svavelriska</t>
        </is>
      </c>
      <c r="W191">
        <f>HYPERLINK("https://klasma.github.io/Logging_2260/artfynd/A 39181-2024 artfynd.xlsx", "A 39181-2024")</f>
        <v/>
      </c>
      <c r="X191">
        <f>HYPERLINK("https://klasma.github.io/Logging_2260/kartor/A 39181-2024 karta.png", "A 39181-2024")</f>
        <v/>
      </c>
      <c r="Y191">
        <f>HYPERLINK("https://klasma.github.io/Logging_2260/kartor_geotiff/A 39181-2024 georefererad karta.tif", "A 39181-2024")</f>
        <v/>
      </c>
      <c r="Z191">
        <f>HYPERLINK("https://klasma.github.io/Logging_2260/knärot/A 39181-2024 karta knärot.png", "A 39181-2024")</f>
        <v/>
      </c>
      <c r="AA191">
        <f>HYPERLINK("https://klasma.github.io/Logging_2260/klagomål/A 39181-2024 FSC-klagomål.docx", "A 39181-2024")</f>
        <v/>
      </c>
      <c r="AB191">
        <f>HYPERLINK("https://klasma.github.io/Logging_2260/klagomålsmail/A 39181-2024 FSC-klagomål mail.docx", "A 39181-2024")</f>
        <v/>
      </c>
      <c r="AC191">
        <f>HYPERLINK("https://klasma.github.io/Logging_2260/tillsyn/A 39181-2024 tillsynsbegäran.docx", "A 39181-2024")</f>
        <v/>
      </c>
      <c r="AD191">
        <f>HYPERLINK("https://klasma.github.io/Logging_2260/tillsynsmail/A 39181-2024 tillsynsbegäran mail.docx", "A 39181-2024")</f>
        <v/>
      </c>
    </row>
    <row r="192" ht="15" customHeight="1">
      <c r="A192" t="inlineStr">
        <is>
          <t>A 24795-2024</t>
        </is>
      </c>
      <c r="B192" t="inlineStr">
        <is>
          <t>avverkningsanmälan</t>
        </is>
      </c>
      <c r="C192" t="inlineStr">
        <is>
          <t>Avverkning för att bevara och utveckla /försöksver</t>
        </is>
      </c>
      <c r="D192" s="1" t="n">
        <v>45460</v>
      </c>
      <c r="E192" s="1" t="n">
        <v>46310</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A 34269-2026</t>
        </is>
      </c>
      <c r="B193" t="inlineStr">
        <is>
          <t>avverkningsanmälan</t>
        </is>
      </c>
      <c r="C193" t="inlineStr">
        <is>
          <t>Föryngringsavverkning</t>
        </is>
      </c>
      <c r="D193" s="1" t="n">
        <v>46253</v>
      </c>
      <c r="E193" s="1" t="n">
        <v>46310</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34613-2026</t>
        </is>
      </c>
      <c r="B194" t="inlineStr">
        <is>
          <t>avverkningsanmälan</t>
        </is>
      </c>
      <c r="C194" t="inlineStr">
        <is>
          <t>Föryngringsavverkning</t>
        </is>
      </c>
      <c r="D194" s="1" t="n">
        <v>46255</v>
      </c>
      <c r="E194" s="1" t="n">
        <v>46310</v>
      </c>
      <c r="F194" t="inlineStr">
        <is>
          <t>VÄSTERNORRLANDS LÄN</t>
        </is>
      </c>
      <c r="G194" t="inlineStr">
        <is>
          <t>ÅNGE</t>
        </is>
      </c>
      <c r="I194" t="n">
        <v>6.5</v>
      </c>
      <c r="J194" t="n">
        <v>0</v>
      </c>
      <c r="K194" t="n">
        <v>1</v>
      </c>
      <c r="L194" t="n">
        <v>2</v>
      </c>
      <c r="M194" t="n">
        <v>0</v>
      </c>
      <c r="N194" t="n">
        <v>0</v>
      </c>
      <c r="O194" t="n">
        <v>0</v>
      </c>
      <c r="P194" t="n">
        <v>0</v>
      </c>
      <c r="Q194" t="n">
        <v>2</v>
      </c>
      <c r="R194" t="n">
        <v>0</v>
      </c>
      <c r="S194" t="n">
        <v>3</v>
      </c>
      <c r="T194" t="n">
        <v>3</v>
      </c>
      <c r="U194" t="n">
        <v>0</v>
      </c>
      <c r="V194" s="2" t="inlineStr">
        <is>
          <t>Dropptaggsvamp
Lunglav
Grönpyrola</t>
        </is>
      </c>
      <c r="W194">
        <f>HYPERLINK("https://klasma.github.io/Logging_2260/artfynd/A 34613-2026 artfynd.xlsx", "A 34613-2026")</f>
        <v/>
      </c>
      <c r="X194">
        <f>HYPERLINK("https://klasma.github.io/Logging_2260/kartor/A 34613-2026 karta.png", "A 34613-2026")</f>
        <v/>
      </c>
      <c r="Y194">
        <f>HYPERLINK("https://klasma.github.io/Logging_2260/kartor_geotiff/A 34613-2026 georefererad karta.tif", "A 34613-2026")</f>
        <v/>
      </c>
      <c r="AA194">
        <f>HYPERLINK("https://klasma.github.io/Logging_2260/klagomål/A 34613-2026 FSC-klagomål.docx", "A 34613-2026")</f>
        <v/>
      </c>
      <c r="AB194">
        <f>HYPERLINK("https://klasma.github.io/Logging_2260/klagomålsmail/A 34613-2026 FSC-klagomål mail.docx", "A 34613-2026")</f>
        <v/>
      </c>
      <c r="AC194">
        <f>HYPERLINK("https://klasma.github.io/Logging_2260/tillsyn/A 34613-2026 tillsynsbegäran.docx", "A 34613-2026")</f>
        <v/>
      </c>
      <c r="AD194">
        <f>HYPERLINK("https://klasma.github.io/Logging_2260/tillsynsmail/A 34613-2026 tillsynsbegäran mail.docx", "A 34613-2026")</f>
        <v/>
      </c>
    </row>
    <row r="195" ht="15" customHeight="1">
      <c r="A195" t="inlineStr">
        <is>
          <t>A 23759-2025</t>
        </is>
      </c>
      <c r="B195" t="inlineStr">
        <is>
          <t>avverkningsanmälan</t>
        </is>
      </c>
      <c r="C195" t="inlineStr">
        <is>
          <t>Föryngringsavverkning</t>
        </is>
      </c>
      <c r="D195" s="1" t="n">
        <v>45793</v>
      </c>
      <c r="E195" s="1" t="n">
        <v>46310</v>
      </c>
      <c r="F195" t="inlineStr">
        <is>
          <t>VÄSTERNORRLANDS LÄN</t>
        </is>
      </c>
      <c r="G195" t="inlineStr">
        <is>
          <t>ÅNGE</t>
        </is>
      </c>
      <c r="H195" t="inlineStr">
        <is>
          <t>Sveaskog</t>
        </is>
      </c>
      <c r="I195" t="n">
        <v>5.2</v>
      </c>
      <c r="J195" t="n">
        <v>0</v>
      </c>
      <c r="K195" t="n">
        <v>1</v>
      </c>
      <c r="L195" t="n">
        <v>2</v>
      </c>
      <c r="M195" t="n">
        <v>0</v>
      </c>
      <c r="N195" t="n">
        <v>0</v>
      </c>
      <c r="O195" t="n">
        <v>0</v>
      </c>
      <c r="P195" t="n">
        <v>0</v>
      </c>
      <c r="Q195" t="n">
        <v>2</v>
      </c>
      <c r="R195" t="n">
        <v>0</v>
      </c>
      <c r="S195" t="n">
        <v>3</v>
      </c>
      <c r="T195" t="n">
        <v>4</v>
      </c>
      <c r="U195" t="n">
        <v>0</v>
      </c>
      <c r="V195" s="2" t="inlineStr">
        <is>
          <t>Lunglav
Skrovellav
Korallblylav</t>
        </is>
      </c>
      <c r="W195">
        <f>HYPERLINK("https://klasma.github.io/Logging_2260/artfynd/A 23759-2025 artfynd.xlsx", "A 23759-2025")</f>
        <v/>
      </c>
      <c r="X195">
        <f>HYPERLINK("https://klasma.github.io/Logging_2260/kartor/A 23759-2025 karta.png", "A 23759-2025")</f>
        <v/>
      </c>
      <c r="Y195">
        <f>HYPERLINK("https://klasma.github.io/Logging_2260/kartor_geotiff/A 23759-2025 georefererad karta.tif", "A 23759-2025")</f>
        <v/>
      </c>
      <c r="AA195">
        <f>HYPERLINK("https://klasma.github.io/Logging_2260/klagomål/A 23759-2025 FSC-klagomål.docx", "A 23759-2025")</f>
        <v/>
      </c>
      <c r="AB195">
        <f>HYPERLINK("https://klasma.github.io/Logging_2260/klagomålsmail/A 23759-2025 FSC-klagomål mail.docx", "A 23759-2025")</f>
        <v/>
      </c>
      <c r="AC195">
        <f>HYPERLINK("https://klasma.github.io/Logging_2260/tillsyn/A 23759-2025 tillsynsbegäran.docx", "A 23759-2025")</f>
        <v/>
      </c>
      <c r="AD195">
        <f>HYPERLINK("https://klasma.github.io/Logging_2260/tillsynsmail/A 23759-2025 tillsynsbegäran mail.docx", "A 23759-2025")</f>
        <v/>
      </c>
    </row>
    <row r="196" ht="15" customHeight="1">
      <c r="A196" t="inlineStr">
        <is>
          <t>S 2932-2025</t>
        </is>
      </c>
      <c r="B196" t="inlineStr">
        <is>
          <t>samrådsanmälan</t>
        </is>
      </c>
      <c r="C196" t="inlineStr">
        <is>
          <t>Annan skogsbruksåtgärd</t>
        </is>
      </c>
      <c r="D196" s="1" t="n">
        <v>45951</v>
      </c>
      <c r="E196" s="1" t="n">
        <v>46310</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30054-2024</t>
        </is>
      </c>
      <c r="B197" t="inlineStr">
        <is>
          <t>avverkningsanmälan</t>
        </is>
      </c>
      <c r="C197" t="inlineStr">
        <is>
          <t>Föryngringsavverkning</t>
        </is>
      </c>
      <c r="D197" s="1" t="n">
        <v>45488</v>
      </c>
      <c r="E197" s="1" t="n">
        <v>46310</v>
      </c>
      <c r="F197" t="inlineStr">
        <is>
          <t>VÄSTERNORRLANDS LÄN</t>
        </is>
      </c>
      <c r="G197" t="inlineStr">
        <is>
          <t>ÅNGE</t>
        </is>
      </c>
      <c r="H197" t="inlineStr">
        <is>
          <t>SCA</t>
        </is>
      </c>
      <c r="I197" t="n">
        <v>11.7</v>
      </c>
      <c r="J197" t="n">
        <v>0</v>
      </c>
      <c r="K197" t="n">
        <v>0</v>
      </c>
      <c r="L197" t="n">
        <v>2</v>
      </c>
      <c r="M197" t="n">
        <v>0</v>
      </c>
      <c r="N197" t="n">
        <v>0</v>
      </c>
      <c r="O197" t="n">
        <v>0</v>
      </c>
      <c r="P197" t="n">
        <v>0</v>
      </c>
      <c r="Q197" t="n">
        <v>2</v>
      </c>
      <c r="R197" t="n">
        <v>0</v>
      </c>
      <c r="S197" t="n">
        <v>2</v>
      </c>
      <c r="T197" t="n">
        <v>2</v>
      </c>
      <c r="U197" t="n">
        <v>2</v>
      </c>
      <c r="V197" s="2" t="inlineStr">
        <is>
          <t>Dropptaggsvamp
Orange taggsvamp</t>
        </is>
      </c>
      <c r="W197">
        <f>HYPERLINK("https://klasma.github.io/Logging_2260/artfynd/A 30054-2024 artfynd.xlsx", "A 30054-2024")</f>
        <v/>
      </c>
      <c r="X197">
        <f>HYPERLINK("https://klasma.github.io/Logging_2260/kartor/A 30054-2024 karta.png", "A 30054-2024")</f>
        <v/>
      </c>
      <c r="Y197">
        <f>HYPERLINK("https://klasma.github.io/Logging_2260/kartor_geotiff/A 30054-2024 georefererad karta.tif", "A 30054-2024")</f>
        <v/>
      </c>
      <c r="AA197">
        <f>HYPERLINK("https://klasma.github.io/Logging_2260/klagomål/A 30054-2024 FSC-klagomål.docx", "A 30054-2024")</f>
        <v/>
      </c>
      <c r="AB197">
        <f>HYPERLINK("https://klasma.github.io/Logging_2260/klagomålsmail/A 30054-2024 FSC-klagomål mail.docx", "A 30054-2024")</f>
        <v/>
      </c>
      <c r="AC197">
        <f>HYPERLINK("https://klasma.github.io/Logging_2260/tillsyn/A 30054-2024 tillsynsbegäran.docx", "A 30054-2024")</f>
        <v/>
      </c>
      <c r="AD197">
        <f>HYPERLINK("https://klasma.github.io/Logging_2260/tillsynsmail/A 30054-2024 tillsynsbegäran mail.docx", "A 30054-2024")</f>
        <v/>
      </c>
    </row>
    <row r="198" ht="15" customHeight="1">
      <c r="A198" t="inlineStr">
        <is>
          <t>A 4351-2024</t>
        </is>
      </c>
      <c r="B198" t="inlineStr">
        <is>
          <t>avverkningsanmälan</t>
        </is>
      </c>
      <c r="C198" t="inlineStr">
        <is>
          <t>Avverkning för annat ändamål</t>
        </is>
      </c>
      <c r="D198" s="1" t="n">
        <v>45324</v>
      </c>
      <c r="E198" s="1" t="n">
        <v>46310</v>
      </c>
      <c r="F198" t="inlineStr">
        <is>
          <t>VÄSTERNORRLANDS LÄN</t>
        </is>
      </c>
      <c r="G198" t="inlineStr">
        <is>
          <t>ÅNGE</t>
        </is>
      </c>
      <c r="H198" t="inlineStr">
        <is>
          <t>SCA</t>
        </is>
      </c>
      <c r="I198" t="n">
        <v>0.5</v>
      </c>
      <c r="J198" t="n">
        <v>0</v>
      </c>
      <c r="K198" t="n">
        <v>0</v>
      </c>
      <c r="L198" t="n">
        <v>1</v>
      </c>
      <c r="M198" t="n">
        <v>1</v>
      </c>
      <c r="N198" t="n">
        <v>0</v>
      </c>
      <c r="O198" t="n">
        <v>0</v>
      </c>
      <c r="P198" t="n">
        <v>0</v>
      </c>
      <c r="Q198" t="n">
        <v>2</v>
      </c>
      <c r="R198" t="n">
        <v>1</v>
      </c>
      <c r="S198" t="n">
        <v>2</v>
      </c>
      <c r="T198" t="n">
        <v>2</v>
      </c>
      <c r="U198" t="n">
        <v>2</v>
      </c>
      <c r="V198" s="2" t="inlineStr">
        <is>
          <t>Garnlav
Mörk kolflarnlav</t>
        </is>
      </c>
      <c r="W198">
        <f>HYPERLINK("https://klasma.github.io/Logging_2260/artfynd/A 4351-2024 artfynd.xlsx", "A 4351-2024")</f>
        <v/>
      </c>
      <c r="X198">
        <f>HYPERLINK("https://klasma.github.io/Logging_2260/kartor/A 4351-2024 karta.png", "A 4351-2024")</f>
        <v/>
      </c>
      <c r="Y198">
        <f>HYPERLINK("https://klasma.github.io/Logging_2260/kartor_geotiff/A 4351-2024 georefererad karta.tif", "A 4351-2024")</f>
        <v/>
      </c>
      <c r="AA198">
        <f>HYPERLINK("https://klasma.github.io/Logging_2260/klagomål/A 4351-2024 FSC-klagomål.docx", "A 4351-2024")</f>
        <v/>
      </c>
      <c r="AB198">
        <f>HYPERLINK("https://klasma.github.io/Logging_2260/klagomålsmail/A 4351-2024 FSC-klagomål mail.docx", "A 4351-2024")</f>
        <v/>
      </c>
      <c r="AC198">
        <f>HYPERLINK("https://klasma.github.io/Logging_2260/tillsyn/A 4351-2024 tillsynsbegäran.docx", "A 4351-2024")</f>
        <v/>
      </c>
      <c r="AD198">
        <f>HYPERLINK("https://klasma.github.io/Logging_2260/tillsynsmail/A 4351-2024 tillsynsbegäran mail.docx", "A 4351-2024")</f>
        <v/>
      </c>
    </row>
    <row r="199" ht="15" customHeight="1">
      <c r="A199" t="inlineStr">
        <is>
          <t>A 36414-2025</t>
        </is>
      </c>
      <c r="B199" t="inlineStr">
        <is>
          <t>avverkningsanmälan</t>
        </is>
      </c>
      <c r="C199" t="inlineStr">
        <is>
          <t>Föryngringsavverkning</t>
        </is>
      </c>
      <c r="D199" s="1" t="n">
        <v>45868</v>
      </c>
      <c r="E199" s="1" t="n">
        <v>46310</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37184-2025</t>
        </is>
      </c>
      <c r="B200" t="inlineStr">
        <is>
          <t>avverkningsanmälan</t>
        </is>
      </c>
      <c r="C200" t="inlineStr">
        <is>
          <t>Föryngringsavverkning</t>
        </is>
      </c>
      <c r="D200" s="1" t="n">
        <v>45875</v>
      </c>
      <c r="E200" s="1" t="n">
        <v>46310</v>
      </c>
      <c r="F200" t="inlineStr">
        <is>
          <t>VÄSTERNORRLANDS LÄN</t>
        </is>
      </c>
      <c r="G200" t="inlineStr">
        <is>
          <t>ÅNGE</t>
        </is>
      </c>
      <c r="H200" t="inlineStr">
        <is>
          <t>SCA</t>
        </is>
      </c>
      <c r="I200" t="n">
        <v>2.5</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HYPERLINK("https://klasma.github.io/Logging_2260/artfynd/A 37184-2025 artfynd.xlsx", "A 37184-2025")</f>
        <v/>
      </c>
      <c r="X200">
        <f>HYPERLINK("https://klasma.github.io/Logging_2260/kartor/A 37184-2025 karta.png", "A 37184-2025")</f>
        <v/>
      </c>
      <c r="Y200">
        <f>HYPERLINK("https://klasma.github.io/Logging_2260/kartor_geotiff/A 37184-2025 georefererad karta.tif", "A 37184-2025")</f>
        <v/>
      </c>
      <c r="AA200">
        <f>HYPERLINK("https://klasma.github.io/Logging_2260/klagomål/A 37184-2025 FSC-klagomål.docx", "A 37184-2025")</f>
        <v/>
      </c>
      <c r="AB200">
        <f>HYPERLINK("https://klasma.github.io/Logging_2260/klagomålsmail/A 37184-2025 FSC-klagomål mail.docx", "A 37184-2025")</f>
        <v/>
      </c>
      <c r="AC200">
        <f>HYPERLINK("https://klasma.github.io/Logging_2260/tillsyn/A 37184-2025 tillsynsbegäran.docx", "A 37184-2025")</f>
        <v/>
      </c>
      <c r="AD200">
        <f>HYPERLINK("https://klasma.github.io/Logging_2260/tillsynsmail/A 37184-2025 tillsynsbegäran mail.docx", "A 37184-2025")</f>
        <v/>
      </c>
    </row>
    <row r="201" ht="15" customHeight="1">
      <c r="A201" t="inlineStr">
        <is>
          <t>A 43707-2025</t>
        </is>
      </c>
      <c r="B201" t="inlineStr">
        <is>
          <t>avverkningsanmälan</t>
        </is>
      </c>
      <c r="C201" t="inlineStr">
        <is>
          <t>Föryngringsavverkning</t>
        </is>
      </c>
      <c r="D201" s="1" t="n">
        <v>45912</v>
      </c>
      <c r="E201" s="1" t="n">
        <v>46310</v>
      </c>
      <c r="F201" t="inlineStr">
        <is>
          <t>VÄSTERNORRLANDS LÄN</t>
        </is>
      </c>
      <c r="G201" t="inlineStr">
        <is>
          <t>ÅNGE</t>
        </is>
      </c>
      <c r="H201" t="inlineStr">
        <is>
          <t>SCA</t>
        </is>
      </c>
      <c r="I201" t="n">
        <v>12.5</v>
      </c>
      <c r="J201" t="n">
        <v>1</v>
      </c>
      <c r="K201" t="n">
        <v>0</v>
      </c>
      <c r="L201" t="n">
        <v>1</v>
      </c>
      <c r="M201" t="n">
        <v>1</v>
      </c>
      <c r="N201" t="n">
        <v>0</v>
      </c>
      <c r="O201" t="n">
        <v>0</v>
      </c>
      <c r="P201" t="n">
        <v>0</v>
      </c>
      <c r="Q201" t="n">
        <v>2</v>
      </c>
      <c r="R201" t="n">
        <v>1</v>
      </c>
      <c r="S201" t="n">
        <v>2</v>
      </c>
      <c r="T201" t="n">
        <v>6</v>
      </c>
      <c r="U201" t="n">
        <v>0</v>
      </c>
      <c r="V201" s="2" t="inlineStr">
        <is>
          <t>Knärot
Lunglav</t>
        </is>
      </c>
      <c r="W201">
        <f>HYPERLINK("https://klasma.github.io/Logging_2260/artfynd/A 43707-2025 artfynd.xlsx", "A 43707-2025")</f>
        <v/>
      </c>
      <c r="X201">
        <f>HYPERLINK("https://klasma.github.io/Logging_2260/kartor/A 43707-2025 karta.png", "A 43707-2025")</f>
        <v/>
      </c>
      <c r="Y201">
        <f>HYPERLINK("https://klasma.github.io/Logging_2260/kartor_geotiff/A 43707-2025 georefererad karta.tif", "A 43707-2025")</f>
        <v/>
      </c>
      <c r="Z201">
        <f>HYPERLINK("https://klasma.github.io/Logging_2260/knärot/A 43707-2025 karta knärot.png", "A 43707-2025")</f>
        <v/>
      </c>
      <c r="AA201">
        <f>HYPERLINK("https://klasma.github.io/Logging_2260/klagomål/A 43707-2025 FSC-klagomål.docx", "A 43707-2025")</f>
        <v/>
      </c>
      <c r="AB201">
        <f>HYPERLINK("https://klasma.github.io/Logging_2260/klagomålsmail/A 43707-2025 FSC-klagomål mail.docx", "A 43707-2025")</f>
        <v/>
      </c>
      <c r="AC201">
        <f>HYPERLINK("https://klasma.github.io/Logging_2260/tillsyn/A 43707-2025 tillsynsbegäran.docx", "A 43707-2025")</f>
        <v/>
      </c>
      <c r="AD201">
        <f>HYPERLINK("https://klasma.github.io/Logging_2260/tillsynsmail/A 43707-2025 tillsynsbegäran mail.docx", "A 43707-2025")</f>
        <v/>
      </c>
    </row>
    <row r="202" ht="15" customHeight="1">
      <c r="A202" t="inlineStr">
        <is>
          <t>A 43880-2025</t>
        </is>
      </c>
      <c r="B202" t="inlineStr">
        <is>
          <t>avverkningsanmälan</t>
        </is>
      </c>
      <c r="C202" t="inlineStr">
        <is>
          <t>Föryngringsavverkning</t>
        </is>
      </c>
      <c r="D202" s="1" t="n">
        <v>45912</v>
      </c>
      <c r="E202" s="1" t="n">
        <v>46310</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38298-2025</t>
        </is>
      </c>
      <c r="B203" t="inlineStr">
        <is>
          <t>avverkningsanmälan</t>
        </is>
      </c>
      <c r="C203" t="inlineStr">
        <is>
          <t>Föryngringsavverkning</t>
        </is>
      </c>
      <c r="D203" s="1" t="n">
        <v>45883</v>
      </c>
      <c r="E203" s="1" t="n">
        <v>46310</v>
      </c>
      <c r="F203" t="inlineStr">
        <is>
          <t>VÄSTERNORRLANDS LÄN</t>
        </is>
      </c>
      <c r="G203" t="inlineStr">
        <is>
          <t>ÅNGE</t>
        </is>
      </c>
      <c r="I203" t="n">
        <v>4.5</v>
      </c>
      <c r="J203" t="n">
        <v>0</v>
      </c>
      <c r="K203" t="n">
        <v>0</v>
      </c>
      <c r="L203" t="n">
        <v>2</v>
      </c>
      <c r="M203" t="n">
        <v>0</v>
      </c>
      <c r="N203" t="n">
        <v>0</v>
      </c>
      <c r="O203" t="n">
        <v>0</v>
      </c>
      <c r="P203" t="n">
        <v>0</v>
      </c>
      <c r="Q203" t="n">
        <v>2</v>
      </c>
      <c r="R203" t="n">
        <v>0</v>
      </c>
      <c r="S203" t="n">
        <v>2</v>
      </c>
      <c r="T203" t="n">
        <v>3</v>
      </c>
      <c r="U203" t="n">
        <v>0</v>
      </c>
      <c r="V203" s="2" t="inlineStr">
        <is>
          <t>Kolflarnlav
Lunglav</t>
        </is>
      </c>
      <c r="W203">
        <f>HYPERLINK("https://klasma.github.io/Logging_2260/artfynd/A 38298-2025 artfynd.xlsx", "A 38298-2025")</f>
        <v/>
      </c>
      <c r="X203">
        <f>HYPERLINK("https://klasma.github.io/Logging_2260/kartor/A 38298-2025 karta.png", "A 38298-2025")</f>
        <v/>
      </c>
      <c r="Y203">
        <f>HYPERLINK("https://klasma.github.io/Logging_2260/kartor_geotiff/A 38298-2025 georefererad karta.tif", "A 38298-2025")</f>
        <v/>
      </c>
      <c r="AA203">
        <f>HYPERLINK("https://klasma.github.io/Logging_2260/klagomål/A 38298-2025 FSC-klagomål.docx", "A 38298-2025")</f>
        <v/>
      </c>
      <c r="AB203">
        <f>HYPERLINK("https://klasma.github.io/Logging_2260/klagomålsmail/A 38298-2025 FSC-klagomål mail.docx", "A 38298-2025")</f>
        <v/>
      </c>
      <c r="AC203">
        <f>HYPERLINK("https://klasma.github.io/Logging_2260/tillsyn/A 38298-2025 tillsynsbegäran.docx", "A 38298-2025")</f>
        <v/>
      </c>
      <c r="AD203">
        <f>HYPERLINK("https://klasma.github.io/Logging_2260/tillsynsmail/A 38298-2025 tillsynsbegäran mail.docx", "A 38298-2025")</f>
        <v/>
      </c>
    </row>
    <row r="204" ht="15" customHeight="1">
      <c r="A204" t="inlineStr">
        <is>
          <t>A 48695-2024</t>
        </is>
      </c>
      <c r="B204" t="inlineStr">
        <is>
          <t>avverkningsanmälan</t>
        </is>
      </c>
      <c r="C204" t="inlineStr">
        <is>
          <t>Föryngringsavverkning</t>
        </is>
      </c>
      <c r="D204" s="1" t="n">
        <v>45593</v>
      </c>
      <c r="E204" s="1" t="n">
        <v>46310</v>
      </c>
      <c r="F204" t="inlineStr">
        <is>
          <t>VÄSTERNORRLANDS LÄN</t>
        </is>
      </c>
      <c r="G204" t="inlineStr">
        <is>
          <t>ÅNGE</t>
        </is>
      </c>
      <c r="H204" t="inlineStr">
        <is>
          <t>SCA</t>
        </is>
      </c>
      <c r="I204" t="n">
        <v>1.2</v>
      </c>
      <c r="J204" t="n">
        <v>0</v>
      </c>
      <c r="K204" t="n">
        <v>0</v>
      </c>
      <c r="L204" t="n">
        <v>2</v>
      </c>
      <c r="M204" t="n">
        <v>0</v>
      </c>
      <c r="N204" t="n">
        <v>0</v>
      </c>
      <c r="O204" t="n">
        <v>0</v>
      </c>
      <c r="P204" t="n">
        <v>0</v>
      </c>
      <c r="Q204" t="n">
        <v>2</v>
      </c>
      <c r="R204" t="n">
        <v>0</v>
      </c>
      <c r="S204" t="n">
        <v>2</v>
      </c>
      <c r="T204" t="n">
        <v>2</v>
      </c>
      <c r="U204" t="n">
        <v>0</v>
      </c>
      <c r="V204" s="2" t="inlineStr">
        <is>
          <t>Lunglav
Ullticka</t>
        </is>
      </c>
      <c r="W204">
        <f>HYPERLINK("https://klasma.github.io/Logging_2260/artfynd/A 48695-2024 artfynd.xlsx", "A 48695-2024")</f>
        <v/>
      </c>
      <c r="X204">
        <f>HYPERLINK("https://klasma.github.io/Logging_2260/kartor/A 48695-2024 karta.png", "A 48695-2024")</f>
        <v/>
      </c>
      <c r="Y204">
        <f>HYPERLINK("https://klasma.github.io/Logging_2260/kartor_geotiff/A 48695-2024 georefererad karta.tif", "A 48695-2024")</f>
        <v/>
      </c>
      <c r="AA204">
        <f>HYPERLINK("https://klasma.github.io/Logging_2260/klagomål/A 48695-2024 FSC-klagomål.docx", "A 48695-2024")</f>
        <v/>
      </c>
      <c r="AB204">
        <f>HYPERLINK("https://klasma.github.io/Logging_2260/klagomålsmail/A 48695-2024 FSC-klagomål mail.docx", "A 48695-2024")</f>
        <v/>
      </c>
      <c r="AC204">
        <f>HYPERLINK("https://klasma.github.io/Logging_2260/tillsyn/A 48695-2024 tillsynsbegäran.docx", "A 48695-2024")</f>
        <v/>
      </c>
      <c r="AD204">
        <f>HYPERLINK("https://klasma.github.io/Logging_2260/tillsynsmail/A 48695-2024 tillsynsbegäran mail.docx", "A 48695-2024")</f>
        <v/>
      </c>
    </row>
    <row r="205" ht="15" customHeight="1">
      <c r="A205" t="inlineStr">
        <is>
          <t>A 4873-2025</t>
        </is>
      </c>
      <c r="B205" t="inlineStr">
        <is>
          <t>avverkningsanmälan</t>
        </is>
      </c>
      <c r="C205" t="inlineStr">
        <is>
          <t>Föryngringsavverkning</t>
        </is>
      </c>
      <c r="D205" s="1" t="n">
        <v>45688</v>
      </c>
      <c r="E205" s="1" t="n">
        <v>46310</v>
      </c>
      <c r="F205" t="inlineStr">
        <is>
          <t>VÄSTERNORRLANDS LÄN</t>
        </is>
      </c>
      <c r="G205" t="inlineStr">
        <is>
          <t>ÅNGE</t>
        </is>
      </c>
      <c r="H205" t="inlineStr">
        <is>
          <t>SCA</t>
        </is>
      </c>
      <c r="I205" t="n">
        <v>3.3</v>
      </c>
      <c r="J205" t="n">
        <v>0</v>
      </c>
      <c r="K205" t="n">
        <v>0</v>
      </c>
      <c r="L205" t="n">
        <v>1</v>
      </c>
      <c r="M205" t="n">
        <v>1</v>
      </c>
      <c r="N205" t="n">
        <v>0</v>
      </c>
      <c r="O205" t="n">
        <v>0</v>
      </c>
      <c r="P205" t="n">
        <v>0</v>
      </c>
      <c r="Q205" t="n">
        <v>2</v>
      </c>
      <c r="R205" t="n">
        <v>1</v>
      </c>
      <c r="S205" t="n">
        <v>2</v>
      </c>
      <c r="T205" t="n">
        <v>2</v>
      </c>
      <c r="U205" t="n">
        <v>2</v>
      </c>
      <c r="V205" s="2" t="inlineStr">
        <is>
          <t>Garnlav
Vitgrynig nållav</t>
        </is>
      </c>
      <c r="W205">
        <f>HYPERLINK("https://klasma.github.io/Logging_2260/artfynd/A 4873-2025 artfynd.xlsx", "A 4873-2025")</f>
        <v/>
      </c>
      <c r="X205">
        <f>HYPERLINK("https://klasma.github.io/Logging_2260/kartor/A 4873-2025 karta.png", "A 4873-2025")</f>
        <v/>
      </c>
      <c r="Y205">
        <f>HYPERLINK("https://klasma.github.io/Logging_2260/kartor_geotiff/A 4873-2025 georefererad karta.tif", "A 4873-2025")</f>
        <v/>
      </c>
      <c r="AA205">
        <f>HYPERLINK("https://klasma.github.io/Logging_2260/klagomål/A 4873-2025 FSC-klagomål.docx", "A 4873-2025")</f>
        <v/>
      </c>
      <c r="AB205">
        <f>HYPERLINK("https://klasma.github.io/Logging_2260/klagomålsmail/A 4873-2025 FSC-klagomål mail.docx", "A 4873-2025")</f>
        <v/>
      </c>
      <c r="AC205">
        <f>HYPERLINK("https://klasma.github.io/Logging_2260/tillsyn/A 4873-2025 tillsynsbegäran.docx", "A 4873-2025")</f>
        <v/>
      </c>
      <c r="AD205">
        <f>HYPERLINK("https://klasma.github.io/Logging_2260/tillsynsmail/A 4873-2025 tillsynsbegäran mail.docx", "A 4873-2025")</f>
        <v/>
      </c>
    </row>
    <row r="206" ht="15" customHeight="1">
      <c r="A206" t="inlineStr">
        <is>
          <t>A 62861-2021</t>
        </is>
      </c>
      <c r="B206" t="inlineStr">
        <is>
          <t>avverkningsanmälan</t>
        </is>
      </c>
      <c r="C206" t="inlineStr">
        <is>
          <t>Föryngringsavverkning</t>
        </is>
      </c>
      <c r="D206" s="1" t="n">
        <v>44503</v>
      </c>
      <c r="E206" s="1" t="n">
        <v>46310</v>
      </c>
      <c r="F206" t="inlineStr">
        <is>
          <t>VÄSTERNORRLANDS LÄN</t>
        </is>
      </c>
      <c r="G206" t="inlineStr">
        <is>
          <t>ÅNGE</t>
        </is>
      </c>
      <c r="H206" t="inlineStr">
        <is>
          <t>Övriga statliga verk och myndigheter</t>
        </is>
      </c>
      <c r="I206" t="n">
        <v>12.1</v>
      </c>
      <c r="J206" t="n">
        <v>1</v>
      </c>
      <c r="K206" t="n">
        <v>0</v>
      </c>
      <c r="L206" t="n">
        <v>1</v>
      </c>
      <c r="M206" t="n">
        <v>1</v>
      </c>
      <c r="N206" t="n">
        <v>0</v>
      </c>
      <c r="O206" t="n">
        <v>0</v>
      </c>
      <c r="P206" t="n">
        <v>0</v>
      </c>
      <c r="Q206" t="n">
        <v>2</v>
      </c>
      <c r="R206" t="n">
        <v>1</v>
      </c>
      <c r="S206" t="n">
        <v>2</v>
      </c>
      <c r="T206" t="n">
        <v>8</v>
      </c>
      <c r="U206" t="n">
        <v>8</v>
      </c>
      <c r="V206" s="2" t="inlineStr">
        <is>
          <t>Knärot
Rosenticka</t>
        </is>
      </c>
      <c r="W206">
        <f>HYPERLINK("https://klasma.github.io/Logging_2260/artfynd/A 62861-2021 artfynd.xlsx", "A 62861-2021")</f>
        <v/>
      </c>
      <c r="X206">
        <f>HYPERLINK("https://klasma.github.io/Logging_2260/kartor/A 62861-2021 karta.png", "A 62861-2021")</f>
        <v/>
      </c>
      <c r="Y206">
        <f>HYPERLINK("https://klasma.github.io/Logging_2260/kartor_geotiff/A 62861-2021 georefererad karta.tif", "A 62861-2021")</f>
        <v/>
      </c>
      <c r="Z206">
        <f>HYPERLINK("https://klasma.github.io/Logging_2260/knärot/A 62861-2021 karta knärot.png", "A 62861-2021")</f>
        <v/>
      </c>
      <c r="AA206">
        <f>HYPERLINK("https://klasma.github.io/Logging_2260/klagomål/A 62861-2021 FSC-klagomål.docx", "A 62861-2021")</f>
        <v/>
      </c>
      <c r="AB206">
        <f>HYPERLINK("https://klasma.github.io/Logging_2260/klagomålsmail/A 62861-2021 FSC-klagomål mail.docx", "A 62861-2021")</f>
        <v/>
      </c>
      <c r="AC206">
        <f>HYPERLINK("https://klasma.github.io/Logging_2260/tillsyn/A 62861-2021 tillsynsbegäran.docx", "A 62861-2021")</f>
        <v/>
      </c>
      <c r="AD206">
        <f>HYPERLINK("https://klasma.github.io/Logging_2260/tillsynsmail/A 62861-2021 tillsynsbegäran mail.docx", "A 62861-2021")</f>
        <v/>
      </c>
    </row>
    <row r="207" ht="15" customHeight="1">
      <c r="A207" t="inlineStr">
        <is>
          <t>A 42953-2024</t>
        </is>
      </c>
      <c r="B207" t="inlineStr">
        <is>
          <t>avverkningsanmälan</t>
        </is>
      </c>
      <c r="C207" t="inlineStr">
        <is>
          <t>Avverkning för att bevara och utveckla /försöksver</t>
        </is>
      </c>
      <c r="D207" s="1" t="n">
        <v>45567</v>
      </c>
      <c r="E207" s="1" t="n">
        <v>46310</v>
      </c>
      <c r="F207" t="inlineStr">
        <is>
          <t>VÄSTERNORRLANDS LÄN</t>
        </is>
      </c>
      <c r="G207" t="inlineStr">
        <is>
          <t>ÅNGE</t>
        </is>
      </c>
      <c r="H207" t="inlineStr">
        <is>
          <t>SCA</t>
        </is>
      </c>
      <c r="I207" t="n">
        <v>3</v>
      </c>
      <c r="J207" t="n">
        <v>0</v>
      </c>
      <c r="K207" t="n">
        <v>0</v>
      </c>
      <c r="L207" t="n">
        <v>2</v>
      </c>
      <c r="M207" t="n">
        <v>0</v>
      </c>
      <c r="N207" t="n">
        <v>0</v>
      </c>
      <c r="O207" t="n">
        <v>0</v>
      </c>
      <c r="P207" t="n">
        <v>0</v>
      </c>
      <c r="Q207" t="n">
        <v>2</v>
      </c>
      <c r="R207" t="n">
        <v>0</v>
      </c>
      <c r="S207" t="n">
        <v>2</v>
      </c>
      <c r="T207" t="n">
        <v>2</v>
      </c>
      <c r="U207" t="n">
        <v>2</v>
      </c>
      <c r="V207" s="2" t="inlineStr">
        <is>
          <t>Dropptaggsvamp
Tallticka</t>
        </is>
      </c>
      <c r="W207">
        <f>HYPERLINK("https://klasma.github.io/Logging_2260/artfynd/A 42953-2024 artfynd.xlsx", "A 42953-2024")</f>
        <v/>
      </c>
      <c r="X207">
        <f>HYPERLINK("https://klasma.github.io/Logging_2260/kartor/A 42953-2024 karta.png", "A 42953-2024")</f>
        <v/>
      </c>
      <c r="Y207">
        <f>HYPERLINK("https://klasma.github.io/Logging_2260/kartor_geotiff/A 42953-2024 georefererad karta.tif", "A 42953-2024")</f>
        <v/>
      </c>
      <c r="Z207">
        <f>HYPERLINK("https://klasma.github.io/Logging_2260/knärot/A 42953-2024 karta knärot.png", "A 42953-2024")</f>
        <v/>
      </c>
      <c r="AA207">
        <f>HYPERLINK("https://klasma.github.io/Logging_2260/klagomål/A 42953-2024 FSC-klagomål.docx", "A 42953-2024")</f>
        <v/>
      </c>
      <c r="AB207">
        <f>HYPERLINK("https://klasma.github.io/Logging_2260/klagomålsmail/A 42953-2024 FSC-klagomål mail.docx", "A 42953-2024")</f>
        <v/>
      </c>
      <c r="AC207">
        <f>HYPERLINK("https://klasma.github.io/Logging_2260/tillsyn/A 42953-2024 tillsynsbegäran.docx", "A 42953-2024")</f>
        <v/>
      </c>
      <c r="AD207">
        <f>HYPERLINK("https://klasma.github.io/Logging_2260/tillsynsmail/A 42953-2024 tillsynsbegäran mail.docx", "A 42953-2024")</f>
        <v/>
      </c>
    </row>
    <row r="208" ht="15" customHeight="1">
      <c r="A208" t="inlineStr">
        <is>
          <t>A 54625-2025</t>
        </is>
      </c>
      <c r="B208" t="inlineStr">
        <is>
          <t>avverkningsanmälan</t>
        </is>
      </c>
      <c r="C208" t="inlineStr">
        <is>
          <t>Föryngringsavverkning</t>
        </is>
      </c>
      <c r="D208" s="1" t="n">
        <v>45966</v>
      </c>
      <c r="E208" s="1" t="n">
        <v>46310</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t="n">
        <v>0</v>
      </c>
      <c r="V208" s="2" t="inlineStr">
        <is>
          <t>Dropptaggsvamp
Talltita</t>
        </is>
      </c>
      <c r="W208">
        <f>HYPERLINK("https://klasma.github.io/Logging_2260/artfynd/A 54625-2025 artfynd.xlsx", "A 54625-2025")</f>
        <v/>
      </c>
      <c r="X208">
        <f>HYPERLINK("https://klasma.github.io/Logging_2260/kartor/A 54625-2025 karta.png", "A 54625-2025")</f>
        <v/>
      </c>
      <c r="Y208">
        <f>HYPERLINK("https://klasma.github.io/Logging_2260/kartor_geotiff/A 54625-2025 georefererad karta.tif", "A 54625-2025")</f>
        <v/>
      </c>
      <c r="AA208">
        <f>HYPERLINK("https://klasma.github.io/Logging_2260/klagomål/A 54625-2025 FSC-klagomål.docx", "A 54625-2025")</f>
        <v/>
      </c>
      <c r="AB208">
        <f>HYPERLINK("https://klasma.github.io/Logging_2260/klagomålsmail/A 54625-2025 FSC-klagomål mail.docx", "A 54625-2025")</f>
        <v/>
      </c>
      <c r="AC208">
        <f>HYPERLINK("https://klasma.github.io/Logging_2260/tillsyn/A 54625-2025 tillsynsbegäran.docx", "A 54625-2025")</f>
        <v/>
      </c>
      <c r="AD208">
        <f>HYPERLINK("https://klasma.github.io/Logging_2260/tillsynsmail/A 54625-2025 tillsynsbegäran mail.docx", "A 54625-2025")</f>
        <v/>
      </c>
      <c r="AE208">
        <f>HYPERLINK("https://klasma.github.io/Logging_2260/fåglar/A 54625-2025 prioriterade fågelarter.docx", "A 54625-2025")</f>
        <v/>
      </c>
    </row>
    <row r="209" ht="15" customHeight="1">
      <c r="A209" t="inlineStr">
        <is>
          <t>A 49871-2024</t>
        </is>
      </c>
      <c r="B209" t="inlineStr">
        <is>
          <t>avverkningsanmälan</t>
        </is>
      </c>
      <c r="C209" t="inlineStr">
        <is>
          <t>Föryngringsavverkning</t>
        </is>
      </c>
      <c r="D209" s="1" t="n">
        <v>45597</v>
      </c>
      <c r="E209" s="1" t="n">
        <v>46310</v>
      </c>
      <c r="F209" t="inlineStr">
        <is>
          <t>VÄSTERNORRLANDS LÄN</t>
        </is>
      </c>
      <c r="G209" t="inlineStr">
        <is>
          <t>ÅNGE</t>
        </is>
      </c>
      <c r="H209" t="inlineStr">
        <is>
          <t>SCA</t>
        </is>
      </c>
      <c r="I209" t="n">
        <v>6.3</v>
      </c>
      <c r="J209" t="n">
        <v>1</v>
      </c>
      <c r="K209" t="n">
        <v>0</v>
      </c>
      <c r="L209" t="n">
        <v>0</v>
      </c>
      <c r="M209" t="n">
        <v>2</v>
      </c>
      <c r="N209" t="n">
        <v>0</v>
      </c>
      <c r="O209" t="n">
        <v>0</v>
      </c>
      <c r="P209" t="n">
        <v>0</v>
      </c>
      <c r="Q209" t="n">
        <v>2</v>
      </c>
      <c r="R209" t="n">
        <v>2</v>
      </c>
      <c r="S209" t="n">
        <v>2</v>
      </c>
      <c r="T209" t="n">
        <v>3</v>
      </c>
      <c r="U209" t="n">
        <v>3</v>
      </c>
      <c r="V209" s="2" t="inlineStr">
        <is>
          <t>Garnlav
Knärot</t>
        </is>
      </c>
      <c r="W209">
        <f>HYPERLINK("https://klasma.github.io/Logging_2260/artfynd/A 49871-2024 artfynd.xlsx", "A 49871-2024")</f>
        <v/>
      </c>
      <c r="X209">
        <f>HYPERLINK("https://klasma.github.io/Logging_2260/kartor/A 49871-2024 karta.png", "A 49871-2024")</f>
        <v/>
      </c>
      <c r="Y209">
        <f>HYPERLINK("https://klasma.github.io/Logging_2260/kartor_geotiff/A 49871-2024 georefererad karta.tif", "A 49871-2024")</f>
        <v/>
      </c>
      <c r="Z209">
        <f>HYPERLINK("https://klasma.github.io/Logging_2260/knärot/A 49871-2024 karta knärot.png", "A 49871-2024")</f>
        <v/>
      </c>
      <c r="AA209">
        <f>HYPERLINK("https://klasma.github.io/Logging_2260/klagomål/A 49871-2024 FSC-klagomål.docx", "A 49871-2024")</f>
        <v/>
      </c>
      <c r="AB209">
        <f>HYPERLINK("https://klasma.github.io/Logging_2260/klagomålsmail/A 49871-2024 FSC-klagomål mail.docx", "A 49871-2024")</f>
        <v/>
      </c>
      <c r="AC209">
        <f>HYPERLINK("https://klasma.github.io/Logging_2260/tillsyn/A 49871-2024 tillsynsbegäran.docx", "A 49871-2024")</f>
        <v/>
      </c>
      <c r="AD209">
        <f>HYPERLINK("https://klasma.github.io/Logging_2260/tillsynsmail/A 49871-2024 tillsynsbegäran mail.docx", "A 49871-2024")</f>
        <v/>
      </c>
    </row>
    <row r="210" ht="15" customHeight="1">
      <c r="A210" t="inlineStr">
        <is>
          <t>A 60134-2025</t>
        </is>
      </c>
      <c r="B210" t="inlineStr">
        <is>
          <t>avverkningsanmälan</t>
        </is>
      </c>
      <c r="C210" t="inlineStr">
        <is>
          <t>Föryngringsavverkning</t>
        </is>
      </c>
      <c r="D210" s="1" t="n">
        <v>45994</v>
      </c>
      <c r="E210" s="1" t="n">
        <v>46310</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46310</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24797-2024</t>
        </is>
      </c>
      <c r="B212" t="inlineStr">
        <is>
          <t>avverkningsanmälan</t>
        </is>
      </c>
      <c r="C212" t="inlineStr">
        <is>
          <t>Avverkning för att bevara och utveckla /försöksver</t>
        </is>
      </c>
      <c r="D212" s="1" t="n">
        <v>45460</v>
      </c>
      <c r="E212" s="1" t="n">
        <v>46310</v>
      </c>
      <c r="F212" t="inlineStr">
        <is>
          <t>VÄSTERNORRLANDS LÄN</t>
        </is>
      </c>
      <c r="G212" t="inlineStr">
        <is>
          <t>ÅNGE</t>
        </is>
      </c>
      <c r="H212" t="inlineStr">
        <is>
          <t>SCA</t>
        </is>
      </c>
      <c r="I212" t="n">
        <v>2.3</v>
      </c>
      <c r="J212" t="n">
        <v>1</v>
      </c>
      <c r="K212" t="n">
        <v>2</v>
      </c>
      <c r="L212" t="n">
        <v>0</v>
      </c>
      <c r="M212" t="n">
        <v>0</v>
      </c>
      <c r="N212" t="n">
        <v>0</v>
      </c>
      <c r="O212" t="n">
        <v>0</v>
      </c>
      <c r="P212" t="n">
        <v>0</v>
      </c>
      <c r="Q212" t="n">
        <v>0</v>
      </c>
      <c r="R212" t="n">
        <v>0</v>
      </c>
      <c r="S212" t="n">
        <v>2</v>
      </c>
      <c r="T212" t="n">
        <v>2</v>
      </c>
      <c r="U212" t="n">
        <v>1</v>
      </c>
      <c r="V212" s="2" t="inlineStr">
        <is>
          <t>Plattlummer
Skinnlav</t>
        </is>
      </c>
      <c r="W212">
        <f>HYPERLINK("https://klasma.github.io/Logging_2260/artfynd/A 24797-2024 artfynd.xlsx", "A 24797-2024")</f>
        <v/>
      </c>
      <c r="X212">
        <f>HYPERLINK("https://klasma.github.io/Logging_2260/kartor/A 24797-2024 karta.png", "A 24797-2024")</f>
        <v/>
      </c>
      <c r="Y212">
        <f>HYPERLINK("https://klasma.github.io/Logging_2260/kartor_geotiff/A 24797-2024 georefererad karta.tif", "A 24797-2024")</f>
        <v/>
      </c>
      <c r="AA212">
        <f>HYPERLINK("https://klasma.github.io/Logging_2260/klagomål/A 24797-2024 FSC-klagomål.docx", "A 24797-2024")</f>
        <v/>
      </c>
      <c r="AB212">
        <f>HYPERLINK("https://klasma.github.io/Logging_2260/klagomålsmail/A 24797-2024 FSC-klagomål mail.docx", "A 24797-2024")</f>
        <v/>
      </c>
      <c r="AC212">
        <f>HYPERLINK("https://klasma.github.io/Logging_2260/tillsyn/A 24797-2024 tillsynsbegäran.docx", "A 24797-2024")</f>
        <v/>
      </c>
      <c r="AD212">
        <f>HYPERLINK("https://klasma.github.io/Logging_2260/tillsynsmail/A 24797-2024 tillsynsbegäran mail.docx", "A 24797-2024")</f>
        <v/>
      </c>
    </row>
    <row r="213" ht="15" customHeight="1">
      <c r="A213" t="inlineStr">
        <is>
          <t>A 24798-2024</t>
        </is>
      </c>
      <c r="B213" t="inlineStr">
        <is>
          <t>avverkningsanmälan</t>
        </is>
      </c>
      <c r="C213" t="inlineStr">
        <is>
          <t>Avverkning för att bevara och utveckla /försöksver</t>
        </is>
      </c>
      <c r="D213" s="1" t="n">
        <v>45460</v>
      </c>
      <c r="E213" s="1" t="n">
        <v>46310</v>
      </c>
      <c r="F213" t="inlineStr">
        <is>
          <t>VÄSTERNORRLANDS LÄN</t>
        </is>
      </c>
      <c r="G213" t="inlineStr">
        <is>
          <t>ÅNGE</t>
        </is>
      </c>
      <c r="H213" t="inlineStr">
        <is>
          <t>SCA</t>
        </is>
      </c>
      <c r="I213" t="n">
        <v>1.3</v>
      </c>
      <c r="J213" t="n">
        <v>1</v>
      </c>
      <c r="K213" t="n">
        <v>0</v>
      </c>
      <c r="L213" t="n">
        <v>1</v>
      </c>
      <c r="M213" t="n">
        <v>0</v>
      </c>
      <c r="N213" t="n">
        <v>0</v>
      </c>
      <c r="O213" t="n">
        <v>0</v>
      </c>
      <c r="P213" t="n">
        <v>0</v>
      </c>
      <c r="Q213" t="n">
        <v>1</v>
      </c>
      <c r="R213" t="n">
        <v>0</v>
      </c>
      <c r="S213" t="n">
        <v>2</v>
      </c>
      <c r="T213" t="n">
        <v>2</v>
      </c>
      <c r="U213" t="n">
        <v>2</v>
      </c>
      <c r="V213" s="2" t="inlineStr">
        <is>
          <t>Lunglav
Tjäder</t>
        </is>
      </c>
      <c r="W213">
        <f>HYPERLINK("https://klasma.github.io/Logging_2260/artfynd/A 24798-2024 artfynd.xlsx", "A 24798-2024")</f>
        <v/>
      </c>
      <c r="X213">
        <f>HYPERLINK("https://klasma.github.io/Logging_2260/kartor/A 24798-2024 karta.png", "A 24798-2024")</f>
        <v/>
      </c>
      <c r="Y213">
        <f>HYPERLINK("https://klasma.github.io/Logging_2260/kartor_geotiff/A 24798-2024 georefererad karta.tif", "A 24798-2024")</f>
        <v/>
      </c>
      <c r="AA213">
        <f>HYPERLINK("https://klasma.github.io/Logging_2260/klagomål/A 24798-2024 FSC-klagomål.docx", "A 24798-2024")</f>
        <v/>
      </c>
      <c r="AB213">
        <f>HYPERLINK("https://klasma.github.io/Logging_2260/klagomålsmail/A 24798-2024 FSC-klagomål mail.docx", "A 24798-2024")</f>
        <v/>
      </c>
      <c r="AC213">
        <f>HYPERLINK("https://klasma.github.io/Logging_2260/tillsyn/A 24798-2024 tillsynsbegäran.docx", "A 24798-2024")</f>
        <v/>
      </c>
      <c r="AD213">
        <f>HYPERLINK("https://klasma.github.io/Logging_2260/tillsynsmail/A 24798-2024 tillsynsbegäran mail.docx", "A 24798-2024")</f>
        <v/>
      </c>
      <c r="AE213">
        <f>HYPERLINK("https://klasma.github.io/Logging_2260/fåglar/A 24798-2024 prioriterade fågelarter.docx", "A 24798-2024")</f>
        <v/>
      </c>
    </row>
    <row r="214" ht="15" customHeight="1">
      <c r="A214" t="inlineStr">
        <is>
          <t>A 1116-2023</t>
        </is>
      </c>
      <c r="B214" t="inlineStr">
        <is>
          <t>avverkningsanmälan</t>
        </is>
      </c>
      <c r="C214" t="inlineStr">
        <is>
          <t>Föryngringsavverkning</t>
        </is>
      </c>
      <c r="D214" s="1" t="n">
        <v>44929</v>
      </c>
      <c r="E214" s="1" t="n">
        <v>46310</v>
      </c>
      <c r="F214" t="inlineStr">
        <is>
          <t>VÄSTERNORRLANDS LÄN</t>
        </is>
      </c>
      <c r="G214" t="inlineStr">
        <is>
          <t>ÅNGE</t>
        </is>
      </c>
      <c r="I214" t="n">
        <v>17.2</v>
      </c>
      <c r="J214" t="n">
        <v>0</v>
      </c>
      <c r="K214" t="n">
        <v>0</v>
      </c>
      <c r="L214" t="n">
        <v>2</v>
      </c>
      <c r="M214" t="n">
        <v>0</v>
      </c>
      <c r="N214" t="n">
        <v>0</v>
      </c>
      <c r="O214" t="n">
        <v>0</v>
      </c>
      <c r="P214" t="n">
        <v>0</v>
      </c>
      <c r="Q214" t="n">
        <v>2</v>
      </c>
      <c r="R214" t="n">
        <v>0</v>
      </c>
      <c r="S214" t="n">
        <v>2</v>
      </c>
      <c r="T214" t="n">
        <v>2</v>
      </c>
      <c r="U214" t="n">
        <v>0</v>
      </c>
      <c r="V214" s="2" t="inlineStr">
        <is>
          <t>Lunglav
Skrovellav</t>
        </is>
      </c>
      <c r="W214">
        <f>HYPERLINK("https://klasma.github.io/Logging_2260/artfynd/A 1116-2023 artfynd.xlsx", "A 1116-2023")</f>
        <v/>
      </c>
      <c r="X214">
        <f>HYPERLINK("https://klasma.github.io/Logging_2260/kartor/A 1116-2023 karta.png", "A 1116-2023")</f>
        <v/>
      </c>
      <c r="Y214">
        <f>HYPERLINK("https://klasma.github.io/Logging_2260/kartor_geotiff/A 1116-2023 georefererad karta.tif", "A 1116-2023")</f>
        <v/>
      </c>
      <c r="AA214">
        <f>HYPERLINK("https://klasma.github.io/Logging_2260/klagomål/A 1116-2023 FSC-klagomål.docx", "A 1116-2023")</f>
        <v/>
      </c>
      <c r="AB214">
        <f>HYPERLINK("https://klasma.github.io/Logging_2260/klagomålsmail/A 1116-2023 FSC-klagomål mail.docx", "A 1116-2023")</f>
        <v/>
      </c>
      <c r="AC214">
        <f>HYPERLINK("https://klasma.github.io/Logging_2260/tillsyn/A 1116-2023 tillsynsbegäran.docx", "A 1116-2023")</f>
        <v/>
      </c>
      <c r="AD214">
        <f>HYPERLINK("https://klasma.github.io/Logging_2260/tillsynsmail/A 1116-2023 tillsynsbegäran mail.docx", "A 1116-2023")</f>
        <v/>
      </c>
    </row>
    <row r="215" ht="15" customHeight="1">
      <c r="A215" t="inlineStr">
        <is>
          <t>A 42864-2025</t>
        </is>
      </c>
      <c r="B215" t="inlineStr">
        <is>
          <t>avverkningsanmälan</t>
        </is>
      </c>
      <c r="C215" t="inlineStr">
        <is>
          <t>Föryngringsavverkning</t>
        </is>
      </c>
      <c r="D215" s="1" t="n">
        <v>45908</v>
      </c>
      <c r="E215" s="1" t="n">
        <v>46310</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57272-2024</t>
        </is>
      </c>
      <c r="B216" t="inlineStr">
        <is>
          <t>avverkningsanmälan</t>
        </is>
      </c>
      <c r="C216" t="inlineStr">
        <is>
          <t>Föryngringsavverkning</t>
        </is>
      </c>
      <c r="D216" s="1" t="n">
        <v>45629</v>
      </c>
      <c r="E216" s="1" t="n">
        <v>46310</v>
      </c>
      <c r="F216" t="inlineStr">
        <is>
          <t>VÄSTERNORRLANDS LÄN</t>
        </is>
      </c>
      <c r="G216" t="inlineStr">
        <is>
          <t>ÅNGE</t>
        </is>
      </c>
      <c r="H216" t="inlineStr">
        <is>
          <t>SCA</t>
        </is>
      </c>
      <c r="I216" t="n">
        <v>5.4</v>
      </c>
      <c r="J216" t="n">
        <v>0</v>
      </c>
      <c r="K216" t="n">
        <v>0</v>
      </c>
      <c r="L216" t="n">
        <v>2</v>
      </c>
      <c r="M216" t="n">
        <v>0</v>
      </c>
      <c r="N216" t="n">
        <v>0</v>
      </c>
      <c r="O216" t="n">
        <v>0</v>
      </c>
      <c r="P216" t="n">
        <v>0</v>
      </c>
      <c r="Q216" t="n">
        <v>2</v>
      </c>
      <c r="R216" t="n">
        <v>0</v>
      </c>
      <c r="S216" t="n">
        <v>2</v>
      </c>
      <c r="T216" t="n">
        <v>2</v>
      </c>
      <c r="U216" t="n">
        <v>0</v>
      </c>
      <c r="V216" s="2" t="inlineStr">
        <is>
          <t>Orange taggsvamp
Vedflamlav</t>
        </is>
      </c>
      <c r="W216">
        <f>HYPERLINK("https://klasma.github.io/Logging_2260/artfynd/A 57272-2024 artfynd.xlsx", "A 57272-2024")</f>
        <v/>
      </c>
      <c r="X216">
        <f>HYPERLINK("https://klasma.github.io/Logging_2260/kartor/A 57272-2024 karta.png", "A 57272-2024")</f>
        <v/>
      </c>
      <c r="Y216">
        <f>HYPERLINK("https://klasma.github.io/Logging_2260/kartor_geotiff/A 57272-2024 georefererad karta.tif", "A 57272-2024")</f>
        <v/>
      </c>
      <c r="AA216">
        <f>HYPERLINK("https://klasma.github.io/Logging_2260/klagomål/A 57272-2024 FSC-klagomål.docx", "A 57272-2024")</f>
        <v/>
      </c>
      <c r="AB216">
        <f>HYPERLINK("https://klasma.github.io/Logging_2260/klagomålsmail/A 57272-2024 FSC-klagomål mail.docx", "A 57272-2024")</f>
        <v/>
      </c>
      <c r="AC216">
        <f>HYPERLINK("https://klasma.github.io/Logging_2260/tillsyn/A 57272-2024 tillsynsbegäran.docx", "A 57272-2024")</f>
        <v/>
      </c>
      <c r="AD216">
        <f>HYPERLINK("https://klasma.github.io/Logging_2260/tillsynsmail/A 57272-2024 tillsynsbegäran mail.docx", "A 57272-2024")</f>
        <v/>
      </c>
    </row>
    <row r="217" ht="15" customHeight="1">
      <c r="A217" t="inlineStr">
        <is>
          <t>A 57089-2024</t>
        </is>
      </c>
      <c r="B217" t="inlineStr">
        <is>
          <t>avverkningsanmälan</t>
        </is>
      </c>
      <c r="C217" t="inlineStr">
        <is>
          <t>Avverkning för att bevara och utveckla /försöksver</t>
        </is>
      </c>
      <c r="D217" s="1" t="n">
        <v>45629</v>
      </c>
      <c r="E217" s="1" t="n">
        <v>46310</v>
      </c>
      <c r="F217" t="inlineStr">
        <is>
          <t>VÄSTERNORRLANDS LÄN</t>
        </is>
      </c>
      <c r="G217" t="inlineStr">
        <is>
          <t>ÅNGE</t>
        </is>
      </c>
      <c r="H217" t="inlineStr">
        <is>
          <t>SCA</t>
        </is>
      </c>
      <c r="I217" t="n">
        <v>1.5</v>
      </c>
      <c r="J217" t="n">
        <v>0</v>
      </c>
      <c r="K217" t="n">
        <v>0</v>
      </c>
      <c r="L217" t="n">
        <v>2</v>
      </c>
      <c r="M217" t="n">
        <v>0</v>
      </c>
      <c r="N217" t="n">
        <v>0</v>
      </c>
      <c r="O217" t="n">
        <v>0</v>
      </c>
      <c r="P217" t="n">
        <v>0</v>
      </c>
      <c r="Q217" t="n">
        <v>2</v>
      </c>
      <c r="R217" t="n">
        <v>0</v>
      </c>
      <c r="S217" t="n">
        <v>2</v>
      </c>
      <c r="T217" t="n">
        <v>2</v>
      </c>
      <c r="U217" t="n">
        <v>0</v>
      </c>
      <c r="V217" s="2" t="inlineStr">
        <is>
          <t>Lunglav
Ullticka</t>
        </is>
      </c>
      <c r="W217">
        <f>HYPERLINK("https://klasma.github.io/Logging_2260/artfynd/A 57089-2024 artfynd.xlsx", "A 57089-2024")</f>
        <v/>
      </c>
      <c r="X217">
        <f>HYPERLINK("https://klasma.github.io/Logging_2260/kartor/A 57089-2024 karta.png", "A 57089-2024")</f>
        <v/>
      </c>
      <c r="Y217">
        <f>HYPERLINK("https://klasma.github.io/Logging_2260/kartor_geotiff/A 57089-2024 georefererad karta.tif", "A 57089-2024")</f>
        <v/>
      </c>
      <c r="AA217">
        <f>HYPERLINK("https://klasma.github.io/Logging_2260/klagomål/A 57089-2024 FSC-klagomål.docx", "A 57089-2024")</f>
        <v/>
      </c>
      <c r="AB217">
        <f>HYPERLINK("https://klasma.github.io/Logging_2260/klagomålsmail/A 57089-2024 FSC-klagomål mail.docx", "A 57089-2024")</f>
        <v/>
      </c>
      <c r="AC217">
        <f>HYPERLINK("https://klasma.github.io/Logging_2260/tillsyn/A 57089-2024 tillsynsbegäran.docx", "A 57089-2024")</f>
        <v/>
      </c>
      <c r="AD217">
        <f>HYPERLINK("https://klasma.github.io/Logging_2260/tillsynsmail/A 57089-2024 tillsynsbegäran mail.docx", "A 57089-2024")</f>
        <v/>
      </c>
    </row>
    <row r="218" ht="15" customHeight="1">
      <c r="A218" t="inlineStr">
        <is>
          <t>A 53663-2022</t>
        </is>
      </c>
      <c r="B218" t="inlineStr">
        <is>
          <t>avverkningsanmälan</t>
        </is>
      </c>
      <c r="C218" t="inlineStr">
        <is>
          <t>Avverkning för att bevara och utveckla /försöksver</t>
        </is>
      </c>
      <c r="D218" s="1" t="n">
        <v>44879</v>
      </c>
      <c r="E218" s="1" t="n">
        <v>46310</v>
      </c>
      <c r="F218" t="inlineStr">
        <is>
          <t>VÄSTERNORRLANDS LÄN</t>
        </is>
      </c>
      <c r="G218" t="inlineStr">
        <is>
          <t>ÅNGE</t>
        </is>
      </c>
      <c r="H218" t="inlineStr">
        <is>
          <t>SCA</t>
        </is>
      </c>
      <c r="I218" t="n">
        <v>0.7</v>
      </c>
      <c r="J218" t="n">
        <v>0</v>
      </c>
      <c r="K218" t="n">
        <v>0</v>
      </c>
      <c r="L218" t="n">
        <v>1</v>
      </c>
      <c r="M218" t="n">
        <v>1</v>
      </c>
      <c r="N218" t="n">
        <v>0</v>
      </c>
      <c r="O218" t="n">
        <v>0</v>
      </c>
      <c r="P218" t="n">
        <v>0</v>
      </c>
      <c r="Q218" t="n">
        <v>2</v>
      </c>
      <c r="R218" t="n">
        <v>1</v>
      </c>
      <c r="S218" t="n">
        <v>2</v>
      </c>
      <c r="T218" t="n">
        <v>2</v>
      </c>
      <c r="U218" t="n">
        <v>0</v>
      </c>
      <c r="V218" s="2" t="inlineStr">
        <is>
          <t>Vitskaftad svartspik
Vitgrynig nållav</t>
        </is>
      </c>
      <c r="W218">
        <f>HYPERLINK("https://klasma.github.io/Logging_2260/artfynd/A 53663-2022 artfynd.xlsx", "A 53663-2022")</f>
        <v/>
      </c>
      <c r="X218">
        <f>HYPERLINK("https://klasma.github.io/Logging_2260/kartor/A 53663-2022 karta.png", "A 53663-2022")</f>
        <v/>
      </c>
      <c r="Y218">
        <f>HYPERLINK("https://klasma.github.io/Logging_2260/kartor_geotiff/A 53663-2022 georefererad karta.tif", "A 53663-2022")</f>
        <v/>
      </c>
      <c r="AA218">
        <f>HYPERLINK("https://klasma.github.io/Logging_2260/klagomål/A 53663-2022 FSC-klagomål.docx", "A 53663-2022")</f>
        <v/>
      </c>
      <c r="AB218">
        <f>HYPERLINK("https://klasma.github.io/Logging_2260/klagomålsmail/A 53663-2022 FSC-klagomål mail.docx", "A 53663-2022")</f>
        <v/>
      </c>
      <c r="AC218">
        <f>HYPERLINK("https://klasma.github.io/Logging_2260/tillsyn/A 53663-2022 tillsynsbegäran.docx", "A 53663-2022")</f>
        <v/>
      </c>
      <c r="AD218">
        <f>HYPERLINK("https://klasma.github.io/Logging_2260/tillsynsmail/A 53663-2022 tillsynsbegäran mail.docx", "A 53663-2022")</f>
        <v/>
      </c>
    </row>
    <row r="219" ht="15" customHeight="1">
      <c r="A219" t="inlineStr">
        <is>
          <t>A 47719-2024</t>
        </is>
      </c>
      <c r="B219" t="inlineStr">
        <is>
          <t>avverkningsanmälan</t>
        </is>
      </c>
      <c r="C219" t="inlineStr">
        <is>
          <t>Föryngringsavverkning</t>
        </is>
      </c>
      <c r="D219" s="1" t="n">
        <v>45588</v>
      </c>
      <c r="E219" s="1" t="n">
        <v>46310</v>
      </c>
      <c r="F219" t="inlineStr">
        <is>
          <t>VÄSTERNORRLANDS LÄN</t>
        </is>
      </c>
      <c r="G219" t="inlineStr">
        <is>
          <t>ÅNGE</t>
        </is>
      </c>
      <c r="H219" t="inlineStr">
        <is>
          <t>SCA</t>
        </is>
      </c>
      <c r="I219" t="n">
        <v>1.4</v>
      </c>
      <c r="J219" t="n">
        <v>0</v>
      </c>
      <c r="K219" t="n">
        <v>0</v>
      </c>
      <c r="L219" t="n">
        <v>2</v>
      </c>
      <c r="M219" t="n">
        <v>0</v>
      </c>
      <c r="N219" t="n">
        <v>0</v>
      </c>
      <c r="O219" t="n">
        <v>0</v>
      </c>
      <c r="P219" t="n">
        <v>0</v>
      </c>
      <c r="Q219" t="n">
        <v>2</v>
      </c>
      <c r="R219" t="n">
        <v>0</v>
      </c>
      <c r="S219" t="n">
        <v>2</v>
      </c>
      <c r="T219" t="n">
        <v>2</v>
      </c>
      <c r="U219" t="n">
        <v>0</v>
      </c>
      <c r="V219" s="2" t="inlineStr">
        <is>
          <t>Dvärgbägarlav
Vedskivlav</t>
        </is>
      </c>
      <c r="W219">
        <f>HYPERLINK("https://klasma.github.io/Logging_2260/artfynd/A 47719-2024 artfynd.xlsx", "A 47719-2024")</f>
        <v/>
      </c>
      <c r="X219">
        <f>HYPERLINK("https://klasma.github.io/Logging_2260/kartor/A 47719-2024 karta.png", "A 47719-2024")</f>
        <v/>
      </c>
      <c r="Y219">
        <f>HYPERLINK("https://klasma.github.io/Logging_2260/kartor_geotiff/A 47719-2024 georefererad karta.tif", "A 47719-2024")</f>
        <v/>
      </c>
      <c r="AA219">
        <f>HYPERLINK("https://klasma.github.io/Logging_2260/klagomål/A 47719-2024 FSC-klagomål.docx", "A 47719-2024")</f>
        <v/>
      </c>
      <c r="AB219">
        <f>HYPERLINK("https://klasma.github.io/Logging_2260/klagomålsmail/A 47719-2024 FSC-klagomål mail.docx", "A 47719-2024")</f>
        <v/>
      </c>
      <c r="AC219">
        <f>HYPERLINK("https://klasma.github.io/Logging_2260/tillsyn/A 47719-2024 tillsynsbegäran.docx", "A 47719-2024")</f>
        <v/>
      </c>
      <c r="AD219">
        <f>HYPERLINK("https://klasma.github.io/Logging_2260/tillsynsmail/A 47719-2024 tillsynsbegäran mail.docx", "A 47719-2024")</f>
        <v/>
      </c>
    </row>
    <row r="220" ht="15" customHeight="1">
      <c r="A220" t="inlineStr">
        <is>
          <t>A 13953-2026</t>
        </is>
      </c>
      <c r="B220" t="inlineStr">
        <is>
          <t>avverkningsanmälan</t>
        </is>
      </c>
      <c r="C220" t="inlineStr">
        <is>
          <t>Föryngringsavverkning</t>
        </is>
      </c>
      <c r="D220" s="1" t="n">
        <v>46098</v>
      </c>
      <c r="E220" s="1" t="n">
        <v>46310</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35979-2023</t>
        </is>
      </c>
      <c r="B221" t="inlineStr">
        <is>
          <t>avverkningsanmälan</t>
        </is>
      </c>
      <c r="C221" t="inlineStr">
        <is>
          <t>Föryngringsavverkning</t>
        </is>
      </c>
      <c r="D221" s="1" t="n">
        <v>45148</v>
      </c>
      <c r="E221" s="1" t="n">
        <v>46310</v>
      </c>
      <c r="F221" t="inlineStr">
        <is>
          <t>VÄSTERNORRLANDS LÄN</t>
        </is>
      </c>
      <c r="G221" t="inlineStr">
        <is>
          <t>ÅNGE</t>
        </is>
      </c>
      <c r="H221" t="inlineStr">
        <is>
          <t>SCA</t>
        </is>
      </c>
      <c r="I221" t="n">
        <v>1.1</v>
      </c>
      <c r="J221" t="n">
        <v>1</v>
      </c>
      <c r="K221" t="n">
        <v>0</v>
      </c>
      <c r="L221" t="n">
        <v>0</v>
      </c>
      <c r="M221" t="n">
        <v>1</v>
      </c>
      <c r="N221" t="n">
        <v>0</v>
      </c>
      <c r="O221" t="n">
        <v>0</v>
      </c>
      <c r="P221" t="n">
        <v>0</v>
      </c>
      <c r="Q221" t="n">
        <v>1</v>
      </c>
      <c r="R221" t="n">
        <v>1</v>
      </c>
      <c r="S221" t="n">
        <v>2</v>
      </c>
      <c r="T221" t="n">
        <v>2</v>
      </c>
      <c r="U221" t="n">
        <v>0</v>
      </c>
      <c r="V221" s="2" t="inlineStr">
        <is>
          <t>Garnlav
Spillkråka</t>
        </is>
      </c>
      <c r="W221">
        <f>HYPERLINK("https://klasma.github.io/Logging_2260/artfynd/A 35979-2023 artfynd.xlsx", "A 35979-2023")</f>
        <v/>
      </c>
      <c r="X221">
        <f>HYPERLINK("https://klasma.github.io/Logging_2260/kartor/A 35979-2023 karta.png", "A 35979-2023")</f>
        <v/>
      </c>
      <c r="Y221">
        <f>HYPERLINK("https://klasma.github.io/Logging_2260/kartor_geotiff/A 35979-2023 georefererad karta.tif", "A 35979-2023")</f>
        <v/>
      </c>
      <c r="AA221">
        <f>HYPERLINK("https://klasma.github.io/Logging_2260/klagomål/A 35979-2023 FSC-klagomål.docx", "A 35979-2023")</f>
        <v/>
      </c>
      <c r="AB221">
        <f>HYPERLINK("https://klasma.github.io/Logging_2260/klagomålsmail/A 35979-2023 FSC-klagomål mail.docx", "A 35979-2023")</f>
        <v/>
      </c>
      <c r="AC221">
        <f>HYPERLINK("https://klasma.github.io/Logging_2260/tillsyn/A 35979-2023 tillsynsbegäran.docx", "A 35979-2023")</f>
        <v/>
      </c>
      <c r="AD221">
        <f>HYPERLINK("https://klasma.github.io/Logging_2260/tillsynsmail/A 35979-2023 tillsynsbegäran mail.docx", "A 35979-2023")</f>
        <v/>
      </c>
      <c r="AE221">
        <f>HYPERLINK("https://klasma.github.io/Logging_2260/fåglar/A 35979-2023 prioriterade fågelarter.docx", "A 35979-2023")</f>
        <v/>
      </c>
    </row>
    <row r="222" ht="15" customHeight="1">
      <c r="A222" t="inlineStr">
        <is>
          <t>A 43171-2024</t>
        </is>
      </c>
      <c r="B222" t="inlineStr">
        <is>
          <t>avverkningsanmälan</t>
        </is>
      </c>
      <c r="C222" t="inlineStr">
        <is>
          <t>Föryngringsavverkning</t>
        </is>
      </c>
      <c r="D222" s="1" t="n">
        <v>45567</v>
      </c>
      <c r="E222" s="1" t="n">
        <v>46310</v>
      </c>
      <c r="F222" t="inlineStr">
        <is>
          <t>VÄSTERNORRLANDS LÄN</t>
        </is>
      </c>
      <c r="G222" t="inlineStr">
        <is>
          <t>ÅNGE</t>
        </is>
      </c>
      <c r="H222" t="inlineStr">
        <is>
          <t>SCA</t>
        </is>
      </c>
      <c r="I222" t="n">
        <v>3.4</v>
      </c>
      <c r="J222" t="n">
        <v>0</v>
      </c>
      <c r="K222" t="n">
        <v>0</v>
      </c>
      <c r="L222" t="n">
        <v>2</v>
      </c>
      <c r="M222" t="n">
        <v>0</v>
      </c>
      <c r="N222" t="n">
        <v>0</v>
      </c>
      <c r="O222" t="n">
        <v>0</v>
      </c>
      <c r="P222" t="n">
        <v>0</v>
      </c>
      <c r="Q222" t="n">
        <v>2</v>
      </c>
      <c r="R222" t="n">
        <v>0</v>
      </c>
      <c r="S222" t="n">
        <v>2</v>
      </c>
      <c r="T222" t="n">
        <v>2</v>
      </c>
      <c r="U222" t="n">
        <v>0</v>
      </c>
      <c r="V222" s="2" t="inlineStr">
        <is>
          <t>Kortskaftad ärgspik
Rosenticka</t>
        </is>
      </c>
      <c r="W222">
        <f>HYPERLINK("https://klasma.github.io/Logging_2260/artfynd/A 43171-2024 artfynd.xlsx", "A 43171-2024")</f>
        <v/>
      </c>
      <c r="X222">
        <f>HYPERLINK("https://klasma.github.io/Logging_2260/kartor/A 43171-2024 karta.png", "A 43171-2024")</f>
        <v/>
      </c>
      <c r="Y222">
        <f>HYPERLINK("https://klasma.github.io/Logging_2260/kartor_geotiff/A 43171-2024 georefererad karta.tif", "A 43171-2024")</f>
        <v/>
      </c>
      <c r="AA222">
        <f>HYPERLINK("https://klasma.github.io/Logging_2260/klagomål/A 43171-2024 FSC-klagomål.docx", "A 43171-2024")</f>
        <v/>
      </c>
      <c r="AB222">
        <f>HYPERLINK("https://klasma.github.io/Logging_2260/klagomålsmail/A 43171-2024 FSC-klagomål mail.docx", "A 43171-2024")</f>
        <v/>
      </c>
      <c r="AC222">
        <f>HYPERLINK("https://klasma.github.io/Logging_2260/tillsyn/A 43171-2024 tillsynsbegäran.docx", "A 43171-2024")</f>
        <v/>
      </c>
      <c r="AD222">
        <f>HYPERLINK("https://klasma.github.io/Logging_2260/tillsynsmail/A 43171-2024 tillsynsbegäran mail.docx", "A 43171-2024")</f>
        <v/>
      </c>
    </row>
    <row r="223" ht="15" customHeight="1">
      <c r="A223" t="inlineStr">
        <is>
          <t>A 31830-2026</t>
        </is>
      </c>
      <c r="B223" t="inlineStr">
        <is>
          <t>avverkningsanmälan</t>
        </is>
      </c>
      <c r="C223" t="inlineStr">
        <is>
          <t>Föryngringsavverkning</t>
        </is>
      </c>
      <c r="D223" s="1" t="n">
        <v>46230</v>
      </c>
      <c r="E223" s="1" t="n">
        <v>46310</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38092-2026</t>
        </is>
      </c>
      <c r="B224" t="inlineStr">
        <is>
          <t>avverkningsanmälan</t>
        </is>
      </c>
      <c r="C224" t="inlineStr">
        <is>
          <t>Föryngringsavverkning</t>
        </is>
      </c>
      <c r="D224" s="1" t="n">
        <v>46281</v>
      </c>
      <c r="E224" s="1" t="n">
        <v>46310</v>
      </c>
      <c r="F224" t="inlineStr">
        <is>
          <t>VÄSTERNORRLANDS LÄN</t>
        </is>
      </c>
      <c r="G224" t="inlineStr">
        <is>
          <t>ÅNGE</t>
        </is>
      </c>
      <c r="I224" t="n">
        <v>4.7</v>
      </c>
      <c r="J224" t="n">
        <v>2</v>
      </c>
      <c r="K224" t="n">
        <v>2</v>
      </c>
      <c r="L224" t="n">
        <v>0</v>
      </c>
      <c r="M224" t="n">
        <v>0</v>
      </c>
      <c r="N224" t="n">
        <v>0</v>
      </c>
      <c r="O224" t="n">
        <v>0</v>
      </c>
      <c r="P224" t="n">
        <v>0</v>
      </c>
      <c r="Q224" t="n">
        <v>0</v>
      </c>
      <c r="R224" t="n">
        <v>0</v>
      </c>
      <c r="S224" t="n">
        <v>2</v>
      </c>
      <c r="T224" t="n">
        <v>6</v>
      </c>
      <c r="U224" t="n">
        <v>0</v>
      </c>
      <c r="V224" s="2" t="inlineStr">
        <is>
          <t>Guckusko
Tvåblad</t>
        </is>
      </c>
      <c r="W224">
        <f>HYPERLINK("https://klasma.github.io/Logging_2260/artfynd/A 38092-2026 artfynd.xlsx", "A 38092-2026")</f>
        <v/>
      </c>
      <c r="X224">
        <f>HYPERLINK("https://klasma.github.io/Logging_2260/kartor/A 38092-2026 karta.png", "A 38092-2026")</f>
        <v/>
      </c>
      <c r="Y224">
        <f>HYPERLINK("https://klasma.github.io/Logging_2260/kartor_geotiff/A 38092-2026 georefererad karta.tif", "A 38092-2026")</f>
        <v/>
      </c>
      <c r="AA224">
        <f>HYPERLINK("https://klasma.github.io/Logging_2260/klagomål/A 38092-2026 FSC-klagomål.docx", "A 38092-2026")</f>
        <v/>
      </c>
      <c r="AB224">
        <f>HYPERLINK("https://klasma.github.io/Logging_2260/klagomålsmail/A 38092-2026 FSC-klagomål mail.docx", "A 38092-2026")</f>
        <v/>
      </c>
      <c r="AC224">
        <f>HYPERLINK("https://klasma.github.io/Logging_2260/tillsyn/A 38092-2026 tillsynsbegäran.docx", "A 38092-2026")</f>
        <v/>
      </c>
      <c r="AD224">
        <f>HYPERLINK("https://klasma.github.io/Logging_2260/tillsynsmail/A 38092-2026 tillsynsbegäran mail.docx", "A 38092-2026")</f>
        <v/>
      </c>
    </row>
    <row r="225" ht="15" customHeight="1">
      <c r="A225" t="inlineStr">
        <is>
          <t>A 39113-2026</t>
        </is>
      </c>
      <c r="B225" t="inlineStr">
        <is>
          <t>avverkningsanmälan</t>
        </is>
      </c>
      <c r="C225" t="inlineStr">
        <is>
          <t>Föryngringsavverkning</t>
        </is>
      </c>
      <c r="D225" s="1" t="n">
        <v>46287</v>
      </c>
      <c r="E225" s="1" t="n">
        <v>46310</v>
      </c>
      <c r="F225" t="inlineStr">
        <is>
          <t>VÄSTERNORRLANDS LÄN</t>
        </is>
      </c>
      <c r="G225" t="inlineStr">
        <is>
          <t>ÅNGE</t>
        </is>
      </c>
      <c r="H225" t="inlineStr">
        <is>
          <t>SCA</t>
        </is>
      </c>
      <c r="I225" t="n">
        <v>5.9</v>
      </c>
      <c r="J225" t="n">
        <v>0</v>
      </c>
      <c r="K225" t="n">
        <v>0</v>
      </c>
      <c r="L225" t="n">
        <v>2</v>
      </c>
      <c r="M225" t="n">
        <v>0</v>
      </c>
      <c r="N225" t="n">
        <v>0</v>
      </c>
      <c r="O225" t="n">
        <v>0</v>
      </c>
      <c r="P225" t="n">
        <v>0</v>
      </c>
      <c r="Q225" t="n">
        <v>2</v>
      </c>
      <c r="R225" t="n">
        <v>0</v>
      </c>
      <c r="S225" t="n">
        <v>2</v>
      </c>
      <c r="T225" t="n">
        <v>2</v>
      </c>
      <c r="U225" t="n">
        <v>0</v>
      </c>
      <c r="V225" s="2" t="inlineStr">
        <is>
          <t>Blågrå svartspik
Vedflamlav</t>
        </is>
      </c>
      <c r="W225">
        <f>HYPERLINK("https://klasma.github.io/Logging_2260/artfynd/A 39113-2026 artfynd.xlsx", "A 39113-2026")</f>
        <v/>
      </c>
      <c r="X225">
        <f>HYPERLINK("https://klasma.github.io/Logging_2260/kartor/A 39113-2026 karta.png", "A 39113-2026")</f>
        <v/>
      </c>
      <c r="Y225">
        <f>HYPERLINK("https://klasma.github.io/Logging_2260/kartor_geotiff/A 39113-2026 georefererad karta.tif", "A 39113-2026")</f>
        <v/>
      </c>
      <c r="AA225">
        <f>HYPERLINK("https://klasma.github.io/Logging_2260/klagomål/A 39113-2026 FSC-klagomål.docx", "A 39113-2026")</f>
        <v/>
      </c>
      <c r="AB225">
        <f>HYPERLINK("https://klasma.github.io/Logging_2260/klagomålsmail/A 39113-2026 FSC-klagomål mail.docx", "A 39113-2026")</f>
        <v/>
      </c>
      <c r="AC225">
        <f>HYPERLINK("https://klasma.github.io/Logging_2260/tillsyn/A 39113-2026 tillsynsbegäran.docx", "A 39113-2026")</f>
        <v/>
      </c>
      <c r="AD225">
        <f>HYPERLINK("https://klasma.github.io/Logging_2260/tillsynsmail/A 39113-2026 tillsynsbegäran mail.docx", "A 39113-2026")</f>
        <v/>
      </c>
    </row>
    <row r="226" ht="15" customHeight="1">
      <c r="A226" t="inlineStr">
        <is>
          <t>A 31493-2024</t>
        </is>
      </c>
      <c r="B226" t="inlineStr">
        <is>
          <t>avverkningsanmälan</t>
        </is>
      </c>
      <c r="C226" t="inlineStr">
        <is>
          <t>Avverkning för att bevara och utveckla /försöksver</t>
        </is>
      </c>
      <c r="D226" s="1" t="n">
        <v>45505</v>
      </c>
      <c r="E226" s="1" t="n">
        <v>46310</v>
      </c>
      <c r="F226" t="inlineStr">
        <is>
          <t>VÄSTERNORRLANDS LÄN</t>
        </is>
      </c>
      <c r="G226" t="inlineStr">
        <is>
          <t>ÅNGE</t>
        </is>
      </c>
      <c r="H226" t="inlineStr">
        <is>
          <t>SCA</t>
        </is>
      </c>
      <c r="I226" t="n">
        <v>4.4</v>
      </c>
      <c r="J226" t="n">
        <v>1</v>
      </c>
      <c r="K226" t="n">
        <v>1</v>
      </c>
      <c r="L226" t="n">
        <v>0</v>
      </c>
      <c r="M226" t="n">
        <v>1</v>
      </c>
      <c r="N226" t="n">
        <v>0</v>
      </c>
      <c r="O226" t="n">
        <v>0</v>
      </c>
      <c r="P226" t="n">
        <v>0</v>
      </c>
      <c r="Q226" t="n">
        <v>1</v>
      </c>
      <c r="R226" t="n">
        <v>1</v>
      </c>
      <c r="S226" t="n">
        <v>2</v>
      </c>
      <c r="T226" t="n">
        <v>4</v>
      </c>
      <c r="U226" t="n">
        <v>0</v>
      </c>
      <c r="V226" s="2" t="inlineStr">
        <is>
          <t>Knärot
Korallblylav</t>
        </is>
      </c>
      <c r="W226">
        <f>HYPERLINK("https://klasma.github.io/Logging_2260/artfynd/A 31493-2024 artfynd.xlsx", "A 31493-2024")</f>
        <v/>
      </c>
      <c r="X226">
        <f>HYPERLINK("https://klasma.github.io/Logging_2260/kartor/A 31493-2024 karta.png", "A 31493-2024")</f>
        <v/>
      </c>
      <c r="Y226">
        <f>HYPERLINK("https://klasma.github.io/Logging_2260/kartor_geotiff/A 31493-2024 georefererad karta.tif", "A 31493-2024")</f>
        <v/>
      </c>
      <c r="Z226">
        <f>HYPERLINK("https://klasma.github.io/Logging_2260/knärot/A 31493-2024 karta knärot.png", "A 31493-2024")</f>
        <v/>
      </c>
      <c r="AA226">
        <f>HYPERLINK("https://klasma.github.io/Logging_2260/klagomål/A 31493-2024 FSC-klagomål.docx", "A 31493-2024")</f>
        <v/>
      </c>
      <c r="AB226">
        <f>HYPERLINK("https://klasma.github.io/Logging_2260/klagomålsmail/A 31493-2024 FSC-klagomål mail.docx", "A 31493-2024")</f>
        <v/>
      </c>
      <c r="AC226">
        <f>HYPERLINK("https://klasma.github.io/Logging_2260/tillsyn/A 31493-2024 tillsynsbegäran.docx", "A 31493-2024")</f>
        <v/>
      </c>
      <c r="AD226">
        <f>HYPERLINK("https://klasma.github.io/Logging_2260/tillsynsmail/A 31493-2024 tillsynsbegäran mail.docx", "A 31493-2024")</f>
        <v/>
      </c>
    </row>
    <row r="227" ht="15" customHeight="1">
      <c r="A227" t="inlineStr">
        <is>
          <t>A 37914-2024</t>
        </is>
      </c>
      <c r="B227" t="inlineStr">
        <is>
          <t>avverkningsanmälan</t>
        </is>
      </c>
      <c r="C227" t="inlineStr">
        <is>
          <t>Avverkning för att bevara och utveckla /försöksver</t>
        </is>
      </c>
      <c r="D227" s="1" t="n">
        <v>45544</v>
      </c>
      <c r="E227" s="1" t="n">
        <v>46310</v>
      </c>
      <c r="F227" t="inlineStr">
        <is>
          <t>VÄSTERNORRLANDS LÄN</t>
        </is>
      </c>
      <c r="G227" t="inlineStr">
        <is>
          <t>ÅNGE</t>
        </is>
      </c>
      <c r="H227" t="inlineStr">
        <is>
          <t>SCA</t>
        </is>
      </c>
      <c r="I227" t="n">
        <v>9</v>
      </c>
      <c r="J227" t="n">
        <v>2</v>
      </c>
      <c r="K227" t="n">
        <v>0</v>
      </c>
      <c r="L227" t="n">
        <v>1</v>
      </c>
      <c r="M227" t="n">
        <v>0</v>
      </c>
      <c r="N227" t="n">
        <v>0</v>
      </c>
      <c r="O227" t="n">
        <v>0</v>
      </c>
      <c r="P227" t="n">
        <v>0</v>
      </c>
      <c r="Q227" t="n">
        <v>1</v>
      </c>
      <c r="R227" t="n">
        <v>0</v>
      </c>
      <c r="S227" t="n">
        <v>2</v>
      </c>
      <c r="T227" t="n">
        <v>2</v>
      </c>
      <c r="U227" t="n">
        <v>2</v>
      </c>
      <c r="V227" s="2" t="inlineStr">
        <is>
          <t>Brunlångöra
Vattenfladdermus</t>
        </is>
      </c>
      <c r="W227">
        <f>HYPERLINK("https://klasma.github.io/Logging_2260/artfynd/A 37914-2024 artfynd.xlsx", "A 37914-2024")</f>
        <v/>
      </c>
      <c r="X227">
        <f>HYPERLINK("https://klasma.github.io/Logging_2260/kartor/A 37914-2024 karta.png", "A 37914-2024")</f>
        <v/>
      </c>
      <c r="Y227">
        <f>HYPERLINK("https://klasma.github.io/Logging_2260/kartor_geotiff/A 37914-2024 georefererad karta.tif", "A 37914-2024")</f>
        <v/>
      </c>
      <c r="AA227">
        <f>HYPERLINK("https://klasma.github.io/Logging_2260/klagomål/A 37914-2024 FSC-klagomål.docx", "A 37914-2024")</f>
        <v/>
      </c>
      <c r="AB227">
        <f>HYPERLINK("https://klasma.github.io/Logging_2260/klagomålsmail/A 37914-2024 FSC-klagomål mail.docx", "A 37914-2024")</f>
        <v/>
      </c>
      <c r="AC227">
        <f>HYPERLINK("https://klasma.github.io/Logging_2260/tillsyn/A 37914-2024 tillsynsbegäran.docx", "A 37914-2024")</f>
        <v/>
      </c>
      <c r="AD227">
        <f>HYPERLINK("https://klasma.github.io/Logging_2260/tillsynsmail/A 37914-2024 tillsynsbegäran mail.docx", "A 37914-2024")</f>
        <v/>
      </c>
    </row>
    <row r="228" ht="15" customHeight="1">
      <c r="A228" t="inlineStr">
        <is>
          <t>A 40499-2026</t>
        </is>
      </c>
      <c r="B228" t="inlineStr">
        <is>
          <t>avverkningsanmälan</t>
        </is>
      </c>
      <c r="C228" t="inlineStr">
        <is>
          <t>Föryngringsavverkning</t>
        </is>
      </c>
      <c r="D228" s="1" t="n">
        <v>46295</v>
      </c>
      <c r="E228" s="1" t="n">
        <v>46310</v>
      </c>
      <c r="F228" t="inlineStr">
        <is>
          <t>VÄSTERNORRLANDS LÄN</t>
        </is>
      </c>
      <c r="G228" t="inlineStr">
        <is>
          <t>ÅNGE</t>
        </is>
      </c>
      <c r="H228" t="inlineStr">
        <is>
          <t>SCA</t>
        </is>
      </c>
      <c r="I228" t="n">
        <v>4.3</v>
      </c>
      <c r="J228" t="n">
        <v>0</v>
      </c>
      <c r="K228" t="n">
        <v>0</v>
      </c>
      <c r="L228" t="n">
        <v>1</v>
      </c>
      <c r="M228" t="n">
        <v>1</v>
      </c>
      <c r="N228" t="n">
        <v>0</v>
      </c>
      <c r="O228" t="n">
        <v>0</v>
      </c>
      <c r="P228" t="n">
        <v>0</v>
      </c>
      <c r="Q228" t="n">
        <v>2</v>
      </c>
      <c r="R228" t="n">
        <v>1</v>
      </c>
      <c r="S228" t="n">
        <v>2</v>
      </c>
      <c r="T228" t="n">
        <v>2</v>
      </c>
      <c r="U228" t="n">
        <v>0</v>
      </c>
      <c r="V228" s="2" t="inlineStr">
        <is>
          <t>Gräddporing
Vedtrappmossa</t>
        </is>
      </c>
      <c r="W228">
        <f>HYPERLINK("https://klasma.github.io/Logging_2260/artfynd/A 40499-2026 artfynd.xlsx", "A 40499-2026")</f>
        <v/>
      </c>
      <c r="X228">
        <f>HYPERLINK("https://klasma.github.io/Logging_2260/kartor/A 40499-2026 karta.png", "A 40499-2026")</f>
        <v/>
      </c>
      <c r="Y228">
        <f>HYPERLINK("https://klasma.github.io/Logging_2260/kartor_geotiff/A 40499-2026 georefererad karta.tif", "A 40499-2026")</f>
        <v/>
      </c>
      <c r="AA228">
        <f>HYPERLINK("https://klasma.github.io/Logging_2260/klagomål/A 40499-2026 FSC-klagomål.docx", "A 40499-2026")</f>
        <v/>
      </c>
      <c r="AB228">
        <f>HYPERLINK("https://klasma.github.io/Logging_2260/klagomålsmail/A 40499-2026 FSC-klagomål mail.docx", "A 40499-2026")</f>
        <v/>
      </c>
      <c r="AC228">
        <f>HYPERLINK("https://klasma.github.io/Logging_2260/tillsyn/A 40499-2026 tillsynsbegäran.docx", "A 40499-2026")</f>
        <v/>
      </c>
      <c r="AD228">
        <f>HYPERLINK("https://klasma.github.io/Logging_2260/tillsynsmail/A 40499-2026 tillsynsbegäran mail.docx", "A 40499-2026")</f>
        <v/>
      </c>
    </row>
    <row r="229" ht="15" customHeight="1">
      <c r="A229" t="inlineStr">
        <is>
          <t>A 33732-2026</t>
        </is>
      </c>
      <c r="B229" t="inlineStr">
        <is>
          <t>avverkningsanmälan</t>
        </is>
      </c>
      <c r="C229" t="inlineStr">
        <is>
          <t>Föryngringsavverkning</t>
        </is>
      </c>
      <c r="D229" s="1" t="n">
        <v>46251</v>
      </c>
      <c r="E229" s="1" t="n">
        <v>46310</v>
      </c>
      <c r="F229" t="inlineStr">
        <is>
          <t>VÄSTERNORRLANDS LÄN</t>
        </is>
      </c>
      <c r="G229" t="inlineStr">
        <is>
          <t>ÅNGE</t>
        </is>
      </c>
      <c r="H229" t="inlineStr">
        <is>
          <t>SCA</t>
        </is>
      </c>
      <c r="I229" t="n">
        <v>1.5</v>
      </c>
      <c r="J229" t="n">
        <v>1</v>
      </c>
      <c r="K229" t="n">
        <v>0</v>
      </c>
      <c r="L229" t="n">
        <v>2</v>
      </c>
      <c r="M229" t="n">
        <v>0</v>
      </c>
      <c r="N229" t="n">
        <v>0</v>
      </c>
      <c r="O229" t="n">
        <v>0</v>
      </c>
      <c r="P229" t="n">
        <v>0</v>
      </c>
      <c r="Q229" t="n">
        <v>2</v>
      </c>
      <c r="R229" t="n">
        <v>0</v>
      </c>
      <c r="S229" t="n">
        <v>2</v>
      </c>
      <c r="T229" t="n">
        <v>3</v>
      </c>
      <c r="U229" t="n">
        <v>0</v>
      </c>
      <c r="V229" s="2" t="inlineStr">
        <is>
          <t>Fjällig taggsvamp s.str.
Talltita</t>
        </is>
      </c>
      <c r="W229">
        <f>HYPERLINK("https://klasma.github.io/Logging_2260/artfynd/A 33732-2026 artfynd.xlsx", "A 33732-2026")</f>
        <v/>
      </c>
      <c r="X229">
        <f>HYPERLINK("https://klasma.github.io/Logging_2260/kartor/A 33732-2026 karta.png", "A 33732-2026")</f>
        <v/>
      </c>
      <c r="Y229">
        <f>HYPERLINK("https://klasma.github.io/Logging_2260/kartor_geotiff/A 33732-2026 georefererad karta.tif", "A 33732-2026")</f>
        <v/>
      </c>
      <c r="AA229">
        <f>HYPERLINK("https://klasma.github.io/Logging_2260/klagomål/A 33732-2026 FSC-klagomål.docx", "A 33732-2026")</f>
        <v/>
      </c>
      <c r="AB229">
        <f>HYPERLINK("https://klasma.github.io/Logging_2260/klagomålsmail/A 33732-2026 FSC-klagomål mail.docx", "A 33732-2026")</f>
        <v/>
      </c>
      <c r="AC229">
        <f>HYPERLINK("https://klasma.github.io/Logging_2260/tillsyn/A 33732-2026 tillsynsbegäran.docx", "A 33732-2026")</f>
        <v/>
      </c>
      <c r="AD229">
        <f>HYPERLINK("https://klasma.github.io/Logging_2260/tillsynsmail/A 33732-2026 tillsynsbegäran mail.docx", "A 33732-2026")</f>
        <v/>
      </c>
      <c r="AE229">
        <f>HYPERLINK("https://klasma.github.io/Logging_2260/fåglar/A 33732-2026 prioriterade fågelarter.docx", "A 33732-2026")</f>
        <v/>
      </c>
    </row>
    <row r="230" ht="15" customHeight="1">
      <c r="A230" t="inlineStr">
        <is>
          <t>A 40492-2026</t>
        </is>
      </c>
      <c r="B230" t="inlineStr">
        <is>
          <t>avverkningsanmälan</t>
        </is>
      </c>
      <c r="C230" t="inlineStr">
        <is>
          <t>Föryngringsavverkning</t>
        </is>
      </c>
      <c r="D230" s="1" t="n">
        <v>46295</v>
      </c>
      <c r="E230" s="1" t="n">
        <v>46310</v>
      </c>
      <c r="F230" t="inlineStr">
        <is>
          <t>VÄSTERNORRLANDS LÄN</t>
        </is>
      </c>
      <c r="G230" t="inlineStr">
        <is>
          <t>ÅNGE</t>
        </is>
      </c>
      <c r="H230" t="inlineStr">
        <is>
          <t>SCA</t>
        </is>
      </c>
      <c r="I230" t="n">
        <v>5.5</v>
      </c>
      <c r="J230" t="n">
        <v>2</v>
      </c>
      <c r="K230" t="n">
        <v>0</v>
      </c>
      <c r="L230" t="n">
        <v>0</v>
      </c>
      <c r="M230" t="n">
        <v>1</v>
      </c>
      <c r="N230" t="n">
        <v>0</v>
      </c>
      <c r="O230" t="n">
        <v>0</v>
      </c>
      <c r="P230" t="n">
        <v>0</v>
      </c>
      <c r="Q230" t="n">
        <v>1</v>
      </c>
      <c r="R230" t="n">
        <v>1</v>
      </c>
      <c r="S230" t="n">
        <v>2</v>
      </c>
      <c r="T230" t="n">
        <v>2</v>
      </c>
      <c r="U230" t="n">
        <v>0</v>
      </c>
      <c r="V230" s="2" t="inlineStr">
        <is>
          <t>Lappuggla
Järpe</t>
        </is>
      </c>
      <c r="W230">
        <f>HYPERLINK("https://klasma.github.io/Logging_2260/artfynd/A 40492-2026 artfynd.xlsx", "A 40492-2026")</f>
        <v/>
      </c>
      <c r="X230">
        <f>HYPERLINK("https://klasma.github.io/Logging_2260/kartor/A 40492-2026 karta.png", "A 40492-2026")</f>
        <v/>
      </c>
      <c r="Y230">
        <f>HYPERLINK("https://klasma.github.io/Logging_2260/kartor_geotiff/A 40492-2026 georefererad karta.tif", "A 40492-2026")</f>
        <v/>
      </c>
      <c r="AA230">
        <f>HYPERLINK("https://klasma.github.io/Logging_2260/klagomål/A 40492-2026 FSC-klagomål.docx", "A 40492-2026")</f>
        <v/>
      </c>
      <c r="AB230">
        <f>HYPERLINK("https://klasma.github.io/Logging_2260/klagomålsmail/A 40492-2026 FSC-klagomål mail.docx", "A 40492-2026")</f>
        <v/>
      </c>
      <c r="AC230">
        <f>HYPERLINK("https://klasma.github.io/Logging_2260/tillsyn/A 40492-2026 tillsynsbegäran.docx", "A 40492-2026")</f>
        <v/>
      </c>
      <c r="AD230">
        <f>HYPERLINK("https://klasma.github.io/Logging_2260/tillsynsmail/A 40492-2026 tillsynsbegäran mail.docx", "A 40492-2026")</f>
        <v/>
      </c>
      <c r="AE230">
        <f>HYPERLINK("https://klasma.github.io/Logging_2260/fåglar/A 40492-2026 prioriterade fågelarter.docx", "A 40492-2026")</f>
        <v/>
      </c>
    </row>
    <row r="231" ht="15" customHeight="1">
      <c r="A231" t="inlineStr">
        <is>
          <t>A 165-2025</t>
        </is>
      </c>
      <c r="B231" t="inlineStr">
        <is>
          <t>avverkningsanmälan</t>
        </is>
      </c>
      <c r="C231" t="inlineStr">
        <is>
          <t>Föryngringsavverkning</t>
        </is>
      </c>
      <c r="D231" s="1" t="n">
        <v>45659</v>
      </c>
      <c r="E231" s="1" t="n">
        <v>46310</v>
      </c>
      <c r="F231" t="inlineStr">
        <is>
          <t>VÄSTERNORRLANDS LÄN</t>
        </is>
      </c>
      <c r="G231" t="inlineStr">
        <is>
          <t>ÅNGE</t>
        </is>
      </c>
      <c r="I231" t="n">
        <v>13.9</v>
      </c>
      <c r="J231" t="n">
        <v>1</v>
      </c>
      <c r="K231" t="n">
        <v>0</v>
      </c>
      <c r="L231" t="n">
        <v>2</v>
      </c>
      <c r="M231" t="n">
        <v>0</v>
      </c>
      <c r="N231" t="n">
        <v>0</v>
      </c>
      <c r="O231" t="n">
        <v>0</v>
      </c>
      <c r="P231" t="n">
        <v>0</v>
      </c>
      <c r="Q231" t="n">
        <v>2</v>
      </c>
      <c r="R231" t="n">
        <v>0</v>
      </c>
      <c r="S231" t="n">
        <v>2</v>
      </c>
      <c r="T231" t="n">
        <v>2</v>
      </c>
      <c r="U231" t="n">
        <v>1</v>
      </c>
      <c r="V231" s="2" t="inlineStr">
        <is>
          <t>Doftskinn
Tretåig hackspett</t>
        </is>
      </c>
      <c r="W231">
        <f>HYPERLINK("https://klasma.github.io/Logging_2260/artfynd/A 165-2025 artfynd.xlsx", "A 165-2025")</f>
        <v/>
      </c>
      <c r="X231">
        <f>HYPERLINK("https://klasma.github.io/Logging_2260/kartor/A 165-2025 karta.png", "A 165-2025")</f>
        <v/>
      </c>
      <c r="Y231">
        <f>HYPERLINK("https://klasma.github.io/Logging_2260/kartor_geotiff/A 165-2025 georefererad karta.tif", "A 165-2025")</f>
        <v/>
      </c>
      <c r="AA231">
        <f>HYPERLINK("https://klasma.github.io/Logging_2260/klagomål/A 165-2025 FSC-klagomål.docx", "A 165-2025")</f>
        <v/>
      </c>
      <c r="AB231">
        <f>HYPERLINK("https://klasma.github.io/Logging_2260/klagomålsmail/A 165-2025 FSC-klagomål mail.docx", "A 165-2025")</f>
        <v/>
      </c>
      <c r="AC231">
        <f>HYPERLINK("https://klasma.github.io/Logging_2260/tillsyn/A 165-2025 tillsynsbegäran.docx", "A 165-2025")</f>
        <v/>
      </c>
      <c r="AD231">
        <f>HYPERLINK("https://klasma.github.io/Logging_2260/tillsynsmail/A 165-2025 tillsynsbegäran mail.docx", "A 165-2025")</f>
        <v/>
      </c>
      <c r="AE231">
        <f>HYPERLINK("https://klasma.github.io/Logging_2260/fåglar/A 165-2025 prioriterade fågelarter.docx", "A 165-2025")</f>
        <v/>
      </c>
    </row>
    <row r="232" ht="15" customHeight="1">
      <c r="A232" t="inlineStr">
        <is>
          <t>A 32659-2024</t>
        </is>
      </c>
      <c r="B232" t="inlineStr">
        <is>
          <t>avverkningsanmälan</t>
        </is>
      </c>
      <c r="C232" t="inlineStr">
        <is>
          <t>Föryngringsavverkning</t>
        </is>
      </c>
      <c r="D232" s="1" t="n">
        <v>45513</v>
      </c>
      <c r="E232" s="1" t="n">
        <v>46310</v>
      </c>
      <c r="F232" t="inlineStr">
        <is>
          <t>VÄSTERNORRLANDS LÄN</t>
        </is>
      </c>
      <c r="G232" t="inlineStr">
        <is>
          <t>ÅNGE</t>
        </is>
      </c>
      <c r="H232" t="inlineStr">
        <is>
          <t>SCA</t>
        </is>
      </c>
      <c r="I232" t="n">
        <v>6.9</v>
      </c>
      <c r="J232" t="n">
        <v>0</v>
      </c>
      <c r="K232" t="n">
        <v>0</v>
      </c>
      <c r="L232" t="n">
        <v>2</v>
      </c>
      <c r="M232" t="n">
        <v>0</v>
      </c>
      <c r="N232" t="n">
        <v>0</v>
      </c>
      <c r="O232" t="n">
        <v>0</v>
      </c>
      <c r="P232" t="n">
        <v>0</v>
      </c>
      <c r="Q232" t="n">
        <v>2</v>
      </c>
      <c r="R232" t="n">
        <v>0</v>
      </c>
      <c r="S232" t="n">
        <v>2</v>
      </c>
      <c r="T232" t="n">
        <v>2</v>
      </c>
      <c r="U232" t="n">
        <v>0</v>
      </c>
      <c r="V232" s="2" t="inlineStr">
        <is>
          <t>Lunglav
Stjärntagging</t>
        </is>
      </c>
      <c r="W232">
        <f>HYPERLINK("https://klasma.github.io/Logging_2260/artfynd/A 32659-2024 artfynd.xlsx", "A 32659-2024")</f>
        <v/>
      </c>
      <c r="X232">
        <f>HYPERLINK("https://klasma.github.io/Logging_2260/kartor/A 32659-2024 karta.png", "A 32659-2024")</f>
        <v/>
      </c>
      <c r="Y232">
        <f>HYPERLINK("https://klasma.github.io/Logging_2260/kartor_geotiff/A 32659-2024 georefererad karta.tif", "A 32659-2024")</f>
        <v/>
      </c>
      <c r="AA232">
        <f>HYPERLINK("https://klasma.github.io/Logging_2260/klagomål/A 32659-2024 FSC-klagomål.docx", "A 32659-2024")</f>
        <v/>
      </c>
      <c r="AB232">
        <f>HYPERLINK("https://klasma.github.io/Logging_2260/klagomålsmail/A 32659-2024 FSC-klagomål mail.docx", "A 32659-2024")</f>
        <v/>
      </c>
      <c r="AC232">
        <f>HYPERLINK("https://klasma.github.io/Logging_2260/tillsyn/A 32659-2024 tillsynsbegäran.docx", "A 32659-2024")</f>
        <v/>
      </c>
      <c r="AD232">
        <f>HYPERLINK("https://klasma.github.io/Logging_2260/tillsynsmail/A 32659-2024 tillsynsbegäran mail.docx", "A 32659-2024")</f>
        <v/>
      </c>
    </row>
    <row r="233" ht="15" customHeight="1">
      <c r="A233" t="inlineStr">
        <is>
          <t>A 34881-2026</t>
        </is>
      </c>
      <c r="B233" t="inlineStr">
        <is>
          <t>avverkningsanmälan</t>
        </is>
      </c>
      <c r="C233" t="inlineStr">
        <is>
          <t>Föryngringsavverkning</t>
        </is>
      </c>
      <c r="D233" s="1" t="n">
        <v>46258</v>
      </c>
      <c r="E233" s="1" t="n">
        <v>46310</v>
      </c>
      <c r="F233" t="inlineStr">
        <is>
          <t>VÄSTERNORRLANDS LÄN</t>
        </is>
      </c>
      <c r="G233" t="inlineStr">
        <is>
          <t>ÅNGE</t>
        </is>
      </c>
      <c r="H233" t="inlineStr">
        <is>
          <t>Sveaskog</t>
        </is>
      </c>
      <c r="I233" t="n">
        <v>11.3</v>
      </c>
      <c r="J233" t="n">
        <v>1</v>
      </c>
      <c r="K233" t="n">
        <v>0</v>
      </c>
      <c r="L233" t="n">
        <v>1</v>
      </c>
      <c r="M233" t="n">
        <v>0</v>
      </c>
      <c r="N233" t="n">
        <v>0</v>
      </c>
      <c r="O233" t="n">
        <v>0</v>
      </c>
      <c r="P233" t="n">
        <v>0</v>
      </c>
      <c r="Q233" t="n">
        <v>1</v>
      </c>
      <c r="R233" t="n">
        <v>0</v>
      </c>
      <c r="S233" t="n">
        <v>2</v>
      </c>
      <c r="T233" t="n">
        <v>3</v>
      </c>
      <c r="U233" t="n">
        <v>0</v>
      </c>
      <c r="V233" s="2" t="inlineStr">
        <is>
          <t>Kolflarnlav
Fläcknycklar</t>
        </is>
      </c>
      <c r="W233">
        <f>HYPERLINK("https://klasma.github.io/Logging_2260/artfynd/A 34881-2026 artfynd.xlsx", "A 34881-2026")</f>
        <v/>
      </c>
      <c r="X233">
        <f>HYPERLINK("https://klasma.github.io/Logging_2260/kartor/A 34881-2026 karta.png", "A 34881-2026")</f>
        <v/>
      </c>
      <c r="Y233">
        <f>HYPERLINK("https://klasma.github.io/Logging_2260/kartor_geotiff/A 34881-2026 georefererad karta.tif", "A 34881-2026")</f>
        <v/>
      </c>
      <c r="AA233">
        <f>HYPERLINK("https://klasma.github.io/Logging_2260/klagomål/A 34881-2026 FSC-klagomål.docx", "A 34881-2026")</f>
        <v/>
      </c>
      <c r="AB233">
        <f>HYPERLINK("https://klasma.github.io/Logging_2260/klagomålsmail/A 34881-2026 FSC-klagomål mail.docx", "A 34881-2026")</f>
        <v/>
      </c>
      <c r="AC233">
        <f>HYPERLINK("https://klasma.github.io/Logging_2260/tillsyn/A 34881-2026 tillsynsbegäran.docx", "A 34881-2026")</f>
        <v/>
      </c>
      <c r="AD233">
        <f>HYPERLINK("https://klasma.github.io/Logging_2260/tillsynsmail/A 34881-2026 tillsynsbegäran mail.docx", "A 34881-2026")</f>
        <v/>
      </c>
    </row>
    <row r="234" ht="15" customHeight="1">
      <c r="A234" t="inlineStr">
        <is>
          <t>A 46795-2023</t>
        </is>
      </c>
      <c r="B234" t="inlineStr">
        <is>
          <t>avverkningsanmälan</t>
        </is>
      </c>
      <c r="C234" t="inlineStr">
        <is>
          <t>Föryngringsavverkning</t>
        </is>
      </c>
      <c r="D234" s="1" t="n">
        <v>45198</v>
      </c>
      <c r="E234" s="1" t="n">
        <v>46310</v>
      </c>
      <c r="F234" t="inlineStr">
        <is>
          <t>VÄSTERNORRLANDS LÄN</t>
        </is>
      </c>
      <c r="G234" t="inlineStr">
        <is>
          <t>ÅNGE</t>
        </is>
      </c>
      <c r="H234" t="inlineStr">
        <is>
          <t>Holmen skog AB</t>
        </is>
      </c>
      <c r="I234" t="n">
        <v>2.5</v>
      </c>
      <c r="J234" t="n">
        <v>0</v>
      </c>
      <c r="K234" t="n">
        <v>1</v>
      </c>
      <c r="L234" t="n">
        <v>1</v>
      </c>
      <c r="M234" t="n">
        <v>0</v>
      </c>
      <c r="N234" t="n">
        <v>0</v>
      </c>
      <c r="O234" t="n">
        <v>0</v>
      </c>
      <c r="P234" t="n">
        <v>0</v>
      </c>
      <c r="Q234" t="n">
        <v>1</v>
      </c>
      <c r="R234" t="n">
        <v>0</v>
      </c>
      <c r="S234" t="n">
        <v>2</v>
      </c>
      <c r="T234" t="n">
        <v>4</v>
      </c>
      <c r="U234" t="n">
        <v>0</v>
      </c>
      <c r="V234" s="2" t="inlineStr">
        <is>
          <t>Småflikig brosklav
Stor aspticka</t>
        </is>
      </c>
      <c r="W234">
        <f>HYPERLINK("https://klasma.github.io/Logging_2260/artfynd/A 46795-2023 artfynd.xlsx", "A 46795-2023")</f>
        <v/>
      </c>
      <c r="X234">
        <f>HYPERLINK("https://klasma.github.io/Logging_2260/kartor/A 46795-2023 karta.png", "A 46795-2023")</f>
        <v/>
      </c>
      <c r="Y234">
        <f>HYPERLINK("https://klasma.github.io/Logging_2260/kartor_geotiff/A 46795-2023 georefererad karta.tif", "A 46795-2023")</f>
        <v/>
      </c>
      <c r="AA234">
        <f>HYPERLINK("https://klasma.github.io/Logging_2260/klagomål/A 46795-2023 FSC-klagomål.docx", "A 46795-2023")</f>
        <v/>
      </c>
      <c r="AB234">
        <f>HYPERLINK("https://klasma.github.io/Logging_2260/klagomålsmail/A 46795-2023 FSC-klagomål mail.docx", "A 46795-2023")</f>
        <v/>
      </c>
      <c r="AC234">
        <f>HYPERLINK("https://klasma.github.io/Logging_2260/tillsyn/A 46795-2023 tillsynsbegäran.docx", "A 46795-2023")</f>
        <v/>
      </c>
      <c r="AD234">
        <f>HYPERLINK("https://klasma.github.io/Logging_2260/tillsynsmail/A 46795-2023 tillsynsbegäran mail.docx", "A 46795-2023")</f>
        <v/>
      </c>
    </row>
    <row r="235" ht="15" customHeight="1">
      <c r="A235" t="inlineStr">
        <is>
          <t>A 42302-2026</t>
        </is>
      </c>
      <c r="B235" t="inlineStr">
        <is>
          <t>avverkningsanmälan</t>
        </is>
      </c>
      <c r="C235" t="inlineStr">
        <is>
          <t>Föryngringsavverkning</t>
        </is>
      </c>
      <c r="D235" s="1" t="n">
        <v>46307</v>
      </c>
      <c r="E235" s="1" t="n">
        <v>46310</v>
      </c>
      <c r="F235" t="inlineStr">
        <is>
          <t>VÄSTERNORRLANDS LÄN</t>
        </is>
      </c>
      <c r="G235" t="inlineStr">
        <is>
          <t>ÅNGE</t>
        </is>
      </c>
      <c r="H235" t="inlineStr">
        <is>
          <t>SCA</t>
        </is>
      </c>
      <c r="I235" t="n">
        <v>1.5</v>
      </c>
      <c r="J235" t="n">
        <v>2</v>
      </c>
      <c r="K235" t="n">
        <v>0</v>
      </c>
      <c r="L235" t="n">
        <v>0</v>
      </c>
      <c r="M235" t="n">
        <v>0</v>
      </c>
      <c r="N235" t="n">
        <v>0</v>
      </c>
      <c r="O235" t="n">
        <v>0</v>
      </c>
      <c r="P235" t="n">
        <v>0</v>
      </c>
      <c r="Q235" t="n">
        <v>0</v>
      </c>
      <c r="R235" t="n">
        <v>0</v>
      </c>
      <c r="S235" t="n">
        <v>2</v>
      </c>
      <c r="T235" t="n">
        <v>2</v>
      </c>
      <c r="U235" t="n">
        <v>0</v>
      </c>
      <c r="V235" s="2" t="inlineStr">
        <is>
          <t>Gråspett
Fläcknycklar</t>
        </is>
      </c>
      <c r="W235">
        <f>HYPERLINK("https://klasma.github.io/Logging_2260/artfynd/A 42302-2026 artfynd.xlsx", "A 42302-2026")</f>
        <v/>
      </c>
      <c r="X235">
        <f>HYPERLINK("https://klasma.github.io/Logging_2260/kartor/A 42302-2026 karta.png", "A 42302-2026")</f>
        <v/>
      </c>
      <c r="Y235">
        <f>HYPERLINK("https://klasma.github.io/Logging_2260/kartor_geotiff/A 42302-2026 georefererad karta.tif", "A 42302-2026")</f>
        <v/>
      </c>
      <c r="AA235">
        <f>HYPERLINK("https://klasma.github.io/Logging_2260/klagomål/A 42302-2026 FSC-klagomål.docx", "A 42302-2026")</f>
        <v/>
      </c>
      <c r="AB235">
        <f>HYPERLINK("https://klasma.github.io/Logging_2260/klagomålsmail/A 42302-2026 FSC-klagomål mail.docx", "A 42302-2026")</f>
        <v/>
      </c>
      <c r="AC235">
        <f>HYPERLINK("https://klasma.github.io/Logging_2260/tillsyn/A 42302-2026 tillsynsbegäran.docx", "A 42302-2026")</f>
        <v/>
      </c>
      <c r="AD235">
        <f>HYPERLINK("https://klasma.github.io/Logging_2260/tillsynsmail/A 42302-2026 tillsynsbegäran mail.docx", "A 42302-2026")</f>
        <v/>
      </c>
      <c r="AE235">
        <f>HYPERLINK("https://klasma.github.io/Logging_2260/fåglar/A 42302-2026 prioriterade fågelarter.docx", "A 42302-2026")</f>
        <v/>
      </c>
    </row>
    <row r="236" ht="15" customHeight="1">
      <c r="A236" t="inlineStr">
        <is>
          <t>A 35646-2026</t>
        </is>
      </c>
      <c r="B236" t="inlineStr">
        <is>
          <t>avverkningsanmälan</t>
        </is>
      </c>
      <c r="C236" t="inlineStr">
        <is>
          <t>Föryngringsavverkning</t>
        </is>
      </c>
      <c r="D236" s="1" t="n">
        <v>46265</v>
      </c>
      <c r="E236" s="1" t="n">
        <v>46310</v>
      </c>
      <c r="F236" t="inlineStr">
        <is>
          <t>VÄSTERNORRLANDS LÄN</t>
        </is>
      </c>
      <c r="G236" t="inlineStr">
        <is>
          <t>ÅNGE</t>
        </is>
      </c>
      <c r="H236" t="inlineStr">
        <is>
          <t>SCA</t>
        </is>
      </c>
      <c r="I236" t="n">
        <v>1.5</v>
      </c>
      <c r="J236" t="n">
        <v>1</v>
      </c>
      <c r="K236" t="n">
        <v>1</v>
      </c>
      <c r="L236" t="n">
        <v>0</v>
      </c>
      <c r="M236" t="n">
        <v>1</v>
      </c>
      <c r="N236" t="n">
        <v>0</v>
      </c>
      <c r="O236" t="n">
        <v>0</v>
      </c>
      <c r="P236" t="n">
        <v>0</v>
      </c>
      <c r="Q236" t="n">
        <v>1</v>
      </c>
      <c r="R236" t="n">
        <v>1</v>
      </c>
      <c r="S236" t="n">
        <v>2</v>
      </c>
      <c r="T236" t="n">
        <v>2</v>
      </c>
      <c r="U236" t="n">
        <v>0</v>
      </c>
      <c r="V236" s="2" t="inlineStr">
        <is>
          <t>Doftticka
Stuplav</t>
        </is>
      </c>
      <c r="W236">
        <f>HYPERLINK("https://klasma.github.io/Logging_2260/artfynd/A 35646-2026 artfynd.xlsx", "A 35646-2026")</f>
        <v/>
      </c>
      <c r="X236">
        <f>HYPERLINK("https://klasma.github.io/Logging_2260/kartor/A 35646-2026 karta.png", "A 35646-2026")</f>
        <v/>
      </c>
      <c r="Y236">
        <f>HYPERLINK("https://klasma.github.io/Logging_2260/kartor_geotiff/A 35646-2026 georefererad karta.tif", "A 35646-2026")</f>
        <v/>
      </c>
      <c r="AA236">
        <f>HYPERLINK("https://klasma.github.io/Logging_2260/klagomål/A 35646-2026 FSC-klagomål.docx", "A 35646-2026")</f>
        <v/>
      </c>
      <c r="AB236">
        <f>HYPERLINK("https://klasma.github.io/Logging_2260/klagomålsmail/A 35646-2026 FSC-klagomål mail.docx", "A 35646-2026")</f>
        <v/>
      </c>
      <c r="AC236">
        <f>HYPERLINK("https://klasma.github.io/Logging_2260/tillsyn/A 35646-2026 tillsynsbegäran.docx", "A 35646-2026")</f>
        <v/>
      </c>
      <c r="AD236">
        <f>HYPERLINK("https://klasma.github.io/Logging_2260/tillsynsmail/A 35646-2026 tillsynsbegäran mail.docx", "A 35646-2026")</f>
        <v/>
      </c>
    </row>
    <row r="237" ht="15" customHeight="1">
      <c r="A237" t="inlineStr">
        <is>
          <t>S 1109-2025</t>
        </is>
      </c>
      <c r="B237" t="inlineStr">
        <is>
          <t>samrådsanmälan</t>
        </is>
      </c>
      <c r="C237" t="inlineStr">
        <is>
          <t>Annan skogsbruksåtgärd</t>
        </is>
      </c>
      <c r="D237" s="1" t="n">
        <v>45751</v>
      </c>
      <c r="E237" s="1" t="n">
        <v>46310</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46310</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46310</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46310</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1449-2025</t>
        </is>
      </c>
      <c r="B241" t="inlineStr">
        <is>
          <t>avverkningsanmälan</t>
        </is>
      </c>
      <c r="C241" t="inlineStr">
        <is>
          <t>Föryngringsavverkning</t>
        </is>
      </c>
      <c r="D241" s="1" t="n">
        <v>45670</v>
      </c>
      <c r="E241" s="1" t="n">
        <v>46310</v>
      </c>
      <c r="F241" t="inlineStr">
        <is>
          <t>VÄSTERNORRLANDS LÄN</t>
        </is>
      </c>
      <c r="G241" t="inlineStr">
        <is>
          <t>ÅNGE</t>
        </is>
      </c>
      <c r="I241" t="n">
        <v>6.3</v>
      </c>
      <c r="J241" t="n">
        <v>0</v>
      </c>
      <c r="K241" t="n">
        <v>1</v>
      </c>
      <c r="L241" t="n">
        <v>0</v>
      </c>
      <c r="M241" t="n">
        <v>0</v>
      </c>
      <c r="N241" t="n">
        <v>0</v>
      </c>
      <c r="O241" t="n">
        <v>0</v>
      </c>
      <c r="P241" t="n">
        <v>0</v>
      </c>
      <c r="Q241" t="n">
        <v>0</v>
      </c>
      <c r="R241" t="n">
        <v>0</v>
      </c>
      <c r="S241" t="n">
        <v>1</v>
      </c>
      <c r="T241" t="n">
        <v>1</v>
      </c>
      <c r="U241" t="n">
        <v>0</v>
      </c>
      <c r="V241" s="2" t="inlineStr">
        <is>
          <t>Korallblylav</t>
        </is>
      </c>
      <c r="W241">
        <f>HYPERLINK("https://klasma.github.io/Logging_2260/artfynd/A 1449-2025 artfynd.xlsx", "A 1449-2025")</f>
        <v/>
      </c>
      <c r="X241">
        <f>HYPERLINK("https://klasma.github.io/Logging_2260/kartor/A 1449-2025 karta.png", "A 1449-2025")</f>
        <v/>
      </c>
      <c r="Y241">
        <f>HYPERLINK("https://klasma.github.io/Logging_2260/kartor_geotiff/A 1449-2025 georefererad karta.tif", "A 1449-2025")</f>
        <v/>
      </c>
      <c r="AA241">
        <f>HYPERLINK("https://klasma.github.io/Logging_2260/klagomål/A 1449-2025 FSC-klagomål.docx", "A 1449-2025")</f>
        <v/>
      </c>
      <c r="AB241">
        <f>HYPERLINK("https://klasma.github.io/Logging_2260/klagomålsmail/A 1449-2025 FSC-klagomål mail.docx", "A 1449-2025")</f>
        <v/>
      </c>
      <c r="AC241">
        <f>HYPERLINK("https://klasma.github.io/Logging_2260/tillsyn/A 1449-2025 tillsynsbegäran.docx", "A 1449-2025")</f>
        <v/>
      </c>
      <c r="AD241">
        <f>HYPERLINK("https://klasma.github.io/Logging_2260/tillsynsmail/A 1449-2025 tillsynsbegäran mail.docx", "A 1449-2025")</f>
        <v/>
      </c>
    </row>
    <row r="242" ht="15" customHeight="1">
      <c r="A242" t="inlineStr">
        <is>
          <t>A 25332-2025</t>
        </is>
      </c>
      <c r="B242" t="inlineStr">
        <is>
          <t>avverkningsanmälan</t>
        </is>
      </c>
      <c r="C242" t="inlineStr">
        <is>
          <t>Föryngringsavverkning</t>
        </is>
      </c>
      <c r="D242" s="1" t="n">
        <v>45800</v>
      </c>
      <c r="E242" s="1" t="n">
        <v>46310</v>
      </c>
      <c r="F242" t="inlineStr">
        <is>
          <t>VÄSTERNORRLANDS LÄN</t>
        </is>
      </c>
      <c r="G242" t="inlineStr">
        <is>
          <t>ÅNGE</t>
        </is>
      </c>
      <c r="H242" t="inlineStr">
        <is>
          <t>SCA</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25332-2025 artfynd.xlsx", "A 25332-2025")</f>
        <v/>
      </c>
      <c r="X242">
        <f>HYPERLINK("https://klasma.github.io/Logging_2260/kartor/A 25332-2025 karta.png", "A 25332-2025")</f>
        <v/>
      </c>
      <c r="Y242">
        <f>HYPERLINK("https://klasma.github.io/Logging_2260/kartor_geotiff/A 25332-2025 georefererad karta.tif", "A 25332-2025")</f>
        <v/>
      </c>
      <c r="AA242">
        <f>HYPERLINK("https://klasma.github.io/Logging_2260/klagomål/A 25332-2025 FSC-klagomål.docx", "A 25332-2025")</f>
        <v/>
      </c>
      <c r="AB242">
        <f>HYPERLINK("https://klasma.github.io/Logging_2260/klagomålsmail/A 25332-2025 FSC-klagomål mail.docx", "A 25332-2025")</f>
        <v/>
      </c>
      <c r="AC242">
        <f>HYPERLINK("https://klasma.github.io/Logging_2260/tillsyn/A 25332-2025 tillsynsbegäran.docx", "A 25332-2025")</f>
        <v/>
      </c>
      <c r="AD242">
        <f>HYPERLINK("https://klasma.github.io/Logging_2260/tillsynsmail/A 25332-2025 tillsynsbegäran mail.docx", "A 25332-2025")</f>
        <v/>
      </c>
    </row>
    <row r="243" ht="15" customHeight="1">
      <c r="A243" t="inlineStr">
        <is>
          <t>A 54386-2024</t>
        </is>
      </c>
      <c r="B243" t="inlineStr">
        <is>
          <t>avverkningsanmälan</t>
        </is>
      </c>
      <c r="C243" t="inlineStr">
        <is>
          <t>Föryngringsavverkning</t>
        </is>
      </c>
      <c r="D243" s="1" t="n">
        <v>45617</v>
      </c>
      <c r="E243" s="1" t="n">
        <v>46310</v>
      </c>
      <c r="F243" t="inlineStr">
        <is>
          <t>VÄSTERNORRLANDS LÄN</t>
        </is>
      </c>
      <c r="G243" t="inlineStr">
        <is>
          <t>ÅNGE</t>
        </is>
      </c>
      <c r="H243" t="inlineStr">
        <is>
          <t>SCA</t>
        </is>
      </c>
      <c r="I243" t="n">
        <v>1.9</v>
      </c>
      <c r="J243" t="n">
        <v>0</v>
      </c>
      <c r="K243" t="n">
        <v>0</v>
      </c>
      <c r="L243" t="n">
        <v>1</v>
      </c>
      <c r="M243" t="n">
        <v>0</v>
      </c>
      <c r="N243" t="n">
        <v>0</v>
      </c>
      <c r="O243" t="n">
        <v>0</v>
      </c>
      <c r="P243" t="n">
        <v>0</v>
      </c>
      <c r="Q243" t="n">
        <v>1</v>
      </c>
      <c r="R243" t="n">
        <v>0</v>
      </c>
      <c r="S243" t="n">
        <v>1</v>
      </c>
      <c r="T243" t="n">
        <v>1</v>
      </c>
      <c r="U243" t="n">
        <v>0</v>
      </c>
      <c r="V243" s="2" t="inlineStr">
        <is>
          <t>Reliktbock</t>
        </is>
      </c>
      <c r="W243">
        <f>HYPERLINK("https://klasma.github.io/Logging_2260/artfynd/A 54386-2024 artfynd.xlsx", "A 54386-2024")</f>
        <v/>
      </c>
      <c r="X243">
        <f>HYPERLINK("https://klasma.github.io/Logging_2260/kartor/A 54386-2024 karta.png", "A 54386-2024")</f>
        <v/>
      </c>
      <c r="Y243">
        <f>HYPERLINK("https://klasma.github.io/Logging_2260/kartor_geotiff/A 54386-2024 georefererad karta.tif", "A 54386-2024")</f>
        <v/>
      </c>
      <c r="AA243">
        <f>HYPERLINK("https://klasma.github.io/Logging_2260/klagomål/A 54386-2024 FSC-klagomål.docx", "A 54386-2024")</f>
        <v/>
      </c>
      <c r="AB243">
        <f>HYPERLINK("https://klasma.github.io/Logging_2260/klagomålsmail/A 54386-2024 FSC-klagomål mail.docx", "A 54386-2024")</f>
        <v/>
      </c>
      <c r="AC243">
        <f>HYPERLINK("https://klasma.github.io/Logging_2260/tillsyn/A 54386-2024 tillsynsbegäran.docx", "A 54386-2024")</f>
        <v/>
      </c>
      <c r="AD243">
        <f>HYPERLINK("https://klasma.github.io/Logging_2260/tillsynsmail/A 54386-2024 tillsynsbegäran mail.docx", "A 54386-2024")</f>
        <v/>
      </c>
    </row>
    <row r="244" ht="15" customHeight="1">
      <c r="A244" t="inlineStr">
        <is>
          <t>A 71366-2021</t>
        </is>
      </c>
      <c r="B244" t="inlineStr">
        <is>
          <t>avverkningsanmälan</t>
        </is>
      </c>
      <c r="C244" t="inlineStr">
        <is>
          <t>Föryngringsavverkning</t>
        </is>
      </c>
      <c r="D244" s="1" t="n">
        <v>44539</v>
      </c>
      <c r="E244" s="1" t="n">
        <v>46310</v>
      </c>
      <c r="F244" t="inlineStr">
        <is>
          <t>VÄSTERNORRLANDS LÄN</t>
        </is>
      </c>
      <c r="G244" t="inlineStr">
        <is>
          <t>ÅNGE</t>
        </is>
      </c>
      <c r="H244" t="inlineStr">
        <is>
          <t>SCA</t>
        </is>
      </c>
      <c r="I244" t="n">
        <v>2.3</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HYPERLINK("https://klasma.github.io/Logging_2260/artfynd/A 71366-2021 artfynd.xlsx", "A 71366-2021")</f>
        <v/>
      </c>
      <c r="X244">
        <f>HYPERLINK("https://klasma.github.io/Logging_2260/kartor/A 71366-2021 karta.png", "A 71366-2021")</f>
        <v/>
      </c>
      <c r="Y244">
        <f>HYPERLINK("https://klasma.github.io/Logging_2260/kartor_geotiff/A 71366-2021 georefererad karta.tif", "A 71366-2021")</f>
        <v/>
      </c>
      <c r="Z244">
        <f>HYPERLINK("https://klasma.github.io/Logging_2260/knärot/A 71366-2021 karta knärot.png", "A 71366-2021")</f>
        <v/>
      </c>
      <c r="AA244">
        <f>HYPERLINK("https://klasma.github.io/Logging_2260/klagomål/A 71366-2021 FSC-klagomål.docx", "A 71366-2021")</f>
        <v/>
      </c>
      <c r="AB244">
        <f>HYPERLINK("https://klasma.github.io/Logging_2260/klagomålsmail/A 71366-2021 FSC-klagomål mail.docx", "A 71366-2021")</f>
        <v/>
      </c>
      <c r="AC244">
        <f>HYPERLINK("https://klasma.github.io/Logging_2260/tillsyn/A 71366-2021 tillsynsbegäran.docx", "A 71366-2021")</f>
        <v/>
      </c>
      <c r="AD244">
        <f>HYPERLINK("https://klasma.github.io/Logging_2260/tillsynsmail/A 71366-2021 tillsynsbegäran mail.docx", "A 71366-2021")</f>
        <v/>
      </c>
    </row>
    <row r="245" ht="15" customHeight="1">
      <c r="A245" t="inlineStr">
        <is>
          <t>A 30774-2024</t>
        </is>
      </c>
      <c r="B245" t="inlineStr">
        <is>
          <t>avverkningsanmälan</t>
        </is>
      </c>
      <c r="C245" t="inlineStr">
        <is>
          <t>Föryngringsavverkning</t>
        </is>
      </c>
      <c r="D245" s="1" t="n">
        <v>45496</v>
      </c>
      <c r="E245" s="1" t="n">
        <v>46310</v>
      </c>
      <c r="F245" t="inlineStr">
        <is>
          <t>VÄSTERNORRLANDS LÄN</t>
        </is>
      </c>
      <c r="G245" t="inlineStr">
        <is>
          <t>ÅNGE</t>
        </is>
      </c>
      <c r="H245" t="inlineStr">
        <is>
          <t>SCA</t>
        </is>
      </c>
      <c r="I245" t="n">
        <v>2.2</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HYPERLINK("https://klasma.github.io/Logging_2260/artfynd/A 30774-2024 artfynd.xlsx", "A 30774-2024")</f>
        <v/>
      </c>
      <c r="X245">
        <f>HYPERLINK("https://klasma.github.io/Logging_2260/kartor/A 30774-2024 karta.png", "A 30774-2024")</f>
        <v/>
      </c>
      <c r="Y245">
        <f>HYPERLINK("https://klasma.github.io/Logging_2260/kartor_geotiff/A 30774-2024 georefererad karta.tif", "A 30774-2024")</f>
        <v/>
      </c>
      <c r="AA245">
        <f>HYPERLINK("https://klasma.github.io/Logging_2260/klagomål/A 30774-2024 FSC-klagomål.docx", "A 30774-2024")</f>
        <v/>
      </c>
      <c r="AB245">
        <f>HYPERLINK("https://klasma.github.io/Logging_2260/klagomålsmail/A 30774-2024 FSC-klagomål mail.docx", "A 30774-2024")</f>
        <v/>
      </c>
      <c r="AC245">
        <f>HYPERLINK("https://klasma.github.io/Logging_2260/tillsyn/A 30774-2024 tillsynsbegäran.docx", "A 30774-2024")</f>
        <v/>
      </c>
      <c r="AD245">
        <f>HYPERLINK("https://klasma.github.io/Logging_2260/tillsynsmail/A 30774-2024 tillsynsbegäran mail.docx", "A 30774-2024")</f>
        <v/>
      </c>
      <c r="AE245">
        <f>HYPERLINK("https://klasma.github.io/Logging_2260/fåglar/A 30774-2024 prioriterade fågelarter.docx", "A 30774-2024")</f>
        <v/>
      </c>
    </row>
    <row r="246" ht="15" customHeight="1">
      <c r="A246" t="inlineStr">
        <is>
          <t>A 35648-2025</t>
        </is>
      </c>
      <c r="B246" t="inlineStr">
        <is>
          <t>avverkningsanmälan</t>
        </is>
      </c>
      <c r="C246" t="inlineStr">
        <is>
          <t>Föryngringsavverkning</t>
        </is>
      </c>
      <c r="D246" s="1" t="n">
        <v>45859</v>
      </c>
      <c r="E246" s="1" t="n">
        <v>46310</v>
      </c>
      <c r="F246" t="inlineStr">
        <is>
          <t>VÄSTERNORRLANDS LÄN</t>
        </is>
      </c>
      <c r="G246" t="inlineStr">
        <is>
          <t>ÅNGE</t>
        </is>
      </c>
      <c r="H246" t="inlineStr">
        <is>
          <t>Sveaskog</t>
        </is>
      </c>
      <c r="I246" t="n">
        <v>9.1</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HYPERLINK("https://klasma.github.io/Logging_2260/artfynd/A 35648-2025 artfynd.xlsx", "A 35648-2025")</f>
        <v/>
      </c>
      <c r="X246">
        <f>HYPERLINK("https://klasma.github.io/Logging_2260/kartor/A 35648-2025 karta.png", "A 35648-2025")</f>
        <v/>
      </c>
      <c r="Y246">
        <f>HYPERLINK("https://klasma.github.io/Logging_2260/kartor_geotiff/A 35648-2025 georefererad karta.tif", "A 35648-2025")</f>
        <v/>
      </c>
      <c r="AA246">
        <f>HYPERLINK("https://klasma.github.io/Logging_2260/klagomål/A 35648-2025 FSC-klagomål.docx", "A 35648-2025")</f>
        <v/>
      </c>
      <c r="AB246">
        <f>HYPERLINK("https://klasma.github.io/Logging_2260/klagomålsmail/A 35648-2025 FSC-klagomål mail.docx", "A 35648-2025")</f>
        <v/>
      </c>
      <c r="AC246">
        <f>HYPERLINK("https://klasma.github.io/Logging_2260/tillsyn/A 35648-2025 tillsynsbegäran.docx", "A 35648-2025")</f>
        <v/>
      </c>
      <c r="AD246">
        <f>HYPERLINK("https://klasma.github.io/Logging_2260/tillsynsmail/A 35648-2025 tillsynsbegäran mail.docx", "A 35648-2025")</f>
        <v/>
      </c>
    </row>
    <row r="247" ht="15" customHeight="1">
      <c r="A247" t="inlineStr">
        <is>
          <t>A 35827-2025</t>
        </is>
      </c>
      <c r="B247" t="inlineStr">
        <is>
          <t>avverkningsanmälan</t>
        </is>
      </c>
      <c r="C247" t="inlineStr">
        <is>
          <t>Föryngringsavverkning</t>
        </is>
      </c>
      <c r="D247" s="1" t="n">
        <v>45861</v>
      </c>
      <c r="E247" s="1" t="n">
        <v>46310</v>
      </c>
      <c r="F247" t="inlineStr">
        <is>
          <t>VÄSTERNORRLANDS LÄN</t>
        </is>
      </c>
      <c r="G247" t="inlineStr">
        <is>
          <t>ÅNGE</t>
        </is>
      </c>
      <c r="I247" t="n">
        <v>0.6</v>
      </c>
      <c r="J247" t="n">
        <v>1</v>
      </c>
      <c r="K247" t="n">
        <v>0</v>
      </c>
      <c r="L247" t="n">
        <v>0</v>
      </c>
      <c r="M247" t="n">
        <v>0</v>
      </c>
      <c r="N247" t="n">
        <v>0</v>
      </c>
      <c r="O247" t="n">
        <v>0</v>
      </c>
      <c r="P247" t="n">
        <v>0</v>
      </c>
      <c r="Q247" t="n">
        <v>0</v>
      </c>
      <c r="R247" t="n">
        <v>0</v>
      </c>
      <c r="S247" t="n">
        <v>1</v>
      </c>
      <c r="T247" t="n">
        <v>2</v>
      </c>
      <c r="U247" t="n">
        <v>2</v>
      </c>
      <c r="V247" s="2" t="inlineStr">
        <is>
          <t>Järpe</t>
        </is>
      </c>
      <c r="W247">
        <f>HYPERLINK("https://klasma.github.io/Logging_2260/artfynd/A 35827-2025 artfynd.xlsx", "A 35827-2025")</f>
        <v/>
      </c>
      <c r="X247">
        <f>HYPERLINK("https://klasma.github.io/Logging_2260/kartor/A 35827-2025 karta.png", "A 35827-2025")</f>
        <v/>
      </c>
      <c r="Y247">
        <f>HYPERLINK("https://klasma.github.io/Logging_2260/kartor_geotiff/A 35827-2025 georefererad karta.tif", "A 35827-2025")</f>
        <v/>
      </c>
      <c r="AA247">
        <f>HYPERLINK("https://klasma.github.io/Logging_2260/klagomål/A 35827-2025 FSC-klagomål.docx", "A 35827-2025")</f>
        <v/>
      </c>
      <c r="AB247">
        <f>HYPERLINK("https://klasma.github.io/Logging_2260/klagomålsmail/A 35827-2025 FSC-klagomål mail.docx", "A 35827-2025")</f>
        <v/>
      </c>
      <c r="AC247">
        <f>HYPERLINK("https://klasma.github.io/Logging_2260/tillsyn/A 35827-2025 tillsynsbegäran.docx", "A 35827-2025")</f>
        <v/>
      </c>
      <c r="AD247">
        <f>HYPERLINK("https://klasma.github.io/Logging_2260/tillsynsmail/A 35827-2025 tillsynsbegäran mail.docx", "A 35827-2025")</f>
        <v/>
      </c>
      <c r="AE247">
        <f>HYPERLINK("https://klasma.github.io/Logging_2260/fåglar/A 35827-2025 prioriterade fågelarter.docx", "A 35827-2025")</f>
        <v/>
      </c>
    </row>
    <row r="248" ht="15" customHeight="1">
      <c r="A248" t="inlineStr">
        <is>
          <t>A 38099-2024</t>
        </is>
      </c>
      <c r="B248" t="inlineStr">
        <is>
          <t>avverkningsanmälan</t>
        </is>
      </c>
      <c r="C248" t="inlineStr">
        <is>
          <t>Föryngringsavverkning</t>
        </is>
      </c>
      <c r="D248" s="1" t="n">
        <v>45545</v>
      </c>
      <c r="E248" s="1" t="n">
        <v>46310</v>
      </c>
      <c r="F248" t="inlineStr">
        <is>
          <t>VÄSTERNORRLANDS LÄN</t>
        </is>
      </c>
      <c r="G248" t="inlineStr">
        <is>
          <t>ÅNGE</t>
        </is>
      </c>
      <c r="H248" t="inlineStr">
        <is>
          <t>Holmen skog AB</t>
        </is>
      </c>
      <c r="I248" t="n">
        <v>3.7</v>
      </c>
      <c r="J248" t="n">
        <v>1</v>
      </c>
      <c r="K248" t="n">
        <v>0</v>
      </c>
      <c r="L248" t="n">
        <v>0</v>
      </c>
      <c r="M248" t="n">
        <v>0</v>
      </c>
      <c r="N248" t="n">
        <v>0</v>
      </c>
      <c r="O248" t="n">
        <v>0</v>
      </c>
      <c r="P248" t="n">
        <v>0</v>
      </c>
      <c r="Q248" t="n">
        <v>0</v>
      </c>
      <c r="R248" t="n">
        <v>0</v>
      </c>
      <c r="S248" t="n">
        <v>1</v>
      </c>
      <c r="T248" t="n">
        <v>1</v>
      </c>
      <c r="U248" t="n">
        <v>1</v>
      </c>
      <c r="V248" s="2" t="inlineStr">
        <is>
          <t>Utter</t>
        </is>
      </c>
      <c r="W248">
        <f>HYPERLINK("https://klasma.github.io/Logging_2260/artfynd/A 38099-2024 artfynd.xlsx", "A 38099-2024")</f>
        <v/>
      </c>
      <c r="X248">
        <f>HYPERLINK("https://klasma.github.io/Logging_2260/kartor/A 38099-2024 karta.png", "A 38099-2024")</f>
        <v/>
      </c>
      <c r="Y248">
        <f>HYPERLINK("https://klasma.github.io/Logging_2260/kartor_geotiff/A 38099-2024 georefererad karta.tif", "A 38099-2024")</f>
        <v/>
      </c>
      <c r="AA248">
        <f>HYPERLINK("https://klasma.github.io/Logging_2260/klagomål/A 38099-2024 FSC-klagomål.docx", "A 38099-2024")</f>
        <v/>
      </c>
      <c r="AB248">
        <f>HYPERLINK("https://klasma.github.io/Logging_2260/klagomålsmail/A 38099-2024 FSC-klagomål mail.docx", "A 38099-2024")</f>
        <v/>
      </c>
      <c r="AC248">
        <f>HYPERLINK("https://klasma.github.io/Logging_2260/tillsyn/A 38099-2024 tillsynsbegäran.docx", "A 38099-2024")</f>
        <v/>
      </c>
      <c r="AD248">
        <f>HYPERLINK("https://klasma.github.io/Logging_2260/tillsynsmail/A 38099-2024 tillsynsbegäran mail.docx", "A 38099-2024")</f>
        <v/>
      </c>
    </row>
    <row r="249" ht="15" customHeight="1">
      <c r="A249" t="inlineStr">
        <is>
          <t>A 46094-2025</t>
        </is>
      </c>
      <c r="B249" t="inlineStr">
        <is>
          <t>avverkningsanmälan</t>
        </is>
      </c>
      <c r="C249" t="inlineStr">
        <is>
          <t>Föryngringsavverkning</t>
        </is>
      </c>
      <c r="D249" s="1" t="n">
        <v>45924</v>
      </c>
      <c r="E249" s="1" t="n">
        <v>46310</v>
      </c>
      <c r="F249" t="inlineStr">
        <is>
          <t>VÄSTERNORRLANDS LÄN</t>
        </is>
      </c>
      <c r="G249" t="inlineStr">
        <is>
          <t>ÅNGE</t>
        </is>
      </c>
      <c r="H249" t="inlineStr">
        <is>
          <t>SCA</t>
        </is>
      </c>
      <c r="I249" t="n">
        <v>1.1</v>
      </c>
      <c r="J249" t="n">
        <v>1</v>
      </c>
      <c r="K249" t="n">
        <v>0</v>
      </c>
      <c r="L249" t="n">
        <v>0</v>
      </c>
      <c r="M249" t="n">
        <v>0</v>
      </c>
      <c r="N249" t="n">
        <v>0</v>
      </c>
      <c r="O249" t="n">
        <v>0</v>
      </c>
      <c r="P249" t="n">
        <v>0</v>
      </c>
      <c r="Q249" t="n">
        <v>0</v>
      </c>
      <c r="R249" t="n">
        <v>0</v>
      </c>
      <c r="S249" t="n">
        <v>1</v>
      </c>
      <c r="T249" t="n">
        <v>1</v>
      </c>
      <c r="U249" t="n">
        <v>0</v>
      </c>
      <c r="V249" s="2" t="inlineStr">
        <is>
          <t>Utter</t>
        </is>
      </c>
      <c r="W249">
        <f>HYPERLINK("https://klasma.github.io/Logging_2260/artfynd/A 46094-2025 artfynd.xlsx", "A 46094-2025")</f>
        <v/>
      </c>
      <c r="X249">
        <f>HYPERLINK("https://klasma.github.io/Logging_2260/kartor/A 46094-2025 karta.png", "A 46094-2025")</f>
        <v/>
      </c>
      <c r="Y249">
        <f>HYPERLINK("https://klasma.github.io/Logging_2260/kartor_geotiff/A 46094-2025 georefererad karta.tif", "A 46094-2025")</f>
        <v/>
      </c>
      <c r="AA249">
        <f>HYPERLINK("https://klasma.github.io/Logging_2260/klagomål/A 46094-2025 FSC-klagomål.docx", "A 46094-2025")</f>
        <v/>
      </c>
      <c r="AB249">
        <f>HYPERLINK("https://klasma.github.io/Logging_2260/klagomålsmail/A 46094-2025 FSC-klagomål mail.docx", "A 46094-2025")</f>
        <v/>
      </c>
      <c r="AC249">
        <f>HYPERLINK("https://klasma.github.io/Logging_2260/tillsyn/A 46094-2025 tillsynsbegäran.docx", "A 46094-2025")</f>
        <v/>
      </c>
      <c r="AD249">
        <f>HYPERLINK("https://klasma.github.io/Logging_2260/tillsynsmail/A 46094-2025 tillsynsbegäran mail.docx", "A 46094-2025")</f>
        <v/>
      </c>
    </row>
    <row r="250" ht="15" customHeight="1">
      <c r="A250" t="inlineStr">
        <is>
          <t>A 40214-2024</t>
        </is>
      </c>
      <c r="B250" t="inlineStr">
        <is>
          <t>avverkningsanmälan</t>
        </is>
      </c>
      <c r="C250" t="inlineStr">
        <is>
          <t>Föryngringsavverkning</t>
        </is>
      </c>
      <c r="D250" s="1" t="n">
        <v>45554</v>
      </c>
      <c r="E250" s="1" t="n">
        <v>46310</v>
      </c>
      <c r="F250" t="inlineStr">
        <is>
          <t>VÄSTERNORRLANDS LÄN</t>
        </is>
      </c>
      <c r="G250" t="inlineStr">
        <is>
          <t>ÅNGE</t>
        </is>
      </c>
      <c r="H250" t="inlineStr">
        <is>
          <t>SCA</t>
        </is>
      </c>
      <c r="I250" t="n">
        <v>7.7</v>
      </c>
      <c r="J250" t="n">
        <v>0</v>
      </c>
      <c r="K250" t="n">
        <v>0</v>
      </c>
      <c r="L250" t="n">
        <v>1</v>
      </c>
      <c r="M250" t="n">
        <v>0</v>
      </c>
      <c r="N250" t="n">
        <v>0</v>
      </c>
      <c r="O250" t="n">
        <v>0</v>
      </c>
      <c r="P250" t="n">
        <v>0</v>
      </c>
      <c r="Q250" t="n">
        <v>1</v>
      </c>
      <c r="R250" t="n">
        <v>0</v>
      </c>
      <c r="S250" t="n">
        <v>1</v>
      </c>
      <c r="T250" t="n">
        <v>2</v>
      </c>
      <c r="U250" t="n">
        <v>0</v>
      </c>
      <c r="V250" s="2" t="inlineStr">
        <is>
          <t>Lunglav</t>
        </is>
      </c>
      <c r="W250">
        <f>HYPERLINK("https://klasma.github.io/Logging_2260/artfynd/A 40214-2024 artfynd.xlsx", "A 40214-2024")</f>
        <v/>
      </c>
      <c r="X250">
        <f>HYPERLINK("https://klasma.github.io/Logging_2260/kartor/A 40214-2024 karta.png", "A 40214-2024")</f>
        <v/>
      </c>
      <c r="Y250">
        <f>HYPERLINK("https://klasma.github.io/Logging_2260/kartor_geotiff/A 40214-2024 georefererad karta.tif", "A 40214-2024")</f>
        <v/>
      </c>
      <c r="AA250">
        <f>HYPERLINK("https://klasma.github.io/Logging_2260/klagomål/A 40214-2024 FSC-klagomål.docx", "A 40214-2024")</f>
        <v/>
      </c>
      <c r="AB250">
        <f>HYPERLINK("https://klasma.github.io/Logging_2260/klagomålsmail/A 40214-2024 FSC-klagomål mail.docx", "A 40214-2024")</f>
        <v/>
      </c>
      <c r="AC250">
        <f>HYPERLINK("https://klasma.github.io/Logging_2260/tillsyn/A 40214-2024 tillsynsbegäran.docx", "A 40214-2024")</f>
        <v/>
      </c>
      <c r="AD250">
        <f>HYPERLINK("https://klasma.github.io/Logging_2260/tillsynsmail/A 40214-2024 tillsynsbegäran mail.docx", "A 40214-2024")</f>
        <v/>
      </c>
    </row>
    <row r="251" ht="15" customHeight="1">
      <c r="A251" t="inlineStr">
        <is>
          <t>A 34754-2024</t>
        </is>
      </c>
      <c r="B251" t="inlineStr">
        <is>
          <t>avverkningsanmälan</t>
        </is>
      </c>
      <c r="C251" t="inlineStr">
        <is>
          <t>Föryngringsavverkning</t>
        </is>
      </c>
      <c r="D251" s="1" t="n">
        <v>45526</v>
      </c>
      <c r="E251" s="1" t="n">
        <v>46310</v>
      </c>
      <c r="F251" t="inlineStr">
        <is>
          <t>VÄSTERNORRLANDS LÄN</t>
        </is>
      </c>
      <c r="G251" t="inlineStr">
        <is>
          <t>ÅNGE</t>
        </is>
      </c>
      <c r="H251" t="inlineStr">
        <is>
          <t>SCA</t>
        </is>
      </c>
      <c r="I251" t="n">
        <v>0.9</v>
      </c>
      <c r="J251" t="n">
        <v>1</v>
      </c>
      <c r="K251" t="n">
        <v>0</v>
      </c>
      <c r="L251" t="n">
        <v>0</v>
      </c>
      <c r="M251" t="n">
        <v>0</v>
      </c>
      <c r="N251" t="n">
        <v>0</v>
      </c>
      <c r="O251" t="n">
        <v>0</v>
      </c>
      <c r="P251" t="n">
        <v>0</v>
      </c>
      <c r="Q251" t="n">
        <v>0</v>
      </c>
      <c r="R251" t="n">
        <v>0</v>
      </c>
      <c r="S251" t="n">
        <v>1</v>
      </c>
      <c r="T251" t="n">
        <v>1</v>
      </c>
      <c r="U251" t="n">
        <v>0</v>
      </c>
      <c r="V251" s="2" t="inlineStr">
        <is>
          <t>Järpe</t>
        </is>
      </c>
      <c r="W251">
        <f>HYPERLINK("https://klasma.github.io/Logging_2260/artfynd/A 34754-2024 artfynd.xlsx", "A 34754-2024")</f>
        <v/>
      </c>
      <c r="X251">
        <f>HYPERLINK("https://klasma.github.io/Logging_2260/kartor/A 34754-2024 karta.png", "A 34754-2024")</f>
        <v/>
      </c>
      <c r="Y251">
        <f>HYPERLINK("https://klasma.github.io/Logging_2260/kartor_geotiff/A 34754-2024 georefererad karta.tif", "A 34754-2024")</f>
        <v/>
      </c>
      <c r="AA251">
        <f>HYPERLINK("https://klasma.github.io/Logging_2260/klagomål/A 34754-2024 FSC-klagomål.docx", "A 34754-2024")</f>
        <v/>
      </c>
      <c r="AB251">
        <f>HYPERLINK("https://klasma.github.io/Logging_2260/klagomålsmail/A 34754-2024 FSC-klagomål mail.docx", "A 34754-2024")</f>
        <v/>
      </c>
      <c r="AC251">
        <f>HYPERLINK("https://klasma.github.io/Logging_2260/tillsyn/A 34754-2024 tillsynsbegäran.docx", "A 34754-2024")</f>
        <v/>
      </c>
      <c r="AD251">
        <f>HYPERLINK("https://klasma.github.io/Logging_2260/tillsynsmail/A 34754-2024 tillsynsbegäran mail.docx", "A 34754-2024")</f>
        <v/>
      </c>
      <c r="AE251">
        <f>HYPERLINK("https://klasma.github.io/Logging_2260/fåglar/A 34754-2024 prioriterade fågelarter.docx", "A 34754-2024")</f>
        <v/>
      </c>
    </row>
    <row r="252" ht="15" customHeight="1">
      <c r="A252" t="inlineStr">
        <is>
          <t>A 46829-2025</t>
        </is>
      </c>
      <c r="B252" t="inlineStr">
        <is>
          <t>avverkningsanmälan</t>
        </is>
      </c>
      <c r="C252" t="inlineStr">
        <is>
          <t>Föryngringsavverkning</t>
        </is>
      </c>
      <c r="D252" s="1" t="n">
        <v>45927</v>
      </c>
      <c r="E252" s="1" t="n">
        <v>46310</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38606-2024</t>
        </is>
      </c>
      <c r="B253" t="inlineStr">
        <is>
          <t>avverkningsanmälan</t>
        </is>
      </c>
      <c r="C253" t="inlineStr">
        <is>
          <t>Föryngringsavverkning</t>
        </is>
      </c>
      <c r="D253" s="1" t="n">
        <v>45546</v>
      </c>
      <c r="E253" s="1" t="n">
        <v>46310</v>
      </c>
      <c r="F253" t="inlineStr">
        <is>
          <t>VÄSTERNORRLANDS LÄN</t>
        </is>
      </c>
      <c r="G253" t="inlineStr">
        <is>
          <t>ÅNGE</t>
        </is>
      </c>
      <c r="H253" t="inlineStr">
        <is>
          <t>SCA</t>
        </is>
      </c>
      <c r="I253" t="n">
        <v>2.4</v>
      </c>
      <c r="J253" t="n">
        <v>0</v>
      </c>
      <c r="K253" t="n">
        <v>0</v>
      </c>
      <c r="L253" t="n">
        <v>1</v>
      </c>
      <c r="M253" t="n">
        <v>0</v>
      </c>
      <c r="N253" t="n">
        <v>0</v>
      </c>
      <c r="O253" t="n">
        <v>0</v>
      </c>
      <c r="P253" t="n">
        <v>0</v>
      </c>
      <c r="Q253" t="n">
        <v>1</v>
      </c>
      <c r="R253" t="n">
        <v>0</v>
      </c>
      <c r="S253" t="n">
        <v>1</v>
      </c>
      <c r="T253" t="n">
        <v>3</v>
      </c>
      <c r="U253" t="n">
        <v>0</v>
      </c>
      <c r="V253" s="2" t="inlineStr">
        <is>
          <t>Ullticka</t>
        </is>
      </c>
      <c r="W253">
        <f>HYPERLINK("https://klasma.github.io/Logging_2260/artfynd/A 38606-2024 artfynd.xlsx", "A 38606-2024")</f>
        <v/>
      </c>
      <c r="X253">
        <f>HYPERLINK("https://klasma.github.io/Logging_2260/kartor/A 38606-2024 karta.png", "A 38606-2024")</f>
        <v/>
      </c>
      <c r="Y253">
        <f>HYPERLINK("https://klasma.github.io/Logging_2260/kartor_geotiff/A 38606-2024 georefererad karta.tif", "A 38606-2024")</f>
        <v/>
      </c>
      <c r="AA253">
        <f>HYPERLINK("https://klasma.github.io/Logging_2260/klagomål/A 38606-2024 FSC-klagomål.docx", "A 38606-2024")</f>
        <v/>
      </c>
      <c r="AB253">
        <f>HYPERLINK("https://klasma.github.io/Logging_2260/klagomålsmail/A 38606-2024 FSC-klagomål mail.docx", "A 38606-2024")</f>
        <v/>
      </c>
      <c r="AC253">
        <f>HYPERLINK("https://klasma.github.io/Logging_2260/tillsyn/A 38606-2024 tillsynsbegäran.docx", "A 38606-2024")</f>
        <v/>
      </c>
      <c r="AD253">
        <f>HYPERLINK("https://klasma.github.io/Logging_2260/tillsynsmail/A 38606-2024 tillsynsbegäran mail.docx", "A 38606-2024")</f>
        <v/>
      </c>
    </row>
    <row r="254" ht="15" customHeight="1">
      <c r="A254" t="inlineStr">
        <is>
          <t>A 50612-2024</t>
        </is>
      </c>
      <c r="B254" t="inlineStr">
        <is>
          <t>avverkningsanmälan</t>
        </is>
      </c>
      <c r="C254" t="inlineStr">
        <is>
          <t>Föryngringsavverkning</t>
        </is>
      </c>
      <c r="D254" s="1" t="n">
        <v>45601</v>
      </c>
      <c r="E254" s="1" t="n">
        <v>46310</v>
      </c>
      <c r="F254" t="inlineStr">
        <is>
          <t>VÄSTERNORRLANDS LÄN</t>
        </is>
      </c>
      <c r="G254" t="inlineStr">
        <is>
          <t>ÅNGE</t>
        </is>
      </c>
      <c r="I254" t="n">
        <v>1.9</v>
      </c>
      <c r="J254" t="n">
        <v>0</v>
      </c>
      <c r="K254" t="n">
        <v>0</v>
      </c>
      <c r="L254" t="n">
        <v>1</v>
      </c>
      <c r="M254" t="n">
        <v>0</v>
      </c>
      <c r="N254" t="n">
        <v>0</v>
      </c>
      <c r="O254" t="n">
        <v>0</v>
      </c>
      <c r="P254" t="n">
        <v>0</v>
      </c>
      <c r="Q254" t="n">
        <v>1</v>
      </c>
      <c r="R254" t="n">
        <v>0</v>
      </c>
      <c r="S254" t="n">
        <v>1</v>
      </c>
      <c r="T254" t="n">
        <v>1</v>
      </c>
      <c r="U254" t="n">
        <v>0</v>
      </c>
      <c r="V254" s="2" t="inlineStr">
        <is>
          <t>Gullklöver</t>
        </is>
      </c>
      <c r="W254">
        <f>HYPERLINK("https://klasma.github.io/Logging_2260/artfynd/A 50612-2024 artfynd.xlsx", "A 50612-2024")</f>
        <v/>
      </c>
      <c r="X254">
        <f>HYPERLINK("https://klasma.github.io/Logging_2260/kartor/A 50612-2024 karta.png", "A 50612-2024")</f>
        <v/>
      </c>
      <c r="Y254">
        <f>HYPERLINK("https://klasma.github.io/Logging_2260/kartor_geotiff/A 50612-2024 georefererad karta.tif", "A 50612-2024")</f>
        <v/>
      </c>
      <c r="AA254">
        <f>HYPERLINK("https://klasma.github.io/Logging_2260/klagomål/A 50612-2024 FSC-klagomål.docx", "A 50612-2024")</f>
        <v/>
      </c>
      <c r="AB254">
        <f>HYPERLINK("https://klasma.github.io/Logging_2260/klagomålsmail/A 50612-2024 FSC-klagomål mail.docx", "A 50612-2024")</f>
        <v/>
      </c>
      <c r="AC254">
        <f>HYPERLINK("https://klasma.github.io/Logging_2260/tillsyn/A 50612-2024 tillsynsbegäran.docx", "A 50612-2024")</f>
        <v/>
      </c>
      <c r="AD254">
        <f>HYPERLINK("https://klasma.github.io/Logging_2260/tillsynsmail/A 50612-2024 tillsynsbegäran mail.docx", "A 50612-2024")</f>
        <v/>
      </c>
    </row>
    <row r="255" ht="15" customHeight="1">
      <c r="A255" t="inlineStr">
        <is>
          <t>A 52424-2023</t>
        </is>
      </c>
      <c r="B255" t="inlineStr">
        <is>
          <t>avverkningsanmälan</t>
        </is>
      </c>
      <c r="C255" t="inlineStr">
        <is>
          <t>Föryngringsavverkning</t>
        </is>
      </c>
      <c r="D255" s="1" t="n">
        <v>45217</v>
      </c>
      <c r="E255" s="1" t="n">
        <v>46310</v>
      </c>
      <c r="F255" t="inlineStr">
        <is>
          <t>VÄSTERNORRLANDS LÄN</t>
        </is>
      </c>
      <c r="G255" t="inlineStr">
        <is>
          <t>ÅNGE</t>
        </is>
      </c>
      <c r="H255" t="inlineStr">
        <is>
          <t>SCA</t>
        </is>
      </c>
      <c r="I255" t="n">
        <v>3.8</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HYPERLINK("https://klasma.github.io/Logging_2260/artfynd/A 52424-2023 artfynd.xlsx", "A 52424-2023")</f>
        <v/>
      </c>
      <c r="X255">
        <f>HYPERLINK("https://klasma.github.io/Logging_2260/kartor/A 52424-2023 karta.png", "A 52424-2023")</f>
        <v/>
      </c>
      <c r="Y255">
        <f>HYPERLINK("https://klasma.github.io/Logging_2260/kartor_geotiff/A 52424-2023 georefererad karta.tif", "A 52424-2023")</f>
        <v/>
      </c>
      <c r="AA255">
        <f>HYPERLINK("https://klasma.github.io/Logging_2260/klagomål/A 52424-2023 FSC-klagomål.docx", "A 52424-2023")</f>
        <v/>
      </c>
      <c r="AB255">
        <f>HYPERLINK("https://klasma.github.io/Logging_2260/klagomålsmail/A 52424-2023 FSC-klagomål mail.docx", "A 52424-2023")</f>
        <v/>
      </c>
      <c r="AC255">
        <f>HYPERLINK("https://klasma.github.io/Logging_2260/tillsyn/A 52424-2023 tillsynsbegäran.docx", "A 52424-2023")</f>
        <v/>
      </c>
      <c r="AD255">
        <f>HYPERLINK("https://klasma.github.io/Logging_2260/tillsynsmail/A 52424-2023 tillsynsbegäran mail.docx", "A 52424-2023")</f>
        <v/>
      </c>
    </row>
    <row r="256" ht="15" customHeight="1">
      <c r="A256" t="inlineStr">
        <is>
          <t>A 58534-2025</t>
        </is>
      </c>
      <c r="B256" t="inlineStr">
        <is>
          <t>avverkningsanmälan</t>
        </is>
      </c>
      <c r="C256" t="inlineStr">
        <is>
          <t>Föryngringsavverkning</t>
        </is>
      </c>
      <c r="D256" s="1" t="n">
        <v>45985</v>
      </c>
      <c r="E256" s="1" t="n">
        <v>46310</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61076-2025</t>
        </is>
      </c>
      <c r="B257" t="inlineStr">
        <is>
          <t>avverkningsanmälan</t>
        </is>
      </c>
      <c r="C257" t="inlineStr">
        <is>
          <t>Föryngringsavverkning</t>
        </is>
      </c>
      <c r="D257" s="1" t="n">
        <v>46000</v>
      </c>
      <c r="E257" s="1" t="n">
        <v>46310</v>
      </c>
      <c r="F257" t="inlineStr">
        <is>
          <t>VÄSTERNORRLANDS LÄN</t>
        </is>
      </c>
      <c r="G257" t="inlineStr">
        <is>
          <t>ÅNGE</t>
        </is>
      </c>
      <c r="H257" t="inlineStr">
        <is>
          <t>Holmen skog AB</t>
        </is>
      </c>
      <c r="I257" t="n">
        <v>2.7</v>
      </c>
      <c r="J257" t="n">
        <v>0</v>
      </c>
      <c r="K257" t="n">
        <v>1</v>
      </c>
      <c r="L257" t="n">
        <v>0</v>
      </c>
      <c r="M257" t="n">
        <v>0</v>
      </c>
      <c r="N257" t="n">
        <v>0</v>
      </c>
      <c r="O257" t="n">
        <v>0</v>
      </c>
      <c r="P257" t="n">
        <v>0</v>
      </c>
      <c r="Q257" t="n">
        <v>0</v>
      </c>
      <c r="R257" t="n">
        <v>0</v>
      </c>
      <c r="S257" t="n">
        <v>1</v>
      </c>
      <c r="T257" t="n">
        <v>1</v>
      </c>
      <c r="U257" t="n">
        <v>1</v>
      </c>
      <c r="V257" s="2" t="inlineStr">
        <is>
          <t>Stor aspticka</t>
        </is>
      </c>
      <c r="W257">
        <f>HYPERLINK("https://klasma.github.io/Logging_2260/artfynd/A 61076-2025 artfynd.xlsx", "A 61076-2025")</f>
        <v/>
      </c>
      <c r="X257">
        <f>HYPERLINK("https://klasma.github.io/Logging_2260/kartor/A 61076-2025 karta.png", "A 61076-2025")</f>
        <v/>
      </c>
      <c r="Y257">
        <f>HYPERLINK("https://klasma.github.io/Logging_2260/kartor_geotiff/A 61076-2025 georefererad karta.tif", "A 61076-2025")</f>
        <v/>
      </c>
      <c r="AA257">
        <f>HYPERLINK("https://klasma.github.io/Logging_2260/klagomål/A 61076-2025 FSC-klagomål.docx", "A 61076-2025")</f>
        <v/>
      </c>
      <c r="AB257">
        <f>HYPERLINK("https://klasma.github.io/Logging_2260/klagomålsmail/A 61076-2025 FSC-klagomål mail.docx", "A 61076-2025")</f>
        <v/>
      </c>
      <c r="AC257">
        <f>HYPERLINK("https://klasma.github.io/Logging_2260/tillsyn/A 61076-2025 tillsynsbegäran.docx", "A 61076-2025")</f>
        <v/>
      </c>
      <c r="AD257">
        <f>HYPERLINK("https://klasma.github.io/Logging_2260/tillsynsmail/A 61076-2025 tillsynsbegäran mail.docx", "A 61076-2025")</f>
        <v/>
      </c>
    </row>
    <row r="258" ht="15" customHeight="1">
      <c r="A258" t="inlineStr">
        <is>
          <t>A 27308-2024</t>
        </is>
      </c>
      <c r="B258" t="inlineStr">
        <is>
          <t>avverkningsanmälan</t>
        </is>
      </c>
      <c r="C258" t="inlineStr">
        <is>
          <t>Föryngringsavverkning</t>
        </is>
      </c>
      <c r="D258" s="1" t="n">
        <v>45471</v>
      </c>
      <c r="E258" s="1" t="n">
        <v>46310</v>
      </c>
      <c r="F258" t="inlineStr">
        <is>
          <t>VÄSTERNORRLANDS LÄN</t>
        </is>
      </c>
      <c r="G258" t="inlineStr">
        <is>
          <t>ÅNGE</t>
        </is>
      </c>
      <c r="H258" t="inlineStr">
        <is>
          <t>SCA</t>
        </is>
      </c>
      <c r="I258" t="n">
        <v>15.9</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27308-2024 artfynd.xlsx", "A 27308-2024")</f>
        <v/>
      </c>
      <c r="X258">
        <f>HYPERLINK("https://klasma.github.io/Logging_2260/kartor/A 27308-2024 karta.png", "A 27308-2024")</f>
        <v/>
      </c>
      <c r="Y258">
        <f>HYPERLINK("https://klasma.github.io/Logging_2260/kartor_geotiff/A 27308-2024 georefererad karta.tif", "A 27308-2024")</f>
        <v/>
      </c>
      <c r="AA258">
        <f>HYPERLINK("https://klasma.github.io/Logging_2260/klagomål/A 27308-2024 FSC-klagomål.docx", "A 27308-2024")</f>
        <v/>
      </c>
      <c r="AB258">
        <f>HYPERLINK("https://klasma.github.io/Logging_2260/klagomålsmail/A 27308-2024 FSC-klagomål mail.docx", "A 27308-2024")</f>
        <v/>
      </c>
      <c r="AC258">
        <f>HYPERLINK("https://klasma.github.io/Logging_2260/tillsyn/A 27308-2024 tillsynsbegäran.docx", "A 27308-2024")</f>
        <v/>
      </c>
      <c r="AD258">
        <f>HYPERLINK("https://klasma.github.io/Logging_2260/tillsynsmail/A 27308-2024 tillsynsbegäran mail.docx", "A 27308-2024")</f>
        <v/>
      </c>
    </row>
    <row r="259" ht="15" customHeight="1">
      <c r="A259" t="inlineStr">
        <is>
          <t>A 62084-2025</t>
        </is>
      </c>
      <c r="B259" t="inlineStr">
        <is>
          <t>avverkningsanmälan</t>
        </is>
      </c>
      <c r="C259" t="inlineStr">
        <is>
          <t>Föryngringsavverkning</t>
        </is>
      </c>
      <c r="D259" s="1" t="n">
        <v>46006</v>
      </c>
      <c r="E259" s="1" t="n">
        <v>46310</v>
      </c>
      <c r="F259" t="inlineStr">
        <is>
          <t>VÄSTERNORRLANDS LÄN</t>
        </is>
      </c>
      <c r="G259" t="inlineStr">
        <is>
          <t>ÅNGE</t>
        </is>
      </c>
      <c r="I259" t="n">
        <v>1.8</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62084-2025 artfynd.xlsx", "A 62084-2025")</f>
        <v/>
      </c>
      <c r="X259">
        <f>HYPERLINK("https://klasma.github.io/Logging_2260/kartor/A 62084-2025 karta.png", "A 62084-2025")</f>
        <v/>
      </c>
      <c r="Y259">
        <f>HYPERLINK("https://klasma.github.io/Logging_2260/kartor_geotiff/A 62084-2025 georefererad karta.tif", "A 62084-2025")</f>
        <v/>
      </c>
      <c r="AA259">
        <f>HYPERLINK("https://klasma.github.io/Logging_2260/klagomål/A 62084-2025 FSC-klagomål.docx", "A 62084-2025")</f>
        <v/>
      </c>
      <c r="AB259">
        <f>HYPERLINK("https://klasma.github.io/Logging_2260/klagomålsmail/A 62084-2025 FSC-klagomål mail.docx", "A 62084-2025")</f>
        <v/>
      </c>
      <c r="AC259">
        <f>HYPERLINK("https://klasma.github.io/Logging_2260/tillsyn/A 62084-2025 tillsynsbegäran.docx", "A 62084-2025")</f>
        <v/>
      </c>
      <c r="AD259">
        <f>HYPERLINK("https://klasma.github.io/Logging_2260/tillsynsmail/A 62084-2025 tillsynsbegäran mail.docx", "A 62084-2025")</f>
        <v/>
      </c>
    </row>
    <row r="260" ht="15" customHeight="1">
      <c r="A260" t="inlineStr">
        <is>
          <t>A 20020-2026</t>
        </is>
      </c>
      <c r="B260" t="inlineStr">
        <is>
          <t>avverkningsanmälan</t>
        </is>
      </c>
      <c r="C260" t="inlineStr">
        <is>
          <t>Föryngringsavverkning</t>
        </is>
      </c>
      <c r="D260" s="1" t="n">
        <v>46136</v>
      </c>
      <c r="E260" s="1" t="n">
        <v>46310</v>
      </c>
      <c r="F260" t="inlineStr">
        <is>
          <t>VÄSTERNORRLANDS LÄN</t>
        </is>
      </c>
      <c r="G260" t="inlineStr">
        <is>
          <t>ÅNGE</t>
        </is>
      </c>
      <c r="I260" t="n">
        <v>0.6</v>
      </c>
      <c r="J260" t="n">
        <v>1</v>
      </c>
      <c r="K260" t="n">
        <v>0</v>
      </c>
      <c r="L260" t="n">
        <v>1</v>
      </c>
      <c r="M260" t="n">
        <v>0</v>
      </c>
      <c r="N260" t="n">
        <v>0</v>
      </c>
      <c r="O260" t="n">
        <v>0</v>
      </c>
      <c r="P260" t="n">
        <v>0</v>
      </c>
      <c r="Q260" t="n">
        <v>1</v>
      </c>
      <c r="R260" t="n">
        <v>0</v>
      </c>
      <c r="S260" t="n">
        <v>1</v>
      </c>
      <c r="T260" t="n">
        <v>5</v>
      </c>
      <c r="U260" t="n">
        <v>5</v>
      </c>
      <c r="V260" s="2" t="inlineStr">
        <is>
          <t>Tretåig hackspett</t>
        </is>
      </c>
      <c r="W260">
        <f>HYPERLINK("https://klasma.github.io/Logging_2260/artfynd/A 20020-2026 artfynd.xlsx", "A 20020-2026")</f>
        <v/>
      </c>
      <c r="X260">
        <f>HYPERLINK("https://klasma.github.io/Logging_2260/kartor/A 20020-2026 karta.png", "A 20020-2026")</f>
        <v/>
      </c>
      <c r="Y260">
        <f>HYPERLINK("https://klasma.github.io/Logging_2260/kartor_geotiff/A 20020-2026 georefererad karta.tif", "A 20020-2026")</f>
        <v/>
      </c>
      <c r="Z260">
        <f>HYPERLINK("https://klasma.github.io/Logging_2260/knärot/A 20020-2026 karta knärot.png", "A 20020-2026")</f>
        <v/>
      </c>
      <c r="AA260">
        <f>HYPERLINK("https://klasma.github.io/Logging_2260/klagomål/A 20020-2026 FSC-klagomål.docx", "A 20020-2026")</f>
        <v/>
      </c>
      <c r="AB260">
        <f>HYPERLINK("https://klasma.github.io/Logging_2260/klagomålsmail/A 20020-2026 FSC-klagomål mail.docx", "A 20020-2026")</f>
        <v/>
      </c>
      <c r="AC260">
        <f>HYPERLINK("https://klasma.github.io/Logging_2260/tillsyn/A 20020-2026 tillsynsbegäran.docx", "A 20020-2026")</f>
        <v/>
      </c>
      <c r="AD260">
        <f>HYPERLINK("https://klasma.github.io/Logging_2260/tillsynsmail/A 20020-2026 tillsynsbegäran mail.docx", "A 20020-2026")</f>
        <v/>
      </c>
      <c r="AE260">
        <f>HYPERLINK("https://klasma.github.io/Logging_2260/fåglar/A 20020-2026 prioriterade fågelarter.docx", "A 20020-2026")</f>
        <v/>
      </c>
    </row>
    <row r="261" ht="15" customHeight="1">
      <c r="A261" t="inlineStr">
        <is>
          <t>A 31878-2024</t>
        </is>
      </c>
      <c r="B261" t="inlineStr">
        <is>
          <t>avverkningsanmälan</t>
        </is>
      </c>
      <c r="C261" t="inlineStr">
        <is>
          <t>Föryngringsavverkning</t>
        </is>
      </c>
      <c r="D261" s="1" t="n">
        <v>45509</v>
      </c>
      <c r="E261" s="1" t="n">
        <v>46310</v>
      </c>
      <c r="F261" t="inlineStr">
        <is>
          <t>VÄSTERNORRLANDS LÄN</t>
        </is>
      </c>
      <c r="G261" t="inlineStr">
        <is>
          <t>ÅNGE</t>
        </is>
      </c>
      <c r="H261" t="inlineStr">
        <is>
          <t>SCA</t>
        </is>
      </c>
      <c r="I261" t="n">
        <v>5.1</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HYPERLINK("https://klasma.github.io/Logging_2260/artfynd/A 31878-2024 artfynd.xlsx", "A 31878-2024")</f>
        <v/>
      </c>
      <c r="X261">
        <f>HYPERLINK("https://klasma.github.io/Logging_2260/kartor/A 31878-2024 karta.png", "A 31878-2024")</f>
        <v/>
      </c>
      <c r="Y261">
        <f>HYPERLINK("https://klasma.github.io/Logging_2260/kartor_geotiff/A 31878-2024 georefererad karta.tif", "A 31878-2024")</f>
        <v/>
      </c>
      <c r="AA261">
        <f>HYPERLINK("https://klasma.github.io/Logging_2260/klagomål/A 31878-2024 FSC-klagomål.docx", "A 31878-2024")</f>
        <v/>
      </c>
      <c r="AB261">
        <f>HYPERLINK("https://klasma.github.io/Logging_2260/klagomålsmail/A 31878-2024 FSC-klagomål mail.docx", "A 31878-2024")</f>
        <v/>
      </c>
      <c r="AC261">
        <f>HYPERLINK("https://klasma.github.io/Logging_2260/tillsyn/A 31878-2024 tillsynsbegäran.docx", "A 31878-2024")</f>
        <v/>
      </c>
      <c r="AD261">
        <f>HYPERLINK("https://klasma.github.io/Logging_2260/tillsynsmail/A 31878-2024 tillsynsbegäran mail.docx", "A 31878-2024")</f>
        <v/>
      </c>
    </row>
    <row r="262" ht="15" customHeight="1">
      <c r="A262" t="inlineStr">
        <is>
          <t>A 57526-2024</t>
        </is>
      </c>
      <c r="B262" t="inlineStr">
        <is>
          <t>avverkningsanmälan</t>
        </is>
      </c>
      <c r="C262" t="inlineStr">
        <is>
          <t>Föryngringsavverkning</t>
        </is>
      </c>
      <c r="D262" s="1" t="n">
        <v>45630</v>
      </c>
      <c r="E262" s="1" t="n">
        <v>46310</v>
      </c>
      <c r="F262" t="inlineStr">
        <is>
          <t>VÄSTERNORRLANDS LÄN</t>
        </is>
      </c>
      <c r="G262" t="inlineStr">
        <is>
          <t>ÅNGE</t>
        </is>
      </c>
      <c r="I262" t="n">
        <v>3.2</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HYPERLINK("https://klasma.github.io/Logging_2260/artfynd/A 57526-2024 artfynd.xlsx", "A 57526-2024")</f>
        <v/>
      </c>
      <c r="X262">
        <f>HYPERLINK("https://klasma.github.io/Logging_2260/kartor/A 57526-2024 karta.png", "A 57526-2024")</f>
        <v/>
      </c>
      <c r="Y262">
        <f>HYPERLINK("https://klasma.github.io/Logging_2260/kartor_geotiff/A 57526-2024 georefererad karta.tif", "A 57526-2024")</f>
        <v/>
      </c>
      <c r="AA262">
        <f>HYPERLINK("https://klasma.github.io/Logging_2260/klagomål/A 57526-2024 FSC-klagomål.docx", "A 57526-2024")</f>
        <v/>
      </c>
      <c r="AB262">
        <f>HYPERLINK("https://klasma.github.io/Logging_2260/klagomålsmail/A 57526-2024 FSC-klagomål mail.docx", "A 57526-2024")</f>
        <v/>
      </c>
      <c r="AC262">
        <f>HYPERLINK("https://klasma.github.io/Logging_2260/tillsyn/A 57526-2024 tillsynsbegäran.docx", "A 57526-2024")</f>
        <v/>
      </c>
      <c r="AD262">
        <f>HYPERLINK("https://klasma.github.io/Logging_2260/tillsynsmail/A 57526-2024 tillsynsbegäran mail.docx", "A 57526-2024")</f>
        <v/>
      </c>
    </row>
    <row r="263" ht="15" customHeight="1">
      <c r="A263" t="inlineStr">
        <is>
          <t>A 35593-2024</t>
        </is>
      </c>
      <c r="B263" t="inlineStr">
        <is>
          <t>avverkningsanmälan</t>
        </is>
      </c>
      <c r="C263" t="inlineStr">
        <is>
          <t>Avverkning för att bevara och utveckla /försöksver</t>
        </is>
      </c>
      <c r="D263" s="1" t="n">
        <v>45531</v>
      </c>
      <c r="E263" s="1" t="n">
        <v>46310</v>
      </c>
      <c r="F263" t="inlineStr">
        <is>
          <t>VÄSTERNORRLANDS LÄN</t>
        </is>
      </c>
      <c r="G263" t="inlineStr">
        <is>
          <t>ÅNGE</t>
        </is>
      </c>
      <c r="I263" t="n">
        <v>17.6</v>
      </c>
      <c r="J263" t="n">
        <v>1</v>
      </c>
      <c r="K263" t="n">
        <v>0</v>
      </c>
      <c r="L263" t="n">
        <v>0</v>
      </c>
      <c r="M263" t="n">
        <v>0</v>
      </c>
      <c r="N263" t="n">
        <v>0</v>
      </c>
      <c r="O263" t="n">
        <v>0</v>
      </c>
      <c r="P263" t="n">
        <v>0</v>
      </c>
      <c r="Q263" t="n">
        <v>0</v>
      </c>
      <c r="R263" t="n">
        <v>0</v>
      </c>
      <c r="S263" t="n">
        <v>1</v>
      </c>
      <c r="T263" t="n">
        <v>1</v>
      </c>
      <c r="U263" t="n">
        <v>0</v>
      </c>
      <c r="V263" s="2" t="inlineStr">
        <is>
          <t>Järpe</t>
        </is>
      </c>
      <c r="W263">
        <f>HYPERLINK("https://klasma.github.io/Logging_2260/artfynd/A 35593-2024 artfynd.xlsx", "A 35593-2024")</f>
        <v/>
      </c>
      <c r="X263">
        <f>HYPERLINK("https://klasma.github.io/Logging_2260/kartor/A 35593-2024 karta.png", "A 35593-2024")</f>
        <v/>
      </c>
      <c r="Y263">
        <f>HYPERLINK("https://klasma.github.io/Logging_2260/kartor_geotiff/A 35593-2024 georefererad karta.tif", "A 35593-2024")</f>
        <v/>
      </c>
      <c r="AA263">
        <f>HYPERLINK("https://klasma.github.io/Logging_2260/klagomål/A 35593-2024 FSC-klagomål.docx", "A 35593-2024")</f>
        <v/>
      </c>
      <c r="AB263">
        <f>HYPERLINK("https://klasma.github.io/Logging_2260/klagomålsmail/A 35593-2024 FSC-klagomål mail.docx", "A 35593-2024")</f>
        <v/>
      </c>
      <c r="AC263">
        <f>HYPERLINK("https://klasma.github.io/Logging_2260/tillsyn/A 35593-2024 tillsynsbegäran.docx", "A 35593-2024")</f>
        <v/>
      </c>
      <c r="AD263">
        <f>HYPERLINK("https://klasma.github.io/Logging_2260/tillsynsmail/A 35593-2024 tillsynsbegäran mail.docx", "A 35593-2024")</f>
        <v/>
      </c>
      <c r="AE263">
        <f>HYPERLINK("https://klasma.github.io/Logging_2260/fåglar/A 35593-2024 prioriterade fågelarter.docx", "A 35593-2024")</f>
        <v/>
      </c>
    </row>
    <row r="264" ht="15" customHeight="1">
      <c r="A264" t="inlineStr">
        <is>
          <t>A 34091-2022</t>
        </is>
      </c>
      <c r="B264" t="inlineStr">
        <is>
          <t>avverkningsanmälan</t>
        </is>
      </c>
      <c r="C264" t="inlineStr">
        <is>
          <t>Föryngringsavverkning</t>
        </is>
      </c>
      <c r="D264" s="1" t="n">
        <v>44791</v>
      </c>
      <c r="E264" s="1" t="n">
        <v>46310</v>
      </c>
      <c r="F264" t="inlineStr">
        <is>
          <t>VÄSTERNORRLANDS LÄN</t>
        </is>
      </c>
      <c r="G264" t="inlineStr">
        <is>
          <t>ÅNGE</t>
        </is>
      </c>
      <c r="I264" t="n">
        <v>10.1</v>
      </c>
      <c r="J264" t="n">
        <v>0</v>
      </c>
      <c r="K264" t="n">
        <v>1</v>
      </c>
      <c r="L264" t="n">
        <v>0</v>
      </c>
      <c r="M264" t="n">
        <v>0</v>
      </c>
      <c r="N264" t="n">
        <v>0</v>
      </c>
      <c r="O264" t="n">
        <v>0</v>
      </c>
      <c r="P264" t="n">
        <v>0</v>
      </c>
      <c r="Q264" t="n">
        <v>0</v>
      </c>
      <c r="R264" t="n">
        <v>0</v>
      </c>
      <c r="S264" t="n">
        <v>1</v>
      </c>
      <c r="T264" t="n">
        <v>1</v>
      </c>
      <c r="U264" t="n">
        <v>0</v>
      </c>
      <c r="V264" s="2" t="inlineStr">
        <is>
          <t>Tibast</t>
        </is>
      </c>
      <c r="W264">
        <f>HYPERLINK("https://klasma.github.io/Logging_2260/artfynd/A 34091-2022 artfynd.xlsx", "A 34091-2022")</f>
        <v/>
      </c>
      <c r="X264">
        <f>HYPERLINK("https://klasma.github.io/Logging_2260/kartor/A 34091-2022 karta.png", "A 34091-2022")</f>
        <v/>
      </c>
      <c r="Y264">
        <f>HYPERLINK("https://klasma.github.io/Logging_2260/kartor_geotiff/A 34091-2022 georefererad karta.tif", "A 34091-2022")</f>
        <v/>
      </c>
      <c r="AA264">
        <f>HYPERLINK("https://klasma.github.io/Logging_2260/klagomål/A 34091-2022 FSC-klagomål.docx", "A 34091-2022")</f>
        <v/>
      </c>
      <c r="AB264">
        <f>HYPERLINK("https://klasma.github.io/Logging_2260/klagomålsmail/A 34091-2022 FSC-klagomål mail.docx", "A 34091-2022")</f>
        <v/>
      </c>
      <c r="AC264">
        <f>HYPERLINK("https://klasma.github.io/Logging_2260/tillsyn/A 34091-2022 tillsynsbegäran.docx", "A 34091-2022")</f>
        <v/>
      </c>
      <c r="AD264">
        <f>HYPERLINK("https://klasma.github.io/Logging_2260/tillsynsmail/A 34091-2022 tillsynsbegäran mail.docx", "A 34091-2022")</f>
        <v/>
      </c>
    </row>
    <row r="265" ht="15" customHeight="1">
      <c r="A265" t="inlineStr">
        <is>
          <t>A 60365-2024</t>
        </is>
      </c>
      <c r="B265" t="inlineStr">
        <is>
          <t>avverkningsanmälan</t>
        </is>
      </c>
      <c r="C265" t="inlineStr">
        <is>
          <t>Avverkning för annat ändamål</t>
        </is>
      </c>
      <c r="D265" s="1" t="n">
        <v>45643</v>
      </c>
      <c r="E265" s="1" t="n">
        <v>46310</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26218-2026</t>
        </is>
      </c>
      <c r="B266" t="inlineStr">
        <is>
          <t>avverkningsanmälan</t>
        </is>
      </c>
      <c r="C266" t="inlineStr">
        <is>
          <t>Föryngringsavverkning</t>
        </is>
      </c>
      <c r="D266" s="1" t="n">
        <v>46182</v>
      </c>
      <c r="E266" s="1" t="n">
        <v>46310</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t="n">
        <v>0</v>
      </c>
      <c r="V266" s="2" t="inlineStr">
        <is>
          <t>Korallrot</t>
        </is>
      </c>
      <c r="W266">
        <f>HYPERLINK("https://klasma.github.io/Logging_2260/artfynd/A 26218-2026 artfynd.xlsx", "A 26218-2026")</f>
        <v/>
      </c>
      <c r="X266">
        <f>HYPERLINK("https://klasma.github.io/Logging_2260/kartor/A 26218-2026 karta.png", "A 26218-2026")</f>
        <v/>
      </c>
      <c r="Y266">
        <f>HYPERLINK("https://klasma.github.io/Logging_2260/kartor_geotiff/A 26218-2026 georefererad karta.tif", "A 26218-2026")</f>
        <v/>
      </c>
      <c r="AA266">
        <f>HYPERLINK("https://klasma.github.io/Logging_2260/klagomål/A 26218-2026 FSC-klagomål.docx", "A 26218-2026")</f>
        <v/>
      </c>
      <c r="AB266">
        <f>HYPERLINK("https://klasma.github.io/Logging_2260/klagomålsmail/A 26218-2026 FSC-klagomål mail.docx", "A 26218-2026")</f>
        <v/>
      </c>
      <c r="AC266">
        <f>HYPERLINK("https://klasma.github.io/Logging_2260/tillsyn/A 26218-2026 tillsynsbegäran.docx", "A 26218-2026")</f>
        <v/>
      </c>
      <c r="AD266">
        <f>HYPERLINK("https://klasma.github.io/Logging_2260/tillsynsmail/A 26218-2026 tillsynsbegäran mail.docx", "A 26218-2026")</f>
        <v/>
      </c>
    </row>
    <row r="267" ht="15" customHeight="1">
      <c r="A267" t="inlineStr">
        <is>
          <t>A 26605-2026</t>
        </is>
      </c>
      <c r="B267" t="inlineStr">
        <is>
          <t>avverkningsanmälan</t>
        </is>
      </c>
      <c r="C267" t="inlineStr">
        <is>
          <t>Avverkning för att bevara och utveckla /försöksver</t>
        </is>
      </c>
      <c r="D267" s="1" t="n">
        <v>46183</v>
      </c>
      <c r="E267" s="1" t="n">
        <v>46310</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56091-2024</t>
        </is>
      </c>
      <c r="B268" t="inlineStr">
        <is>
          <t>avverkningsanmälan</t>
        </is>
      </c>
      <c r="C268" t="inlineStr">
        <is>
          <t>Avverkning för att bevara och utveckla /försöksver</t>
        </is>
      </c>
      <c r="D268" s="1" t="n">
        <v>45624</v>
      </c>
      <c r="E268" s="1" t="n">
        <v>46310</v>
      </c>
      <c r="F268" t="inlineStr">
        <is>
          <t>VÄSTERNORRLANDS LÄN</t>
        </is>
      </c>
      <c r="G268" t="inlineStr">
        <is>
          <t>ÅNGE</t>
        </is>
      </c>
      <c r="H268" t="inlineStr">
        <is>
          <t>SCA</t>
        </is>
      </c>
      <c r="I268" t="n">
        <v>2.5</v>
      </c>
      <c r="J268" t="n">
        <v>0</v>
      </c>
      <c r="K268" t="n">
        <v>0</v>
      </c>
      <c r="L268" t="n">
        <v>1</v>
      </c>
      <c r="M268" t="n">
        <v>0</v>
      </c>
      <c r="N268" t="n">
        <v>0</v>
      </c>
      <c r="O268" t="n">
        <v>0</v>
      </c>
      <c r="P268" t="n">
        <v>0</v>
      </c>
      <c r="Q268" t="n">
        <v>1</v>
      </c>
      <c r="R268" t="n">
        <v>0</v>
      </c>
      <c r="S268" t="n">
        <v>1</v>
      </c>
      <c r="T268" t="n">
        <v>1</v>
      </c>
      <c r="U268" t="n">
        <v>0</v>
      </c>
      <c r="V268" s="2" t="inlineStr">
        <is>
          <t>Mörk kolflarnlav</t>
        </is>
      </c>
      <c r="W268">
        <f>HYPERLINK("https://klasma.github.io/Logging_2260/artfynd/A 56091-2024 artfynd.xlsx", "A 56091-2024")</f>
        <v/>
      </c>
      <c r="X268">
        <f>HYPERLINK("https://klasma.github.io/Logging_2260/kartor/A 56091-2024 karta.png", "A 56091-2024")</f>
        <v/>
      </c>
      <c r="Y268">
        <f>HYPERLINK("https://klasma.github.io/Logging_2260/kartor_geotiff/A 56091-2024 georefererad karta.tif", "A 56091-2024")</f>
        <v/>
      </c>
      <c r="AA268">
        <f>HYPERLINK("https://klasma.github.io/Logging_2260/klagomål/A 56091-2024 FSC-klagomål.docx", "A 56091-2024")</f>
        <v/>
      </c>
      <c r="AB268">
        <f>HYPERLINK("https://klasma.github.io/Logging_2260/klagomålsmail/A 56091-2024 FSC-klagomål mail.docx", "A 56091-2024")</f>
        <v/>
      </c>
      <c r="AC268">
        <f>HYPERLINK("https://klasma.github.io/Logging_2260/tillsyn/A 56091-2024 tillsynsbegäran.docx", "A 56091-2024")</f>
        <v/>
      </c>
      <c r="AD268">
        <f>HYPERLINK("https://klasma.github.io/Logging_2260/tillsynsmail/A 56091-2024 tillsynsbegäran mail.docx", "A 56091-2024")</f>
        <v/>
      </c>
    </row>
    <row r="269" ht="15" customHeight="1">
      <c r="A269" t="inlineStr">
        <is>
          <t>A 28541-2026</t>
        </is>
      </c>
      <c r="B269" t="inlineStr">
        <is>
          <t>avverkningsanmälan</t>
        </is>
      </c>
      <c r="C269" t="inlineStr">
        <is>
          <t>Föryngringsavverkning</t>
        </is>
      </c>
      <c r="D269" s="1" t="n">
        <v>46197</v>
      </c>
      <c r="E269" s="1" t="n">
        <v>46310</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30538-2026</t>
        </is>
      </c>
      <c r="B270" t="inlineStr">
        <is>
          <t>avverkningsanmälan</t>
        </is>
      </c>
      <c r="C270" t="inlineStr">
        <is>
          <t>Föryngringsavverkning</t>
        </is>
      </c>
      <c r="D270" s="1" t="n">
        <v>46210</v>
      </c>
      <c r="E270" s="1" t="n">
        <v>46310</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t="n">
        <v>0</v>
      </c>
      <c r="V270" s="2" t="inlineStr">
        <is>
          <t>Mattlummer</t>
        </is>
      </c>
      <c r="W270">
        <f>HYPERLINK("https://klasma.github.io/Logging_2260/artfynd/A 30538-2026 artfynd.xlsx", "A 30538-2026")</f>
        <v/>
      </c>
      <c r="X270">
        <f>HYPERLINK("https://klasma.github.io/Logging_2260/kartor/A 30538-2026 karta.png", "A 30538-2026")</f>
        <v/>
      </c>
      <c r="Y270">
        <f>HYPERLINK("https://klasma.github.io/Logging_2260/kartor_geotiff/A 30538-2026 georefererad karta.tif", "A 30538-2026")</f>
        <v/>
      </c>
      <c r="AA270">
        <f>HYPERLINK("https://klasma.github.io/Logging_2260/klagomål/A 30538-2026 FSC-klagomål.docx", "A 30538-2026")</f>
        <v/>
      </c>
      <c r="AB270">
        <f>HYPERLINK("https://klasma.github.io/Logging_2260/klagomålsmail/A 30538-2026 FSC-klagomål mail.docx", "A 30538-2026")</f>
        <v/>
      </c>
      <c r="AC270">
        <f>HYPERLINK("https://klasma.github.io/Logging_2260/tillsyn/A 30538-2026 tillsynsbegäran.docx", "A 30538-2026")</f>
        <v/>
      </c>
      <c r="AD270">
        <f>HYPERLINK("https://klasma.github.io/Logging_2260/tillsynsmail/A 30538-2026 tillsynsbegäran mail.docx", "A 30538-2026")</f>
        <v/>
      </c>
    </row>
    <row r="271" ht="15" customHeight="1">
      <c r="A271" t="inlineStr">
        <is>
          <t>A 31458-2026</t>
        </is>
      </c>
      <c r="B271" t="inlineStr">
        <is>
          <t>avverkningsanmälan</t>
        </is>
      </c>
      <c r="C271" t="inlineStr">
        <is>
          <t>Föryngringsavverkning</t>
        </is>
      </c>
      <c r="D271" s="1" t="n">
        <v>46221</v>
      </c>
      <c r="E271" s="1" t="n">
        <v>46310</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53336-2024</t>
        </is>
      </c>
      <c r="B272" t="inlineStr">
        <is>
          <t>avverkningsanmälan</t>
        </is>
      </c>
      <c r="C272" t="inlineStr">
        <is>
          <t>Föryngringsavverkning</t>
        </is>
      </c>
      <c r="D272" s="1" t="n">
        <v>45614</v>
      </c>
      <c r="E272" s="1" t="n">
        <v>46310</v>
      </c>
      <c r="F272" t="inlineStr">
        <is>
          <t>VÄSTERNORRLANDS LÄN</t>
        </is>
      </c>
      <c r="G272" t="inlineStr">
        <is>
          <t>ÅNGE</t>
        </is>
      </c>
      <c r="I272" t="n">
        <v>1.5</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HYPERLINK("https://klasma.github.io/Logging_2260/artfynd/A 53336-2024 artfynd.xlsx", "A 53336-2024")</f>
        <v/>
      </c>
      <c r="X272">
        <f>HYPERLINK("https://klasma.github.io/Logging_2260/kartor/A 53336-2024 karta.png", "A 53336-2024")</f>
        <v/>
      </c>
      <c r="Y272">
        <f>HYPERLINK("https://klasma.github.io/Logging_2260/kartor_geotiff/A 53336-2024 georefererad karta.tif", "A 53336-2024")</f>
        <v/>
      </c>
      <c r="AA272">
        <f>HYPERLINK("https://klasma.github.io/Logging_2260/klagomål/A 53336-2024 FSC-klagomål.docx", "A 53336-2024")</f>
        <v/>
      </c>
      <c r="AB272">
        <f>HYPERLINK("https://klasma.github.io/Logging_2260/klagomålsmail/A 53336-2024 FSC-klagomål mail.docx", "A 53336-2024")</f>
        <v/>
      </c>
      <c r="AC272">
        <f>HYPERLINK("https://klasma.github.io/Logging_2260/tillsyn/A 53336-2024 tillsynsbegäran.docx", "A 53336-2024")</f>
        <v/>
      </c>
      <c r="AD272">
        <f>HYPERLINK("https://klasma.github.io/Logging_2260/tillsynsmail/A 53336-2024 tillsynsbegäran mail.docx", "A 53336-2024")</f>
        <v/>
      </c>
    </row>
    <row r="273" ht="15" customHeight="1">
      <c r="A273" t="inlineStr">
        <is>
          <t>A 10687-2022</t>
        </is>
      </c>
      <c r="B273" t="inlineStr">
        <is>
          <t>avverkningsanmälan</t>
        </is>
      </c>
      <c r="C273" t="inlineStr">
        <is>
          <t>Föryngringsavverkning</t>
        </is>
      </c>
      <c r="D273" s="1" t="n">
        <v>44624</v>
      </c>
      <c r="E273" s="1" t="n">
        <v>46310</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53549-2023</t>
        </is>
      </c>
      <c r="B274" t="inlineStr">
        <is>
          <t>avverkningsanmälan</t>
        </is>
      </c>
      <c r="C274" t="inlineStr">
        <is>
          <t>Föryngringsavverkning</t>
        </is>
      </c>
      <c r="D274" s="1" t="n">
        <v>45230</v>
      </c>
      <c r="E274" s="1" t="n">
        <v>46310</v>
      </c>
      <c r="F274" t="inlineStr">
        <is>
          <t>VÄSTERNORRLANDS LÄN</t>
        </is>
      </c>
      <c r="G274" t="inlineStr">
        <is>
          <t>ÅNGE</t>
        </is>
      </c>
      <c r="H274" t="inlineStr">
        <is>
          <t>Holmen skog AB</t>
        </is>
      </c>
      <c r="I274" t="n">
        <v>1.8</v>
      </c>
      <c r="J274" t="n">
        <v>1</v>
      </c>
      <c r="K274" t="n">
        <v>0</v>
      </c>
      <c r="L274" t="n">
        <v>0</v>
      </c>
      <c r="M274" t="n">
        <v>0</v>
      </c>
      <c r="N274" t="n">
        <v>0</v>
      </c>
      <c r="O274" t="n">
        <v>0</v>
      </c>
      <c r="P274" t="n">
        <v>0</v>
      </c>
      <c r="Q274" t="n">
        <v>0</v>
      </c>
      <c r="R274" t="n">
        <v>0</v>
      </c>
      <c r="S274" t="n">
        <v>1</v>
      </c>
      <c r="T274" t="n">
        <v>1</v>
      </c>
      <c r="U274" t="n">
        <v>1</v>
      </c>
      <c r="V274" s="2" t="inlineStr">
        <is>
          <t>Järpe</t>
        </is>
      </c>
      <c r="W274">
        <f>HYPERLINK("https://klasma.github.io/Logging_2260/artfynd/A 53549-2023 artfynd.xlsx", "A 53549-2023")</f>
        <v/>
      </c>
      <c r="X274">
        <f>HYPERLINK("https://klasma.github.io/Logging_2260/kartor/A 53549-2023 karta.png", "A 53549-2023")</f>
        <v/>
      </c>
      <c r="Y274">
        <f>HYPERLINK("https://klasma.github.io/Logging_2260/kartor_geotiff/A 53549-2023 georefererad karta.tif", "A 53549-2023")</f>
        <v/>
      </c>
      <c r="AA274">
        <f>HYPERLINK("https://klasma.github.io/Logging_2260/klagomål/A 53549-2023 FSC-klagomål.docx", "A 53549-2023")</f>
        <v/>
      </c>
      <c r="AB274">
        <f>HYPERLINK("https://klasma.github.io/Logging_2260/klagomålsmail/A 53549-2023 FSC-klagomål mail.docx", "A 53549-2023")</f>
        <v/>
      </c>
      <c r="AC274">
        <f>HYPERLINK("https://klasma.github.io/Logging_2260/tillsyn/A 53549-2023 tillsynsbegäran.docx", "A 53549-2023")</f>
        <v/>
      </c>
      <c r="AD274">
        <f>HYPERLINK("https://klasma.github.io/Logging_2260/tillsynsmail/A 53549-2023 tillsynsbegäran mail.docx", "A 53549-2023")</f>
        <v/>
      </c>
      <c r="AE274">
        <f>HYPERLINK("https://klasma.github.io/Logging_2260/fåglar/A 53549-2023 prioriterade fågelarter.docx", "A 53549-2023")</f>
        <v/>
      </c>
    </row>
    <row r="275" ht="15" customHeight="1">
      <c r="A275" t="inlineStr">
        <is>
          <t>A 41825-2022</t>
        </is>
      </c>
      <c r="B275" t="inlineStr">
        <is>
          <t>avverkningsanmälan</t>
        </is>
      </c>
      <c r="C275" t="inlineStr">
        <is>
          <t>Föryngringsavverkning</t>
        </is>
      </c>
      <c r="D275" s="1" t="n">
        <v>44827</v>
      </c>
      <c r="E275" s="1" t="n">
        <v>46310</v>
      </c>
      <c r="F275" t="inlineStr">
        <is>
          <t>VÄSTERNORRLANDS LÄN</t>
        </is>
      </c>
      <c r="G275" t="inlineStr">
        <is>
          <t>ÅNGE</t>
        </is>
      </c>
      <c r="H275" t="inlineStr">
        <is>
          <t>SCA</t>
        </is>
      </c>
      <c r="I275" t="n">
        <v>3.3</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HYPERLINK("https://klasma.github.io/Logging_2260/artfynd/A 41825-2022 artfynd.xlsx", "A 41825-2022")</f>
        <v/>
      </c>
      <c r="X275">
        <f>HYPERLINK("https://klasma.github.io/Logging_2260/kartor/A 41825-2022 karta.png", "A 41825-2022")</f>
        <v/>
      </c>
      <c r="Y275">
        <f>HYPERLINK("https://klasma.github.io/Logging_2260/kartor_geotiff/A 41825-2022 georefererad karta.tif", "A 41825-2022")</f>
        <v/>
      </c>
      <c r="Z275">
        <f>HYPERLINK("https://klasma.github.io/Logging_2260/knärot/A 41825-2022 karta knärot.png", "A 41825-2022")</f>
        <v/>
      </c>
      <c r="AA275">
        <f>HYPERLINK("https://klasma.github.io/Logging_2260/klagomål/A 41825-2022 FSC-klagomål.docx", "A 41825-2022")</f>
        <v/>
      </c>
      <c r="AB275">
        <f>HYPERLINK("https://klasma.github.io/Logging_2260/klagomålsmail/A 41825-2022 FSC-klagomål mail.docx", "A 41825-2022")</f>
        <v/>
      </c>
      <c r="AC275">
        <f>HYPERLINK("https://klasma.github.io/Logging_2260/tillsyn/A 41825-2022 tillsynsbegäran.docx", "A 41825-2022")</f>
        <v/>
      </c>
      <c r="AD275">
        <f>HYPERLINK("https://klasma.github.io/Logging_2260/tillsynsmail/A 41825-2022 tillsynsbegäran mail.docx", "A 41825-2022")</f>
        <v/>
      </c>
    </row>
    <row r="276" ht="15" customHeight="1">
      <c r="A276" t="inlineStr">
        <is>
          <t>A 57594-2022</t>
        </is>
      </c>
      <c r="B276" t="inlineStr">
        <is>
          <t>avverkningsanmälan</t>
        </is>
      </c>
      <c r="C276" t="inlineStr">
        <is>
          <t>Avverkning för att bevara och utveckla /försöksver</t>
        </is>
      </c>
      <c r="D276" s="1" t="n">
        <v>44896</v>
      </c>
      <c r="E276" s="1" t="n">
        <v>46310</v>
      </c>
      <c r="F276" t="inlineStr">
        <is>
          <t>VÄSTERNORRLANDS LÄN</t>
        </is>
      </c>
      <c r="G276" t="inlineStr">
        <is>
          <t>ÅNGE</t>
        </is>
      </c>
      <c r="H276" t="inlineStr">
        <is>
          <t>SCA</t>
        </is>
      </c>
      <c r="I276" t="n">
        <v>5.3</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57594-2022 artfynd.xlsx", "A 57594-2022")</f>
        <v/>
      </c>
      <c r="X276">
        <f>HYPERLINK("https://klasma.github.io/Logging_2260/kartor/A 57594-2022 karta.png", "A 57594-2022")</f>
        <v/>
      </c>
      <c r="Y276">
        <f>HYPERLINK("https://klasma.github.io/Logging_2260/kartor_geotiff/A 57594-2022 georefererad karta.tif", "A 57594-2022")</f>
        <v/>
      </c>
      <c r="AA276">
        <f>HYPERLINK("https://klasma.github.io/Logging_2260/klagomål/A 57594-2022 FSC-klagomål.docx", "A 57594-2022")</f>
        <v/>
      </c>
      <c r="AB276">
        <f>HYPERLINK("https://klasma.github.io/Logging_2260/klagomålsmail/A 57594-2022 FSC-klagomål mail.docx", "A 57594-2022")</f>
        <v/>
      </c>
      <c r="AC276">
        <f>HYPERLINK("https://klasma.github.io/Logging_2260/tillsyn/A 57594-2022 tillsynsbegäran.docx", "A 57594-2022")</f>
        <v/>
      </c>
      <c r="AD276">
        <f>HYPERLINK("https://klasma.github.io/Logging_2260/tillsynsmail/A 57594-2022 tillsynsbegäran mail.docx", "A 57594-2022")</f>
        <v/>
      </c>
    </row>
    <row r="277" ht="15" customHeight="1">
      <c r="A277" t="inlineStr">
        <is>
          <t>A 18869-2024</t>
        </is>
      </c>
      <c r="B277" t="inlineStr">
        <is>
          <t>avverkningsanmälan</t>
        </is>
      </c>
      <c r="C277" t="inlineStr">
        <is>
          <t>Föryngringsavverkning</t>
        </is>
      </c>
      <c r="D277" s="1" t="n">
        <v>45426</v>
      </c>
      <c r="E277" s="1" t="n">
        <v>46310</v>
      </c>
      <c r="F277" t="inlineStr">
        <is>
          <t>VÄSTERNORRLANDS LÄN</t>
        </is>
      </c>
      <c r="G277" t="inlineStr">
        <is>
          <t>ÅNGE</t>
        </is>
      </c>
      <c r="H277" t="inlineStr">
        <is>
          <t>SCA</t>
        </is>
      </c>
      <c r="I277" t="n">
        <v>4.1</v>
      </c>
      <c r="J277" t="n">
        <v>1</v>
      </c>
      <c r="K277" t="n">
        <v>1</v>
      </c>
      <c r="L277" t="n">
        <v>0</v>
      </c>
      <c r="M277" t="n">
        <v>0</v>
      </c>
      <c r="N277" t="n">
        <v>0</v>
      </c>
      <c r="O277" t="n">
        <v>0</v>
      </c>
      <c r="P277" t="n">
        <v>0</v>
      </c>
      <c r="Q277" t="n">
        <v>0</v>
      </c>
      <c r="R277" t="n">
        <v>0</v>
      </c>
      <c r="S277" t="n">
        <v>1</v>
      </c>
      <c r="T277" t="n">
        <v>1</v>
      </c>
      <c r="U277" t="n">
        <v>0</v>
      </c>
      <c r="V277" s="2" t="inlineStr">
        <is>
          <t>Tvåblad</t>
        </is>
      </c>
      <c r="W277">
        <f>HYPERLINK("https://klasma.github.io/Logging_2260/artfynd/A 18869-2024 artfynd.xlsx", "A 18869-2024")</f>
        <v/>
      </c>
      <c r="X277">
        <f>HYPERLINK("https://klasma.github.io/Logging_2260/kartor/A 18869-2024 karta.png", "A 18869-2024")</f>
        <v/>
      </c>
      <c r="Y277">
        <f>HYPERLINK("https://klasma.github.io/Logging_2260/kartor_geotiff/A 18869-2024 georefererad karta.tif", "A 18869-2024")</f>
        <v/>
      </c>
      <c r="AA277">
        <f>HYPERLINK("https://klasma.github.io/Logging_2260/klagomål/A 18869-2024 FSC-klagomål.docx", "A 18869-2024")</f>
        <v/>
      </c>
      <c r="AB277">
        <f>HYPERLINK("https://klasma.github.io/Logging_2260/klagomålsmail/A 18869-2024 FSC-klagomål mail.docx", "A 18869-2024")</f>
        <v/>
      </c>
      <c r="AC277">
        <f>HYPERLINK("https://klasma.github.io/Logging_2260/tillsyn/A 18869-2024 tillsynsbegäran.docx", "A 18869-2024")</f>
        <v/>
      </c>
      <c r="AD277">
        <f>HYPERLINK("https://klasma.github.io/Logging_2260/tillsynsmail/A 18869-2024 tillsynsbegäran mail.docx", "A 18869-2024")</f>
        <v/>
      </c>
    </row>
    <row r="278" ht="15" customHeight="1">
      <c r="A278" t="inlineStr">
        <is>
          <t>A 39049-2026</t>
        </is>
      </c>
      <c r="B278" t="inlineStr">
        <is>
          <t>avverkningsanmälan</t>
        </is>
      </c>
      <c r="C278" t="inlineStr">
        <is>
          <t>Föryngringsavverkning</t>
        </is>
      </c>
      <c r="D278" s="1" t="n">
        <v>46287</v>
      </c>
      <c r="E278" s="1" t="n">
        <v>46310</v>
      </c>
      <c r="F278" t="inlineStr">
        <is>
          <t>VÄSTERNORRLANDS LÄN</t>
        </is>
      </c>
      <c r="G278" t="inlineStr">
        <is>
          <t>ÅNGE</t>
        </is>
      </c>
      <c r="H278" t="inlineStr">
        <is>
          <t>SCA</t>
        </is>
      </c>
      <c r="I278" t="n">
        <v>1.7</v>
      </c>
      <c r="J278" t="n">
        <v>0</v>
      </c>
      <c r="K278" t="n">
        <v>0</v>
      </c>
      <c r="L278" t="n">
        <v>1</v>
      </c>
      <c r="M278" t="n">
        <v>0</v>
      </c>
      <c r="N278" t="n">
        <v>0</v>
      </c>
      <c r="O278" t="n">
        <v>0</v>
      </c>
      <c r="P278" t="n">
        <v>0</v>
      </c>
      <c r="Q278" t="n">
        <v>1</v>
      </c>
      <c r="R278" t="n">
        <v>0</v>
      </c>
      <c r="S278" t="n">
        <v>1</v>
      </c>
      <c r="T278" t="n">
        <v>3</v>
      </c>
      <c r="U278" t="n">
        <v>0</v>
      </c>
      <c r="V278" s="2" t="inlineStr">
        <is>
          <t>Lunglav</t>
        </is>
      </c>
      <c r="W278">
        <f>HYPERLINK("https://klasma.github.io/Logging_2260/artfynd/A 39049-2026 artfynd.xlsx", "A 39049-2026")</f>
        <v/>
      </c>
      <c r="X278">
        <f>HYPERLINK("https://klasma.github.io/Logging_2260/kartor/A 39049-2026 karta.png", "A 39049-2026")</f>
        <v/>
      </c>
      <c r="Y278">
        <f>HYPERLINK("https://klasma.github.io/Logging_2260/kartor_geotiff/A 39049-2026 georefererad karta.tif", "A 39049-2026")</f>
        <v/>
      </c>
      <c r="AA278">
        <f>HYPERLINK("https://klasma.github.io/Logging_2260/klagomål/A 39049-2026 FSC-klagomål.docx", "A 39049-2026")</f>
        <v/>
      </c>
      <c r="AB278">
        <f>HYPERLINK("https://klasma.github.io/Logging_2260/klagomålsmail/A 39049-2026 FSC-klagomål mail.docx", "A 39049-2026")</f>
        <v/>
      </c>
      <c r="AC278">
        <f>HYPERLINK("https://klasma.github.io/Logging_2260/tillsyn/A 39049-2026 tillsynsbegäran.docx", "A 39049-2026")</f>
        <v/>
      </c>
      <c r="AD278">
        <f>HYPERLINK("https://klasma.github.io/Logging_2260/tillsynsmail/A 39049-2026 tillsynsbegäran mail.docx", "A 39049-2026")</f>
        <v/>
      </c>
    </row>
    <row r="279" ht="15" customHeight="1">
      <c r="A279" t="inlineStr">
        <is>
          <t>A 31510-2024</t>
        </is>
      </c>
      <c r="B279" t="inlineStr">
        <is>
          <t>avverkningsanmälan</t>
        </is>
      </c>
      <c r="C279" t="inlineStr">
        <is>
          <t>Avverkning för att bevara och utveckla /försöksver</t>
        </is>
      </c>
      <c r="D279" s="1" t="n">
        <v>45505</v>
      </c>
      <c r="E279" s="1" t="n">
        <v>46310</v>
      </c>
      <c r="F279" t="inlineStr">
        <is>
          <t>VÄSTERNORRLANDS LÄN</t>
        </is>
      </c>
      <c r="G279" t="inlineStr">
        <is>
          <t>ÅNGE</t>
        </is>
      </c>
      <c r="H279" t="inlineStr">
        <is>
          <t>SCA</t>
        </is>
      </c>
      <c r="I279" t="n">
        <v>6</v>
      </c>
      <c r="J279" t="n">
        <v>1</v>
      </c>
      <c r="K279" t="n">
        <v>0</v>
      </c>
      <c r="L279" t="n">
        <v>0</v>
      </c>
      <c r="M279" t="n">
        <v>1</v>
      </c>
      <c r="N279" t="n">
        <v>0</v>
      </c>
      <c r="O279" t="n">
        <v>0</v>
      </c>
      <c r="P279" t="n">
        <v>0</v>
      </c>
      <c r="Q279" t="n">
        <v>1</v>
      </c>
      <c r="R279" t="n">
        <v>1</v>
      </c>
      <c r="S279" t="n">
        <v>1</v>
      </c>
      <c r="T279" t="n">
        <v>1</v>
      </c>
      <c r="U279" t="n">
        <v>0</v>
      </c>
      <c r="V279" s="2" t="inlineStr">
        <is>
          <t>Doftticka</t>
        </is>
      </c>
      <c r="W279">
        <f>HYPERLINK("https://klasma.github.io/Logging_2260/artfynd/A 31510-2024 artfynd.xlsx", "A 31510-2024")</f>
        <v/>
      </c>
      <c r="X279">
        <f>HYPERLINK("https://klasma.github.io/Logging_2260/kartor/A 31510-2024 karta.png", "A 31510-2024")</f>
        <v/>
      </c>
      <c r="Y279">
        <f>HYPERLINK("https://klasma.github.io/Logging_2260/kartor_geotiff/A 31510-2024 georefererad karta.tif", "A 31510-2024")</f>
        <v/>
      </c>
      <c r="AA279">
        <f>HYPERLINK("https://klasma.github.io/Logging_2260/klagomål/A 31510-2024 FSC-klagomål.docx", "A 31510-2024")</f>
        <v/>
      </c>
      <c r="AB279">
        <f>HYPERLINK("https://klasma.github.io/Logging_2260/klagomålsmail/A 31510-2024 FSC-klagomål mail.docx", "A 31510-2024")</f>
        <v/>
      </c>
      <c r="AC279">
        <f>HYPERLINK("https://klasma.github.io/Logging_2260/tillsyn/A 31510-2024 tillsynsbegäran.docx", "A 31510-2024")</f>
        <v/>
      </c>
      <c r="AD279">
        <f>HYPERLINK("https://klasma.github.io/Logging_2260/tillsynsmail/A 31510-2024 tillsynsbegäran mail.docx", "A 31510-2024")</f>
        <v/>
      </c>
    </row>
    <row r="280" ht="15" customHeight="1">
      <c r="A280" t="inlineStr">
        <is>
          <t>A 15287-2025</t>
        </is>
      </c>
      <c r="B280" t="inlineStr">
        <is>
          <t>avverkningsanmälan</t>
        </is>
      </c>
      <c r="C280" t="inlineStr">
        <is>
          <t>Föryngringsavverkning</t>
        </is>
      </c>
      <c r="D280" s="1" t="n">
        <v>45745</v>
      </c>
      <c r="E280" s="1" t="n">
        <v>46310</v>
      </c>
      <c r="F280" t="inlineStr">
        <is>
          <t>VÄSTERNORRLANDS LÄN</t>
        </is>
      </c>
      <c r="G280" t="inlineStr">
        <is>
          <t>ÅNGE</t>
        </is>
      </c>
      <c r="H280" t="inlineStr">
        <is>
          <t>SCA</t>
        </is>
      </c>
      <c r="I280" t="n">
        <v>4.3</v>
      </c>
      <c r="J280" t="n">
        <v>1</v>
      </c>
      <c r="K280" t="n">
        <v>0</v>
      </c>
      <c r="L280" t="n">
        <v>1</v>
      </c>
      <c r="M280" t="n">
        <v>0</v>
      </c>
      <c r="N280" t="n">
        <v>0</v>
      </c>
      <c r="O280" t="n">
        <v>0</v>
      </c>
      <c r="P280" t="n">
        <v>0</v>
      </c>
      <c r="Q280" t="n">
        <v>1</v>
      </c>
      <c r="R280" t="n">
        <v>0</v>
      </c>
      <c r="S280" t="n">
        <v>1</v>
      </c>
      <c r="T280" t="n">
        <v>1</v>
      </c>
      <c r="U280" t="n">
        <v>0</v>
      </c>
      <c r="V280" s="2" t="inlineStr">
        <is>
          <t>Tretåig hackspett</t>
        </is>
      </c>
      <c r="W280">
        <f>HYPERLINK("https://klasma.github.io/Logging_2260/artfynd/A 15287-2025 artfynd.xlsx", "A 15287-2025")</f>
        <v/>
      </c>
      <c r="X280">
        <f>HYPERLINK("https://klasma.github.io/Logging_2260/kartor/A 15287-2025 karta.png", "A 15287-2025")</f>
        <v/>
      </c>
      <c r="Y280">
        <f>HYPERLINK("https://klasma.github.io/Logging_2260/kartor_geotiff/A 15287-2025 georefererad karta.tif", "A 15287-2025")</f>
        <v/>
      </c>
      <c r="AA280">
        <f>HYPERLINK("https://klasma.github.io/Logging_2260/klagomål/A 15287-2025 FSC-klagomål.docx", "A 15287-2025")</f>
        <v/>
      </c>
      <c r="AB280">
        <f>HYPERLINK("https://klasma.github.io/Logging_2260/klagomålsmail/A 15287-2025 FSC-klagomål mail.docx", "A 15287-2025")</f>
        <v/>
      </c>
      <c r="AC280">
        <f>HYPERLINK("https://klasma.github.io/Logging_2260/tillsyn/A 15287-2025 tillsynsbegäran.docx", "A 15287-2025")</f>
        <v/>
      </c>
      <c r="AD280">
        <f>HYPERLINK("https://klasma.github.io/Logging_2260/tillsynsmail/A 15287-2025 tillsynsbegäran mail.docx", "A 15287-2025")</f>
        <v/>
      </c>
      <c r="AE280">
        <f>HYPERLINK("https://klasma.github.io/Logging_2260/fåglar/A 15287-2025 prioriterade fågelarter.docx", "A 15287-2025")</f>
        <v/>
      </c>
    </row>
    <row r="281" ht="15" customHeight="1">
      <c r="A281" t="inlineStr">
        <is>
          <t>A 39180-2024</t>
        </is>
      </c>
      <c r="B281" t="inlineStr">
        <is>
          <t>avverkningsanmälan</t>
        </is>
      </c>
      <c r="C281" t="inlineStr">
        <is>
          <t>Föryngringsavverkning</t>
        </is>
      </c>
      <c r="D281" s="1" t="n">
        <v>45548</v>
      </c>
      <c r="E281" s="1" t="n">
        <v>46310</v>
      </c>
      <c r="F281" t="inlineStr">
        <is>
          <t>VÄSTERNORRLANDS LÄN</t>
        </is>
      </c>
      <c r="G281" t="inlineStr">
        <is>
          <t>ÅNGE</t>
        </is>
      </c>
      <c r="H281" t="inlineStr">
        <is>
          <t>SCA</t>
        </is>
      </c>
      <c r="I281" t="n">
        <v>8.699999999999999</v>
      </c>
      <c r="J281" t="n">
        <v>0</v>
      </c>
      <c r="K281" t="n">
        <v>1</v>
      </c>
      <c r="L281" t="n">
        <v>0</v>
      </c>
      <c r="M281" t="n">
        <v>0</v>
      </c>
      <c r="N281" t="n">
        <v>0</v>
      </c>
      <c r="O281" t="n">
        <v>0</v>
      </c>
      <c r="P281" t="n">
        <v>0</v>
      </c>
      <c r="Q281" t="n">
        <v>0</v>
      </c>
      <c r="R281" t="n">
        <v>0</v>
      </c>
      <c r="S281" t="n">
        <v>1</v>
      </c>
      <c r="T281" t="n">
        <v>1</v>
      </c>
      <c r="U281" t="n">
        <v>0</v>
      </c>
      <c r="V281" s="2" t="inlineStr">
        <is>
          <t>Grov husmossa</t>
        </is>
      </c>
      <c r="W281">
        <f>HYPERLINK("https://klasma.github.io/Logging_2260/artfynd/A 39180-2024 artfynd.xlsx", "A 39180-2024")</f>
        <v/>
      </c>
      <c r="X281">
        <f>HYPERLINK("https://klasma.github.io/Logging_2260/kartor/A 39180-2024 karta.png", "A 39180-2024")</f>
        <v/>
      </c>
      <c r="Y281">
        <f>HYPERLINK("https://klasma.github.io/Logging_2260/kartor_geotiff/A 39180-2024 georefererad karta.tif", "A 39180-2024")</f>
        <v/>
      </c>
      <c r="AA281">
        <f>HYPERLINK("https://klasma.github.io/Logging_2260/klagomål/A 39180-2024 FSC-klagomål.docx", "A 39180-2024")</f>
        <v/>
      </c>
      <c r="AB281">
        <f>HYPERLINK("https://klasma.github.io/Logging_2260/klagomålsmail/A 39180-2024 FSC-klagomål mail.docx", "A 39180-2024")</f>
        <v/>
      </c>
      <c r="AC281">
        <f>HYPERLINK("https://klasma.github.io/Logging_2260/tillsyn/A 39180-2024 tillsynsbegäran.docx", "A 39180-2024")</f>
        <v/>
      </c>
      <c r="AD281">
        <f>HYPERLINK("https://klasma.github.io/Logging_2260/tillsynsmail/A 39180-2024 tillsynsbegäran mail.docx", "A 39180-2024")</f>
        <v/>
      </c>
    </row>
    <row r="282" ht="15" customHeight="1">
      <c r="A282" t="inlineStr">
        <is>
          <t>A 40550-2026</t>
        </is>
      </c>
      <c r="B282" t="inlineStr">
        <is>
          <t>avverkningsanmälan</t>
        </is>
      </c>
      <c r="C282" t="inlineStr">
        <is>
          <t>Föryngringsavverkning</t>
        </is>
      </c>
      <c r="D282" s="1" t="n">
        <v>46295</v>
      </c>
      <c r="E282" s="1" t="n">
        <v>46310</v>
      </c>
      <c r="F282" t="inlineStr">
        <is>
          <t>VÄSTERNORRLANDS LÄN</t>
        </is>
      </c>
      <c r="G282" t="inlineStr">
        <is>
          <t>ÅNGE</t>
        </is>
      </c>
      <c r="H282" t="inlineStr">
        <is>
          <t>SCA</t>
        </is>
      </c>
      <c r="I282" t="n">
        <v>9.300000000000001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HYPERLINK("https://klasma.github.io/Logging_2260/artfynd/A 40550-2026 artfynd.xlsx", "A 40550-2026")</f>
        <v/>
      </c>
      <c r="X282">
        <f>HYPERLINK("https://klasma.github.io/Logging_2260/kartor/A 40550-2026 karta.png", "A 40550-2026")</f>
        <v/>
      </c>
      <c r="Y282">
        <f>HYPERLINK("https://klasma.github.io/Logging_2260/kartor_geotiff/A 40550-2026 georefererad karta.tif", "A 40550-2026")</f>
        <v/>
      </c>
      <c r="AA282">
        <f>HYPERLINK("https://klasma.github.io/Logging_2260/klagomål/A 40550-2026 FSC-klagomål.docx", "A 40550-2026")</f>
        <v/>
      </c>
      <c r="AB282">
        <f>HYPERLINK("https://klasma.github.io/Logging_2260/klagomålsmail/A 40550-2026 FSC-klagomål mail.docx", "A 40550-2026")</f>
        <v/>
      </c>
      <c r="AC282">
        <f>HYPERLINK("https://klasma.github.io/Logging_2260/tillsyn/A 40550-2026 tillsynsbegäran.docx", "A 40550-2026")</f>
        <v/>
      </c>
      <c r="AD282">
        <f>HYPERLINK("https://klasma.github.io/Logging_2260/tillsynsmail/A 40550-2026 tillsynsbegäran mail.docx", "A 40550-2026")</f>
        <v/>
      </c>
    </row>
    <row r="283" ht="15" customHeight="1">
      <c r="A283" t="inlineStr">
        <is>
          <t>A 40551-2026</t>
        </is>
      </c>
      <c r="B283" t="inlineStr">
        <is>
          <t>avverkningsanmälan</t>
        </is>
      </c>
      <c r="C283" t="inlineStr">
        <is>
          <t>Föryngringsavverkning</t>
        </is>
      </c>
      <c r="D283" s="1" t="n">
        <v>46295</v>
      </c>
      <c r="E283" s="1" t="n">
        <v>46310</v>
      </c>
      <c r="F283" t="inlineStr">
        <is>
          <t>VÄSTERNORRLANDS LÄN</t>
        </is>
      </c>
      <c r="G283" t="inlineStr">
        <is>
          <t>ÅNGE</t>
        </is>
      </c>
      <c r="H283" t="inlineStr">
        <is>
          <t>SCA</t>
        </is>
      </c>
      <c r="I283" t="n">
        <v>5.2</v>
      </c>
      <c r="J283" t="n">
        <v>1</v>
      </c>
      <c r="K283" t="n">
        <v>0</v>
      </c>
      <c r="L283" t="n">
        <v>0</v>
      </c>
      <c r="M283" t="n">
        <v>0</v>
      </c>
      <c r="N283" t="n">
        <v>0</v>
      </c>
      <c r="O283" t="n">
        <v>0</v>
      </c>
      <c r="P283" t="n">
        <v>0</v>
      </c>
      <c r="Q283" t="n">
        <v>0</v>
      </c>
      <c r="R283" t="n">
        <v>0</v>
      </c>
      <c r="S283" t="n">
        <v>1</v>
      </c>
      <c r="T283" t="n">
        <v>1</v>
      </c>
      <c r="U283" t="n">
        <v>0</v>
      </c>
      <c r="V283" s="2" t="inlineStr">
        <is>
          <t>Ängsnycklar</t>
        </is>
      </c>
      <c r="W283">
        <f>HYPERLINK("https://klasma.github.io/Logging_2260/artfynd/A 40551-2026 artfynd.xlsx", "A 40551-2026")</f>
        <v/>
      </c>
      <c r="X283">
        <f>HYPERLINK("https://klasma.github.io/Logging_2260/kartor/A 40551-2026 karta.png", "A 40551-2026")</f>
        <v/>
      </c>
      <c r="Y283">
        <f>HYPERLINK("https://klasma.github.io/Logging_2260/kartor_geotiff/A 40551-2026 georefererad karta.tif", "A 40551-2026")</f>
        <v/>
      </c>
      <c r="AA283">
        <f>HYPERLINK("https://klasma.github.io/Logging_2260/klagomål/A 40551-2026 FSC-klagomål.docx", "A 40551-2026")</f>
        <v/>
      </c>
      <c r="AB283">
        <f>HYPERLINK("https://klasma.github.io/Logging_2260/klagomålsmail/A 40551-2026 FSC-klagomål mail.docx", "A 40551-2026")</f>
        <v/>
      </c>
      <c r="AC283">
        <f>HYPERLINK("https://klasma.github.io/Logging_2260/tillsyn/A 40551-2026 tillsynsbegäran.docx", "A 40551-2026")</f>
        <v/>
      </c>
      <c r="AD283">
        <f>HYPERLINK("https://klasma.github.io/Logging_2260/tillsynsmail/A 40551-2026 tillsynsbegäran mail.docx", "A 40551-2026")</f>
        <v/>
      </c>
    </row>
    <row r="284" ht="15" customHeight="1">
      <c r="A284" t="inlineStr">
        <is>
          <t>A 54982-2023</t>
        </is>
      </c>
      <c r="B284" t="inlineStr">
        <is>
          <t>avverkningsanmälan</t>
        </is>
      </c>
      <c r="C284" t="inlineStr">
        <is>
          <t>Föryngringsavverkning</t>
        </is>
      </c>
      <c r="D284" s="1" t="n">
        <v>45236</v>
      </c>
      <c r="E284" s="1" t="n">
        <v>46310</v>
      </c>
      <c r="F284" t="inlineStr">
        <is>
          <t>VÄSTERNORRLANDS LÄN</t>
        </is>
      </c>
      <c r="G284" t="inlineStr">
        <is>
          <t>ÅNGE</t>
        </is>
      </c>
      <c r="H284" t="inlineStr">
        <is>
          <t>SCA</t>
        </is>
      </c>
      <c r="I284" t="n">
        <v>26.2</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HYPERLINK("https://klasma.github.io/Logging_2260/artfynd/A 54982-2023 artfynd.xlsx", "A 54982-2023")</f>
        <v/>
      </c>
      <c r="X284">
        <f>HYPERLINK("https://klasma.github.io/Logging_2260/kartor/A 54982-2023 karta.png", "A 54982-2023")</f>
        <v/>
      </c>
      <c r="Y284">
        <f>HYPERLINK("https://klasma.github.io/Logging_2260/kartor_geotiff/A 54982-2023 georefererad karta.tif", "A 54982-2023")</f>
        <v/>
      </c>
      <c r="AA284">
        <f>HYPERLINK("https://klasma.github.io/Logging_2260/klagomål/A 54982-2023 FSC-klagomål.docx", "A 54982-2023")</f>
        <v/>
      </c>
      <c r="AB284">
        <f>HYPERLINK("https://klasma.github.io/Logging_2260/klagomålsmail/A 54982-2023 FSC-klagomål mail.docx", "A 54982-2023")</f>
        <v/>
      </c>
      <c r="AC284">
        <f>HYPERLINK("https://klasma.github.io/Logging_2260/tillsyn/A 54982-2023 tillsynsbegäran.docx", "A 54982-2023")</f>
        <v/>
      </c>
      <c r="AD284">
        <f>HYPERLINK("https://klasma.github.io/Logging_2260/tillsynsmail/A 54982-2023 tillsynsbegäran mail.docx", "A 54982-2023")</f>
        <v/>
      </c>
    </row>
    <row r="285" ht="15" customHeight="1">
      <c r="A285" t="inlineStr">
        <is>
          <t>A 34615-2026</t>
        </is>
      </c>
      <c r="B285" t="inlineStr">
        <is>
          <t>avverkningsanmälan</t>
        </is>
      </c>
      <c r="C285" t="inlineStr">
        <is>
          <t>Föryngringsavverkning</t>
        </is>
      </c>
      <c r="D285" s="1" t="n">
        <v>46255</v>
      </c>
      <c r="E285" s="1" t="n">
        <v>46310</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41763-2026</t>
        </is>
      </c>
      <c r="B286" t="inlineStr">
        <is>
          <t>avverkningsanmälan</t>
        </is>
      </c>
      <c r="C286" t="inlineStr">
        <is>
          <t>Föryngringsavverkning</t>
        </is>
      </c>
      <c r="D286" s="1" t="n">
        <v>46302</v>
      </c>
      <c r="E286" s="1" t="n">
        <v>46310</v>
      </c>
      <c r="F286" t="inlineStr">
        <is>
          <t>VÄSTERNORRLANDS LÄN</t>
        </is>
      </c>
      <c r="G286" t="inlineStr">
        <is>
          <t>ÅNGE</t>
        </is>
      </c>
      <c r="H286" t="inlineStr">
        <is>
          <t>SCA</t>
        </is>
      </c>
      <c r="I286" t="n">
        <v>3.4</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41763-2026 artfynd.xlsx", "A 41763-2026")</f>
        <v/>
      </c>
      <c r="X286">
        <f>HYPERLINK("https://klasma.github.io/Logging_2260/kartor/A 41763-2026 karta.png", "A 41763-2026")</f>
        <v/>
      </c>
      <c r="Y286">
        <f>HYPERLINK("https://klasma.github.io/Logging_2260/kartor_geotiff/A 41763-2026 georefererad karta.tif", "A 41763-2026")</f>
        <v/>
      </c>
      <c r="AA286">
        <f>HYPERLINK("https://klasma.github.io/Logging_2260/klagomål/A 41763-2026 FSC-klagomål.docx", "A 41763-2026")</f>
        <v/>
      </c>
      <c r="AB286">
        <f>HYPERLINK("https://klasma.github.io/Logging_2260/klagomålsmail/A 41763-2026 FSC-klagomål mail.docx", "A 41763-2026")</f>
        <v/>
      </c>
      <c r="AC286">
        <f>HYPERLINK("https://klasma.github.io/Logging_2260/tillsyn/A 41763-2026 tillsynsbegäran.docx", "A 41763-2026")</f>
        <v/>
      </c>
      <c r="AD286">
        <f>HYPERLINK("https://klasma.github.io/Logging_2260/tillsynsmail/A 41763-2026 tillsynsbegäran mail.docx", "A 41763-2026")</f>
        <v/>
      </c>
      <c r="AE286">
        <f>HYPERLINK("https://klasma.github.io/Logging_2260/fåglar/A 41763-2026 prioriterade fågelarter.docx", "A 41763-2026")</f>
        <v/>
      </c>
    </row>
    <row r="287" ht="15" customHeight="1">
      <c r="A287" t="inlineStr">
        <is>
          <t>A 41762-2026</t>
        </is>
      </c>
      <c r="B287" t="inlineStr">
        <is>
          <t>avverkningsanmälan</t>
        </is>
      </c>
      <c r="C287" t="inlineStr">
        <is>
          <t>Föryngringsavverkning</t>
        </is>
      </c>
      <c r="D287" s="1" t="n">
        <v>46302</v>
      </c>
      <c r="E287" s="1" t="n">
        <v>46310</v>
      </c>
      <c r="F287" t="inlineStr">
        <is>
          <t>VÄSTERNORRLANDS LÄN</t>
        </is>
      </c>
      <c r="G287" t="inlineStr">
        <is>
          <t>ÅNGE</t>
        </is>
      </c>
      <c r="H287" t="inlineStr">
        <is>
          <t>SCA</t>
        </is>
      </c>
      <c r="I287" t="n">
        <v>3.3</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41762-2026 artfynd.xlsx", "A 41762-2026")</f>
        <v/>
      </c>
      <c r="X287">
        <f>HYPERLINK("https://klasma.github.io/Logging_2260/kartor/A 41762-2026 karta.png", "A 41762-2026")</f>
        <v/>
      </c>
      <c r="Y287">
        <f>HYPERLINK("https://klasma.github.io/Logging_2260/kartor_geotiff/A 41762-2026 georefererad karta.tif", "A 41762-2026")</f>
        <v/>
      </c>
      <c r="AA287">
        <f>HYPERLINK("https://klasma.github.io/Logging_2260/klagomål/A 41762-2026 FSC-klagomål.docx", "A 41762-2026")</f>
        <v/>
      </c>
      <c r="AB287">
        <f>HYPERLINK("https://klasma.github.io/Logging_2260/klagomålsmail/A 41762-2026 FSC-klagomål mail.docx", "A 41762-2026")</f>
        <v/>
      </c>
      <c r="AC287">
        <f>HYPERLINK("https://klasma.github.io/Logging_2260/tillsyn/A 41762-2026 tillsynsbegäran.docx", "A 41762-2026")</f>
        <v/>
      </c>
      <c r="AD287">
        <f>HYPERLINK("https://klasma.github.io/Logging_2260/tillsynsmail/A 41762-2026 tillsynsbegäran mail.docx", "A 41762-2026")</f>
        <v/>
      </c>
      <c r="AE287">
        <f>HYPERLINK("https://klasma.github.io/Logging_2260/fåglar/A 41762-2026 prioriterade fågelarter.docx", "A 41762-2026")</f>
        <v/>
      </c>
    </row>
    <row r="288" ht="15" customHeight="1">
      <c r="A288" t="inlineStr">
        <is>
          <t>A 35362-2026</t>
        </is>
      </c>
      <c r="B288" t="inlineStr">
        <is>
          <t>avverkningsanmälan</t>
        </is>
      </c>
      <c r="C288" t="inlineStr">
        <is>
          <t>Föryngringsavverkning</t>
        </is>
      </c>
      <c r="D288" s="1" t="n">
        <v>46261</v>
      </c>
      <c r="E288" s="1" t="n">
        <v>46310</v>
      </c>
      <c r="F288" t="inlineStr">
        <is>
          <t>VÄSTERNORRLANDS LÄN</t>
        </is>
      </c>
      <c r="G288" t="inlineStr">
        <is>
          <t>ÅNGE</t>
        </is>
      </c>
      <c r="H288" t="inlineStr">
        <is>
          <t>SCA</t>
        </is>
      </c>
      <c r="I288" t="n">
        <v>9.9</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HYPERLINK("https://klasma.github.io/Logging_2260/artfynd/A 35362-2026 artfynd.xlsx", "A 35362-2026")</f>
        <v/>
      </c>
      <c r="X288">
        <f>HYPERLINK("https://klasma.github.io/Logging_2260/kartor/A 35362-2026 karta.png", "A 35362-2026")</f>
        <v/>
      </c>
      <c r="Y288">
        <f>HYPERLINK("https://klasma.github.io/Logging_2260/kartor_geotiff/A 35362-2026 georefererad karta.tif", "A 35362-2026")</f>
        <v/>
      </c>
      <c r="AA288">
        <f>HYPERLINK("https://klasma.github.io/Logging_2260/klagomål/A 35362-2026 FSC-klagomål.docx", "A 35362-2026")</f>
        <v/>
      </c>
      <c r="AB288">
        <f>HYPERLINK("https://klasma.github.io/Logging_2260/klagomålsmail/A 35362-2026 FSC-klagomål mail.docx", "A 35362-2026")</f>
        <v/>
      </c>
      <c r="AC288">
        <f>HYPERLINK("https://klasma.github.io/Logging_2260/tillsyn/A 35362-2026 tillsynsbegäran.docx", "A 35362-2026")</f>
        <v/>
      </c>
      <c r="AD288">
        <f>HYPERLINK("https://klasma.github.io/Logging_2260/tillsynsmail/A 35362-2026 tillsynsbegäran mail.docx", "A 35362-2026")</f>
        <v/>
      </c>
    </row>
    <row r="289" ht="15" customHeight="1">
      <c r="A289" t="inlineStr">
        <is>
          <t>A 42322-2026</t>
        </is>
      </c>
      <c r="B289" t="inlineStr">
        <is>
          <t>avverkningsanmälan</t>
        </is>
      </c>
      <c r="C289" t="inlineStr">
        <is>
          <t>Föryngringsavverkning</t>
        </is>
      </c>
      <c r="D289" s="1" t="n">
        <v>46307</v>
      </c>
      <c r="E289" s="1" t="n">
        <v>46310</v>
      </c>
      <c r="F289" t="inlineStr">
        <is>
          <t>VÄSTERNORRLANDS LÄN</t>
        </is>
      </c>
      <c r="G289" t="inlineStr">
        <is>
          <t>ÅNGE</t>
        </is>
      </c>
      <c r="H289" t="inlineStr">
        <is>
          <t>SCA</t>
        </is>
      </c>
      <c r="I289" t="n">
        <v>1.1</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42322-2026 artfynd.xlsx", "A 42322-2026")</f>
        <v/>
      </c>
      <c r="X289">
        <f>HYPERLINK("https://klasma.github.io/Logging_2260/kartor/A 42322-2026 karta.png", "A 42322-2026")</f>
        <v/>
      </c>
      <c r="Y289">
        <f>HYPERLINK("https://klasma.github.io/Logging_2260/kartor_geotiff/A 42322-2026 georefererad karta.tif", "A 42322-2026")</f>
        <v/>
      </c>
      <c r="AA289">
        <f>HYPERLINK("https://klasma.github.io/Logging_2260/klagomål/A 42322-2026 FSC-klagomål.docx", "A 42322-2026")</f>
        <v/>
      </c>
      <c r="AB289">
        <f>HYPERLINK("https://klasma.github.io/Logging_2260/klagomålsmail/A 42322-2026 FSC-klagomål mail.docx", "A 42322-2026")</f>
        <v/>
      </c>
      <c r="AC289">
        <f>HYPERLINK("https://klasma.github.io/Logging_2260/tillsyn/A 42322-2026 tillsynsbegäran.docx", "A 42322-2026")</f>
        <v/>
      </c>
      <c r="AD289">
        <f>HYPERLINK("https://klasma.github.io/Logging_2260/tillsynsmail/A 42322-2026 tillsynsbegäran mail.docx", "A 42322-2026")</f>
        <v/>
      </c>
    </row>
    <row r="290" ht="15" customHeight="1">
      <c r="A290" t="inlineStr">
        <is>
          <t>S 1222-2024</t>
        </is>
      </c>
      <c r="B290" t="inlineStr">
        <is>
          <t>samrådsanmälan</t>
        </is>
      </c>
      <c r="C290" t="inlineStr">
        <is>
          <t>Annan skogsbruksåtgärd</t>
        </is>
      </c>
      <c r="D290" s="1" t="n">
        <v>45398</v>
      </c>
      <c r="E290" s="1" t="n">
        <v>46310</v>
      </c>
      <c r="F290" t="inlineStr">
        <is>
          <t>VÄSTERNORRLANDS LÄN</t>
        </is>
      </c>
      <c r="G290" t="inlineStr">
        <is>
          <t>ÅNGE</t>
        </is>
      </c>
      <c r="H290" t="inlineStr">
        <is>
          <t>SCA</t>
        </is>
      </c>
      <c r="I290" t="n">
        <v>40.4</v>
      </c>
      <c r="J290" t="n">
        <v>1</v>
      </c>
      <c r="K290" t="n">
        <v>0</v>
      </c>
      <c r="L290" t="n">
        <v>1</v>
      </c>
      <c r="M290" t="n">
        <v>0</v>
      </c>
      <c r="N290" t="n">
        <v>0</v>
      </c>
      <c r="O290" t="n">
        <v>0</v>
      </c>
      <c r="P290" t="n">
        <v>0</v>
      </c>
      <c r="Q290" t="n">
        <v>1</v>
      </c>
      <c r="R290" t="n">
        <v>0</v>
      </c>
      <c r="S290" t="n">
        <v>1</v>
      </c>
      <c r="T290" t="n">
        <v>1</v>
      </c>
      <c r="U290" t="n">
        <v>1</v>
      </c>
      <c r="V290" s="2" t="inlineStr">
        <is>
          <t>Kricka</t>
        </is>
      </c>
      <c r="W290">
        <f>HYPERLINK("https://klasma.github.io/Logging_2260/artfynd/S 1222-2024 artfynd.xlsx", "S 1222-2024")</f>
        <v/>
      </c>
      <c r="X290">
        <f>HYPERLINK("https://klasma.github.io/Logging_2260/kartor/S 1222-2024 karta.png", "S 1222-2024")</f>
        <v/>
      </c>
      <c r="Y290">
        <f>HYPERLINK("https://klasma.github.io/Logging_2260/kartor_geotiff/S 1222-2024 georefererad karta.tif", "S 1222-2024")</f>
        <v/>
      </c>
      <c r="AA290">
        <f>HYPERLINK("https://klasma.github.io/Logging_2260/klagomål/S 1222-2024 FSC-klagomål.docx", "S 1222-2024")</f>
        <v/>
      </c>
      <c r="AB290">
        <f>HYPERLINK("https://klasma.github.io/Logging_2260/klagomålsmail/S 1222-2024 FSC-klagomål mail.docx", "S 1222-2024")</f>
        <v/>
      </c>
      <c r="AC290">
        <f>HYPERLINK("https://klasma.github.io/Logging_2260/tillsyn/S 1222-2024 tillsynsbegäran.docx", "S 1222-2024")</f>
        <v/>
      </c>
      <c r="AD290">
        <f>HYPERLINK("https://klasma.github.io/Logging_2260/tillsynsmail/S 1222-2024 tillsynsbegäran mail.docx", "S 1222-2024")</f>
        <v/>
      </c>
      <c r="AE290">
        <f>HYPERLINK("https://klasma.github.io/Logging_2260/fåglar/S 1222-2024 prioriterade fågelarter.docx", "S 1222-2024")</f>
        <v/>
      </c>
    </row>
    <row r="291" ht="15" customHeight="1">
      <c r="A291" t="inlineStr">
        <is>
          <t>S 353-2026</t>
        </is>
      </c>
      <c r="B291" t="inlineStr">
        <is>
          <t>samrådsanmälan</t>
        </is>
      </c>
      <c r="C291" t="inlineStr">
        <is>
          <t>Skogsgödsling</t>
        </is>
      </c>
      <c r="D291" s="1" t="n">
        <v>46063</v>
      </c>
      <c r="E291" s="1" t="n">
        <v>46310</v>
      </c>
      <c r="F291" t="inlineStr">
        <is>
          <t>VÄSTERNORRLANDS LÄN</t>
        </is>
      </c>
      <c r="G291" t="inlineStr">
        <is>
          <t>ÅNGE</t>
        </is>
      </c>
      <c r="I291" t="n">
        <v>12.1</v>
      </c>
      <c r="J291" t="n">
        <v>1</v>
      </c>
      <c r="K291" t="n">
        <v>0</v>
      </c>
      <c r="L291" t="n">
        <v>0</v>
      </c>
      <c r="M291" t="n">
        <v>0</v>
      </c>
      <c r="N291" t="n">
        <v>0</v>
      </c>
      <c r="O291" t="n">
        <v>0</v>
      </c>
      <c r="P291" t="n">
        <v>0</v>
      </c>
      <c r="Q291" t="n">
        <v>0</v>
      </c>
      <c r="R291" t="n">
        <v>0</v>
      </c>
      <c r="S291" t="n">
        <v>1</v>
      </c>
      <c r="T291" t="n">
        <v>1</v>
      </c>
      <c r="U291" t="n">
        <v>0</v>
      </c>
      <c r="V291" s="2" t="inlineStr">
        <is>
          <t>Järpe</t>
        </is>
      </c>
      <c r="W291">
        <f>HYPERLINK("https://klasma.github.io/Logging_2260/artfynd/S 353-2026 artfynd.xlsx", "S 353-2026")</f>
        <v/>
      </c>
      <c r="X291">
        <f>HYPERLINK("https://klasma.github.io/Logging_2260/kartor/S 353-2026 karta.png", "S 353-2026")</f>
        <v/>
      </c>
      <c r="Y291">
        <f>HYPERLINK("https://klasma.github.io/Logging_2260/kartor_geotiff/S 353-2026 georefererad karta.tif", "S 353-2026")</f>
        <v/>
      </c>
      <c r="AA291">
        <f>HYPERLINK("https://klasma.github.io/Logging_2260/klagomål/S 353-2026 FSC-klagomål.docx", "S 353-2026")</f>
        <v/>
      </c>
      <c r="AB291">
        <f>HYPERLINK("https://klasma.github.io/Logging_2260/klagomålsmail/S 353-2026 FSC-klagomål mail.docx", "S 353-2026")</f>
        <v/>
      </c>
      <c r="AC291">
        <f>HYPERLINK("https://klasma.github.io/Logging_2260/tillsyn/S 353-2026 tillsynsbegäran.docx", "S 353-2026")</f>
        <v/>
      </c>
      <c r="AD291">
        <f>HYPERLINK("https://klasma.github.io/Logging_2260/tillsynsmail/S 353-2026 tillsynsbegäran mail.docx", "S 353-2026")</f>
        <v/>
      </c>
      <c r="AE291">
        <f>HYPERLINK("https://klasma.github.io/Logging_2260/fåglar/S 353-2026 prioriterade fågelarter.docx", "S 353-2026")</f>
        <v/>
      </c>
    </row>
    <row r="292" ht="15" customHeight="1">
      <c r="A292" t="inlineStr">
        <is>
          <t>S 1692-2026</t>
        </is>
      </c>
      <c r="B292" t="inlineStr">
        <is>
          <t>samrådsanmälan</t>
        </is>
      </c>
      <c r="C292" t="inlineStr">
        <is>
          <t>Annan skogsbruksåtgärd</t>
        </is>
      </c>
      <c r="D292" s="1" t="n">
        <v>46183</v>
      </c>
      <c r="E292" s="1" t="n">
        <v>46310</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HYPERLINK("https://klasma.github.io/Logging_2260/artfynd/S 1692-2026 artfynd.xlsx", "S 1692-2026")</f>
        <v/>
      </c>
      <c r="X292">
        <f>HYPERLINK("https://klasma.github.io/Logging_2260/kartor/S 1692-2026 karta.png", "S 1692-2026")</f>
        <v/>
      </c>
      <c r="Y292">
        <f>HYPERLINK("https://klasma.github.io/Logging_2260/kartor_geotiff/S 1692-2026 georefererad karta.tif", "S 1692-2026")</f>
        <v/>
      </c>
      <c r="AA292">
        <f>HYPERLINK("https://klasma.github.io/Logging_2260/klagomål/S 1692-2026 FSC-klagomål.docx", "S 1692-2026")</f>
        <v/>
      </c>
      <c r="AB292">
        <f>HYPERLINK("https://klasma.github.io/Logging_2260/klagomålsmail/S 1692-2026 FSC-klagomål mail.docx", "S 1692-2026")</f>
        <v/>
      </c>
      <c r="AC292">
        <f>HYPERLINK("https://klasma.github.io/Logging_2260/tillsyn/S 1692-2026 tillsynsbegäran.docx", "S 1692-2026")</f>
        <v/>
      </c>
      <c r="AD292">
        <f>HYPERLINK("https://klasma.github.io/Logging_2260/tillsynsmail/S 1692-2026 tillsynsbegäran mail.docx", "S 1692-2026")</f>
        <v/>
      </c>
    </row>
    <row r="293" ht="15" customHeight="1">
      <c r="A293" t="inlineStr">
        <is>
          <t>A 24353-2022</t>
        </is>
      </c>
      <c r="B293" t="inlineStr">
        <is>
          <t>avverkningsanmälan</t>
        </is>
      </c>
      <c r="C293" t="inlineStr">
        <is>
          <t>Föryngringsavverkning</t>
        </is>
      </c>
      <c r="D293" s="1" t="n">
        <v>44726</v>
      </c>
      <c r="E293" s="1" t="n">
        <v>46310</v>
      </c>
      <c r="F293" t="inlineStr">
        <is>
          <t>VÄSTERNORRLANDS LÄN</t>
        </is>
      </c>
      <c r="G293" t="inlineStr">
        <is>
          <t>ÅNGE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46310</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46310</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74088-2021</t>
        </is>
      </c>
      <c r="B296" t="inlineStr">
        <is>
          <t>avverkningsanmälan</t>
        </is>
      </c>
      <c r="C296" t="inlineStr">
        <is>
          <t>Föryngringsavverkning</t>
        </is>
      </c>
      <c r="D296" s="1" t="n">
        <v>44557</v>
      </c>
      <c r="E296" s="1" t="n">
        <v>46310</v>
      </c>
      <c r="F296" t="inlineStr">
        <is>
          <t>VÄSTERNORRLANDS LÄN</t>
        </is>
      </c>
      <c r="G296" t="inlineStr">
        <is>
          <t>ÅNGE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71396-2021</t>
        </is>
      </c>
      <c r="B297" t="inlineStr">
        <is>
          <t>avverkningsanmälan</t>
        </is>
      </c>
      <c r="C297" t="inlineStr">
        <is>
          <t>Föryngringsavverkning</t>
        </is>
      </c>
      <c r="D297" s="1" t="n">
        <v>44540</v>
      </c>
      <c r="E297" s="1" t="n">
        <v>46310</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46310</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46310</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46310</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46310</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46310</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6677-2022</t>
        </is>
      </c>
      <c r="B303" t="inlineStr">
        <is>
          <t>avverkningsanmälan</t>
        </is>
      </c>
      <c r="C303" t="inlineStr">
        <is>
          <t>Föryngringsavverkning</t>
        </is>
      </c>
      <c r="D303" s="1" t="n">
        <v>44602</v>
      </c>
      <c r="E303" s="1" t="n">
        <v>46310</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46310</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46310</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46310</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46310</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46310</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46310</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46310</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46310</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19035-2022</t>
        </is>
      </c>
      <c r="B312" t="inlineStr">
        <is>
          <t>avverkningsanmälan</t>
        </is>
      </c>
      <c r="C312" t="inlineStr">
        <is>
          <t>Föryngringsavverkning</t>
        </is>
      </c>
      <c r="D312" s="1" t="n">
        <v>44691</v>
      </c>
      <c r="E312" s="1" t="n">
        <v>46310</v>
      </c>
      <c r="F312" t="inlineStr">
        <is>
          <t>VÄSTERNORRLANDS LÄN</t>
        </is>
      </c>
      <c r="G312" t="inlineStr">
        <is>
          <t>ÅNGE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46310</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46310</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46310</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46310</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46310</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46310</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46310</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46310</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46310</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5565-2022</t>
        </is>
      </c>
      <c r="B322" t="inlineStr">
        <is>
          <t>avverkningsanmälan</t>
        </is>
      </c>
      <c r="C322" t="inlineStr">
        <is>
          <t>Avverkning för annat ändamål</t>
        </is>
      </c>
      <c r="D322" s="1" t="n">
        <v>44595</v>
      </c>
      <c r="E322" s="1" t="n">
        <v>46310</v>
      </c>
      <c r="F322" t="inlineStr">
        <is>
          <t>VÄSTERNORRLANDS LÄN</t>
        </is>
      </c>
      <c r="G322" t="inlineStr">
        <is>
          <t>ÅNGE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46310</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46310</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46310</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46310</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46310</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46310</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46310</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46310</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46310</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46310</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46310</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46310</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46310</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46310</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46310</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46310</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17580-2022</t>
        </is>
      </c>
      <c r="B339" t="inlineStr">
        <is>
          <t>avverkningsanmälan</t>
        </is>
      </c>
      <c r="C339" t="inlineStr">
        <is>
          <t>Föryngringsavverkning</t>
        </is>
      </c>
      <c r="D339" s="1" t="n">
        <v>44679</v>
      </c>
      <c r="E339" s="1" t="n">
        <v>46310</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70893-2021</t>
        </is>
      </c>
      <c r="B340" t="inlineStr">
        <is>
          <t>avverkningsanmälan</t>
        </is>
      </c>
      <c r="C340" t="inlineStr">
        <is>
          <t>Föryngringsavverkning</t>
        </is>
      </c>
      <c r="D340" s="1" t="n">
        <v>44538</v>
      </c>
      <c r="E340" s="1" t="n">
        <v>46310</v>
      </c>
      <c r="F340" t="inlineStr">
        <is>
          <t>VÄSTERNORRLANDS LÄN</t>
        </is>
      </c>
      <c r="G340" t="inlineStr">
        <is>
          <t>ÅNGE</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20369-2022</t>
        </is>
      </c>
      <c r="B341" t="inlineStr">
        <is>
          <t>avverkningsanmälan</t>
        </is>
      </c>
      <c r="C341" t="inlineStr">
        <is>
          <t>Föryngringsavverkning</t>
        </is>
      </c>
      <c r="D341" s="1" t="n">
        <v>44699</v>
      </c>
      <c r="E341" s="1" t="n">
        <v>46310</v>
      </c>
      <c r="F341" t="inlineStr">
        <is>
          <t>VÄSTERNORRLANDS LÄN</t>
        </is>
      </c>
      <c r="G341" t="inlineStr">
        <is>
          <t>ÅNGE</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5113-2022</t>
        </is>
      </c>
      <c r="B342" t="inlineStr">
        <is>
          <t>avverkningsanmälan</t>
        </is>
      </c>
      <c r="C342" t="inlineStr">
        <is>
          <t>Föryngringsavverkning</t>
        </is>
      </c>
      <c r="D342" s="1" t="n">
        <v>44593</v>
      </c>
      <c r="E342" s="1" t="n">
        <v>46310</v>
      </c>
      <c r="F342" t="inlineStr">
        <is>
          <t>VÄSTERNORRLANDS LÄN</t>
        </is>
      </c>
      <c r="G342" t="inlineStr">
        <is>
          <t>ÅNGE</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61761-2021</t>
        </is>
      </c>
      <c r="B343" t="inlineStr">
        <is>
          <t>avverkningsanmälan</t>
        </is>
      </c>
      <c r="C343" t="inlineStr">
        <is>
          <t>Föryngringsavverkning</t>
        </is>
      </c>
      <c r="D343" s="1" t="n">
        <v>44501</v>
      </c>
      <c r="E343" s="1" t="n">
        <v>46310</v>
      </c>
      <c r="F343" t="inlineStr">
        <is>
          <t>VÄSTERNORRLANDS LÄN</t>
        </is>
      </c>
      <c r="G343" t="inlineStr">
        <is>
          <t>ÅNGE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30768-2022</t>
        </is>
      </c>
      <c r="B344" t="inlineStr">
        <is>
          <t>avverkningsanmälan</t>
        </is>
      </c>
      <c r="C344" t="inlineStr">
        <is>
          <t>Föryngringsavverkning</t>
        </is>
      </c>
      <c r="D344" s="1" t="n">
        <v>44764</v>
      </c>
      <c r="E344" s="1" t="n">
        <v>46310</v>
      </c>
      <c r="F344" t="inlineStr">
        <is>
          <t>VÄSTERNORRLANDS LÄN</t>
        </is>
      </c>
      <c r="G344" t="inlineStr">
        <is>
          <t>ÅNGE</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51494-2022</t>
        </is>
      </c>
      <c r="B345" t="inlineStr">
        <is>
          <t>avverkningsanmälan</t>
        </is>
      </c>
      <c r="C345" t="inlineStr">
        <is>
          <t>Föryngringsavverkning</t>
        </is>
      </c>
      <c r="D345" s="1" t="n">
        <v>44869</v>
      </c>
      <c r="E345" s="1" t="n">
        <v>46310</v>
      </c>
      <c r="F345" t="inlineStr">
        <is>
          <t>VÄSTERNORRLANDS LÄN</t>
        </is>
      </c>
      <c r="G345" t="inlineStr">
        <is>
          <t>ÅNGE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35283-2022</t>
        </is>
      </c>
      <c r="B346" t="inlineStr">
        <is>
          <t>avverkningsanmälan</t>
        </is>
      </c>
      <c r="C346" t="inlineStr">
        <is>
          <t>Föryngringsavverkning</t>
        </is>
      </c>
      <c r="D346" s="1" t="n">
        <v>44798</v>
      </c>
      <c r="E346" s="1" t="n">
        <v>46310</v>
      </c>
      <c r="F346" t="inlineStr">
        <is>
          <t>VÄSTERNORRLANDS LÄN</t>
        </is>
      </c>
      <c r="G346" t="inlineStr">
        <is>
          <t>ÅNGE</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33274-2022</t>
        </is>
      </c>
      <c r="B347" t="inlineStr">
        <is>
          <t>avverkningsanmälan</t>
        </is>
      </c>
      <c r="C347" t="inlineStr">
        <is>
          <t>Föryngringsavverkning</t>
        </is>
      </c>
      <c r="D347" s="1" t="n">
        <v>44788</v>
      </c>
      <c r="E347" s="1" t="n">
        <v>46310</v>
      </c>
      <c r="F347" t="inlineStr">
        <is>
          <t>VÄSTERNORRLANDS LÄN</t>
        </is>
      </c>
      <c r="G347" t="inlineStr">
        <is>
          <t>ÅNGE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46310</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46310</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40476-2022</t>
        </is>
      </c>
      <c r="B350" t="inlineStr">
        <is>
          <t>avverkningsanmälan</t>
        </is>
      </c>
      <c r="C350" t="inlineStr">
        <is>
          <t>Föryngringsavverkning</t>
        </is>
      </c>
      <c r="D350" s="1" t="n">
        <v>44823</v>
      </c>
      <c r="E350" s="1" t="n">
        <v>46310</v>
      </c>
      <c r="F350" t="inlineStr">
        <is>
          <t>VÄSTERNORRLANDS LÄN</t>
        </is>
      </c>
      <c r="G350" t="inlineStr">
        <is>
          <t>ÅNGE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53664-2022</t>
        </is>
      </c>
      <c r="B351" t="inlineStr">
        <is>
          <t>avverkningsanmälan</t>
        </is>
      </c>
      <c r="C351" t="inlineStr">
        <is>
          <t>Avverkning för att bevara och utveckla /försöksver</t>
        </is>
      </c>
      <c r="D351" s="1" t="n">
        <v>44879</v>
      </c>
      <c r="E351" s="1" t="n">
        <v>46310</v>
      </c>
      <c r="F351" t="inlineStr">
        <is>
          <t>VÄSTERNORRLANDS LÄN</t>
        </is>
      </c>
      <c r="G351" t="inlineStr">
        <is>
          <t>ÅNGE</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1297-2022</t>
        </is>
      </c>
      <c r="B352" t="inlineStr">
        <is>
          <t>avverkningsanmälan</t>
        </is>
      </c>
      <c r="C352" t="inlineStr">
        <is>
          <t>Föryngringsavverkning</t>
        </is>
      </c>
      <c r="D352" s="1" t="n">
        <v>44572</v>
      </c>
      <c r="E352" s="1" t="n">
        <v>46310</v>
      </c>
      <c r="F352" t="inlineStr">
        <is>
          <t>VÄSTERNORRLANDS LÄN</t>
        </is>
      </c>
      <c r="G352" t="inlineStr">
        <is>
          <t>ÅNGE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44636-2024</t>
        </is>
      </c>
      <c r="B353" t="inlineStr">
        <is>
          <t>avverkningsanmälan</t>
        </is>
      </c>
      <c r="C353" t="inlineStr">
        <is>
          <t>Föryngringsavverkning</t>
        </is>
      </c>
      <c r="D353" s="1" t="n">
        <v>45574</v>
      </c>
      <c r="E353" s="1" t="n">
        <v>46310</v>
      </c>
      <c r="F353" t="inlineStr">
        <is>
          <t>VÄSTERNORRLANDS LÄN</t>
        </is>
      </c>
      <c r="G353" t="inlineStr">
        <is>
          <t>ÅNGE</t>
        </is>
      </c>
      <c r="H353" t="inlineStr">
        <is>
          <t>SCA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25377-2024</t>
        </is>
      </c>
      <c r="B354" t="inlineStr">
        <is>
          <t>avverkningsanmälan</t>
        </is>
      </c>
      <c r="C354" t="inlineStr">
        <is>
          <t>Föryngringsavverkning</t>
        </is>
      </c>
      <c r="D354" s="1" t="n">
        <v>45462</v>
      </c>
      <c r="E354" s="1" t="n">
        <v>46310</v>
      </c>
      <c r="F354" t="inlineStr">
        <is>
          <t>VÄSTERNORRLANDS LÄN</t>
        </is>
      </c>
      <c r="G354" t="inlineStr">
        <is>
          <t>ÅNGE</t>
        </is>
      </c>
      <c r="H354" t="inlineStr">
        <is>
          <t>SCA</t>
        </is>
      </c>
      <c r="I354" t="n">
        <v>20.7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39975-2023</t>
        </is>
      </c>
      <c r="B355" t="inlineStr">
        <is>
          <t>avverkningsanmälan</t>
        </is>
      </c>
      <c r="C355" t="inlineStr">
        <is>
          <t>Föryngringsavverkning</t>
        </is>
      </c>
      <c r="D355" s="1" t="n">
        <v>45168</v>
      </c>
      <c r="E355" s="1" t="n">
        <v>46310</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23529-2025</t>
        </is>
      </c>
      <c r="B356" t="inlineStr">
        <is>
          <t>avverkningsanmälan</t>
        </is>
      </c>
      <c r="C356" t="inlineStr">
        <is>
          <t>Föryngringsavverkning</t>
        </is>
      </c>
      <c r="D356" s="1" t="n">
        <v>45792</v>
      </c>
      <c r="E356" s="1" t="n">
        <v>46310</v>
      </c>
      <c r="F356" t="inlineStr">
        <is>
          <t>VÄSTERNORRLANDS LÄN</t>
        </is>
      </c>
      <c r="G356" t="inlineStr">
        <is>
          <t>ÅNGE</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60004-2023</t>
        </is>
      </c>
      <c r="B357" t="inlineStr">
        <is>
          <t>avverkningsanmälan</t>
        </is>
      </c>
      <c r="C357" t="inlineStr">
        <is>
          <t>Föryngringsavverkning</t>
        </is>
      </c>
      <c r="D357" s="1" t="n">
        <v>45257</v>
      </c>
      <c r="E357" s="1" t="n">
        <v>46310</v>
      </c>
      <c r="F357" t="inlineStr">
        <is>
          <t>VÄSTERNORRLANDS LÄN</t>
        </is>
      </c>
      <c r="G357" t="inlineStr">
        <is>
          <t>ÅNGE</t>
        </is>
      </c>
      <c r="H357" t="inlineStr">
        <is>
          <t>SCA</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4142-2024</t>
        </is>
      </c>
      <c r="B358" t="inlineStr">
        <is>
          <t>avverkningsanmälan</t>
        </is>
      </c>
      <c r="C358" t="inlineStr">
        <is>
          <t>Föryngringsavverkning</t>
        </is>
      </c>
      <c r="D358" s="1" t="n">
        <v>45323</v>
      </c>
      <c r="E358" s="1" t="n">
        <v>46310</v>
      </c>
      <c r="F358" t="inlineStr">
        <is>
          <t>VÄSTERNORRLANDS LÄN</t>
        </is>
      </c>
      <c r="G358" t="inlineStr">
        <is>
          <t>ÅNGE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54079-2023</t>
        </is>
      </c>
      <c r="B359" t="inlineStr">
        <is>
          <t>avverkningsanmälan</t>
        </is>
      </c>
      <c r="C359" t="inlineStr">
        <is>
          <t>Föryngringsavverkning</t>
        </is>
      </c>
      <c r="D359" s="1" t="n">
        <v>45231</v>
      </c>
      <c r="E359" s="1" t="n">
        <v>46310</v>
      </c>
      <c r="F359" t="inlineStr">
        <is>
          <t>VÄSTERNORRLANDS LÄN</t>
        </is>
      </c>
      <c r="G359" t="inlineStr">
        <is>
          <t>ÅNGE</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41575-2024</t>
        </is>
      </c>
      <c r="B360" t="inlineStr">
        <is>
          <t>avverkningsanmälan</t>
        </is>
      </c>
      <c r="C360" t="inlineStr">
        <is>
          <t>Föryngringsavverkning</t>
        </is>
      </c>
      <c r="D360" s="1" t="n">
        <v>45560</v>
      </c>
      <c r="E360" s="1" t="n">
        <v>46310</v>
      </c>
      <c r="F360" t="inlineStr">
        <is>
          <t>VÄSTERNORRLANDS LÄN</t>
        </is>
      </c>
      <c r="G360" t="inlineStr">
        <is>
          <t>ÅNGE</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19007-2025</t>
        </is>
      </c>
      <c r="B361" t="inlineStr">
        <is>
          <t>avverkningsanmälan</t>
        </is>
      </c>
      <c r="C361" t="inlineStr">
        <is>
          <t>Föryngringsavverkning</t>
        </is>
      </c>
      <c r="D361" s="1" t="n">
        <v>45764</v>
      </c>
      <c r="E361" s="1" t="n">
        <v>46310</v>
      </c>
      <c r="F361" t="inlineStr">
        <is>
          <t>VÄSTERNORRLANDS LÄN</t>
        </is>
      </c>
      <c r="G361" t="inlineStr">
        <is>
          <t>ÅNGE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41741-2023</t>
        </is>
      </c>
      <c r="B362" t="inlineStr">
        <is>
          <t>avverkningsanmälan</t>
        </is>
      </c>
      <c r="C362" t="inlineStr">
        <is>
          <t>Föryngringsavverkning</t>
        </is>
      </c>
      <c r="D362" s="1" t="n">
        <v>45176</v>
      </c>
      <c r="E362" s="1" t="n">
        <v>46310</v>
      </c>
      <c r="F362" t="inlineStr">
        <is>
          <t>VÄSTERNORRLANDS LÄN</t>
        </is>
      </c>
      <c r="G362" t="inlineStr">
        <is>
          <t>ÅNGE</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13491-2023</t>
        </is>
      </c>
      <c r="B363" t="inlineStr">
        <is>
          <t>avverkningsanmälan</t>
        </is>
      </c>
      <c r="C363" t="inlineStr">
        <is>
          <t>Föryngringsavverkning</t>
        </is>
      </c>
      <c r="D363" s="1" t="n">
        <v>45005</v>
      </c>
      <c r="E363" s="1" t="n">
        <v>46310</v>
      </c>
      <c r="F363" t="inlineStr">
        <is>
          <t>VÄSTERNORRLANDS LÄN</t>
        </is>
      </c>
      <c r="G363" t="inlineStr">
        <is>
          <t>ÅNGE</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29702-2024</t>
        </is>
      </c>
      <c r="B364" t="inlineStr">
        <is>
          <t>avverkningsanmälan</t>
        </is>
      </c>
      <c r="C364" t="inlineStr">
        <is>
          <t>Föryngringsavverkning</t>
        </is>
      </c>
      <c r="D364" s="1" t="n">
        <v>45485</v>
      </c>
      <c r="E364" s="1" t="n">
        <v>46310</v>
      </c>
      <c r="F364" t="inlineStr">
        <is>
          <t>VÄSTERNORRLANDS LÄN</t>
        </is>
      </c>
      <c r="G364" t="inlineStr">
        <is>
          <t>ÅNGE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23069-2024</t>
        </is>
      </c>
      <c r="B365" t="inlineStr">
        <is>
          <t>avverkningsanmälan</t>
        </is>
      </c>
      <c r="C365" t="inlineStr">
        <is>
          <t>Föryngringsavverkning</t>
        </is>
      </c>
      <c r="D365" s="1" t="n">
        <v>45450</v>
      </c>
      <c r="E365" s="1" t="n">
        <v>46310</v>
      </c>
      <c r="F365" t="inlineStr">
        <is>
          <t>VÄSTERNORRLANDS LÄN</t>
        </is>
      </c>
      <c r="G365" t="inlineStr">
        <is>
          <t>ÅNGE</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33062-2022</t>
        </is>
      </c>
      <c r="B366" t="inlineStr">
        <is>
          <t>avverkningsanmälan</t>
        </is>
      </c>
      <c r="C366" t="inlineStr">
        <is>
          <t>Föryngringsavverkning</t>
        </is>
      </c>
      <c r="D366" s="1" t="n">
        <v>44785</v>
      </c>
      <c r="E366" s="1" t="n">
        <v>46310</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46310</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10781-2024</t>
        </is>
      </c>
      <c r="B368" t="inlineStr">
        <is>
          <t>avverkningsanmälan</t>
        </is>
      </c>
      <c r="C368" t="inlineStr">
        <is>
          <t>Föryngringsavverkning</t>
        </is>
      </c>
      <c r="D368" s="1" t="n">
        <v>45369</v>
      </c>
      <c r="E368" s="1" t="n">
        <v>46310</v>
      </c>
      <c r="F368" t="inlineStr">
        <is>
          <t>VÄSTERNORRLANDS LÄN</t>
        </is>
      </c>
      <c r="G368" t="inlineStr">
        <is>
          <t>ÅNGE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70899-2021</t>
        </is>
      </c>
      <c r="B369" t="inlineStr">
        <is>
          <t>avverkningsanmälan</t>
        </is>
      </c>
      <c r="C369" t="inlineStr">
        <is>
          <t>Föryngringsavverkning</t>
        </is>
      </c>
      <c r="D369" s="1" t="n">
        <v>44537</v>
      </c>
      <c r="E369" s="1" t="n">
        <v>46310</v>
      </c>
      <c r="F369" t="inlineStr">
        <is>
          <t>VÄSTERNORRLANDS LÄN</t>
        </is>
      </c>
      <c r="G369" t="inlineStr">
        <is>
          <t>ÅNGE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57516-2023</t>
        </is>
      </c>
      <c r="B370" t="inlineStr">
        <is>
          <t>avverkningsanmälan</t>
        </is>
      </c>
      <c r="C370" t="inlineStr">
        <is>
          <t>Föryngringsavverkning</t>
        </is>
      </c>
      <c r="D370" s="1" t="n">
        <v>45246</v>
      </c>
      <c r="E370" s="1" t="n">
        <v>46310</v>
      </c>
      <c r="F370" t="inlineStr">
        <is>
          <t>VÄSTERNORRLANDS LÄN</t>
        </is>
      </c>
      <c r="G370" t="inlineStr">
        <is>
          <t>ÅNGE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74194-2021</t>
        </is>
      </c>
      <c r="B371" t="inlineStr">
        <is>
          <t>avverkningsanmälan</t>
        </is>
      </c>
      <c r="C371" t="inlineStr">
        <is>
          <t>Föryngringsavverkning</t>
        </is>
      </c>
      <c r="D371" s="1" t="n">
        <v>44558</v>
      </c>
      <c r="E371" s="1" t="n">
        <v>46310</v>
      </c>
      <c r="F371" t="inlineStr">
        <is>
          <t>VÄSTERNORRLANDS LÄN</t>
        </is>
      </c>
      <c r="G371" t="inlineStr">
        <is>
          <t>ÅNGE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17963-2022</t>
        </is>
      </c>
      <c r="B372" t="inlineStr">
        <is>
          <t>avverkningsanmälan</t>
        </is>
      </c>
      <c r="C372" t="inlineStr">
        <is>
          <t>Avverkning för annat ändamål</t>
        </is>
      </c>
      <c r="D372" s="1" t="n">
        <v>44683</v>
      </c>
      <c r="E372" s="1" t="n">
        <v>46310</v>
      </c>
      <c r="F372" t="inlineStr">
        <is>
          <t>VÄSTERNORRLANDS LÄN</t>
        </is>
      </c>
      <c r="G372" t="inlineStr">
        <is>
          <t>ÅNGE</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26641-2024</t>
        </is>
      </c>
      <c r="B373" t="inlineStr">
        <is>
          <t>avverkningsanmälan</t>
        </is>
      </c>
      <c r="C373" t="inlineStr">
        <is>
          <t>Föryngringsavverkning</t>
        </is>
      </c>
      <c r="D373" s="1" t="n">
        <v>45469</v>
      </c>
      <c r="E373" s="1" t="n">
        <v>46310</v>
      </c>
      <c r="F373" t="inlineStr">
        <is>
          <t>VÄSTERNORRLANDS LÄN</t>
        </is>
      </c>
      <c r="G373" t="inlineStr">
        <is>
          <t>ÅNGE</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30347-2024</t>
        </is>
      </c>
      <c r="B374" t="inlineStr">
        <is>
          <t>avverkningsanmälan</t>
        </is>
      </c>
      <c r="C374" t="inlineStr">
        <is>
          <t>Föryngringsavverkning</t>
        </is>
      </c>
      <c r="D374" s="1" t="n">
        <v>45490</v>
      </c>
      <c r="E374" s="1" t="n">
        <v>46310</v>
      </c>
      <c r="F374" t="inlineStr">
        <is>
          <t>VÄSTERNORRLANDS LÄN</t>
        </is>
      </c>
      <c r="G374" t="inlineStr">
        <is>
          <t>ÅNGE</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13641-2022</t>
        </is>
      </c>
      <c r="B375" t="inlineStr">
        <is>
          <t>avverkningsanmälan</t>
        </is>
      </c>
      <c r="C375" t="inlineStr">
        <is>
          <t>Föryngringsavverkning</t>
        </is>
      </c>
      <c r="D375" s="1" t="n">
        <v>44648</v>
      </c>
      <c r="E375" s="1" t="n">
        <v>46310</v>
      </c>
      <c r="F375" t="inlineStr">
        <is>
          <t>VÄSTERNORRLANDS LÄN</t>
        </is>
      </c>
      <c r="G375" t="inlineStr">
        <is>
          <t>ÅNGE</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37992-2024</t>
        </is>
      </c>
      <c r="B376" t="inlineStr">
        <is>
          <t>avverkningsanmälan</t>
        </is>
      </c>
      <c r="C376" t="inlineStr">
        <is>
          <t>Föryngringsavverkning</t>
        </is>
      </c>
      <c r="D376" s="1" t="n">
        <v>45544</v>
      </c>
      <c r="E376" s="1" t="n">
        <v>46310</v>
      </c>
      <c r="F376" t="inlineStr">
        <is>
          <t>VÄSTERNORRLANDS LÄN</t>
        </is>
      </c>
      <c r="G376" t="inlineStr">
        <is>
          <t>ÅNGE</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35496-2022</t>
        </is>
      </c>
      <c r="B377" t="inlineStr">
        <is>
          <t>avverkningsanmälan</t>
        </is>
      </c>
      <c r="C377" t="inlineStr">
        <is>
          <t>Avverkning för att bevara och utveckla /försöksver</t>
        </is>
      </c>
      <c r="D377" s="1" t="n">
        <v>44798</v>
      </c>
      <c r="E377" s="1" t="n">
        <v>46310</v>
      </c>
      <c r="F377" t="inlineStr">
        <is>
          <t>VÄSTERNORRLANDS LÄN</t>
        </is>
      </c>
      <c r="G377" t="inlineStr">
        <is>
          <t>ÅNGE</t>
        </is>
      </c>
      <c r="H377" t="inlineStr">
        <is>
          <t>SCA</t>
        </is>
      </c>
      <c r="I377" t="n">
        <v>15.6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43145-2024</t>
        </is>
      </c>
      <c r="B378" t="inlineStr">
        <is>
          <t>avverkningsanmälan</t>
        </is>
      </c>
      <c r="C378" t="inlineStr">
        <is>
          <t>Föryngringsavverkning</t>
        </is>
      </c>
      <c r="D378" s="1" t="n">
        <v>45567</v>
      </c>
      <c r="E378" s="1" t="n">
        <v>46310</v>
      </c>
      <c r="F378" t="inlineStr">
        <is>
          <t>VÄSTERNORRLANDS LÄN</t>
        </is>
      </c>
      <c r="G378" t="inlineStr">
        <is>
          <t>ÅNGE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45128-2022</t>
        </is>
      </c>
      <c r="B379" t="inlineStr">
        <is>
          <t>avverkningsanmälan</t>
        </is>
      </c>
      <c r="C379" t="inlineStr">
        <is>
          <t>Föryngringsavverkning</t>
        </is>
      </c>
      <c r="D379" s="1" t="n">
        <v>44844</v>
      </c>
      <c r="E379" s="1" t="n">
        <v>46310</v>
      </c>
      <c r="F379" t="inlineStr">
        <is>
          <t>VÄSTERNORRLANDS LÄN</t>
        </is>
      </c>
      <c r="G379" t="inlineStr">
        <is>
          <t>ÅNGE</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42040-2024</t>
        </is>
      </c>
      <c r="B380" t="inlineStr">
        <is>
          <t>avverkningsanmälan</t>
        </is>
      </c>
      <c r="C380" t="inlineStr">
        <is>
          <t>Föryngringsavverkning</t>
        </is>
      </c>
      <c r="D380" s="1" t="n">
        <v>45561</v>
      </c>
      <c r="E380" s="1" t="n">
        <v>46310</v>
      </c>
      <c r="F380" t="inlineStr">
        <is>
          <t>VÄSTERNORRLANDS LÄN</t>
        </is>
      </c>
      <c r="G380" t="inlineStr">
        <is>
          <t>ÅNGE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24232-2025</t>
        </is>
      </c>
      <c r="B381" t="inlineStr">
        <is>
          <t>avverkningsanmälan</t>
        </is>
      </c>
      <c r="C381" t="inlineStr">
        <is>
          <t>Föryngringsavverkning</t>
        </is>
      </c>
      <c r="D381" s="1" t="n">
        <v>45797</v>
      </c>
      <c r="E381" s="1" t="n">
        <v>46310</v>
      </c>
      <c r="F381" t="inlineStr">
        <is>
          <t>VÄSTERNORRLANDS LÄN</t>
        </is>
      </c>
      <c r="G381" t="inlineStr">
        <is>
          <t>ÅNGE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56188-2024</t>
        </is>
      </c>
      <c r="B382" t="inlineStr">
        <is>
          <t>avverkningsanmälan</t>
        </is>
      </c>
      <c r="C382" t="inlineStr">
        <is>
          <t>Föryngringsavverkning</t>
        </is>
      </c>
      <c r="D382" s="1" t="n">
        <v>45624</v>
      </c>
      <c r="E382" s="1" t="n">
        <v>46310</v>
      </c>
      <c r="F382" t="inlineStr">
        <is>
          <t>VÄSTERNORRLANDS LÄN</t>
        </is>
      </c>
      <c r="G382" t="inlineStr">
        <is>
          <t>ÅNGE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24458-2025</t>
        </is>
      </c>
      <c r="B383" t="inlineStr">
        <is>
          <t>avverkningsanmälan</t>
        </is>
      </c>
      <c r="C383" t="inlineStr">
        <is>
          <t>Föryngringsavverkning</t>
        </is>
      </c>
      <c r="D383" s="1" t="n">
        <v>45798</v>
      </c>
      <c r="E383" s="1" t="n">
        <v>46310</v>
      </c>
      <c r="F383" t="inlineStr">
        <is>
          <t>VÄSTERNORRLANDS LÄN</t>
        </is>
      </c>
      <c r="G383" t="inlineStr">
        <is>
          <t>ÅNGE</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24627-2025</t>
        </is>
      </c>
      <c r="B384" t="inlineStr">
        <is>
          <t>avverkningsanmälan</t>
        </is>
      </c>
      <c r="C384" t="inlineStr">
        <is>
          <t>Föryngringsavverkning</t>
        </is>
      </c>
      <c r="D384" s="1" t="n">
        <v>45798</v>
      </c>
      <c r="E384" s="1" t="n">
        <v>46310</v>
      </c>
      <c r="F384" t="inlineStr">
        <is>
          <t>VÄSTERNORRLANDS LÄN</t>
        </is>
      </c>
      <c r="G384" t="inlineStr">
        <is>
          <t>ÅNGE</t>
        </is>
      </c>
      <c r="H384" t="inlineStr">
        <is>
          <t>SCA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51542-2022</t>
        </is>
      </c>
      <c r="B385" t="inlineStr">
        <is>
          <t>avverkningsanmälan</t>
        </is>
      </c>
      <c r="C385" t="inlineStr">
        <is>
          <t>Avverkning för att bevara och utveckla /försöksver</t>
        </is>
      </c>
      <c r="D385" s="1" t="n">
        <v>44869</v>
      </c>
      <c r="E385" s="1" t="n">
        <v>46310</v>
      </c>
      <c r="F385" t="inlineStr">
        <is>
          <t>VÄSTERNORRLANDS LÄN</t>
        </is>
      </c>
      <c r="G385" t="inlineStr">
        <is>
          <t>ÅNGE</t>
        </is>
      </c>
      <c r="H385" t="inlineStr">
        <is>
          <t>SCA</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27853-2024</t>
        </is>
      </c>
      <c r="B386" t="inlineStr">
        <is>
          <t>avverkningsanmälan</t>
        </is>
      </c>
      <c r="C386" t="inlineStr">
        <is>
          <t>Föryngringsavverkning</t>
        </is>
      </c>
      <c r="D386" s="1" t="n">
        <v>45475</v>
      </c>
      <c r="E386" s="1" t="n">
        <v>46310</v>
      </c>
      <c r="F386" t="inlineStr">
        <is>
          <t>VÄSTERNORRLANDS LÄN</t>
        </is>
      </c>
      <c r="G386" t="inlineStr">
        <is>
          <t>ÅNGE</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5552-2022</t>
        </is>
      </c>
      <c r="B387" t="inlineStr">
        <is>
          <t>avverkningsanmälan</t>
        </is>
      </c>
      <c r="C387" t="inlineStr">
        <is>
          <t>Föryngringsavverkning</t>
        </is>
      </c>
      <c r="D387" s="1" t="n">
        <v>44595</v>
      </c>
      <c r="E387" s="1" t="n">
        <v>46310</v>
      </c>
      <c r="F387" t="inlineStr">
        <is>
          <t>VÄSTERNORRLANDS LÄN</t>
        </is>
      </c>
      <c r="G387" t="inlineStr">
        <is>
          <t>ÅNGE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35026-2022</t>
        </is>
      </c>
      <c r="B388" t="inlineStr">
        <is>
          <t>avverkningsanmälan</t>
        </is>
      </c>
      <c r="C388" t="inlineStr">
        <is>
          <t>Avverkning för att bevara och utveckla /försöksver</t>
        </is>
      </c>
      <c r="D388" s="1" t="n">
        <v>44796</v>
      </c>
      <c r="E388" s="1" t="n">
        <v>46310</v>
      </c>
      <c r="F388" t="inlineStr">
        <is>
          <t>VÄSTERNORRLANDS LÄN</t>
        </is>
      </c>
      <c r="G388" t="inlineStr">
        <is>
          <t>ÅNGE</t>
        </is>
      </c>
      <c r="H388" t="inlineStr">
        <is>
          <t>SCA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24847-2025</t>
        </is>
      </c>
      <c r="B389" t="inlineStr">
        <is>
          <t>avverkningsanmälan</t>
        </is>
      </c>
      <c r="C389" t="inlineStr">
        <is>
          <t>Föryngringsavverkning</t>
        </is>
      </c>
      <c r="D389" s="1" t="n">
        <v>45799</v>
      </c>
      <c r="E389" s="1" t="n">
        <v>46310</v>
      </c>
      <c r="F389" t="inlineStr">
        <is>
          <t>VÄSTERNORRLANDS LÄN</t>
        </is>
      </c>
      <c r="G389" t="inlineStr">
        <is>
          <t>ÅNGE</t>
        </is>
      </c>
      <c r="H389" t="inlineStr">
        <is>
          <t>SCA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61909-2021</t>
        </is>
      </c>
      <c r="B390" t="inlineStr">
        <is>
          <t>avverkningsanmälan</t>
        </is>
      </c>
      <c r="C390" t="inlineStr">
        <is>
          <t>Föryngringsavverkning</t>
        </is>
      </c>
      <c r="D390" s="1" t="n">
        <v>44502</v>
      </c>
      <c r="E390" s="1" t="n">
        <v>46310</v>
      </c>
      <c r="F390" t="inlineStr">
        <is>
          <t>VÄSTERNORRLANDS LÄN</t>
        </is>
      </c>
      <c r="G390" t="inlineStr">
        <is>
          <t>ÅNGE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39594-2022</t>
        </is>
      </c>
      <c r="B391" t="inlineStr">
        <is>
          <t>avverkningsanmälan</t>
        </is>
      </c>
      <c r="C391" t="inlineStr">
        <is>
          <t>Föryngringsavverkning</t>
        </is>
      </c>
      <c r="D391" s="1" t="n">
        <v>44818</v>
      </c>
      <c r="E391" s="1" t="n">
        <v>46310</v>
      </c>
      <c r="F391" t="inlineStr">
        <is>
          <t>VÄSTERNORRLANDS LÄN</t>
        </is>
      </c>
      <c r="G391" t="inlineStr">
        <is>
          <t>ÅNGE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10313-2022</t>
        </is>
      </c>
      <c r="B392" t="inlineStr">
        <is>
          <t>avverkningsanmälan</t>
        </is>
      </c>
      <c r="C392" t="inlineStr">
        <is>
          <t>Föryngringsavverkning</t>
        </is>
      </c>
      <c r="D392" s="1" t="n">
        <v>44622</v>
      </c>
      <c r="E392" s="1" t="n">
        <v>46310</v>
      </c>
      <c r="F392" t="inlineStr">
        <is>
          <t>VÄSTERNORRLANDS LÄN</t>
        </is>
      </c>
      <c r="G392" t="inlineStr">
        <is>
          <t>ÅNGE</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43622-2023</t>
        </is>
      </c>
      <c r="B393" t="inlineStr">
        <is>
          <t>avverkningsanmälan</t>
        </is>
      </c>
      <c r="C393" t="inlineStr">
        <is>
          <t>Föryngringsavverkning</t>
        </is>
      </c>
      <c r="D393" s="1" t="n">
        <v>45184</v>
      </c>
      <c r="E393" s="1" t="n">
        <v>46310</v>
      </c>
      <c r="F393" t="inlineStr">
        <is>
          <t>VÄSTERNORRLANDS LÄN</t>
        </is>
      </c>
      <c r="G393" t="inlineStr">
        <is>
          <t>ÅNGE</t>
        </is>
      </c>
      <c r="H393" t="inlineStr">
        <is>
          <t>Holmen skog AB</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25067-2025</t>
        </is>
      </c>
      <c r="B394" t="inlineStr">
        <is>
          <t>avverkningsanmälan</t>
        </is>
      </c>
      <c r="C394" t="inlineStr">
        <is>
          <t>Föryngringsavverkning</t>
        </is>
      </c>
      <c r="D394" s="1" t="n">
        <v>45799</v>
      </c>
      <c r="E394" s="1" t="n">
        <v>46310</v>
      </c>
      <c r="F394" t="inlineStr">
        <is>
          <t>VÄSTERNORRLANDS LÄN</t>
        </is>
      </c>
      <c r="G394" t="inlineStr">
        <is>
          <t>ÅNGE</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5433-2024</t>
        </is>
      </c>
      <c r="B395" t="inlineStr">
        <is>
          <t>avverkningsanmälan</t>
        </is>
      </c>
      <c r="C395" t="inlineStr">
        <is>
          <t>Föryngringsavverkning</t>
        </is>
      </c>
      <c r="D395" s="1" t="n">
        <v>45331</v>
      </c>
      <c r="E395" s="1" t="n">
        <v>46310</v>
      </c>
      <c r="F395" t="inlineStr">
        <is>
          <t>VÄSTERNORRLANDS LÄN</t>
        </is>
      </c>
      <c r="G395" t="inlineStr">
        <is>
          <t>ÅNGE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5456-2024</t>
        </is>
      </c>
      <c r="B396" t="inlineStr">
        <is>
          <t>avverkningsanmälan</t>
        </is>
      </c>
      <c r="C396" t="inlineStr">
        <is>
          <t>Föryngringsavverkning</t>
        </is>
      </c>
      <c r="D396" s="1" t="n">
        <v>45331</v>
      </c>
      <c r="E396" s="1" t="n">
        <v>46310</v>
      </c>
      <c r="F396" t="inlineStr">
        <is>
          <t>VÄSTERNORRLANDS LÄN</t>
        </is>
      </c>
      <c r="G396" t="inlineStr">
        <is>
          <t>ÅNGE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3357-2024</t>
        </is>
      </c>
      <c r="B397" t="inlineStr">
        <is>
          <t>avverkningsanmälan</t>
        </is>
      </c>
      <c r="C397" t="inlineStr">
        <is>
          <t>Föryngringsavverkning</t>
        </is>
      </c>
      <c r="D397" s="1" t="n">
        <v>45317</v>
      </c>
      <c r="E397" s="1" t="n">
        <v>46310</v>
      </c>
      <c r="F397" t="inlineStr">
        <is>
          <t>VÄSTERNORRLANDS LÄN</t>
        </is>
      </c>
      <c r="G397" t="inlineStr">
        <is>
          <t>ÅNGE</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36877-2024</t>
        </is>
      </c>
      <c r="B398" t="inlineStr">
        <is>
          <t>avverkningsanmälan</t>
        </is>
      </c>
      <c r="C398" t="inlineStr">
        <is>
          <t>Föryngringsavverkning</t>
        </is>
      </c>
      <c r="D398" s="1" t="n">
        <v>45538</v>
      </c>
      <c r="E398" s="1" t="n">
        <v>46310</v>
      </c>
      <c r="F398" t="inlineStr">
        <is>
          <t>VÄSTERNORRLANDS LÄN</t>
        </is>
      </c>
      <c r="G398" t="inlineStr">
        <is>
          <t>ÅNGE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25352-2025</t>
        </is>
      </c>
      <c r="B399" t="inlineStr">
        <is>
          <t>avverkningsanmälan</t>
        </is>
      </c>
      <c r="C399" t="inlineStr">
        <is>
          <t>Föryngringsavverkning</t>
        </is>
      </c>
      <c r="D399" s="1" t="n">
        <v>45800</v>
      </c>
      <c r="E399" s="1" t="n">
        <v>46310</v>
      </c>
      <c r="F399" t="inlineStr">
        <is>
          <t>VÄSTERNORRLANDS LÄN</t>
        </is>
      </c>
      <c r="G399" t="inlineStr">
        <is>
          <t>ÅNGE</t>
        </is>
      </c>
      <c r="H399" t="inlineStr">
        <is>
          <t>SCA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15368-2024</t>
        </is>
      </c>
      <c r="B400" t="inlineStr">
        <is>
          <t>avverkningsanmälan</t>
        </is>
      </c>
      <c r="C400" t="inlineStr">
        <is>
          <t>Föryngringsavverkning</t>
        </is>
      </c>
      <c r="D400" s="1" t="n">
        <v>45400</v>
      </c>
      <c r="E400" s="1" t="n">
        <v>46310</v>
      </c>
      <c r="F400" t="inlineStr">
        <is>
          <t>VÄSTERNORRLANDS LÄN</t>
        </is>
      </c>
      <c r="G400" t="inlineStr">
        <is>
          <t>ÅNGE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71302-2021</t>
        </is>
      </c>
      <c r="B401" t="inlineStr">
        <is>
          <t>avverkningsanmälan</t>
        </is>
      </c>
      <c r="C401" t="inlineStr">
        <is>
          <t>Föryngringsavverkning</t>
        </is>
      </c>
      <c r="D401" s="1" t="n">
        <v>44539</v>
      </c>
      <c r="E401" s="1" t="n">
        <v>46310</v>
      </c>
      <c r="F401" t="inlineStr">
        <is>
          <t>VÄSTERNORRLANDS LÄN</t>
        </is>
      </c>
      <c r="G401" t="inlineStr">
        <is>
          <t>ÅNGE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53651-2023</t>
        </is>
      </c>
      <c r="B402" t="inlineStr">
        <is>
          <t>avverkningsanmälan</t>
        </is>
      </c>
      <c r="C402" t="inlineStr">
        <is>
          <t>Föryngringsavverkning</t>
        </is>
      </c>
      <c r="D402" s="1" t="n">
        <v>45230</v>
      </c>
      <c r="E402" s="1" t="n">
        <v>46310</v>
      </c>
      <c r="F402" t="inlineStr">
        <is>
          <t>VÄSTERNORRLANDS LÄN</t>
        </is>
      </c>
      <c r="G402" t="inlineStr">
        <is>
          <t>ÅNGE</t>
        </is>
      </c>
      <c r="H402" t="inlineStr">
        <is>
          <t>Holmen skog AB</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6732-2022</t>
        </is>
      </c>
      <c r="B403" t="inlineStr">
        <is>
          <t>avverkningsanmälan</t>
        </is>
      </c>
      <c r="C403" t="inlineStr">
        <is>
          <t>Föryngringsavverkning</t>
        </is>
      </c>
      <c r="D403" s="1" t="n">
        <v>44602</v>
      </c>
      <c r="E403" s="1" t="n">
        <v>46310</v>
      </c>
      <c r="F403" t="inlineStr">
        <is>
          <t>VÄSTERNORRLANDS LÄN</t>
        </is>
      </c>
      <c r="G403" t="inlineStr">
        <is>
          <t>ÅNGE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25340-2025</t>
        </is>
      </c>
      <c r="B404" t="inlineStr">
        <is>
          <t>avverkningsanmälan</t>
        </is>
      </c>
      <c r="C404" t="inlineStr">
        <is>
          <t>Föryngringsavverkning</t>
        </is>
      </c>
      <c r="D404" s="1" t="n">
        <v>45800</v>
      </c>
      <c r="E404" s="1" t="n">
        <v>46310</v>
      </c>
      <c r="F404" t="inlineStr">
        <is>
          <t>VÄSTERNORRLANDS LÄN</t>
        </is>
      </c>
      <c r="G404" t="inlineStr">
        <is>
          <t>ÅNGE</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16303-2025</t>
        </is>
      </c>
      <c r="B405" t="inlineStr">
        <is>
          <t>avverkningsanmälan</t>
        </is>
      </c>
      <c r="C405" t="inlineStr">
        <is>
          <t>Avverkning för annat ändamål</t>
        </is>
      </c>
      <c r="D405" s="1" t="n">
        <v>45751</v>
      </c>
      <c r="E405" s="1" t="n">
        <v>46310</v>
      </c>
      <c r="F405" t="inlineStr">
        <is>
          <t>VÄSTERNORRLANDS LÄN</t>
        </is>
      </c>
      <c r="G405" t="inlineStr">
        <is>
          <t>ÅNGE</t>
        </is>
      </c>
      <c r="H405" t="inlineStr">
        <is>
          <t>SCA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44412-2022</t>
        </is>
      </c>
      <c r="B406" t="inlineStr">
        <is>
          <t>avverkningsanmälan</t>
        </is>
      </c>
      <c r="C406" t="inlineStr">
        <is>
          <t>Föryngringsavverkning</t>
        </is>
      </c>
      <c r="D406" s="1" t="n">
        <v>44839</v>
      </c>
      <c r="E406" s="1" t="n">
        <v>46310</v>
      </c>
      <c r="F406" t="inlineStr">
        <is>
          <t>VÄSTERNORRLANDS LÄN</t>
        </is>
      </c>
      <c r="G406" t="inlineStr">
        <is>
          <t>ÅNGE</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31863-2024</t>
        </is>
      </c>
      <c r="B407" t="inlineStr">
        <is>
          <t>avverkningsanmälan</t>
        </is>
      </c>
      <c r="C407" t="inlineStr">
        <is>
          <t>Föryngringsavverkning</t>
        </is>
      </c>
      <c r="D407" s="1" t="n">
        <v>45509</v>
      </c>
      <c r="E407" s="1" t="n">
        <v>46310</v>
      </c>
      <c r="F407" t="inlineStr">
        <is>
          <t>VÄSTERNORRLANDS LÄN</t>
        </is>
      </c>
      <c r="G407" t="inlineStr">
        <is>
          <t>ÅNGE</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25273-2025</t>
        </is>
      </c>
      <c r="B408" t="inlineStr">
        <is>
          <t>avverkningsanmälan</t>
        </is>
      </c>
      <c r="C408" t="inlineStr">
        <is>
          <t>Föryngringsavverkning</t>
        </is>
      </c>
      <c r="D408" s="1" t="n">
        <v>45800</v>
      </c>
      <c r="E408" s="1" t="n">
        <v>46310</v>
      </c>
      <c r="F408" t="inlineStr">
        <is>
          <t>VÄSTERNORRLANDS LÄN</t>
        </is>
      </c>
      <c r="G408" t="inlineStr">
        <is>
          <t>ÅNGE</t>
        </is>
      </c>
      <c r="H408" t="inlineStr">
        <is>
          <t>SCA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6263-2022</t>
        </is>
      </c>
      <c r="B409" t="inlineStr">
        <is>
          <t>avverkningsanmälan</t>
        </is>
      </c>
      <c r="C409" t="inlineStr">
        <is>
          <t>Föryngringsavverkning</t>
        </is>
      </c>
      <c r="D409" s="1" t="n">
        <v>44600</v>
      </c>
      <c r="E409" s="1" t="n">
        <v>46310</v>
      </c>
      <c r="F409" t="inlineStr">
        <is>
          <t>VÄSTERNORRLANDS LÄN</t>
        </is>
      </c>
      <c r="G409" t="inlineStr">
        <is>
          <t>ÅNGE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15863-2022</t>
        </is>
      </c>
      <c r="B410" t="inlineStr">
        <is>
          <t>avverkningsanmälan</t>
        </is>
      </c>
      <c r="C410" t="inlineStr">
        <is>
          <t>Föryngringsavverkning</t>
        </is>
      </c>
      <c r="D410" s="1" t="n">
        <v>44664</v>
      </c>
      <c r="E410" s="1" t="n">
        <v>46310</v>
      </c>
      <c r="F410" t="inlineStr">
        <is>
          <t>VÄSTERNORRLANDS LÄN</t>
        </is>
      </c>
      <c r="G410" t="inlineStr">
        <is>
          <t>ÅNGE</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17044-2022</t>
        </is>
      </c>
      <c r="B411" t="inlineStr">
        <is>
          <t>avverkningsanmälan</t>
        </is>
      </c>
      <c r="C411" t="inlineStr">
        <is>
          <t>Avverkning för annat ändamål</t>
        </is>
      </c>
      <c r="D411" s="1" t="n">
        <v>44676</v>
      </c>
      <c r="E411" s="1" t="n">
        <v>46310</v>
      </c>
      <c r="F411" t="inlineStr">
        <is>
          <t>VÄSTERNORRLANDS LÄN</t>
        </is>
      </c>
      <c r="G411" t="inlineStr">
        <is>
          <t>ÅNGE</t>
        </is>
      </c>
      <c r="H411" t="inlineStr">
        <is>
          <t>Övriga Aktiebolag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25810-2025</t>
        </is>
      </c>
      <c r="B412" t="inlineStr">
        <is>
          <t>avverkningsanmälan</t>
        </is>
      </c>
      <c r="C412" t="inlineStr">
        <is>
          <t>Föryngringsavverkning</t>
        </is>
      </c>
      <c r="D412" s="1" t="n">
        <v>45804</v>
      </c>
      <c r="E412" s="1" t="n">
        <v>46310</v>
      </c>
      <c r="F412" t="inlineStr">
        <is>
          <t>VÄSTERNORRLANDS LÄN</t>
        </is>
      </c>
      <c r="G412" t="inlineStr">
        <is>
          <t>ÅNGE</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50640-2022</t>
        </is>
      </c>
      <c r="B413" t="inlineStr">
        <is>
          <t>avverkningsanmälan</t>
        </is>
      </c>
      <c r="C413" t="inlineStr">
        <is>
          <t>Föryngringsavverkning</t>
        </is>
      </c>
      <c r="D413" s="1" t="n">
        <v>44866</v>
      </c>
      <c r="E413" s="1" t="n">
        <v>46310</v>
      </c>
      <c r="F413" t="inlineStr">
        <is>
          <t>VÄSTERNORRLANDS LÄN</t>
        </is>
      </c>
      <c r="G413" t="inlineStr">
        <is>
          <t>ÅNGE</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11529-2023</t>
        </is>
      </c>
      <c r="B414" t="inlineStr">
        <is>
          <t>avverkningsanmälan</t>
        </is>
      </c>
      <c r="C414" t="inlineStr">
        <is>
          <t>Föryngringsavverkning</t>
        </is>
      </c>
      <c r="D414" s="1" t="n">
        <v>44993</v>
      </c>
      <c r="E414" s="1" t="n">
        <v>46310</v>
      </c>
      <c r="F414" t="inlineStr">
        <is>
          <t>VÄSTERNORRLANDS LÄN</t>
        </is>
      </c>
      <c r="G414" t="inlineStr">
        <is>
          <t>ÅNGE</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22752-2023</t>
        </is>
      </c>
      <c r="B415" t="inlineStr">
        <is>
          <t>avverkningsanmälan</t>
        </is>
      </c>
      <c r="C415" t="inlineStr">
        <is>
          <t>Föryngringsavverkning</t>
        </is>
      </c>
      <c r="D415" s="1" t="n">
        <v>45071</v>
      </c>
      <c r="E415" s="1" t="n">
        <v>46310</v>
      </c>
      <c r="F415" t="inlineStr">
        <is>
          <t>VÄSTERNORRLANDS LÄN</t>
        </is>
      </c>
      <c r="G415" t="inlineStr">
        <is>
          <t>ÅNGE</t>
        </is>
      </c>
      <c r="H415" t="inlineStr">
        <is>
          <t>SCA</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26655-2025</t>
        </is>
      </c>
      <c r="B416" t="inlineStr">
        <is>
          <t>avverkningsanmälan</t>
        </is>
      </c>
      <c r="C416" t="inlineStr">
        <is>
          <t>Föryngringsavverkning</t>
        </is>
      </c>
      <c r="D416" s="1" t="n">
        <v>45810</v>
      </c>
      <c r="E416" s="1" t="n">
        <v>46310</v>
      </c>
      <c r="F416" t="inlineStr">
        <is>
          <t>VÄSTERNORRLANDS LÄN</t>
        </is>
      </c>
      <c r="G416" t="inlineStr">
        <is>
          <t>ÅNGE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17009-2023</t>
        </is>
      </c>
      <c r="B417" t="inlineStr">
        <is>
          <t>avverkningsanmälan</t>
        </is>
      </c>
      <c r="C417" t="inlineStr">
        <is>
          <t>Föryngringsavverkning</t>
        </is>
      </c>
      <c r="D417" s="1" t="n">
        <v>45033</v>
      </c>
      <c r="E417" s="1" t="n">
        <v>46310</v>
      </c>
      <c r="F417" t="inlineStr">
        <is>
          <t>VÄSTERNORRLANDS LÄN</t>
        </is>
      </c>
      <c r="G417" t="inlineStr">
        <is>
          <t>ÅNGE</t>
        </is>
      </c>
      <c r="H417" t="inlineStr">
        <is>
          <t>SCA</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5931-2025</t>
        </is>
      </c>
      <c r="B418" t="inlineStr">
        <is>
          <t>avverkningsanmälan</t>
        </is>
      </c>
      <c r="C418" t="inlineStr">
        <is>
          <t>Föryngringsavverkning</t>
        </is>
      </c>
      <c r="D418" s="1" t="n">
        <v>45695</v>
      </c>
      <c r="E418" s="1" t="n">
        <v>46310</v>
      </c>
      <c r="F418" t="inlineStr">
        <is>
          <t>VÄSTERNORRLANDS LÄN</t>
        </is>
      </c>
      <c r="G418" t="inlineStr">
        <is>
          <t>ÅNGE</t>
        </is>
      </c>
      <c r="H418" t="inlineStr">
        <is>
          <t>SCA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11032-2025</t>
        </is>
      </c>
      <c r="B419" t="inlineStr">
        <is>
          <t>avverkningsanmälan</t>
        </is>
      </c>
      <c r="C419" t="inlineStr">
        <is>
          <t>Föryngringsavverkning</t>
        </is>
      </c>
      <c r="D419" s="1" t="n">
        <v>45723</v>
      </c>
      <c r="E419" s="1" t="n">
        <v>46310</v>
      </c>
      <c r="F419" t="inlineStr">
        <is>
          <t>VÄSTERNORRLANDS LÄN</t>
        </is>
      </c>
      <c r="G419" t="inlineStr">
        <is>
          <t>ÅNGE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24324-2022</t>
        </is>
      </c>
      <c r="B420" t="inlineStr">
        <is>
          <t>avverkningsanmälan</t>
        </is>
      </c>
      <c r="C420" t="inlineStr">
        <is>
          <t>Föryngringsavverkning</t>
        </is>
      </c>
      <c r="D420" s="1" t="n">
        <v>44725</v>
      </c>
      <c r="E420" s="1" t="n">
        <v>46310</v>
      </c>
      <c r="F420" t="inlineStr">
        <is>
          <t>VÄSTERNORRLANDS LÄN</t>
        </is>
      </c>
      <c r="G420" t="inlineStr">
        <is>
          <t>ÅNGE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24325-2022</t>
        </is>
      </c>
      <c r="B421" t="inlineStr">
        <is>
          <t>avverkningsanmälan</t>
        </is>
      </c>
      <c r="C421" t="inlineStr">
        <is>
          <t>Föryngringsavverkning</t>
        </is>
      </c>
      <c r="D421" s="1" t="n">
        <v>44725</v>
      </c>
      <c r="E421" s="1" t="n">
        <v>46310</v>
      </c>
      <c r="F421" t="inlineStr">
        <is>
          <t>VÄSTERNORRLANDS LÄN</t>
        </is>
      </c>
      <c r="G421" t="inlineStr">
        <is>
          <t>ÅNGE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27023-2025</t>
        </is>
      </c>
      <c r="B422" t="inlineStr">
        <is>
          <t>avverkningsanmälan</t>
        </is>
      </c>
      <c r="C422" t="inlineStr">
        <is>
          <t>Avverkning för annat ändamål</t>
        </is>
      </c>
      <c r="D422" s="1" t="n">
        <v>45811</v>
      </c>
      <c r="E422" s="1" t="n">
        <v>46310</v>
      </c>
      <c r="F422" t="inlineStr">
        <is>
          <t>VÄSTERNORRLANDS LÄN</t>
        </is>
      </c>
      <c r="G422" t="inlineStr">
        <is>
          <t>ÅNGE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36790-2023</t>
        </is>
      </c>
      <c r="B423" t="inlineStr">
        <is>
          <t>avverkningsanmälan</t>
        </is>
      </c>
      <c r="C423" t="inlineStr">
        <is>
          <t>Föryngringsavverkning</t>
        </is>
      </c>
      <c r="D423" s="1" t="n">
        <v>45154</v>
      </c>
      <c r="E423" s="1" t="n">
        <v>46310</v>
      </c>
      <c r="F423" t="inlineStr">
        <is>
          <t>VÄSTERNORRLANDS LÄN</t>
        </is>
      </c>
      <c r="G423" t="inlineStr">
        <is>
          <t>ÅNGE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42242-2023</t>
        </is>
      </c>
      <c r="B424" t="inlineStr">
        <is>
          <t>avverkningsanmälan</t>
        </is>
      </c>
      <c r="C424" t="inlineStr">
        <is>
          <t>Föryngringsavverkning</t>
        </is>
      </c>
      <c r="D424" s="1" t="n">
        <v>45180</v>
      </c>
      <c r="E424" s="1" t="n">
        <v>46310</v>
      </c>
      <c r="F424" t="inlineStr">
        <is>
          <t>VÄSTERNORRLANDS LÄN</t>
        </is>
      </c>
      <c r="G424" t="inlineStr">
        <is>
          <t>ÅNGE</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16362-2023</t>
        </is>
      </c>
      <c r="B425" t="inlineStr">
        <is>
          <t>avverkningsanmälan</t>
        </is>
      </c>
      <c r="C425" t="inlineStr">
        <is>
          <t>Föryngringsavverkning</t>
        </is>
      </c>
      <c r="D425" s="1" t="n">
        <v>45028</v>
      </c>
      <c r="E425" s="1" t="n">
        <v>46310</v>
      </c>
      <c r="F425" t="inlineStr">
        <is>
          <t>VÄSTERNORRLANDS LÄN</t>
        </is>
      </c>
      <c r="G425" t="inlineStr">
        <is>
          <t>ÅNGE</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25973-2022</t>
        </is>
      </c>
      <c r="B426" t="inlineStr">
        <is>
          <t>avverkningsanmälan</t>
        </is>
      </c>
      <c r="C426" t="inlineStr">
        <is>
          <t>Föryngringsavverkning</t>
        </is>
      </c>
      <c r="D426" s="1" t="n">
        <v>44734</v>
      </c>
      <c r="E426" s="1" t="n">
        <v>46310</v>
      </c>
      <c r="F426" t="inlineStr">
        <is>
          <t>VÄSTERNORRLANDS LÄN</t>
        </is>
      </c>
      <c r="G426" t="inlineStr">
        <is>
          <t>ÅNGE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39973-2023</t>
        </is>
      </c>
      <c r="B427" t="inlineStr">
        <is>
          <t>avverkningsanmälan</t>
        </is>
      </c>
      <c r="C427" t="inlineStr">
        <is>
          <t>Föryngringsavverkning</t>
        </is>
      </c>
      <c r="D427" s="1" t="n">
        <v>45168</v>
      </c>
      <c r="E427" s="1" t="n">
        <v>46310</v>
      </c>
      <c r="F427" t="inlineStr">
        <is>
          <t>VÄSTERNORRLANDS LÄN</t>
        </is>
      </c>
      <c r="G427" t="inlineStr">
        <is>
          <t>ÅNGE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33747-2024</t>
        </is>
      </c>
      <c r="B428" t="inlineStr">
        <is>
          <t>avverkningsanmälan</t>
        </is>
      </c>
      <c r="C428" t="inlineStr">
        <is>
          <t>Föryngringsavverkning</t>
        </is>
      </c>
      <c r="D428" s="1" t="n">
        <v>45520</v>
      </c>
      <c r="E428" s="1" t="n">
        <v>46310</v>
      </c>
      <c r="F428" t="inlineStr">
        <is>
          <t>VÄSTERNORRLANDS LÄN</t>
        </is>
      </c>
      <c r="G428" t="inlineStr">
        <is>
          <t>ÅNGE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33750-2024</t>
        </is>
      </c>
      <c r="B429" t="inlineStr">
        <is>
          <t>avverkningsanmälan</t>
        </is>
      </c>
      <c r="C429" t="inlineStr">
        <is>
          <t>Föryngringsavverkning</t>
        </is>
      </c>
      <c r="D429" s="1" t="n">
        <v>45520</v>
      </c>
      <c r="E429" s="1" t="n">
        <v>46310</v>
      </c>
      <c r="F429" t="inlineStr">
        <is>
          <t>VÄSTERNORRLANDS LÄN</t>
        </is>
      </c>
      <c r="G429" t="inlineStr">
        <is>
          <t>ÅNGE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34851-2023</t>
        </is>
      </c>
      <c r="B430" t="inlineStr">
        <is>
          <t>avverkningsanmälan</t>
        </is>
      </c>
      <c r="C430" t="inlineStr">
        <is>
          <t>Föryngringsavverkning</t>
        </is>
      </c>
      <c r="D430" s="1" t="n">
        <v>45141</v>
      </c>
      <c r="E430" s="1" t="n">
        <v>46310</v>
      </c>
      <c r="F430" t="inlineStr">
        <is>
          <t>VÄSTERNORRLANDS LÄN</t>
        </is>
      </c>
      <c r="G430" t="inlineStr">
        <is>
          <t>ÅNGE</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113-2025</t>
        </is>
      </c>
      <c r="B431" t="inlineStr">
        <is>
          <t>avverkningsanmälan</t>
        </is>
      </c>
      <c r="C431" t="inlineStr">
        <is>
          <t>Föryngringsavverkning</t>
        </is>
      </c>
      <c r="D431" s="1" t="n">
        <v>45659</v>
      </c>
      <c r="E431" s="1" t="n">
        <v>46310</v>
      </c>
      <c r="F431" t="inlineStr">
        <is>
          <t>VÄSTERNORRLANDS LÄN</t>
        </is>
      </c>
      <c r="G431" t="inlineStr">
        <is>
          <t>ÅNGE</t>
        </is>
      </c>
      <c r="H431" t="inlineStr">
        <is>
          <t>SCA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27002-2023</t>
        </is>
      </c>
      <c r="B432" t="inlineStr">
        <is>
          <t>avverkningsanmälan</t>
        </is>
      </c>
      <c r="C432" t="inlineStr">
        <is>
          <t>Föryngringsavverkning</t>
        </is>
      </c>
      <c r="D432" s="1" t="n">
        <v>45093</v>
      </c>
      <c r="E432" s="1" t="n">
        <v>46310</v>
      </c>
      <c r="F432" t="inlineStr">
        <is>
          <t>VÄSTERNORRLANDS LÄN</t>
        </is>
      </c>
      <c r="G432" t="inlineStr">
        <is>
          <t>ÅNGE</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29153-2025</t>
        </is>
      </c>
      <c r="B433" t="inlineStr">
        <is>
          <t>avverkningsanmälan</t>
        </is>
      </c>
      <c r="C433" t="inlineStr">
        <is>
          <t>Föryngringsavverkning</t>
        </is>
      </c>
      <c r="D433" s="1" t="n">
        <v>45821</v>
      </c>
      <c r="E433" s="1" t="n">
        <v>46310</v>
      </c>
      <c r="F433" t="inlineStr">
        <is>
          <t>VÄSTERNORRLANDS LÄN</t>
        </is>
      </c>
      <c r="G433" t="inlineStr">
        <is>
          <t>ÅNGE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38693-2025</t>
        </is>
      </c>
      <c r="B434" t="inlineStr">
        <is>
          <t>avverkningsanmälan</t>
        </is>
      </c>
      <c r="C434" t="inlineStr">
        <is>
          <t>Föryngringsavverkning</t>
        </is>
      </c>
      <c r="D434" s="1" t="n">
        <v>45884</v>
      </c>
      <c r="E434" s="1" t="n">
        <v>46310</v>
      </c>
      <c r="F434" t="inlineStr">
        <is>
          <t>VÄSTERNORRLANDS LÄN</t>
        </is>
      </c>
      <c r="G434" t="inlineStr">
        <is>
          <t>ÅNGE</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38703-2025</t>
        </is>
      </c>
      <c r="B435" t="inlineStr">
        <is>
          <t>avverkningsanmälan</t>
        </is>
      </c>
      <c r="C435" t="inlineStr">
        <is>
          <t>Föryngringsavverkning</t>
        </is>
      </c>
      <c r="D435" s="1" t="n">
        <v>45885</v>
      </c>
      <c r="E435" s="1" t="n">
        <v>46310</v>
      </c>
      <c r="F435" t="inlineStr">
        <is>
          <t>VÄSTERNORRLANDS LÄN</t>
        </is>
      </c>
      <c r="G435" t="inlineStr">
        <is>
          <t>ÅNGE</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28717-2025</t>
        </is>
      </c>
      <c r="B436" t="inlineStr">
        <is>
          <t>avverkningsanmälan</t>
        </is>
      </c>
      <c r="C436" t="inlineStr">
        <is>
          <t>Föryngringsavverkning</t>
        </is>
      </c>
      <c r="D436" s="1" t="n">
        <v>45820</v>
      </c>
      <c r="E436" s="1" t="n">
        <v>46310</v>
      </c>
      <c r="F436" t="inlineStr">
        <is>
          <t>VÄSTERNORRLANDS LÄN</t>
        </is>
      </c>
      <c r="G436" t="inlineStr">
        <is>
          <t>ÅNGE</t>
        </is>
      </c>
      <c r="H436" t="inlineStr">
        <is>
          <t>SCA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38711-2025</t>
        </is>
      </c>
      <c r="B437" t="inlineStr">
        <is>
          <t>avverkningsanmälan</t>
        </is>
      </c>
      <c r="C437" t="inlineStr">
        <is>
          <t>Föryngringsavverkning</t>
        </is>
      </c>
      <c r="D437" s="1" t="n">
        <v>45886</v>
      </c>
      <c r="E437" s="1" t="n">
        <v>46310</v>
      </c>
      <c r="F437" t="inlineStr">
        <is>
          <t>VÄSTERNORRLANDS LÄN</t>
        </is>
      </c>
      <c r="G437" t="inlineStr">
        <is>
          <t>ÅNGE</t>
        </is>
      </c>
      <c r="H437" t="inlineStr">
        <is>
          <t>SCA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45027-2023</t>
        </is>
      </c>
      <c r="B438" t="inlineStr">
        <is>
          <t>avverkningsanmälan</t>
        </is>
      </c>
      <c r="C438" t="inlineStr">
        <is>
          <t>Föryngringsavverkning</t>
        </is>
      </c>
      <c r="D438" s="1" t="n">
        <v>45190</v>
      </c>
      <c r="E438" s="1" t="n">
        <v>46310</v>
      </c>
      <c r="F438" t="inlineStr">
        <is>
          <t>VÄSTERNORRLANDS LÄN</t>
        </is>
      </c>
      <c r="G438" t="inlineStr">
        <is>
          <t>ÅNGE</t>
        </is>
      </c>
      <c r="H438" t="inlineStr">
        <is>
          <t>SCA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29786-2025</t>
        </is>
      </c>
      <c r="B439" t="inlineStr">
        <is>
          <t>avverkningsanmälan</t>
        </is>
      </c>
      <c r="C439" t="inlineStr">
        <is>
          <t>Föryngringsavverkning</t>
        </is>
      </c>
      <c r="D439" s="1" t="n">
        <v>45825</v>
      </c>
      <c r="E439" s="1" t="n">
        <v>46310</v>
      </c>
      <c r="F439" t="inlineStr">
        <is>
          <t>VÄSTERNORRLANDS LÄN</t>
        </is>
      </c>
      <c r="G439" t="inlineStr">
        <is>
          <t>ÅNGE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60003-2023</t>
        </is>
      </c>
      <c r="B440" t="inlineStr">
        <is>
          <t>avverkningsanmälan</t>
        </is>
      </c>
      <c r="C440" t="inlineStr">
        <is>
          <t>Föryngringsavverkning</t>
        </is>
      </c>
      <c r="D440" s="1" t="n">
        <v>45257</v>
      </c>
      <c r="E440" s="1" t="n">
        <v>46310</v>
      </c>
      <c r="F440" t="inlineStr">
        <is>
          <t>VÄSTERNORRLANDS LÄN</t>
        </is>
      </c>
      <c r="G440" t="inlineStr">
        <is>
          <t>ÅNGE</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4876-2023</t>
        </is>
      </c>
      <c r="B441" t="inlineStr">
        <is>
          <t>avverkningsanmälan</t>
        </is>
      </c>
      <c r="C441" t="inlineStr">
        <is>
          <t>Föryngringsavverkning</t>
        </is>
      </c>
      <c r="D441" s="1" t="n">
        <v>44957</v>
      </c>
      <c r="E441" s="1" t="n">
        <v>46310</v>
      </c>
      <c r="F441" t="inlineStr">
        <is>
          <t>VÄSTERNORRLANDS LÄN</t>
        </is>
      </c>
      <c r="G441" t="inlineStr">
        <is>
          <t>ÅNGE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57591-2022</t>
        </is>
      </c>
      <c r="B442" t="inlineStr">
        <is>
          <t>avverkningsanmälan</t>
        </is>
      </c>
      <c r="C442" t="inlineStr">
        <is>
          <t>Avverkning för att bevara och utveckla /försöksver</t>
        </is>
      </c>
      <c r="D442" s="1" t="n">
        <v>44896</v>
      </c>
      <c r="E442" s="1" t="n">
        <v>46310</v>
      </c>
      <c r="F442" t="inlineStr">
        <is>
          <t>VÄSTERNORRLANDS LÄN</t>
        </is>
      </c>
      <c r="G442" t="inlineStr">
        <is>
          <t>ÅNGE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24231-2024</t>
        </is>
      </c>
      <c r="B443" t="inlineStr">
        <is>
          <t>avverkningsanmälan</t>
        </is>
      </c>
      <c r="C443" t="inlineStr">
        <is>
          <t>Föryngringsavverkning</t>
        </is>
      </c>
      <c r="D443" s="1" t="n">
        <v>45457</v>
      </c>
      <c r="E443" s="1" t="n">
        <v>46310</v>
      </c>
      <c r="F443" t="inlineStr">
        <is>
          <t>VÄSTERNORRLANDS LÄN</t>
        </is>
      </c>
      <c r="G443" t="inlineStr">
        <is>
          <t>ÅNGE</t>
        </is>
      </c>
      <c r="H443" t="inlineStr">
        <is>
          <t>Sveaskog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25034-2023</t>
        </is>
      </c>
      <c r="B444" t="inlineStr">
        <is>
          <t>avverkningsanmälan</t>
        </is>
      </c>
      <c r="C444" t="inlineStr">
        <is>
          <t>Avverkning för annat ändamål</t>
        </is>
      </c>
      <c r="D444" s="1" t="n">
        <v>45085</v>
      </c>
      <c r="E444" s="1" t="n">
        <v>46310</v>
      </c>
      <c r="F444" t="inlineStr">
        <is>
          <t>VÄSTERNORRLANDS LÄN</t>
        </is>
      </c>
      <c r="G444" t="inlineStr">
        <is>
          <t>ÅNGE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13875-2022</t>
        </is>
      </c>
      <c r="B445" t="inlineStr">
        <is>
          <t>avverkningsanmälan</t>
        </is>
      </c>
      <c r="C445" t="inlineStr">
        <is>
          <t>Föryngringsavverkning</t>
        </is>
      </c>
      <c r="D445" s="1" t="n">
        <v>44649</v>
      </c>
      <c r="E445" s="1" t="n">
        <v>46310</v>
      </c>
      <c r="F445" t="inlineStr">
        <is>
          <t>VÄSTERNORRLANDS LÄN</t>
        </is>
      </c>
      <c r="G445" t="inlineStr">
        <is>
          <t>ÅNGE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36290-2023</t>
        </is>
      </c>
      <c r="B446" t="inlineStr">
        <is>
          <t>avverkningsanmälan</t>
        </is>
      </c>
      <c r="C446" t="inlineStr">
        <is>
          <t>Föryngringsavverkning</t>
        </is>
      </c>
      <c r="D446" s="1" t="n">
        <v>45152</v>
      </c>
      <c r="E446" s="1" t="n">
        <v>46310</v>
      </c>
      <c r="F446" t="inlineStr">
        <is>
          <t>VÄSTERNORRLANDS LÄN</t>
        </is>
      </c>
      <c r="G446" t="inlineStr">
        <is>
          <t>ÅNGE</t>
        </is>
      </c>
      <c r="H446" t="inlineStr">
        <is>
          <t>Övriga Aktiebolag</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38686-2025</t>
        </is>
      </c>
      <c r="B447" t="inlineStr">
        <is>
          <t>avverkningsanmälan</t>
        </is>
      </c>
      <c r="C447" t="inlineStr">
        <is>
          <t>Föryngringsavverkning</t>
        </is>
      </c>
      <c r="D447" s="1" t="n">
        <v>45884</v>
      </c>
      <c r="E447" s="1" t="n">
        <v>46310</v>
      </c>
      <c r="F447" t="inlineStr">
        <is>
          <t>VÄSTERNORRLANDS LÄN</t>
        </is>
      </c>
      <c r="G447" t="inlineStr">
        <is>
          <t>ÅNGE</t>
        </is>
      </c>
      <c r="H447" t="inlineStr">
        <is>
          <t>SCA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30273-2023</t>
        </is>
      </c>
      <c r="B448" t="inlineStr">
        <is>
          <t>avverkningsanmälan</t>
        </is>
      </c>
      <c r="C448" t="inlineStr">
        <is>
          <t>Föryngringsavverkning</t>
        </is>
      </c>
      <c r="D448" s="1" t="n">
        <v>45099</v>
      </c>
      <c r="E448" s="1" t="n">
        <v>46310</v>
      </c>
      <c r="F448" t="inlineStr">
        <is>
          <t>VÄSTERNORRLANDS LÄN</t>
        </is>
      </c>
      <c r="G448" t="inlineStr">
        <is>
          <t>ÅNGE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14889-2022</t>
        </is>
      </c>
      <c r="B449" t="inlineStr">
        <is>
          <t>avverkningsanmälan</t>
        </is>
      </c>
      <c r="C449" t="inlineStr">
        <is>
          <t>Föryngringsavverkning</t>
        </is>
      </c>
      <c r="D449" s="1" t="n">
        <v>44656</v>
      </c>
      <c r="E449" s="1" t="n">
        <v>46310</v>
      </c>
      <c r="F449" t="inlineStr">
        <is>
          <t>VÄSTERNORRLANDS LÄN</t>
        </is>
      </c>
      <c r="G449" t="inlineStr">
        <is>
          <t>ÅNGE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29882-2025</t>
        </is>
      </c>
      <c r="B450" t="inlineStr">
        <is>
          <t>avverkningsanmälan</t>
        </is>
      </c>
      <c r="C450" t="inlineStr">
        <is>
          <t>Föryngringsavverkning</t>
        </is>
      </c>
      <c r="D450" s="1" t="n">
        <v>45826</v>
      </c>
      <c r="E450" s="1" t="n">
        <v>46310</v>
      </c>
      <c r="F450" t="inlineStr">
        <is>
          <t>VÄSTERNORRLANDS LÄN</t>
        </is>
      </c>
      <c r="G450" t="inlineStr">
        <is>
          <t>ÅNGE</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17044-2023</t>
        </is>
      </c>
      <c r="B451" t="inlineStr">
        <is>
          <t>avverkningsanmälan</t>
        </is>
      </c>
      <c r="C451" t="inlineStr">
        <is>
          <t>Föryngringsavverkning</t>
        </is>
      </c>
      <c r="D451" s="1" t="n">
        <v>45034</v>
      </c>
      <c r="E451" s="1" t="n">
        <v>46310</v>
      </c>
      <c r="F451" t="inlineStr">
        <is>
          <t>VÄSTERNORRLANDS LÄN</t>
        </is>
      </c>
      <c r="G451" t="inlineStr">
        <is>
          <t>ÅNGE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30618-2025</t>
        </is>
      </c>
      <c r="B452" t="inlineStr">
        <is>
          <t>avverkningsanmälan</t>
        </is>
      </c>
      <c r="C452" t="inlineStr">
        <is>
          <t>Föryngringsavverkning</t>
        </is>
      </c>
      <c r="D452" s="1" t="n">
        <v>45831</v>
      </c>
      <c r="E452" s="1" t="n">
        <v>46310</v>
      </c>
      <c r="F452" t="inlineStr">
        <is>
          <t>VÄSTERNORRLANDS LÄN</t>
        </is>
      </c>
      <c r="G452" t="inlineStr">
        <is>
          <t>ÅNGE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30598-2025</t>
        </is>
      </c>
      <c r="B453" t="inlineStr">
        <is>
          <t>avverkningsanmälan</t>
        </is>
      </c>
      <c r="C453" t="inlineStr">
        <is>
          <t>Föryngringsavverkning</t>
        </is>
      </c>
      <c r="D453" s="1" t="n">
        <v>45831</v>
      </c>
      <c r="E453" s="1" t="n">
        <v>46310</v>
      </c>
      <c r="F453" t="inlineStr">
        <is>
          <t>VÄSTERNORRLANDS LÄN</t>
        </is>
      </c>
      <c r="G453" t="inlineStr">
        <is>
          <t>ÅNGE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30892-2025</t>
        </is>
      </c>
      <c r="B454" t="inlineStr">
        <is>
          <t>avverkningsanmälan</t>
        </is>
      </c>
      <c r="C454" t="inlineStr">
        <is>
          <t>Föryngringsavverkning</t>
        </is>
      </c>
      <c r="D454" s="1" t="n">
        <v>45832</v>
      </c>
      <c r="E454" s="1" t="n">
        <v>46310</v>
      </c>
      <c r="F454" t="inlineStr">
        <is>
          <t>VÄSTERNORRLANDS LÄN</t>
        </is>
      </c>
      <c r="G454" t="inlineStr">
        <is>
          <t>ÅNGE</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31544-2025</t>
        </is>
      </c>
      <c r="B455" t="inlineStr">
        <is>
          <t>avverkningsanmälan</t>
        </is>
      </c>
      <c r="C455" t="inlineStr">
        <is>
          <t>Föryngringsavverkning</t>
        </is>
      </c>
      <c r="D455" s="1" t="n">
        <v>45833</v>
      </c>
      <c r="E455" s="1" t="n">
        <v>46310</v>
      </c>
      <c r="F455" t="inlineStr">
        <is>
          <t>VÄSTERNORRLANDS LÄN</t>
        </is>
      </c>
      <c r="G455" t="inlineStr">
        <is>
          <t>ÅNGE</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31042-2025</t>
        </is>
      </c>
      <c r="B456" t="inlineStr">
        <is>
          <t>avverkningsanmälan</t>
        </is>
      </c>
      <c r="C456" t="inlineStr">
        <is>
          <t>Föryngringsavverkning</t>
        </is>
      </c>
      <c r="D456" s="1" t="n">
        <v>45832</v>
      </c>
      <c r="E456" s="1" t="n">
        <v>46310</v>
      </c>
      <c r="F456" t="inlineStr">
        <is>
          <t>VÄSTERNORRLANDS LÄN</t>
        </is>
      </c>
      <c r="G456" t="inlineStr">
        <is>
          <t>ÅNGE</t>
        </is>
      </c>
      <c r="H456" t="inlineStr">
        <is>
          <t>SCA</t>
        </is>
      </c>
      <c r="I456" t="n">
        <v>11.8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10087-2023</t>
        </is>
      </c>
      <c r="B457" t="inlineStr">
        <is>
          <t>avverkningsanmälan</t>
        </is>
      </c>
      <c r="C457" t="inlineStr">
        <is>
          <t>Avverkning för att bevara och utveckla /försöksver</t>
        </is>
      </c>
      <c r="D457" s="1" t="n">
        <v>44985</v>
      </c>
      <c r="E457" s="1" t="n">
        <v>46310</v>
      </c>
      <c r="F457" t="inlineStr">
        <is>
          <t>VÄSTERNORRLANDS LÄN</t>
        </is>
      </c>
      <c r="G457" t="inlineStr">
        <is>
          <t>ÅNGE</t>
        </is>
      </c>
      <c r="H457" t="inlineStr">
        <is>
          <t>SCA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30888-2025</t>
        </is>
      </c>
      <c r="B458" t="inlineStr">
        <is>
          <t>avverkningsanmälan</t>
        </is>
      </c>
      <c r="C458" t="inlineStr">
        <is>
          <t>Föryngringsavverkning</t>
        </is>
      </c>
      <c r="D458" s="1" t="n">
        <v>45832</v>
      </c>
      <c r="E458" s="1" t="n">
        <v>46310</v>
      </c>
      <c r="F458" t="inlineStr">
        <is>
          <t>VÄSTERNORRLANDS LÄN</t>
        </is>
      </c>
      <c r="G458" t="inlineStr">
        <is>
          <t>ÅNGE</t>
        </is>
      </c>
      <c r="H458" t="inlineStr">
        <is>
          <t>SCA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30875-2025</t>
        </is>
      </c>
      <c r="B459" t="inlineStr">
        <is>
          <t>avverkningsanmälan</t>
        </is>
      </c>
      <c r="C459" t="inlineStr">
        <is>
          <t>Föryngringsavverkning</t>
        </is>
      </c>
      <c r="D459" s="1" t="n">
        <v>45832</v>
      </c>
      <c r="E459" s="1" t="n">
        <v>46310</v>
      </c>
      <c r="F459" t="inlineStr">
        <is>
          <t>VÄSTERNORRLANDS LÄN</t>
        </is>
      </c>
      <c r="G459" t="inlineStr">
        <is>
          <t>ÅNGE</t>
        </is>
      </c>
      <c r="H459" t="inlineStr">
        <is>
          <t>SCA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17670-2023</t>
        </is>
      </c>
      <c r="B460" t="inlineStr">
        <is>
          <t>avverkningsanmälan</t>
        </is>
      </c>
      <c r="C460" t="inlineStr">
        <is>
          <t>Föryngringsavverkning</t>
        </is>
      </c>
      <c r="D460" s="1" t="n">
        <v>45036</v>
      </c>
      <c r="E460" s="1" t="n">
        <v>46310</v>
      </c>
      <c r="F460" t="inlineStr">
        <is>
          <t>VÄSTERNORRLANDS LÄN</t>
        </is>
      </c>
      <c r="G460" t="inlineStr">
        <is>
          <t>ÅNGE</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57109-2023</t>
        </is>
      </c>
      <c r="B461" t="inlineStr">
        <is>
          <t>avverkningsanmälan</t>
        </is>
      </c>
      <c r="C461" t="inlineStr">
        <is>
          <t>Föryngringsavverkning</t>
        </is>
      </c>
      <c r="D461" s="1" t="n">
        <v>45239</v>
      </c>
      <c r="E461" s="1" t="n">
        <v>46310</v>
      </c>
      <c r="F461" t="inlineStr">
        <is>
          <t>VÄSTERNORRLANDS LÄN</t>
        </is>
      </c>
      <c r="G461" t="inlineStr">
        <is>
          <t>ÅNGE</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54316-2024</t>
        </is>
      </c>
      <c r="B462" t="inlineStr">
        <is>
          <t>avverkningsanmälan</t>
        </is>
      </c>
      <c r="C462" t="inlineStr">
        <is>
          <t>Föryngringsavverkning</t>
        </is>
      </c>
      <c r="D462" s="1" t="n">
        <v>45617</v>
      </c>
      <c r="E462" s="1" t="n">
        <v>46310</v>
      </c>
      <c r="F462" t="inlineStr">
        <is>
          <t>VÄSTERNORRLANDS LÄN</t>
        </is>
      </c>
      <c r="G462" t="inlineStr">
        <is>
          <t>ÅNGE</t>
        </is>
      </c>
      <c r="H462" t="inlineStr">
        <is>
          <t>SCA</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31139-2025</t>
        </is>
      </c>
      <c r="B463" t="inlineStr">
        <is>
          <t>avverkningsanmälan</t>
        </is>
      </c>
      <c r="C463" t="inlineStr">
        <is>
          <t>Föryngringsavverkning</t>
        </is>
      </c>
      <c r="D463" s="1" t="n">
        <v>45832</v>
      </c>
      <c r="E463" s="1" t="n">
        <v>46310</v>
      </c>
      <c r="F463" t="inlineStr">
        <is>
          <t>VÄSTERNORRLANDS LÄN</t>
        </is>
      </c>
      <c r="G463" t="inlineStr">
        <is>
          <t>ÅNGE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8650-2024</t>
        </is>
      </c>
      <c r="B464" t="inlineStr">
        <is>
          <t>avverkningsanmälan</t>
        </is>
      </c>
      <c r="C464" t="inlineStr">
        <is>
          <t>Föryngringsavverkning</t>
        </is>
      </c>
      <c r="D464" s="1" t="n">
        <v>45356</v>
      </c>
      <c r="E464" s="1" t="n">
        <v>46310</v>
      </c>
      <c r="F464" t="inlineStr">
        <is>
          <t>VÄSTERNORRLANDS LÄN</t>
        </is>
      </c>
      <c r="G464" t="inlineStr">
        <is>
          <t>ÅNGE</t>
        </is>
      </c>
      <c r="H464" t="inlineStr">
        <is>
          <t>SCA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31642-2025</t>
        </is>
      </c>
      <c r="B465" t="inlineStr">
        <is>
          <t>avverkningsanmälan</t>
        </is>
      </c>
      <c r="C465" t="inlineStr">
        <is>
          <t>Föryngringsavverkning</t>
        </is>
      </c>
      <c r="D465" s="1" t="n">
        <v>45834</v>
      </c>
      <c r="E465" s="1" t="n">
        <v>46310</v>
      </c>
      <c r="F465" t="inlineStr">
        <is>
          <t>VÄSTERNORRLANDS LÄN</t>
        </is>
      </c>
      <c r="G465" t="inlineStr">
        <is>
          <t>ÅNGE</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32025-2025</t>
        </is>
      </c>
      <c r="B466" t="inlineStr">
        <is>
          <t>avverkningsanmälan</t>
        </is>
      </c>
      <c r="C466" t="inlineStr">
        <is>
          <t>Föryngringsavverkning</t>
        </is>
      </c>
      <c r="D466" s="1" t="n">
        <v>45835</v>
      </c>
      <c r="E466" s="1" t="n">
        <v>46310</v>
      </c>
      <c r="F466" t="inlineStr">
        <is>
          <t>VÄSTERNORRLANDS LÄN</t>
        </is>
      </c>
      <c r="G466" t="inlineStr">
        <is>
          <t>ÅNGE</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61577-2023</t>
        </is>
      </c>
      <c r="B467" t="inlineStr">
        <is>
          <t>avverkningsanmälan</t>
        </is>
      </c>
      <c r="C467" t="inlineStr">
        <is>
          <t>Föryngringsavverkning</t>
        </is>
      </c>
      <c r="D467" s="1" t="n">
        <v>45265</v>
      </c>
      <c r="E467" s="1" t="n">
        <v>46310</v>
      </c>
      <c r="F467" t="inlineStr">
        <is>
          <t>VÄSTERNORRLANDS LÄN</t>
        </is>
      </c>
      <c r="G467" t="inlineStr">
        <is>
          <t>ÅNGE</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32024-2025</t>
        </is>
      </c>
      <c r="B468" t="inlineStr">
        <is>
          <t>avverkningsanmälan</t>
        </is>
      </c>
      <c r="C468" t="inlineStr">
        <is>
          <t>Föryngringsavverkning</t>
        </is>
      </c>
      <c r="D468" s="1" t="n">
        <v>45835</v>
      </c>
      <c r="E468" s="1" t="n">
        <v>46310</v>
      </c>
      <c r="F468" t="inlineStr">
        <is>
          <t>VÄSTERNORRLANDS LÄN</t>
        </is>
      </c>
      <c r="G468" t="inlineStr">
        <is>
          <t>ÅNGE</t>
        </is>
      </c>
      <c r="H468" t="inlineStr">
        <is>
          <t>SCA</t>
        </is>
      </c>
      <c r="I468" t="n">
        <v>12.3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34959-2023</t>
        </is>
      </c>
      <c r="B469" t="inlineStr">
        <is>
          <t>avverkningsanmälan</t>
        </is>
      </c>
      <c r="C469" t="inlineStr">
        <is>
          <t>Föryngringsavverkning</t>
        </is>
      </c>
      <c r="D469" s="1" t="n">
        <v>45142</v>
      </c>
      <c r="E469" s="1" t="n">
        <v>46310</v>
      </c>
      <c r="F469" t="inlineStr">
        <is>
          <t>VÄSTERNORRLANDS LÄN</t>
        </is>
      </c>
      <c r="G469" t="inlineStr">
        <is>
          <t>ÅNGE</t>
        </is>
      </c>
      <c r="H469" t="inlineStr">
        <is>
          <t>Sveaskog</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39434-2025</t>
        </is>
      </c>
      <c r="B470" t="inlineStr">
        <is>
          <t>avverkningsanmälan</t>
        </is>
      </c>
      <c r="C470" t="inlineStr">
        <is>
          <t>Föryngringsavverkning</t>
        </is>
      </c>
      <c r="D470" s="1" t="n">
        <v>45889</v>
      </c>
      <c r="E470" s="1" t="n">
        <v>46310</v>
      </c>
      <c r="F470" t="inlineStr">
        <is>
          <t>VÄSTERNORRLANDS LÄN</t>
        </is>
      </c>
      <c r="G470" t="inlineStr">
        <is>
          <t>ÅNGE</t>
        </is>
      </c>
      <c r="H470" t="inlineStr">
        <is>
          <t>SCA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8406-2023</t>
        </is>
      </c>
      <c r="B471" t="inlineStr">
        <is>
          <t>avverkningsanmälan</t>
        </is>
      </c>
      <c r="C471" t="inlineStr">
        <is>
          <t>Föryngringsavverkning</t>
        </is>
      </c>
      <c r="D471" s="1" t="n">
        <v>44971</v>
      </c>
      <c r="E471" s="1" t="n">
        <v>46310</v>
      </c>
      <c r="F471" t="inlineStr">
        <is>
          <t>VÄSTERNORRLANDS LÄN</t>
        </is>
      </c>
      <c r="G471" t="inlineStr">
        <is>
          <t>ÅNGE</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42857-2022</t>
        </is>
      </c>
      <c r="B472" t="inlineStr">
        <is>
          <t>avverkningsanmälan</t>
        </is>
      </c>
      <c r="C472" t="inlineStr">
        <is>
          <t>Föryngringsavverkning</t>
        </is>
      </c>
      <c r="D472" s="1" t="n">
        <v>44832</v>
      </c>
      <c r="E472" s="1" t="n">
        <v>46310</v>
      </c>
      <c r="F472" t="inlineStr">
        <is>
          <t>VÄSTERNORRLANDS LÄN</t>
        </is>
      </c>
      <c r="G472" t="inlineStr">
        <is>
          <t>ÅNGE</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6-2025</t>
        </is>
      </c>
      <c r="B473" t="inlineStr">
        <is>
          <t>avverkningsanmälan</t>
        </is>
      </c>
      <c r="C473" t="inlineStr">
        <is>
          <t>Föryngringsavverkning</t>
        </is>
      </c>
      <c r="D473" s="1" t="n">
        <v>45658</v>
      </c>
      <c r="E473" s="1" t="n">
        <v>46310</v>
      </c>
      <c r="F473" t="inlineStr">
        <is>
          <t>VÄSTERNORRLANDS LÄN</t>
        </is>
      </c>
      <c r="G473" t="inlineStr">
        <is>
          <t>ÅNGE</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10878-2024</t>
        </is>
      </c>
      <c r="B474" t="inlineStr">
        <is>
          <t>avverkningsanmälan</t>
        </is>
      </c>
      <c r="C474" t="inlineStr">
        <is>
          <t>Föryngringsavverkning</t>
        </is>
      </c>
      <c r="D474" s="1" t="n">
        <v>45370</v>
      </c>
      <c r="E474" s="1" t="n">
        <v>46310</v>
      </c>
      <c r="F474" t="inlineStr">
        <is>
          <t>VÄSTERNORRLANDS LÄN</t>
        </is>
      </c>
      <c r="G474" t="inlineStr">
        <is>
          <t>ÅNGE</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24232-2024</t>
        </is>
      </c>
      <c r="B475" t="inlineStr">
        <is>
          <t>avverkningsanmälan</t>
        </is>
      </c>
      <c r="C475" t="inlineStr">
        <is>
          <t>Föryngringsavverkning</t>
        </is>
      </c>
      <c r="D475" s="1" t="n">
        <v>45457</v>
      </c>
      <c r="E475" s="1" t="n">
        <v>46310</v>
      </c>
      <c r="F475" t="inlineStr">
        <is>
          <t>VÄSTERNORRLANDS LÄN</t>
        </is>
      </c>
      <c r="G475" t="inlineStr">
        <is>
          <t>ÅNGE</t>
        </is>
      </c>
      <c r="H475" t="inlineStr">
        <is>
          <t>Sveaskog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31325-2022</t>
        </is>
      </c>
      <c r="B476" t="inlineStr">
        <is>
          <t>avverkningsanmälan</t>
        </is>
      </c>
      <c r="C476" t="inlineStr">
        <is>
          <t>Föryngringsavverkning</t>
        </is>
      </c>
      <c r="D476" s="1" t="n">
        <v>44774</v>
      </c>
      <c r="E476" s="1" t="n">
        <v>46310</v>
      </c>
      <c r="F476" t="inlineStr">
        <is>
          <t>VÄSTERNORRLANDS LÄN</t>
        </is>
      </c>
      <c r="G476" t="inlineStr">
        <is>
          <t>ÅNGE</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40665-2025</t>
        </is>
      </c>
      <c r="B477" t="inlineStr">
        <is>
          <t>avverkningsanmälan</t>
        </is>
      </c>
      <c r="C477" t="inlineStr">
        <is>
          <t>Föryngringsavverkning</t>
        </is>
      </c>
      <c r="D477" s="1" t="n">
        <v>45896</v>
      </c>
      <c r="E477" s="1" t="n">
        <v>46310</v>
      </c>
      <c r="F477" t="inlineStr">
        <is>
          <t>VÄSTERNORRLANDS LÄN</t>
        </is>
      </c>
      <c r="G477" t="inlineStr">
        <is>
          <t>ÅNGE</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40898-2025</t>
        </is>
      </c>
      <c r="B478" t="inlineStr">
        <is>
          <t>avverkningsanmälan</t>
        </is>
      </c>
      <c r="C478" t="inlineStr">
        <is>
          <t>Föryngringsavverkning</t>
        </is>
      </c>
      <c r="D478" s="1" t="n">
        <v>45897</v>
      </c>
      <c r="E478" s="1" t="n">
        <v>46310</v>
      </c>
      <c r="F478" t="inlineStr">
        <is>
          <t>VÄSTERNORRLANDS LÄN</t>
        </is>
      </c>
      <c r="G478" t="inlineStr">
        <is>
          <t>ÅNGE</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40899-2025</t>
        </is>
      </c>
      <c r="B479" t="inlineStr">
        <is>
          <t>avverkningsanmälan</t>
        </is>
      </c>
      <c r="C479" t="inlineStr">
        <is>
          <t>Föryngringsavverkning</t>
        </is>
      </c>
      <c r="D479" s="1" t="n">
        <v>45897</v>
      </c>
      <c r="E479" s="1" t="n">
        <v>46310</v>
      </c>
      <c r="F479" t="inlineStr">
        <is>
          <t>VÄSTERNORRLANDS LÄN</t>
        </is>
      </c>
      <c r="G479" t="inlineStr">
        <is>
          <t>ÅNGE</t>
        </is>
      </c>
      <c r="H479" t="inlineStr">
        <is>
          <t>SCA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34591-2025</t>
        </is>
      </c>
      <c r="B480" t="inlineStr">
        <is>
          <t>avverkningsanmälan</t>
        </is>
      </c>
      <c r="C480" t="inlineStr">
        <is>
          <t>Föryngringsavverkning</t>
        </is>
      </c>
      <c r="D480" s="1" t="n">
        <v>45847</v>
      </c>
      <c r="E480" s="1" t="n">
        <v>46310</v>
      </c>
      <c r="F480" t="inlineStr">
        <is>
          <t>VÄSTERNORRLANDS LÄN</t>
        </is>
      </c>
      <c r="G480" t="inlineStr">
        <is>
          <t>ÅNGE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4006-2022</t>
        </is>
      </c>
      <c r="B481" t="inlineStr">
        <is>
          <t>avverkningsanmälan</t>
        </is>
      </c>
      <c r="C481" t="inlineStr">
        <is>
          <t>Föryngringsavverkning</t>
        </is>
      </c>
      <c r="D481" s="1" t="n">
        <v>44587</v>
      </c>
      <c r="E481" s="1" t="n">
        <v>46310</v>
      </c>
      <c r="F481" t="inlineStr">
        <is>
          <t>VÄSTERNORRLANDS LÄN</t>
        </is>
      </c>
      <c r="G481" t="inlineStr">
        <is>
          <t>ÅNGE</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22411-2023</t>
        </is>
      </c>
      <c r="B482" t="inlineStr">
        <is>
          <t>avverkningsanmälan</t>
        </is>
      </c>
      <c r="C482" t="inlineStr">
        <is>
          <t>Föryngringsavverkning</t>
        </is>
      </c>
      <c r="D482" s="1" t="n">
        <v>45070</v>
      </c>
      <c r="E482" s="1" t="n">
        <v>46310</v>
      </c>
      <c r="F482" t="inlineStr">
        <is>
          <t>VÄSTERNORRLANDS LÄN</t>
        </is>
      </c>
      <c r="G482" t="inlineStr">
        <is>
          <t>ÅNGE</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61781-2023</t>
        </is>
      </c>
      <c r="B483" t="inlineStr">
        <is>
          <t>avverkningsanmälan</t>
        </is>
      </c>
      <c r="C483" t="inlineStr">
        <is>
          <t>Föryngringsavverkning</t>
        </is>
      </c>
      <c r="D483" s="1" t="n">
        <v>45265</v>
      </c>
      <c r="E483" s="1" t="n">
        <v>46310</v>
      </c>
      <c r="F483" t="inlineStr">
        <is>
          <t>VÄSTERNORRLANDS LÄN</t>
        </is>
      </c>
      <c r="G483" t="inlineStr">
        <is>
          <t>ÅNGE</t>
        </is>
      </c>
      <c r="H483" t="inlineStr">
        <is>
          <t>SCA</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35061-2025</t>
        </is>
      </c>
      <c r="B484" t="inlineStr">
        <is>
          <t>avverkningsanmälan</t>
        </is>
      </c>
      <c r="C484" t="inlineStr">
        <is>
          <t>Föryngringsavverkning</t>
        </is>
      </c>
      <c r="D484" s="1" t="n">
        <v>45852</v>
      </c>
      <c r="E484" s="1" t="n">
        <v>46310</v>
      </c>
      <c r="F484" t="inlineStr">
        <is>
          <t>VÄSTERNORRLANDS LÄN</t>
        </is>
      </c>
      <c r="G484" t="inlineStr">
        <is>
          <t>ÅNGE</t>
        </is>
      </c>
      <c r="H484" t="inlineStr">
        <is>
          <t>SCA</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41872-2025</t>
        </is>
      </c>
      <c r="B485" t="inlineStr">
        <is>
          <t>avverkningsanmälan</t>
        </is>
      </c>
      <c r="C485" t="inlineStr">
        <is>
          <t>Föryngringsavverkning</t>
        </is>
      </c>
      <c r="D485" s="1" t="n">
        <v>45903</v>
      </c>
      <c r="E485" s="1" t="n">
        <v>46310</v>
      </c>
      <c r="F485" t="inlineStr">
        <is>
          <t>VÄSTERNORRLANDS LÄN</t>
        </is>
      </c>
      <c r="G485" t="inlineStr">
        <is>
          <t>ÅNGE</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41870-2025</t>
        </is>
      </c>
      <c r="B486" t="inlineStr">
        <is>
          <t>avverkningsanmälan</t>
        </is>
      </c>
      <c r="C486" t="inlineStr">
        <is>
          <t>Föryngringsavverkning</t>
        </is>
      </c>
      <c r="D486" s="1" t="n">
        <v>45903</v>
      </c>
      <c r="E486" s="1" t="n">
        <v>46310</v>
      </c>
      <c r="F486" t="inlineStr">
        <is>
          <t>VÄSTERNORRLANDS LÄN</t>
        </is>
      </c>
      <c r="G486" t="inlineStr">
        <is>
          <t>ÅNGE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35432-2025</t>
        </is>
      </c>
      <c r="B487" t="inlineStr">
        <is>
          <t>avverkningsanmälan</t>
        </is>
      </c>
      <c r="C487" t="inlineStr">
        <is>
          <t>Föryngringsavverkning</t>
        </is>
      </c>
      <c r="D487" s="1" t="n">
        <v>45855</v>
      </c>
      <c r="E487" s="1" t="n">
        <v>46310</v>
      </c>
      <c r="F487" t="inlineStr">
        <is>
          <t>VÄSTERNORRLANDS LÄN</t>
        </is>
      </c>
      <c r="G487" t="inlineStr">
        <is>
          <t>ÅNGE</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9382-2025</t>
        </is>
      </c>
      <c r="B488" t="inlineStr">
        <is>
          <t>avverkningsanmälan</t>
        </is>
      </c>
      <c r="C488" t="inlineStr">
        <is>
          <t>Föryngringsavverkning</t>
        </is>
      </c>
      <c r="D488" s="1" t="n">
        <v>45715</v>
      </c>
      <c r="E488" s="1" t="n">
        <v>46310</v>
      </c>
      <c r="F488" t="inlineStr">
        <is>
          <t>VÄSTERNORRLANDS LÄN</t>
        </is>
      </c>
      <c r="G488" t="inlineStr">
        <is>
          <t>ÅNGE</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35497-2025</t>
        </is>
      </c>
      <c r="B489" t="inlineStr">
        <is>
          <t>avverkningsanmälan</t>
        </is>
      </c>
      <c r="C489" t="inlineStr">
        <is>
          <t>Föryngringsavverkning</t>
        </is>
      </c>
      <c r="D489" s="1" t="n">
        <v>45856</v>
      </c>
      <c r="E489" s="1" t="n">
        <v>46310</v>
      </c>
      <c r="F489" t="inlineStr">
        <is>
          <t>VÄSTERNORRLANDS LÄN</t>
        </is>
      </c>
      <c r="G489" t="inlineStr">
        <is>
          <t>ÅNGE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35577-2025</t>
        </is>
      </c>
      <c r="B490" t="inlineStr">
        <is>
          <t>avverkningsanmälan</t>
        </is>
      </c>
      <c r="C490" t="inlineStr">
        <is>
          <t>Föryngringsavverkning</t>
        </is>
      </c>
      <c r="D490" s="1" t="n">
        <v>45856</v>
      </c>
      <c r="E490" s="1" t="n">
        <v>46310</v>
      </c>
      <c r="F490" t="inlineStr">
        <is>
          <t>VÄSTERNORRLANDS LÄN</t>
        </is>
      </c>
      <c r="G490" t="inlineStr">
        <is>
          <t>ÅNGE</t>
        </is>
      </c>
      <c r="H490" t="inlineStr">
        <is>
          <t>SCA</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18067-2025</t>
        </is>
      </c>
      <c r="B491" t="inlineStr">
        <is>
          <t>avverkningsanmälan</t>
        </is>
      </c>
      <c r="C491" t="inlineStr">
        <is>
          <t>Föryngringsavverkning</t>
        </is>
      </c>
      <c r="D491" s="1" t="n">
        <v>45761</v>
      </c>
      <c r="E491" s="1" t="n">
        <v>46310</v>
      </c>
      <c r="F491" t="inlineStr">
        <is>
          <t>VÄSTERNORRLANDS LÄN</t>
        </is>
      </c>
      <c r="G491" t="inlineStr">
        <is>
          <t>ÅNGE</t>
        </is>
      </c>
      <c r="H491" t="inlineStr">
        <is>
          <t>SCA</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35575-2025</t>
        </is>
      </c>
      <c r="B492" t="inlineStr">
        <is>
          <t>avverkningsanmälan</t>
        </is>
      </c>
      <c r="C492" t="inlineStr">
        <is>
          <t>Föryngringsavverkning</t>
        </is>
      </c>
      <c r="D492" s="1" t="n">
        <v>45856</v>
      </c>
      <c r="E492" s="1" t="n">
        <v>46310</v>
      </c>
      <c r="F492" t="inlineStr">
        <is>
          <t>VÄSTERNORRLANDS LÄN</t>
        </is>
      </c>
      <c r="G492" t="inlineStr">
        <is>
          <t>ÅNGE</t>
        </is>
      </c>
      <c r="H492" t="inlineStr">
        <is>
          <t>SCA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35503-2025</t>
        </is>
      </c>
      <c r="B493" t="inlineStr">
        <is>
          <t>avverkningsanmälan</t>
        </is>
      </c>
      <c r="C493" t="inlineStr">
        <is>
          <t>Föryngringsavverkning</t>
        </is>
      </c>
      <c r="D493" s="1" t="n">
        <v>45856</v>
      </c>
      <c r="E493" s="1" t="n">
        <v>46310</v>
      </c>
      <c r="F493" t="inlineStr">
        <is>
          <t>VÄSTERNORRLANDS LÄN</t>
        </is>
      </c>
      <c r="G493" t="inlineStr">
        <is>
          <t>ÅNGE</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11396-2024</t>
        </is>
      </c>
      <c r="B494" t="inlineStr">
        <is>
          <t>avverkningsanmälan</t>
        </is>
      </c>
      <c r="C494" t="inlineStr">
        <is>
          <t>Föryngringsavverkning</t>
        </is>
      </c>
      <c r="D494" s="1" t="n">
        <v>45372</v>
      </c>
      <c r="E494" s="1" t="n">
        <v>46310</v>
      </c>
      <c r="F494" t="inlineStr">
        <is>
          <t>VÄSTERNORRLANDS LÄN</t>
        </is>
      </c>
      <c r="G494" t="inlineStr">
        <is>
          <t>ÅNGE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42786-2025</t>
        </is>
      </c>
      <c r="B495" t="inlineStr">
        <is>
          <t>avverkningsanmälan</t>
        </is>
      </c>
      <c r="C495" t="inlineStr">
        <is>
          <t>Föryngringsavverkning</t>
        </is>
      </c>
      <c r="D495" s="1" t="n">
        <v>45908</v>
      </c>
      <c r="E495" s="1" t="n">
        <v>46310</v>
      </c>
      <c r="F495" t="inlineStr">
        <is>
          <t>VÄSTERNORRLANDS LÄN</t>
        </is>
      </c>
      <c r="G495" t="inlineStr">
        <is>
          <t>ÅNGE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30683-2024</t>
        </is>
      </c>
      <c r="B496" t="inlineStr">
        <is>
          <t>avverkningsanmälan</t>
        </is>
      </c>
      <c r="C496" t="inlineStr">
        <is>
          <t>Föryngringsavverkning</t>
        </is>
      </c>
      <c r="D496" s="1" t="n">
        <v>45495</v>
      </c>
      <c r="E496" s="1" t="n">
        <v>46310</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43091-2025</t>
        </is>
      </c>
      <c r="B497" t="inlineStr">
        <is>
          <t>avverkningsanmälan</t>
        </is>
      </c>
      <c r="C497" t="inlineStr">
        <is>
          <t>Föryngringsavverkning</t>
        </is>
      </c>
      <c r="D497" s="1" t="n">
        <v>45909</v>
      </c>
      <c r="E497" s="1" t="n">
        <v>46310</v>
      </c>
      <c r="F497" t="inlineStr">
        <is>
          <t>VÄSTERNORRLANDS LÄN</t>
        </is>
      </c>
      <c r="G497" t="inlineStr">
        <is>
          <t>ÅNGE</t>
        </is>
      </c>
      <c r="H497" t="inlineStr">
        <is>
          <t>Kyrkan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33783-2024</t>
        </is>
      </c>
      <c r="B498" t="inlineStr">
        <is>
          <t>avverkningsanmälan</t>
        </is>
      </c>
      <c r="C498" t="inlineStr">
        <is>
          <t>Föryngringsavverkning</t>
        </is>
      </c>
      <c r="D498" s="1" t="n">
        <v>45520</v>
      </c>
      <c r="E498" s="1" t="n">
        <v>46310</v>
      </c>
      <c r="F498" t="inlineStr">
        <is>
          <t>VÄSTERNORRLANDS LÄN</t>
        </is>
      </c>
      <c r="G498" t="inlineStr">
        <is>
          <t>ÅNGE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42730-2025</t>
        </is>
      </c>
      <c r="B499" t="inlineStr">
        <is>
          <t>avverkningsanmälan</t>
        </is>
      </c>
      <c r="C499" t="inlineStr">
        <is>
          <t>Föryngringsavverkning</t>
        </is>
      </c>
      <c r="D499" s="1" t="n">
        <v>45908</v>
      </c>
      <c r="E499" s="1" t="n">
        <v>46310</v>
      </c>
      <c r="F499" t="inlineStr">
        <is>
          <t>VÄSTERNORRLANDS LÄN</t>
        </is>
      </c>
      <c r="G499" t="inlineStr">
        <is>
          <t>ÅNGE</t>
        </is>
      </c>
      <c r="H499" t="inlineStr">
        <is>
          <t>SCA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36240-2025</t>
        </is>
      </c>
      <c r="B500" t="inlineStr">
        <is>
          <t>avverkningsanmälan</t>
        </is>
      </c>
      <c r="C500" t="inlineStr">
        <is>
          <t>Föryngringsavverkning</t>
        </is>
      </c>
      <c r="D500" s="1" t="n">
        <v>45867</v>
      </c>
      <c r="E500" s="1" t="n">
        <v>46310</v>
      </c>
      <c r="F500" t="inlineStr">
        <is>
          <t>VÄSTERNORRLANDS LÄN</t>
        </is>
      </c>
      <c r="G500" t="inlineStr">
        <is>
          <t>ÅNGE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43237-2025</t>
        </is>
      </c>
      <c r="B501" t="inlineStr">
        <is>
          <t>avverkningsanmälan</t>
        </is>
      </c>
      <c r="C501" t="inlineStr">
        <is>
          <t>Föryngringsavverkning</t>
        </is>
      </c>
      <c r="D501" s="1" t="n">
        <v>45910</v>
      </c>
      <c r="E501" s="1" t="n">
        <v>46310</v>
      </c>
      <c r="F501" t="inlineStr">
        <is>
          <t>VÄSTERNORRLANDS LÄN</t>
        </is>
      </c>
      <c r="G501" t="inlineStr">
        <is>
          <t>ÅNGE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63170-2023</t>
        </is>
      </c>
      <c r="B502" t="inlineStr">
        <is>
          <t>avverkningsanmälan</t>
        </is>
      </c>
      <c r="C502" t="inlineStr">
        <is>
          <t>Föryngringsavverkning</t>
        </is>
      </c>
      <c r="D502" s="1" t="n">
        <v>45273</v>
      </c>
      <c r="E502" s="1" t="n">
        <v>46310</v>
      </c>
      <c r="F502" t="inlineStr">
        <is>
          <t>VÄSTERNORRLANDS LÄN</t>
        </is>
      </c>
      <c r="G502" t="inlineStr">
        <is>
          <t>ÅNGE</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43415-2025</t>
        </is>
      </c>
      <c r="B503" t="inlineStr">
        <is>
          <t>avverkningsanmälan</t>
        </is>
      </c>
      <c r="C503" t="inlineStr">
        <is>
          <t>Föryngringsavverkning</t>
        </is>
      </c>
      <c r="D503" s="1" t="n">
        <v>45911</v>
      </c>
      <c r="E503" s="1" t="n">
        <v>46310</v>
      </c>
      <c r="F503" t="inlineStr">
        <is>
          <t>VÄSTERNORRLANDS LÄN</t>
        </is>
      </c>
      <c r="G503" t="inlineStr">
        <is>
          <t>ÅNGE</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43386-2025</t>
        </is>
      </c>
      <c r="B504" t="inlineStr">
        <is>
          <t>avverkningsanmälan</t>
        </is>
      </c>
      <c r="C504" t="inlineStr">
        <is>
          <t>Föryngringsavverkning</t>
        </is>
      </c>
      <c r="D504" s="1" t="n">
        <v>45911</v>
      </c>
      <c r="E504" s="1" t="n">
        <v>46310</v>
      </c>
      <c r="F504" t="inlineStr">
        <is>
          <t>VÄSTERNORRLANDS LÄN</t>
        </is>
      </c>
      <c r="G504" t="inlineStr">
        <is>
          <t>ÅNGE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36236-2025</t>
        </is>
      </c>
      <c r="B505" t="inlineStr">
        <is>
          <t>avverkningsanmälan</t>
        </is>
      </c>
      <c r="C505" t="inlineStr">
        <is>
          <t>Föryngringsavverkning</t>
        </is>
      </c>
      <c r="D505" s="1" t="n">
        <v>45867</v>
      </c>
      <c r="E505" s="1" t="n">
        <v>46310</v>
      </c>
      <c r="F505" t="inlineStr">
        <is>
          <t>VÄSTERNORRLANDS LÄN</t>
        </is>
      </c>
      <c r="G505" t="inlineStr">
        <is>
          <t>ÅNGE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43385-2025</t>
        </is>
      </c>
      <c r="B506" t="inlineStr">
        <is>
          <t>avverkningsanmälan</t>
        </is>
      </c>
      <c r="C506" t="inlineStr">
        <is>
          <t>Föryngringsavverkning</t>
        </is>
      </c>
      <c r="D506" s="1" t="n">
        <v>45911</v>
      </c>
      <c r="E506" s="1" t="n">
        <v>46310</v>
      </c>
      <c r="F506" t="inlineStr">
        <is>
          <t>VÄSTERNORRLANDS LÄN</t>
        </is>
      </c>
      <c r="G506" t="inlineStr">
        <is>
          <t>ÅNGE</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43389-2025</t>
        </is>
      </c>
      <c r="B507" t="inlineStr">
        <is>
          <t>avverkningsanmälan</t>
        </is>
      </c>
      <c r="C507" t="inlineStr">
        <is>
          <t>Föryngringsavverkning</t>
        </is>
      </c>
      <c r="D507" s="1" t="n">
        <v>45911</v>
      </c>
      <c r="E507" s="1" t="n">
        <v>46310</v>
      </c>
      <c r="F507" t="inlineStr">
        <is>
          <t>VÄSTERNORRLANDS LÄN</t>
        </is>
      </c>
      <c r="G507" t="inlineStr">
        <is>
          <t>ÅNGE</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43590-2025</t>
        </is>
      </c>
      <c r="B508" t="inlineStr">
        <is>
          <t>avverkningsanmälan</t>
        </is>
      </c>
      <c r="C508" t="inlineStr">
        <is>
          <t>Föryngringsavverkning</t>
        </is>
      </c>
      <c r="D508" s="1" t="n">
        <v>45911</v>
      </c>
      <c r="E508" s="1" t="n">
        <v>46310</v>
      </c>
      <c r="F508" t="inlineStr">
        <is>
          <t>VÄSTERNORRLANDS LÄN</t>
        </is>
      </c>
      <c r="G508" t="inlineStr">
        <is>
          <t>ÅNGE</t>
        </is>
      </c>
      <c r="H508" t="inlineStr">
        <is>
          <t>SCA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36248-2025</t>
        </is>
      </c>
      <c r="B509" t="inlineStr">
        <is>
          <t>avverkningsanmälan</t>
        </is>
      </c>
      <c r="C509" t="inlineStr">
        <is>
          <t>Föryngringsavverkning</t>
        </is>
      </c>
      <c r="D509" s="1" t="n">
        <v>45867</v>
      </c>
      <c r="E509" s="1" t="n">
        <v>46310</v>
      </c>
      <c r="F509" t="inlineStr">
        <is>
          <t>VÄSTERNORRLANDS LÄN</t>
        </is>
      </c>
      <c r="G509" t="inlineStr">
        <is>
          <t>ÅNGE</t>
        </is>
      </c>
      <c r="H509" t="inlineStr">
        <is>
          <t>SCA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43221-2025</t>
        </is>
      </c>
      <c r="B510" t="inlineStr">
        <is>
          <t>avverkningsanmälan</t>
        </is>
      </c>
      <c r="C510" t="inlineStr">
        <is>
          <t>Föryngringsavverkning</t>
        </is>
      </c>
      <c r="D510" s="1" t="n">
        <v>45910</v>
      </c>
      <c r="E510" s="1" t="n">
        <v>46310</v>
      </c>
      <c r="F510" t="inlineStr">
        <is>
          <t>VÄSTERNORRLANDS LÄN</t>
        </is>
      </c>
      <c r="G510" t="inlineStr">
        <is>
          <t>ÅNGE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43265-2025</t>
        </is>
      </c>
      <c r="B511" t="inlineStr">
        <is>
          <t>avverkningsanmälan</t>
        </is>
      </c>
      <c r="C511" t="inlineStr">
        <is>
          <t>Föryngringsavverkning</t>
        </is>
      </c>
      <c r="D511" s="1" t="n">
        <v>45910</v>
      </c>
      <c r="E511" s="1" t="n">
        <v>46310</v>
      </c>
      <c r="F511" t="inlineStr">
        <is>
          <t>VÄSTERNORRLANDS LÄN</t>
        </is>
      </c>
      <c r="G511" t="inlineStr">
        <is>
          <t>ÅNGE</t>
        </is>
      </c>
      <c r="H511" t="inlineStr">
        <is>
          <t>SCA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36491-2025</t>
        </is>
      </c>
      <c r="B512" t="inlineStr">
        <is>
          <t>avverkningsanmälan</t>
        </is>
      </c>
      <c r="C512" t="inlineStr">
        <is>
          <t>Föryngringsavverkning</t>
        </is>
      </c>
      <c r="D512" s="1" t="n">
        <v>45869</v>
      </c>
      <c r="E512" s="1" t="n">
        <v>46310</v>
      </c>
      <c r="F512" t="inlineStr">
        <is>
          <t>VÄSTERNORRLANDS LÄN</t>
        </is>
      </c>
      <c r="G512" t="inlineStr">
        <is>
          <t>ÅNGE</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46775-2024</t>
        </is>
      </c>
      <c r="B513" t="inlineStr">
        <is>
          <t>avverkningsanmälan</t>
        </is>
      </c>
      <c r="C513" t="inlineStr">
        <is>
          <t>Föryngringsavverkning</t>
        </is>
      </c>
      <c r="D513" s="1" t="n">
        <v>45583</v>
      </c>
      <c r="E513" s="1" t="n">
        <v>46310</v>
      </c>
      <c r="F513" t="inlineStr">
        <is>
          <t>VÄSTERNORRLANDS LÄN</t>
        </is>
      </c>
      <c r="G513" t="inlineStr">
        <is>
          <t>ÅNGE</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46780-2024</t>
        </is>
      </c>
      <c r="B514" t="inlineStr">
        <is>
          <t>avverkningsanmälan</t>
        </is>
      </c>
      <c r="C514" t="inlineStr">
        <is>
          <t>Föryngringsavverkning</t>
        </is>
      </c>
      <c r="D514" s="1" t="n">
        <v>45583</v>
      </c>
      <c r="E514" s="1" t="n">
        <v>46310</v>
      </c>
      <c r="F514" t="inlineStr">
        <is>
          <t>VÄSTERNORRLANDS LÄN</t>
        </is>
      </c>
      <c r="G514" t="inlineStr">
        <is>
          <t>ÅNGE</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53856-2024</t>
        </is>
      </c>
      <c r="B515" t="inlineStr">
        <is>
          <t>avverkningsanmälan</t>
        </is>
      </c>
      <c r="C515" t="inlineStr">
        <is>
          <t>Föryngringsavverkning</t>
        </is>
      </c>
      <c r="D515" s="1" t="n">
        <v>45615</v>
      </c>
      <c r="E515" s="1" t="n">
        <v>46310</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36457-2025</t>
        </is>
      </c>
      <c r="B516" t="inlineStr">
        <is>
          <t>avverkningsanmälan</t>
        </is>
      </c>
      <c r="C516" t="inlineStr">
        <is>
          <t>Föryngringsavverkning</t>
        </is>
      </c>
      <c r="D516" s="1" t="n">
        <v>45869</v>
      </c>
      <c r="E516" s="1" t="n">
        <v>46310</v>
      </c>
      <c r="F516" t="inlineStr">
        <is>
          <t>VÄSTERNORRLANDS LÄN</t>
        </is>
      </c>
      <c r="G516" t="inlineStr">
        <is>
          <t>ÅNGE</t>
        </is>
      </c>
      <c r="H516" t="inlineStr">
        <is>
          <t>SCA</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51059-2024</t>
        </is>
      </c>
      <c r="B517" t="inlineStr">
        <is>
          <t>avverkningsanmälan</t>
        </is>
      </c>
      <c r="C517" t="inlineStr">
        <is>
          <t>Avverkning för att bevara och utveckla /försöksver</t>
        </is>
      </c>
      <c r="D517" s="1" t="n">
        <v>45603</v>
      </c>
      <c r="E517" s="1" t="n">
        <v>46310</v>
      </c>
      <c r="F517" t="inlineStr">
        <is>
          <t>VÄSTERNORRLANDS LÄN</t>
        </is>
      </c>
      <c r="G517" t="inlineStr">
        <is>
          <t>ÅNGE</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732-2023</t>
        </is>
      </c>
      <c r="B518" t="inlineStr">
        <is>
          <t>avverkningsanmälan</t>
        </is>
      </c>
      <c r="C518" t="inlineStr">
        <is>
          <t>Föryngringsavverkning</t>
        </is>
      </c>
      <c r="D518" s="1" t="n">
        <v>44931</v>
      </c>
      <c r="E518" s="1" t="n">
        <v>46310</v>
      </c>
      <c r="F518" t="inlineStr">
        <is>
          <t>VÄSTERNORRLANDS LÄN</t>
        </is>
      </c>
      <c r="G518" t="inlineStr">
        <is>
          <t>ÅNGE</t>
        </is>
      </c>
      <c r="H518" t="inlineStr">
        <is>
          <t>Sveaskog</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47792-2022</t>
        </is>
      </c>
      <c r="B519" t="inlineStr">
        <is>
          <t>avverkningsanmälan</t>
        </is>
      </c>
      <c r="C519" t="inlineStr">
        <is>
          <t>Föryngringsavverkning</t>
        </is>
      </c>
      <c r="D519" s="1" t="n">
        <v>44854</v>
      </c>
      <c r="E519" s="1" t="n">
        <v>46310</v>
      </c>
      <c r="F519" t="inlineStr">
        <is>
          <t>VÄSTERNORRLANDS LÄN</t>
        </is>
      </c>
      <c r="G519" t="inlineStr">
        <is>
          <t>ÅNGE</t>
        </is>
      </c>
      <c r="H519" t="inlineStr">
        <is>
          <t>SCA</t>
        </is>
      </c>
      <c r="I519" t="n">
        <v>10.9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58943-2022</t>
        </is>
      </c>
      <c r="B520" t="inlineStr">
        <is>
          <t>avverkningsanmälan</t>
        </is>
      </c>
      <c r="C520" t="inlineStr">
        <is>
          <t>Föryngringsavverkning</t>
        </is>
      </c>
      <c r="D520" s="1" t="n">
        <v>44903</v>
      </c>
      <c r="E520" s="1" t="n">
        <v>46310</v>
      </c>
      <c r="F520" t="inlineStr">
        <is>
          <t>VÄSTERNORRLANDS LÄN</t>
        </is>
      </c>
      <c r="G520" t="inlineStr">
        <is>
          <t>ÅNGE</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29462-2024</t>
        </is>
      </c>
      <c r="B521" t="inlineStr">
        <is>
          <t>avverkningsanmälan</t>
        </is>
      </c>
      <c r="C521" t="inlineStr">
        <is>
          <t>Föryngringsavverkning</t>
        </is>
      </c>
      <c r="D521" s="1" t="n">
        <v>45483</v>
      </c>
      <c r="E521" s="1" t="n">
        <v>46310</v>
      </c>
      <c r="F521" t="inlineStr">
        <is>
          <t>VÄSTERNORRLANDS LÄN</t>
        </is>
      </c>
      <c r="G521" t="inlineStr">
        <is>
          <t>ÅNGE</t>
        </is>
      </c>
      <c r="H521" t="inlineStr">
        <is>
          <t>SCA</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36674-2025</t>
        </is>
      </c>
      <c r="B522" t="inlineStr">
        <is>
          <t>avverkningsanmälan</t>
        </is>
      </c>
      <c r="C522" t="inlineStr">
        <is>
          <t>Föryngringsavverkning</t>
        </is>
      </c>
      <c r="D522" s="1" t="n">
        <v>45873</v>
      </c>
      <c r="E522" s="1" t="n">
        <v>46310</v>
      </c>
      <c r="F522" t="inlineStr">
        <is>
          <t>VÄSTERNORRLANDS LÄN</t>
        </is>
      </c>
      <c r="G522" t="inlineStr">
        <is>
          <t>ÅNGE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58613-2023</t>
        </is>
      </c>
      <c r="B523" t="inlineStr">
        <is>
          <t>avverkningsanmälan</t>
        </is>
      </c>
      <c r="C523" t="inlineStr">
        <is>
          <t>Föryngringsavverkning</t>
        </is>
      </c>
      <c r="D523" s="1" t="n">
        <v>45251</v>
      </c>
      <c r="E523" s="1" t="n">
        <v>46310</v>
      </c>
      <c r="F523" t="inlineStr">
        <is>
          <t>VÄSTERNORRLANDS LÄN</t>
        </is>
      </c>
      <c r="G523" t="inlineStr">
        <is>
          <t>ÅNGE</t>
        </is>
      </c>
      <c r="H523" t="inlineStr">
        <is>
          <t>Övriga Aktiebolag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55177-2024</t>
        </is>
      </c>
      <c r="B524" t="inlineStr">
        <is>
          <t>avverkningsanmälan</t>
        </is>
      </c>
      <c r="C524" t="inlineStr">
        <is>
          <t>Föryngringsavverkning</t>
        </is>
      </c>
      <c r="D524" s="1" t="n">
        <v>45621</v>
      </c>
      <c r="E524" s="1" t="n">
        <v>46310</v>
      </c>
      <c r="F524" t="inlineStr">
        <is>
          <t>VÄSTERNORRLANDS LÄN</t>
        </is>
      </c>
      <c r="G524" t="inlineStr">
        <is>
          <t>ÅNGE</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36740-2025</t>
        </is>
      </c>
      <c r="B525" t="inlineStr">
        <is>
          <t>avverkningsanmälan</t>
        </is>
      </c>
      <c r="C525" t="inlineStr">
        <is>
          <t>Föryngringsavverkning</t>
        </is>
      </c>
      <c r="D525" s="1" t="n">
        <v>45873</v>
      </c>
      <c r="E525" s="1" t="n">
        <v>46310</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33305-2024</t>
        </is>
      </c>
      <c r="B526" t="inlineStr">
        <is>
          <t>avverkningsanmälan</t>
        </is>
      </c>
      <c r="C526" t="inlineStr">
        <is>
          <t>Föryngringsavverkning</t>
        </is>
      </c>
      <c r="D526" s="1" t="n">
        <v>45518</v>
      </c>
      <c r="E526" s="1" t="n">
        <v>46310</v>
      </c>
      <c r="F526" t="inlineStr">
        <is>
          <t>VÄSTERNORRLANDS LÄN</t>
        </is>
      </c>
      <c r="G526" t="inlineStr">
        <is>
          <t>ÅNGE</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33306-2024</t>
        </is>
      </c>
      <c r="B527" t="inlineStr">
        <is>
          <t>avverkningsanmälan</t>
        </is>
      </c>
      <c r="C527" t="inlineStr">
        <is>
          <t>Föryngringsavverkning</t>
        </is>
      </c>
      <c r="D527" s="1" t="n">
        <v>45518</v>
      </c>
      <c r="E527" s="1" t="n">
        <v>46310</v>
      </c>
      <c r="F527" t="inlineStr">
        <is>
          <t>VÄSTERNORRLANDS LÄN</t>
        </is>
      </c>
      <c r="G527" t="inlineStr">
        <is>
          <t>ÅNGE</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28506-2024</t>
        </is>
      </c>
      <c r="B528" t="inlineStr">
        <is>
          <t>avverkningsanmälan</t>
        </is>
      </c>
      <c r="C528" t="inlineStr">
        <is>
          <t>Föryngringsavverkning</t>
        </is>
      </c>
      <c r="D528" s="1" t="n">
        <v>45477</v>
      </c>
      <c r="E528" s="1" t="n">
        <v>46310</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36456-2025</t>
        </is>
      </c>
      <c r="B529" t="inlineStr">
        <is>
          <t>avverkningsanmälan</t>
        </is>
      </c>
      <c r="C529" t="inlineStr">
        <is>
          <t>Föryngringsavverkning</t>
        </is>
      </c>
      <c r="D529" s="1" t="n">
        <v>45869</v>
      </c>
      <c r="E529" s="1" t="n">
        <v>46310</v>
      </c>
      <c r="F529" t="inlineStr">
        <is>
          <t>VÄSTERNORRLANDS LÄN</t>
        </is>
      </c>
      <c r="G529" t="inlineStr">
        <is>
          <t>ÅNGE</t>
        </is>
      </c>
      <c r="H529" t="inlineStr">
        <is>
          <t>SCA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36873-2025</t>
        </is>
      </c>
      <c r="B530" t="inlineStr">
        <is>
          <t>avverkningsanmälan</t>
        </is>
      </c>
      <c r="C530" t="inlineStr">
        <is>
          <t>Föryngringsavverkning</t>
        </is>
      </c>
      <c r="D530" s="1" t="n">
        <v>45874</v>
      </c>
      <c r="E530" s="1" t="n">
        <v>46310</v>
      </c>
      <c r="F530" t="inlineStr">
        <is>
          <t>VÄSTERNORRLANDS LÄN</t>
        </is>
      </c>
      <c r="G530" t="inlineStr">
        <is>
          <t>ÅNGE</t>
        </is>
      </c>
      <c r="H530" t="inlineStr">
        <is>
          <t>SCA</t>
        </is>
      </c>
      <c r="I530" t="n">
        <v>16.9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37047-2025</t>
        </is>
      </c>
      <c r="B531" t="inlineStr">
        <is>
          <t>avverkningsanmälan</t>
        </is>
      </c>
      <c r="C531" t="inlineStr">
        <is>
          <t>Föryngringsavverkning</t>
        </is>
      </c>
      <c r="D531" s="1" t="n">
        <v>45875</v>
      </c>
      <c r="E531" s="1" t="n">
        <v>46310</v>
      </c>
      <c r="F531" t="inlineStr">
        <is>
          <t>VÄSTERNORRLANDS LÄN</t>
        </is>
      </c>
      <c r="G531" t="inlineStr">
        <is>
          <t>ÅNGE</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34861-2024</t>
        </is>
      </c>
      <c r="B532" t="inlineStr">
        <is>
          <t>avverkningsanmälan</t>
        </is>
      </c>
      <c r="C532" t="inlineStr">
        <is>
          <t>Föryngringsavverkning</t>
        </is>
      </c>
      <c r="D532" s="1" t="n">
        <v>45527</v>
      </c>
      <c r="E532" s="1" t="n">
        <v>46310</v>
      </c>
      <c r="F532" t="inlineStr">
        <is>
          <t>VÄSTERNORRLANDS LÄN</t>
        </is>
      </c>
      <c r="G532" t="inlineStr">
        <is>
          <t>ÅNGE</t>
        </is>
      </c>
      <c r="H532" t="inlineStr">
        <is>
          <t>SCA</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37275-2025</t>
        </is>
      </c>
      <c r="B533" t="inlineStr">
        <is>
          <t>avverkningsanmälan</t>
        </is>
      </c>
      <c r="C533" t="inlineStr">
        <is>
          <t>Föryngringsavverkning</t>
        </is>
      </c>
      <c r="D533" s="1" t="n">
        <v>45876</v>
      </c>
      <c r="E533" s="1" t="n">
        <v>46310</v>
      </c>
      <c r="F533" t="inlineStr">
        <is>
          <t>VÄSTERNORRLANDS LÄN</t>
        </is>
      </c>
      <c r="G533" t="inlineStr">
        <is>
          <t>ÅNGE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37303-2025</t>
        </is>
      </c>
      <c r="B534" t="inlineStr">
        <is>
          <t>avverkningsanmälan</t>
        </is>
      </c>
      <c r="C534" t="inlineStr">
        <is>
          <t>Föryngringsavverkning</t>
        </is>
      </c>
      <c r="D534" s="1" t="n">
        <v>45876</v>
      </c>
      <c r="E534" s="1" t="n">
        <v>46310</v>
      </c>
      <c r="F534" t="inlineStr">
        <is>
          <t>VÄSTERNORRLANDS LÄN</t>
        </is>
      </c>
      <c r="G534" t="inlineStr">
        <is>
          <t>ÅNGE</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61461-2023</t>
        </is>
      </c>
      <c r="B535" t="inlineStr">
        <is>
          <t>avverkningsanmälan</t>
        </is>
      </c>
      <c r="C535" t="inlineStr">
        <is>
          <t>Föryngringsavverkning</t>
        </is>
      </c>
      <c r="D535" s="1" t="n">
        <v>45264</v>
      </c>
      <c r="E535" s="1" t="n">
        <v>46310</v>
      </c>
      <c r="F535" t="inlineStr">
        <is>
          <t>VÄSTERNORRLANDS LÄN</t>
        </is>
      </c>
      <c r="G535" t="inlineStr">
        <is>
          <t>ÅNGE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37233-2025</t>
        </is>
      </c>
      <c r="B536" t="inlineStr">
        <is>
          <t>avverkningsanmälan</t>
        </is>
      </c>
      <c r="C536" t="inlineStr">
        <is>
          <t>Föryngringsavverkning</t>
        </is>
      </c>
      <c r="D536" s="1" t="n">
        <v>45876</v>
      </c>
      <c r="E536" s="1" t="n">
        <v>46310</v>
      </c>
      <c r="F536" t="inlineStr">
        <is>
          <t>VÄSTERNORRLANDS LÄN</t>
        </is>
      </c>
      <c r="G536" t="inlineStr">
        <is>
          <t>ÅNGE</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37371-2025</t>
        </is>
      </c>
      <c r="B537" t="inlineStr">
        <is>
          <t>avverkningsanmälan</t>
        </is>
      </c>
      <c r="C537" t="inlineStr">
        <is>
          <t>Föryngringsavverkning</t>
        </is>
      </c>
      <c r="D537" s="1" t="n">
        <v>45877</v>
      </c>
      <c r="E537" s="1" t="n">
        <v>46310</v>
      </c>
      <c r="F537" t="inlineStr">
        <is>
          <t>VÄSTERNORRLANDS LÄN</t>
        </is>
      </c>
      <c r="G537" t="inlineStr">
        <is>
          <t>ÅNGE</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37383-2025</t>
        </is>
      </c>
      <c r="B538" t="inlineStr">
        <is>
          <t>avverkningsanmälan</t>
        </is>
      </c>
      <c r="C538" t="inlineStr">
        <is>
          <t>Föryngringsavverkning</t>
        </is>
      </c>
      <c r="D538" s="1" t="n">
        <v>45877</v>
      </c>
      <c r="E538" s="1" t="n">
        <v>46310</v>
      </c>
      <c r="F538" t="inlineStr">
        <is>
          <t>VÄSTERNORRLANDS LÄN</t>
        </is>
      </c>
      <c r="G538" t="inlineStr">
        <is>
          <t>ÅNGE</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37663-2025</t>
        </is>
      </c>
      <c r="B539" t="inlineStr">
        <is>
          <t>avverkningsanmälan</t>
        </is>
      </c>
      <c r="C539" t="inlineStr">
        <is>
          <t>Föryngringsavverkning</t>
        </is>
      </c>
      <c r="D539" s="1" t="n">
        <v>45880</v>
      </c>
      <c r="E539" s="1" t="n">
        <v>46310</v>
      </c>
      <c r="F539" t="inlineStr">
        <is>
          <t>VÄSTERNORRLANDS LÄN</t>
        </is>
      </c>
      <c r="G539" t="inlineStr">
        <is>
          <t>ÅNGE</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34726-2024</t>
        </is>
      </c>
      <c r="B540" t="inlineStr">
        <is>
          <t>avverkningsanmälan</t>
        </is>
      </c>
      <c r="C540" t="inlineStr">
        <is>
          <t>Föryngringsavverkning</t>
        </is>
      </c>
      <c r="D540" s="1" t="n">
        <v>45526</v>
      </c>
      <c r="E540" s="1" t="n">
        <v>46310</v>
      </c>
      <c r="F540" t="inlineStr">
        <is>
          <t>VÄSTERNORRLANDS LÄN</t>
        </is>
      </c>
      <c r="G540" t="inlineStr">
        <is>
          <t>ÅNGE</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57593-2022</t>
        </is>
      </c>
      <c r="B541" t="inlineStr">
        <is>
          <t>avverkningsanmälan</t>
        </is>
      </c>
      <c r="C541" t="inlineStr">
        <is>
          <t>Avverkning för att bevara och utveckla /försöksver</t>
        </is>
      </c>
      <c r="D541" s="1" t="n">
        <v>44896</v>
      </c>
      <c r="E541" s="1" t="n">
        <v>46310</v>
      </c>
      <c r="F541" t="inlineStr">
        <is>
          <t>VÄSTERNORRLANDS LÄN</t>
        </is>
      </c>
      <c r="G541" t="inlineStr">
        <is>
          <t>ÅNGE</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57597-2022</t>
        </is>
      </c>
      <c r="B542" t="inlineStr">
        <is>
          <t>avverkningsanmälan</t>
        </is>
      </c>
      <c r="C542" t="inlineStr">
        <is>
          <t>Avverkning för att bevara och utveckla /försöksver</t>
        </is>
      </c>
      <c r="D542" s="1" t="n">
        <v>44896</v>
      </c>
      <c r="E542" s="1" t="n">
        <v>46310</v>
      </c>
      <c r="F542" t="inlineStr">
        <is>
          <t>VÄSTERNORRLANDS LÄN</t>
        </is>
      </c>
      <c r="G542" t="inlineStr">
        <is>
          <t>ÅNGE</t>
        </is>
      </c>
      <c r="H542" t="inlineStr">
        <is>
          <t>SCA</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38078-2025</t>
        </is>
      </c>
      <c r="B543" t="inlineStr">
        <is>
          <t>avverkningsanmälan</t>
        </is>
      </c>
      <c r="C543" t="inlineStr">
        <is>
          <t>Föryngringsavverkning</t>
        </is>
      </c>
      <c r="D543" s="1" t="n">
        <v>45882</v>
      </c>
      <c r="E543" s="1" t="n">
        <v>46310</v>
      </c>
      <c r="F543" t="inlineStr">
        <is>
          <t>VÄSTERNORRLANDS LÄN</t>
        </is>
      </c>
      <c r="G543" t="inlineStr">
        <is>
          <t>ÅNGE</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10558-2023</t>
        </is>
      </c>
      <c r="B544" t="inlineStr">
        <is>
          <t>avverkningsanmälan</t>
        </is>
      </c>
      <c r="C544" t="inlineStr">
        <is>
          <t>Föryngringsavverkning</t>
        </is>
      </c>
      <c r="D544" s="1" t="n">
        <v>44987</v>
      </c>
      <c r="E544" s="1" t="n">
        <v>46310</v>
      </c>
      <c r="F544" t="inlineStr">
        <is>
          <t>VÄSTERNORRLANDS LÄN</t>
        </is>
      </c>
      <c r="G544" t="inlineStr">
        <is>
          <t>ÅNGE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44158-2024</t>
        </is>
      </c>
      <c r="B545" t="inlineStr">
        <is>
          <t>avverkningsanmälan</t>
        </is>
      </c>
      <c r="C545" t="inlineStr">
        <is>
          <t>Föryngringsavverkning</t>
        </is>
      </c>
      <c r="D545" s="1" t="n">
        <v>45572</v>
      </c>
      <c r="E545" s="1" t="n">
        <v>46310</v>
      </c>
      <c r="F545" t="inlineStr">
        <is>
          <t>VÄSTERNORRLANDS LÄN</t>
        </is>
      </c>
      <c r="G545" t="inlineStr">
        <is>
          <t>ÅNGE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38332-2025</t>
        </is>
      </c>
      <c r="B546" t="inlineStr">
        <is>
          <t>avverkningsanmälan</t>
        </is>
      </c>
      <c r="C546" t="inlineStr">
        <is>
          <t>Föryngringsavverkning</t>
        </is>
      </c>
      <c r="D546" s="1" t="n">
        <v>45883</v>
      </c>
      <c r="E546" s="1" t="n">
        <v>46310</v>
      </c>
      <c r="F546" t="inlineStr">
        <is>
          <t>VÄSTERNORRLANDS LÄN</t>
        </is>
      </c>
      <c r="G546" t="inlineStr">
        <is>
          <t>ÅNGE</t>
        </is>
      </c>
      <c r="H546" t="inlineStr">
        <is>
          <t>SCA</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38386-2025</t>
        </is>
      </c>
      <c r="B547" t="inlineStr">
        <is>
          <t>avverkningsanmälan</t>
        </is>
      </c>
      <c r="C547" t="inlineStr">
        <is>
          <t>Föryngringsavverkning</t>
        </is>
      </c>
      <c r="D547" s="1" t="n">
        <v>45883</v>
      </c>
      <c r="E547" s="1" t="n">
        <v>46310</v>
      </c>
      <c r="F547" t="inlineStr">
        <is>
          <t>VÄSTERNORRLANDS LÄN</t>
        </is>
      </c>
      <c r="G547" t="inlineStr">
        <is>
          <t>ÅNGE</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45401-2025</t>
        </is>
      </c>
      <c r="B548" t="inlineStr">
        <is>
          <t>avverkningsanmälan</t>
        </is>
      </c>
      <c r="C548" t="inlineStr">
        <is>
          <t>Föryngringsavverkning</t>
        </is>
      </c>
      <c r="D548" s="1" t="n">
        <v>45922</v>
      </c>
      <c r="E548" s="1" t="n">
        <v>46310</v>
      </c>
      <c r="F548" t="inlineStr">
        <is>
          <t>VÄSTERNORRLANDS LÄN</t>
        </is>
      </c>
      <c r="G548" t="inlineStr">
        <is>
          <t>ÅNGE</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25903-2022</t>
        </is>
      </c>
      <c r="B549" t="inlineStr">
        <is>
          <t>avverkningsanmälan</t>
        </is>
      </c>
      <c r="C549" t="inlineStr">
        <is>
          <t>Föryngringsavverkning</t>
        </is>
      </c>
      <c r="D549" s="1" t="n">
        <v>44733</v>
      </c>
      <c r="E549" s="1" t="n">
        <v>46310</v>
      </c>
      <c r="F549" t="inlineStr">
        <is>
          <t>VÄSTERNORRLANDS LÄN</t>
        </is>
      </c>
      <c r="G549" t="inlineStr">
        <is>
          <t>ÅNGE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45660-2025</t>
        </is>
      </c>
      <c r="B550" t="inlineStr">
        <is>
          <t>avverkningsanmälan</t>
        </is>
      </c>
      <c r="C550" t="inlineStr">
        <is>
          <t>Föryngringsavverkning</t>
        </is>
      </c>
      <c r="D550" s="1" t="n">
        <v>45923</v>
      </c>
      <c r="E550" s="1" t="n">
        <v>46310</v>
      </c>
      <c r="F550" t="inlineStr">
        <is>
          <t>VÄSTERNORRLANDS LÄN</t>
        </is>
      </c>
      <c r="G550" t="inlineStr">
        <is>
          <t>ÅNGE</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1103-2023</t>
        </is>
      </c>
      <c r="B551" t="inlineStr">
        <is>
          <t>avverkningsanmälan</t>
        </is>
      </c>
      <c r="C551" t="inlineStr">
        <is>
          <t>Föryngringsavverkning</t>
        </is>
      </c>
      <c r="D551" s="1" t="n">
        <v>44929</v>
      </c>
      <c r="E551" s="1" t="n">
        <v>46310</v>
      </c>
      <c r="F551" t="inlineStr">
        <is>
          <t>VÄSTERNORRLANDS LÄN</t>
        </is>
      </c>
      <c r="G551" t="inlineStr">
        <is>
          <t>ÅNGE</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45875-2025</t>
        </is>
      </c>
      <c r="B552" t="inlineStr">
        <is>
          <t>avverkningsanmälan</t>
        </is>
      </c>
      <c r="C552" t="inlineStr">
        <is>
          <t>Föryngringsavverkning</t>
        </is>
      </c>
      <c r="D552" s="1" t="n">
        <v>45923</v>
      </c>
      <c r="E552" s="1" t="n">
        <v>46310</v>
      </c>
      <c r="F552" t="inlineStr">
        <is>
          <t>VÄSTERNORRLANDS LÄN</t>
        </is>
      </c>
      <c r="G552" t="inlineStr">
        <is>
          <t>ÅNGE</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45659-2025</t>
        </is>
      </c>
      <c r="B553" t="inlineStr">
        <is>
          <t>avverkningsanmälan</t>
        </is>
      </c>
      <c r="C553" t="inlineStr">
        <is>
          <t>Föryngringsavverkning</t>
        </is>
      </c>
      <c r="D553" s="1" t="n">
        <v>45923</v>
      </c>
      <c r="E553" s="1" t="n">
        <v>46310</v>
      </c>
      <c r="F553" t="inlineStr">
        <is>
          <t>VÄSTERNORRLANDS LÄN</t>
        </is>
      </c>
      <c r="G553" t="inlineStr">
        <is>
          <t>ÅNGE</t>
        </is>
      </c>
      <c r="H553" t="inlineStr">
        <is>
          <t>SCA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46419-2025</t>
        </is>
      </c>
      <c r="B554" t="inlineStr">
        <is>
          <t>avverkningsanmälan</t>
        </is>
      </c>
      <c r="C554" t="inlineStr">
        <is>
          <t>Föryngringsavverkning</t>
        </is>
      </c>
      <c r="D554" s="1" t="n">
        <v>45925</v>
      </c>
      <c r="E554" s="1" t="n">
        <v>46310</v>
      </c>
      <c r="F554" t="inlineStr">
        <is>
          <t>VÄSTERNORRLANDS LÄN</t>
        </is>
      </c>
      <c r="G554" t="inlineStr">
        <is>
          <t>ÅNGE</t>
        </is>
      </c>
      <c r="H554" t="inlineStr">
        <is>
          <t>SCA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46111-2025</t>
        </is>
      </c>
      <c r="B555" t="inlineStr">
        <is>
          <t>avverkningsanmälan</t>
        </is>
      </c>
      <c r="C555" t="inlineStr">
        <is>
          <t>Föryngringsavverkning</t>
        </is>
      </c>
      <c r="D555" s="1" t="n">
        <v>45924</v>
      </c>
      <c r="E555" s="1" t="n">
        <v>46310</v>
      </c>
      <c r="F555" t="inlineStr">
        <is>
          <t>VÄSTERNORRLANDS LÄN</t>
        </is>
      </c>
      <c r="G555" t="inlineStr">
        <is>
          <t>ÅNGE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2140-2023</t>
        </is>
      </c>
      <c r="B556" t="inlineStr">
        <is>
          <t>avverkningsanmälan</t>
        </is>
      </c>
      <c r="C556" t="inlineStr">
        <is>
          <t>Föryngringsavverkning</t>
        </is>
      </c>
      <c r="D556" s="1" t="n">
        <v>44940</v>
      </c>
      <c r="E556" s="1" t="n">
        <v>46310</v>
      </c>
      <c r="F556" t="inlineStr">
        <is>
          <t>VÄSTERNORRLANDS LÄN</t>
        </is>
      </c>
      <c r="G556" t="inlineStr">
        <is>
          <t>ÅNGE</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46416-2025</t>
        </is>
      </c>
      <c r="B557" t="inlineStr">
        <is>
          <t>avverkningsanmälan</t>
        </is>
      </c>
      <c r="C557" t="inlineStr">
        <is>
          <t>Föryngringsavverkning</t>
        </is>
      </c>
      <c r="D557" s="1" t="n">
        <v>45925</v>
      </c>
      <c r="E557" s="1" t="n">
        <v>46310</v>
      </c>
      <c r="F557" t="inlineStr">
        <is>
          <t>VÄSTERNORRLANDS LÄN</t>
        </is>
      </c>
      <c r="G557" t="inlineStr">
        <is>
          <t>ÅNGE</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46109-2025</t>
        </is>
      </c>
      <c r="B558" t="inlineStr">
        <is>
          <t>avverkningsanmälan</t>
        </is>
      </c>
      <c r="C558" t="inlineStr">
        <is>
          <t>Föryngringsavverkning</t>
        </is>
      </c>
      <c r="D558" s="1" t="n">
        <v>45924</v>
      </c>
      <c r="E558" s="1" t="n">
        <v>46310</v>
      </c>
      <c r="F558" t="inlineStr">
        <is>
          <t>VÄSTERNORRLANDS LÄN</t>
        </is>
      </c>
      <c r="G558" t="inlineStr">
        <is>
          <t>ÅNGE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45970-2025</t>
        </is>
      </c>
      <c r="B559" t="inlineStr">
        <is>
          <t>avverkningsanmälan</t>
        </is>
      </c>
      <c r="C559" t="inlineStr">
        <is>
          <t>Föryngringsavverkning</t>
        </is>
      </c>
      <c r="D559" s="1" t="n">
        <v>45924</v>
      </c>
      <c r="E559" s="1" t="n">
        <v>46310</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47488-2023</t>
        </is>
      </c>
      <c r="B560" t="inlineStr">
        <is>
          <t>avverkningsanmälan</t>
        </is>
      </c>
      <c r="C560" t="inlineStr">
        <is>
          <t>Föryngringsavverkning</t>
        </is>
      </c>
      <c r="D560" s="1" t="n">
        <v>45202</v>
      </c>
      <c r="E560" s="1" t="n">
        <v>46310</v>
      </c>
      <c r="F560" t="inlineStr">
        <is>
          <t>VÄSTERNORRLANDS LÄN</t>
        </is>
      </c>
      <c r="G560" t="inlineStr">
        <is>
          <t>ÅNGE</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46933-2025</t>
        </is>
      </c>
      <c r="B561" t="inlineStr">
        <is>
          <t>avverkningsanmälan</t>
        </is>
      </c>
      <c r="C561" t="inlineStr">
        <is>
          <t>Föryngringsavverkning</t>
        </is>
      </c>
      <c r="D561" s="1" t="n">
        <v>45929</v>
      </c>
      <c r="E561" s="1" t="n">
        <v>46310</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3362-2023</t>
        </is>
      </c>
      <c r="B562" t="inlineStr">
        <is>
          <t>avverkningsanmälan</t>
        </is>
      </c>
      <c r="C562" t="inlineStr">
        <is>
          <t>Avverkning för annat ändamål</t>
        </is>
      </c>
      <c r="D562" s="1" t="n">
        <v>44945</v>
      </c>
      <c r="E562" s="1" t="n">
        <v>46310</v>
      </c>
      <c r="F562" t="inlineStr">
        <is>
          <t>VÄSTERNORRLANDS LÄN</t>
        </is>
      </c>
      <c r="G562" t="inlineStr">
        <is>
          <t>ÅNGE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59600-2024</t>
        </is>
      </c>
      <c r="B563" t="inlineStr">
        <is>
          <t>avverkningsanmälan</t>
        </is>
      </c>
      <c r="C563" t="inlineStr">
        <is>
          <t>Föryngringsavverkning</t>
        </is>
      </c>
      <c r="D563" s="1" t="n">
        <v>45638</v>
      </c>
      <c r="E563" s="1" t="n">
        <v>46310</v>
      </c>
      <c r="F563" t="inlineStr">
        <is>
          <t>VÄSTERNORRLANDS LÄN</t>
        </is>
      </c>
      <c r="G563" t="inlineStr">
        <is>
          <t>ÅNGE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52685-2024</t>
        </is>
      </c>
      <c r="B564" t="inlineStr">
        <is>
          <t>avverkningsanmälan</t>
        </is>
      </c>
      <c r="C564" t="inlineStr">
        <is>
          <t>Föryngringsavverkning</t>
        </is>
      </c>
      <c r="D564" s="1" t="n">
        <v>45610</v>
      </c>
      <c r="E564" s="1" t="n">
        <v>46310</v>
      </c>
      <c r="F564" t="inlineStr">
        <is>
          <t>VÄSTERNORRLANDS LÄN</t>
        </is>
      </c>
      <c r="G564" t="inlineStr">
        <is>
          <t>ÅNGE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39933-2022</t>
        </is>
      </c>
      <c r="B565" t="inlineStr">
        <is>
          <t>avverkningsanmälan</t>
        </is>
      </c>
      <c r="C565" t="inlineStr">
        <is>
          <t>Föryngringsavverkning</t>
        </is>
      </c>
      <c r="D565" s="1" t="n">
        <v>44819</v>
      </c>
      <c r="E565" s="1" t="n">
        <v>46310</v>
      </c>
      <c r="F565" t="inlineStr">
        <is>
          <t>VÄSTERNORRLANDS LÄN</t>
        </is>
      </c>
      <c r="G565" t="inlineStr">
        <is>
          <t>ÅNGE</t>
        </is>
      </c>
      <c r="H565" t="inlineStr">
        <is>
          <t>SCA</t>
        </is>
      </c>
      <c r="I565" t="n">
        <v>13.8</v>
      </c>
      <c r="J565" t="n">
        <v>0</v>
      </c>
      <c r="K565" t="n">
        <v>0</v>
      </c>
      <c r="L565" t="n">
        <v>0</v>
      </c>
      <c r="M565" t="n">
        <v>0</v>
      </c>
      <c r="N565" t="n">
        <v>0</v>
      </c>
      <c r="O565" t="n">
        <v>0</v>
      </c>
      <c r="P565" t="n">
        <v>0</v>
      </c>
      <c r="Q565" t="n">
        <v>0</v>
      </c>
      <c r="R565" t="n">
        <v>0</v>
      </c>
      <c r="S565" t="n">
        <v>0</v>
      </c>
      <c r="T565" t="n">
        <v>0</v>
      </c>
      <c r="U565" t="n">
        <v>0</v>
      </c>
      <c r="V565" s="2" t="inlineStr"/>
      <c r="Z565">
        <f>HYPERLINK("https://klasma.github.io/Logging_2260/knärot/A 39933-2022 karta knärot.png", "A 39933-2022")</f>
        <v/>
      </c>
      <c r="AA565">
        <f>HYPERLINK("https://klasma.github.io/Logging_2260/klagomål/A 39933-2022 FSC-klagomål.docx", "A 39933-2022")</f>
        <v/>
      </c>
      <c r="AB565">
        <f>HYPERLINK("https://klasma.github.io/Logging_2260/klagomålsmail/A 39933-2022 FSC-klagomål mail.docx", "A 39933-2022")</f>
        <v/>
      </c>
      <c r="AC565">
        <f>HYPERLINK("https://klasma.github.io/Logging_2260/tillsyn/A 39933-2022 tillsynsbegäran.docx", "A 39933-2022")</f>
        <v/>
      </c>
      <c r="AD565">
        <f>HYPERLINK("https://klasma.github.io/Logging_2260/tillsynsmail/A 39933-2022 tillsynsbegäran mail.docx", "A 39933-2022")</f>
        <v/>
      </c>
    </row>
    <row r="566" ht="15" customHeight="1">
      <c r="A566" t="inlineStr">
        <is>
          <t>A 36466-2024</t>
        </is>
      </c>
      <c r="B566" t="inlineStr">
        <is>
          <t>avverkningsanmälan</t>
        </is>
      </c>
      <c r="C566" t="inlineStr">
        <is>
          <t>Avverkning för att bevara och utveckla /försöksver</t>
        </is>
      </c>
      <c r="D566" s="1" t="n">
        <v>45537</v>
      </c>
      <c r="E566" s="1" t="n">
        <v>46310</v>
      </c>
      <c r="F566" t="inlineStr">
        <is>
          <t>VÄSTERNORRLANDS LÄN</t>
        </is>
      </c>
      <c r="G566" t="inlineStr">
        <is>
          <t>ÅNGE</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47305-2025</t>
        </is>
      </c>
      <c r="B567" t="inlineStr">
        <is>
          <t>avverkningsanmälan</t>
        </is>
      </c>
      <c r="C567" t="inlineStr">
        <is>
          <t>Föryngringsavverkning</t>
        </is>
      </c>
      <c r="D567" s="1" t="n">
        <v>45930</v>
      </c>
      <c r="E567" s="1" t="n">
        <v>46310</v>
      </c>
      <c r="F567" t="inlineStr">
        <is>
          <t>VÄSTERNORRLANDS LÄN</t>
        </is>
      </c>
      <c r="G567" t="inlineStr">
        <is>
          <t>ÅNGE</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35650-2024</t>
        </is>
      </c>
      <c r="B568" t="inlineStr">
        <is>
          <t>avverkningsanmälan</t>
        </is>
      </c>
      <c r="C568" t="inlineStr">
        <is>
          <t>Föryngringsavverkning</t>
        </is>
      </c>
      <c r="D568" s="1" t="n">
        <v>45532</v>
      </c>
      <c r="E568" s="1" t="n">
        <v>46310</v>
      </c>
      <c r="F568" t="inlineStr">
        <is>
          <t>VÄSTERNORRLANDS LÄN</t>
        </is>
      </c>
      <c r="G568" t="inlineStr">
        <is>
          <t>ÅNGE</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1403-2025</t>
        </is>
      </c>
      <c r="B569" t="inlineStr">
        <is>
          <t>avverkningsanmälan</t>
        </is>
      </c>
      <c r="C569" t="inlineStr">
        <is>
          <t>Föryngringsavverkning</t>
        </is>
      </c>
      <c r="D569" s="1" t="n">
        <v>45667</v>
      </c>
      <c r="E569" s="1" t="n">
        <v>46310</v>
      </c>
      <c r="F569" t="inlineStr">
        <is>
          <t>VÄSTERNORRLANDS LÄN</t>
        </is>
      </c>
      <c r="G569" t="inlineStr">
        <is>
          <t>ÅNGE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47440-2025</t>
        </is>
      </c>
      <c r="B570" t="inlineStr">
        <is>
          <t>avverkningsanmälan</t>
        </is>
      </c>
      <c r="C570" t="inlineStr">
        <is>
          <t>Föryngringsavverkning</t>
        </is>
      </c>
      <c r="D570" s="1" t="n">
        <v>45930</v>
      </c>
      <c r="E570" s="1" t="n">
        <v>46310</v>
      </c>
      <c r="F570" t="inlineStr">
        <is>
          <t>VÄSTERNORRLANDS LÄN</t>
        </is>
      </c>
      <c r="G570" t="inlineStr">
        <is>
          <t>ÅNGE</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47488-2025</t>
        </is>
      </c>
      <c r="B571" t="inlineStr">
        <is>
          <t>avverkningsanmälan</t>
        </is>
      </c>
      <c r="C571" t="inlineStr">
        <is>
          <t>Föryngringsavverkning</t>
        </is>
      </c>
      <c r="D571" s="1" t="n">
        <v>45930</v>
      </c>
      <c r="E571" s="1" t="n">
        <v>46310</v>
      </c>
      <c r="F571" t="inlineStr">
        <is>
          <t>VÄSTERNORRLANDS LÄN</t>
        </is>
      </c>
      <c r="G571" t="inlineStr">
        <is>
          <t>ÅNGE</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47196-2025</t>
        </is>
      </c>
      <c r="B572" t="inlineStr">
        <is>
          <t>avverkningsanmälan</t>
        </is>
      </c>
      <c r="C572" t="inlineStr">
        <is>
          <t>Föryngringsavverkning</t>
        </is>
      </c>
      <c r="D572" s="1" t="n">
        <v>45930</v>
      </c>
      <c r="E572" s="1" t="n">
        <v>46310</v>
      </c>
      <c r="F572" t="inlineStr">
        <is>
          <t>VÄSTERNORRLANDS LÄN</t>
        </is>
      </c>
      <c r="G572" t="inlineStr">
        <is>
          <t>ÅNGE</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11531-2023</t>
        </is>
      </c>
      <c r="B573" t="inlineStr">
        <is>
          <t>avverkningsanmälan</t>
        </is>
      </c>
      <c r="C573" t="inlineStr">
        <is>
          <t>Föryngringsavverkning</t>
        </is>
      </c>
      <c r="D573" s="1" t="n">
        <v>44993</v>
      </c>
      <c r="E573" s="1" t="n">
        <v>46310</v>
      </c>
      <c r="F573" t="inlineStr">
        <is>
          <t>VÄSTERNORRLANDS LÄN</t>
        </is>
      </c>
      <c r="G573" t="inlineStr">
        <is>
          <t>ÅNGE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11532-2023</t>
        </is>
      </c>
      <c r="B574" t="inlineStr">
        <is>
          <t>avverkningsanmälan</t>
        </is>
      </c>
      <c r="C574" t="inlineStr">
        <is>
          <t>Föryngringsavverkning</t>
        </is>
      </c>
      <c r="D574" s="1" t="n">
        <v>44993</v>
      </c>
      <c r="E574" s="1" t="n">
        <v>46310</v>
      </c>
      <c r="F574" t="inlineStr">
        <is>
          <t>VÄSTERNORRLANDS LÄN</t>
        </is>
      </c>
      <c r="G574" t="inlineStr">
        <is>
          <t>ÅNGE</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20393-2022</t>
        </is>
      </c>
      <c r="B575" t="inlineStr">
        <is>
          <t>avverkningsanmälan</t>
        </is>
      </c>
      <c r="C575" t="inlineStr">
        <is>
          <t>Föryngringsavverkning</t>
        </is>
      </c>
      <c r="D575" s="1" t="n">
        <v>44699</v>
      </c>
      <c r="E575" s="1" t="n">
        <v>46310</v>
      </c>
      <c r="F575" t="inlineStr">
        <is>
          <t>VÄSTERNORRLANDS LÄN</t>
        </is>
      </c>
      <c r="G575" t="inlineStr">
        <is>
          <t>ÅNGE</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45459-2022</t>
        </is>
      </c>
      <c r="B576" t="inlineStr">
        <is>
          <t>avverkningsanmälan</t>
        </is>
      </c>
      <c r="C576" t="inlineStr">
        <is>
          <t>Föryngringsavverkning</t>
        </is>
      </c>
      <c r="D576" s="1" t="n">
        <v>44845</v>
      </c>
      <c r="E576" s="1" t="n">
        <v>46310</v>
      </c>
      <c r="F576" t="inlineStr">
        <is>
          <t>VÄSTERNORRLANDS LÄN</t>
        </is>
      </c>
      <c r="G576" t="inlineStr">
        <is>
          <t>ÅNGE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41758-2024</t>
        </is>
      </c>
      <c r="B577" t="inlineStr">
        <is>
          <t>avverkningsanmälan</t>
        </is>
      </c>
      <c r="C577" t="inlineStr">
        <is>
          <t>Föryngringsavverkning</t>
        </is>
      </c>
      <c r="D577" s="1" t="n">
        <v>45561</v>
      </c>
      <c r="E577" s="1" t="n">
        <v>46310</v>
      </c>
      <c r="F577" t="inlineStr">
        <is>
          <t>VÄSTERNORRLANDS LÄN</t>
        </is>
      </c>
      <c r="G577" t="inlineStr">
        <is>
          <t>ÅNGE</t>
        </is>
      </c>
      <c r="H577" t="inlineStr">
        <is>
          <t>SCA</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9759-2024</t>
        </is>
      </c>
      <c r="B578" t="inlineStr">
        <is>
          <t>avverkningsanmälan</t>
        </is>
      </c>
      <c r="C578" t="inlineStr">
        <is>
          <t>Föryngringsavverkning</t>
        </is>
      </c>
      <c r="D578" s="1" t="n">
        <v>45362</v>
      </c>
      <c r="E578" s="1" t="n">
        <v>46310</v>
      </c>
      <c r="F578" t="inlineStr">
        <is>
          <t>VÄSTERNORRLANDS LÄN</t>
        </is>
      </c>
      <c r="G578" t="inlineStr">
        <is>
          <t>ÅNGE</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25320-2023</t>
        </is>
      </c>
      <c r="B579" t="inlineStr">
        <is>
          <t>avverkningsanmälan</t>
        </is>
      </c>
      <c r="C579" t="inlineStr">
        <is>
          <t>Föryngringsavverkning</t>
        </is>
      </c>
      <c r="D579" s="1" t="n">
        <v>45086</v>
      </c>
      <c r="E579" s="1" t="n">
        <v>46310</v>
      </c>
      <c r="F579" t="inlineStr">
        <is>
          <t>VÄSTERNORRLANDS LÄN</t>
        </is>
      </c>
      <c r="G579" t="inlineStr">
        <is>
          <t>ÅNGE</t>
        </is>
      </c>
      <c r="H579" t="inlineStr">
        <is>
          <t>SCA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55328-2023</t>
        </is>
      </c>
      <c r="B580" t="inlineStr">
        <is>
          <t>avverkningsanmälan</t>
        </is>
      </c>
      <c r="C580" t="inlineStr">
        <is>
          <t>Föryngringsavverkning</t>
        </is>
      </c>
      <c r="D580" s="1" t="n">
        <v>45237</v>
      </c>
      <c r="E580" s="1" t="n">
        <v>46310</v>
      </c>
      <c r="F580" t="inlineStr">
        <is>
          <t>VÄSTERNORRLANDS LÄN</t>
        </is>
      </c>
      <c r="G580" t="inlineStr">
        <is>
          <t>ÅNGE</t>
        </is>
      </c>
      <c r="H580" t="inlineStr">
        <is>
          <t>SCA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59626-2022</t>
        </is>
      </c>
      <c r="B581" t="inlineStr">
        <is>
          <t>avverkningsanmälan</t>
        </is>
      </c>
      <c r="C581" t="inlineStr">
        <is>
          <t>Föryngringsavverkning</t>
        </is>
      </c>
      <c r="D581" s="1" t="n">
        <v>44907</v>
      </c>
      <c r="E581" s="1" t="n">
        <v>46310</v>
      </c>
      <c r="F581" t="inlineStr">
        <is>
          <t>VÄSTERNORRLANDS LÄN</t>
        </is>
      </c>
      <c r="G581" t="inlineStr">
        <is>
          <t>ÅNGE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5369-2022</t>
        </is>
      </c>
      <c r="B582" t="inlineStr">
        <is>
          <t>avverkningsanmälan</t>
        </is>
      </c>
      <c r="C582" t="inlineStr">
        <is>
          <t>Föryngringsavverkning</t>
        </is>
      </c>
      <c r="D582" s="1" t="n">
        <v>44594</v>
      </c>
      <c r="E582" s="1" t="n">
        <v>46310</v>
      </c>
      <c r="F582" t="inlineStr">
        <is>
          <t>VÄSTERNORRLANDS LÄN</t>
        </is>
      </c>
      <c r="G582" t="inlineStr">
        <is>
          <t>ÅNGE</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213-2024</t>
        </is>
      </c>
      <c r="B583" t="inlineStr">
        <is>
          <t>avverkningsanmälan</t>
        </is>
      </c>
      <c r="C583" t="inlineStr">
        <is>
          <t>Föryngringsavverkning</t>
        </is>
      </c>
      <c r="D583" s="1" t="n">
        <v>45293</v>
      </c>
      <c r="E583" s="1" t="n">
        <v>46310</v>
      </c>
      <c r="F583" t="inlineStr">
        <is>
          <t>VÄSTERNORRLANDS LÄN</t>
        </is>
      </c>
      <c r="G583" t="inlineStr">
        <is>
          <t>ÅNGE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34852-2023</t>
        </is>
      </c>
      <c r="B584" t="inlineStr">
        <is>
          <t>avverkningsanmälan</t>
        </is>
      </c>
      <c r="C584" t="inlineStr">
        <is>
          <t>Föryngringsavverkning</t>
        </is>
      </c>
      <c r="D584" s="1" t="n">
        <v>45141</v>
      </c>
      <c r="E584" s="1" t="n">
        <v>46310</v>
      </c>
      <c r="F584" t="inlineStr">
        <is>
          <t>VÄSTERNORRLANDS LÄN</t>
        </is>
      </c>
      <c r="G584" t="inlineStr">
        <is>
          <t>ÅNGE</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48055-2025</t>
        </is>
      </c>
      <c r="B585" t="inlineStr">
        <is>
          <t>avverkningsanmälan</t>
        </is>
      </c>
      <c r="C585" t="inlineStr">
        <is>
          <t>Föryngringsavverkning</t>
        </is>
      </c>
      <c r="D585" s="1" t="n">
        <v>45932</v>
      </c>
      <c r="E585" s="1" t="n">
        <v>46310</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48069-2025</t>
        </is>
      </c>
      <c r="B586" t="inlineStr">
        <is>
          <t>avverkningsanmälan</t>
        </is>
      </c>
      <c r="C586" t="inlineStr">
        <is>
          <t>Föryngringsavverkning</t>
        </is>
      </c>
      <c r="D586" s="1" t="n">
        <v>45932</v>
      </c>
      <c r="E586" s="1" t="n">
        <v>46310</v>
      </c>
      <c r="F586" t="inlineStr">
        <is>
          <t>VÄSTERNORRLANDS LÄN</t>
        </is>
      </c>
      <c r="G586" t="inlineStr">
        <is>
          <t>ÅNGE</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48679-2025</t>
        </is>
      </c>
      <c r="B587" t="inlineStr">
        <is>
          <t>avverkningsanmälan</t>
        </is>
      </c>
      <c r="C587" t="inlineStr">
        <is>
          <t>Avverkning för annat ändamål</t>
        </is>
      </c>
      <c r="D587" s="1" t="n">
        <v>45936</v>
      </c>
      <c r="E587" s="1" t="n">
        <v>46310</v>
      </c>
      <c r="F587" t="inlineStr">
        <is>
          <t>VÄSTERNORRLANDS LÄN</t>
        </is>
      </c>
      <c r="G587" t="inlineStr">
        <is>
          <t>ÅNGE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35426-2024</t>
        </is>
      </c>
      <c r="B588" t="inlineStr">
        <is>
          <t>avverkningsanmälan</t>
        </is>
      </c>
      <c r="C588" t="inlineStr">
        <is>
          <t>Föryngringsavverkning</t>
        </is>
      </c>
      <c r="D588" s="1" t="n">
        <v>45531</v>
      </c>
      <c r="E588" s="1" t="n">
        <v>46310</v>
      </c>
      <c r="F588" t="inlineStr">
        <is>
          <t>VÄSTERNORRLANDS LÄN</t>
        </is>
      </c>
      <c r="G588" t="inlineStr">
        <is>
          <t>ÅNGE</t>
        </is>
      </c>
      <c r="H588" t="inlineStr">
        <is>
          <t>SCA</t>
        </is>
      </c>
      <c r="I588" t="n">
        <v>10.9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35488-2024</t>
        </is>
      </c>
      <c r="B589" t="inlineStr">
        <is>
          <t>avverkningsanmälan</t>
        </is>
      </c>
      <c r="C589" t="inlineStr">
        <is>
          <t>Föryngringsavverkning</t>
        </is>
      </c>
      <c r="D589" s="1" t="n">
        <v>45531</v>
      </c>
      <c r="E589" s="1" t="n">
        <v>46310</v>
      </c>
      <c r="F589" t="inlineStr">
        <is>
          <t>VÄSTERNORRLANDS LÄN</t>
        </is>
      </c>
      <c r="G589" t="inlineStr">
        <is>
          <t>ÅNGE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3347-2024</t>
        </is>
      </c>
      <c r="B590" t="inlineStr">
        <is>
          <t>avverkningsanmälan</t>
        </is>
      </c>
      <c r="C590" t="inlineStr">
        <is>
          <t>Föryngringsavverkning</t>
        </is>
      </c>
      <c r="D590" s="1" t="n">
        <v>45317</v>
      </c>
      <c r="E590" s="1" t="n">
        <v>46310</v>
      </c>
      <c r="F590" t="inlineStr">
        <is>
          <t>VÄSTERNORRLANDS LÄN</t>
        </is>
      </c>
      <c r="G590" t="inlineStr">
        <is>
          <t>ÅNGE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8926-2026</t>
        </is>
      </c>
      <c r="B591" t="inlineStr">
        <is>
          <t>avverkningsanmälan</t>
        </is>
      </c>
      <c r="C591" t="inlineStr">
        <is>
          <t>Föryngringsavverkning</t>
        </is>
      </c>
      <c r="D591" s="1" t="n">
        <v>46069</v>
      </c>
      <c r="E591" s="1" t="n">
        <v>46310</v>
      </c>
      <c r="F591" t="inlineStr">
        <is>
          <t>VÄSTERNORRLANDS LÄN</t>
        </is>
      </c>
      <c r="G591" t="inlineStr">
        <is>
          <t>ÅNGE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49562-2025</t>
        </is>
      </c>
      <c r="B592" t="inlineStr">
        <is>
          <t>avverkningsanmälan</t>
        </is>
      </c>
      <c r="C592" t="inlineStr">
        <is>
          <t>Föryngringsavverkning</t>
        </is>
      </c>
      <c r="D592" s="1" t="n">
        <v>45939</v>
      </c>
      <c r="E592" s="1" t="n">
        <v>46310</v>
      </c>
      <c r="F592" t="inlineStr">
        <is>
          <t>VÄSTERNORRLANDS LÄN</t>
        </is>
      </c>
      <c r="G592" t="inlineStr">
        <is>
          <t>ÅNGE</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8836-2026</t>
        </is>
      </c>
      <c r="B593" t="inlineStr">
        <is>
          <t>avverkningsanmälan</t>
        </is>
      </c>
      <c r="C593" t="inlineStr">
        <is>
          <t>Föryngringsavverkning</t>
        </is>
      </c>
      <c r="D593" s="1" t="n">
        <v>46066</v>
      </c>
      <c r="E593" s="1" t="n">
        <v>46310</v>
      </c>
      <c r="F593" t="inlineStr">
        <is>
          <t>VÄSTERNORRLANDS LÄN</t>
        </is>
      </c>
      <c r="G593" t="inlineStr">
        <is>
          <t>ÅNGE</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8928-2026</t>
        </is>
      </c>
      <c r="B594" t="inlineStr">
        <is>
          <t>avverkningsanmälan</t>
        </is>
      </c>
      <c r="C594" t="inlineStr">
        <is>
          <t>Föryngringsavverkning</t>
        </is>
      </c>
      <c r="D594" s="1" t="n">
        <v>46069</v>
      </c>
      <c r="E594" s="1" t="n">
        <v>46310</v>
      </c>
      <c r="F594" t="inlineStr">
        <is>
          <t>VÄSTERNORRLANDS LÄN</t>
        </is>
      </c>
      <c r="G594" t="inlineStr">
        <is>
          <t>ÅNGE</t>
        </is>
      </c>
      <c r="H594" t="inlineStr">
        <is>
          <t>SCA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9126-2026</t>
        </is>
      </c>
      <c r="B595" t="inlineStr">
        <is>
          <t>avverkningsanmälan</t>
        </is>
      </c>
      <c r="C595" t="inlineStr">
        <is>
          <t>Föryngringsavverkning</t>
        </is>
      </c>
      <c r="D595" s="1" t="n">
        <v>46069</v>
      </c>
      <c r="E595" s="1" t="n">
        <v>46310</v>
      </c>
      <c r="F595" t="inlineStr">
        <is>
          <t>VÄSTERNORRLANDS LÄN</t>
        </is>
      </c>
      <c r="G595" t="inlineStr">
        <is>
          <t>ÅNGE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8638-2026</t>
        </is>
      </c>
      <c r="B596" t="inlineStr">
        <is>
          <t>avverkningsanmälan</t>
        </is>
      </c>
      <c r="C596" t="inlineStr">
        <is>
          <t>Föryngringsavverkning</t>
        </is>
      </c>
      <c r="D596" s="1" t="n">
        <v>46066</v>
      </c>
      <c r="E596" s="1" t="n">
        <v>46310</v>
      </c>
      <c r="F596" t="inlineStr">
        <is>
          <t>VÄSTERNORRLANDS LÄN</t>
        </is>
      </c>
      <c r="G596" t="inlineStr">
        <is>
          <t>ÅNGE</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49603-2025</t>
        </is>
      </c>
      <c r="B597" t="inlineStr">
        <is>
          <t>avverkningsanmälan</t>
        </is>
      </c>
      <c r="C597" t="inlineStr">
        <is>
          <t>Föryngringsavverkning</t>
        </is>
      </c>
      <c r="D597" s="1" t="n">
        <v>45939</v>
      </c>
      <c r="E597" s="1" t="n">
        <v>46310</v>
      </c>
      <c r="F597" t="inlineStr">
        <is>
          <t>VÄSTERNORRLANDS LÄN</t>
        </is>
      </c>
      <c r="G597" t="inlineStr">
        <is>
          <t>ÅNGE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9334-2026</t>
        </is>
      </c>
      <c r="B598" t="inlineStr">
        <is>
          <t>avverkningsanmälan</t>
        </is>
      </c>
      <c r="C598" t="inlineStr">
        <is>
          <t>Föryngringsavverkning</t>
        </is>
      </c>
      <c r="D598" s="1" t="n">
        <v>46070</v>
      </c>
      <c r="E598" s="1" t="n">
        <v>46310</v>
      </c>
      <c r="F598" t="inlineStr">
        <is>
          <t>VÄSTERNORRLANDS LÄN</t>
        </is>
      </c>
      <c r="G598" t="inlineStr">
        <is>
          <t>ÅNGE</t>
        </is>
      </c>
      <c r="H598" t="inlineStr">
        <is>
          <t>SCA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49600-2025</t>
        </is>
      </c>
      <c r="B599" t="inlineStr">
        <is>
          <t>avverkningsanmälan</t>
        </is>
      </c>
      <c r="C599" t="inlineStr">
        <is>
          <t>Föryngringsavverkning</t>
        </is>
      </c>
      <c r="D599" s="1" t="n">
        <v>45939</v>
      </c>
      <c r="E599" s="1" t="n">
        <v>46310</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741-2024</t>
        </is>
      </c>
      <c r="B600" t="inlineStr">
        <is>
          <t>avverkningsanmälan</t>
        </is>
      </c>
      <c r="C600" t="inlineStr">
        <is>
          <t>Föryngringsavverkning</t>
        </is>
      </c>
      <c r="D600" s="1" t="n">
        <v>45300</v>
      </c>
      <c r="E600" s="1" t="n">
        <v>46310</v>
      </c>
      <c r="F600" t="inlineStr">
        <is>
          <t>VÄSTERNORRLANDS LÄN</t>
        </is>
      </c>
      <c r="G600" t="inlineStr">
        <is>
          <t>ÅNGE</t>
        </is>
      </c>
      <c r="I600" t="n">
        <v>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48369-2024</t>
        </is>
      </c>
      <c r="B601" t="inlineStr">
        <is>
          <t>avverkningsanmälan</t>
        </is>
      </c>
      <c r="C601" t="inlineStr">
        <is>
          <t>Föryngringsavverkning</t>
        </is>
      </c>
      <c r="D601" s="1" t="n">
        <v>45590</v>
      </c>
      <c r="E601" s="1" t="n">
        <v>46310</v>
      </c>
      <c r="F601" t="inlineStr">
        <is>
          <t>VÄSTERNORRLANDS LÄN</t>
        </is>
      </c>
      <c r="G601" t="inlineStr">
        <is>
          <t>ÅNGE</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50210-2025</t>
        </is>
      </c>
      <c r="B602" t="inlineStr">
        <is>
          <t>avverkningsanmälan</t>
        </is>
      </c>
      <c r="C602" t="inlineStr">
        <is>
          <t>Föryngringsavverkning</t>
        </is>
      </c>
      <c r="D602" s="1" t="n">
        <v>45943</v>
      </c>
      <c r="E602" s="1" t="n">
        <v>46310</v>
      </c>
      <c r="F602" t="inlineStr">
        <is>
          <t>VÄSTERNORRLANDS LÄN</t>
        </is>
      </c>
      <c r="G602" t="inlineStr">
        <is>
          <t>ÅNGE</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16524-2025</t>
        </is>
      </c>
      <c r="B603" t="inlineStr">
        <is>
          <t>avverkningsanmälan</t>
        </is>
      </c>
      <c r="C603" t="inlineStr">
        <is>
          <t>Föryngringsavverkning</t>
        </is>
      </c>
      <c r="D603" s="1" t="n">
        <v>45751</v>
      </c>
      <c r="E603" s="1" t="n">
        <v>46310</v>
      </c>
      <c r="F603" t="inlineStr">
        <is>
          <t>VÄSTERNORRLANDS LÄN</t>
        </is>
      </c>
      <c r="G603" t="inlineStr">
        <is>
          <t>ÅNGE</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52683-2024</t>
        </is>
      </c>
      <c r="B604" t="inlineStr">
        <is>
          <t>avverkningsanmälan</t>
        </is>
      </c>
      <c r="C604" t="inlineStr">
        <is>
          <t>Föryngringsavverkning</t>
        </is>
      </c>
      <c r="D604" s="1" t="n">
        <v>45610</v>
      </c>
      <c r="E604" s="1" t="n">
        <v>46310</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40790-2023</t>
        </is>
      </c>
      <c r="B605" t="inlineStr">
        <is>
          <t>avverkningsanmälan</t>
        </is>
      </c>
      <c r="C605" t="inlineStr">
        <is>
          <t>Föryngringsavverkning</t>
        </is>
      </c>
      <c r="D605" s="1" t="n">
        <v>45170</v>
      </c>
      <c r="E605" s="1" t="n">
        <v>46310</v>
      </c>
      <c r="F605" t="inlineStr">
        <is>
          <t>VÄSTERNORRLANDS LÄN</t>
        </is>
      </c>
      <c r="G605" t="inlineStr">
        <is>
          <t>ÅNGE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38002-2024</t>
        </is>
      </c>
      <c r="B606" t="inlineStr">
        <is>
          <t>avverkningsanmälan</t>
        </is>
      </c>
      <c r="C606" t="inlineStr">
        <is>
          <t>Föryngringsavverkning</t>
        </is>
      </c>
      <c r="D606" s="1" t="n">
        <v>45544</v>
      </c>
      <c r="E606" s="1" t="n">
        <v>46310</v>
      </c>
      <c r="F606" t="inlineStr">
        <is>
          <t>VÄSTERNORRLANDS LÄN</t>
        </is>
      </c>
      <c r="G606" t="inlineStr">
        <is>
          <t>ÅNGE</t>
        </is>
      </c>
      <c r="H606" t="inlineStr">
        <is>
          <t>SCA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60514-2024</t>
        </is>
      </c>
      <c r="B607" t="inlineStr">
        <is>
          <t>avverkningsanmälan</t>
        </is>
      </c>
      <c r="C607" t="inlineStr">
        <is>
          <t>Föryngringsavverkning</t>
        </is>
      </c>
      <c r="D607" s="1" t="n">
        <v>45643</v>
      </c>
      <c r="E607" s="1" t="n">
        <v>46310</v>
      </c>
      <c r="F607" t="inlineStr">
        <is>
          <t>VÄSTERNORRLANDS LÄN</t>
        </is>
      </c>
      <c r="G607" t="inlineStr">
        <is>
          <t>ÅNGE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50571-2025</t>
        </is>
      </c>
      <c r="B608" t="inlineStr">
        <is>
          <t>avverkningsanmälan</t>
        </is>
      </c>
      <c r="C608" t="inlineStr">
        <is>
          <t>Föryngringsavverkning</t>
        </is>
      </c>
      <c r="D608" s="1" t="n">
        <v>45945</v>
      </c>
      <c r="E608" s="1" t="n">
        <v>46310</v>
      </c>
      <c r="F608" t="inlineStr">
        <is>
          <t>VÄSTERNORRLANDS LÄN</t>
        </is>
      </c>
      <c r="G608" t="inlineStr">
        <is>
          <t>ÅNGE</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10678-2026</t>
        </is>
      </c>
      <c r="B609" t="inlineStr">
        <is>
          <t>avverkningsanmälan</t>
        </is>
      </c>
      <c r="C609" t="inlineStr">
        <is>
          <t>Föryngringsavverkning</t>
        </is>
      </c>
      <c r="D609" s="1" t="n">
        <v>46078</v>
      </c>
      <c r="E609" s="1" t="n">
        <v>46310</v>
      </c>
      <c r="F609" t="inlineStr">
        <is>
          <t>VÄSTERNORRLANDS LÄN</t>
        </is>
      </c>
      <c r="G609" t="inlineStr">
        <is>
          <t>ÅNGE</t>
        </is>
      </c>
      <c r="H609" t="inlineStr">
        <is>
          <t>SCA</t>
        </is>
      </c>
      <c r="I609" t="n">
        <v>19.9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10657-2026</t>
        </is>
      </c>
      <c r="B610" t="inlineStr">
        <is>
          <t>avverkningsanmälan</t>
        </is>
      </c>
      <c r="C610" t="inlineStr">
        <is>
          <t>Föryngringsavverkning</t>
        </is>
      </c>
      <c r="D610" s="1" t="n">
        <v>46078</v>
      </c>
      <c r="E610" s="1" t="n">
        <v>46310</v>
      </c>
      <c r="F610" t="inlineStr">
        <is>
          <t>VÄSTERNORRLANDS LÄN</t>
        </is>
      </c>
      <c r="G610" t="inlineStr">
        <is>
          <t>ÅNGE</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50767-2025</t>
        </is>
      </c>
      <c r="B611" t="inlineStr">
        <is>
          <t>avverkningsanmälan</t>
        </is>
      </c>
      <c r="C611" t="inlineStr">
        <is>
          <t>Föryngringsavverkning</t>
        </is>
      </c>
      <c r="D611" s="1" t="n">
        <v>45946</v>
      </c>
      <c r="E611" s="1" t="n">
        <v>46310</v>
      </c>
      <c r="F611" t="inlineStr">
        <is>
          <t>VÄSTERNORRLANDS LÄN</t>
        </is>
      </c>
      <c r="G611" t="inlineStr">
        <is>
          <t>ÅNGE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50769-2025</t>
        </is>
      </c>
      <c r="B612" t="inlineStr">
        <is>
          <t>avverkningsanmälan</t>
        </is>
      </c>
      <c r="C612" t="inlineStr">
        <is>
          <t>Föryngringsavverkning</t>
        </is>
      </c>
      <c r="D612" s="1" t="n">
        <v>45946</v>
      </c>
      <c r="E612" s="1" t="n">
        <v>46310</v>
      </c>
      <c r="F612" t="inlineStr">
        <is>
          <t>VÄSTERNORRLANDS LÄN</t>
        </is>
      </c>
      <c r="G612" t="inlineStr">
        <is>
          <t>ÅNGE</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56874-2024</t>
        </is>
      </c>
      <c r="B613" t="inlineStr">
        <is>
          <t>avverkningsanmälan</t>
        </is>
      </c>
      <c r="C613" t="inlineStr">
        <is>
          <t>Föryngringsavverkning</t>
        </is>
      </c>
      <c r="D613" s="1" t="n">
        <v>45628</v>
      </c>
      <c r="E613" s="1" t="n">
        <v>46310</v>
      </c>
      <c r="F613" t="inlineStr">
        <is>
          <t>VÄSTERNORRLANDS LÄN</t>
        </is>
      </c>
      <c r="G613" t="inlineStr">
        <is>
          <t>ÅNGE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58087-2024</t>
        </is>
      </c>
      <c r="B614" t="inlineStr">
        <is>
          <t>avverkningsanmälan</t>
        </is>
      </c>
      <c r="C614" t="inlineStr">
        <is>
          <t>Föryngringsavverkning</t>
        </is>
      </c>
      <c r="D614" s="1" t="n">
        <v>45632</v>
      </c>
      <c r="E614" s="1" t="n">
        <v>46310</v>
      </c>
      <c r="F614" t="inlineStr">
        <is>
          <t>VÄSTERNORRLANDS LÄN</t>
        </is>
      </c>
      <c r="G614" t="inlineStr">
        <is>
          <t>ÅNGE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27306-2024</t>
        </is>
      </c>
      <c r="B615" t="inlineStr">
        <is>
          <t>avverkningsanmälan</t>
        </is>
      </c>
      <c r="C615" t="inlineStr">
        <is>
          <t>Föryngringsavverkning</t>
        </is>
      </c>
      <c r="D615" s="1" t="n">
        <v>45471</v>
      </c>
      <c r="E615" s="1" t="n">
        <v>46310</v>
      </c>
      <c r="F615" t="inlineStr">
        <is>
          <t>VÄSTERNORRLANDS LÄN</t>
        </is>
      </c>
      <c r="G615" t="inlineStr">
        <is>
          <t>ÅNGE</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11075-2026</t>
        </is>
      </c>
      <c r="B616" t="inlineStr">
        <is>
          <t>avverkningsanmälan</t>
        </is>
      </c>
      <c r="C616" t="inlineStr">
        <is>
          <t>Föryngringsavverkning</t>
        </is>
      </c>
      <c r="D616" s="1" t="n">
        <v>46079</v>
      </c>
      <c r="E616" s="1" t="n">
        <v>46310</v>
      </c>
      <c r="F616" t="inlineStr">
        <is>
          <t>VÄSTERNORRLANDS LÄN</t>
        </is>
      </c>
      <c r="G616" t="inlineStr">
        <is>
          <t>ÅNGE</t>
        </is>
      </c>
      <c r="H616" t="inlineStr">
        <is>
          <t>SCA</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11157-2026</t>
        </is>
      </c>
      <c r="B617" t="inlineStr">
        <is>
          <t>avverkningsanmälan</t>
        </is>
      </c>
      <c r="C617" t="inlineStr">
        <is>
          <t>Föryngringsavverkning</t>
        </is>
      </c>
      <c r="D617" s="1" t="n">
        <v>46080</v>
      </c>
      <c r="E617" s="1" t="n">
        <v>46310</v>
      </c>
      <c r="F617" t="inlineStr">
        <is>
          <t>VÄSTERNORRLANDS LÄN</t>
        </is>
      </c>
      <c r="G617" t="inlineStr">
        <is>
          <t>ÅNGE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11054-2026</t>
        </is>
      </c>
      <c r="B618" t="inlineStr">
        <is>
          <t>avverkningsanmälan</t>
        </is>
      </c>
      <c r="C618" t="inlineStr">
        <is>
          <t>Föryngringsavverkning</t>
        </is>
      </c>
      <c r="D618" s="1" t="n">
        <v>46079</v>
      </c>
      <c r="E618" s="1" t="n">
        <v>46310</v>
      </c>
      <c r="F618" t="inlineStr">
        <is>
          <t>VÄSTERNORRLANDS LÄN</t>
        </is>
      </c>
      <c r="G618" t="inlineStr">
        <is>
          <t>ÅNGE</t>
        </is>
      </c>
      <c r="H618" t="inlineStr">
        <is>
          <t>SCA</t>
        </is>
      </c>
      <c r="I618" t="n">
        <v>26.2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21200-2024</t>
        </is>
      </c>
      <c r="B619" t="inlineStr">
        <is>
          <t>avverkningsanmälan</t>
        </is>
      </c>
      <c r="C619" t="inlineStr">
        <is>
          <t>Föryngringsavverkning</t>
        </is>
      </c>
      <c r="D619" s="1" t="n">
        <v>45440</v>
      </c>
      <c r="E619" s="1" t="n">
        <v>46310</v>
      </c>
      <c r="F619" t="inlineStr">
        <is>
          <t>VÄSTERNORRLANDS LÄN</t>
        </is>
      </c>
      <c r="G619" t="inlineStr">
        <is>
          <t>ÅNGE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51109-2025</t>
        </is>
      </c>
      <c r="B620" t="inlineStr">
        <is>
          <t>avverkningsanmälan</t>
        </is>
      </c>
      <c r="C620" t="inlineStr">
        <is>
          <t>Föryngringsavverkning</t>
        </is>
      </c>
      <c r="D620" s="1" t="n">
        <v>45947</v>
      </c>
      <c r="E620" s="1" t="n">
        <v>46310</v>
      </c>
      <c r="F620" t="inlineStr">
        <is>
          <t>VÄSTERNORRLANDS LÄN</t>
        </is>
      </c>
      <c r="G620" t="inlineStr">
        <is>
          <t>ÅNGE</t>
        </is>
      </c>
      <c r="H620" t="inlineStr">
        <is>
          <t>Holmen skog AB</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10017-2025</t>
        </is>
      </c>
      <c r="B621" t="inlineStr">
        <is>
          <t>avverkningsanmälan</t>
        </is>
      </c>
      <c r="C621" t="inlineStr">
        <is>
          <t>Föryngringsavverkning</t>
        </is>
      </c>
      <c r="D621" s="1" t="n">
        <v>45719</v>
      </c>
      <c r="E621" s="1" t="n">
        <v>46310</v>
      </c>
      <c r="F621" t="inlineStr">
        <is>
          <t>VÄSTERNORRLANDS LÄN</t>
        </is>
      </c>
      <c r="G621" t="inlineStr">
        <is>
          <t>ÅNGE</t>
        </is>
      </c>
      <c r="H621" t="inlineStr">
        <is>
          <t>SCA</t>
        </is>
      </c>
      <c r="I621" t="n">
        <v>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11256-2026</t>
        </is>
      </c>
      <c r="B622" t="inlineStr">
        <is>
          <t>avverkningsanmälan</t>
        </is>
      </c>
      <c r="C622" t="inlineStr">
        <is>
          <t>Föryngringsavverkning</t>
        </is>
      </c>
      <c r="D622" s="1" t="n">
        <v>46080</v>
      </c>
      <c r="E622" s="1" t="n">
        <v>46310</v>
      </c>
      <c r="F622" t="inlineStr">
        <is>
          <t>VÄSTERNORRLANDS LÄN</t>
        </is>
      </c>
      <c r="G622" t="inlineStr">
        <is>
          <t>ÅNGE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57286-2022</t>
        </is>
      </c>
      <c r="B623" t="inlineStr">
        <is>
          <t>avverkningsanmälan</t>
        </is>
      </c>
      <c r="C623" t="inlineStr">
        <is>
          <t>Föryngringsavverkning</t>
        </is>
      </c>
      <c r="D623" s="1" t="n">
        <v>44895</v>
      </c>
      <c r="E623" s="1" t="n">
        <v>46310</v>
      </c>
      <c r="F623" t="inlineStr">
        <is>
          <t>VÄSTERNORRLANDS LÄN</t>
        </is>
      </c>
      <c r="G623" t="inlineStr">
        <is>
          <t>ÅNGE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1127-2023</t>
        </is>
      </c>
      <c r="B624" t="inlineStr">
        <is>
          <t>avverkningsanmälan</t>
        </is>
      </c>
      <c r="C624" t="inlineStr">
        <is>
          <t>Föryngringsavverkning</t>
        </is>
      </c>
      <c r="D624" s="1" t="n">
        <v>44929</v>
      </c>
      <c r="E624" s="1" t="n">
        <v>46310</v>
      </c>
      <c r="F624" t="inlineStr">
        <is>
          <t>VÄSTERNORRLANDS LÄN</t>
        </is>
      </c>
      <c r="G624" t="inlineStr">
        <is>
          <t>ÅNGE</t>
        </is>
      </c>
      <c r="I624" t="n">
        <v>10.5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22755-2023</t>
        </is>
      </c>
      <c r="B625" t="inlineStr">
        <is>
          <t>avverkningsanmälan</t>
        </is>
      </c>
      <c r="C625" t="inlineStr">
        <is>
          <t>Föryngringsavverkning</t>
        </is>
      </c>
      <c r="D625" s="1" t="n">
        <v>45071</v>
      </c>
      <c r="E625" s="1" t="n">
        <v>46310</v>
      </c>
      <c r="F625" t="inlineStr">
        <is>
          <t>VÄSTERNORRLANDS LÄN</t>
        </is>
      </c>
      <c r="G625" t="inlineStr">
        <is>
          <t>ÅNGE</t>
        </is>
      </c>
      <c r="H625" t="inlineStr">
        <is>
          <t>SCA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4727-2023</t>
        </is>
      </c>
      <c r="B626" t="inlineStr">
        <is>
          <t>avverkningsanmälan</t>
        </is>
      </c>
      <c r="C626" t="inlineStr">
        <is>
          <t>Föryngringsavverkning</t>
        </is>
      </c>
      <c r="D626" s="1" t="n">
        <v>44953</v>
      </c>
      <c r="E626" s="1" t="n">
        <v>46310</v>
      </c>
      <c r="F626" t="inlineStr">
        <is>
          <t>VÄSTERNORRLANDS LÄN</t>
        </is>
      </c>
      <c r="G626" t="inlineStr">
        <is>
          <t>ÅNGE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11461-2026</t>
        </is>
      </c>
      <c r="B627" t="inlineStr">
        <is>
          <t>avverkningsanmälan</t>
        </is>
      </c>
      <c r="C627" t="inlineStr">
        <is>
          <t>Föryngringsavverkning</t>
        </is>
      </c>
      <c r="D627" s="1" t="n">
        <v>46083</v>
      </c>
      <c r="E627" s="1" t="n">
        <v>46310</v>
      </c>
      <c r="F627" t="inlineStr">
        <is>
          <t>VÄSTERNORRLANDS LÄN</t>
        </is>
      </c>
      <c r="G627" t="inlineStr">
        <is>
          <t>ÅNGE</t>
        </is>
      </c>
      <c r="H627" t="inlineStr">
        <is>
          <t>SCA</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52121-2025</t>
        </is>
      </c>
      <c r="B628" t="inlineStr">
        <is>
          <t>avverkningsanmälan</t>
        </is>
      </c>
      <c r="C628" t="inlineStr">
        <is>
          <t>Föryngringsavverkning</t>
        </is>
      </c>
      <c r="D628" s="1" t="n">
        <v>45952</v>
      </c>
      <c r="E628" s="1" t="n">
        <v>46310</v>
      </c>
      <c r="F628" t="inlineStr">
        <is>
          <t>VÄSTERNORRLANDS LÄN</t>
        </is>
      </c>
      <c r="G628" t="inlineStr">
        <is>
          <t>ÅNGE</t>
        </is>
      </c>
      <c r="H628" t="inlineStr">
        <is>
          <t>SCA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30474-2024</t>
        </is>
      </c>
      <c r="B629" t="inlineStr">
        <is>
          <t>avverkningsanmälan</t>
        </is>
      </c>
      <c r="C629" t="inlineStr">
        <is>
          <t>Föryngringsavverkning</t>
        </is>
      </c>
      <c r="D629" s="1" t="n">
        <v>45491</v>
      </c>
      <c r="E629" s="1" t="n">
        <v>46310</v>
      </c>
      <c r="F629" t="inlineStr">
        <is>
          <t>VÄSTERNORRLANDS LÄN</t>
        </is>
      </c>
      <c r="G629" t="inlineStr">
        <is>
          <t>ÅNGE</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47243-2024</t>
        </is>
      </c>
      <c r="B630" t="inlineStr">
        <is>
          <t>avverkningsanmälan</t>
        </is>
      </c>
      <c r="C630" t="inlineStr">
        <is>
          <t>Föryngringsavverkning</t>
        </is>
      </c>
      <c r="D630" s="1" t="n">
        <v>45586</v>
      </c>
      <c r="E630" s="1" t="n">
        <v>46310</v>
      </c>
      <c r="F630" t="inlineStr">
        <is>
          <t>VÄSTERNORRLANDS LÄN</t>
        </is>
      </c>
      <c r="G630" t="inlineStr">
        <is>
          <t>ÅNGE</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42046-2024</t>
        </is>
      </c>
      <c r="B631" t="inlineStr">
        <is>
          <t>avverkningsanmälan</t>
        </is>
      </c>
      <c r="C631" t="inlineStr">
        <is>
          <t>Föryngringsavverkning</t>
        </is>
      </c>
      <c r="D631" s="1" t="n">
        <v>45561</v>
      </c>
      <c r="E631" s="1" t="n">
        <v>46310</v>
      </c>
      <c r="F631" t="inlineStr">
        <is>
          <t>VÄSTERNORRLANDS LÄN</t>
        </is>
      </c>
      <c r="G631" t="inlineStr">
        <is>
          <t>ÅNGE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51813-2025</t>
        </is>
      </c>
      <c r="B632" t="inlineStr">
        <is>
          <t>avverkningsanmälan</t>
        </is>
      </c>
      <c r="C632" t="inlineStr">
        <is>
          <t>Föryngringsavverkning</t>
        </is>
      </c>
      <c r="D632" s="1" t="n">
        <v>45951</v>
      </c>
      <c r="E632" s="1" t="n">
        <v>46310</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12176-2026</t>
        </is>
      </c>
      <c r="B633" t="inlineStr">
        <is>
          <t>avverkningsanmälan</t>
        </is>
      </c>
      <c r="C633" t="inlineStr">
        <is>
          <t>Föryngringsavverkning</t>
        </is>
      </c>
      <c r="D633" s="1" t="n">
        <v>46086</v>
      </c>
      <c r="E633" s="1" t="n">
        <v>46310</v>
      </c>
      <c r="F633" t="inlineStr">
        <is>
          <t>VÄSTERNORRLANDS LÄN</t>
        </is>
      </c>
      <c r="G633" t="inlineStr">
        <is>
          <t>ÅNGE</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11924-2026</t>
        </is>
      </c>
      <c r="B634" t="inlineStr">
        <is>
          <t>avverkningsanmälan</t>
        </is>
      </c>
      <c r="C634" t="inlineStr">
        <is>
          <t>Föryngringsavverkning</t>
        </is>
      </c>
      <c r="D634" s="1" t="n">
        <v>46085</v>
      </c>
      <c r="E634" s="1" t="n">
        <v>46310</v>
      </c>
      <c r="F634" t="inlineStr">
        <is>
          <t>VÄSTERNORRLANDS LÄN</t>
        </is>
      </c>
      <c r="G634" t="inlineStr">
        <is>
          <t>ÅNGE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11804-2026</t>
        </is>
      </c>
      <c r="B635" t="inlineStr">
        <is>
          <t>avverkningsanmälan</t>
        </is>
      </c>
      <c r="C635" t="inlineStr">
        <is>
          <t>Föryngringsavverkning</t>
        </is>
      </c>
      <c r="D635" s="1" t="n">
        <v>46085</v>
      </c>
      <c r="E635" s="1" t="n">
        <v>46310</v>
      </c>
      <c r="F635" t="inlineStr">
        <is>
          <t>VÄSTERNORRLANDS LÄN</t>
        </is>
      </c>
      <c r="G635" t="inlineStr">
        <is>
          <t>ÅNGE</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52335-2025</t>
        </is>
      </c>
      <c r="B636" t="inlineStr">
        <is>
          <t>avverkningsanmälan</t>
        </is>
      </c>
      <c r="C636" t="inlineStr">
        <is>
          <t>Avverkning för annat ändamål</t>
        </is>
      </c>
      <c r="D636" s="1" t="n">
        <v>45953</v>
      </c>
      <c r="E636" s="1" t="n">
        <v>46310</v>
      </c>
      <c r="F636" t="inlineStr">
        <is>
          <t>VÄSTERNORRLANDS LÄN</t>
        </is>
      </c>
      <c r="G636" t="inlineStr">
        <is>
          <t>ÅNGE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52283-2025</t>
        </is>
      </c>
      <c r="B637" t="inlineStr">
        <is>
          <t>avverkningsanmälan</t>
        </is>
      </c>
      <c r="C637" t="inlineStr">
        <is>
          <t>Föryngringsavverkning</t>
        </is>
      </c>
      <c r="D637" s="1" t="n">
        <v>45953</v>
      </c>
      <c r="E637" s="1" t="n">
        <v>46310</v>
      </c>
      <c r="F637" t="inlineStr">
        <is>
          <t>VÄSTERNORRLANDS LÄN</t>
        </is>
      </c>
      <c r="G637" t="inlineStr">
        <is>
          <t>ÅNGE</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11803-2026</t>
        </is>
      </c>
      <c r="B638" t="inlineStr">
        <is>
          <t>avverkningsanmälan</t>
        </is>
      </c>
      <c r="C638" t="inlineStr">
        <is>
          <t>Föryngringsavverkning</t>
        </is>
      </c>
      <c r="D638" s="1" t="n">
        <v>46085</v>
      </c>
      <c r="E638" s="1" t="n">
        <v>46310</v>
      </c>
      <c r="F638" t="inlineStr">
        <is>
          <t>VÄSTERNORRLANDS LÄN</t>
        </is>
      </c>
      <c r="G638" t="inlineStr">
        <is>
          <t>ÅNGE</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12439-2026</t>
        </is>
      </c>
      <c r="B639" t="inlineStr">
        <is>
          <t>avverkningsanmälan</t>
        </is>
      </c>
      <c r="C639" t="inlineStr">
        <is>
          <t>Föryngringsavverkning</t>
        </is>
      </c>
      <c r="D639" s="1" t="n">
        <v>46090</v>
      </c>
      <c r="E639" s="1" t="n">
        <v>46310</v>
      </c>
      <c r="F639" t="inlineStr">
        <is>
          <t>VÄSTERNORRLANDS LÄN</t>
        </is>
      </c>
      <c r="G639" t="inlineStr">
        <is>
          <t>ÅNGE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55664-2023</t>
        </is>
      </c>
      <c r="B640" t="inlineStr">
        <is>
          <t>avverkningsanmälan</t>
        </is>
      </c>
      <c r="C640" t="inlineStr">
        <is>
          <t>Föryngringsavverkning</t>
        </is>
      </c>
      <c r="D640" s="1" t="n">
        <v>45238</v>
      </c>
      <c r="E640" s="1" t="n">
        <v>46310</v>
      </c>
      <c r="F640" t="inlineStr">
        <is>
          <t>VÄSTERNORRLANDS LÄN</t>
        </is>
      </c>
      <c r="G640" t="inlineStr">
        <is>
          <t>ÅNGE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30747-2024</t>
        </is>
      </c>
      <c r="B641" t="inlineStr">
        <is>
          <t>avverkningsanmälan</t>
        </is>
      </c>
      <c r="C641" t="inlineStr">
        <is>
          <t>Avverkning för annat ändamål</t>
        </is>
      </c>
      <c r="D641" s="1" t="n">
        <v>45496</v>
      </c>
      <c r="E641" s="1" t="n">
        <v>46310</v>
      </c>
      <c r="F641" t="inlineStr">
        <is>
          <t>VÄSTERNORRLANDS LÄN</t>
        </is>
      </c>
      <c r="G641" t="inlineStr">
        <is>
          <t>ÅNGE</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12287-2026</t>
        </is>
      </c>
      <c r="B642" t="inlineStr">
        <is>
          <t>avverkningsanmälan</t>
        </is>
      </c>
      <c r="C642" t="inlineStr">
        <is>
          <t>Föryngringsavverkning</t>
        </is>
      </c>
      <c r="D642" s="1" t="n">
        <v>46087</v>
      </c>
      <c r="E642" s="1" t="n">
        <v>46310</v>
      </c>
      <c r="F642" t="inlineStr">
        <is>
          <t>VÄSTERNORRLANDS LÄN</t>
        </is>
      </c>
      <c r="G642" t="inlineStr">
        <is>
          <t>ÅNGE</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12412-2026</t>
        </is>
      </c>
      <c r="B643" t="inlineStr">
        <is>
          <t>avverkningsanmälan</t>
        </is>
      </c>
      <c r="C643" t="inlineStr">
        <is>
          <t>Föryngringsavverkning</t>
        </is>
      </c>
      <c r="D643" s="1" t="n">
        <v>46090</v>
      </c>
      <c r="E643" s="1" t="n">
        <v>46310</v>
      </c>
      <c r="F643" t="inlineStr">
        <is>
          <t>VÄSTERNORRLANDS LÄN</t>
        </is>
      </c>
      <c r="G643" t="inlineStr">
        <is>
          <t>ÅNGE</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35276-2022</t>
        </is>
      </c>
      <c r="B644" t="inlineStr">
        <is>
          <t>avverkningsanmälan</t>
        </is>
      </c>
      <c r="C644" t="inlineStr">
        <is>
          <t>Föryngringsavverkning</t>
        </is>
      </c>
      <c r="D644" s="1" t="n">
        <v>44798</v>
      </c>
      <c r="E644" s="1" t="n">
        <v>46310</v>
      </c>
      <c r="F644" t="inlineStr">
        <is>
          <t>VÄSTERNORRLANDS LÄN</t>
        </is>
      </c>
      <c r="G644" t="inlineStr">
        <is>
          <t>ÅNGE</t>
        </is>
      </c>
      <c r="I644" t="n">
        <v>15.2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12398-2026</t>
        </is>
      </c>
      <c r="B645" t="inlineStr">
        <is>
          <t>avverkningsanmälan</t>
        </is>
      </c>
      <c r="C645" t="inlineStr">
        <is>
          <t>Föryngringsavverkning</t>
        </is>
      </c>
      <c r="D645" s="1" t="n">
        <v>46090</v>
      </c>
      <c r="E645" s="1" t="n">
        <v>46310</v>
      </c>
      <c r="F645" t="inlineStr">
        <is>
          <t>VÄSTERNORRLANDS LÄN</t>
        </is>
      </c>
      <c r="G645" t="inlineStr">
        <is>
          <t>ÅNGE</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58939-2021</t>
        </is>
      </c>
      <c r="B646" t="inlineStr">
        <is>
          <t>avverkningsanmälan</t>
        </is>
      </c>
      <c r="C646" t="inlineStr">
        <is>
          <t>Föryngringsavverkning</t>
        </is>
      </c>
      <c r="D646" s="1" t="n">
        <v>44489</v>
      </c>
      <c r="E646" s="1" t="n">
        <v>46310</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52411-2025</t>
        </is>
      </c>
      <c r="B647" t="inlineStr">
        <is>
          <t>avverkningsanmälan</t>
        </is>
      </c>
      <c r="C647" t="inlineStr">
        <is>
          <t>Föryngringsavverkning</t>
        </is>
      </c>
      <c r="D647" s="1" t="n">
        <v>45954</v>
      </c>
      <c r="E647" s="1" t="n">
        <v>46310</v>
      </c>
      <c r="F647" t="inlineStr">
        <is>
          <t>VÄSTERNORRLANDS LÄN</t>
        </is>
      </c>
      <c r="G647" t="inlineStr">
        <is>
          <t>ÅNGE</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12437-2026</t>
        </is>
      </c>
      <c r="B648" t="inlineStr">
        <is>
          <t>avverkningsanmälan</t>
        </is>
      </c>
      <c r="C648" t="inlineStr">
        <is>
          <t>Föryngringsavverkning</t>
        </is>
      </c>
      <c r="D648" s="1" t="n">
        <v>46090</v>
      </c>
      <c r="E648" s="1" t="n">
        <v>46310</v>
      </c>
      <c r="F648" t="inlineStr">
        <is>
          <t>VÄSTERNORRLANDS LÄN</t>
        </is>
      </c>
      <c r="G648" t="inlineStr">
        <is>
          <t>ÅNGE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52858-2025</t>
        </is>
      </c>
      <c r="B649" t="inlineStr">
        <is>
          <t>avverkningsanmälan</t>
        </is>
      </c>
      <c r="C649" t="inlineStr">
        <is>
          <t>Föryngringsavverkning</t>
        </is>
      </c>
      <c r="D649" s="1" t="n">
        <v>45957</v>
      </c>
      <c r="E649" s="1" t="n">
        <v>46310</v>
      </c>
      <c r="F649" t="inlineStr">
        <is>
          <t>VÄSTERNORRLANDS LÄN</t>
        </is>
      </c>
      <c r="G649" t="inlineStr">
        <is>
          <t>ÅNGE</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12468-2026</t>
        </is>
      </c>
      <c r="B650" t="inlineStr">
        <is>
          <t>avverkningsanmälan</t>
        </is>
      </c>
      <c r="C650" t="inlineStr">
        <is>
          <t>Föryngringsavverkning</t>
        </is>
      </c>
      <c r="D650" s="1" t="n">
        <v>46090</v>
      </c>
      <c r="E650" s="1" t="n">
        <v>46310</v>
      </c>
      <c r="F650" t="inlineStr">
        <is>
          <t>VÄSTERNORRLANDS LÄN</t>
        </is>
      </c>
      <c r="G650" t="inlineStr">
        <is>
          <t>ÅNGE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58639-2023</t>
        </is>
      </c>
      <c r="B651" t="inlineStr">
        <is>
          <t>avverkningsanmälan</t>
        </is>
      </c>
      <c r="C651" t="inlineStr">
        <is>
          <t>Föryngringsavverkning</t>
        </is>
      </c>
      <c r="D651" s="1" t="n">
        <v>45251</v>
      </c>
      <c r="E651" s="1" t="n">
        <v>46310</v>
      </c>
      <c r="F651" t="inlineStr">
        <is>
          <t>VÄSTERNORRLANDS LÄN</t>
        </is>
      </c>
      <c r="G651" t="inlineStr">
        <is>
          <t>ÅNGE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12874-2026</t>
        </is>
      </c>
      <c r="B652" t="inlineStr">
        <is>
          <t>avverkningsanmälan</t>
        </is>
      </c>
      <c r="C652" t="inlineStr">
        <is>
          <t>Föryngringsavverkning</t>
        </is>
      </c>
      <c r="D652" s="1" t="n">
        <v>46092</v>
      </c>
      <c r="E652" s="1" t="n">
        <v>46310</v>
      </c>
      <c r="F652" t="inlineStr">
        <is>
          <t>VÄSTERNORRLANDS LÄN</t>
        </is>
      </c>
      <c r="G652" t="inlineStr">
        <is>
          <t>ÅNGE</t>
        </is>
      </c>
      <c r="H652" t="inlineStr">
        <is>
          <t>SCA</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53381-2025</t>
        </is>
      </c>
      <c r="B653" t="inlineStr">
        <is>
          <t>avverkningsanmälan</t>
        </is>
      </c>
      <c r="C653" t="inlineStr">
        <is>
          <t>Föryngringsavverkning</t>
        </is>
      </c>
      <c r="D653" s="1" t="n">
        <v>45959</v>
      </c>
      <c r="E653" s="1" t="n">
        <v>46310</v>
      </c>
      <c r="F653" t="inlineStr">
        <is>
          <t>VÄSTERNORRLANDS LÄN</t>
        </is>
      </c>
      <c r="G653" t="inlineStr">
        <is>
          <t>ÅNGE</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44635-2024</t>
        </is>
      </c>
      <c r="B654" t="inlineStr">
        <is>
          <t>avverkningsanmälan</t>
        </is>
      </c>
      <c r="C654" t="inlineStr">
        <is>
          <t>Föryngringsavverkning</t>
        </is>
      </c>
      <c r="D654" s="1" t="n">
        <v>45574</v>
      </c>
      <c r="E654" s="1" t="n">
        <v>46310</v>
      </c>
      <c r="F654" t="inlineStr">
        <is>
          <t>VÄSTERNORRLANDS LÄN</t>
        </is>
      </c>
      <c r="G654" t="inlineStr">
        <is>
          <t>ÅNGE</t>
        </is>
      </c>
      <c r="H654" t="inlineStr">
        <is>
          <t>SCA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53012-2025</t>
        </is>
      </c>
      <c r="B655" t="inlineStr">
        <is>
          <t>avverkningsanmälan</t>
        </is>
      </c>
      <c r="C655" t="inlineStr">
        <is>
          <t>Föryngringsavverkning</t>
        </is>
      </c>
      <c r="D655" s="1" t="n">
        <v>45957</v>
      </c>
      <c r="E655" s="1" t="n">
        <v>46310</v>
      </c>
      <c r="F655" t="inlineStr">
        <is>
          <t>VÄSTERNORRLANDS LÄN</t>
        </is>
      </c>
      <c r="G655" t="inlineStr">
        <is>
          <t>ÅNGE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53013-2025</t>
        </is>
      </c>
      <c r="B656" t="inlineStr">
        <is>
          <t>avverkningsanmälan</t>
        </is>
      </c>
      <c r="C656" t="inlineStr">
        <is>
          <t>Föryngringsavverkning</t>
        </is>
      </c>
      <c r="D656" s="1" t="n">
        <v>45957</v>
      </c>
      <c r="E656" s="1" t="n">
        <v>46310</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12670-2026</t>
        </is>
      </c>
      <c r="B657" t="inlineStr">
        <is>
          <t>avverkningsanmälan</t>
        </is>
      </c>
      <c r="C657" t="inlineStr">
        <is>
          <t>Föryngringsavverkning</t>
        </is>
      </c>
      <c r="D657" s="1" t="n">
        <v>46091</v>
      </c>
      <c r="E657" s="1" t="n">
        <v>46310</v>
      </c>
      <c r="F657" t="inlineStr">
        <is>
          <t>VÄSTERNORRLANDS LÄN</t>
        </is>
      </c>
      <c r="G657" t="inlineStr">
        <is>
          <t>ÅNGE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43066-2022</t>
        </is>
      </c>
      <c r="B658" t="inlineStr">
        <is>
          <t>avverkningsanmälan</t>
        </is>
      </c>
      <c r="C658" t="inlineStr">
        <is>
          <t>Föryngringsavverkning</t>
        </is>
      </c>
      <c r="D658" s="1" t="n">
        <v>44833</v>
      </c>
      <c r="E658" s="1" t="n">
        <v>46310</v>
      </c>
      <c r="F658" t="inlineStr">
        <is>
          <t>VÄSTERNORRLANDS LÄN</t>
        </is>
      </c>
      <c r="G658" t="inlineStr">
        <is>
          <t>ÅNGE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13352-2026</t>
        </is>
      </c>
      <c r="B659" t="inlineStr">
        <is>
          <t>avverkningsanmälan</t>
        </is>
      </c>
      <c r="C659" t="inlineStr">
        <is>
          <t>Föryngringsavverkning</t>
        </is>
      </c>
      <c r="D659" s="1" t="n">
        <v>46094</v>
      </c>
      <c r="E659" s="1" t="n">
        <v>46310</v>
      </c>
      <c r="F659" t="inlineStr">
        <is>
          <t>VÄSTERNORRLANDS LÄN</t>
        </is>
      </c>
      <c r="G659" t="inlineStr">
        <is>
          <t>ÅNGE</t>
        </is>
      </c>
      <c r="H659" t="inlineStr">
        <is>
          <t>SCA</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13080-2026</t>
        </is>
      </c>
      <c r="B660" t="inlineStr">
        <is>
          <t>avverkningsanmälan</t>
        </is>
      </c>
      <c r="C660" t="inlineStr">
        <is>
          <t>Föryngringsavverkning</t>
        </is>
      </c>
      <c r="D660" s="1" t="n">
        <v>46093</v>
      </c>
      <c r="E660" s="1" t="n">
        <v>46310</v>
      </c>
      <c r="F660" t="inlineStr">
        <is>
          <t>VÄSTERNORRLANDS LÄN</t>
        </is>
      </c>
      <c r="G660" t="inlineStr">
        <is>
          <t>ÅNGE</t>
        </is>
      </c>
      <c r="H660" t="inlineStr">
        <is>
          <t>SCA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63530-2023</t>
        </is>
      </c>
      <c r="B661" t="inlineStr">
        <is>
          <t>avverkningsanmälan</t>
        </is>
      </c>
      <c r="C661" t="inlineStr">
        <is>
          <t>Föryngringsavverkning</t>
        </is>
      </c>
      <c r="D661" s="1" t="n">
        <v>45274</v>
      </c>
      <c r="E661" s="1" t="n">
        <v>46310</v>
      </c>
      <c r="F661" t="inlineStr">
        <is>
          <t>VÄSTERNORRLANDS LÄN</t>
        </is>
      </c>
      <c r="G661" t="inlineStr">
        <is>
          <t>ÅNGE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13163-2026</t>
        </is>
      </c>
      <c r="B662" t="inlineStr">
        <is>
          <t>avverkningsanmälan</t>
        </is>
      </c>
      <c r="C662" t="inlineStr">
        <is>
          <t>Föryngringsavverkning</t>
        </is>
      </c>
      <c r="D662" s="1" t="n">
        <v>46093</v>
      </c>
      <c r="E662" s="1" t="n">
        <v>46310</v>
      </c>
      <c r="F662" t="inlineStr">
        <is>
          <t>VÄSTERNORRLANDS LÄN</t>
        </is>
      </c>
      <c r="G662" t="inlineStr">
        <is>
          <t>ÅNGE</t>
        </is>
      </c>
      <c r="H662" t="inlineStr">
        <is>
          <t>SCA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53713-2025</t>
        </is>
      </c>
      <c r="B663" t="inlineStr">
        <is>
          <t>avverkningsanmälan</t>
        </is>
      </c>
      <c r="C663" t="inlineStr">
        <is>
          <t>Föryngringsavverkning</t>
        </is>
      </c>
      <c r="D663" s="1" t="n">
        <v>45960</v>
      </c>
      <c r="E663" s="1" t="n">
        <v>46310</v>
      </c>
      <c r="F663" t="inlineStr">
        <is>
          <t>VÄSTERNORRLANDS LÄN</t>
        </is>
      </c>
      <c r="G663" t="inlineStr">
        <is>
          <t>ÅNGE</t>
        </is>
      </c>
      <c r="H663" t="inlineStr">
        <is>
          <t>SCA</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3249-2024</t>
        </is>
      </c>
      <c r="B664" t="inlineStr">
        <is>
          <t>avverkningsanmälan</t>
        </is>
      </c>
      <c r="C664" t="inlineStr">
        <is>
          <t>Föryngringsavverkning</t>
        </is>
      </c>
      <c r="D664" s="1" t="n">
        <v>45316</v>
      </c>
      <c r="E664" s="1" t="n">
        <v>46310</v>
      </c>
      <c r="F664" t="inlineStr">
        <is>
          <t>VÄSTERNORRLANDS LÄN</t>
        </is>
      </c>
      <c r="G664" t="inlineStr">
        <is>
          <t>ÅNGE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54357-2025</t>
        </is>
      </c>
      <c r="B665" t="inlineStr">
        <is>
          <t>avverkningsanmälan</t>
        </is>
      </c>
      <c r="C665" t="inlineStr">
        <is>
          <t>Föryngringsavverkning</t>
        </is>
      </c>
      <c r="D665" s="1" t="n">
        <v>45965</v>
      </c>
      <c r="E665" s="1" t="n">
        <v>46310</v>
      </c>
      <c r="F665" t="inlineStr">
        <is>
          <t>VÄSTERNORRLANDS LÄN</t>
        </is>
      </c>
      <c r="G665" t="inlineStr">
        <is>
          <t>ÅNGE</t>
        </is>
      </c>
      <c r="H665" t="inlineStr">
        <is>
          <t>SCA</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58275-2022</t>
        </is>
      </c>
      <c r="B666" t="inlineStr">
        <is>
          <t>avverkningsanmälan</t>
        </is>
      </c>
      <c r="C666" t="inlineStr">
        <is>
          <t>Föryngringsavverkning</t>
        </is>
      </c>
      <c r="D666" s="1" t="n">
        <v>44901</v>
      </c>
      <c r="E666" s="1" t="n">
        <v>46310</v>
      </c>
      <c r="F666" t="inlineStr">
        <is>
          <t>VÄSTERNORRLANDS LÄN</t>
        </is>
      </c>
      <c r="G666" t="inlineStr">
        <is>
          <t>ÅNGE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42948-2024</t>
        </is>
      </c>
      <c r="B667" t="inlineStr">
        <is>
          <t>avverkningsanmälan</t>
        </is>
      </c>
      <c r="C667" t="inlineStr">
        <is>
          <t>Föryngringsavverkning</t>
        </is>
      </c>
      <c r="D667" s="1" t="n">
        <v>45567</v>
      </c>
      <c r="E667" s="1" t="n">
        <v>46310</v>
      </c>
      <c r="F667" t="inlineStr">
        <is>
          <t>VÄSTERNORRLANDS LÄN</t>
        </is>
      </c>
      <c r="G667" t="inlineStr">
        <is>
          <t>ÅNGE</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42968-2024</t>
        </is>
      </c>
      <c r="B668" t="inlineStr">
        <is>
          <t>avverkningsanmälan</t>
        </is>
      </c>
      <c r="C668" t="inlineStr">
        <is>
          <t>Avverkning för att bevara och utveckla /försöksver</t>
        </is>
      </c>
      <c r="D668" s="1" t="n">
        <v>45567</v>
      </c>
      <c r="E668" s="1" t="n">
        <v>46310</v>
      </c>
      <c r="F668" t="inlineStr">
        <is>
          <t>VÄSTERNORRLANDS LÄN</t>
        </is>
      </c>
      <c r="G668" t="inlineStr">
        <is>
          <t>ÅNGE</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14024-2026</t>
        </is>
      </c>
      <c r="B669" t="inlineStr">
        <is>
          <t>avverkningsanmälan</t>
        </is>
      </c>
      <c r="C669" t="inlineStr">
        <is>
          <t>Föryngringsavverkning</t>
        </is>
      </c>
      <c r="D669" s="1" t="n">
        <v>46098</v>
      </c>
      <c r="E669" s="1" t="n">
        <v>46310</v>
      </c>
      <c r="F669" t="inlineStr">
        <is>
          <t>VÄSTERNORRLANDS LÄN</t>
        </is>
      </c>
      <c r="G669" t="inlineStr">
        <is>
          <t>ÅNGE</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54197-2025</t>
        </is>
      </c>
      <c r="B670" t="inlineStr">
        <is>
          <t>avverkningsanmälan</t>
        </is>
      </c>
      <c r="C670" t="inlineStr">
        <is>
          <t>Föryngringsavverkning</t>
        </is>
      </c>
      <c r="D670" s="1" t="n">
        <v>45964</v>
      </c>
      <c r="E670" s="1" t="n">
        <v>46310</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13904-2026</t>
        </is>
      </c>
      <c r="B671" t="inlineStr">
        <is>
          <t>avverkningsanmälan</t>
        </is>
      </c>
      <c r="C671" t="inlineStr">
        <is>
          <t>Föryngringsavverkning</t>
        </is>
      </c>
      <c r="D671" s="1" t="n">
        <v>46098</v>
      </c>
      <c r="E671" s="1" t="n">
        <v>46310</v>
      </c>
      <c r="F671" t="inlineStr">
        <is>
          <t>VÄSTERNORRLANDS LÄN</t>
        </is>
      </c>
      <c r="G671" t="inlineStr">
        <is>
          <t>ÅNGE</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13687-2026</t>
        </is>
      </c>
      <c r="B672" t="inlineStr">
        <is>
          <t>avverkningsanmälan</t>
        </is>
      </c>
      <c r="C672" t="inlineStr">
        <is>
          <t>Föryngringsavverkning</t>
        </is>
      </c>
      <c r="D672" s="1" t="n">
        <v>46097</v>
      </c>
      <c r="E672" s="1" t="n">
        <v>46310</v>
      </c>
      <c r="F672" t="inlineStr">
        <is>
          <t>VÄSTERNORRLANDS LÄN</t>
        </is>
      </c>
      <c r="G672" t="inlineStr">
        <is>
          <t>ÅNGE</t>
        </is>
      </c>
      <c r="H672" t="inlineStr">
        <is>
          <t>SCA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14137-2026</t>
        </is>
      </c>
      <c r="B673" t="inlineStr">
        <is>
          <t>avverkningsanmälan</t>
        </is>
      </c>
      <c r="C673" t="inlineStr">
        <is>
          <t>Föryngringsavverkning</t>
        </is>
      </c>
      <c r="D673" s="1" t="n">
        <v>46099</v>
      </c>
      <c r="E673" s="1" t="n">
        <v>46310</v>
      </c>
      <c r="F673" t="inlineStr">
        <is>
          <t>VÄSTERNORRLANDS LÄN</t>
        </is>
      </c>
      <c r="G673" t="inlineStr">
        <is>
          <t>ÅNGE</t>
        </is>
      </c>
      <c r="H673" t="inlineStr">
        <is>
          <t>Holmen skog AB</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14291-2026</t>
        </is>
      </c>
      <c r="B674" t="inlineStr">
        <is>
          <t>avverkningsanmälan</t>
        </is>
      </c>
      <c r="C674" t="inlineStr">
        <is>
          <t>Föryngringsavverkning</t>
        </is>
      </c>
      <c r="D674" s="1" t="n">
        <v>46099</v>
      </c>
      <c r="E674" s="1" t="n">
        <v>46310</v>
      </c>
      <c r="F674" t="inlineStr">
        <is>
          <t>VÄSTERNORRLANDS LÄN</t>
        </is>
      </c>
      <c r="G674" t="inlineStr">
        <is>
          <t>ÅNGE</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54925-2025</t>
        </is>
      </c>
      <c r="B675" t="inlineStr">
        <is>
          <t>avverkningsanmälan</t>
        </is>
      </c>
      <c r="C675" t="inlineStr">
        <is>
          <t>Föryngringsavverkning</t>
        </is>
      </c>
      <c r="D675" s="1" t="n">
        <v>45967</v>
      </c>
      <c r="E675" s="1" t="n">
        <v>46310</v>
      </c>
      <c r="F675" t="inlineStr">
        <is>
          <t>VÄSTERNORRLANDS LÄN</t>
        </is>
      </c>
      <c r="G675" t="inlineStr">
        <is>
          <t>ÅNGE</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54926-2025</t>
        </is>
      </c>
      <c r="B676" t="inlineStr">
        <is>
          <t>avverkningsanmälan</t>
        </is>
      </c>
      <c r="C676" t="inlineStr">
        <is>
          <t>Föryngringsavverkning</t>
        </is>
      </c>
      <c r="D676" s="1" t="n">
        <v>45967</v>
      </c>
      <c r="E676" s="1" t="n">
        <v>46310</v>
      </c>
      <c r="F676" t="inlineStr">
        <is>
          <t>VÄSTERNORRLANDS LÄN</t>
        </is>
      </c>
      <c r="G676" t="inlineStr">
        <is>
          <t>ÅNGE</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54715-2025</t>
        </is>
      </c>
      <c r="B677" t="inlineStr">
        <is>
          <t>avverkningsanmälan</t>
        </is>
      </c>
      <c r="C677" t="inlineStr">
        <is>
          <t>Föryngringsavverkning</t>
        </is>
      </c>
      <c r="D677" s="1" t="n">
        <v>45966</v>
      </c>
      <c r="E677" s="1" t="n">
        <v>46310</v>
      </c>
      <c r="F677" t="inlineStr">
        <is>
          <t>VÄSTERNORRLANDS LÄN</t>
        </is>
      </c>
      <c r="G677" t="inlineStr">
        <is>
          <t>ÅNGE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2299-2025</t>
        </is>
      </c>
      <c r="B678" t="inlineStr">
        <is>
          <t>avverkningsanmälan</t>
        </is>
      </c>
      <c r="C678" t="inlineStr">
        <is>
          <t>Föryngringsavverkning</t>
        </is>
      </c>
      <c r="D678" s="1" t="n">
        <v>45673</v>
      </c>
      <c r="E678" s="1" t="n">
        <v>46310</v>
      </c>
      <c r="F678" t="inlineStr">
        <is>
          <t>VÄSTERNORRLANDS LÄN</t>
        </is>
      </c>
      <c r="G678" t="inlineStr">
        <is>
          <t>ÅNGE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54705-2025</t>
        </is>
      </c>
      <c r="B679" t="inlineStr">
        <is>
          <t>avverkningsanmälan</t>
        </is>
      </c>
      <c r="C679" t="inlineStr">
        <is>
          <t>Föryngringsavverkning</t>
        </is>
      </c>
      <c r="D679" s="1" t="n">
        <v>45966</v>
      </c>
      <c r="E679" s="1" t="n">
        <v>46310</v>
      </c>
      <c r="F679" t="inlineStr">
        <is>
          <t>VÄSTERNORRLANDS LÄN</t>
        </is>
      </c>
      <c r="G679" t="inlineStr">
        <is>
          <t>ÅNGE</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14101-2026</t>
        </is>
      </c>
      <c r="B680" t="inlineStr">
        <is>
          <t>avverkningsanmälan</t>
        </is>
      </c>
      <c r="C680" t="inlineStr">
        <is>
          <t>Föryngringsavverkning</t>
        </is>
      </c>
      <c r="D680" s="1" t="n">
        <v>46099</v>
      </c>
      <c r="E680" s="1" t="n">
        <v>46310</v>
      </c>
      <c r="F680" t="inlineStr">
        <is>
          <t>VÄSTERNORRLANDS LÄN</t>
        </is>
      </c>
      <c r="G680" t="inlineStr">
        <is>
          <t>ÅNGE</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41766-2024</t>
        </is>
      </c>
      <c r="B681" t="inlineStr">
        <is>
          <t>avverkningsanmälan</t>
        </is>
      </c>
      <c r="C681" t="inlineStr">
        <is>
          <t>Föryngringsavverkning</t>
        </is>
      </c>
      <c r="D681" s="1" t="n">
        <v>45561</v>
      </c>
      <c r="E681" s="1" t="n">
        <v>46310</v>
      </c>
      <c r="F681" t="inlineStr">
        <is>
          <t>VÄSTERNORRLANDS LÄN</t>
        </is>
      </c>
      <c r="G681" t="inlineStr">
        <is>
          <t>ÅNGE</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14372-2026</t>
        </is>
      </c>
      <c r="B682" t="inlineStr">
        <is>
          <t>avverkningsanmälan</t>
        </is>
      </c>
      <c r="C682" t="inlineStr">
        <is>
          <t>Föryngringsavverkning</t>
        </is>
      </c>
      <c r="D682" s="1" t="n">
        <v>46100</v>
      </c>
      <c r="E682" s="1" t="n">
        <v>46310</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31457-2024</t>
        </is>
      </c>
      <c r="B683" t="inlineStr">
        <is>
          <t>avverkningsanmälan</t>
        </is>
      </c>
      <c r="C683" t="inlineStr">
        <is>
          <t>Föryngringsavverkning</t>
        </is>
      </c>
      <c r="D683" s="1" t="n">
        <v>45505</v>
      </c>
      <c r="E683" s="1" t="n">
        <v>46310</v>
      </c>
      <c r="F683" t="inlineStr">
        <is>
          <t>VÄSTERNORRLANDS LÄN</t>
        </is>
      </c>
      <c r="G683" t="inlineStr">
        <is>
          <t>ÅNGE</t>
        </is>
      </c>
      <c r="H683" t="inlineStr">
        <is>
          <t>SCA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14506-2026</t>
        </is>
      </c>
      <c r="B684" t="inlineStr">
        <is>
          <t>avverkningsanmälan</t>
        </is>
      </c>
      <c r="C684" t="inlineStr">
        <is>
          <t>Föryngringsavverkning</t>
        </is>
      </c>
      <c r="D684" s="1" t="n">
        <v>46100</v>
      </c>
      <c r="E684" s="1" t="n">
        <v>46310</v>
      </c>
      <c r="F684" t="inlineStr">
        <is>
          <t>VÄSTERNORRLANDS LÄN</t>
        </is>
      </c>
      <c r="G684" t="inlineStr">
        <is>
          <t>ÅNGE</t>
        </is>
      </c>
      <c r="H684" t="inlineStr">
        <is>
          <t>SCA</t>
        </is>
      </c>
      <c r="I684" t="n">
        <v>8.800000000000001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39178-2024</t>
        </is>
      </c>
      <c r="B685" t="inlineStr">
        <is>
          <t>avverkningsanmälan</t>
        </is>
      </c>
      <c r="C685" t="inlineStr">
        <is>
          <t>Föryngringsavverkning</t>
        </is>
      </c>
      <c r="D685" s="1" t="n">
        <v>45548</v>
      </c>
      <c r="E685" s="1" t="n">
        <v>46310</v>
      </c>
      <c r="F685" t="inlineStr">
        <is>
          <t>VÄSTERNORRLANDS LÄN</t>
        </is>
      </c>
      <c r="G685" t="inlineStr">
        <is>
          <t>ÅNGE</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26011-2024</t>
        </is>
      </c>
      <c r="B686" t="inlineStr">
        <is>
          <t>avverkningsanmälan</t>
        </is>
      </c>
      <c r="C686" t="inlineStr">
        <is>
          <t>Föryngringsavverkning</t>
        </is>
      </c>
      <c r="D686" s="1" t="n">
        <v>45467</v>
      </c>
      <c r="E686" s="1" t="n">
        <v>46310</v>
      </c>
      <c r="F686" t="inlineStr">
        <is>
          <t>VÄSTERNORRLANDS LÄN</t>
        </is>
      </c>
      <c r="G686" t="inlineStr">
        <is>
          <t>ÅNGE</t>
        </is>
      </c>
      <c r="H686" t="inlineStr">
        <is>
          <t>SCA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26014-2024</t>
        </is>
      </c>
      <c r="B687" t="inlineStr">
        <is>
          <t>avverkningsanmälan</t>
        </is>
      </c>
      <c r="C687" t="inlineStr">
        <is>
          <t>Föryngringsavverkning</t>
        </is>
      </c>
      <c r="D687" s="1" t="n">
        <v>45467</v>
      </c>
      <c r="E687" s="1" t="n">
        <v>46310</v>
      </c>
      <c r="F687" t="inlineStr">
        <is>
          <t>VÄSTERNORRLANDS LÄN</t>
        </is>
      </c>
      <c r="G687" t="inlineStr">
        <is>
          <t>ÅNGE</t>
        </is>
      </c>
      <c r="H687" t="inlineStr">
        <is>
          <t>SCA</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55816-2025</t>
        </is>
      </c>
      <c r="B688" t="inlineStr">
        <is>
          <t>avverkningsanmälan</t>
        </is>
      </c>
      <c r="C688" t="inlineStr">
        <is>
          <t>Föryngringsavverkning</t>
        </is>
      </c>
      <c r="D688" s="1" t="n">
        <v>45972</v>
      </c>
      <c r="E688" s="1" t="n">
        <v>46310</v>
      </c>
      <c r="F688" t="inlineStr">
        <is>
          <t>VÄSTERNORRLANDS LÄN</t>
        </is>
      </c>
      <c r="G688" t="inlineStr">
        <is>
          <t>ÅNGE</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51383-2022</t>
        </is>
      </c>
      <c r="B689" t="inlineStr">
        <is>
          <t>avverkningsanmälan</t>
        </is>
      </c>
      <c r="C689" t="inlineStr">
        <is>
          <t>Föryngringsavverkning</t>
        </is>
      </c>
      <c r="D689" s="1" t="n">
        <v>44866</v>
      </c>
      <c r="E689" s="1" t="n">
        <v>46310</v>
      </c>
      <c r="F689" t="inlineStr">
        <is>
          <t>VÄSTERNORRLANDS LÄN</t>
        </is>
      </c>
      <c r="G689" t="inlineStr">
        <is>
          <t>ÅNGE</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51393-2022</t>
        </is>
      </c>
      <c r="B690" t="inlineStr">
        <is>
          <t>avverkningsanmälan</t>
        </is>
      </c>
      <c r="C690" t="inlineStr">
        <is>
          <t>Föryngringsavverkning</t>
        </is>
      </c>
      <c r="D690" s="1" t="n">
        <v>44869</v>
      </c>
      <c r="E690" s="1" t="n">
        <v>46310</v>
      </c>
      <c r="F690" t="inlineStr">
        <is>
          <t>VÄSTERNORRLANDS LÄN</t>
        </is>
      </c>
      <c r="G690" t="inlineStr">
        <is>
          <t>ÅNGE</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28779-2023</t>
        </is>
      </c>
      <c r="B691" t="inlineStr">
        <is>
          <t>avverkningsanmälan</t>
        </is>
      </c>
      <c r="C691" t="inlineStr">
        <is>
          <t>Föryngringsavverkning</t>
        </is>
      </c>
      <c r="D691" s="1" t="n">
        <v>45104</v>
      </c>
      <c r="E691" s="1" t="n">
        <v>46310</v>
      </c>
      <c r="F691" t="inlineStr">
        <is>
          <t>VÄSTERNORRLANDS LÄN</t>
        </is>
      </c>
      <c r="G691" t="inlineStr">
        <is>
          <t>ÅNGE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15466-2026</t>
        </is>
      </c>
      <c r="B692" t="inlineStr">
        <is>
          <t>avverkningsanmälan</t>
        </is>
      </c>
      <c r="C692" t="inlineStr">
        <is>
          <t>Föryngringsavverkning</t>
        </is>
      </c>
      <c r="D692" s="1" t="n">
        <v>46106</v>
      </c>
      <c r="E692" s="1" t="n">
        <v>46310</v>
      </c>
      <c r="F692" t="inlineStr">
        <is>
          <t>VÄSTERNORRLANDS LÄN</t>
        </is>
      </c>
      <c r="G692" t="inlineStr">
        <is>
          <t>ÅNGE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15518-2026</t>
        </is>
      </c>
      <c r="B693" t="inlineStr">
        <is>
          <t>avverkningsanmälan</t>
        </is>
      </c>
      <c r="C693" t="inlineStr">
        <is>
          <t>Föryngringsavverkning</t>
        </is>
      </c>
      <c r="D693" s="1" t="n">
        <v>46106</v>
      </c>
      <c r="E693" s="1" t="n">
        <v>46310</v>
      </c>
      <c r="F693" t="inlineStr">
        <is>
          <t>VÄSTERNORRLANDS LÄN</t>
        </is>
      </c>
      <c r="G693" t="inlineStr">
        <is>
          <t>ÅNGE</t>
        </is>
      </c>
      <c r="H693" t="inlineStr">
        <is>
          <t>Holmen skog AB</t>
        </is>
      </c>
      <c r="I693" t="n">
        <v>80.5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56077-2025</t>
        </is>
      </c>
      <c r="B694" t="inlineStr">
        <is>
          <t>avverkningsanmälan</t>
        </is>
      </c>
      <c r="C694" t="inlineStr">
        <is>
          <t>Föryngringsavverkning</t>
        </is>
      </c>
      <c r="D694" s="1" t="n">
        <v>45973</v>
      </c>
      <c r="E694" s="1" t="n">
        <v>46310</v>
      </c>
      <c r="F694" t="inlineStr">
        <is>
          <t>VÄSTERNORRLANDS LÄN</t>
        </is>
      </c>
      <c r="G694" t="inlineStr">
        <is>
          <t>ÅNGE</t>
        </is>
      </c>
      <c r="H694" t="inlineStr">
        <is>
          <t>SCA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2415-2024</t>
        </is>
      </c>
      <c r="B695" t="inlineStr">
        <is>
          <t>avverkningsanmälan</t>
        </is>
      </c>
      <c r="C695" t="inlineStr">
        <is>
          <t>Avverkning för annat ändamål</t>
        </is>
      </c>
      <c r="D695" s="1" t="n">
        <v>45310</v>
      </c>
      <c r="E695" s="1" t="n">
        <v>46310</v>
      </c>
      <c r="F695" t="inlineStr">
        <is>
          <t>VÄSTERNORRLANDS LÄN</t>
        </is>
      </c>
      <c r="G695" t="inlineStr">
        <is>
          <t>ÅNGE</t>
        </is>
      </c>
      <c r="H695" t="inlineStr">
        <is>
          <t>Kyrkan</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26490-2024</t>
        </is>
      </c>
      <c r="B696" t="inlineStr">
        <is>
          <t>avverkningsanmälan</t>
        </is>
      </c>
      <c r="C696" t="inlineStr">
        <is>
          <t>Avverkning för annat ändamål</t>
        </is>
      </c>
      <c r="D696" s="1" t="n">
        <v>45469</v>
      </c>
      <c r="E696" s="1" t="n">
        <v>46310</v>
      </c>
      <c r="F696" t="inlineStr">
        <is>
          <t>VÄSTERNORRLANDS LÄN</t>
        </is>
      </c>
      <c r="G696" t="inlineStr">
        <is>
          <t>ÅNGE</t>
        </is>
      </c>
      <c r="H696" t="inlineStr">
        <is>
          <t>Sveaskog</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47779-2023</t>
        </is>
      </c>
      <c r="B697" t="inlineStr">
        <is>
          <t>avverkningsanmälan</t>
        </is>
      </c>
      <c r="C697" t="inlineStr">
        <is>
          <t>Föryngringsavverkning</t>
        </is>
      </c>
      <c r="D697" s="1" t="n">
        <v>45203</v>
      </c>
      <c r="E697" s="1" t="n">
        <v>46310</v>
      </c>
      <c r="F697" t="inlineStr">
        <is>
          <t>VÄSTERNORRLANDS LÄN</t>
        </is>
      </c>
      <c r="G697" t="inlineStr">
        <is>
          <t>ÅNGE</t>
        </is>
      </c>
      <c r="I697" t="n">
        <v>9.6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28873-2024</t>
        </is>
      </c>
      <c r="B698" t="inlineStr">
        <is>
          <t>avverkningsanmälan</t>
        </is>
      </c>
      <c r="C698" t="inlineStr">
        <is>
          <t>Föryngringsavverkning</t>
        </is>
      </c>
      <c r="D698" s="1" t="n">
        <v>45478</v>
      </c>
      <c r="E698" s="1" t="n">
        <v>46310</v>
      </c>
      <c r="F698" t="inlineStr">
        <is>
          <t>VÄSTERNORRLANDS LÄN</t>
        </is>
      </c>
      <c r="G698" t="inlineStr">
        <is>
          <t>ÅNGE</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27682-2023</t>
        </is>
      </c>
      <c r="B699" t="inlineStr">
        <is>
          <t>avverkningsanmälan</t>
        </is>
      </c>
      <c r="C699" t="inlineStr">
        <is>
          <t>Föryngringsavverkning</t>
        </is>
      </c>
      <c r="D699" s="1" t="n">
        <v>45097</v>
      </c>
      <c r="E699" s="1" t="n">
        <v>46310</v>
      </c>
      <c r="F699" t="inlineStr">
        <is>
          <t>VÄSTERNORRLANDS LÄN</t>
        </is>
      </c>
      <c r="G699" t="inlineStr">
        <is>
          <t>ÅNGE</t>
        </is>
      </c>
      <c r="H699" t="inlineStr">
        <is>
          <t>SCA</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56423-2025</t>
        </is>
      </c>
      <c r="B700" t="inlineStr">
        <is>
          <t>avverkningsanmälan</t>
        </is>
      </c>
      <c r="C700" t="inlineStr">
        <is>
          <t>Föryngringsavverkning</t>
        </is>
      </c>
      <c r="D700" s="1" t="n">
        <v>45975</v>
      </c>
      <c r="E700" s="1" t="n">
        <v>46310</v>
      </c>
      <c r="F700" t="inlineStr">
        <is>
          <t>VÄSTERNORRLANDS LÄN</t>
        </is>
      </c>
      <c r="G700" t="inlineStr">
        <is>
          <t>ÅNGE</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c r="Z700">
        <f>HYPERLINK("https://klasma.github.io/Logging_2260/knärot/A 56423-2025 karta knärot.png", "A 56423-2025")</f>
        <v/>
      </c>
      <c r="AA700">
        <f>HYPERLINK("https://klasma.github.io/Logging_2260/klagomål/A 56423-2025 FSC-klagomål.docx", "A 56423-2025")</f>
        <v/>
      </c>
      <c r="AB700">
        <f>HYPERLINK("https://klasma.github.io/Logging_2260/klagomålsmail/A 56423-2025 FSC-klagomål mail.docx", "A 56423-2025")</f>
        <v/>
      </c>
      <c r="AC700">
        <f>HYPERLINK("https://klasma.github.io/Logging_2260/tillsyn/A 56423-2025 tillsynsbegäran.docx", "A 56423-2025")</f>
        <v/>
      </c>
      <c r="AD700">
        <f>HYPERLINK("https://klasma.github.io/Logging_2260/tillsynsmail/A 56423-2025 tillsynsbegäran mail.docx", "A 56423-2025")</f>
        <v/>
      </c>
    </row>
    <row r="701" ht="15" customHeight="1">
      <c r="A701" t="inlineStr">
        <is>
          <t>A 56699-2023</t>
        </is>
      </c>
      <c r="B701" t="inlineStr">
        <is>
          <t>avverkningsanmälan</t>
        </is>
      </c>
      <c r="C701" t="inlineStr">
        <is>
          <t>Föryngringsavverkning</t>
        </is>
      </c>
      <c r="D701" s="1" t="n">
        <v>45243</v>
      </c>
      <c r="E701" s="1" t="n">
        <v>46310</v>
      </c>
      <c r="F701" t="inlineStr">
        <is>
          <t>VÄSTERNORRLANDS LÄN</t>
        </is>
      </c>
      <c r="G701" t="inlineStr">
        <is>
          <t>ÅNGE</t>
        </is>
      </c>
      <c r="H701" t="inlineStr">
        <is>
          <t>SCA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15938-2026</t>
        </is>
      </c>
      <c r="B702" t="inlineStr">
        <is>
          <t>avverkningsanmälan</t>
        </is>
      </c>
      <c r="C702" t="inlineStr">
        <is>
          <t>Föryngringsavverkning</t>
        </is>
      </c>
      <c r="D702" s="1" t="n">
        <v>46107</v>
      </c>
      <c r="E702" s="1" t="n">
        <v>46310</v>
      </c>
      <c r="F702" t="inlineStr">
        <is>
          <t>VÄSTERNORRLANDS LÄN</t>
        </is>
      </c>
      <c r="G702" t="inlineStr">
        <is>
          <t>ÅNGE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30751-2024</t>
        </is>
      </c>
      <c r="B703" t="inlineStr">
        <is>
          <t>avverkningsanmälan</t>
        </is>
      </c>
      <c r="C703" t="inlineStr">
        <is>
          <t>Föryngringsavverkning</t>
        </is>
      </c>
      <c r="D703" s="1" t="n">
        <v>45496</v>
      </c>
      <c r="E703" s="1" t="n">
        <v>46310</v>
      </c>
      <c r="F703" t="inlineStr">
        <is>
          <t>VÄSTERNORRLANDS LÄN</t>
        </is>
      </c>
      <c r="G703" t="inlineStr">
        <is>
          <t>ÅNGE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61585-2022</t>
        </is>
      </c>
      <c r="B704" t="inlineStr">
        <is>
          <t>avverkningsanmälan</t>
        </is>
      </c>
      <c r="C704" t="inlineStr">
        <is>
          <t>Föryngringsavverkning</t>
        </is>
      </c>
      <c r="D704" s="1" t="n">
        <v>44916</v>
      </c>
      <c r="E704" s="1" t="n">
        <v>46310</v>
      </c>
      <c r="F704" t="inlineStr">
        <is>
          <t>VÄSTERNORRLANDS LÄN</t>
        </is>
      </c>
      <c r="G704" t="inlineStr">
        <is>
          <t>ÅNGE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15967-2026</t>
        </is>
      </c>
      <c r="B705" t="inlineStr">
        <is>
          <t>avverkningsanmälan</t>
        </is>
      </c>
      <c r="C705" t="inlineStr">
        <is>
          <t>Föryngringsavverkning</t>
        </is>
      </c>
      <c r="D705" s="1" t="n">
        <v>46108</v>
      </c>
      <c r="E705" s="1" t="n">
        <v>46310</v>
      </c>
      <c r="F705" t="inlineStr">
        <is>
          <t>VÄSTERNORRLANDS LÄN</t>
        </is>
      </c>
      <c r="G705" t="inlineStr">
        <is>
          <t>ÅNGE</t>
        </is>
      </c>
      <c r="H705" t="inlineStr">
        <is>
          <t>SCA</t>
        </is>
      </c>
      <c r="I705" t="n">
        <v>21.4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57283-2025</t>
        </is>
      </c>
      <c r="B706" t="inlineStr">
        <is>
          <t>avverkningsanmälan</t>
        </is>
      </c>
      <c r="C706" t="inlineStr">
        <is>
          <t>Föryngringsavverkning</t>
        </is>
      </c>
      <c r="D706" s="1" t="n">
        <v>45979</v>
      </c>
      <c r="E706" s="1" t="n">
        <v>46310</v>
      </c>
      <c r="F706" t="inlineStr">
        <is>
          <t>VÄSTERNORRLANDS LÄN</t>
        </is>
      </c>
      <c r="G706" t="inlineStr">
        <is>
          <t>ÅNGE</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57615-2025</t>
        </is>
      </c>
      <c r="B707" t="inlineStr">
        <is>
          <t>avverkningsanmälan</t>
        </is>
      </c>
      <c r="C707" t="inlineStr">
        <is>
          <t>Föryngringsavverkning</t>
        </is>
      </c>
      <c r="D707" s="1" t="n">
        <v>45981</v>
      </c>
      <c r="E707" s="1" t="n">
        <v>46310</v>
      </c>
      <c r="F707" t="inlineStr">
        <is>
          <t>VÄSTERNORRLANDS LÄN</t>
        </is>
      </c>
      <c r="G707" t="inlineStr">
        <is>
          <t>ÅNGE</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58445-2022</t>
        </is>
      </c>
      <c r="B708" t="inlineStr">
        <is>
          <t>avverkningsanmälan</t>
        </is>
      </c>
      <c r="C708" t="inlineStr">
        <is>
          <t>Föryngringsavverkning</t>
        </is>
      </c>
      <c r="D708" s="1" t="n">
        <v>44901</v>
      </c>
      <c r="E708" s="1" t="n">
        <v>46310</v>
      </c>
      <c r="F708" t="inlineStr">
        <is>
          <t>VÄSTERNORRLANDS LÄN</t>
        </is>
      </c>
      <c r="G708" t="inlineStr">
        <is>
          <t>ÅNGE</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16455-2026</t>
        </is>
      </c>
      <c r="B709" t="inlineStr">
        <is>
          <t>avverkningsanmälan</t>
        </is>
      </c>
      <c r="C709" t="inlineStr">
        <is>
          <t>Föryngringsavverkning</t>
        </is>
      </c>
      <c r="D709" s="1" t="n">
        <v>46112</v>
      </c>
      <c r="E709" s="1" t="n">
        <v>46310</v>
      </c>
      <c r="F709" t="inlineStr">
        <is>
          <t>VÄSTERNORRLANDS LÄN</t>
        </is>
      </c>
      <c r="G709" t="inlineStr">
        <is>
          <t>ÅNGE</t>
        </is>
      </c>
      <c r="H709" t="inlineStr">
        <is>
          <t>SCA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57371-2025</t>
        </is>
      </c>
      <c r="B710" t="inlineStr">
        <is>
          <t>avverkningsanmälan</t>
        </is>
      </c>
      <c r="C710" t="inlineStr">
        <is>
          <t>Föryngringsavverkning</t>
        </is>
      </c>
      <c r="D710" s="1" t="n">
        <v>45980</v>
      </c>
      <c r="E710" s="1" t="n">
        <v>46310</v>
      </c>
      <c r="F710" t="inlineStr">
        <is>
          <t>VÄSTERNORRLANDS LÄN</t>
        </is>
      </c>
      <c r="G710" t="inlineStr">
        <is>
          <t>ÅNGE</t>
        </is>
      </c>
      <c r="H710" t="inlineStr">
        <is>
          <t>SCA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69790-2021</t>
        </is>
      </c>
      <c r="B711" t="inlineStr">
        <is>
          <t>avverkningsanmälan</t>
        </is>
      </c>
      <c r="C711" t="inlineStr">
        <is>
          <t>Föryngringsavverkning</t>
        </is>
      </c>
      <c r="D711" s="1" t="n">
        <v>44532</v>
      </c>
      <c r="E711" s="1" t="n">
        <v>46310</v>
      </c>
      <c r="F711" t="inlineStr">
        <is>
          <t>VÄSTERNORRLANDS LÄN</t>
        </is>
      </c>
      <c r="G711" t="inlineStr">
        <is>
          <t>ÅNGE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25680-2023</t>
        </is>
      </c>
      <c r="B712" t="inlineStr">
        <is>
          <t>avverkningsanmälan</t>
        </is>
      </c>
      <c r="C712" t="inlineStr">
        <is>
          <t>Föryngringsavverkning</t>
        </is>
      </c>
      <c r="D712" s="1" t="n">
        <v>45089</v>
      </c>
      <c r="E712" s="1" t="n">
        <v>46310</v>
      </c>
      <c r="F712" t="inlineStr">
        <is>
          <t>VÄSTERNORRLANDS LÄN</t>
        </is>
      </c>
      <c r="G712" t="inlineStr">
        <is>
          <t>ÅNGE</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57457-2025</t>
        </is>
      </c>
      <c r="B713" t="inlineStr">
        <is>
          <t>avverkningsanmälan</t>
        </is>
      </c>
      <c r="C713" t="inlineStr">
        <is>
          <t>Föryngringsavverkning</t>
        </is>
      </c>
      <c r="D713" s="1" t="n">
        <v>45980</v>
      </c>
      <c r="E713" s="1" t="n">
        <v>46310</v>
      </c>
      <c r="F713" t="inlineStr">
        <is>
          <t>VÄSTERNORRLANDS LÄN</t>
        </is>
      </c>
      <c r="G713" t="inlineStr">
        <is>
          <t>ÅNGE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18542-2022</t>
        </is>
      </c>
      <c r="B714" t="inlineStr">
        <is>
          <t>avverkningsanmälan</t>
        </is>
      </c>
      <c r="C714" t="inlineStr">
        <is>
          <t>Avverkning för annat ändamål</t>
        </is>
      </c>
      <c r="D714" s="1" t="n">
        <v>44686</v>
      </c>
      <c r="E714" s="1" t="n">
        <v>46310</v>
      </c>
      <c r="F714" t="inlineStr">
        <is>
          <t>VÄSTERNORRLANDS LÄN</t>
        </is>
      </c>
      <c r="G714" t="inlineStr">
        <is>
          <t>ÅNGE</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17031-2026</t>
        </is>
      </c>
      <c r="B715" t="inlineStr">
        <is>
          <t>avverkningsanmälan</t>
        </is>
      </c>
      <c r="C715" t="inlineStr">
        <is>
          <t>Föryngringsavverkning</t>
        </is>
      </c>
      <c r="D715" s="1" t="n">
        <v>46114</v>
      </c>
      <c r="E715" s="1" t="n">
        <v>46310</v>
      </c>
      <c r="F715" t="inlineStr">
        <is>
          <t>VÄSTERNORRLANDS LÄN</t>
        </is>
      </c>
      <c r="G715" t="inlineStr">
        <is>
          <t>ÅNGE</t>
        </is>
      </c>
      <c r="H715" t="inlineStr">
        <is>
          <t>SCA</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55007-2022</t>
        </is>
      </c>
      <c r="B716" t="inlineStr">
        <is>
          <t>avverkningsanmälan</t>
        </is>
      </c>
      <c r="C716" t="inlineStr">
        <is>
          <t>Avverkning för annat ändamål</t>
        </is>
      </c>
      <c r="D716" s="1" t="n">
        <v>44881</v>
      </c>
      <c r="E716" s="1" t="n">
        <v>46310</v>
      </c>
      <c r="F716" t="inlineStr">
        <is>
          <t>VÄSTERNORRLANDS LÄN</t>
        </is>
      </c>
      <c r="G716" t="inlineStr">
        <is>
          <t>ÅNGE</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63607-2021</t>
        </is>
      </c>
      <c r="B717" t="inlineStr">
        <is>
          <t>avverkningsanmälan</t>
        </is>
      </c>
      <c r="C717" t="inlineStr">
        <is>
          <t>Föryngringsavverkning</t>
        </is>
      </c>
      <c r="D717" s="1" t="n">
        <v>44508</v>
      </c>
      <c r="E717" s="1" t="n">
        <v>46310</v>
      </c>
      <c r="F717" t="inlineStr">
        <is>
          <t>VÄSTERNORRLANDS LÄN</t>
        </is>
      </c>
      <c r="G717" t="inlineStr">
        <is>
          <t>ÅNGE</t>
        </is>
      </c>
      <c r="H717" t="inlineStr">
        <is>
          <t>SCA</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57960-2025</t>
        </is>
      </c>
      <c r="B718" t="inlineStr">
        <is>
          <t>avverkningsanmälan</t>
        </is>
      </c>
      <c r="C718" t="inlineStr">
        <is>
          <t>Avverkning för annat ändamål</t>
        </is>
      </c>
      <c r="D718" s="1" t="n">
        <v>45982</v>
      </c>
      <c r="E718" s="1" t="n">
        <v>46310</v>
      </c>
      <c r="F718" t="inlineStr">
        <is>
          <t>VÄSTERNORRLANDS LÄN</t>
        </is>
      </c>
      <c r="G718" t="inlineStr">
        <is>
          <t>ÅNGE</t>
        </is>
      </c>
      <c r="H718" t="inlineStr">
        <is>
          <t>SCA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16980-2026</t>
        </is>
      </c>
      <c r="B719" t="inlineStr">
        <is>
          <t>avverkningsanmälan</t>
        </is>
      </c>
      <c r="C719" t="inlineStr">
        <is>
          <t>Föryngringsavverkning</t>
        </is>
      </c>
      <c r="D719" s="1" t="n">
        <v>46114</v>
      </c>
      <c r="E719" s="1" t="n">
        <v>46310</v>
      </c>
      <c r="F719" t="inlineStr">
        <is>
          <t>VÄSTERNORRLANDS LÄN</t>
        </is>
      </c>
      <c r="G719" t="inlineStr">
        <is>
          <t>ÅNGE</t>
        </is>
      </c>
      <c r="H719" t="inlineStr">
        <is>
          <t>SCA</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53209-2024</t>
        </is>
      </c>
      <c r="B720" t="inlineStr">
        <is>
          <t>avverkningsanmälan</t>
        </is>
      </c>
      <c r="C720" t="inlineStr">
        <is>
          <t>Föryngringsavverkning</t>
        </is>
      </c>
      <c r="D720" s="1" t="n">
        <v>45612</v>
      </c>
      <c r="E720" s="1" t="n">
        <v>46310</v>
      </c>
      <c r="F720" t="inlineStr">
        <is>
          <t>VÄSTERNORRLANDS LÄN</t>
        </is>
      </c>
      <c r="G720" t="inlineStr">
        <is>
          <t>ÅNGE</t>
        </is>
      </c>
      <c r="H720" t="inlineStr">
        <is>
          <t>SCA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46310</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46310</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30803-2022</t>
        </is>
      </c>
      <c r="B723" t="inlineStr">
        <is>
          <t>avverkningsanmälan</t>
        </is>
      </c>
      <c r="C723" t="inlineStr">
        <is>
          <t>Föryngringsavverkning</t>
        </is>
      </c>
      <c r="D723" s="1" t="n">
        <v>44764</v>
      </c>
      <c r="E723" s="1" t="n">
        <v>46310</v>
      </c>
      <c r="F723" t="inlineStr">
        <is>
          <t>VÄSTERNORRLANDS LÄN</t>
        </is>
      </c>
      <c r="G723" t="inlineStr">
        <is>
          <t>ÅNGE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41222-2024</t>
        </is>
      </c>
      <c r="B724" t="inlineStr">
        <is>
          <t>avverkningsanmälan</t>
        </is>
      </c>
      <c r="C724" t="inlineStr">
        <is>
          <t>Föryngringsavverkning</t>
        </is>
      </c>
      <c r="D724" s="1" t="n">
        <v>45559</v>
      </c>
      <c r="E724" s="1" t="n">
        <v>46310</v>
      </c>
      <c r="F724" t="inlineStr">
        <is>
          <t>VÄSTERNORRLANDS LÄN</t>
        </is>
      </c>
      <c r="G724" t="inlineStr">
        <is>
          <t>ÅNGE</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13706-2023</t>
        </is>
      </c>
      <c r="B725" t="inlineStr">
        <is>
          <t>avverkningsanmälan</t>
        </is>
      </c>
      <c r="C725" t="inlineStr">
        <is>
          <t>Föryngringsavverkning</t>
        </is>
      </c>
      <c r="D725" s="1" t="n">
        <v>45006</v>
      </c>
      <c r="E725" s="1" t="n">
        <v>46310</v>
      </c>
      <c r="F725" t="inlineStr">
        <is>
          <t>VÄSTERNORRLANDS LÄN</t>
        </is>
      </c>
      <c r="G725" t="inlineStr">
        <is>
          <t>ÅNGE</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16793-2026</t>
        </is>
      </c>
      <c r="B726" t="inlineStr">
        <is>
          <t>avverkningsanmälan</t>
        </is>
      </c>
      <c r="C726" t="inlineStr">
        <is>
          <t>Föryngringsavverkning</t>
        </is>
      </c>
      <c r="D726" s="1" t="n">
        <v>46113</v>
      </c>
      <c r="E726" s="1" t="n">
        <v>46310</v>
      </c>
      <c r="F726" t="inlineStr">
        <is>
          <t>VÄSTERNORRLANDS LÄN</t>
        </is>
      </c>
      <c r="G726" t="inlineStr">
        <is>
          <t>ÅNGE</t>
        </is>
      </c>
      <c r="H726" t="inlineStr">
        <is>
          <t>SCA</t>
        </is>
      </c>
      <c r="I726" t="n">
        <v>15.9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57961-2025</t>
        </is>
      </c>
      <c r="B727" t="inlineStr">
        <is>
          <t>avverkningsanmälan</t>
        </is>
      </c>
      <c r="C727" t="inlineStr">
        <is>
          <t>Föryngringsavverkning</t>
        </is>
      </c>
      <c r="D727" s="1" t="n">
        <v>45982</v>
      </c>
      <c r="E727" s="1" t="n">
        <v>46310</v>
      </c>
      <c r="F727" t="inlineStr">
        <is>
          <t>VÄSTERNORRLANDS LÄN</t>
        </is>
      </c>
      <c r="G727" t="inlineStr">
        <is>
          <t>ÅNGE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58240-2025</t>
        </is>
      </c>
      <c r="B728" t="inlineStr">
        <is>
          <t>avverkningsanmälan</t>
        </is>
      </c>
      <c r="C728" t="inlineStr">
        <is>
          <t>Föryngringsavverkning</t>
        </is>
      </c>
      <c r="D728" s="1" t="n">
        <v>45985</v>
      </c>
      <c r="E728" s="1" t="n">
        <v>46310</v>
      </c>
      <c r="F728" t="inlineStr">
        <is>
          <t>VÄSTERNORRLANDS LÄN</t>
        </is>
      </c>
      <c r="G728" t="inlineStr">
        <is>
          <t>ÅNGE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17035-2026</t>
        </is>
      </c>
      <c r="B729" t="inlineStr">
        <is>
          <t>avverkningsanmälan</t>
        </is>
      </c>
      <c r="C729" t="inlineStr">
        <is>
          <t>Föryngringsavverkning</t>
        </is>
      </c>
      <c r="D729" s="1" t="n">
        <v>46114</v>
      </c>
      <c r="E729" s="1" t="n">
        <v>46310</v>
      </c>
      <c r="F729" t="inlineStr">
        <is>
          <t>VÄSTERNORRLANDS LÄN</t>
        </is>
      </c>
      <c r="G729" t="inlineStr">
        <is>
          <t>ÅNGE</t>
        </is>
      </c>
      <c r="H729" t="inlineStr">
        <is>
          <t>SCA</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58268-2025</t>
        </is>
      </c>
      <c r="B730" t="inlineStr">
        <is>
          <t>avverkningsanmälan</t>
        </is>
      </c>
      <c r="C730" t="inlineStr">
        <is>
          <t>Föryngringsavverkning</t>
        </is>
      </c>
      <c r="D730" s="1" t="n">
        <v>45985</v>
      </c>
      <c r="E730" s="1" t="n">
        <v>46310</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57991-2025</t>
        </is>
      </c>
      <c r="B731" t="inlineStr">
        <is>
          <t>avverkningsanmälan</t>
        </is>
      </c>
      <c r="C731" t="inlineStr">
        <is>
          <t>Föryngringsavverkning</t>
        </is>
      </c>
      <c r="D731" s="1" t="n">
        <v>45982</v>
      </c>
      <c r="E731" s="1" t="n">
        <v>46310</v>
      </c>
      <c r="F731" t="inlineStr">
        <is>
          <t>VÄSTERNORRLANDS LÄN</t>
        </is>
      </c>
      <c r="G731" t="inlineStr">
        <is>
          <t>ÅNGE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58048-2025</t>
        </is>
      </c>
      <c r="B732" t="inlineStr">
        <is>
          <t>avverkningsanmälan</t>
        </is>
      </c>
      <c r="C732" t="inlineStr">
        <is>
          <t>Föryngringsavverkning</t>
        </is>
      </c>
      <c r="D732" s="1" t="n">
        <v>45982</v>
      </c>
      <c r="E732" s="1" t="n">
        <v>46310</v>
      </c>
      <c r="F732" t="inlineStr">
        <is>
          <t>VÄSTERNORRLANDS LÄN</t>
        </is>
      </c>
      <c r="G732" t="inlineStr">
        <is>
          <t>ÅNGE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36342-2024</t>
        </is>
      </c>
      <c r="B733" t="inlineStr">
        <is>
          <t>avverkningsanmälan</t>
        </is>
      </c>
      <c r="C733" t="inlineStr">
        <is>
          <t>Avverkning för att bevara och utveckla /försöksver</t>
        </is>
      </c>
      <c r="D733" s="1" t="n">
        <v>45534</v>
      </c>
      <c r="E733" s="1" t="n">
        <v>46310</v>
      </c>
      <c r="F733" t="inlineStr">
        <is>
          <t>VÄSTERNORRLANDS LÄN</t>
        </is>
      </c>
      <c r="G733" t="inlineStr">
        <is>
          <t>ÅNGE</t>
        </is>
      </c>
      <c r="H733" t="inlineStr">
        <is>
          <t>SCA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17504-2026</t>
        </is>
      </c>
      <c r="B734" t="inlineStr">
        <is>
          <t>avverkningsanmälan</t>
        </is>
      </c>
      <c r="C734" t="inlineStr">
        <is>
          <t>Föryngringsavverkning</t>
        </is>
      </c>
      <c r="D734" s="1" t="n">
        <v>46120</v>
      </c>
      <c r="E734" s="1" t="n">
        <v>46310</v>
      </c>
      <c r="F734" t="inlineStr">
        <is>
          <t>VÄSTERNORRLANDS LÄN</t>
        </is>
      </c>
      <c r="G734" t="inlineStr">
        <is>
          <t>ÅNGE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17480-2026</t>
        </is>
      </c>
      <c r="B735" t="inlineStr">
        <is>
          <t>avverkningsanmälan</t>
        </is>
      </c>
      <c r="C735" t="inlineStr">
        <is>
          <t>Föryngringsavverkning</t>
        </is>
      </c>
      <c r="D735" s="1" t="n">
        <v>46120</v>
      </c>
      <c r="E735" s="1" t="n">
        <v>46310</v>
      </c>
      <c r="F735" t="inlineStr">
        <is>
          <t>VÄSTERNORRLANDS LÄN</t>
        </is>
      </c>
      <c r="G735" t="inlineStr">
        <is>
          <t>ÅNGE</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17519-2026</t>
        </is>
      </c>
      <c r="B736" t="inlineStr">
        <is>
          <t>avverkningsanmälan</t>
        </is>
      </c>
      <c r="C736" t="inlineStr">
        <is>
          <t>Föryngringsavverkning</t>
        </is>
      </c>
      <c r="D736" s="1" t="n">
        <v>46120</v>
      </c>
      <c r="E736" s="1" t="n">
        <v>46310</v>
      </c>
      <c r="F736" t="inlineStr">
        <is>
          <t>VÄSTERNORRLANDS LÄN</t>
        </is>
      </c>
      <c r="G736" t="inlineStr">
        <is>
          <t>ÅNGE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58242-2025</t>
        </is>
      </c>
      <c r="B737" t="inlineStr">
        <is>
          <t>avverkningsanmälan</t>
        </is>
      </c>
      <c r="C737" t="inlineStr">
        <is>
          <t>Föryngringsavverkning</t>
        </is>
      </c>
      <c r="D737" s="1" t="n">
        <v>45985</v>
      </c>
      <c r="E737" s="1" t="n">
        <v>46310</v>
      </c>
      <c r="F737" t="inlineStr">
        <is>
          <t>VÄSTERNORRLANDS LÄN</t>
        </is>
      </c>
      <c r="G737" t="inlineStr">
        <is>
          <t>ÅNGE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58639-2025</t>
        </is>
      </c>
      <c r="B738" t="inlineStr">
        <is>
          <t>avverkningsanmälan</t>
        </is>
      </c>
      <c r="C738" t="inlineStr">
        <is>
          <t>Föryngringsavverkning</t>
        </is>
      </c>
      <c r="D738" s="1" t="n">
        <v>45986</v>
      </c>
      <c r="E738" s="1" t="n">
        <v>46310</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17521-2026</t>
        </is>
      </c>
      <c r="B739" t="inlineStr">
        <is>
          <t>avverkningsanmälan</t>
        </is>
      </c>
      <c r="C739" t="inlineStr">
        <is>
          <t>Föryngringsavverkning</t>
        </is>
      </c>
      <c r="D739" s="1" t="n">
        <v>46120</v>
      </c>
      <c r="E739" s="1" t="n">
        <v>46310</v>
      </c>
      <c r="F739" t="inlineStr">
        <is>
          <t>VÄSTERNORRLANDS LÄN</t>
        </is>
      </c>
      <c r="G739" t="inlineStr">
        <is>
          <t>ÅNGE</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17530-2026</t>
        </is>
      </c>
      <c r="B740" t="inlineStr">
        <is>
          <t>avverkningsanmälan</t>
        </is>
      </c>
      <c r="C740" t="inlineStr">
        <is>
          <t>Föryngringsavverkning</t>
        </is>
      </c>
      <c r="D740" s="1" t="n">
        <v>46120</v>
      </c>
      <c r="E740" s="1" t="n">
        <v>46310</v>
      </c>
      <c r="F740" t="inlineStr">
        <is>
          <t>VÄSTERNORRLANDS LÄN</t>
        </is>
      </c>
      <c r="G740" t="inlineStr">
        <is>
          <t>ÅNGE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17437-2026</t>
        </is>
      </c>
      <c r="B741" t="inlineStr">
        <is>
          <t>avverkningsanmälan</t>
        </is>
      </c>
      <c r="C741" t="inlineStr">
        <is>
          <t>Föryngringsavverkning</t>
        </is>
      </c>
      <c r="D741" s="1" t="n">
        <v>46120</v>
      </c>
      <c r="E741" s="1" t="n">
        <v>46310</v>
      </c>
      <c r="F741" t="inlineStr">
        <is>
          <t>VÄSTERNORRLANDS LÄN</t>
        </is>
      </c>
      <c r="G741" t="inlineStr">
        <is>
          <t>ÅNGE</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17505-2026</t>
        </is>
      </c>
      <c r="B742" t="inlineStr">
        <is>
          <t>avverkningsanmälan</t>
        </is>
      </c>
      <c r="C742" t="inlineStr">
        <is>
          <t>Föryngringsavverkning</t>
        </is>
      </c>
      <c r="D742" s="1" t="n">
        <v>46120</v>
      </c>
      <c r="E742" s="1" t="n">
        <v>46310</v>
      </c>
      <c r="F742" t="inlineStr">
        <is>
          <t>VÄSTERNORRLANDS LÄN</t>
        </is>
      </c>
      <c r="G742" t="inlineStr">
        <is>
          <t>ÅNGE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17370-2026</t>
        </is>
      </c>
      <c r="B743" t="inlineStr">
        <is>
          <t>avverkningsanmälan</t>
        </is>
      </c>
      <c r="C743" t="inlineStr">
        <is>
          <t>Föryngringsavverkning</t>
        </is>
      </c>
      <c r="D743" s="1" t="n">
        <v>46119</v>
      </c>
      <c r="E743" s="1" t="n">
        <v>46310</v>
      </c>
      <c r="F743" t="inlineStr">
        <is>
          <t>VÄSTERNORRLANDS LÄN</t>
        </is>
      </c>
      <c r="G743" t="inlineStr">
        <is>
          <t>ÅNGE</t>
        </is>
      </c>
      <c r="H743" t="inlineStr">
        <is>
          <t>SCA</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17509-2026</t>
        </is>
      </c>
      <c r="B744" t="inlineStr">
        <is>
          <t>avverkningsanmälan</t>
        </is>
      </c>
      <c r="C744" t="inlineStr">
        <is>
          <t>Föryngringsavverkning</t>
        </is>
      </c>
      <c r="D744" s="1" t="n">
        <v>46120</v>
      </c>
      <c r="E744" s="1" t="n">
        <v>46310</v>
      </c>
      <c r="F744" t="inlineStr">
        <is>
          <t>VÄSTERNORRLANDS LÄN</t>
        </is>
      </c>
      <c r="G744" t="inlineStr">
        <is>
          <t>ÅNGE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58585-2025</t>
        </is>
      </c>
      <c r="B745" t="inlineStr">
        <is>
          <t>avverkningsanmälan</t>
        </is>
      </c>
      <c r="C745" t="inlineStr">
        <is>
          <t>Föryngringsavverkning</t>
        </is>
      </c>
      <c r="D745" s="1" t="n">
        <v>45986</v>
      </c>
      <c r="E745" s="1" t="n">
        <v>46310</v>
      </c>
      <c r="F745" t="inlineStr">
        <is>
          <t>VÄSTERNORRLANDS LÄN</t>
        </is>
      </c>
      <c r="G745" t="inlineStr">
        <is>
          <t>ÅNGE</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58599-2025</t>
        </is>
      </c>
      <c r="B746" t="inlineStr">
        <is>
          <t>avverkningsanmälan</t>
        </is>
      </c>
      <c r="C746" t="inlineStr">
        <is>
          <t>Föryngringsavverkning</t>
        </is>
      </c>
      <c r="D746" s="1" t="n">
        <v>45986</v>
      </c>
      <c r="E746" s="1" t="n">
        <v>46310</v>
      </c>
      <c r="F746" t="inlineStr">
        <is>
          <t>VÄSTERNORRLANDS LÄN</t>
        </is>
      </c>
      <c r="G746" t="inlineStr">
        <is>
          <t>ÅNGE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58890-2025</t>
        </is>
      </c>
      <c r="B747" t="inlineStr">
        <is>
          <t>avverkningsanmälan</t>
        </is>
      </c>
      <c r="C747" t="inlineStr">
        <is>
          <t>Föryngringsavverkning</t>
        </is>
      </c>
      <c r="D747" s="1" t="n">
        <v>45987</v>
      </c>
      <c r="E747" s="1" t="n">
        <v>46310</v>
      </c>
      <c r="F747" t="inlineStr">
        <is>
          <t>VÄSTERNORRLANDS LÄN</t>
        </is>
      </c>
      <c r="G747" t="inlineStr">
        <is>
          <t>ÅNGE</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17570-2026</t>
        </is>
      </c>
      <c r="B748" t="inlineStr">
        <is>
          <t>avverkningsanmälan</t>
        </is>
      </c>
      <c r="C748" t="inlineStr">
        <is>
          <t>Föryngringsavverkning</t>
        </is>
      </c>
      <c r="D748" s="1" t="n">
        <v>46121</v>
      </c>
      <c r="E748" s="1" t="n">
        <v>46310</v>
      </c>
      <c r="F748" t="inlineStr">
        <is>
          <t>VÄSTERNORRLANDS LÄN</t>
        </is>
      </c>
      <c r="G748" t="inlineStr">
        <is>
          <t>ÅNGE</t>
        </is>
      </c>
      <c r="H748" t="inlineStr">
        <is>
          <t>SCA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58823-2025</t>
        </is>
      </c>
      <c r="B749" t="inlineStr">
        <is>
          <t>avverkningsanmälan</t>
        </is>
      </c>
      <c r="C749" t="inlineStr">
        <is>
          <t>Föryngringsavverkning</t>
        </is>
      </c>
      <c r="D749" s="1" t="n">
        <v>45987</v>
      </c>
      <c r="E749" s="1" t="n">
        <v>46310</v>
      </c>
      <c r="F749" t="inlineStr">
        <is>
          <t>VÄSTERNORRLANDS LÄN</t>
        </is>
      </c>
      <c r="G749" t="inlineStr">
        <is>
          <t>ÅNGE</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58536-2025</t>
        </is>
      </c>
      <c r="B750" t="inlineStr">
        <is>
          <t>avverkningsanmälan</t>
        </is>
      </c>
      <c r="C750" t="inlineStr">
        <is>
          <t>Föryngringsavverkning</t>
        </is>
      </c>
      <c r="D750" s="1" t="n">
        <v>45985</v>
      </c>
      <c r="E750" s="1" t="n">
        <v>46310</v>
      </c>
      <c r="F750" t="inlineStr">
        <is>
          <t>VÄSTERNORRLANDS LÄN</t>
        </is>
      </c>
      <c r="G750" t="inlineStr">
        <is>
          <t>ÅNGE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17922-2026</t>
        </is>
      </c>
      <c r="B751" t="inlineStr">
        <is>
          <t>avverkningsanmälan</t>
        </is>
      </c>
      <c r="C751" t="inlineStr">
        <is>
          <t>Föryngringsavverkning</t>
        </is>
      </c>
      <c r="D751" s="1" t="n">
        <v>46122</v>
      </c>
      <c r="E751" s="1" t="n">
        <v>46310</v>
      </c>
      <c r="F751" t="inlineStr">
        <is>
          <t>VÄSTERNORRLANDS LÄN</t>
        </is>
      </c>
      <c r="G751" t="inlineStr">
        <is>
          <t>ÅNGE</t>
        </is>
      </c>
      <c r="H751" t="inlineStr">
        <is>
          <t>Sveaskog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59062-2025</t>
        </is>
      </c>
      <c r="B752" t="inlineStr">
        <is>
          <t>avverkningsanmälan</t>
        </is>
      </c>
      <c r="C752" t="inlineStr">
        <is>
          <t>Föryngringsavverkning</t>
        </is>
      </c>
      <c r="D752" s="1" t="n">
        <v>45988</v>
      </c>
      <c r="E752" s="1" t="n">
        <v>46310</v>
      </c>
      <c r="F752" t="inlineStr">
        <is>
          <t>VÄSTERNORRLANDS LÄN</t>
        </is>
      </c>
      <c r="G752" t="inlineStr">
        <is>
          <t>ÅNGE</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59064-2025</t>
        </is>
      </c>
      <c r="B753" t="inlineStr">
        <is>
          <t>avverkningsanmälan</t>
        </is>
      </c>
      <c r="C753" t="inlineStr">
        <is>
          <t>Föryngringsavverkning</t>
        </is>
      </c>
      <c r="D753" s="1" t="n">
        <v>45988</v>
      </c>
      <c r="E753" s="1" t="n">
        <v>46310</v>
      </c>
      <c r="F753" t="inlineStr">
        <is>
          <t>VÄSTERNORRLANDS LÄN</t>
        </is>
      </c>
      <c r="G753" t="inlineStr">
        <is>
          <t>ÅNGE</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59065-2025</t>
        </is>
      </c>
      <c r="B754" t="inlineStr">
        <is>
          <t>avverkningsanmälan</t>
        </is>
      </c>
      <c r="C754" t="inlineStr">
        <is>
          <t>Föryngringsavverkning</t>
        </is>
      </c>
      <c r="D754" s="1" t="n">
        <v>45988</v>
      </c>
      <c r="E754" s="1" t="n">
        <v>46310</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17917-2026</t>
        </is>
      </c>
      <c r="B755" t="inlineStr">
        <is>
          <t>avverkningsanmälan</t>
        </is>
      </c>
      <c r="C755" t="inlineStr">
        <is>
          <t>Föryngringsavverkning</t>
        </is>
      </c>
      <c r="D755" s="1" t="n">
        <v>46122</v>
      </c>
      <c r="E755" s="1" t="n">
        <v>46310</v>
      </c>
      <c r="F755" t="inlineStr">
        <is>
          <t>VÄSTERNORRLANDS LÄN</t>
        </is>
      </c>
      <c r="G755" t="inlineStr">
        <is>
          <t>ÅNGE</t>
        </is>
      </c>
      <c r="H755" t="inlineStr">
        <is>
          <t>Sveaskog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59063-2025</t>
        </is>
      </c>
      <c r="B756" t="inlineStr">
        <is>
          <t>avverkningsanmälan</t>
        </is>
      </c>
      <c r="C756" t="inlineStr">
        <is>
          <t>Föryngringsavverkning</t>
        </is>
      </c>
      <c r="D756" s="1" t="n">
        <v>45988</v>
      </c>
      <c r="E756" s="1" t="n">
        <v>46310</v>
      </c>
      <c r="F756" t="inlineStr">
        <is>
          <t>VÄSTERNORRLANDS LÄN</t>
        </is>
      </c>
      <c r="G756" t="inlineStr">
        <is>
          <t>ÅNGE</t>
        </is>
      </c>
      <c r="H756" t="inlineStr">
        <is>
          <t>SCA</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59023-2025</t>
        </is>
      </c>
      <c r="B757" t="inlineStr">
        <is>
          <t>avverkningsanmälan</t>
        </is>
      </c>
      <c r="C757" t="inlineStr">
        <is>
          <t>Föryngringsavverkning</t>
        </is>
      </c>
      <c r="D757" s="1" t="n">
        <v>45988</v>
      </c>
      <c r="E757" s="1" t="n">
        <v>46310</v>
      </c>
      <c r="F757" t="inlineStr">
        <is>
          <t>VÄSTERNORRLANDS LÄN</t>
        </is>
      </c>
      <c r="G757" t="inlineStr">
        <is>
          <t>ÅNGE</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59259-2025</t>
        </is>
      </c>
      <c r="B758" t="inlineStr">
        <is>
          <t>avverkningsanmälan</t>
        </is>
      </c>
      <c r="C758" t="inlineStr">
        <is>
          <t>Avverkning för att bevara och utveckla /försöksver</t>
        </is>
      </c>
      <c r="D758" s="1" t="n">
        <v>45988</v>
      </c>
      <c r="E758" s="1" t="n">
        <v>46310</v>
      </c>
      <c r="F758" t="inlineStr">
        <is>
          <t>VÄSTERNORRLANDS LÄN</t>
        </is>
      </c>
      <c r="G758" t="inlineStr">
        <is>
          <t>ÅNGE</t>
        </is>
      </c>
      <c r="H758" t="inlineStr">
        <is>
          <t>Sveaskog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59319-2025</t>
        </is>
      </c>
      <c r="B759" t="inlineStr">
        <is>
          <t>avverkningsanmälan</t>
        </is>
      </c>
      <c r="C759" t="inlineStr">
        <is>
          <t>Avverkning för att bevara och utveckla /försöksver</t>
        </is>
      </c>
      <c r="D759" s="1" t="n">
        <v>45989</v>
      </c>
      <c r="E759" s="1" t="n">
        <v>46310</v>
      </c>
      <c r="F759" t="inlineStr">
        <is>
          <t>VÄSTERNORRLANDS LÄN</t>
        </is>
      </c>
      <c r="G759" t="inlineStr">
        <is>
          <t>ÅNGE</t>
        </is>
      </c>
      <c r="H759" t="inlineStr">
        <is>
          <t>Sveaskog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59331-2025</t>
        </is>
      </c>
      <c r="B760" t="inlineStr">
        <is>
          <t>avverkningsanmälan</t>
        </is>
      </c>
      <c r="C760" t="inlineStr">
        <is>
          <t>Föryngringsavverkning</t>
        </is>
      </c>
      <c r="D760" s="1" t="n">
        <v>45989</v>
      </c>
      <c r="E760" s="1" t="n">
        <v>46310</v>
      </c>
      <c r="F760" t="inlineStr">
        <is>
          <t>VÄSTERNORRLANDS LÄN</t>
        </is>
      </c>
      <c r="G760" t="inlineStr">
        <is>
          <t>ÅNGE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41781-2024</t>
        </is>
      </c>
      <c r="B761" t="inlineStr">
        <is>
          <t>avverkningsanmälan</t>
        </is>
      </c>
      <c r="C761" t="inlineStr">
        <is>
          <t>Avverkning för att bevara och utveckla /försöksver</t>
        </is>
      </c>
      <c r="D761" s="1" t="n">
        <v>45561</v>
      </c>
      <c r="E761" s="1" t="n">
        <v>46310</v>
      </c>
      <c r="F761" t="inlineStr">
        <is>
          <t>VÄSTERNORRLANDS LÄN</t>
        </is>
      </c>
      <c r="G761" t="inlineStr">
        <is>
          <t>ÅNGE</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59022-2025</t>
        </is>
      </c>
      <c r="B762" t="inlineStr">
        <is>
          <t>avverkningsanmälan</t>
        </is>
      </c>
      <c r="C762" t="inlineStr">
        <is>
          <t>Föryngringsavverkning</t>
        </is>
      </c>
      <c r="D762" s="1" t="n">
        <v>45988</v>
      </c>
      <c r="E762" s="1" t="n">
        <v>46310</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18390-2026</t>
        </is>
      </c>
      <c r="B763" t="inlineStr">
        <is>
          <t>avverkningsanmälan</t>
        </is>
      </c>
      <c r="C763" t="inlineStr">
        <is>
          <t>Föryngringsavverkning</t>
        </is>
      </c>
      <c r="D763" s="1" t="n">
        <v>46126</v>
      </c>
      <c r="E763" s="1" t="n">
        <v>46310</v>
      </c>
      <c r="F763" t="inlineStr">
        <is>
          <t>VÄSTERNORRLANDS LÄN</t>
        </is>
      </c>
      <c r="G763" t="inlineStr">
        <is>
          <t>ÅNGE</t>
        </is>
      </c>
      <c r="H763" t="inlineStr">
        <is>
          <t>SCA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59815-2025</t>
        </is>
      </c>
      <c r="B764" t="inlineStr">
        <is>
          <t>avverkningsanmälan</t>
        </is>
      </c>
      <c r="C764" t="inlineStr">
        <is>
          <t>Föryngringsavverkning</t>
        </is>
      </c>
      <c r="D764" s="1" t="n">
        <v>45992</v>
      </c>
      <c r="E764" s="1" t="n">
        <v>46310</v>
      </c>
      <c r="F764" t="inlineStr">
        <is>
          <t>VÄSTERNORRLANDS LÄN</t>
        </is>
      </c>
      <c r="G764" t="inlineStr">
        <is>
          <t>ÅNGE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60079-2025</t>
        </is>
      </c>
      <c r="B765" t="inlineStr">
        <is>
          <t>avverkningsanmälan</t>
        </is>
      </c>
      <c r="C765" t="inlineStr">
        <is>
          <t>Föryngringsavverkning</t>
        </is>
      </c>
      <c r="D765" s="1" t="n">
        <v>45993</v>
      </c>
      <c r="E765" s="1" t="n">
        <v>46310</v>
      </c>
      <c r="F765" t="inlineStr">
        <is>
          <t>VÄSTERNORRLANDS LÄN</t>
        </is>
      </c>
      <c r="G765" t="inlineStr">
        <is>
          <t>ÅNGE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18144-2026</t>
        </is>
      </c>
      <c r="B766" t="inlineStr">
        <is>
          <t>avverkningsanmälan</t>
        </is>
      </c>
      <c r="C766" t="inlineStr">
        <is>
          <t>Föryngringsavverkning</t>
        </is>
      </c>
      <c r="D766" s="1" t="n">
        <v>46125</v>
      </c>
      <c r="E766" s="1" t="n">
        <v>46310</v>
      </c>
      <c r="F766" t="inlineStr">
        <is>
          <t>VÄSTERNORRLANDS LÄN</t>
        </is>
      </c>
      <c r="G766" t="inlineStr">
        <is>
          <t>ÅNGE</t>
        </is>
      </c>
      <c r="H766" t="inlineStr">
        <is>
          <t>SCA</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18212-2026</t>
        </is>
      </c>
      <c r="B767" t="inlineStr">
        <is>
          <t>avverkningsanmälan</t>
        </is>
      </c>
      <c r="C767" t="inlineStr">
        <is>
          <t>Föryngringsavverkning</t>
        </is>
      </c>
      <c r="D767" s="1" t="n">
        <v>46126</v>
      </c>
      <c r="E767" s="1" t="n">
        <v>46310</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34750-2023</t>
        </is>
      </c>
      <c r="B768" t="inlineStr">
        <is>
          <t>avverkningsanmälan</t>
        </is>
      </c>
      <c r="C768" t="inlineStr">
        <is>
          <t>Föryngringsavverkning</t>
        </is>
      </c>
      <c r="D768" s="1" t="n">
        <v>45139</v>
      </c>
      <c r="E768" s="1" t="n">
        <v>46310</v>
      </c>
      <c r="F768" t="inlineStr">
        <is>
          <t>VÄSTERNORRLANDS LÄN</t>
        </is>
      </c>
      <c r="G768" t="inlineStr">
        <is>
          <t>ÅNGE</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60061-2025</t>
        </is>
      </c>
      <c r="B769" t="inlineStr">
        <is>
          <t>avverkningsanmälan</t>
        </is>
      </c>
      <c r="C769" t="inlineStr">
        <is>
          <t>Föryngringsavverkning</t>
        </is>
      </c>
      <c r="D769" s="1" t="n">
        <v>45993</v>
      </c>
      <c r="E769" s="1" t="n">
        <v>46310</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18647-2026</t>
        </is>
      </c>
      <c r="B770" t="inlineStr">
        <is>
          <t>avverkningsanmälan</t>
        </is>
      </c>
      <c r="C770" t="inlineStr">
        <is>
          <t>Föryngringsavverkning</t>
        </is>
      </c>
      <c r="D770" s="1" t="n">
        <v>46128</v>
      </c>
      <c r="E770" s="1" t="n">
        <v>46310</v>
      </c>
      <c r="F770" t="inlineStr">
        <is>
          <t>VÄSTERNORRLANDS LÄN</t>
        </is>
      </c>
      <c r="G770" t="inlineStr">
        <is>
          <t>ÅNGE</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18975-2026</t>
        </is>
      </c>
      <c r="B771" t="inlineStr">
        <is>
          <t>avverkningsanmälan</t>
        </is>
      </c>
      <c r="C771" t="inlineStr">
        <is>
          <t>Föryngringsavverkning</t>
        </is>
      </c>
      <c r="D771" s="1" t="n">
        <v>46129</v>
      </c>
      <c r="E771" s="1" t="n">
        <v>46310</v>
      </c>
      <c r="F771" t="inlineStr">
        <is>
          <t>VÄSTERNORRLANDS LÄN</t>
        </is>
      </c>
      <c r="G771" t="inlineStr">
        <is>
          <t>ÅNGE</t>
        </is>
      </c>
      <c r="H771" t="inlineStr">
        <is>
          <t>SCA</t>
        </is>
      </c>
      <c r="I771" t="n">
        <v>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60119-2025</t>
        </is>
      </c>
      <c r="B772" t="inlineStr">
        <is>
          <t>avverkningsanmälan</t>
        </is>
      </c>
      <c r="C772" t="inlineStr">
        <is>
          <t>Föryngringsavverkning</t>
        </is>
      </c>
      <c r="D772" s="1" t="n">
        <v>45994</v>
      </c>
      <c r="E772" s="1" t="n">
        <v>46310</v>
      </c>
      <c r="F772" t="inlineStr">
        <is>
          <t>VÄSTERNORRLANDS LÄN</t>
        </is>
      </c>
      <c r="G772" t="inlineStr">
        <is>
          <t>ÅNGE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60342-2025</t>
        </is>
      </c>
      <c r="B773" t="inlineStr">
        <is>
          <t>avverkningsanmälan</t>
        </is>
      </c>
      <c r="C773" t="inlineStr">
        <is>
          <t>Föryngringsavverkning</t>
        </is>
      </c>
      <c r="D773" s="1" t="n">
        <v>45994</v>
      </c>
      <c r="E773" s="1" t="n">
        <v>46310</v>
      </c>
      <c r="F773" t="inlineStr">
        <is>
          <t>VÄSTERNORRLANDS LÄN</t>
        </is>
      </c>
      <c r="G773" t="inlineStr">
        <is>
          <t>ÅNGE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60124-2025</t>
        </is>
      </c>
      <c r="B774" t="inlineStr">
        <is>
          <t>avverkningsanmälan</t>
        </is>
      </c>
      <c r="C774" t="inlineStr">
        <is>
          <t>Föryngringsavverkning</t>
        </is>
      </c>
      <c r="D774" s="1" t="n">
        <v>45994</v>
      </c>
      <c r="E774" s="1" t="n">
        <v>46310</v>
      </c>
      <c r="F774" t="inlineStr">
        <is>
          <t>VÄSTERNORRLANDS LÄN</t>
        </is>
      </c>
      <c r="G774" t="inlineStr">
        <is>
          <t>ÅNGE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18573-2026</t>
        </is>
      </c>
      <c r="B775" t="inlineStr">
        <is>
          <t>avverkningsanmälan</t>
        </is>
      </c>
      <c r="C775" t="inlineStr">
        <is>
          <t>Föryngringsavverkning</t>
        </is>
      </c>
      <c r="D775" s="1" t="n">
        <v>46127</v>
      </c>
      <c r="E775" s="1" t="n">
        <v>46310</v>
      </c>
      <c r="F775" t="inlineStr">
        <is>
          <t>VÄSTERNORRLANDS LÄN</t>
        </is>
      </c>
      <c r="G775" t="inlineStr">
        <is>
          <t>ÅNGE</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60520-2025</t>
        </is>
      </c>
      <c r="B776" t="inlineStr">
        <is>
          <t>avverkningsanmälan</t>
        </is>
      </c>
      <c r="C776" t="inlineStr">
        <is>
          <t>Avverkning för annat ändamål</t>
        </is>
      </c>
      <c r="D776" s="1" t="n">
        <v>45995</v>
      </c>
      <c r="E776" s="1" t="n">
        <v>46310</v>
      </c>
      <c r="F776" t="inlineStr">
        <is>
          <t>VÄSTERNORRLANDS LÄN</t>
        </is>
      </c>
      <c r="G776" t="inlineStr">
        <is>
          <t>ÅNGE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10282-2025</t>
        </is>
      </c>
      <c r="B777" t="inlineStr">
        <is>
          <t>avverkningsanmälan</t>
        </is>
      </c>
      <c r="C777" t="inlineStr">
        <is>
          <t>Föryngringsavverkning</t>
        </is>
      </c>
      <c r="D777" s="1" t="n">
        <v>45720</v>
      </c>
      <c r="E777" s="1" t="n">
        <v>46310</v>
      </c>
      <c r="F777" t="inlineStr">
        <is>
          <t>VÄSTERNORRLANDS LÄN</t>
        </is>
      </c>
      <c r="G777" t="inlineStr">
        <is>
          <t>ÅNGE</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60403-2025</t>
        </is>
      </c>
      <c r="B778" t="inlineStr">
        <is>
          <t>avverkningsanmälan</t>
        </is>
      </c>
      <c r="C778" t="inlineStr">
        <is>
          <t>Föryngringsavverkning</t>
        </is>
      </c>
      <c r="D778" s="1" t="n">
        <v>45995</v>
      </c>
      <c r="E778" s="1" t="n">
        <v>46310</v>
      </c>
      <c r="F778" t="inlineStr">
        <is>
          <t>VÄSTERNORRLANDS LÄN</t>
        </is>
      </c>
      <c r="G778" t="inlineStr">
        <is>
          <t>ÅNGE</t>
        </is>
      </c>
      <c r="H778" t="inlineStr">
        <is>
          <t>SCA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60604-2025</t>
        </is>
      </c>
      <c r="B779" t="inlineStr">
        <is>
          <t>avverkningsanmälan</t>
        </is>
      </c>
      <c r="C779" t="inlineStr">
        <is>
          <t>Föryngringsavverkning</t>
        </is>
      </c>
      <c r="D779" s="1" t="n">
        <v>45995</v>
      </c>
      <c r="E779" s="1" t="n">
        <v>46310</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60422-2025</t>
        </is>
      </c>
      <c r="B780" t="inlineStr">
        <is>
          <t>avverkningsanmälan</t>
        </is>
      </c>
      <c r="C780" t="inlineStr">
        <is>
          <t>Föryngringsavverkning</t>
        </is>
      </c>
      <c r="D780" s="1" t="n">
        <v>45995</v>
      </c>
      <c r="E780" s="1" t="n">
        <v>46310</v>
      </c>
      <c r="F780" t="inlineStr">
        <is>
          <t>VÄSTERNORRLANDS LÄN</t>
        </is>
      </c>
      <c r="G780" t="inlineStr">
        <is>
          <t>ÅNGE</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60402-2025</t>
        </is>
      </c>
      <c r="B781" t="inlineStr">
        <is>
          <t>avverkningsanmälan</t>
        </is>
      </c>
      <c r="C781" t="inlineStr">
        <is>
          <t>Föryngringsavverkning</t>
        </is>
      </c>
      <c r="D781" s="1" t="n">
        <v>45995</v>
      </c>
      <c r="E781" s="1" t="n">
        <v>46310</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60599-2025</t>
        </is>
      </c>
      <c r="B782" t="inlineStr">
        <is>
          <t>avverkningsanmälan</t>
        </is>
      </c>
      <c r="C782" t="inlineStr">
        <is>
          <t>Föryngringsavverkning</t>
        </is>
      </c>
      <c r="D782" s="1" t="n">
        <v>45994</v>
      </c>
      <c r="E782" s="1" t="n">
        <v>46310</v>
      </c>
      <c r="F782" t="inlineStr">
        <is>
          <t>VÄSTERNORRLANDS LÄN</t>
        </is>
      </c>
      <c r="G782" t="inlineStr">
        <is>
          <t>ÅNGE</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60296-2025</t>
        </is>
      </c>
      <c r="B783" t="inlineStr">
        <is>
          <t>avverkningsanmälan</t>
        </is>
      </c>
      <c r="C783" t="inlineStr">
        <is>
          <t>Föryngringsavverkning</t>
        </is>
      </c>
      <c r="D783" s="1" t="n">
        <v>45994</v>
      </c>
      <c r="E783" s="1" t="n">
        <v>46310</v>
      </c>
      <c r="F783" t="inlineStr">
        <is>
          <t>VÄSTERNORRLANDS LÄN</t>
        </is>
      </c>
      <c r="G783" t="inlineStr">
        <is>
          <t>ÅNGE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18551-2026</t>
        </is>
      </c>
      <c r="B784" t="inlineStr">
        <is>
          <t>avverkningsanmälan</t>
        </is>
      </c>
      <c r="C784" t="inlineStr">
        <is>
          <t>Föryngringsavverkning</t>
        </is>
      </c>
      <c r="D784" s="1" t="n">
        <v>46127</v>
      </c>
      <c r="E784" s="1" t="n">
        <v>46310</v>
      </c>
      <c r="F784" t="inlineStr">
        <is>
          <t>VÄSTERNORRLANDS LÄN</t>
        </is>
      </c>
      <c r="G784" t="inlineStr">
        <is>
          <t>ÅNGE</t>
        </is>
      </c>
      <c r="H784" t="inlineStr">
        <is>
          <t>SCA</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18852-2026</t>
        </is>
      </c>
      <c r="B785" t="inlineStr">
        <is>
          <t>avverkningsanmälan</t>
        </is>
      </c>
      <c r="C785" t="inlineStr">
        <is>
          <t>Föryngringsavverkning</t>
        </is>
      </c>
      <c r="D785" s="1" t="n">
        <v>46129</v>
      </c>
      <c r="E785" s="1" t="n">
        <v>46310</v>
      </c>
      <c r="F785" t="inlineStr">
        <is>
          <t>VÄSTERNORRLANDS LÄN</t>
        </is>
      </c>
      <c r="G785" t="inlineStr">
        <is>
          <t>ÅNGE</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51055-2023</t>
        </is>
      </c>
      <c r="B786" t="inlineStr">
        <is>
          <t>avverkningsanmälan</t>
        </is>
      </c>
      <c r="C786" t="inlineStr">
        <is>
          <t>Föryngringsavverkning</t>
        </is>
      </c>
      <c r="D786" s="1" t="n">
        <v>45218</v>
      </c>
      <c r="E786" s="1" t="n">
        <v>46310</v>
      </c>
      <c r="F786" t="inlineStr">
        <is>
          <t>VÄSTERNORRLANDS LÄN</t>
        </is>
      </c>
      <c r="G786" t="inlineStr">
        <is>
          <t>ÅNGE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5455-2023</t>
        </is>
      </c>
      <c r="B787" t="inlineStr">
        <is>
          <t>avverkningsanmälan</t>
        </is>
      </c>
      <c r="C787" t="inlineStr">
        <is>
          <t>Föryngringsavverkning</t>
        </is>
      </c>
      <c r="D787" s="1" t="n">
        <v>44959</v>
      </c>
      <c r="E787" s="1" t="n">
        <v>46310</v>
      </c>
      <c r="F787" t="inlineStr">
        <is>
          <t>VÄSTERNORRLANDS LÄN</t>
        </is>
      </c>
      <c r="G787" t="inlineStr">
        <is>
          <t>ÅNGE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19021-2026</t>
        </is>
      </c>
      <c r="B788" t="inlineStr">
        <is>
          <t>avverkningsanmälan</t>
        </is>
      </c>
      <c r="C788" t="inlineStr">
        <is>
          <t>Föryngringsavverkning</t>
        </is>
      </c>
      <c r="D788" s="1" t="n">
        <v>46131</v>
      </c>
      <c r="E788" s="1" t="n">
        <v>46310</v>
      </c>
      <c r="F788" t="inlineStr">
        <is>
          <t>VÄSTERNORRLANDS LÄN</t>
        </is>
      </c>
      <c r="G788" t="inlineStr">
        <is>
          <t>ÅNGE</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19214-2026</t>
        </is>
      </c>
      <c r="B789" t="inlineStr">
        <is>
          <t>avverkningsanmälan</t>
        </is>
      </c>
      <c r="C789" t="inlineStr">
        <is>
          <t>Föryngringsavverkning</t>
        </is>
      </c>
      <c r="D789" s="1" t="n">
        <v>46132</v>
      </c>
      <c r="E789" s="1" t="n">
        <v>46310</v>
      </c>
      <c r="F789" t="inlineStr">
        <is>
          <t>VÄSTERNORRLANDS LÄN</t>
        </is>
      </c>
      <c r="G789" t="inlineStr">
        <is>
          <t>ÅNGE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43775-2022</t>
        </is>
      </c>
      <c r="B790" t="inlineStr">
        <is>
          <t>avverkningsanmälan</t>
        </is>
      </c>
      <c r="C790" t="inlineStr">
        <is>
          <t>Föryngringsavverkning</t>
        </is>
      </c>
      <c r="D790" s="1" t="n">
        <v>44837</v>
      </c>
      <c r="E790" s="1" t="n">
        <v>46310</v>
      </c>
      <c r="F790" t="inlineStr">
        <is>
          <t>VÄSTERNORRLANDS LÄN</t>
        </is>
      </c>
      <c r="G790" t="inlineStr">
        <is>
          <t>ÅNGE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19212-2026</t>
        </is>
      </c>
      <c r="B791" t="inlineStr">
        <is>
          <t>avverkningsanmälan</t>
        </is>
      </c>
      <c r="C791" t="inlineStr">
        <is>
          <t>Föryngringsavverkning</t>
        </is>
      </c>
      <c r="D791" s="1" t="n">
        <v>46132</v>
      </c>
      <c r="E791" s="1" t="n">
        <v>46310</v>
      </c>
      <c r="F791" t="inlineStr">
        <is>
          <t>VÄSTERNORRLANDS LÄN</t>
        </is>
      </c>
      <c r="G791" t="inlineStr">
        <is>
          <t>ÅNGE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46310</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61500-2025</t>
        </is>
      </c>
      <c r="B793" t="inlineStr">
        <is>
          <t>avverkningsanmälan</t>
        </is>
      </c>
      <c r="C793" t="inlineStr">
        <is>
          <t>Föryngringsavverkning</t>
        </is>
      </c>
      <c r="D793" s="1" t="n">
        <v>46001</v>
      </c>
      <c r="E793" s="1" t="n">
        <v>46310</v>
      </c>
      <c r="F793" t="inlineStr">
        <is>
          <t>VÄSTERNORRLANDS LÄN</t>
        </is>
      </c>
      <c r="G793" t="inlineStr">
        <is>
          <t>ÅNGE</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61075-2025</t>
        </is>
      </c>
      <c r="B794" t="inlineStr">
        <is>
          <t>avverkningsanmälan</t>
        </is>
      </c>
      <c r="C794" t="inlineStr">
        <is>
          <t>Föryngringsavverkning</t>
        </is>
      </c>
      <c r="D794" s="1" t="n">
        <v>46000</v>
      </c>
      <c r="E794" s="1" t="n">
        <v>46310</v>
      </c>
      <c r="F794" t="inlineStr">
        <is>
          <t>VÄSTERNORRLANDS LÄN</t>
        </is>
      </c>
      <c r="G794" t="inlineStr">
        <is>
          <t>ÅNGE</t>
        </is>
      </c>
      <c r="H794" t="inlineStr">
        <is>
          <t>Holmen skog AB</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16915-2024</t>
        </is>
      </c>
      <c r="B795" t="inlineStr">
        <is>
          <t>avverkningsanmälan</t>
        </is>
      </c>
      <c r="C795" t="inlineStr">
        <is>
          <t>Föryngringsavverkning</t>
        </is>
      </c>
      <c r="D795" s="1" t="n">
        <v>45411</v>
      </c>
      <c r="E795" s="1" t="n">
        <v>46310</v>
      </c>
      <c r="F795" t="inlineStr">
        <is>
          <t>VÄSTERNORRLANDS LÄN</t>
        </is>
      </c>
      <c r="G795" t="inlineStr">
        <is>
          <t>ÅNGE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19204-2026</t>
        </is>
      </c>
      <c r="B796" t="inlineStr">
        <is>
          <t>avverkningsanmälan</t>
        </is>
      </c>
      <c r="C796" t="inlineStr">
        <is>
          <t>Föryngringsavverkning</t>
        </is>
      </c>
      <c r="D796" s="1" t="n">
        <v>46132</v>
      </c>
      <c r="E796" s="1" t="n">
        <v>46310</v>
      </c>
      <c r="F796" t="inlineStr">
        <is>
          <t>VÄSTERNORRLANDS LÄN</t>
        </is>
      </c>
      <c r="G796" t="inlineStr">
        <is>
          <t>ÅNGE</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57560-2023</t>
        </is>
      </c>
      <c r="B797" t="inlineStr">
        <is>
          <t>avverkningsanmälan</t>
        </is>
      </c>
      <c r="C797" t="inlineStr">
        <is>
          <t>Föryngringsavverkning</t>
        </is>
      </c>
      <c r="D797" s="1" t="n">
        <v>45243</v>
      </c>
      <c r="E797" s="1" t="n">
        <v>46310</v>
      </c>
      <c r="F797" t="inlineStr">
        <is>
          <t>VÄSTERNORRLANDS LÄN</t>
        </is>
      </c>
      <c r="G797" t="inlineStr">
        <is>
          <t>ÅNGE</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19209-2026</t>
        </is>
      </c>
      <c r="B798" t="inlineStr">
        <is>
          <t>avverkningsanmälan</t>
        </is>
      </c>
      <c r="C798" t="inlineStr">
        <is>
          <t>Föryngringsavverkning</t>
        </is>
      </c>
      <c r="D798" s="1" t="n">
        <v>46132</v>
      </c>
      <c r="E798" s="1" t="n">
        <v>46310</v>
      </c>
      <c r="F798" t="inlineStr">
        <is>
          <t>VÄSTERNORRLANDS LÄN</t>
        </is>
      </c>
      <c r="G798" t="inlineStr">
        <is>
          <t>ÅNGE</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61203-2025</t>
        </is>
      </c>
      <c r="B799" t="inlineStr">
        <is>
          <t>avverkningsanmälan</t>
        </is>
      </c>
      <c r="C799" t="inlineStr">
        <is>
          <t>Föryngringsavverkning</t>
        </is>
      </c>
      <c r="D799" s="1" t="n">
        <v>46000</v>
      </c>
      <c r="E799" s="1" t="n">
        <v>46310</v>
      </c>
      <c r="F799" t="inlineStr">
        <is>
          <t>VÄSTERNORRLANDS LÄN</t>
        </is>
      </c>
      <c r="G799" t="inlineStr">
        <is>
          <t>ÅNGE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16576-2023</t>
        </is>
      </c>
      <c r="B800" t="inlineStr">
        <is>
          <t>avverkningsanmälan</t>
        </is>
      </c>
      <c r="C800" t="inlineStr">
        <is>
          <t>Föryngringsavverkning</t>
        </is>
      </c>
      <c r="D800" s="1" t="n">
        <v>45029</v>
      </c>
      <c r="E800" s="1" t="n">
        <v>46310</v>
      </c>
      <c r="F800" t="inlineStr">
        <is>
          <t>VÄSTERNORRLANDS LÄN</t>
        </is>
      </c>
      <c r="G800" t="inlineStr">
        <is>
          <t>ÅNGE</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4359-2025</t>
        </is>
      </c>
      <c r="B801" t="inlineStr">
        <is>
          <t>avverkningsanmälan</t>
        </is>
      </c>
      <c r="C801" t="inlineStr">
        <is>
          <t>Föryngringsavverkning</t>
        </is>
      </c>
      <c r="D801" s="1" t="n">
        <v>45686</v>
      </c>
      <c r="E801" s="1" t="n">
        <v>46310</v>
      </c>
      <c r="F801" t="inlineStr">
        <is>
          <t>VÄSTERNORRLANDS LÄN</t>
        </is>
      </c>
      <c r="G801" t="inlineStr">
        <is>
          <t>ÅNGE</t>
        </is>
      </c>
      <c r="H801" t="inlineStr">
        <is>
          <t>Holmen skog AB</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61349-2025</t>
        </is>
      </c>
      <c r="B802" t="inlineStr">
        <is>
          <t>avverkningsanmälan</t>
        </is>
      </c>
      <c r="C802" t="inlineStr">
        <is>
          <t>Föryngringsavverkning</t>
        </is>
      </c>
      <c r="D802" s="1" t="n">
        <v>46001</v>
      </c>
      <c r="E802" s="1" t="n">
        <v>46310</v>
      </c>
      <c r="F802" t="inlineStr">
        <is>
          <t>VÄSTERNORRLANDS LÄN</t>
        </is>
      </c>
      <c r="G802" t="inlineStr">
        <is>
          <t>ÅNGE</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61321-2025</t>
        </is>
      </c>
      <c r="B803" t="inlineStr">
        <is>
          <t>avverkningsanmälan</t>
        </is>
      </c>
      <c r="C803" t="inlineStr">
        <is>
          <t>Föryngringsavverkning</t>
        </is>
      </c>
      <c r="D803" s="1" t="n">
        <v>46000</v>
      </c>
      <c r="E803" s="1" t="n">
        <v>46310</v>
      </c>
      <c r="F803" t="inlineStr">
        <is>
          <t>VÄSTERNORRLANDS LÄN</t>
        </is>
      </c>
      <c r="G803" t="inlineStr">
        <is>
          <t>ÅNGE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61332-2025</t>
        </is>
      </c>
      <c r="B804" t="inlineStr">
        <is>
          <t>avverkningsanmälan</t>
        </is>
      </c>
      <c r="C804" t="inlineStr">
        <is>
          <t>Föryngringsavverkning</t>
        </is>
      </c>
      <c r="D804" s="1" t="n">
        <v>46001</v>
      </c>
      <c r="E804" s="1" t="n">
        <v>46310</v>
      </c>
      <c r="F804" t="inlineStr">
        <is>
          <t>VÄSTERNORRLANDS LÄN</t>
        </is>
      </c>
      <c r="G804" t="inlineStr">
        <is>
          <t>ÅNGE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20083-2026</t>
        </is>
      </c>
      <c r="B805" t="inlineStr">
        <is>
          <t>avverkningsanmälan</t>
        </is>
      </c>
      <c r="C805" t="inlineStr">
        <is>
          <t>Föryngringsavverkning</t>
        </is>
      </c>
      <c r="D805" s="1" t="n">
        <v>46135</v>
      </c>
      <c r="E805" s="1" t="n">
        <v>46310</v>
      </c>
      <c r="F805" t="inlineStr">
        <is>
          <t>VÄSTERNORRLANDS LÄN</t>
        </is>
      </c>
      <c r="G805" t="inlineStr">
        <is>
          <t>ÅNGE</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19689-2026</t>
        </is>
      </c>
      <c r="B806" t="inlineStr">
        <is>
          <t>avverkningsanmälan</t>
        </is>
      </c>
      <c r="C806" t="inlineStr">
        <is>
          <t>Föryngringsavverkning</t>
        </is>
      </c>
      <c r="D806" s="1" t="n">
        <v>46134</v>
      </c>
      <c r="E806" s="1" t="n">
        <v>46310</v>
      </c>
      <c r="F806" t="inlineStr">
        <is>
          <t>VÄSTERNORRLANDS LÄN</t>
        </is>
      </c>
      <c r="G806" t="inlineStr">
        <is>
          <t>ÅNGE</t>
        </is>
      </c>
      <c r="H806" t="inlineStr">
        <is>
          <t>SCA</t>
        </is>
      </c>
      <c r="I806" t="n">
        <v>28.5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19875-2026</t>
        </is>
      </c>
      <c r="B807" t="inlineStr">
        <is>
          <t>avverkningsanmälan</t>
        </is>
      </c>
      <c r="C807" t="inlineStr">
        <is>
          <t>Föryngringsavverkning</t>
        </is>
      </c>
      <c r="D807" s="1" t="n">
        <v>46135</v>
      </c>
      <c r="E807" s="1" t="n">
        <v>46310</v>
      </c>
      <c r="F807" t="inlineStr">
        <is>
          <t>VÄSTERNORRLANDS LÄN</t>
        </is>
      </c>
      <c r="G807" t="inlineStr">
        <is>
          <t>ÅNGE</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32069-2023</t>
        </is>
      </c>
      <c r="B808" t="inlineStr">
        <is>
          <t>avverkningsanmälan</t>
        </is>
      </c>
      <c r="C808" t="inlineStr">
        <is>
          <t>Föryngringsavverkning</t>
        </is>
      </c>
      <c r="D808" s="1" t="n">
        <v>45107</v>
      </c>
      <c r="E808" s="1" t="n">
        <v>46310</v>
      </c>
      <c r="F808" t="inlineStr">
        <is>
          <t>VÄSTERNORRLANDS LÄN</t>
        </is>
      </c>
      <c r="G808" t="inlineStr">
        <is>
          <t>ÅNGE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61857-2025</t>
        </is>
      </c>
      <c r="B809" t="inlineStr">
        <is>
          <t>avverkningsanmälan</t>
        </is>
      </c>
      <c r="C809" t="inlineStr">
        <is>
          <t>Föryngringsavverkning</t>
        </is>
      </c>
      <c r="D809" s="1" t="n">
        <v>46003</v>
      </c>
      <c r="E809" s="1" t="n">
        <v>46310</v>
      </c>
      <c r="F809" t="inlineStr">
        <is>
          <t>VÄSTERNORRLANDS LÄN</t>
        </is>
      </c>
      <c r="G809" t="inlineStr">
        <is>
          <t>ÅNGE</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19668-2026</t>
        </is>
      </c>
      <c r="B810" t="inlineStr">
        <is>
          <t>avverkningsanmälan</t>
        </is>
      </c>
      <c r="C810" t="inlineStr">
        <is>
          <t>Föryngringsavverkning</t>
        </is>
      </c>
      <c r="D810" s="1" t="n">
        <v>46134</v>
      </c>
      <c r="E810" s="1" t="n">
        <v>46310</v>
      </c>
      <c r="F810" t="inlineStr">
        <is>
          <t>VÄSTERNORRLANDS LÄN</t>
        </is>
      </c>
      <c r="G810" t="inlineStr">
        <is>
          <t>ÅNGE</t>
        </is>
      </c>
      <c r="H810" t="inlineStr">
        <is>
          <t>SCA</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19691-2026</t>
        </is>
      </c>
      <c r="B811" t="inlineStr">
        <is>
          <t>avverkningsanmälan</t>
        </is>
      </c>
      <c r="C811" t="inlineStr">
        <is>
          <t>Föryngringsavverkning</t>
        </is>
      </c>
      <c r="D811" s="1" t="n">
        <v>46134</v>
      </c>
      <c r="E811" s="1" t="n">
        <v>46310</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34629-2025</t>
        </is>
      </c>
      <c r="B812" t="inlineStr">
        <is>
          <t>avverkningsanmälan</t>
        </is>
      </c>
      <c r="C812" t="inlineStr">
        <is>
          <t>Avverkning för annat ändamål</t>
        </is>
      </c>
      <c r="D812" s="1" t="n">
        <v>45847</v>
      </c>
      <c r="E812" s="1" t="n">
        <v>46310</v>
      </c>
      <c r="F812" t="inlineStr">
        <is>
          <t>VÄSTERNORRLANDS LÄN</t>
        </is>
      </c>
      <c r="G812" t="inlineStr">
        <is>
          <t>ÅNGE</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20055-2026</t>
        </is>
      </c>
      <c r="B813" t="inlineStr">
        <is>
          <t>avverkningsanmälan</t>
        </is>
      </c>
      <c r="C813" t="inlineStr">
        <is>
          <t>Avverkning för att bevara och utveckla /försöksver</t>
        </is>
      </c>
      <c r="D813" s="1" t="n">
        <v>46135</v>
      </c>
      <c r="E813" s="1" t="n">
        <v>46310</v>
      </c>
      <c r="F813" t="inlineStr">
        <is>
          <t>VÄSTERNORRLANDS LÄN</t>
        </is>
      </c>
      <c r="G813" t="inlineStr">
        <is>
          <t>ÅNGE</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44180-2023</t>
        </is>
      </c>
      <c r="B814" t="inlineStr">
        <is>
          <t>avverkningsanmälan</t>
        </is>
      </c>
      <c r="C814" t="inlineStr">
        <is>
          <t>Föryngringsavverkning</t>
        </is>
      </c>
      <c r="D814" s="1" t="n">
        <v>45183</v>
      </c>
      <c r="E814" s="1" t="n">
        <v>46310</v>
      </c>
      <c r="F814" t="inlineStr">
        <is>
          <t>VÄSTERNORRLANDS LÄN</t>
        </is>
      </c>
      <c r="G814" t="inlineStr">
        <is>
          <t>ÅNGE</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62101-2025</t>
        </is>
      </c>
      <c r="B815" t="inlineStr">
        <is>
          <t>avverkningsanmälan</t>
        </is>
      </c>
      <c r="C815" t="inlineStr">
        <is>
          <t>Avverkning för att bevara och utveckla /försöksver</t>
        </is>
      </c>
      <c r="D815" s="1" t="n">
        <v>46006</v>
      </c>
      <c r="E815" s="1" t="n">
        <v>46310</v>
      </c>
      <c r="F815" t="inlineStr">
        <is>
          <t>VÄSTERNORRLANDS LÄN</t>
        </is>
      </c>
      <c r="G815" t="inlineStr">
        <is>
          <t>ÅNGE</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36205-2025</t>
        </is>
      </c>
      <c r="B816" t="inlineStr">
        <is>
          <t>avverkningsanmälan</t>
        </is>
      </c>
      <c r="C816" t="inlineStr">
        <is>
          <t>Föryngringsavverkning</t>
        </is>
      </c>
      <c r="D816" s="1" t="n">
        <v>45867</v>
      </c>
      <c r="E816" s="1" t="n">
        <v>46310</v>
      </c>
      <c r="F816" t="inlineStr">
        <is>
          <t>VÄSTERNORRLANDS LÄN</t>
        </is>
      </c>
      <c r="G816" t="inlineStr">
        <is>
          <t>ÅNGE</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62160-2025</t>
        </is>
      </c>
      <c r="B817" t="inlineStr">
        <is>
          <t>avverkningsanmälan</t>
        </is>
      </c>
      <c r="C817" t="inlineStr">
        <is>
          <t>Föryngringsavverkning</t>
        </is>
      </c>
      <c r="D817" s="1" t="n">
        <v>46006</v>
      </c>
      <c r="E817" s="1" t="n">
        <v>46310</v>
      </c>
      <c r="F817" t="inlineStr">
        <is>
          <t>VÄSTERNORRLANDS LÄN</t>
        </is>
      </c>
      <c r="G817" t="inlineStr">
        <is>
          <t>ÅNGE</t>
        </is>
      </c>
      <c r="H817" t="inlineStr">
        <is>
          <t>SCA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16903-2024</t>
        </is>
      </c>
      <c r="B818" t="inlineStr">
        <is>
          <t>avverkningsanmälan</t>
        </is>
      </c>
      <c r="C818" t="inlineStr">
        <is>
          <t>Föryngringsavverkning</t>
        </is>
      </c>
      <c r="D818" s="1" t="n">
        <v>45411</v>
      </c>
      <c r="E818" s="1" t="n">
        <v>46310</v>
      </c>
      <c r="F818" t="inlineStr">
        <is>
          <t>VÄSTERNORRLANDS LÄN</t>
        </is>
      </c>
      <c r="G818" t="inlineStr">
        <is>
          <t>ÅNGE</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62091-2025</t>
        </is>
      </c>
      <c r="B819" t="inlineStr">
        <is>
          <t>avverkningsanmälan</t>
        </is>
      </c>
      <c r="C819" t="inlineStr">
        <is>
          <t>Föryngringsavverkning</t>
        </is>
      </c>
      <c r="D819" s="1" t="n">
        <v>46006</v>
      </c>
      <c r="E819" s="1" t="n">
        <v>46310</v>
      </c>
      <c r="F819" t="inlineStr">
        <is>
          <t>VÄSTERNORRLANDS LÄN</t>
        </is>
      </c>
      <c r="G819" t="inlineStr">
        <is>
          <t>ÅNGE</t>
        </is>
      </c>
      <c r="H819" t="inlineStr">
        <is>
          <t>SCA</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32439-2024</t>
        </is>
      </c>
      <c r="B820" t="inlineStr">
        <is>
          <t>avverkningsanmälan</t>
        </is>
      </c>
      <c r="C820" t="inlineStr">
        <is>
          <t>Föryngringsavverkning</t>
        </is>
      </c>
      <c r="D820" s="1" t="n">
        <v>45512</v>
      </c>
      <c r="E820" s="1" t="n">
        <v>46310</v>
      </c>
      <c r="F820" t="inlineStr">
        <is>
          <t>VÄSTERNORRLANDS LÄN</t>
        </is>
      </c>
      <c r="G820" t="inlineStr">
        <is>
          <t>ÅNGE</t>
        </is>
      </c>
      <c r="H820" t="inlineStr">
        <is>
          <t>SCA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58-2026</t>
        </is>
      </c>
      <c r="B821" t="inlineStr">
        <is>
          <t>avverkningsanmälan</t>
        </is>
      </c>
      <c r="C821" t="inlineStr">
        <is>
          <t>Föryngringsavverkning</t>
        </is>
      </c>
      <c r="D821" s="1" t="n">
        <v>46024</v>
      </c>
      <c r="E821" s="1" t="n">
        <v>46310</v>
      </c>
      <c r="F821" t="inlineStr">
        <is>
          <t>VÄSTERNORRLANDS LÄN</t>
        </is>
      </c>
      <c r="G821" t="inlineStr">
        <is>
          <t>ÅNGE</t>
        </is>
      </c>
      <c r="H821" t="inlineStr">
        <is>
          <t>Kyrkan</t>
        </is>
      </c>
      <c r="I821" t="n">
        <v>7.2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16572-2023</t>
        </is>
      </c>
      <c r="B822" t="inlineStr">
        <is>
          <t>avverkningsanmälan</t>
        </is>
      </c>
      <c r="C822" t="inlineStr">
        <is>
          <t>Föryngringsavverkning</t>
        </is>
      </c>
      <c r="D822" s="1" t="n">
        <v>45029</v>
      </c>
      <c r="E822" s="1" t="n">
        <v>46310</v>
      </c>
      <c r="F822" t="inlineStr">
        <is>
          <t>VÄSTERNORRLANDS LÄN</t>
        </is>
      </c>
      <c r="G822" t="inlineStr">
        <is>
          <t>ÅNGE</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3256-2024</t>
        </is>
      </c>
      <c r="B823" t="inlineStr">
        <is>
          <t>avverkningsanmälan</t>
        </is>
      </c>
      <c r="C823" t="inlineStr">
        <is>
          <t>Föryngringsavverkning</t>
        </is>
      </c>
      <c r="D823" s="1" t="n">
        <v>45316</v>
      </c>
      <c r="E823" s="1" t="n">
        <v>46310</v>
      </c>
      <c r="F823" t="inlineStr">
        <is>
          <t>VÄSTERNORRLANDS LÄN</t>
        </is>
      </c>
      <c r="G823" t="inlineStr">
        <is>
          <t>ÅNGE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46310</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44518-2024</t>
        </is>
      </c>
      <c r="B825" t="inlineStr">
        <is>
          <t>avverkningsanmälan</t>
        </is>
      </c>
      <c r="C825" t="inlineStr">
        <is>
          <t>Föryngringsavverkning</t>
        </is>
      </c>
      <c r="D825" s="1" t="n">
        <v>45574</v>
      </c>
      <c r="E825" s="1" t="n">
        <v>46310</v>
      </c>
      <c r="F825" t="inlineStr">
        <is>
          <t>VÄSTERNORRLANDS LÄN</t>
        </is>
      </c>
      <c r="G825" t="inlineStr">
        <is>
          <t>ÅNGE</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63092-2025</t>
        </is>
      </c>
      <c r="B826" t="inlineStr">
        <is>
          <t>avverkningsanmälan</t>
        </is>
      </c>
      <c r="C826" t="inlineStr">
        <is>
          <t>Föryngringsavverkning</t>
        </is>
      </c>
      <c r="D826" s="1" t="n">
        <v>46009</v>
      </c>
      <c r="E826" s="1" t="n">
        <v>46310</v>
      </c>
      <c r="F826" t="inlineStr">
        <is>
          <t>VÄSTERNORRLANDS LÄN</t>
        </is>
      </c>
      <c r="G826" t="inlineStr">
        <is>
          <t>ÅNGE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62763-2025</t>
        </is>
      </c>
      <c r="B827" t="inlineStr">
        <is>
          <t>avverkningsanmälan</t>
        </is>
      </c>
      <c r="C827" t="inlineStr">
        <is>
          <t>Föryngringsavverkning</t>
        </is>
      </c>
      <c r="D827" s="1" t="n">
        <v>46008</v>
      </c>
      <c r="E827" s="1" t="n">
        <v>46310</v>
      </c>
      <c r="F827" t="inlineStr">
        <is>
          <t>VÄSTERNORRLANDS LÄN</t>
        </is>
      </c>
      <c r="G827" t="inlineStr">
        <is>
          <t>ÅNGE</t>
        </is>
      </c>
      <c r="H827" t="inlineStr">
        <is>
          <t>SCA</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35581-2024</t>
        </is>
      </c>
      <c r="B828" t="inlineStr">
        <is>
          <t>avverkningsanmälan</t>
        </is>
      </c>
      <c r="C828" t="inlineStr">
        <is>
          <t>Föryngringsavverkning</t>
        </is>
      </c>
      <c r="D828" s="1" t="n">
        <v>45531</v>
      </c>
      <c r="E828" s="1" t="n">
        <v>46310</v>
      </c>
      <c r="F828" t="inlineStr">
        <is>
          <t>VÄSTERNORRLANDS LÄN</t>
        </is>
      </c>
      <c r="G828" t="inlineStr">
        <is>
          <t>ÅNGE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62793-2025</t>
        </is>
      </c>
      <c r="B829" t="inlineStr">
        <is>
          <t>avverkningsanmälan</t>
        </is>
      </c>
      <c r="C829" t="inlineStr">
        <is>
          <t>Föryngringsavverkning</t>
        </is>
      </c>
      <c r="D829" s="1" t="n">
        <v>46008</v>
      </c>
      <c r="E829" s="1" t="n">
        <v>46310</v>
      </c>
      <c r="F829" t="inlineStr">
        <is>
          <t>VÄSTERNORRLANDS LÄN</t>
        </is>
      </c>
      <c r="G829" t="inlineStr">
        <is>
          <t>ÅNGE</t>
        </is>
      </c>
      <c r="H829" t="inlineStr">
        <is>
          <t>SCA</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20080-2026</t>
        </is>
      </c>
      <c r="B830" t="inlineStr">
        <is>
          <t>avverkningsanmälan</t>
        </is>
      </c>
      <c r="C830" t="inlineStr">
        <is>
          <t>Föryngringsavverkning</t>
        </is>
      </c>
      <c r="D830" s="1" t="n">
        <v>46136</v>
      </c>
      <c r="E830" s="1" t="n">
        <v>46310</v>
      </c>
      <c r="F830" t="inlineStr">
        <is>
          <t>VÄSTERNORRLANDS LÄN</t>
        </is>
      </c>
      <c r="G830" t="inlineStr">
        <is>
          <t>ÅNGE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57287-2022</t>
        </is>
      </c>
      <c r="B831" t="inlineStr">
        <is>
          <t>avverkningsanmälan</t>
        </is>
      </c>
      <c r="C831" t="inlineStr">
        <is>
          <t>Föryngringsavverkning</t>
        </is>
      </c>
      <c r="D831" s="1" t="n">
        <v>44895</v>
      </c>
      <c r="E831" s="1" t="n">
        <v>46310</v>
      </c>
      <c r="F831" t="inlineStr">
        <is>
          <t>VÄSTERNORRLANDS LÄN</t>
        </is>
      </c>
      <c r="G831" t="inlineStr">
        <is>
          <t>ÅNGE</t>
        </is>
      </c>
      <c r="H831" t="inlineStr">
        <is>
          <t>SCA</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1090-2023</t>
        </is>
      </c>
      <c r="B832" t="inlineStr">
        <is>
          <t>avverkningsanmälan</t>
        </is>
      </c>
      <c r="C832" t="inlineStr">
        <is>
          <t>Föryngringsavverkning</t>
        </is>
      </c>
      <c r="D832" s="1" t="n">
        <v>44929</v>
      </c>
      <c r="E832" s="1" t="n">
        <v>46310</v>
      </c>
      <c r="F832" t="inlineStr">
        <is>
          <t>VÄSTERNORRLANDS LÄN</t>
        </is>
      </c>
      <c r="G832" t="inlineStr">
        <is>
          <t>ÅNGE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52060-2025</t>
        </is>
      </c>
      <c r="B833" t="inlineStr">
        <is>
          <t>avverkningsanmälan</t>
        </is>
      </c>
      <c r="C833" t="inlineStr">
        <is>
          <t>Föryngringsavverkning</t>
        </is>
      </c>
      <c r="D833" s="1" t="n">
        <v>45952</v>
      </c>
      <c r="E833" s="1" t="n">
        <v>46310</v>
      </c>
      <c r="F833" t="inlineStr">
        <is>
          <t>VÄSTERNORRLANDS LÄN</t>
        </is>
      </c>
      <c r="G833" t="inlineStr">
        <is>
          <t>ÅNGE</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51609-2023</t>
        </is>
      </c>
      <c r="B834" t="inlineStr">
        <is>
          <t>avverkningsanmälan</t>
        </is>
      </c>
      <c r="C834" t="inlineStr">
        <is>
          <t>Föryngringsavverkning</t>
        </is>
      </c>
      <c r="D834" s="1" t="n">
        <v>45215</v>
      </c>
      <c r="E834" s="1" t="n">
        <v>46310</v>
      </c>
      <c r="F834" t="inlineStr">
        <is>
          <t>VÄSTERNORRLANDS LÄN</t>
        </is>
      </c>
      <c r="G834" t="inlineStr">
        <is>
          <t>ÅNGE</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27661-2024</t>
        </is>
      </c>
      <c r="B835" t="inlineStr">
        <is>
          <t>avverkningsanmälan</t>
        </is>
      </c>
      <c r="C835" t="inlineStr">
        <is>
          <t>Föryngringsavverkning</t>
        </is>
      </c>
      <c r="D835" s="1" t="n">
        <v>45474</v>
      </c>
      <c r="E835" s="1" t="n">
        <v>46310</v>
      </c>
      <c r="F835" t="inlineStr">
        <is>
          <t>VÄSTERNORRLANDS LÄN</t>
        </is>
      </c>
      <c r="G835" t="inlineStr">
        <is>
          <t>ÅNGE</t>
        </is>
      </c>
      <c r="H835" t="inlineStr">
        <is>
          <t>SCA</t>
        </is>
      </c>
      <c r="I835" t="n">
        <v>19.1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12021-2022</t>
        </is>
      </c>
      <c r="B836" t="inlineStr">
        <is>
          <t>avverkningsanmälan</t>
        </is>
      </c>
      <c r="C836" t="inlineStr">
        <is>
          <t>Föryngringsavverkning</t>
        </is>
      </c>
      <c r="D836" s="1" t="n">
        <v>44635</v>
      </c>
      <c r="E836" s="1" t="n">
        <v>46310</v>
      </c>
      <c r="F836" t="inlineStr">
        <is>
          <t>VÄSTERNORRLANDS LÄN</t>
        </is>
      </c>
      <c r="G836" t="inlineStr">
        <is>
          <t>ÅNGE</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55045-2025</t>
        </is>
      </c>
      <c r="B837" t="inlineStr">
        <is>
          <t>avverkningsanmälan</t>
        </is>
      </c>
      <c r="C837" t="inlineStr">
        <is>
          <t>Föryngringsavverkning</t>
        </is>
      </c>
      <c r="D837" s="1" t="n">
        <v>45967</v>
      </c>
      <c r="E837" s="1" t="n">
        <v>46310</v>
      </c>
      <c r="F837" t="inlineStr">
        <is>
          <t>VÄSTERNORRLANDS LÄN</t>
        </is>
      </c>
      <c r="G837" t="inlineStr">
        <is>
          <t>ÅNGE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62336-2025</t>
        </is>
      </c>
      <c r="B838" t="inlineStr">
        <is>
          <t>avverkningsanmälan</t>
        </is>
      </c>
      <c r="C838" t="inlineStr">
        <is>
          <t>Föryngringsavverkning</t>
        </is>
      </c>
      <c r="D838" s="1" t="n">
        <v>46006</v>
      </c>
      <c r="E838" s="1" t="n">
        <v>46310</v>
      </c>
      <c r="F838" t="inlineStr">
        <is>
          <t>VÄSTERNORRLANDS LÄN</t>
        </is>
      </c>
      <c r="G838" t="inlineStr">
        <is>
          <t>ÅNGE</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4095-2023</t>
        </is>
      </c>
      <c r="B839" t="inlineStr">
        <is>
          <t>avverkningsanmälan</t>
        </is>
      </c>
      <c r="C839" t="inlineStr">
        <is>
          <t>Föryngringsavverkning</t>
        </is>
      </c>
      <c r="D839" s="1" t="n">
        <v>44952</v>
      </c>
      <c r="E839" s="1" t="n">
        <v>46310</v>
      </c>
      <c r="F839" t="inlineStr">
        <is>
          <t>VÄSTERNORRLANDS LÄN</t>
        </is>
      </c>
      <c r="G839" t="inlineStr">
        <is>
          <t>ÅNGE</t>
        </is>
      </c>
      <c r="I839" t="n">
        <v>13.4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63686-2025</t>
        </is>
      </c>
      <c r="B840" t="inlineStr">
        <is>
          <t>avverkningsanmälan</t>
        </is>
      </c>
      <c r="C840" t="inlineStr">
        <is>
          <t>Föryngringsavverkning</t>
        </is>
      </c>
      <c r="D840" s="1" t="n">
        <v>46014</v>
      </c>
      <c r="E840" s="1" t="n">
        <v>46310</v>
      </c>
      <c r="F840" t="inlineStr">
        <is>
          <t>VÄSTERNORRLANDS LÄN</t>
        </is>
      </c>
      <c r="G840" t="inlineStr">
        <is>
          <t>ÅNGE</t>
        </is>
      </c>
      <c r="H840" t="inlineStr">
        <is>
          <t>SCA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33782-2025</t>
        </is>
      </c>
      <c r="B841" t="inlineStr">
        <is>
          <t>avverkningsanmälan</t>
        </is>
      </c>
      <c r="C841" t="inlineStr">
        <is>
          <t>Föryngringsavverkning</t>
        </is>
      </c>
      <c r="D841" s="1" t="n">
        <v>45842</v>
      </c>
      <c r="E841" s="1" t="n">
        <v>46310</v>
      </c>
      <c r="F841" t="inlineStr">
        <is>
          <t>VÄSTERNORRLANDS LÄN</t>
        </is>
      </c>
      <c r="G841" t="inlineStr">
        <is>
          <t>ÅNGE</t>
        </is>
      </c>
      <c r="H841" t="inlineStr">
        <is>
          <t>SCA</t>
        </is>
      </c>
      <c r="I841" t="n">
        <v>8.4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63642-2025</t>
        </is>
      </c>
      <c r="B842" t="inlineStr">
        <is>
          <t>avverkningsanmälan</t>
        </is>
      </c>
      <c r="C842" t="inlineStr">
        <is>
          <t>Föryngringsavverkning</t>
        </is>
      </c>
      <c r="D842" s="1" t="n">
        <v>46014</v>
      </c>
      <c r="E842" s="1" t="n">
        <v>46310</v>
      </c>
      <c r="F842" t="inlineStr">
        <is>
          <t>VÄSTERNORRLANDS LÄN</t>
        </is>
      </c>
      <c r="G842" t="inlineStr">
        <is>
          <t>ÅNGE</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33717-2025</t>
        </is>
      </c>
      <c r="B843" t="inlineStr">
        <is>
          <t>avverkningsanmälan</t>
        </is>
      </c>
      <c r="C843" t="inlineStr">
        <is>
          <t>Föryngringsavverkning</t>
        </is>
      </c>
      <c r="D843" s="1" t="n">
        <v>45841</v>
      </c>
      <c r="E843" s="1" t="n">
        <v>46310</v>
      </c>
      <c r="F843" t="inlineStr">
        <is>
          <t>VÄSTERNORRLANDS LÄN</t>
        </is>
      </c>
      <c r="G843" t="inlineStr">
        <is>
          <t>ÅNGE</t>
        </is>
      </c>
      <c r="I843" t="n">
        <v>14.3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63652-2025</t>
        </is>
      </c>
      <c r="B844" t="inlineStr">
        <is>
          <t>avverkningsanmälan</t>
        </is>
      </c>
      <c r="C844" t="inlineStr">
        <is>
          <t>Föryngringsavverkning</t>
        </is>
      </c>
      <c r="D844" s="1" t="n">
        <v>46014</v>
      </c>
      <c r="E844" s="1" t="n">
        <v>46310</v>
      </c>
      <c r="F844" t="inlineStr">
        <is>
          <t>VÄSTERNORRLANDS LÄN</t>
        </is>
      </c>
      <c r="G844" t="inlineStr">
        <is>
          <t>ÅNGE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63673-2025</t>
        </is>
      </c>
      <c r="B845" t="inlineStr">
        <is>
          <t>avverkningsanmälan</t>
        </is>
      </c>
      <c r="C845" t="inlineStr">
        <is>
          <t>Föryngringsavverkning</t>
        </is>
      </c>
      <c r="D845" s="1" t="n">
        <v>46014</v>
      </c>
      <c r="E845" s="1" t="n">
        <v>46310</v>
      </c>
      <c r="F845" t="inlineStr">
        <is>
          <t>VÄSTERNORRLANDS LÄN</t>
        </is>
      </c>
      <c r="G845" t="inlineStr">
        <is>
          <t>ÅNGE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49669-2025</t>
        </is>
      </c>
      <c r="B846" t="inlineStr">
        <is>
          <t>avverkningsanmälan</t>
        </is>
      </c>
      <c r="C846" t="inlineStr">
        <is>
          <t>Föryngringsavverkning</t>
        </is>
      </c>
      <c r="D846" s="1" t="n">
        <v>45939</v>
      </c>
      <c r="E846" s="1" t="n">
        <v>46310</v>
      </c>
      <c r="F846" t="inlineStr">
        <is>
          <t>VÄSTERNORRLANDS LÄN</t>
        </is>
      </c>
      <c r="G846" t="inlineStr">
        <is>
          <t>ÅNGE</t>
        </is>
      </c>
      <c r="H846" t="inlineStr">
        <is>
          <t>SCA</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4361-2024</t>
        </is>
      </c>
      <c r="B847" t="inlineStr">
        <is>
          <t>avverkningsanmälan</t>
        </is>
      </c>
      <c r="C847" t="inlineStr">
        <is>
          <t>Föryngringsavverkning</t>
        </is>
      </c>
      <c r="D847" s="1" t="n">
        <v>45325</v>
      </c>
      <c r="E847" s="1" t="n">
        <v>46310</v>
      </c>
      <c r="F847" t="inlineStr">
        <is>
          <t>VÄSTERNORRLANDS LÄN</t>
        </is>
      </c>
      <c r="G847" t="inlineStr">
        <is>
          <t>ÅNGE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58605-2025</t>
        </is>
      </c>
      <c r="B848" t="inlineStr">
        <is>
          <t>avverkningsanmälan</t>
        </is>
      </c>
      <c r="C848" t="inlineStr">
        <is>
          <t>Föryngringsavverkning</t>
        </is>
      </c>
      <c r="D848" s="1" t="n">
        <v>45986</v>
      </c>
      <c r="E848" s="1" t="n">
        <v>46310</v>
      </c>
      <c r="F848" t="inlineStr">
        <is>
          <t>VÄSTERNORRLANDS LÄN</t>
        </is>
      </c>
      <c r="G848" t="inlineStr">
        <is>
          <t>ÅNGE</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64080-2025</t>
        </is>
      </c>
      <c r="B849" t="inlineStr">
        <is>
          <t>avverkningsanmälan</t>
        </is>
      </c>
      <c r="C849" t="inlineStr">
        <is>
          <t>Föryngringsavverkning</t>
        </is>
      </c>
      <c r="D849" s="1" t="n">
        <v>46021</v>
      </c>
      <c r="E849" s="1" t="n">
        <v>46310</v>
      </c>
      <c r="F849" t="inlineStr">
        <is>
          <t>VÄSTERNORRLANDS LÄN</t>
        </is>
      </c>
      <c r="G849" t="inlineStr">
        <is>
          <t>ÅNGE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63965-2025</t>
        </is>
      </c>
      <c r="B850" t="inlineStr">
        <is>
          <t>avverkningsanmälan</t>
        </is>
      </c>
      <c r="C850" t="inlineStr">
        <is>
          <t>Föryngringsavverkning</t>
        </is>
      </c>
      <c r="D850" s="1" t="n">
        <v>46020</v>
      </c>
      <c r="E850" s="1" t="n">
        <v>46310</v>
      </c>
      <c r="F850" t="inlineStr">
        <is>
          <t>VÄSTERNORRLANDS LÄN</t>
        </is>
      </c>
      <c r="G850" t="inlineStr">
        <is>
          <t>ÅNGE</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40788-2024</t>
        </is>
      </c>
      <c r="B851" t="inlineStr">
        <is>
          <t>avverkningsanmälan</t>
        </is>
      </c>
      <c r="C851" t="inlineStr">
        <is>
          <t>Föryngringsavverkning</t>
        </is>
      </c>
      <c r="D851" s="1" t="n">
        <v>45558</v>
      </c>
      <c r="E851" s="1" t="n">
        <v>46310</v>
      </c>
      <c r="F851" t="inlineStr">
        <is>
          <t>VÄSTERNORRLANDS LÄN</t>
        </is>
      </c>
      <c r="G851" t="inlineStr">
        <is>
          <t>ÅNGE</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3977-2025</t>
        </is>
      </c>
      <c r="B852" t="inlineStr">
        <is>
          <t>avverkningsanmälan</t>
        </is>
      </c>
      <c r="C852" t="inlineStr">
        <is>
          <t>Föryngringsavverkning</t>
        </is>
      </c>
      <c r="D852" s="1" t="n">
        <v>45684</v>
      </c>
      <c r="E852" s="1" t="n">
        <v>46310</v>
      </c>
      <c r="F852" t="inlineStr">
        <is>
          <t>VÄSTERNORRLANDS LÄN</t>
        </is>
      </c>
      <c r="G852" t="inlineStr">
        <is>
          <t>ÅNGE</t>
        </is>
      </c>
      <c r="H852" t="inlineStr">
        <is>
          <t>Holmen skog AB</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31864-2024</t>
        </is>
      </c>
      <c r="B853" t="inlineStr">
        <is>
          <t>avverkningsanmälan</t>
        </is>
      </c>
      <c r="C853" t="inlineStr">
        <is>
          <t>Föryngringsavverkning</t>
        </is>
      </c>
      <c r="D853" s="1" t="n">
        <v>45509</v>
      </c>
      <c r="E853" s="1" t="n">
        <v>46310</v>
      </c>
      <c r="F853" t="inlineStr">
        <is>
          <t>VÄSTERNORRLANDS LÄN</t>
        </is>
      </c>
      <c r="G853" t="inlineStr">
        <is>
          <t>ÅNGE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14888-2022</t>
        </is>
      </c>
      <c r="B854" t="inlineStr">
        <is>
          <t>avverkningsanmälan</t>
        </is>
      </c>
      <c r="C854" t="inlineStr">
        <is>
          <t>Föryngringsavverkning</t>
        </is>
      </c>
      <c r="D854" s="1" t="n">
        <v>44656</v>
      </c>
      <c r="E854" s="1" t="n">
        <v>46310</v>
      </c>
      <c r="F854" t="inlineStr">
        <is>
          <t>VÄSTERNORRLANDS LÄN</t>
        </is>
      </c>
      <c r="G854" t="inlineStr">
        <is>
          <t>ÅNGE</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46310</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353-2026</t>
        </is>
      </c>
      <c r="B856" t="inlineStr">
        <is>
          <t>avverkningsanmälan</t>
        </is>
      </c>
      <c r="C856" t="inlineStr">
        <is>
          <t>Föryngringsavverkning</t>
        </is>
      </c>
      <c r="D856" s="1" t="n">
        <v>46027</v>
      </c>
      <c r="E856" s="1" t="n">
        <v>46310</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703-2026</t>
        </is>
      </c>
      <c r="B857" t="inlineStr">
        <is>
          <t>avverkningsanmälan</t>
        </is>
      </c>
      <c r="C857" t="inlineStr">
        <is>
          <t>Avverkning för att bevara och utveckla /försöksver</t>
        </is>
      </c>
      <c r="D857" s="1" t="n">
        <v>46029</v>
      </c>
      <c r="E857" s="1" t="n">
        <v>46310</v>
      </c>
      <c r="F857" t="inlineStr">
        <is>
          <t>VÄSTERNORRLANDS LÄN</t>
        </is>
      </c>
      <c r="G857" t="inlineStr">
        <is>
          <t>ÅNGE</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61486-2025</t>
        </is>
      </c>
      <c r="B858" t="inlineStr">
        <is>
          <t>avverkningsanmälan</t>
        </is>
      </c>
      <c r="C858" t="inlineStr">
        <is>
          <t>Föryngringsavverkning</t>
        </is>
      </c>
      <c r="D858" s="1" t="n">
        <v>46001</v>
      </c>
      <c r="E858" s="1" t="n">
        <v>46310</v>
      </c>
      <c r="F858" t="inlineStr">
        <is>
          <t>VÄSTERNORRLANDS LÄN</t>
        </is>
      </c>
      <c r="G858" t="inlineStr">
        <is>
          <t>ÅNGE</t>
        </is>
      </c>
      <c r="H858" t="inlineStr">
        <is>
          <t>SCA</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627-2026</t>
        </is>
      </c>
      <c r="B859" t="inlineStr">
        <is>
          <t>avverkningsanmälan</t>
        </is>
      </c>
      <c r="C859" t="inlineStr">
        <is>
          <t>Föryngringsavverkning</t>
        </is>
      </c>
      <c r="D859" s="1" t="n">
        <v>46029</v>
      </c>
      <c r="E859" s="1" t="n">
        <v>46310</v>
      </c>
      <c r="F859" t="inlineStr">
        <is>
          <t>VÄSTERNORRLANDS LÄN</t>
        </is>
      </c>
      <c r="G859" t="inlineStr">
        <is>
          <t>ÅNGE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35781-2025</t>
        </is>
      </c>
      <c r="B860" t="inlineStr">
        <is>
          <t>avverkningsanmälan</t>
        </is>
      </c>
      <c r="C860" t="inlineStr">
        <is>
          <t>Föryngringsavverkning</t>
        </is>
      </c>
      <c r="D860" s="1" t="n">
        <v>45860</v>
      </c>
      <c r="E860" s="1" t="n">
        <v>46310</v>
      </c>
      <c r="F860" t="inlineStr">
        <is>
          <t>VÄSTERNORRLANDS LÄN</t>
        </is>
      </c>
      <c r="G860" t="inlineStr">
        <is>
          <t>ÅNGE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9328-2026</t>
        </is>
      </c>
      <c r="B861" t="inlineStr">
        <is>
          <t>avverkningsanmälan</t>
        </is>
      </c>
      <c r="C861" t="inlineStr">
        <is>
          <t>Föryngringsavverkning</t>
        </is>
      </c>
      <c r="D861" s="1" t="n">
        <v>46070</v>
      </c>
      <c r="E861" s="1" t="n">
        <v>46310</v>
      </c>
      <c r="F861" t="inlineStr">
        <is>
          <t>VÄSTERNORRLANDS LÄN</t>
        </is>
      </c>
      <c r="G861" t="inlineStr">
        <is>
          <t>ÅNGE</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20143-2026</t>
        </is>
      </c>
      <c r="B862" t="inlineStr">
        <is>
          <t>avverkningsanmälan</t>
        </is>
      </c>
      <c r="C862" t="inlineStr">
        <is>
          <t>Föryngringsavverkning</t>
        </is>
      </c>
      <c r="D862" s="1" t="n">
        <v>46137</v>
      </c>
      <c r="E862" s="1" t="n">
        <v>46310</v>
      </c>
      <c r="F862" t="inlineStr">
        <is>
          <t>VÄSTERNORRLANDS LÄN</t>
        </is>
      </c>
      <c r="G862" t="inlineStr">
        <is>
          <t>ÅNGE</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16365-2023</t>
        </is>
      </c>
      <c r="B863" t="inlineStr">
        <is>
          <t>avverkningsanmälan</t>
        </is>
      </c>
      <c r="C863" t="inlineStr">
        <is>
          <t>Föryngringsavverkning</t>
        </is>
      </c>
      <c r="D863" s="1" t="n">
        <v>45028</v>
      </c>
      <c r="E863" s="1" t="n">
        <v>46310</v>
      </c>
      <c r="F863" t="inlineStr">
        <is>
          <t>VÄSTERNORRLANDS LÄN</t>
        </is>
      </c>
      <c r="G863" t="inlineStr">
        <is>
          <t>ÅNGE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1266-2026</t>
        </is>
      </c>
      <c r="B864" t="inlineStr">
        <is>
          <t>avverkningsanmälan</t>
        </is>
      </c>
      <c r="C864" t="inlineStr">
        <is>
          <t>Föryngringsavverkning</t>
        </is>
      </c>
      <c r="D864" s="1" t="n">
        <v>46031</v>
      </c>
      <c r="E864" s="1" t="n">
        <v>46310</v>
      </c>
      <c r="F864" t="inlineStr">
        <is>
          <t>VÄSTERNORRLANDS LÄN</t>
        </is>
      </c>
      <c r="G864" t="inlineStr">
        <is>
          <t>ÅNGE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58774-2023</t>
        </is>
      </c>
      <c r="B865" t="inlineStr">
        <is>
          <t>avverkningsanmälan</t>
        </is>
      </c>
      <c r="C865" t="inlineStr">
        <is>
          <t>Föryngringsavverkning</t>
        </is>
      </c>
      <c r="D865" s="1" t="n">
        <v>45251</v>
      </c>
      <c r="E865" s="1" t="n">
        <v>46310</v>
      </c>
      <c r="F865" t="inlineStr">
        <is>
          <t>VÄSTERNORRLANDS LÄN</t>
        </is>
      </c>
      <c r="G865" t="inlineStr">
        <is>
          <t>ÅNGE</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21089-2024</t>
        </is>
      </c>
      <c r="B866" t="inlineStr">
        <is>
          <t>avverkningsanmälan</t>
        </is>
      </c>
      <c r="C866" t="inlineStr">
        <is>
          <t>Föryngringsavverkning</t>
        </is>
      </c>
      <c r="D866" s="1" t="n">
        <v>45439</v>
      </c>
      <c r="E866" s="1" t="n">
        <v>46310</v>
      </c>
      <c r="F866" t="inlineStr">
        <is>
          <t>VÄSTERNORRLANDS LÄN</t>
        </is>
      </c>
      <c r="G866" t="inlineStr">
        <is>
          <t>ÅNGE</t>
        </is>
      </c>
      <c r="H866" t="inlineStr">
        <is>
          <t>SCA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21151-2024</t>
        </is>
      </c>
      <c r="B867" t="inlineStr">
        <is>
          <t>avverkningsanmälan</t>
        </is>
      </c>
      <c r="C867" t="inlineStr">
        <is>
          <t>Föryngringsavverkning</t>
        </is>
      </c>
      <c r="D867" s="1" t="n">
        <v>45440</v>
      </c>
      <c r="E867" s="1" t="n">
        <v>46310</v>
      </c>
      <c r="F867" t="inlineStr">
        <is>
          <t>VÄSTERNORRLANDS LÄN</t>
        </is>
      </c>
      <c r="G867" t="inlineStr">
        <is>
          <t>ÅNGE</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1375-2026</t>
        </is>
      </c>
      <c r="B868" t="inlineStr">
        <is>
          <t>avverkningsanmälan</t>
        </is>
      </c>
      <c r="C868" t="inlineStr">
        <is>
          <t>Föryngringsavverkning</t>
        </is>
      </c>
      <c r="D868" s="1" t="n">
        <v>46031</v>
      </c>
      <c r="E868" s="1" t="n">
        <v>46310</v>
      </c>
      <c r="F868" t="inlineStr">
        <is>
          <t>VÄSTERNORRLANDS LÄN</t>
        </is>
      </c>
      <c r="G868" t="inlineStr">
        <is>
          <t>ÅNGE</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13164-2022</t>
        </is>
      </c>
      <c r="B869" t="inlineStr">
        <is>
          <t>avverkningsanmälan</t>
        </is>
      </c>
      <c r="C869" t="inlineStr">
        <is>
          <t>Föryngringsavverkning</t>
        </is>
      </c>
      <c r="D869" s="1" t="n">
        <v>44644</v>
      </c>
      <c r="E869" s="1" t="n">
        <v>46310</v>
      </c>
      <c r="F869" t="inlineStr">
        <is>
          <t>VÄSTERNORRLANDS LÄN</t>
        </is>
      </c>
      <c r="G869" t="inlineStr">
        <is>
          <t>ÅNGE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1544-2026</t>
        </is>
      </c>
      <c r="B870" t="inlineStr">
        <is>
          <t>avverkningsanmälan</t>
        </is>
      </c>
      <c r="C870" t="inlineStr">
        <is>
          <t>Föryngringsavverkning</t>
        </is>
      </c>
      <c r="D870" s="1" t="n">
        <v>46034</v>
      </c>
      <c r="E870" s="1" t="n">
        <v>46310</v>
      </c>
      <c r="F870" t="inlineStr">
        <is>
          <t>VÄSTERNORRLANDS LÄN</t>
        </is>
      </c>
      <c r="G870" t="inlineStr">
        <is>
          <t>ÅNGE</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20231-2022</t>
        </is>
      </c>
      <c r="B871" t="inlineStr">
        <is>
          <t>avverkningsanmälan</t>
        </is>
      </c>
      <c r="C871" t="inlineStr">
        <is>
          <t>Föryngringsavverkning</t>
        </is>
      </c>
      <c r="D871" s="1" t="n">
        <v>44698</v>
      </c>
      <c r="E871" s="1" t="n">
        <v>46310</v>
      </c>
      <c r="F871" t="inlineStr">
        <is>
          <t>VÄSTERNORRLANDS LÄN</t>
        </is>
      </c>
      <c r="G871" t="inlineStr">
        <is>
          <t>ÅNGE</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43252-2025</t>
        </is>
      </c>
      <c r="B872" t="inlineStr">
        <is>
          <t>avverkningsanmälan</t>
        </is>
      </c>
      <c r="C872" t="inlineStr">
        <is>
          <t>Föryngringsavverkning</t>
        </is>
      </c>
      <c r="D872" s="1" t="n">
        <v>45910</v>
      </c>
      <c r="E872" s="1" t="n">
        <v>46310</v>
      </c>
      <c r="F872" t="inlineStr">
        <is>
          <t>VÄSTERNORRLANDS LÄN</t>
        </is>
      </c>
      <c r="G872" t="inlineStr">
        <is>
          <t>ÅNGE</t>
        </is>
      </c>
      <c r="H872" t="inlineStr">
        <is>
          <t>SCA</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15369-2024</t>
        </is>
      </c>
      <c r="B873" t="inlineStr">
        <is>
          <t>avverkningsanmälan</t>
        </is>
      </c>
      <c r="C873" t="inlineStr">
        <is>
          <t>Föryngringsavverkning</t>
        </is>
      </c>
      <c r="D873" s="1" t="n">
        <v>45400</v>
      </c>
      <c r="E873" s="1" t="n">
        <v>46310</v>
      </c>
      <c r="F873" t="inlineStr">
        <is>
          <t>VÄSTERNORRLANDS LÄN</t>
        </is>
      </c>
      <c r="G873" t="inlineStr">
        <is>
          <t>ÅNGE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26010-2024</t>
        </is>
      </c>
      <c r="B874" t="inlineStr">
        <is>
          <t>avverkningsanmälan</t>
        </is>
      </c>
      <c r="C874" t="inlineStr">
        <is>
          <t>Föryngringsavverkning</t>
        </is>
      </c>
      <c r="D874" s="1" t="n">
        <v>45467</v>
      </c>
      <c r="E874" s="1" t="n">
        <v>46310</v>
      </c>
      <c r="F874" t="inlineStr">
        <is>
          <t>VÄSTERNORRLANDS LÄN</t>
        </is>
      </c>
      <c r="G874" t="inlineStr">
        <is>
          <t>ÅNGE</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49487-2024</t>
        </is>
      </c>
      <c r="B875" t="inlineStr">
        <is>
          <t>avverkningsanmälan</t>
        </is>
      </c>
      <c r="C875" t="inlineStr">
        <is>
          <t>Föryngringsavverkning</t>
        </is>
      </c>
      <c r="D875" s="1" t="n">
        <v>45596</v>
      </c>
      <c r="E875" s="1" t="n">
        <v>46310</v>
      </c>
      <c r="F875" t="inlineStr">
        <is>
          <t>VÄSTERNORRLANDS LÄN</t>
        </is>
      </c>
      <c r="G875" t="inlineStr">
        <is>
          <t>ÅNGE</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1541-2026</t>
        </is>
      </c>
      <c r="B876" t="inlineStr">
        <is>
          <t>avverkningsanmälan</t>
        </is>
      </c>
      <c r="C876" t="inlineStr">
        <is>
          <t>Föryngringsavverkning</t>
        </is>
      </c>
      <c r="D876" s="1" t="n">
        <v>46034</v>
      </c>
      <c r="E876" s="1" t="n">
        <v>46310</v>
      </c>
      <c r="F876" t="inlineStr">
        <is>
          <t>VÄSTERNORRLANDS LÄN</t>
        </is>
      </c>
      <c r="G876" t="inlineStr">
        <is>
          <t>ÅNGE</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1547-2026</t>
        </is>
      </c>
      <c r="B877" t="inlineStr">
        <is>
          <t>avverkningsanmälan</t>
        </is>
      </c>
      <c r="C877" t="inlineStr">
        <is>
          <t>Föryngringsavverkning</t>
        </is>
      </c>
      <c r="D877" s="1" t="n">
        <v>46034</v>
      </c>
      <c r="E877" s="1" t="n">
        <v>46310</v>
      </c>
      <c r="F877" t="inlineStr">
        <is>
          <t>VÄSTERNORRLANDS LÄN</t>
        </is>
      </c>
      <c r="G877" t="inlineStr">
        <is>
          <t>ÅNGE</t>
        </is>
      </c>
      <c r="H877" t="inlineStr">
        <is>
          <t>SCA</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52785-2024</t>
        </is>
      </c>
      <c r="B878" t="inlineStr">
        <is>
          <t>avverkningsanmälan</t>
        </is>
      </c>
      <c r="C878" t="inlineStr">
        <is>
          <t>Föryngringsavverkning</t>
        </is>
      </c>
      <c r="D878" s="1" t="n">
        <v>45610</v>
      </c>
      <c r="E878" s="1" t="n">
        <v>46310</v>
      </c>
      <c r="F878" t="inlineStr">
        <is>
          <t>VÄSTERNORRLANDS LÄN</t>
        </is>
      </c>
      <c r="G878" t="inlineStr">
        <is>
          <t>ÅNGE</t>
        </is>
      </c>
      <c r="H878" t="inlineStr">
        <is>
          <t>SCA</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52786-2024</t>
        </is>
      </c>
      <c r="B879" t="inlineStr">
        <is>
          <t>avverkningsanmälan</t>
        </is>
      </c>
      <c r="C879" t="inlineStr">
        <is>
          <t>Föryngringsavverkning</t>
        </is>
      </c>
      <c r="D879" s="1" t="n">
        <v>45610</v>
      </c>
      <c r="E879" s="1" t="n">
        <v>46310</v>
      </c>
      <c r="F879" t="inlineStr">
        <is>
          <t>VÄSTERNORRLANDS LÄN</t>
        </is>
      </c>
      <c r="G879" t="inlineStr">
        <is>
          <t>ÅNGE</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46254-2023</t>
        </is>
      </c>
      <c r="B880" t="inlineStr">
        <is>
          <t>avverkningsanmälan</t>
        </is>
      </c>
      <c r="C880" t="inlineStr">
        <is>
          <t>Avverkning för annat ändamål</t>
        </is>
      </c>
      <c r="D880" s="1" t="n">
        <v>45196</v>
      </c>
      <c r="E880" s="1" t="n">
        <v>46310</v>
      </c>
      <c r="F880" t="inlineStr">
        <is>
          <t>VÄSTERNORRLANDS LÄN</t>
        </is>
      </c>
      <c r="G880" t="inlineStr">
        <is>
          <t>ÅNGE</t>
        </is>
      </c>
      <c r="H880" t="inlineStr">
        <is>
          <t>SCA</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46262-2023</t>
        </is>
      </c>
      <c r="B881" t="inlineStr">
        <is>
          <t>avverkningsanmälan</t>
        </is>
      </c>
      <c r="C881" t="inlineStr">
        <is>
          <t>Avverkning för att bevara och utveckla /försöksver</t>
        </is>
      </c>
      <c r="D881" s="1" t="n">
        <v>45196</v>
      </c>
      <c r="E881" s="1" t="n">
        <v>46310</v>
      </c>
      <c r="F881" t="inlineStr">
        <is>
          <t>VÄSTERNORRLANDS LÄN</t>
        </is>
      </c>
      <c r="G881" t="inlineStr">
        <is>
          <t>ÅNGE</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28814-2025</t>
        </is>
      </c>
      <c r="B882" t="inlineStr">
        <is>
          <t>avverkningsanmälan</t>
        </is>
      </c>
      <c r="C882" t="inlineStr">
        <is>
          <t>Föryngringsavverkning</t>
        </is>
      </c>
      <c r="D882" s="1" t="n">
        <v>45820</v>
      </c>
      <c r="E882" s="1" t="n">
        <v>46310</v>
      </c>
      <c r="F882" t="inlineStr">
        <is>
          <t>VÄSTERNORRLANDS LÄN</t>
        </is>
      </c>
      <c r="G882" t="inlineStr">
        <is>
          <t>ÅNGE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2485-2026</t>
        </is>
      </c>
      <c r="B883" t="inlineStr">
        <is>
          <t>avverkningsanmälan</t>
        </is>
      </c>
      <c r="C883" t="inlineStr">
        <is>
          <t>Föryngringsavverkning</t>
        </is>
      </c>
      <c r="D883" s="1" t="n">
        <v>46037</v>
      </c>
      <c r="E883" s="1" t="n">
        <v>46310</v>
      </c>
      <c r="F883" t="inlineStr">
        <is>
          <t>VÄSTERNORRLANDS LÄN</t>
        </is>
      </c>
      <c r="G883" t="inlineStr">
        <is>
          <t>ÅNGE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15799-2025</t>
        </is>
      </c>
      <c r="B884" t="inlineStr">
        <is>
          <t>avverkningsanmälan</t>
        </is>
      </c>
      <c r="C884" t="inlineStr">
        <is>
          <t>Föryngringsavverkning</t>
        </is>
      </c>
      <c r="D884" s="1" t="n">
        <v>45748</v>
      </c>
      <c r="E884" s="1" t="n">
        <v>46310</v>
      </c>
      <c r="F884" t="inlineStr">
        <is>
          <t>VÄSTERNORRLANDS LÄN</t>
        </is>
      </c>
      <c r="G884" t="inlineStr">
        <is>
          <t>ÅNGE</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20158-2026</t>
        </is>
      </c>
      <c r="B885" t="inlineStr">
        <is>
          <t>avverkningsanmälan</t>
        </is>
      </c>
      <c r="C885" t="inlineStr">
        <is>
          <t>Föryngringsavverkning</t>
        </is>
      </c>
      <c r="D885" s="1" t="n">
        <v>46138</v>
      </c>
      <c r="E885" s="1" t="n">
        <v>46310</v>
      </c>
      <c r="F885" t="inlineStr">
        <is>
          <t>VÄSTERNORRLANDS LÄN</t>
        </is>
      </c>
      <c r="G885" t="inlineStr">
        <is>
          <t>ÅNGE</t>
        </is>
      </c>
      <c r="H885" t="inlineStr">
        <is>
          <t>SCA</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51370-2025</t>
        </is>
      </c>
      <c r="B886" t="inlineStr">
        <is>
          <t>avverkningsanmälan</t>
        </is>
      </c>
      <c r="C886" t="inlineStr">
        <is>
          <t>Föryngringsavverkning</t>
        </is>
      </c>
      <c r="D886" s="1" t="n">
        <v>45950</v>
      </c>
      <c r="E886" s="1" t="n">
        <v>46310</v>
      </c>
      <c r="F886" t="inlineStr">
        <is>
          <t>VÄSTERNORRLANDS LÄN</t>
        </is>
      </c>
      <c r="G886" t="inlineStr">
        <is>
          <t>ÅNGE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39619-2024</t>
        </is>
      </c>
      <c r="B887" t="inlineStr">
        <is>
          <t>avverkningsanmälan</t>
        </is>
      </c>
      <c r="C887" t="inlineStr">
        <is>
          <t>Föryngringsavverkning</t>
        </is>
      </c>
      <c r="D887" s="1" t="n">
        <v>45552</v>
      </c>
      <c r="E887" s="1" t="n">
        <v>46310</v>
      </c>
      <c r="F887" t="inlineStr">
        <is>
          <t>VÄSTERNORRLANDS LÄN</t>
        </is>
      </c>
      <c r="G887" t="inlineStr">
        <is>
          <t>ÅNGE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26734-2025</t>
        </is>
      </c>
      <c r="B888" t="inlineStr">
        <is>
          <t>avverkningsanmälan</t>
        </is>
      </c>
      <c r="C888" t="inlineStr">
        <is>
          <t>Föryngringsavverkning</t>
        </is>
      </c>
      <c r="D888" s="1" t="n">
        <v>45810</v>
      </c>
      <c r="E888" s="1" t="n">
        <v>46310</v>
      </c>
      <c r="F888" t="inlineStr">
        <is>
          <t>VÄSTERNORRLANDS LÄN</t>
        </is>
      </c>
      <c r="G888" t="inlineStr">
        <is>
          <t>ÅNGE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5613-2024</t>
        </is>
      </c>
      <c r="B889" t="inlineStr">
        <is>
          <t>avverkningsanmälan</t>
        </is>
      </c>
      <c r="C889" t="inlineStr">
        <is>
          <t>Föryngringsavverkning</t>
        </is>
      </c>
      <c r="D889" s="1" t="n">
        <v>45334</v>
      </c>
      <c r="E889" s="1" t="n">
        <v>46310</v>
      </c>
      <c r="F889" t="inlineStr">
        <is>
          <t>VÄSTERNORRLANDS LÄN</t>
        </is>
      </c>
      <c r="G889" t="inlineStr">
        <is>
          <t>ÅNGE</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20135-2026</t>
        </is>
      </c>
      <c r="B890" t="inlineStr">
        <is>
          <t>avverkningsanmälan</t>
        </is>
      </c>
      <c r="C890" t="inlineStr">
        <is>
          <t>Föryngringsavverkning</t>
        </is>
      </c>
      <c r="D890" s="1" t="n">
        <v>46136</v>
      </c>
      <c r="E890" s="1" t="n">
        <v>46310</v>
      </c>
      <c r="F890" t="inlineStr">
        <is>
          <t>VÄSTERNORRLANDS LÄN</t>
        </is>
      </c>
      <c r="G890" t="inlineStr">
        <is>
          <t>ÅNGE</t>
        </is>
      </c>
      <c r="H890" t="inlineStr">
        <is>
          <t>SCA</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61928-2021</t>
        </is>
      </c>
      <c r="B891" t="inlineStr">
        <is>
          <t>avverkningsanmälan</t>
        </is>
      </c>
      <c r="C891" t="inlineStr">
        <is>
          <t>Föryngringsavverkning</t>
        </is>
      </c>
      <c r="D891" s="1" t="n">
        <v>44502</v>
      </c>
      <c r="E891" s="1" t="n">
        <v>46310</v>
      </c>
      <c r="F891" t="inlineStr">
        <is>
          <t>VÄSTERNORRLANDS LÄN</t>
        </is>
      </c>
      <c r="G891" t="inlineStr">
        <is>
          <t>ÅNGE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5367-2022</t>
        </is>
      </c>
      <c r="B892" t="inlineStr">
        <is>
          <t>avverkningsanmälan</t>
        </is>
      </c>
      <c r="C892" t="inlineStr">
        <is>
          <t>Föryngringsavverkning</t>
        </is>
      </c>
      <c r="D892" s="1" t="n">
        <v>44594</v>
      </c>
      <c r="E892" s="1" t="n">
        <v>46310</v>
      </c>
      <c r="F892" t="inlineStr">
        <is>
          <t>VÄSTERNORRLANDS LÄN</t>
        </is>
      </c>
      <c r="G892" t="inlineStr">
        <is>
          <t>ÅNGE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35540-2025</t>
        </is>
      </c>
      <c r="B893" t="inlineStr">
        <is>
          <t>avverkningsanmälan</t>
        </is>
      </c>
      <c r="C893" t="inlineStr">
        <is>
          <t>Föryngringsavverkning</t>
        </is>
      </c>
      <c r="D893" s="1" t="n">
        <v>45856</v>
      </c>
      <c r="E893" s="1" t="n">
        <v>46310</v>
      </c>
      <c r="F893" t="inlineStr">
        <is>
          <t>VÄSTERNORRLANDS LÄN</t>
        </is>
      </c>
      <c r="G893" t="inlineStr">
        <is>
          <t>ÅNGE</t>
        </is>
      </c>
      <c r="H893" t="inlineStr">
        <is>
          <t>SCA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24293-2023</t>
        </is>
      </c>
      <c r="B894" t="inlineStr">
        <is>
          <t>avverkningsanmälan</t>
        </is>
      </c>
      <c r="C894" t="inlineStr">
        <is>
          <t>Föryngringsavverkning</t>
        </is>
      </c>
      <c r="D894" s="1" t="n">
        <v>45079</v>
      </c>
      <c r="E894" s="1" t="n">
        <v>46310</v>
      </c>
      <c r="F894" t="inlineStr">
        <is>
          <t>VÄSTERNORRLANDS LÄN</t>
        </is>
      </c>
      <c r="G894" t="inlineStr">
        <is>
          <t>ÅNGE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35143-2025</t>
        </is>
      </c>
      <c r="B895" t="inlineStr">
        <is>
          <t>avverkningsanmälan</t>
        </is>
      </c>
      <c r="C895" t="inlineStr">
        <is>
          <t>Föryngringsavverkning</t>
        </is>
      </c>
      <c r="D895" s="1" t="n">
        <v>45852</v>
      </c>
      <c r="E895" s="1" t="n">
        <v>46310</v>
      </c>
      <c r="F895" t="inlineStr">
        <is>
          <t>VÄSTERNORRLANDS LÄN</t>
        </is>
      </c>
      <c r="G895" t="inlineStr">
        <is>
          <t>ÅNGE</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5223-2026</t>
        </is>
      </c>
      <c r="B896" t="inlineStr">
        <is>
          <t>avverkningsanmälan</t>
        </is>
      </c>
      <c r="C896" t="inlineStr">
        <is>
          <t>Föryngringsavverkning</t>
        </is>
      </c>
      <c r="D896" s="1" t="n">
        <v>46049</v>
      </c>
      <c r="E896" s="1" t="n">
        <v>46310</v>
      </c>
      <c r="F896" t="inlineStr">
        <is>
          <t>VÄSTERNORRLANDS LÄN</t>
        </is>
      </c>
      <c r="G896" t="inlineStr">
        <is>
          <t>ÅNGE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39985-2023</t>
        </is>
      </c>
      <c r="B897" t="inlineStr">
        <is>
          <t>avverkningsanmälan</t>
        </is>
      </c>
      <c r="C897" t="inlineStr">
        <is>
          <t>Avverkning för annat ändamål</t>
        </is>
      </c>
      <c r="D897" s="1" t="n">
        <v>45168</v>
      </c>
      <c r="E897" s="1" t="n">
        <v>46310</v>
      </c>
      <c r="F897" t="inlineStr">
        <is>
          <t>VÄSTERNORRLANDS LÄN</t>
        </is>
      </c>
      <c r="G897" t="inlineStr">
        <is>
          <t>ÅNGE</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3534-2026</t>
        </is>
      </c>
      <c r="B898" t="inlineStr">
        <is>
          <t>avverkningsanmälan</t>
        </is>
      </c>
      <c r="C898" t="inlineStr">
        <is>
          <t>Föryngringsavverkning</t>
        </is>
      </c>
      <c r="D898" s="1" t="n">
        <v>46042</v>
      </c>
      <c r="E898" s="1" t="n">
        <v>46310</v>
      </c>
      <c r="F898" t="inlineStr">
        <is>
          <t>VÄSTERNORRLANDS LÄN</t>
        </is>
      </c>
      <c r="G898" t="inlineStr">
        <is>
          <t>ÅNGE</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27260-2023</t>
        </is>
      </c>
      <c r="B899" t="inlineStr">
        <is>
          <t>avverkningsanmälan</t>
        </is>
      </c>
      <c r="C899" t="inlineStr">
        <is>
          <t>Föryngringsavverkning</t>
        </is>
      </c>
      <c r="D899" s="1" t="n">
        <v>45092</v>
      </c>
      <c r="E899" s="1" t="n">
        <v>46310</v>
      </c>
      <c r="F899" t="inlineStr">
        <is>
          <t>VÄSTERNORRLANDS LÄN</t>
        </is>
      </c>
      <c r="G899" t="inlineStr">
        <is>
          <t>ÅNGE</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3889-2026</t>
        </is>
      </c>
      <c r="B900" t="inlineStr">
        <is>
          <t>avverkningsanmälan</t>
        </is>
      </c>
      <c r="C900" t="inlineStr">
        <is>
          <t>Föryngringsavverkning</t>
        </is>
      </c>
      <c r="D900" s="1" t="n">
        <v>46043</v>
      </c>
      <c r="E900" s="1" t="n">
        <v>46310</v>
      </c>
      <c r="F900" t="inlineStr">
        <is>
          <t>VÄSTERNORRLANDS LÄN</t>
        </is>
      </c>
      <c r="G900" t="inlineStr">
        <is>
          <t>ÅNGE</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1420-2023</t>
        </is>
      </c>
      <c r="B901" t="inlineStr">
        <is>
          <t>avverkningsanmälan</t>
        </is>
      </c>
      <c r="C901" t="inlineStr">
        <is>
          <t>Föryngringsavverkning</t>
        </is>
      </c>
      <c r="D901" s="1" t="n">
        <v>44936</v>
      </c>
      <c r="E901" s="1" t="n">
        <v>46310</v>
      </c>
      <c r="F901" t="inlineStr">
        <is>
          <t>VÄSTERNORRLANDS LÄN</t>
        </is>
      </c>
      <c r="G901" t="inlineStr">
        <is>
          <t>ÅNGE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4262-2026</t>
        </is>
      </c>
      <c r="B902" t="inlineStr">
        <is>
          <t>avverkningsanmälan</t>
        </is>
      </c>
      <c r="C902" t="inlineStr">
        <is>
          <t>Föryngringsavverkning</t>
        </is>
      </c>
      <c r="D902" s="1" t="n">
        <v>46045</v>
      </c>
      <c r="E902" s="1" t="n">
        <v>46310</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34691-2024</t>
        </is>
      </c>
      <c r="B903" t="inlineStr">
        <is>
          <t>avverkningsanmälan</t>
        </is>
      </c>
      <c r="C903" t="inlineStr">
        <is>
          <t>Föryngringsavverkning</t>
        </is>
      </c>
      <c r="D903" s="1" t="n">
        <v>45526</v>
      </c>
      <c r="E903" s="1" t="n">
        <v>46310</v>
      </c>
      <c r="F903" t="inlineStr">
        <is>
          <t>VÄSTERNORRLANDS LÄN</t>
        </is>
      </c>
      <c r="G903" t="inlineStr">
        <is>
          <t>ÅNGE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8860-2026</t>
        </is>
      </c>
      <c r="B904" t="inlineStr">
        <is>
          <t>avverkningsanmälan</t>
        </is>
      </c>
      <c r="C904" t="inlineStr">
        <is>
          <t>Föryngringsavverkning</t>
        </is>
      </c>
      <c r="D904" s="1" t="n">
        <v>46066</v>
      </c>
      <c r="E904" s="1" t="n">
        <v>46310</v>
      </c>
      <c r="F904" t="inlineStr">
        <is>
          <t>VÄSTERNORRLANDS LÄN</t>
        </is>
      </c>
      <c r="G904" t="inlineStr">
        <is>
          <t>ÅNGE</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4263-2026</t>
        </is>
      </c>
      <c r="B905" t="inlineStr">
        <is>
          <t>avverkningsanmälan</t>
        </is>
      </c>
      <c r="C905" t="inlineStr">
        <is>
          <t>Föryngringsavverkning</t>
        </is>
      </c>
      <c r="D905" s="1" t="n">
        <v>46045</v>
      </c>
      <c r="E905" s="1" t="n">
        <v>46310</v>
      </c>
      <c r="F905" t="inlineStr">
        <is>
          <t>VÄSTERNORRLANDS LÄN</t>
        </is>
      </c>
      <c r="G905" t="inlineStr">
        <is>
          <t>ÅNGE</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58637-2023</t>
        </is>
      </c>
      <c r="B906" t="inlineStr">
        <is>
          <t>avverkningsanmälan</t>
        </is>
      </c>
      <c r="C906" t="inlineStr">
        <is>
          <t>Föryngringsavverkning</t>
        </is>
      </c>
      <c r="D906" s="1" t="n">
        <v>45251</v>
      </c>
      <c r="E906" s="1" t="n">
        <v>46310</v>
      </c>
      <c r="F906" t="inlineStr">
        <is>
          <t>VÄSTERNORRLANDS LÄN</t>
        </is>
      </c>
      <c r="G906" t="inlineStr">
        <is>
          <t>ÅNGE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3970-2026</t>
        </is>
      </c>
      <c r="B907" t="inlineStr">
        <is>
          <t>avverkningsanmälan</t>
        </is>
      </c>
      <c r="C907" t="inlineStr">
        <is>
          <t>Föryngringsavverkning</t>
        </is>
      </c>
      <c r="D907" s="1" t="n">
        <v>46044</v>
      </c>
      <c r="E907" s="1" t="n">
        <v>46310</v>
      </c>
      <c r="F907" t="inlineStr">
        <is>
          <t>VÄSTERNORRLANDS LÄN</t>
        </is>
      </c>
      <c r="G907" t="inlineStr">
        <is>
          <t>ÅNGE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19912-2026</t>
        </is>
      </c>
      <c r="B908" t="inlineStr">
        <is>
          <t>avverkningsanmälan</t>
        </is>
      </c>
      <c r="C908" t="inlineStr">
        <is>
          <t>Föryngringsavverkning</t>
        </is>
      </c>
      <c r="D908" s="1" t="n">
        <v>46136</v>
      </c>
      <c r="E908" s="1" t="n">
        <v>46310</v>
      </c>
      <c r="F908" t="inlineStr">
        <is>
          <t>VÄSTERNORRLANDS LÄN</t>
        </is>
      </c>
      <c r="G908" t="inlineStr">
        <is>
          <t>ÅNGE</t>
        </is>
      </c>
      <c r="I908" t="n">
        <v>7.7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54585-2024</t>
        </is>
      </c>
      <c r="B909" t="inlineStr">
        <is>
          <t>avverkningsanmälan</t>
        </is>
      </c>
      <c r="C909" t="inlineStr">
        <is>
          <t>Föryngringsavverkning</t>
        </is>
      </c>
      <c r="D909" s="1" t="n">
        <v>45617</v>
      </c>
      <c r="E909" s="1" t="n">
        <v>46310</v>
      </c>
      <c r="F909" t="inlineStr">
        <is>
          <t>VÄSTERNORRLANDS LÄN</t>
        </is>
      </c>
      <c r="G909" t="inlineStr">
        <is>
          <t>ÅNGE</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4327-2026</t>
        </is>
      </c>
      <c r="B910" t="inlineStr">
        <is>
          <t>avverkningsanmälan</t>
        </is>
      </c>
      <c r="C910" t="inlineStr">
        <is>
          <t>Föryngringsavverkning</t>
        </is>
      </c>
      <c r="D910" s="1" t="n">
        <v>46045</v>
      </c>
      <c r="E910" s="1" t="n">
        <v>46310</v>
      </c>
      <c r="F910" t="inlineStr">
        <is>
          <t>VÄSTERNORRLANDS LÄN</t>
        </is>
      </c>
      <c r="G910" t="inlineStr">
        <is>
          <t>ÅNGE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4442-2026</t>
        </is>
      </c>
      <c r="B911" t="inlineStr">
        <is>
          <t>avverkningsanmälan</t>
        </is>
      </c>
      <c r="C911" t="inlineStr">
        <is>
          <t>Föryngringsavverkning</t>
        </is>
      </c>
      <c r="D911" s="1" t="n">
        <v>46045</v>
      </c>
      <c r="E911" s="1" t="n">
        <v>46310</v>
      </c>
      <c r="F911" t="inlineStr">
        <is>
          <t>VÄSTERNORRLANDS LÄN</t>
        </is>
      </c>
      <c r="G911" t="inlineStr">
        <is>
          <t>ÅNGE</t>
        </is>
      </c>
      <c r="H911" t="inlineStr">
        <is>
          <t>SCA</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17452-2025</t>
        </is>
      </c>
      <c r="B912" t="inlineStr">
        <is>
          <t>avverkningsanmälan</t>
        </is>
      </c>
      <c r="C912" t="inlineStr">
        <is>
          <t>Föryngringsavverkning</t>
        </is>
      </c>
      <c r="D912" s="1" t="n">
        <v>45757</v>
      </c>
      <c r="E912" s="1" t="n">
        <v>46310</v>
      </c>
      <c r="F912" t="inlineStr">
        <is>
          <t>VÄSTERNORRLANDS LÄN</t>
        </is>
      </c>
      <c r="G912" t="inlineStr">
        <is>
          <t>ÅNGE</t>
        </is>
      </c>
      <c r="H912" t="inlineStr">
        <is>
          <t>SCA</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4328-2026</t>
        </is>
      </c>
      <c r="B913" t="inlineStr">
        <is>
          <t>avverkningsanmälan</t>
        </is>
      </c>
      <c r="C913" t="inlineStr">
        <is>
          <t>Föryngringsavverkning</t>
        </is>
      </c>
      <c r="D913" s="1" t="n">
        <v>46045</v>
      </c>
      <c r="E913" s="1" t="n">
        <v>46310</v>
      </c>
      <c r="F913" t="inlineStr">
        <is>
          <t>VÄSTERNORRLANDS LÄN</t>
        </is>
      </c>
      <c r="G913" t="inlineStr">
        <is>
          <t>ÅNGE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30753-2024</t>
        </is>
      </c>
      <c r="B914" t="inlineStr">
        <is>
          <t>avverkningsanmälan</t>
        </is>
      </c>
      <c r="C914" t="inlineStr">
        <is>
          <t>Avverkning för annat ändamål</t>
        </is>
      </c>
      <c r="D914" s="1" t="n">
        <v>45496</v>
      </c>
      <c r="E914" s="1" t="n">
        <v>46310</v>
      </c>
      <c r="F914" t="inlineStr">
        <is>
          <t>VÄSTERNORRLANDS LÄN</t>
        </is>
      </c>
      <c r="G914" t="inlineStr">
        <is>
          <t>ÅNGE</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4586-2026</t>
        </is>
      </c>
      <c r="B915" t="inlineStr">
        <is>
          <t>avverkningsanmälan</t>
        </is>
      </c>
      <c r="C915" t="inlineStr">
        <is>
          <t>Föryngringsavverkning</t>
        </is>
      </c>
      <c r="D915" s="1" t="n">
        <v>46048</v>
      </c>
      <c r="E915" s="1" t="n">
        <v>46310</v>
      </c>
      <c r="F915" t="inlineStr">
        <is>
          <t>VÄSTERNORRLANDS LÄN</t>
        </is>
      </c>
      <c r="G915" t="inlineStr">
        <is>
          <t>ÅNGE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4592-2026</t>
        </is>
      </c>
      <c r="B916" t="inlineStr">
        <is>
          <t>avverkningsanmälan</t>
        </is>
      </c>
      <c r="C916" t="inlineStr">
        <is>
          <t>Föryngringsavverkning</t>
        </is>
      </c>
      <c r="D916" s="1" t="n">
        <v>46048</v>
      </c>
      <c r="E916" s="1" t="n">
        <v>46310</v>
      </c>
      <c r="F916" t="inlineStr">
        <is>
          <t>VÄSTERNORRLANDS LÄN</t>
        </is>
      </c>
      <c r="G916" t="inlineStr">
        <is>
          <t>ÅNGE</t>
        </is>
      </c>
      <c r="H916" t="inlineStr">
        <is>
          <t>SCA</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12751-2026</t>
        </is>
      </c>
      <c r="B917" t="inlineStr">
        <is>
          <t>avverkningsanmälan</t>
        </is>
      </c>
      <c r="C917" t="inlineStr">
        <is>
          <t>Föryngringsavverkning</t>
        </is>
      </c>
      <c r="D917" s="1" t="n">
        <v>46091</v>
      </c>
      <c r="E917" s="1" t="n">
        <v>46310</v>
      </c>
      <c r="F917" t="inlineStr">
        <is>
          <t>VÄSTERNORRLANDS LÄN</t>
        </is>
      </c>
      <c r="G917" t="inlineStr">
        <is>
          <t>ÅNGE</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5135-2026</t>
        </is>
      </c>
      <c r="B918" t="inlineStr">
        <is>
          <t>avverkningsanmälan</t>
        </is>
      </c>
      <c r="C918" t="inlineStr">
        <is>
          <t>Föryngringsavverkning</t>
        </is>
      </c>
      <c r="D918" s="1" t="n">
        <v>46049</v>
      </c>
      <c r="E918" s="1" t="n">
        <v>46310</v>
      </c>
      <c r="F918" t="inlineStr">
        <is>
          <t>VÄSTERNORRLANDS LÄN</t>
        </is>
      </c>
      <c r="G918" t="inlineStr">
        <is>
          <t>ÅNGE</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31729-2024</t>
        </is>
      </c>
      <c r="B919" t="inlineStr">
        <is>
          <t>avverkningsanmälan</t>
        </is>
      </c>
      <c r="C919" t="inlineStr">
        <is>
          <t>Föryngringsavverkning</t>
        </is>
      </c>
      <c r="D919" s="1" t="n">
        <v>45509</v>
      </c>
      <c r="E919" s="1" t="n">
        <v>46310</v>
      </c>
      <c r="F919" t="inlineStr">
        <is>
          <t>VÄSTERNORRLANDS LÄN</t>
        </is>
      </c>
      <c r="G919" t="inlineStr">
        <is>
          <t>ÅNGE</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20474-2026</t>
        </is>
      </c>
      <c r="B920" t="inlineStr">
        <is>
          <t>avverkningsanmälan</t>
        </is>
      </c>
      <c r="C920" t="inlineStr">
        <is>
          <t>Föryngringsavverkning</t>
        </is>
      </c>
      <c r="D920" s="1" t="n">
        <v>46140</v>
      </c>
      <c r="E920" s="1" t="n">
        <v>46310</v>
      </c>
      <c r="F920" t="inlineStr">
        <is>
          <t>VÄSTERNORRLANDS LÄN</t>
        </is>
      </c>
      <c r="G920" t="inlineStr">
        <is>
          <t>ÅNGE</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1826-2026</t>
        </is>
      </c>
      <c r="B921" t="inlineStr">
        <is>
          <t>avverkningsanmälan</t>
        </is>
      </c>
      <c r="C921" t="inlineStr">
        <is>
          <t>Föryngringsavverkning</t>
        </is>
      </c>
      <c r="D921" s="1" t="n">
        <v>46035</v>
      </c>
      <c r="E921" s="1" t="n">
        <v>46310</v>
      </c>
      <c r="F921" t="inlineStr">
        <is>
          <t>VÄSTERNORRLANDS LÄN</t>
        </is>
      </c>
      <c r="G921" t="inlineStr">
        <is>
          <t>ÅNGE</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10409-2026</t>
        </is>
      </c>
      <c r="B922" t="inlineStr">
        <is>
          <t>avverkningsanmälan</t>
        </is>
      </c>
      <c r="C922" t="inlineStr">
        <is>
          <t>Föryngringsavverkning</t>
        </is>
      </c>
      <c r="D922" s="1" t="n">
        <v>46077</v>
      </c>
      <c r="E922" s="1" t="n">
        <v>46310</v>
      </c>
      <c r="F922" t="inlineStr">
        <is>
          <t>VÄSTERNORRLANDS LÄN</t>
        </is>
      </c>
      <c r="G922" t="inlineStr">
        <is>
          <t>ÅNGE</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5999-2025</t>
        </is>
      </c>
      <c r="B923" t="inlineStr">
        <is>
          <t>avverkningsanmälan</t>
        </is>
      </c>
      <c r="C923" t="inlineStr">
        <is>
          <t>Föryngringsavverkning</t>
        </is>
      </c>
      <c r="D923" s="1" t="n">
        <v>45695</v>
      </c>
      <c r="E923" s="1" t="n">
        <v>46310</v>
      </c>
      <c r="F923" t="inlineStr">
        <is>
          <t>VÄSTERNORRLANDS LÄN</t>
        </is>
      </c>
      <c r="G923" t="inlineStr">
        <is>
          <t>ÅNGE</t>
        </is>
      </c>
      <c r="H923" t="inlineStr">
        <is>
          <t>SCA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5670-2026</t>
        </is>
      </c>
      <c r="B924" t="inlineStr">
        <is>
          <t>avverkningsanmälan</t>
        </is>
      </c>
      <c r="C924" t="inlineStr">
        <is>
          <t>Föryngringsavverkning</t>
        </is>
      </c>
      <c r="D924" s="1" t="n">
        <v>46051</v>
      </c>
      <c r="E924" s="1" t="n">
        <v>46310</v>
      </c>
      <c r="F924" t="inlineStr">
        <is>
          <t>VÄSTERNORRLANDS LÄN</t>
        </is>
      </c>
      <c r="G924" t="inlineStr">
        <is>
          <t>ÅNGE</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20093-2026</t>
        </is>
      </c>
      <c r="B925" t="inlineStr">
        <is>
          <t>avverkningsanmälan</t>
        </is>
      </c>
      <c r="C925" t="inlineStr">
        <is>
          <t>Föryngringsavverkning</t>
        </is>
      </c>
      <c r="D925" s="1" t="n">
        <v>46135</v>
      </c>
      <c r="E925" s="1" t="n">
        <v>46310</v>
      </c>
      <c r="F925" t="inlineStr">
        <is>
          <t>VÄSTERNORRLANDS LÄN</t>
        </is>
      </c>
      <c r="G925" t="inlineStr">
        <is>
          <t>ÅNGE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5671-2026</t>
        </is>
      </c>
      <c r="B926" t="inlineStr">
        <is>
          <t>avverkningsanmälan</t>
        </is>
      </c>
      <c r="C926" t="inlineStr">
        <is>
          <t>Föryngringsavverkning</t>
        </is>
      </c>
      <c r="D926" s="1" t="n">
        <v>46051</v>
      </c>
      <c r="E926" s="1" t="n">
        <v>46310</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20681-2026</t>
        </is>
      </c>
      <c r="B927" t="inlineStr">
        <is>
          <t>avverkningsanmälan</t>
        </is>
      </c>
      <c r="C927" t="inlineStr">
        <is>
          <t>Föryngringsavverkning</t>
        </is>
      </c>
      <c r="D927" s="1" t="n">
        <v>46141</v>
      </c>
      <c r="E927" s="1" t="n">
        <v>46310</v>
      </c>
      <c r="F927" t="inlineStr">
        <is>
          <t>VÄSTERNORRLANDS LÄN</t>
        </is>
      </c>
      <c r="G927" t="inlineStr">
        <is>
          <t>ÅNGE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5470-2026</t>
        </is>
      </c>
      <c r="B928" t="inlineStr">
        <is>
          <t>avverkningsanmälan</t>
        </is>
      </c>
      <c r="C928" t="inlineStr">
        <is>
          <t>Föryngringsavverkning</t>
        </is>
      </c>
      <c r="D928" s="1" t="n">
        <v>46050</v>
      </c>
      <c r="E928" s="1" t="n">
        <v>46310</v>
      </c>
      <c r="F928" t="inlineStr">
        <is>
          <t>VÄSTERNORRLANDS LÄN</t>
        </is>
      </c>
      <c r="G928" t="inlineStr">
        <is>
          <t>ÅNGE</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20682-2026</t>
        </is>
      </c>
      <c r="B929" t="inlineStr">
        <is>
          <t>avverkningsanmälan</t>
        </is>
      </c>
      <c r="C929" t="inlineStr">
        <is>
          <t>Föryngringsavverkning</t>
        </is>
      </c>
      <c r="D929" s="1" t="n">
        <v>46141</v>
      </c>
      <c r="E929" s="1" t="n">
        <v>46310</v>
      </c>
      <c r="F929" t="inlineStr">
        <is>
          <t>VÄSTERNORRLANDS LÄN</t>
        </is>
      </c>
      <c r="G929" t="inlineStr">
        <is>
          <t>ÅNGE</t>
        </is>
      </c>
      <c r="H929" t="inlineStr">
        <is>
          <t>SCA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21176-2025</t>
        </is>
      </c>
      <c r="B930" t="inlineStr">
        <is>
          <t>avverkningsanmälan</t>
        </is>
      </c>
      <c r="C930" t="inlineStr">
        <is>
          <t>Föryngringsavverkning</t>
        </is>
      </c>
      <c r="D930" s="1" t="n">
        <v>45779</v>
      </c>
      <c r="E930" s="1" t="n">
        <v>46310</v>
      </c>
      <c r="F930" t="inlineStr">
        <is>
          <t>VÄSTERNORRLANDS LÄN</t>
        </is>
      </c>
      <c r="G930" t="inlineStr">
        <is>
          <t>ÅNGE</t>
        </is>
      </c>
      <c r="H930" t="inlineStr">
        <is>
          <t>SCA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6901-2026</t>
        </is>
      </c>
      <c r="B931" t="inlineStr">
        <is>
          <t>avverkningsanmälan</t>
        </is>
      </c>
      <c r="C931" t="inlineStr">
        <is>
          <t>Föryngringsavverkning</t>
        </is>
      </c>
      <c r="D931" s="1" t="n">
        <v>46057</v>
      </c>
      <c r="E931" s="1" t="n">
        <v>46310</v>
      </c>
      <c r="F931" t="inlineStr">
        <is>
          <t>VÄSTERNORRLANDS LÄN</t>
        </is>
      </c>
      <c r="G931" t="inlineStr">
        <is>
          <t>ÅNGE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7005-2026</t>
        </is>
      </c>
      <c r="B932" t="inlineStr">
        <is>
          <t>avverkningsanmälan</t>
        </is>
      </c>
      <c r="C932" t="inlineStr">
        <is>
          <t>Föryngringsavverkning</t>
        </is>
      </c>
      <c r="D932" s="1" t="n">
        <v>46057</v>
      </c>
      <c r="E932" s="1" t="n">
        <v>46310</v>
      </c>
      <c r="F932" t="inlineStr">
        <is>
          <t>VÄSTERNORRLANDS LÄN</t>
        </is>
      </c>
      <c r="G932" t="inlineStr">
        <is>
          <t>ÅNGE</t>
        </is>
      </c>
      <c r="H932" t="inlineStr">
        <is>
          <t>SCA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6542-2026</t>
        </is>
      </c>
      <c r="B933" t="inlineStr">
        <is>
          <t>avverkningsanmälan</t>
        </is>
      </c>
      <c r="C933" t="inlineStr">
        <is>
          <t>Föryngringsavverkning</t>
        </is>
      </c>
      <c r="D933" s="1" t="n">
        <v>46056</v>
      </c>
      <c r="E933" s="1" t="n">
        <v>46310</v>
      </c>
      <c r="F933" t="inlineStr">
        <is>
          <t>VÄSTERNORRLANDS LÄN</t>
        </is>
      </c>
      <c r="G933" t="inlineStr">
        <is>
          <t>ÅNGE</t>
        </is>
      </c>
      <c r="H933" t="inlineStr">
        <is>
          <t>SCA</t>
        </is>
      </c>
      <c r="I933" t="n">
        <v>28.5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6547-2026</t>
        </is>
      </c>
      <c r="B934" t="inlineStr">
        <is>
          <t>avverkningsanmälan</t>
        </is>
      </c>
      <c r="C934" t="inlineStr">
        <is>
          <t>Föryngringsavverkning</t>
        </is>
      </c>
      <c r="D934" s="1" t="n">
        <v>46056</v>
      </c>
      <c r="E934" s="1" t="n">
        <v>46310</v>
      </c>
      <c r="F934" t="inlineStr">
        <is>
          <t>VÄSTERNORRLANDS LÄN</t>
        </is>
      </c>
      <c r="G934" t="inlineStr">
        <is>
          <t>ÅNGE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6795-2026</t>
        </is>
      </c>
      <c r="B935" t="inlineStr">
        <is>
          <t>avverkningsanmälan</t>
        </is>
      </c>
      <c r="C935" t="inlineStr">
        <is>
          <t>Föryngringsavverkning</t>
        </is>
      </c>
      <c r="D935" s="1" t="n">
        <v>46057</v>
      </c>
      <c r="E935" s="1" t="n">
        <v>46310</v>
      </c>
      <c r="F935" t="inlineStr">
        <is>
          <t>VÄSTERNORRLANDS LÄN</t>
        </is>
      </c>
      <c r="G935" t="inlineStr">
        <is>
          <t>ÅNGE</t>
        </is>
      </c>
      <c r="H935" t="inlineStr">
        <is>
          <t>SCA</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6797-2026</t>
        </is>
      </c>
      <c r="B936" t="inlineStr">
        <is>
          <t>avverkningsanmälan</t>
        </is>
      </c>
      <c r="C936" t="inlineStr">
        <is>
          <t>Föryngringsavverkning</t>
        </is>
      </c>
      <c r="D936" s="1" t="n">
        <v>46057</v>
      </c>
      <c r="E936" s="1" t="n">
        <v>46310</v>
      </c>
      <c r="F936" t="inlineStr">
        <is>
          <t>VÄSTERNORRLANDS LÄN</t>
        </is>
      </c>
      <c r="G936" t="inlineStr">
        <is>
          <t>ÅNGE</t>
        </is>
      </c>
      <c r="H936" t="inlineStr">
        <is>
          <t>SCA</t>
        </is>
      </c>
      <c r="I936" t="n">
        <v>10.7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6918-2026</t>
        </is>
      </c>
      <c r="B937" t="inlineStr">
        <is>
          <t>avverkningsanmälan</t>
        </is>
      </c>
      <c r="C937" t="inlineStr">
        <is>
          <t>Föryngringsavverkning</t>
        </is>
      </c>
      <c r="D937" s="1" t="n">
        <v>46057</v>
      </c>
      <c r="E937" s="1" t="n">
        <v>46310</v>
      </c>
      <c r="F937" t="inlineStr">
        <is>
          <t>VÄSTERNORRLANDS LÄN</t>
        </is>
      </c>
      <c r="G937" t="inlineStr">
        <is>
          <t>ÅNGE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6932-2026</t>
        </is>
      </c>
      <c r="B938" t="inlineStr">
        <is>
          <t>avverkningsanmälan</t>
        </is>
      </c>
      <c r="C938" t="inlineStr">
        <is>
          <t>Föryngringsavverkning</t>
        </is>
      </c>
      <c r="D938" s="1" t="n">
        <v>46057</v>
      </c>
      <c r="E938" s="1" t="n">
        <v>46310</v>
      </c>
      <c r="F938" t="inlineStr">
        <is>
          <t>VÄSTERNORRLANDS LÄN</t>
        </is>
      </c>
      <c r="G938" t="inlineStr">
        <is>
          <t>ÅNGE</t>
        </is>
      </c>
      <c r="I938" t="n">
        <v>11.2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31041-2025</t>
        </is>
      </c>
      <c r="B939" t="inlineStr">
        <is>
          <t>avverkningsanmälan</t>
        </is>
      </c>
      <c r="C939" t="inlineStr">
        <is>
          <t>Föryngringsavverkning</t>
        </is>
      </c>
      <c r="D939" s="1" t="n">
        <v>45832</v>
      </c>
      <c r="E939" s="1" t="n">
        <v>46310</v>
      </c>
      <c r="F939" t="inlineStr">
        <is>
          <t>VÄSTERNORRLANDS LÄN</t>
        </is>
      </c>
      <c r="G939" t="inlineStr">
        <is>
          <t>ÅNGE</t>
        </is>
      </c>
      <c r="H939" t="inlineStr">
        <is>
          <t>SCA</t>
        </is>
      </c>
      <c r="I939" t="n">
        <v>15.1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45933-2023</t>
        </is>
      </c>
      <c r="B940" t="inlineStr">
        <is>
          <t>avverkningsanmälan</t>
        </is>
      </c>
      <c r="C940" t="inlineStr">
        <is>
          <t>Avverkning för annat ändamål</t>
        </is>
      </c>
      <c r="D940" s="1" t="n">
        <v>45195</v>
      </c>
      <c r="E940" s="1" t="n">
        <v>46310</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7284-2026</t>
        </is>
      </c>
      <c r="B941" t="inlineStr">
        <is>
          <t>avverkningsanmälan</t>
        </is>
      </c>
      <c r="C941" t="inlineStr">
        <is>
          <t>Föryngringsavverkning</t>
        </is>
      </c>
      <c r="D941" s="1" t="n">
        <v>46058</v>
      </c>
      <c r="E941" s="1" t="n">
        <v>46310</v>
      </c>
      <c r="F941" t="inlineStr">
        <is>
          <t>VÄSTERNORRLANDS LÄN</t>
        </is>
      </c>
      <c r="G941" t="inlineStr">
        <is>
          <t>ÅNGE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46310</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46015-2024</t>
        </is>
      </c>
      <c r="B943" t="inlineStr">
        <is>
          <t>avverkningsanmälan</t>
        </is>
      </c>
      <c r="C943" t="inlineStr">
        <is>
          <t>Föryngringsavverkning</t>
        </is>
      </c>
      <c r="D943" s="1" t="n">
        <v>45580</v>
      </c>
      <c r="E943" s="1" t="n">
        <v>46310</v>
      </c>
      <c r="F943" t="inlineStr">
        <is>
          <t>VÄSTERNORRLANDS LÄN</t>
        </is>
      </c>
      <c r="G943" t="inlineStr">
        <is>
          <t>ÅNGE</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12756-2026</t>
        </is>
      </c>
      <c r="B944" t="inlineStr">
        <is>
          <t>avverkningsanmälan</t>
        </is>
      </c>
      <c r="C944" t="inlineStr">
        <is>
          <t>Föryngringsavverkning</t>
        </is>
      </c>
      <c r="D944" s="1" t="n">
        <v>46091</v>
      </c>
      <c r="E944" s="1" t="n">
        <v>46310</v>
      </c>
      <c r="F944" t="inlineStr">
        <is>
          <t>VÄSTERNORRLANDS LÄN</t>
        </is>
      </c>
      <c r="G944" t="inlineStr">
        <is>
          <t>ÅNGE</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7283-2026</t>
        </is>
      </c>
      <c r="B945" t="inlineStr">
        <is>
          <t>avverkningsanmälan</t>
        </is>
      </c>
      <c r="C945" t="inlineStr">
        <is>
          <t>Föryngringsavverkning</t>
        </is>
      </c>
      <c r="D945" s="1" t="n">
        <v>46058</v>
      </c>
      <c r="E945" s="1" t="n">
        <v>46310</v>
      </c>
      <c r="F945" t="inlineStr">
        <is>
          <t>VÄSTERNORRLANDS LÄN</t>
        </is>
      </c>
      <c r="G945" t="inlineStr">
        <is>
          <t>ÅNGE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42863-2025</t>
        </is>
      </c>
      <c r="B946" t="inlineStr">
        <is>
          <t>avverkningsanmälan</t>
        </is>
      </c>
      <c r="C946" t="inlineStr">
        <is>
          <t>Föryngringsavverkning</t>
        </is>
      </c>
      <c r="D946" s="1" t="n">
        <v>45908</v>
      </c>
      <c r="E946" s="1" t="n">
        <v>46310</v>
      </c>
      <c r="F946" t="inlineStr">
        <is>
          <t>VÄSTERNORRLANDS LÄN</t>
        </is>
      </c>
      <c r="G946" t="inlineStr">
        <is>
          <t>ÅNGE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7548-2026</t>
        </is>
      </c>
      <c r="B947" t="inlineStr">
        <is>
          <t>avverkningsanmälan</t>
        </is>
      </c>
      <c r="C947" t="inlineStr">
        <is>
          <t>Föryngringsavverkning</t>
        </is>
      </c>
      <c r="D947" s="1" t="n">
        <v>46059</v>
      </c>
      <c r="E947" s="1" t="n">
        <v>46310</v>
      </c>
      <c r="F947" t="inlineStr">
        <is>
          <t>VÄSTERNORRLANDS LÄN</t>
        </is>
      </c>
      <c r="G947" t="inlineStr">
        <is>
          <t>ÅNGE</t>
        </is>
      </c>
      <c r="H947" t="inlineStr">
        <is>
          <t>SCA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7634-2026</t>
        </is>
      </c>
      <c r="B948" t="inlineStr">
        <is>
          <t>avverkningsanmälan</t>
        </is>
      </c>
      <c r="C948" t="inlineStr">
        <is>
          <t>Föryngringsavverkning</t>
        </is>
      </c>
      <c r="D948" s="1" t="n">
        <v>46062</v>
      </c>
      <c r="E948" s="1" t="n">
        <v>46310</v>
      </c>
      <c r="F948" t="inlineStr">
        <is>
          <t>VÄSTERNORRLANDS LÄN</t>
        </is>
      </c>
      <c r="G948" t="inlineStr">
        <is>
          <t>ÅNGE</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7946-2026</t>
        </is>
      </c>
      <c r="B949" t="inlineStr">
        <is>
          <t>avverkningsanmälan</t>
        </is>
      </c>
      <c r="C949" t="inlineStr">
        <is>
          <t>Avverkning för annat ändamål</t>
        </is>
      </c>
      <c r="D949" s="1" t="n">
        <v>46062</v>
      </c>
      <c r="E949" s="1" t="n">
        <v>46310</v>
      </c>
      <c r="F949" t="inlineStr">
        <is>
          <t>VÄSTERNORRLANDS LÄN</t>
        </is>
      </c>
      <c r="G949" t="inlineStr">
        <is>
          <t>ÅNGE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14413-2026</t>
        </is>
      </c>
      <c r="B950" t="inlineStr">
        <is>
          <t>avverkningsanmälan</t>
        </is>
      </c>
      <c r="C950" t="inlineStr">
        <is>
          <t>Föryngringsavverkning</t>
        </is>
      </c>
      <c r="D950" s="1" t="n">
        <v>46100</v>
      </c>
      <c r="E950" s="1" t="n">
        <v>46310</v>
      </c>
      <c r="F950" t="inlineStr">
        <is>
          <t>VÄSTERNORRLANDS LÄN</t>
        </is>
      </c>
      <c r="G950" t="inlineStr">
        <is>
          <t>ÅNGE</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1846-2026</t>
        </is>
      </c>
      <c r="B951" t="inlineStr">
        <is>
          <t>avverkningsanmälan</t>
        </is>
      </c>
      <c r="C951" t="inlineStr">
        <is>
          <t>Föryngringsavverkning</t>
        </is>
      </c>
      <c r="D951" s="1" t="n">
        <v>46035</v>
      </c>
      <c r="E951" s="1" t="n">
        <v>46310</v>
      </c>
      <c r="F951" t="inlineStr">
        <is>
          <t>VÄSTERNORRLANDS LÄN</t>
        </is>
      </c>
      <c r="G951" t="inlineStr">
        <is>
          <t>ÅNGE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12760-2026</t>
        </is>
      </c>
      <c r="B952" t="inlineStr">
        <is>
          <t>avverkningsanmälan</t>
        </is>
      </c>
      <c r="C952" t="inlineStr">
        <is>
          <t>Föryngringsavverkning</t>
        </is>
      </c>
      <c r="D952" s="1" t="n">
        <v>46091</v>
      </c>
      <c r="E952" s="1" t="n">
        <v>46310</v>
      </c>
      <c r="F952" t="inlineStr">
        <is>
          <t>VÄSTERNORRLANDS LÄN</t>
        </is>
      </c>
      <c r="G952" t="inlineStr">
        <is>
          <t>ÅNGE</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8499-2026</t>
        </is>
      </c>
      <c r="B953" t="inlineStr">
        <is>
          <t>avverkningsanmälan</t>
        </is>
      </c>
      <c r="C953" t="inlineStr">
        <is>
          <t>Föryngringsavverkning</t>
        </is>
      </c>
      <c r="D953" s="1" t="n">
        <v>46065</v>
      </c>
      <c r="E953" s="1" t="n">
        <v>46310</v>
      </c>
      <c r="F953" t="inlineStr">
        <is>
          <t>VÄSTERNORRLANDS LÄN</t>
        </is>
      </c>
      <c r="G953" t="inlineStr">
        <is>
          <t>ÅNGE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8284-2026</t>
        </is>
      </c>
      <c r="B954" t="inlineStr">
        <is>
          <t>avverkningsanmälan</t>
        </is>
      </c>
      <c r="C954" t="inlineStr">
        <is>
          <t>Föryngringsavverkning</t>
        </is>
      </c>
      <c r="D954" s="1" t="n">
        <v>46064</v>
      </c>
      <c r="E954" s="1" t="n">
        <v>46310</v>
      </c>
      <c r="F954" t="inlineStr">
        <is>
          <t>VÄSTERNORRLANDS LÄN</t>
        </is>
      </c>
      <c r="G954" t="inlineStr">
        <is>
          <t>ÅNGE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10705-2026</t>
        </is>
      </c>
      <c r="B955" t="inlineStr">
        <is>
          <t>avverkningsanmälan</t>
        </is>
      </c>
      <c r="C955" t="inlineStr">
        <is>
          <t>Föryngringsavverkning</t>
        </is>
      </c>
      <c r="D955" s="1" t="n">
        <v>46078</v>
      </c>
      <c r="E955" s="1" t="n">
        <v>46310</v>
      </c>
      <c r="F955" t="inlineStr">
        <is>
          <t>VÄSTERNORRLANDS LÄN</t>
        </is>
      </c>
      <c r="G955" t="inlineStr">
        <is>
          <t>ÅNGE</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10708-2026</t>
        </is>
      </c>
      <c r="B956" t="inlineStr">
        <is>
          <t>avverkningsanmälan</t>
        </is>
      </c>
      <c r="C956" t="inlineStr">
        <is>
          <t>Föryngringsavverkning</t>
        </is>
      </c>
      <c r="D956" s="1" t="n">
        <v>46078</v>
      </c>
      <c r="E956" s="1" t="n">
        <v>46310</v>
      </c>
      <c r="F956" t="inlineStr">
        <is>
          <t>VÄSTERNORRLANDS LÄN</t>
        </is>
      </c>
      <c r="G956" t="inlineStr">
        <is>
          <t>ÅNGE</t>
        </is>
      </c>
      <c r="H956" t="inlineStr">
        <is>
          <t>SCA</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8143-2026</t>
        </is>
      </c>
      <c r="B957" t="inlineStr">
        <is>
          <t>avverkningsanmälan</t>
        </is>
      </c>
      <c r="C957" t="inlineStr">
        <is>
          <t>Föryngringsavverkning</t>
        </is>
      </c>
      <c r="D957" s="1" t="n">
        <v>46064</v>
      </c>
      <c r="E957" s="1" t="n">
        <v>46310</v>
      </c>
      <c r="F957" t="inlineStr">
        <is>
          <t>VÄSTERNORRLANDS LÄN</t>
        </is>
      </c>
      <c r="G957" t="inlineStr">
        <is>
          <t>ÅNGE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57271-2024</t>
        </is>
      </c>
      <c r="B958" t="inlineStr">
        <is>
          <t>avverkningsanmälan</t>
        </is>
      </c>
      <c r="C958" t="inlineStr">
        <is>
          <t>Föryngringsavverkning</t>
        </is>
      </c>
      <c r="D958" s="1" t="n">
        <v>45629</v>
      </c>
      <c r="E958" s="1" t="n">
        <v>46310</v>
      </c>
      <c r="F958" t="inlineStr">
        <is>
          <t>VÄSTERNORRLANDS LÄN</t>
        </is>
      </c>
      <c r="G958" t="inlineStr">
        <is>
          <t>ÅNGE</t>
        </is>
      </c>
      <c r="H958" t="inlineStr">
        <is>
          <t>SCA</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9480-2022</t>
        </is>
      </c>
      <c r="B959" t="inlineStr">
        <is>
          <t>avverkningsanmälan</t>
        </is>
      </c>
      <c r="C959" t="inlineStr">
        <is>
          <t>Föryngringsavverkning</t>
        </is>
      </c>
      <c r="D959" s="1" t="n">
        <v>44616</v>
      </c>
      <c r="E959" s="1" t="n">
        <v>46310</v>
      </c>
      <c r="F959" t="inlineStr">
        <is>
          <t>VÄSTERNORRLANDS LÄN</t>
        </is>
      </c>
      <c r="G959" t="inlineStr">
        <is>
          <t>ÅNGE</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51124-2024</t>
        </is>
      </c>
      <c r="B960" t="inlineStr">
        <is>
          <t>avverkningsanmälan</t>
        </is>
      </c>
      <c r="C960" t="inlineStr">
        <is>
          <t>Föryngringsavverkning</t>
        </is>
      </c>
      <c r="D960" s="1" t="n">
        <v>45603</v>
      </c>
      <c r="E960" s="1" t="n">
        <v>46310</v>
      </c>
      <c r="F960" t="inlineStr">
        <is>
          <t>VÄSTERNORRLANDS LÄN</t>
        </is>
      </c>
      <c r="G960" t="inlineStr">
        <is>
          <t>ÅNGE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21254-2026</t>
        </is>
      </c>
      <c r="B961" t="inlineStr">
        <is>
          <t>avverkningsanmälan</t>
        </is>
      </c>
      <c r="C961" t="inlineStr">
        <is>
          <t>Föryngringsavverkning</t>
        </is>
      </c>
      <c r="D961" s="1" t="n">
        <v>46147</v>
      </c>
      <c r="E961" s="1" t="n">
        <v>46310</v>
      </c>
      <c r="F961" t="inlineStr">
        <is>
          <t>VÄSTERNORRLANDS LÄN</t>
        </is>
      </c>
      <c r="G961" t="inlineStr">
        <is>
          <t>ÅNGE</t>
        </is>
      </c>
      <c r="H961" t="inlineStr">
        <is>
          <t>SCA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21351-2026</t>
        </is>
      </c>
      <c r="B962" t="inlineStr">
        <is>
          <t>avverkningsanmälan</t>
        </is>
      </c>
      <c r="C962" t="inlineStr">
        <is>
          <t>Föryngringsavverkning</t>
        </is>
      </c>
      <c r="D962" s="1" t="n">
        <v>46147</v>
      </c>
      <c r="E962" s="1" t="n">
        <v>46310</v>
      </c>
      <c r="F962" t="inlineStr">
        <is>
          <t>VÄSTERNORRLANDS LÄN</t>
        </is>
      </c>
      <c r="G962" t="inlineStr">
        <is>
          <t>ÅNGE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21201-2026</t>
        </is>
      </c>
      <c r="B963" t="inlineStr">
        <is>
          <t>avverkningsanmälan</t>
        </is>
      </c>
      <c r="C963" t="inlineStr">
        <is>
          <t>Föryngringsavverkning</t>
        </is>
      </c>
      <c r="D963" s="1" t="n">
        <v>46146</v>
      </c>
      <c r="E963" s="1" t="n">
        <v>46310</v>
      </c>
      <c r="F963" t="inlineStr">
        <is>
          <t>VÄSTERNORRLANDS LÄN</t>
        </is>
      </c>
      <c r="G963" t="inlineStr">
        <is>
          <t>ÅNGE</t>
        </is>
      </c>
      <c r="H963" t="inlineStr">
        <is>
          <t>SCA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53512-2023</t>
        </is>
      </c>
      <c r="B964" t="inlineStr">
        <is>
          <t>avverkningsanmälan</t>
        </is>
      </c>
      <c r="C964" t="inlineStr">
        <is>
          <t>Föryngringsavverkning</t>
        </is>
      </c>
      <c r="D964" s="1" t="n">
        <v>45230</v>
      </c>
      <c r="E964" s="1" t="n">
        <v>46310</v>
      </c>
      <c r="F964" t="inlineStr">
        <is>
          <t>VÄSTERNORRLANDS LÄN</t>
        </is>
      </c>
      <c r="G964" t="inlineStr">
        <is>
          <t>ÅNGE</t>
        </is>
      </c>
      <c r="H964" t="inlineStr">
        <is>
          <t>Holmen skog AB</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51377-2024</t>
        </is>
      </c>
      <c r="B965" t="inlineStr">
        <is>
          <t>avverkningsanmälan</t>
        </is>
      </c>
      <c r="C965" t="inlineStr">
        <is>
          <t>Avverkning för annat ändamål</t>
        </is>
      </c>
      <c r="D965" s="1" t="n">
        <v>45604</v>
      </c>
      <c r="E965" s="1" t="n">
        <v>46310</v>
      </c>
      <c r="F965" t="inlineStr">
        <is>
          <t>VÄSTERNORRLANDS LÄN</t>
        </is>
      </c>
      <c r="G965" t="inlineStr">
        <is>
          <t>ÅNGE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44876-2024</t>
        </is>
      </c>
      <c r="B966" t="inlineStr">
        <is>
          <t>avverkningsanmälan</t>
        </is>
      </c>
      <c r="C966" t="inlineStr">
        <is>
          <t>Avverkning för att bevara och utveckla /försöksver</t>
        </is>
      </c>
      <c r="D966" s="1" t="n">
        <v>45575</v>
      </c>
      <c r="E966" s="1" t="n">
        <v>46310</v>
      </c>
      <c r="F966" t="inlineStr">
        <is>
          <t>VÄSTERNORRLANDS LÄN</t>
        </is>
      </c>
      <c r="G966" t="inlineStr">
        <is>
          <t>ÅNGE</t>
        </is>
      </c>
      <c r="H966" t="inlineStr">
        <is>
          <t>SCA</t>
        </is>
      </c>
      <c r="I966" t="n">
        <v>12.4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20229-2022</t>
        </is>
      </c>
      <c r="B967" t="inlineStr">
        <is>
          <t>avverkningsanmälan</t>
        </is>
      </c>
      <c r="C967" t="inlineStr">
        <is>
          <t>Föryngringsavverkning</t>
        </is>
      </c>
      <c r="D967" s="1" t="n">
        <v>44698</v>
      </c>
      <c r="E967" s="1" t="n">
        <v>46310</v>
      </c>
      <c r="F967" t="inlineStr">
        <is>
          <t>VÄSTERNORRLANDS LÄN</t>
        </is>
      </c>
      <c r="G967" t="inlineStr">
        <is>
          <t>ÅNGE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14097-2022</t>
        </is>
      </c>
      <c r="B968" t="inlineStr">
        <is>
          <t>avverkningsanmälan</t>
        </is>
      </c>
      <c r="C968" t="inlineStr">
        <is>
          <t>Föryngringsavverkning</t>
        </is>
      </c>
      <c r="D968" s="1" t="n">
        <v>44651</v>
      </c>
      <c r="E968" s="1" t="n">
        <v>46310</v>
      </c>
      <c r="F968" t="inlineStr">
        <is>
          <t>VÄSTERNORRLANDS LÄN</t>
        </is>
      </c>
      <c r="G968" t="inlineStr">
        <is>
          <t>ÅNGE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32901-2023</t>
        </is>
      </c>
      <c r="B969" t="inlineStr">
        <is>
          <t>avverkningsanmälan</t>
        </is>
      </c>
      <c r="C969" t="inlineStr">
        <is>
          <t>Föryngringsavverkning</t>
        </is>
      </c>
      <c r="D969" s="1" t="n">
        <v>45124</v>
      </c>
      <c r="E969" s="1" t="n">
        <v>46310</v>
      </c>
      <c r="F969" t="inlineStr">
        <is>
          <t>VÄSTERNORRLANDS LÄN</t>
        </is>
      </c>
      <c r="G969" t="inlineStr">
        <is>
          <t>ÅNGE</t>
        </is>
      </c>
      <c r="H969" t="inlineStr">
        <is>
          <t>SCA</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21466-2026</t>
        </is>
      </c>
      <c r="B970" t="inlineStr">
        <is>
          <t>avverkningsanmälan</t>
        </is>
      </c>
      <c r="C970" t="inlineStr">
        <is>
          <t>Föryngringsavverkning</t>
        </is>
      </c>
      <c r="D970" s="1" t="n">
        <v>46148</v>
      </c>
      <c r="E970" s="1" t="n">
        <v>46310</v>
      </c>
      <c r="F970" t="inlineStr">
        <is>
          <t>VÄSTERNORRLANDS LÄN</t>
        </is>
      </c>
      <c r="G970" t="inlineStr">
        <is>
          <t>ÅNGE</t>
        </is>
      </c>
      <c r="H970" t="inlineStr">
        <is>
          <t>SCA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15603-2024</t>
        </is>
      </c>
      <c r="B971" t="inlineStr">
        <is>
          <t>avverkningsanmälan</t>
        </is>
      </c>
      <c r="C971" t="inlineStr">
        <is>
          <t>Föryngringsavverkning</t>
        </is>
      </c>
      <c r="D971" s="1" t="n">
        <v>45401</v>
      </c>
      <c r="E971" s="1" t="n">
        <v>46310</v>
      </c>
      <c r="F971" t="inlineStr">
        <is>
          <t>VÄSTERNORRLANDS LÄN</t>
        </is>
      </c>
      <c r="G971" t="inlineStr">
        <is>
          <t>ÅNGE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21692-2026</t>
        </is>
      </c>
      <c r="B972" t="inlineStr">
        <is>
          <t>avverkningsanmälan</t>
        </is>
      </c>
      <c r="C972" t="inlineStr">
        <is>
          <t>Föryngringsavverkning</t>
        </is>
      </c>
      <c r="D972" s="1" t="n">
        <v>46149</v>
      </c>
      <c r="E972" s="1" t="n">
        <v>46310</v>
      </c>
      <c r="F972" t="inlineStr">
        <is>
          <t>VÄSTERNORRLANDS LÄN</t>
        </is>
      </c>
      <c r="G972" t="inlineStr">
        <is>
          <t>ÅNGE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21437-2026</t>
        </is>
      </c>
      <c r="B973" t="inlineStr">
        <is>
          <t>avverkningsanmälan</t>
        </is>
      </c>
      <c r="C973" t="inlineStr">
        <is>
          <t>Föryngringsavverkning</t>
        </is>
      </c>
      <c r="D973" s="1" t="n">
        <v>46148</v>
      </c>
      <c r="E973" s="1" t="n">
        <v>46310</v>
      </c>
      <c r="F973" t="inlineStr">
        <is>
          <t>VÄSTERNORRLANDS LÄN</t>
        </is>
      </c>
      <c r="G973" t="inlineStr">
        <is>
          <t>ÅNGE</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21579-2026</t>
        </is>
      </c>
      <c r="B974" t="inlineStr">
        <is>
          <t>avverkningsanmälan</t>
        </is>
      </c>
      <c r="C974" t="inlineStr">
        <is>
          <t>Föryngringsavverkning</t>
        </is>
      </c>
      <c r="D974" s="1" t="n">
        <v>46148</v>
      </c>
      <c r="E974" s="1" t="n">
        <v>46310</v>
      </c>
      <c r="F974" t="inlineStr">
        <is>
          <t>VÄSTERNORRLANDS LÄN</t>
        </is>
      </c>
      <c r="G974" t="inlineStr">
        <is>
          <t>ÅNGE</t>
        </is>
      </c>
      <c r="H974" t="inlineStr">
        <is>
          <t>SCA</t>
        </is>
      </c>
      <c r="I974" t="n">
        <v>8.199999999999999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46350-2022</t>
        </is>
      </c>
      <c r="B975" t="inlineStr">
        <is>
          <t>avverkningsanmälan</t>
        </is>
      </c>
      <c r="C975" t="inlineStr">
        <is>
          <t>Föryngringsavverkning</t>
        </is>
      </c>
      <c r="D975" s="1" t="n">
        <v>44847</v>
      </c>
      <c r="E975" s="1" t="n">
        <v>46310</v>
      </c>
      <c r="F975" t="inlineStr">
        <is>
          <t>VÄSTERNORRLANDS LÄN</t>
        </is>
      </c>
      <c r="G975" t="inlineStr">
        <is>
          <t>ÅNGE</t>
        </is>
      </c>
      <c r="H975" t="inlineStr">
        <is>
          <t>SCA</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21884-2026</t>
        </is>
      </c>
      <c r="B976" t="inlineStr">
        <is>
          <t>avverkningsanmälan</t>
        </is>
      </c>
      <c r="C976" t="inlineStr">
        <is>
          <t>Föryngringsavverkning</t>
        </is>
      </c>
      <c r="D976" s="1" t="n">
        <v>46150</v>
      </c>
      <c r="E976" s="1" t="n">
        <v>46310</v>
      </c>
      <c r="F976" t="inlineStr">
        <is>
          <t>VÄSTERNORRLANDS LÄN</t>
        </is>
      </c>
      <c r="G976" t="inlineStr">
        <is>
          <t>ÅNGE</t>
        </is>
      </c>
      <c r="H976" t="inlineStr">
        <is>
          <t>SCA</t>
        </is>
      </c>
      <c r="I976" t="n">
        <v>26.9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11310-2023</t>
        </is>
      </c>
      <c r="B977" t="inlineStr">
        <is>
          <t>avverkningsanmälan</t>
        </is>
      </c>
      <c r="C977" t="inlineStr">
        <is>
          <t>Föryngringsavverkning</t>
        </is>
      </c>
      <c r="D977" s="1" t="n">
        <v>44993</v>
      </c>
      <c r="E977" s="1" t="n">
        <v>46310</v>
      </c>
      <c r="F977" t="inlineStr">
        <is>
          <t>VÄSTERNORRLANDS LÄN</t>
        </is>
      </c>
      <c r="G977" t="inlineStr">
        <is>
          <t>ÅNGE</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21409-2022</t>
        </is>
      </c>
      <c r="B978" t="inlineStr">
        <is>
          <t>avverkningsanmälan</t>
        </is>
      </c>
      <c r="C978" t="inlineStr">
        <is>
          <t>Föryngringsavverkning</t>
        </is>
      </c>
      <c r="D978" s="1" t="n">
        <v>44705</v>
      </c>
      <c r="E978" s="1" t="n">
        <v>46310</v>
      </c>
      <c r="F978" t="inlineStr">
        <is>
          <t>VÄSTERNORRLANDS LÄN</t>
        </is>
      </c>
      <c r="G978" t="inlineStr">
        <is>
          <t>ÅNGE</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22191-2026</t>
        </is>
      </c>
      <c r="B979" t="inlineStr">
        <is>
          <t>avverkningsanmälan</t>
        </is>
      </c>
      <c r="C979" t="inlineStr">
        <is>
          <t>Föryngringsavverkning</t>
        </is>
      </c>
      <c r="D979" s="1" t="n">
        <v>46153</v>
      </c>
      <c r="E979" s="1" t="n">
        <v>46310</v>
      </c>
      <c r="F979" t="inlineStr">
        <is>
          <t>VÄSTERNORRLANDS LÄN</t>
        </is>
      </c>
      <c r="G979" t="inlineStr">
        <is>
          <t>ÅNGE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48632-2023</t>
        </is>
      </c>
      <c r="B980" t="inlineStr">
        <is>
          <t>avverkningsanmälan</t>
        </is>
      </c>
      <c r="C980" t="inlineStr">
        <is>
          <t>Föryngringsavverkning</t>
        </is>
      </c>
      <c r="D980" s="1" t="n">
        <v>45208</v>
      </c>
      <c r="E980" s="1" t="n">
        <v>46310</v>
      </c>
      <c r="F980" t="inlineStr">
        <is>
          <t>VÄSTERNORRLANDS LÄN</t>
        </is>
      </c>
      <c r="G980" t="inlineStr">
        <is>
          <t>ÅNGE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20761-2024</t>
        </is>
      </c>
      <c r="B981" t="inlineStr">
        <is>
          <t>avverkningsanmälan</t>
        </is>
      </c>
      <c r="C981" t="inlineStr">
        <is>
          <t>Föryngringsavverkning</t>
        </is>
      </c>
      <c r="D981" s="1" t="n">
        <v>45436</v>
      </c>
      <c r="E981" s="1" t="n">
        <v>46310</v>
      </c>
      <c r="F981" t="inlineStr">
        <is>
          <t>VÄSTERNORRLANDS LÄN</t>
        </is>
      </c>
      <c r="G981" t="inlineStr">
        <is>
          <t>ÅNGE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22040-2026</t>
        </is>
      </c>
      <c r="B982" t="inlineStr">
        <is>
          <t>avverkningsanmälan</t>
        </is>
      </c>
      <c r="C982" t="inlineStr">
        <is>
          <t>Föryngringsavverkning</t>
        </is>
      </c>
      <c r="D982" s="1" t="n">
        <v>46153</v>
      </c>
      <c r="E982" s="1" t="n">
        <v>46310</v>
      </c>
      <c r="F982" t="inlineStr">
        <is>
          <t>VÄSTERNORRLANDS LÄN</t>
        </is>
      </c>
      <c r="G982" t="inlineStr">
        <is>
          <t>ÅNGE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21779-2026</t>
        </is>
      </c>
      <c r="B983" t="inlineStr">
        <is>
          <t>avverkningsanmälan</t>
        </is>
      </c>
      <c r="C983" t="inlineStr">
        <is>
          <t>Föryngringsavverkning</t>
        </is>
      </c>
      <c r="D983" s="1" t="n">
        <v>46150</v>
      </c>
      <c r="E983" s="1" t="n">
        <v>46310</v>
      </c>
      <c r="F983" t="inlineStr">
        <is>
          <t>VÄSTERNORRLANDS LÄN</t>
        </is>
      </c>
      <c r="G983" t="inlineStr">
        <is>
          <t>ÅNGE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25311-2023</t>
        </is>
      </c>
      <c r="B984" t="inlineStr">
        <is>
          <t>avverkningsanmälan</t>
        </is>
      </c>
      <c r="C984" t="inlineStr">
        <is>
          <t>Föryngringsavverkning</t>
        </is>
      </c>
      <c r="D984" s="1" t="n">
        <v>45086</v>
      </c>
      <c r="E984" s="1" t="n">
        <v>46310</v>
      </c>
      <c r="F984" t="inlineStr">
        <is>
          <t>VÄSTERNORRLANDS LÄN</t>
        </is>
      </c>
      <c r="G984" t="inlineStr">
        <is>
          <t>ÅNGE</t>
        </is>
      </c>
      <c r="H984" t="inlineStr">
        <is>
          <t>SCA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57596-2022</t>
        </is>
      </c>
      <c r="B985" t="inlineStr">
        <is>
          <t>avverkningsanmälan</t>
        </is>
      </c>
      <c r="C985" t="inlineStr">
        <is>
          <t>Avverkning för att bevara och utveckla /försöksver</t>
        </is>
      </c>
      <c r="D985" s="1" t="n">
        <v>44896</v>
      </c>
      <c r="E985" s="1" t="n">
        <v>46310</v>
      </c>
      <c r="F985" t="inlineStr">
        <is>
          <t>VÄSTERNORRLANDS LÄN</t>
        </is>
      </c>
      <c r="G985" t="inlineStr">
        <is>
          <t>ÅNGE</t>
        </is>
      </c>
      <c r="H985" t="inlineStr">
        <is>
          <t>SCA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10339-2025</t>
        </is>
      </c>
      <c r="B986" t="inlineStr">
        <is>
          <t>avverkningsanmälan</t>
        </is>
      </c>
      <c r="C986" t="inlineStr">
        <is>
          <t>Föryngringsavverkning</t>
        </is>
      </c>
      <c r="D986" s="1" t="n">
        <v>45720</v>
      </c>
      <c r="E986" s="1" t="n">
        <v>46310</v>
      </c>
      <c r="F986" t="inlineStr">
        <is>
          <t>VÄSTERNORRLANDS LÄN</t>
        </is>
      </c>
      <c r="G986" t="inlineStr">
        <is>
          <t>ÅNGE</t>
        </is>
      </c>
      <c r="H986" t="inlineStr">
        <is>
          <t>SCA</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4593-2026</t>
        </is>
      </c>
      <c r="B987" t="inlineStr">
        <is>
          <t>avverkningsanmälan</t>
        </is>
      </c>
      <c r="C987" t="inlineStr">
        <is>
          <t>Föryngringsavverkning</t>
        </is>
      </c>
      <c r="D987" s="1" t="n">
        <v>46048</v>
      </c>
      <c r="E987" s="1" t="n">
        <v>46310</v>
      </c>
      <c r="F987" t="inlineStr">
        <is>
          <t>VÄSTERNORRLANDS LÄN</t>
        </is>
      </c>
      <c r="G987" t="inlineStr">
        <is>
          <t>ÅNGE</t>
        </is>
      </c>
      <c r="H987" t="inlineStr">
        <is>
          <t>SCA</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22549-2025</t>
        </is>
      </c>
      <c r="B988" t="inlineStr">
        <is>
          <t>avverkningsanmälan</t>
        </is>
      </c>
      <c r="C988" t="inlineStr">
        <is>
          <t>Föryngringsavverkning</t>
        </is>
      </c>
      <c r="D988" s="1" t="n">
        <v>45788</v>
      </c>
      <c r="E988" s="1" t="n">
        <v>46310</v>
      </c>
      <c r="F988" t="inlineStr">
        <is>
          <t>VÄSTERNORRLANDS LÄN</t>
        </is>
      </c>
      <c r="G988" t="inlineStr">
        <is>
          <t>ÅNGE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12581-2024</t>
        </is>
      </c>
      <c r="B989" t="inlineStr">
        <is>
          <t>avverkningsanmälan</t>
        </is>
      </c>
      <c r="C989" t="inlineStr">
        <is>
          <t>Föryngringsavverkning</t>
        </is>
      </c>
      <c r="D989" s="1" t="n">
        <v>45379</v>
      </c>
      <c r="E989" s="1" t="n">
        <v>46310</v>
      </c>
      <c r="F989" t="inlineStr">
        <is>
          <t>VÄSTERNORRLANDS LÄN</t>
        </is>
      </c>
      <c r="G989" t="inlineStr">
        <is>
          <t>ÅNGE</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52665-2024</t>
        </is>
      </c>
      <c r="B990" t="inlineStr">
        <is>
          <t>avverkningsanmälan</t>
        </is>
      </c>
      <c r="C990" t="inlineStr">
        <is>
          <t>Föryngringsavverkning</t>
        </is>
      </c>
      <c r="D990" s="1" t="n">
        <v>45610</v>
      </c>
      <c r="E990" s="1" t="n">
        <v>46310</v>
      </c>
      <c r="F990" t="inlineStr">
        <is>
          <t>VÄSTERNORRLANDS LÄN</t>
        </is>
      </c>
      <c r="G990" t="inlineStr">
        <is>
          <t>ÅNGE</t>
        </is>
      </c>
      <c r="H990" t="inlineStr">
        <is>
          <t>SCA</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20338-2025</t>
        </is>
      </c>
      <c r="B991" t="inlineStr">
        <is>
          <t>avverkningsanmälan</t>
        </is>
      </c>
      <c r="C991" t="inlineStr">
        <is>
          <t>Föryngringsavverkning</t>
        </is>
      </c>
      <c r="D991" s="1" t="n">
        <v>45775</v>
      </c>
      <c r="E991" s="1" t="n">
        <v>46310</v>
      </c>
      <c r="F991" t="inlineStr">
        <is>
          <t>VÄSTERNORRLANDS LÄN</t>
        </is>
      </c>
      <c r="G991" t="inlineStr">
        <is>
          <t>ÅNGE</t>
        </is>
      </c>
      <c r="H991" t="inlineStr">
        <is>
          <t>SCA</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41355-2024</t>
        </is>
      </c>
      <c r="B992" t="inlineStr">
        <is>
          <t>avverkningsanmälan</t>
        </is>
      </c>
      <c r="C992" t="inlineStr">
        <is>
          <t>Föryngringsavverkning</t>
        </is>
      </c>
      <c r="D992" s="1" t="n">
        <v>45559</v>
      </c>
      <c r="E992" s="1" t="n">
        <v>46310</v>
      </c>
      <c r="F992" t="inlineStr">
        <is>
          <t>VÄSTERNORRLANDS LÄN</t>
        </is>
      </c>
      <c r="G992" t="inlineStr">
        <is>
          <t>ÅNGE</t>
        </is>
      </c>
      <c r="H992" t="inlineStr">
        <is>
          <t>SCA</t>
        </is>
      </c>
      <c r="I992" t="n">
        <v>6.1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54342-2023</t>
        </is>
      </c>
      <c r="B993" t="inlineStr">
        <is>
          <t>avverkningsanmälan</t>
        </is>
      </c>
      <c r="C993" t="inlineStr">
        <is>
          <t>Föryngringsavverkning</t>
        </is>
      </c>
      <c r="D993" s="1" t="n">
        <v>45232</v>
      </c>
      <c r="E993" s="1" t="n">
        <v>46310</v>
      </c>
      <c r="F993" t="inlineStr">
        <is>
          <t>VÄSTERNORRLANDS LÄN</t>
        </is>
      </c>
      <c r="G993" t="inlineStr">
        <is>
          <t>ÅNGE</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8569-2026</t>
        </is>
      </c>
      <c r="B994" t="inlineStr">
        <is>
          <t>avverkningsanmälan</t>
        </is>
      </c>
      <c r="C994" t="inlineStr">
        <is>
          <t>Föryngringsavverkning</t>
        </is>
      </c>
      <c r="D994" s="1" t="n">
        <v>46065</v>
      </c>
      <c r="E994" s="1" t="n">
        <v>46310</v>
      </c>
      <c r="F994" t="inlineStr">
        <is>
          <t>VÄSTERNORRLANDS LÄN</t>
        </is>
      </c>
      <c r="G994" t="inlineStr">
        <is>
          <t>ÅNGE</t>
        </is>
      </c>
      <c r="H994" t="inlineStr">
        <is>
          <t>SCA</t>
        </is>
      </c>
      <c r="I994" t="n">
        <v>30.5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22417-2026</t>
        </is>
      </c>
      <c r="B995" t="inlineStr">
        <is>
          <t>avverkningsanmälan</t>
        </is>
      </c>
      <c r="C995" t="inlineStr">
        <is>
          <t>Föryngringsavverkning</t>
        </is>
      </c>
      <c r="D995" s="1" t="n">
        <v>46154</v>
      </c>
      <c r="E995" s="1" t="n">
        <v>46310</v>
      </c>
      <c r="F995" t="inlineStr">
        <is>
          <t>VÄSTERNORRLANDS LÄN</t>
        </is>
      </c>
      <c r="G995" t="inlineStr">
        <is>
          <t>ÅNGE</t>
        </is>
      </c>
      <c r="H995" t="inlineStr">
        <is>
          <t>SCA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19066-2024</t>
        </is>
      </c>
      <c r="B996" t="inlineStr">
        <is>
          <t>avverkningsanmälan</t>
        </is>
      </c>
      <c r="C996" t="inlineStr">
        <is>
          <t>Avverkning för annat ändamål</t>
        </is>
      </c>
      <c r="D996" s="1" t="n">
        <v>45427</v>
      </c>
      <c r="E996" s="1" t="n">
        <v>46310</v>
      </c>
      <c r="F996" t="inlineStr">
        <is>
          <t>VÄSTERNORRLANDS LÄN</t>
        </is>
      </c>
      <c r="G996" t="inlineStr">
        <is>
          <t>ÅNGE</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8070-2022</t>
        </is>
      </c>
      <c r="B997" t="inlineStr">
        <is>
          <t>avverkningsanmälan</t>
        </is>
      </c>
      <c r="C997" t="inlineStr">
        <is>
          <t>Föryngringsavverkning</t>
        </is>
      </c>
      <c r="D997" s="1" t="n">
        <v>44609</v>
      </c>
      <c r="E997" s="1" t="n">
        <v>46310</v>
      </c>
      <c r="F997" t="inlineStr">
        <is>
          <t>VÄSTERNORRLANDS LÄN</t>
        </is>
      </c>
      <c r="G997" t="inlineStr">
        <is>
          <t>ÅNGE</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12479-2026</t>
        </is>
      </c>
      <c r="B998" t="inlineStr">
        <is>
          <t>avverkningsanmälan</t>
        </is>
      </c>
      <c r="C998" t="inlineStr">
        <is>
          <t>Föryngringsavverkning</t>
        </is>
      </c>
      <c r="D998" s="1" t="n">
        <v>46090</v>
      </c>
      <c r="E998" s="1" t="n">
        <v>46310</v>
      </c>
      <c r="F998" t="inlineStr">
        <is>
          <t>VÄSTERNORRLANDS LÄN</t>
        </is>
      </c>
      <c r="G998" t="inlineStr">
        <is>
          <t>ÅNGE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4651-2022</t>
        </is>
      </c>
      <c r="B999" t="inlineStr">
        <is>
          <t>avverkningsanmälan</t>
        </is>
      </c>
      <c r="C999" t="inlineStr">
        <is>
          <t>Föryngringsavverkning</t>
        </is>
      </c>
      <c r="D999" s="1" t="n">
        <v>44592</v>
      </c>
      <c r="E999" s="1" t="n">
        <v>46310</v>
      </c>
      <c r="F999" t="inlineStr">
        <is>
          <t>VÄSTERNORRLANDS LÄN</t>
        </is>
      </c>
      <c r="G999" t="inlineStr">
        <is>
          <t>ÅNGE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22676-2026</t>
        </is>
      </c>
      <c r="B1000" t="inlineStr">
        <is>
          <t>avverkningsanmälan</t>
        </is>
      </c>
      <c r="C1000" t="inlineStr">
        <is>
          <t>Föryngringsavverkning</t>
        </is>
      </c>
      <c r="D1000" s="1" t="n">
        <v>46156</v>
      </c>
      <c r="E1000" s="1" t="n">
        <v>46310</v>
      </c>
      <c r="F1000" t="inlineStr">
        <is>
          <t>VÄSTERNORRLANDS LÄN</t>
        </is>
      </c>
      <c r="G1000" t="inlineStr">
        <is>
          <t>ÅNGE</t>
        </is>
      </c>
      <c r="H1000" t="inlineStr">
        <is>
          <t>SCA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22695-2026</t>
        </is>
      </c>
      <c r="B1001" t="inlineStr">
        <is>
          <t>avverkningsanmälan</t>
        </is>
      </c>
      <c r="C1001" t="inlineStr">
        <is>
          <t>Föryngringsavverkning</t>
        </is>
      </c>
      <c r="D1001" s="1" t="n">
        <v>46156</v>
      </c>
      <c r="E1001" s="1" t="n">
        <v>46310</v>
      </c>
      <c r="F1001" t="inlineStr">
        <is>
          <t>VÄSTERNORRLANDS LÄN</t>
        </is>
      </c>
      <c r="G1001" t="inlineStr">
        <is>
          <t>ÅNGE</t>
        </is>
      </c>
      <c r="H1001" t="inlineStr">
        <is>
          <t>SCA</t>
        </is>
      </c>
      <c r="I1001" t="n">
        <v>11.7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5246-2025</t>
        </is>
      </c>
      <c r="B1002" t="inlineStr">
        <is>
          <t>avverkningsanmälan</t>
        </is>
      </c>
      <c r="C1002" t="inlineStr">
        <is>
          <t>Föryngringsavverkning</t>
        </is>
      </c>
      <c r="D1002" s="1" t="n">
        <v>45692</v>
      </c>
      <c r="E1002" s="1" t="n">
        <v>46310</v>
      </c>
      <c r="F1002" t="inlineStr">
        <is>
          <t>VÄSTERNORRLANDS LÄN</t>
        </is>
      </c>
      <c r="G1002" t="inlineStr">
        <is>
          <t>ÅNGE</t>
        </is>
      </c>
      <c r="H1002" t="inlineStr">
        <is>
          <t>SCA</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16973-2025</t>
        </is>
      </c>
      <c r="B1003" t="inlineStr">
        <is>
          <t>avverkningsanmälan</t>
        </is>
      </c>
      <c r="C1003" t="inlineStr">
        <is>
          <t>Föryngringsavverkning</t>
        </is>
      </c>
      <c r="D1003" s="1" t="n">
        <v>45755</v>
      </c>
      <c r="E1003" s="1" t="n">
        <v>46310</v>
      </c>
      <c r="F1003" t="inlineStr">
        <is>
          <t>VÄSTERNORRLANDS LÄN</t>
        </is>
      </c>
      <c r="G1003" t="inlineStr">
        <is>
          <t>ÅNGE</t>
        </is>
      </c>
      <c r="H1003" t="inlineStr">
        <is>
          <t>SCA</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23123-2026</t>
        </is>
      </c>
      <c r="B1004" t="inlineStr">
        <is>
          <t>avverkningsanmälan</t>
        </is>
      </c>
      <c r="C1004" t="inlineStr">
        <is>
          <t>Föryngringsavverkning</t>
        </is>
      </c>
      <c r="D1004" s="1" t="n">
        <v>46161</v>
      </c>
      <c r="E1004" s="1" t="n">
        <v>46310</v>
      </c>
      <c r="F1004" t="inlineStr">
        <is>
          <t>VÄSTERNORRLANDS LÄN</t>
        </is>
      </c>
      <c r="G1004" t="inlineStr">
        <is>
          <t>ÅNGE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34679-2024</t>
        </is>
      </c>
      <c r="B1005" t="inlineStr">
        <is>
          <t>avverkningsanmälan</t>
        </is>
      </c>
      <c r="C1005" t="inlineStr">
        <is>
          <t>Föryngringsavverkning</t>
        </is>
      </c>
      <c r="D1005" s="1" t="n">
        <v>45526</v>
      </c>
      <c r="E1005" s="1" t="n">
        <v>46310</v>
      </c>
      <c r="F1005" t="inlineStr">
        <is>
          <t>VÄSTERNORRLANDS LÄN</t>
        </is>
      </c>
      <c r="G1005" t="inlineStr">
        <is>
          <t>ÅNGE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43096-2023</t>
        </is>
      </c>
      <c r="B1006" t="inlineStr">
        <is>
          <t>avverkningsanmälan</t>
        </is>
      </c>
      <c r="C1006" t="inlineStr">
        <is>
          <t>Avverkning för annat ändamål</t>
        </is>
      </c>
      <c r="D1006" s="1" t="n">
        <v>45182</v>
      </c>
      <c r="E1006" s="1" t="n">
        <v>46310</v>
      </c>
      <c r="F1006" t="inlineStr">
        <is>
          <t>VÄSTERNORRLANDS LÄN</t>
        </is>
      </c>
      <c r="G1006" t="inlineStr">
        <is>
          <t>ÅNGE</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60296-2021</t>
        </is>
      </c>
      <c r="B1007" t="inlineStr">
        <is>
          <t>avverkningsanmälan</t>
        </is>
      </c>
      <c r="C1007" t="inlineStr">
        <is>
          <t>Föryngringsavverkning</t>
        </is>
      </c>
      <c r="D1007" s="1" t="n">
        <v>44495</v>
      </c>
      <c r="E1007" s="1" t="n">
        <v>46310</v>
      </c>
      <c r="F1007" t="inlineStr">
        <is>
          <t>VÄSTERNORRLANDS LÄN</t>
        </is>
      </c>
      <c r="G1007" t="inlineStr">
        <is>
          <t>ÅNGE</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21569-2026</t>
        </is>
      </c>
      <c r="B1008" t="inlineStr">
        <is>
          <t>avverkningsanmälan</t>
        </is>
      </c>
      <c r="C1008" t="inlineStr">
        <is>
          <t>Föryngringsavverkning</t>
        </is>
      </c>
      <c r="D1008" s="1" t="n">
        <v>46148</v>
      </c>
      <c r="E1008" s="1" t="n">
        <v>46310</v>
      </c>
      <c r="F1008" t="inlineStr">
        <is>
          <t>VÄSTERNORRLANDS LÄN</t>
        </is>
      </c>
      <c r="G1008" t="inlineStr">
        <is>
          <t>ÅNGE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25023-2022</t>
        </is>
      </c>
      <c r="B1009" t="inlineStr">
        <is>
          <t>avverkningsanmälan</t>
        </is>
      </c>
      <c r="C1009" t="inlineStr">
        <is>
          <t>Föryngringsavverkning</t>
        </is>
      </c>
      <c r="D1009" s="1" t="n">
        <v>44728</v>
      </c>
      <c r="E1009" s="1" t="n">
        <v>46310</v>
      </c>
      <c r="F1009" t="inlineStr">
        <is>
          <t>VÄSTERNORRLANDS LÄN</t>
        </is>
      </c>
      <c r="G1009" t="inlineStr">
        <is>
          <t>ÅNGE</t>
        </is>
      </c>
      <c r="H1009" t="inlineStr">
        <is>
          <t>SCA</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5197-2025</t>
        </is>
      </c>
      <c r="B1010" t="inlineStr">
        <is>
          <t>avverkningsanmälan</t>
        </is>
      </c>
      <c r="C1010" t="inlineStr">
        <is>
          <t>Föryngringsavverkning</t>
        </is>
      </c>
      <c r="D1010" s="1" t="n">
        <v>45691</v>
      </c>
      <c r="E1010" s="1" t="n">
        <v>46310</v>
      </c>
      <c r="F1010" t="inlineStr">
        <is>
          <t>VÄSTERNORRLANDS LÄN</t>
        </is>
      </c>
      <c r="G1010" t="inlineStr">
        <is>
          <t>ÅNGE</t>
        </is>
      </c>
      <c r="H1010" t="inlineStr">
        <is>
          <t>SCA</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23590-2026</t>
        </is>
      </c>
      <c r="B1011" t="inlineStr">
        <is>
          <t>avverkningsanmälan</t>
        </is>
      </c>
      <c r="C1011" t="inlineStr">
        <is>
          <t>Föryngringsavverkning</t>
        </is>
      </c>
      <c r="D1011" s="1" t="n">
        <v>46163</v>
      </c>
      <c r="E1011" s="1" t="n">
        <v>46310</v>
      </c>
      <c r="F1011" t="inlineStr">
        <is>
          <t>VÄSTERNORRLANDS LÄN</t>
        </is>
      </c>
      <c r="G1011" t="inlineStr">
        <is>
          <t>ÅNGE</t>
        </is>
      </c>
      <c r="H1011" t="inlineStr">
        <is>
          <t>SCA</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23562-2026</t>
        </is>
      </c>
      <c r="B1012" t="inlineStr">
        <is>
          <t>avverkningsanmälan</t>
        </is>
      </c>
      <c r="C1012" t="inlineStr">
        <is>
          <t>Föryngringsavverkning</t>
        </is>
      </c>
      <c r="D1012" s="1" t="n">
        <v>46163</v>
      </c>
      <c r="E1012" s="1" t="n">
        <v>46310</v>
      </c>
      <c r="F1012" t="inlineStr">
        <is>
          <t>VÄSTERNORRLANDS LÄN</t>
        </is>
      </c>
      <c r="G1012" t="inlineStr">
        <is>
          <t>ÅNGE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23438-2026</t>
        </is>
      </c>
      <c r="B1013" t="inlineStr">
        <is>
          <t>avverkningsanmälan</t>
        </is>
      </c>
      <c r="C1013" t="inlineStr">
        <is>
          <t>Föryngringsavverkning</t>
        </is>
      </c>
      <c r="D1013" s="1" t="n">
        <v>46163</v>
      </c>
      <c r="E1013" s="1" t="n">
        <v>46310</v>
      </c>
      <c r="F1013" t="inlineStr">
        <is>
          <t>VÄSTERNORRLANDS LÄN</t>
        </is>
      </c>
      <c r="G1013" t="inlineStr">
        <is>
          <t>ÅNGE</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23450-2026</t>
        </is>
      </c>
      <c r="B1014" t="inlineStr">
        <is>
          <t>avverkningsanmälan</t>
        </is>
      </c>
      <c r="C1014" t="inlineStr">
        <is>
          <t>Föryngringsavverkning</t>
        </is>
      </c>
      <c r="D1014" s="1" t="n">
        <v>46163</v>
      </c>
      <c r="E1014" s="1" t="n">
        <v>46310</v>
      </c>
      <c r="F1014" t="inlineStr">
        <is>
          <t>VÄSTERNORRLANDS LÄN</t>
        </is>
      </c>
      <c r="G1014" t="inlineStr">
        <is>
          <t>ÅNGE</t>
        </is>
      </c>
      <c r="H1014" t="inlineStr">
        <is>
          <t>SCA</t>
        </is>
      </c>
      <c r="I1014" t="n">
        <v>12.5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23386-2026</t>
        </is>
      </c>
      <c r="B1015" t="inlineStr">
        <is>
          <t>avverkningsanmälan</t>
        </is>
      </c>
      <c r="C1015" t="inlineStr">
        <is>
          <t>Föryngringsavverkning</t>
        </is>
      </c>
      <c r="D1015" s="1" t="n">
        <v>46162</v>
      </c>
      <c r="E1015" s="1" t="n">
        <v>46310</v>
      </c>
      <c r="F1015" t="inlineStr">
        <is>
          <t>VÄSTERNORRLANDS LÄN</t>
        </is>
      </c>
      <c r="G1015" t="inlineStr">
        <is>
          <t>ÅNGE</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44565-2024</t>
        </is>
      </c>
      <c r="B1016" t="inlineStr">
        <is>
          <t>avverkningsanmälan</t>
        </is>
      </c>
      <c r="C1016" t="inlineStr">
        <is>
          <t>Föryngringsavverkning</t>
        </is>
      </c>
      <c r="D1016" s="1" t="n">
        <v>45574</v>
      </c>
      <c r="E1016" s="1" t="n">
        <v>46310</v>
      </c>
      <c r="F1016" t="inlineStr">
        <is>
          <t>VÄSTERNORRLANDS LÄN</t>
        </is>
      </c>
      <c r="G1016" t="inlineStr">
        <is>
          <t>ÅNGE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40755-2023</t>
        </is>
      </c>
      <c r="B1017" t="inlineStr">
        <is>
          <t>avverkningsanmälan</t>
        </is>
      </c>
      <c r="C1017" t="inlineStr">
        <is>
          <t>Föryngringsavverkning</t>
        </is>
      </c>
      <c r="D1017" s="1" t="n">
        <v>45170</v>
      </c>
      <c r="E1017" s="1" t="n">
        <v>46310</v>
      </c>
      <c r="F1017" t="inlineStr">
        <is>
          <t>VÄSTERNORRLANDS LÄN</t>
        </is>
      </c>
      <c r="G1017" t="inlineStr">
        <is>
          <t>ÅNGE</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23321-2026</t>
        </is>
      </c>
      <c r="B1018" t="inlineStr">
        <is>
          <t>avverkningsanmälan</t>
        </is>
      </c>
      <c r="C1018" t="inlineStr">
        <is>
          <t>Föryngringsavverkning</t>
        </is>
      </c>
      <c r="D1018" s="1" t="n">
        <v>46162</v>
      </c>
      <c r="E1018" s="1" t="n">
        <v>46310</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31696-2022</t>
        </is>
      </c>
      <c r="B1019" t="inlineStr">
        <is>
          <t>avverkningsanmälan</t>
        </is>
      </c>
      <c r="C1019" t="inlineStr">
        <is>
          <t>Avverkning för annat ändamål</t>
        </is>
      </c>
      <c r="D1019" s="1" t="n">
        <v>44776</v>
      </c>
      <c r="E1019" s="1" t="n">
        <v>46310</v>
      </c>
      <c r="F1019" t="inlineStr">
        <is>
          <t>VÄSTERNORRLANDS LÄN</t>
        </is>
      </c>
      <c r="G1019" t="inlineStr">
        <is>
          <t>ÅNGE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23240-2026</t>
        </is>
      </c>
      <c r="B1020" t="inlineStr">
        <is>
          <t>avverkningsanmälan</t>
        </is>
      </c>
      <c r="C1020" t="inlineStr">
        <is>
          <t>Föryngringsavverkning</t>
        </is>
      </c>
      <c r="D1020" s="1" t="n">
        <v>46162</v>
      </c>
      <c r="E1020" s="1" t="n">
        <v>46310</v>
      </c>
      <c r="F1020" t="inlineStr">
        <is>
          <t>VÄSTERNORRLANDS LÄN</t>
        </is>
      </c>
      <c r="G1020" t="inlineStr">
        <is>
          <t>ÅNGE</t>
        </is>
      </c>
      <c r="H1020" t="inlineStr">
        <is>
          <t>SCA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10084-2023</t>
        </is>
      </c>
      <c r="B1021" t="inlineStr">
        <is>
          <t>avverkningsanmälan</t>
        </is>
      </c>
      <c r="C1021" t="inlineStr">
        <is>
          <t>Föryngringsavverkning</t>
        </is>
      </c>
      <c r="D1021" s="1" t="n">
        <v>44985</v>
      </c>
      <c r="E1021" s="1" t="n">
        <v>46310</v>
      </c>
      <c r="F1021" t="inlineStr">
        <is>
          <t>VÄSTERNORRLANDS LÄN</t>
        </is>
      </c>
      <c r="G1021" t="inlineStr">
        <is>
          <t>ÅNGE</t>
        </is>
      </c>
      <c r="H1021" t="inlineStr">
        <is>
          <t>SCA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23449-2026</t>
        </is>
      </c>
      <c r="B1022" t="inlineStr">
        <is>
          <t>avverkningsanmälan</t>
        </is>
      </c>
      <c r="C1022" t="inlineStr">
        <is>
          <t>Föryngringsavverkning</t>
        </is>
      </c>
      <c r="D1022" s="1" t="n">
        <v>46163</v>
      </c>
      <c r="E1022" s="1" t="n">
        <v>46310</v>
      </c>
      <c r="F1022" t="inlineStr">
        <is>
          <t>VÄSTERNORRLANDS LÄN</t>
        </is>
      </c>
      <c r="G1022" t="inlineStr">
        <is>
          <t>ÅNGE</t>
        </is>
      </c>
      <c r="H1022" t="inlineStr">
        <is>
          <t>SCA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37038-2024</t>
        </is>
      </c>
      <c r="B1023" t="inlineStr">
        <is>
          <t>avverkningsanmälan</t>
        </is>
      </c>
      <c r="C1023" t="inlineStr">
        <is>
          <t>Föryngringsavverkning</t>
        </is>
      </c>
      <c r="D1023" s="1" t="n">
        <v>45539</v>
      </c>
      <c r="E1023" s="1" t="n">
        <v>46310</v>
      </c>
      <c r="F1023" t="inlineStr">
        <is>
          <t>VÄSTERNORRLANDS LÄN</t>
        </is>
      </c>
      <c r="G1023" t="inlineStr">
        <is>
          <t>ÅNGE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60860-2022</t>
        </is>
      </c>
      <c r="B1024" t="inlineStr">
        <is>
          <t>avverkningsanmälan</t>
        </is>
      </c>
      <c r="C1024" t="inlineStr">
        <is>
          <t>Avverkning för annat ändamål</t>
        </is>
      </c>
      <c r="D1024" s="1" t="n">
        <v>44914</v>
      </c>
      <c r="E1024" s="1" t="n">
        <v>46310</v>
      </c>
      <c r="F1024" t="inlineStr">
        <is>
          <t>VÄSTERNORRLANDS LÄN</t>
        </is>
      </c>
      <c r="G1024" t="inlineStr">
        <is>
          <t>ÅNGE</t>
        </is>
      </c>
      <c r="H1024" t="inlineStr">
        <is>
          <t>Holmen skog AB</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23658-2026</t>
        </is>
      </c>
      <c r="B1025" t="inlineStr">
        <is>
          <t>avverkningsanmälan</t>
        </is>
      </c>
      <c r="C1025" t="inlineStr">
        <is>
          <t>Föryngringsavverkning</t>
        </is>
      </c>
      <c r="D1025" s="1" t="n">
        <v>46164</v>
      </c>
      <c r="E1025" s="1" t="n">
        <v>46310</v>
      </c>
      <c r="F1025" t="inlineStr">
        <is>
          <t>VÄSTERNORRLANDS LÄN</t>
        </is>
      </c>
      <c r="G1025" t="inlineStr">
        <is>
          <t>ÅNGE</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6686-2024</t>
        </is>
      </c>
      <c r="B1026" t="inlineStr">
        <is>
          <t>avverkningsanmälan</t>
        </is>
      </c>
      <c r="C1026" t="inlineStr">
        <is>
          <t>Föryngringsavverkning</t>
        </is>
      </c>
      <c r="D1026" s="1" t="n">
        <v>45341</v>
      </c>
      <c r="E1026" s="1" t="n">
        <v>46310</v>
      </c>
      <c r="F1026" t="inlineStr">
        <is>
          <t>VÄSTERNORRLANDS LÄN</t>
        </is>
      </c>
      <c r="G1026" t="inlineStr">
        <is>
          <t>ÅNGE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58524-2025</t>
        </is>
      </c>
      <c r="B1027" t="inlineStr">
        <is>
          <t>avverkningsanmälan</t>
        </is>
      </c>
      <c r="C1027" t="inlineStr">
        <is>
          <t>Föryngringsavverkning</t>
        </is>
      </c>
      <c r="D1027" s="1" t="n">
        <v>45985</v>
      </c>
      <c r="E1027" s="1" t="n">
        <v>46310</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24434-2026</t>
        </is>
      </c>
      <c r="B1028" t="inlineStr">
        <is>
          <t>avverkningsanmälan</t>
        </is>
      </c>
      <c r="C1028" t="inlineStr">
        <is>
          <t>Avverkning för annat ändamål</t>
        </is>
      </c>
      <c r="D1028" s="1" t="n">
        <v>46169</v>
      </c>
      <c r="E1028" s="1" t="n">
        <v>46310</v>
      </c>
      <c r="F1028" t="inlineStr">
        <is>
          <t>VÄSTERNORRLANDS LÄN</t>
        </is>
      </c>
      <c r="G1028" t="inlineStr">
        <is>
          <t>ÅNGE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14813-2022</t>
        </is>
      </c>
      <c r="B1029" t="inlineStr">
        <is>
          <t>avverkningsanmälan</t>
        </is>
      </c>
      <c r="C1029" t="inlineStr">
        <is>
          <t>Föryngringsavverkning</t>
        </is>
      </c>
      <c r="D1029" s="1" t="n">
        <v>44656</v>
      </c>
      <c r="E1029" s="1" t="n">
        <v>46310</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41284-2024</t>
        </is>
      </c>
      <c r="B1030" t="inlineStr">
        <is>
          <t>avverkningsanmälan</t>
        </is>
      </c>
      <c r="C1030" t="inlineStr">
        <is>
          <t>Avverkning för att bevara och utveckla /försöksver</t>
        </is>
      </c>
      <c r="D1030" s="1" t="n">
        <v>45559</v>
      </c>
      <c r="E1030" s="1" t="n">
        <v>46310</v>
      </c>
      <c r="F1030" t="inlineStr">
        <is>
          <t>VÄSTERNORRLANDS LÄN</t>
        </is>
      </c>
      <c r="G1030" t="inlineStr">
        <is>
          <t>ÅNGE</t>
        </is>
      </c>
      <c r="H1030" t="inlineStr">
        <is>
          <t>SCA</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60368-2024</t>
        </is>
      </c>
      <c r="B1031" t="inlineStr">
        <is>
          <t>avverkningsanmälan</t>
        </is>
      </c>
      <c r="C1031" t="inlineStr">
        <is>
          <t>Avverkning för annat ändamål</t>
        </is>
      </c>
      <c r="D1031" s="1" t="n">
        <v>45643</v>
      </c>
      <c r="E1031" s="1" t="n">
        <v>46310</v>
      </c>
      <c r="F1031" t="inlineStr">
        <is>
          <t>VÄSTERNORRLANDS LÄN</t>
        </is>
      </c>
      <c r="G1031" t="inlineStr">
        <is>
          <t>ÅNGE</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24196-2026</t>
        </is>
      </c>
      <c r="B1032" t="inlineStr">
        <is>
          <t>avverkningsanmälan</t>
        </is>
      </c>
      <c r="C1032" t="inlineStr">
        <is>
          <t>Föryngringsavverkning</t>
        </is>
      </c>
      <c r="D1032" s="1" t="n">
        <v>46168</v>
      </c>
      <c r="E1032" s="1" t="n">
        <v>46310</v>
      </c>
      <c r="F1032" t="inlineStr">
        <is>
          <t>VÄSTERNORRLANDS LÄN</t>
        </is>
      </c>
      <c r="G1032" t="inlineStr">
        <is>
          <t>ÅNGE</t>
        </is>
      </c>
      <c r="H1032" t="inlineStr">
        <is>
          <t>SCA</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24154-2026</t>
        </is>
      </c>
      <c r="B1033" t="inlineStr">
        <is>
          <t>avverkningsanmälan</t>
        </is>
      </c>
      <c r="C1033" t="inlineStr">
        <is>
          <t>Föryngringsavverkning</t>
        </is>
      </c>
      <c r="D1033" s="1" t="n">
        <v>46168</v>
      </c>
      <c r="E1033" s="1" t="n">
        <v>46310</v>
      </c>
      <c r="F1033" t="inlineStr">
        <is>
          <t>VÄSTERNORRLANDS LÄN</t>
        </is>
      </c>
      <c r="G1033" t="inlineStr">
        <is>
          <t>ÅNGE</t>
        </is>
      </c>
      <c r="H1033" t="inlineStr">
        <is>
          <t>SCA</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24164-2026</t>
        </is>
      </c>
      <c r="B1034" t="inlineStr">
        <is>
          <t>avverkningsanmälan</t>
        </is>
      </c>
      <c r="C1034" t="inlineStr">
        <is>
          <t>Föryngringsavverkning</t>
        </is>
      </c>
      <c r="D1034" s="1" t="n">
        <v>46168</v>
      </c>
      <c r="E1034" s="1" t="n">
        <v>46310</v>
      </c>
      <c r="F1034" t="inlineStr">
        <is>
          <t>VÄSTERNORRLANDS LÄN</t>
        </is>
      </c>
      <c r="G1034" t="inlineStr">
        <is>
          <t>ÅNGE</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6680-2024</t>
        </is>
      </c>
      <c r="B1035" t="inlineStr">
        <is>
          <t>avverkningsanmälan</t>
        </is>
      </c>
      <c r="C1035" t="inlineStr">
        <is>
          <t>Föryngringsavverkning</t>
        </is>
      </c>
      <c r="D1035" s="1" t="n">
        <v>45341</v>
      </c>
      <c r="E1035" s="1" t="n">
        <v>46310</v>
      </c>
      <c r="F1035" t="inlineStr">
        <is>
          <t>VÄSTERNORRLANDS LÄN</t>
        </is>
      </c>
      <c r="G1035" t="inlineStr">
        <is>
          <t>ÅNGE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24189-2026</t>
        </is>
      </c>
      <c r="B1036" t="inlineStr">
        <is>
          <t>avverkningsanmälan</t>
        </is>
      </c>
      <c r="C1036" t="inlineStr">
        <is>
          <t>Föryngringsavverkning</t>
        </is>
      </c>
      <c r="D1036" s="1" t="n">
        <v>46168</v>
      </c>
      <c r="E1036" s="1" t="n">
        <v>46310</v>
      </c>
      <c r="F1036" t="inlineStr">
        <is>
          <t>VÄSTERNORRLANDS LÄN</t>
        </is>
      </c>
      <c r="G1036" t="inlineStr">
        <is>
          <t>ÅNGE</t>
        </is>
      </c>
      <c r="H1036" t="inlineStr">
        <is>
          <t>Sveaskog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24180-2026</t>
        </is>
      </c>
      <c r="B1037" t="inlineStr">
        <is>
          <t>avverkningsanmälan</t>
        </is>
      </c>
      <c r="C1037" t="inlineStr">
        <is>
          <t>Föryngringsavverkning</t>
        </is>
      </c>
      <c r="D1037" s="1" t="n">
        <v>46168</v>
      </c>
      <c r="E1037" s="1" t="n">
        <v>46310</v>
      </c>
      <c r="F1037" t="inlineStr">
        <is>
          <t>VÄSTERNORRLANDS LÄN</t>
        </is>
      </c>
      <c r="G1037" t="inlineStr">
        <is>
          <t>ÅNGE</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2984-2025</t>
        </is>
      </c>
      <c r="B1038" t="inlineStr">
        <is>
          <t>avverkningsanmälan</t>
        </is>
      </c>
      <c r="C1038" t="inlineStr">
        <is>
          <t>Föryngringsavverkning</t>
        </is>
      </c>
      <c r="D1038" s="1" t="n">
        <v>45678</v>
      </c>
      <c r="E1038" s="1" t="n">
        <v>46310</v>
      </c>
      <c r="F1038" t="inlineStr">
        <is>
          <t>VÄSTERNORRLANDS LÄN</t>
        </is>
      </c>
      <c r="G1038" t="inlineStr">
        <is>
          <t>ÅNGE</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24108-2026</t>
        </is>
      </c>
      <c r="B1039" t="inlineStr">
        <is>
          <t>avverkningsanmälan</t>
        </is>
      </c>
      <c r="C1039" t="inlineStr">
        <is>
          <t>Föryngringsavverkning</t>
        </is>
      </c>
      <c r="D1039" s="1" t="n">
        <v>46168</v>
      </c>
      <c r="E1039" s="1" t="n">
        <v>46310</v>
      </c>
      <c r="F1039" t="inlineStr">
        <is>
          <t>VÄSTERNORRLANDS LÄN</t>
        </is>
      </c>
      <c r="G1039" t="inlineStr">
        <is>
          <t>ÅNGE</t>
        </is>
      </c>
      <c r="H1039" t="inlineStr">
        <is>
          <t>SCA</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3133-2024</t>
        </is>
      </c>
      <c r="B1040" t="inlineStr">
        <is>
          <t>avverkningsanmälan</t>
        </is>
      </c>
      <c r="C1040" t="inlineStr">
        <is>
          <t>Föryngringsavverkning</t>
        </is>
      </c>
      <c r="D1040" s="1" t="n">
        <v>45316</v>
      </c>
      <c r="E1040" s="1" t="n">
        <v>46310</v>
      </c>
      <c r="F1040" t="inlineStr">
        <is>
          <t>VÄSTERNORRLANDS LÄN</t>
        </is>
      </c>
      <c r="G1040" t="inlineStr">
        <is>
          <t>ÅNGE</t>
        </is>
      </c>
      <c r="H1040" t="inlineStr">
        <is>
          <t>Holmen skog AB</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24566-2026</t>
        </is>
      </c>
      <c r="B1041" t="inlineStr">
        <is>
          <t>avverkningsanmälan</t>
        </is>
      </c>
      <c r="C1041" t="inlineStr">
        <is>
          <t>Föryngringsavverkning</t>
        </is>
      </c>
      <c r="D1041" s="1" t="n">
        <v>46170</v>
      </c>
      <c r="E1041" s="1" t="n">
        <v>46310</v>
      </c>
      <c r="F1041" t="inlineStr">
        <is>
          <t>VÄSTERNORRLANDS LÄN</t>
        </is>
      </c>
      <c r="G1041" t="inlineStr">
        <is>
          <t>ÅNGE</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24553-2026</t>
        </is>
      </c>
      <c r="B1042" t="inlineStr">
        <is>
          <t>avverkningsanmälan</t>
        </is>
      </c>
      <c r="C1042" t="inlineStr">
        <is>
          <t>Föryngringsavverkning</t>
        </is>
      </c>
      <c r="D1042" s="1" t="n">
        <v>46170</v>
      </c>
      <c r="E1042" s="1" t="n">
        <v>46310</v>
      </c>
      <c r="F1042" t="inlineStr">
        <is>
          <t>VÄSTERNORRLANDS LÄN</t>
        </is>
      </c>
      <c r="G1042" t="inlineStr">
        <is>
          <t>ÅNGE</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24470-2026</t>
        </is>
      </c>
      <c r="B1043" t="inlineStr">
        <is>
          <t>avverkningsanmälan</t>
        </is>
      </c>
      <c r="C1043" t="inlineStr">
        <is>
          <t>Föryngringsavverkning</t>
        </is>
      </c>
      <c r="D1043" s="1" t="n">
        <v>46170</v>
      </c>
      <c r="E1043" s="1" t="n">
        <v>46310</v>
      </c>
      <c r="F1043" t="inlineStr">
        <is>
          <t>VÄSTERNORRLANDS LÄN</t>
        </is>
      </c>
      <c r="G1043" t="inlineStr">
        <is>
          <t>ÅNGE</t>
        </is>
      </c>
      <c r="H1043" t="inlineStr">
        <is>
          <t>SCA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56569-2024</t>
        </is>
      </c>
      <c r="B1044" t="inlineStr">
        <is>
          <t>avverkningsanmälan</t>
        </is>
      </c>
      <c r="C1044" t="inlineStr">
        <is>
          <t>Föryngringsavverkning</t>
        </is>
      </c>
      <c r="D1044" s="1" t="n">
        <v>45625</v>
      </c>
      <c r="E1044" s="1" t="n">
        <v>46310</v>
      </c>
      <c r="F1044" t="inlineStr">
        <is>
          <t>VÄSTERNORRLANDS LÄN</t>
        </is>
      </c>
      <c r="G1044" t="inlineStr">
        <is>
          <t>ÅNGE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24728-2026</t>
        </is>
      </c>
      <c r="B1045" t="inlineStr">
        <is>
          <t>avverkningsanmälan</t>
        </is>
      </c>
      <c r="C1045" t="inlineStr">
        <is>
          <t>Föryngringsavverkning</t>
        </is>
      </c>
      <c r="D1045" s="1" t="n">
        <v>46171</v>
      </c>
      <c r="E1045" s="1" t="n">
        <v>46310</v>
      </c>
      <c r="F1045" t="inlineStr">
        <is>
          <t>VÄSTERNORRLANDS LÄN</t>
        </is>
      </c>
      <c r="G1045" t="inlineStr">
        <is>
          <t>ÅNGE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50179-2024</t>
        </is>
      </c>
      <c r="B1046" t="inlineStr">
        <is>
          <t>avverkningsanmälan</t>
        </is>
      </c>
      <c r="C1046" t="inlineStr">
        <is>
          <t>Föryngringsavverkning</t>
        </is>
      </c>
      <c r="D1046" s="1" t="n">
        <v>45600</v>
      </c>
      <c r="E1046" s="1" t="n">
        <v>46310</v>
      </c>
      <c r="F1046" t="inlineStr">
        <is>
          <t>VÄSTERNORRLANDS LÄN</t>
        </is>
      </c>
      <c r="G1046" t="inlineStr">
        <is>
          <t>ÅNGE</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24827-2026</t>
        </is>
      </c>
      <c r="B1047" t="inlineStr">
        <is>
          <t>avverkningsanmälan</t>
        </is>
      </c>
      <c r="C1047" t="inlineStr">
        <is>
          <t>Föryngringsavverkning</t>
        </is>
      </c>
      <c r="D1047" s="1" t="n">
        <v>46174</v>
      </c>
      <c r="E1047" s="1" t="n">
        <v>46310</v>
      </c>
      <c r="F1047" t="inlineStr">
        <is>
          <t>VÄSTERNORRLANDS LÄN</t>
        </is>
      </c>
      <c r="G1047" t="inlineStr">
        <is>
          <t>ÅNGE</t>
        </is>
      </c>
      <c r="H1047" t="inlineStr">
        <is>
          <t>SCA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24758-2026</t>
        </is>
      </c>
      <c r="B1048" t="inlineStr">
        <is>
          <t>avverkningsanmälan</t>
        </is>
      </c>
      <c r="C1048" t="inlineStr">
        <is>
          <t>Föryngringsavverkning</t>
        </is>
      </c>
      <c r="D1048" s="1" t="n">
        <v>46171</v>
      </c>
      <c r="E1048" s="1" t="n">
        <v>46310</v>
      </c>
      <c r="F1048" t="inlineStr">
        <is>
          <t>VÄSTERNORRLANDS LÄN</t>
        </is>
      </c>
      <c r="G1048" t="inlineStr">
        <is>
          <t>ÅNGE</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60278-2025</t>
        </is>
      </c>
      <c r="B1049" t="inlineStr">
        <is>
          <t>avverkningsanmälan</t>
        </is>
      </c>
      <c r="C1049" t="inlineStr">
        <is>
          <t>Föryngringsavverkning</t>
        </is>
      </c>
      <c r="D1049" s="1" t="n">
        <v>45994</v>
      </c>
      <c r="E1049" s="1" t="n">
        <v>46310</v>
      </c>
      <c r="F1049" t="inlineStr">
        <is>
          <t>VÄSTERNORRLANDS LÄN</t>
        </is>
      </c>
      <c r="G1049" t="inlineStr">
        <is>
          <t>ÅNGE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6684-2024</t>
        </is>
      </c>
      <c r="B1050" t="inlineStr">
        <is>
          <t>avverkningsanmälan</t>
        </is>
      </c>
      <c r="C1050" t="inlineStr">
        <is>
          <t>Föryngringsavverkning</t>
        </is>
      </c>
      <c r="D1050" s="1" t="n">
        <v>45341</v>
      </c>
      <c r="E1050" s="1" t="n">
        <v>46310</v>
      </c>
      <c r="F1050" t="inlineStr">
        <is>
          <t>VÄSTERNORRLANDS LÄN</t>
        </is>
      </c>
      <c r="G1050" t="inlineStr">
        <is>
          <t>ÅNGE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24729-2026</t>
        </is>
      </c>
      <c r="B1051" t="inlineStr">
        <is>
          <t>avverkningsanmälan</t>
        </is>
      </c>
      <c r="C1051" t="inlineStr">
        <is>
          <t>Föryngringsavverkning</t>
        </is>
      </c>
      <c r="D1051" s="1" t="n">
        <v>46171</v>
      </c>
      <c r="E1051" s="1" t="n">
        <v>46310</v>
      </c>
      <c r="F1051" t="inlineStr">
        <is>
          <t>VÄSTERNORRLANDS LÄN</t>
        </is>
      </c>
      <c r="G1051" t="inlineStr">
        <is>
          <t>ÅNGE</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24644-2026</t>
        </is>
      </c>
      <c r="B1052" t="inlineStr">
        <is>
          <t>avverkningsanmälan</t>
        </is>
      </c>
      <c r="C1052" t="inlineStr">
        <is>
          <t>Föryngringsavverkning</t>
        </is>
      </c>
      <c r="D1052" s="1" t="n">
        <v>46171</v>
      </c>
      <c r="E1052" s="1" t="n">
        <v>46310</v>
      </c>
      <c r="F1052" t="inlineStr">
        <is>
          <t>VÄSTERNORRLANDS LÄN</t>
        </is>
      </c>
      <c r="G1052" t="inlineStr">
        <is>
          <t>ÅNGE</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10089-2023</t>
        </is>
      </c>
      <c r="B1053" t="inlineStr">
        <is>
          <t>avverkningsanmälan</t>
        </is>
      </c>
      <c r="C1053" t="inlineStr">
        <is>
          <t>Avverkning för att bevara och utveckla /försöksver</t>
        </is>
      </c>
      <c r="D1053" s="1" t="n">
        <v>44985</v>
      </c>
      <c r="E1053" s="1" t="n">
        <v>46310</v>
      </c>
      <c r="F1053" t="inlineStr">
        <is>
          <t>VÄSTERNORRLANDS LÄN</t>
        </is>
      </c>
      <c r="G1053" t="inlineStr">
        <is>
          <t>ÅNGE</t>
        </is>
      </c>
      <c r="H1053" t="inlineStr">
        <is>
          <t>SCA</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10090-2023</t>
        </is>
      </c>
      <c r="B1054" t="inlineStr">
        <is>
          <t>avverkningsanmälan</t>
        </is>
      </c>
      <c r="C1054" t="inlineStr">
        <is>
          <t>Avverkning för att bevara och utveckla /försöksver</t>
        </is>
      </c>
      <c r="D1054" s="1" t="n">
        <v>44985</v>
      </c>
      <c r="E1054" s="1" t="n">
        <v>46310</v>
      </c>
      <c r="F1054" t="inlineStr">
        <is>
          <t>VÄSTERNORRLANDS LÄN</t>
        </is>
      </c>
      <c r="G1054" t="inlineStr">
        <is>
          <t>ÅNGE</t>
        </is>
      </c>
      <c r="H1054" t="inlineStr">
        <is>
          <t>SCA</t>
        </is>
      </c>
      <c r="I1054" t="n">
        <v>8.4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25126-2026</t>
        </is>
      </c>
      <c r="B1055" t="inlineStr">
        <is>
          <t>avverkningsanmälan</t>
        </is>
      </c>
      <c r="C1055" t="inlineStr">
        <is>
          <t>Föryngringsavverkning</t>
        </is>
      </c>
      <c r="D1055" s="1" t="n">
        <v>46175</v>
      </c>
      <c r="E1055" s="1" t="n">
        <v>46310</v>
      </c>
      <c r="F1055" t="inlineStr">
        <is>
          <t>VÄSTERNORRLANDS LÄN</t>
        </is>
      </c>
      <c r="G1055" t="inlineStr">
        <is>
          <t>ÅNGE</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25185-2026</t>
        </is>
      </c>
      <c r="B1056" t="inlineStr">
        <is>
          <t>avverkningsanmälan</t>
        </is>
      </c>
      <c r="C1056" t="inlineStr">
        <is>
          <t>Föryngringsavverkning</t>
        </is>
      </c>
      <c r="D1056" s="1" t="n">
        <v>46175</v>
      </c>
      <c r="E1056" s="1" t="n">
        <v>46310</v>
      </c>
      <c r="F1056" t="inlineStr">
        <is>
          <t>VÄSTERNORRLANDS LÄN</t>
        </is>
      </c>
      <c r="G1056" t="inlineStr">
        <is>
          <t>ÅNGE</t>
        </is>
      </c>
      <c r="H1056" t="inlineStr">
        <is>
          <t>SCA</t>
        </is>
      </c>
      <c r="I1056" t="n">
        <v>4.2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24552-2023</t>
        </is>
      </c>
      <c r="B1057" t="inlineStr">
        <is>
          <t>avverkningsanmälan</t>
        </is>
      </c>
      <c r="C1057" t="inlineStr">
        <is>
          <t>Föryngringsavverkning</t>
        </is>
      </c>
      <c r="D1057" s="1" t="n">
        <v>45082</v>
      </c>
      <c r="E1057" s="1" t="n">
        <v>46310</v>
      </c>
      <c r="F1057" t="inlineStr">
        <is>
          <t>VÄSTERNORRLANDS LÄN</t>
        </is>
      </c>
      <c r="G1057" t="inlineStr">
        <is>
          <t>ÅNGE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58906-2025</t>
        </is>
      </c>
      <c r="B1058" t="inlineStr">
        <is>
          <t>avverkningsanmälan</t>
        </is>
      </c>
      <c r="C1058" t="inlineStr">
        <is>
          <t>Föryngringsavverkning</t>
        </is>
      </c>
      <c r="D1058" s="1" t="n">
        <v>45987</v>
      </c>
      <c r="E1058" s="1" t="n">
        <v>46310</v>
      </c>
      <c r="F1058" t="inlineStr">
        <is>
          <t>VÄSTERNORRLANDS LÄN</t>
        </is>
      </c>
      <c r="G1058" t="inlineStr">
        <is>
          <t>ÅNGE</t>
        </is>
      </c>
      <c r="H1058" t="inlineStr">
        <is>
          <t>SCA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25150-2026</t>
        </is>
      </c>
      <c r="B1059" t="inlineStr">
        <is>
          <t>avverkningsanmälan</t>
        </is>
      </c>
      <c r="C1059" t="inlineStr">
        <is>
          <t>Föryngringsavverkning</t>
        </is>
      </c>
      <c r="D1059" s="1" t="n">
        <v>46175</v>
      </c>
      <c r="E1059" s="1" t="n">
        <v>46310</v>
      </c>
      <c r="F1059" t="inlineStr">
        <is>
          <t>VÄSTERNORRLANDS LÄN</t>
        </is>
      </c>
      <c r="G1059" t="inlineStr">
        <is>
          <t>ÅNGE</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25316-2026</t>
        </is>
      </c>
      <c r="B1060" t="inlineStr">
        <is>
          <t>avverkningsanmälan</t>
        </is>
      </c>
      <c r="C1060" t="inlineStr">
        <is>
          <t>Föryngringsavverkning</t>
        </is>
      </c>
      <c r="D1060" s="1" t="n">
        <v>46176</v>
      </c>
      <c r="E1060" s="1" t="n">
        <v>46310</v>
      </c>
      <c r="F1060" t="inlineStr">
        <is>
          <t>VÄSTERNORRLANDS LÄN</t>
        </is>
      </c>
      <c r="G1060" t="inlineStr">
        <is>
          <t>ÅNGE</t>
        </is>
      </c>
      <c r="H1060" t="inlineStr">
        <is>
          <t>SCA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19997-2023</t>
        </is>
      </c>
      <c r="B1061" t="inlineStr">
        <is>
          <t>avverkningsanmälan</t>
        </is>
      </c>
      <c r="C1061" t="inlineStr">
        <is>
          <t>Avverkning för annat ändamål</t>
        </is>
      </c>
      <c r="D1061" s="1" t="n">
        <v>45054</v>
      </c>
      <c r="E1061" s="1" t="n">
        <v>46310</v>
      </c>
      <c r="F1061" t="inlineStr">
        <is>
          <t>VÄSTERNORRLANDS LÄN</t>
        </is>
      </c>
      <c r="G1061" t="inlineStr">
        <is>
          <t>ÅNGE</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38284-2022</t>
        </is>
      </c>
      <c r="B1062" t="inlineStr">
        <is>
          <t>avverkningsanmälan</t>
        </is>
      </c>
      <c r="C1062" t="inlineStr">
        <is>
          <t>Föryngringsavverkning</t>
        </is>
      </c>
      <c r="D1062" s="1" t="n">
        <v>44812</v>
      </c>
      <c r="E1062" s="1" t="n">
        <v>46310</v>
      </c>
      <c r="F1062" t="inlineStr">
        <is>
          <t>VÄSTERNORRLANDS LÄN</t>
        </is>
      </c>
      <c r="G1062" t="inlineStr">
        <is>
          <t>ÅNGE</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25198-2026</t>
        </is>
      </c>
      <c r="B1063" t="inlineStr">
        <is>
          <t>avverkningsanmälan</t>
        </is>
      </c>
      <c r="C1063" t="inlineStr">
        <is>
          <t>Föryngringsavverkning</t>
        </is>
      </c>
      <c r="D1063" s="1" t="n">
        <v>46175</v>
      </c>
      <c r="E1063" s="1" t="n">
        <v>46310</v>
      </c>
      <c r="F1063" t="inlineStr">
        <is>
          <t>VÄSTERNORRLANDS LÄN</t>
        </is>
      </c>
      <c r="G1063" t="inlineStr">
        <is>
          <t>ÅNGE</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25684-2026</t>
        </is>
      </c>
      <c r="B1064" t="inlineStr">
        <is>
          <t>avverkningsanmälan</t>
        </is>
      </c>
      <c r="C1064" t="inlineStr">
        <is>
          <t>Föryngringsavverkning</t>
        </is>
      </c>
      <c r="D1064" s="1" t="n">
        <v>46178</v>
      </c>
      <c r="E1064" s="1" t="n">
        <v>46310</v>
      </c>
      <c r="F1064" t="inlineStr">
        <is>
          <t>VÄSTERNORRLANDS LÄN</t>
        </is>
      </c>
      <c r="G1064" t="inlineStr">
        <is>
          <t>ÅNGE</t>
        </is>
      </c>
      <c r="H1064" t="inlineStr">
        <is>
          <t>SCA</t>
        </is>
      </c>
      <c r="I1064" t="n">
        <v>16.5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25879-2026</t>
        </is>
      </c>
      <c r="B1065" t="inlineStr">
        <is>
          <t>avverkningsanmälan</t>
        </is>
      </c>
      <c r="C1065" t="inlineStr">
        <is>
          <t>Föryngringsavverkning</t>
        </is>
      </c>
      <c r="D1065" s="1" t="n">
        <v>46178</v>
      </c>
      <c r="E1065" s="1" t="n">
        <v>46310</v>
      </c>
      <c r="F1065" t="inlineStr">
        <is>
          <t>VÄSTERNORRLANDS LÄN</t>
        </is>
      </c>
      <c r="G1065" t="inlineStr">
        <is>
          <t>ÅNGE</t>
        </is>
      </c>
      <c r="H1065" t="inlineStr">
        <is>
          <t>SCA</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5393-2025</t>
        </is>
      </c>
      <c r="B1066" t="inlineStr">
        <is>
          <t>avverkningsanmälan</t>
        </is>
      </c>
      <c r="C1066" t="inlineStr">
        <is>
          <t>Föryngringsavverkning</t>
        </is>
      </c>
      <c r="D1066" s="1" t="n">
        <v>45692</v>
      </c>
      <c r="E1066" s="1" t="n">
        <v>46310</v>
      </c>
      <c r="F1066" t="inlineStr">
        <is>
          <t>VÄSTERNORRLANDS LÄN</t>
        </is>
      </c>
      <c r="G1066" t="inlineStr">
        <is>
          <t>ÅNGE</t>
        </is>
      </c>
      <c r="H1066" t="inlineStr">
        <is>
          <t>SCA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57529-2024</t>
        </is>
      </c>
      <c r="B1067" t="inlineStr">
        <is>
          <t>avverkningsanmälan</t>
        </is>
      </c>
      <c r="C1067" t="inlineStr">
        <is>
          <t>Föryngringsavverkning</t>
        </is>
      </c>
      <c r="D1067" s="1" t="n">
        <v>45630</v>
      </c>
      <c r="E1067" s="1" t="n">
        <v>46310</v>
      </c>
      <c r="F1067" t="inlineStr">
        <is>
          <t>VÄSTERNORRLANDS LÄN</t>
        </is>
      </c>
      <c r="G1067" t="inlineStr">
        <is>
          <t>ÅNGE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1769-2023</t>
        </is>
      </c>
      <c r="B1068" t="inlineStr">
        <is>
          <t>avverkningsanmälan</t>
        </is>
      </c>
      <c r="C1068" t="inlineStr">
        <is>
          <t>Föryngringsavverkning</t>
        </is>
      </c>
      <c r="D1068" s="1" t="n">
        <v>44938</v>
      </c>
      <c r="E1068" s="1" t="n">
        <v>46310</v>
      </c>
      <c r="F1068" t="inlineStr">
        <is>
          <t>VÄSTERNORRLANDS LÄN</t>
        </is>
      </c>
      <c r="G1068" t="inlineStr">
        <is>
          <t>ÅNGE</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25910-2026</t>
        </is>
      </c>
      <c r="B1069" t="inlineStr">
        <is>
          <t>avverkningsanmälan</t>
        </is>
      </c>
      <c r="C1069" t="inlineStr">
        <is>
          <t>Föryngringsavverkning</t>
        </is>
      </c>
      <c r="D1069" s="1" t="n">
        <v>46178</v>
      </c>
      <c r="E1069" s="1" t="n">
        <v>46310</v>
      </c>
      <c r="F1069" t="inlineStr">
        <is>
          <t>VÄSTERNORRLANDS LÄN</t>
        </is>
      </c>
      <c r="G1069" t="inlineStr">
        <is>
          <t>ÅNGE</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32776-2022</t>
        </is>
      </c>
      <c r="B1070" t="inlineStr">
        <is>
          <t>avverkningsanmälan</t>
        </is>
      </c>
      <c r="C1070" t="inlineStr">
        <is>
          <t>Föryngringsavverkning</t>
        </is>
      </c>
      <c r="D1070" s="1" t="n">
        <v>44783</v>
      </c>
      <c r="E1070" s="1" t="n">
        <v>46310</v>
      </c>
      <c r="F1070" t="inlineStr">
        <is>
          <t>VÄSTERNORRLANDS LÄN</t>
        </is>
      </c>
      <c r="G1070" t="inlineStr">
        <is>
          <t>ÅNGE</t>
        </is>
      </c>
      <c r="H1070" t="inlineStr">
        <is>
          <t>SCA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25848-2026</t>
        </is>
      </c>
      <c r="B1071" t="inlineStr">
        <is>
          <t>avverkningsanmälan</t>
        </is>
      </c>
      <c r="C1071" t="inlineStr">
        <is>
          <t>Föryngringsavverkning</t>
        </is>
      </c>
      <c r="D1071" s="1" t="n">
        <v>46178</v>
      </c>
      <c r="E1071" s="1" t="n">
        <v>46310</v>
      </c>
      <c r="F1071" t="inlineStr">
        <is>
          <t>VÄSTERNORRLANDS LÄN</t>
        </is>
      </c>
      <c r="G1071" t="inlineStr">
        <is>
          <t>ÅNGE</t>
        </is>
      </c>
      <c r="H1071" t="inlineStr">
        <is>
          <t>SCA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25849-2026</t>
        </is>
      </c>
      <c r="B1072" t="inlineStr">
        <is>
          <t>avverkningsanmälan</t>
        </is>
      </c>
      <c r="C1072" t="inlineStr">
        <is>
          <t>Föryngringsavverkning</t>
        </is>
      </c>
      <c r="D1072" s="1" t="n">
        <v>46178</v>
      </c>
      <c r="E1072" s="1" t="n">
        <v>46310</v>
      </c>
      <c r="F1072" t="inlineStr">
        <is>
          <t>VÄSTERNORRLANDS LÄN</t>
        </is>
      </c>
      <c r="G1072" t="inlineStr">
        <is>
          <t>ÅNGE</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25685-2026</t>
        </is>
      </c>
      <c r="B1073" t="inlineStr">
        <is>
          <t>avverkningsanmälan</t>
        </is>
      </c>
      <c r="C1073" t="inlineStr">
        <is>
          <t>Föryngringsavverkning</t>
        </is>
      </c>
      <c r="D1073" s="1" t="n">
        <v>46178</v>
      </c>
      <c r="E1073" s="1" t="n">
        <v>46310</v>
      </c>
      <c r="F1073" t="inlineStr">
        <is>
          <t>VÄSTERNORRLANDS LÄN</t>
        </is>
      </c>
      <c r="G1073" t="inlineStr">
        <is>
          <t>ÅNGE</t>
        </is>
      </c>
      <c r="H1073" t="inlineStr">
        <is>
          <t>SCA</t>
        </is>
      </c>
      <c r="I1073" t="n">
        <v>14.1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25528-2026</t>
        </is>
      </c>
      <c r="B1074" t="inlineStr">
        <is>
          <t>avverkningsanmälan</t>
        </is>
      </c>
      <c r="C1074" t="inlineStr">
        <is>
          <t>Föryngringsavverkning</t>
        </is>
      </c>
      <c r="D1074" s="1" t="n">
        <v>46177</v>
      </c>
      <c r="E1074" s="1" t="n">
        <v>46310</v>
      </c>
      <c r="F1074" t="inlineStr">
        <is>
          <t>VÄSTERNORRLANDS LÄN</t>
        </is>
      </c>
      <c r="G1074" t="inlineStr">
        <is>
          <t>ÅNGE</t>
        </is>
      </c>
      <c r="H1074" t="inlineStr">
        <is>
          <t>SCA</t>
        </is>
      </c>
      <c r="I1074" t="n">
        <v>12.8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25530-2026</t>
        </is>
      </c>
      <c r="B1075" t="inlineStr">
        <is>
          <t>avverkningsanmälan</t>
        </is>
      </c>
      <c r="C1075" t="inlineStr">
        <is>
          <t>Föryngringsavverkning</t>
        </is>
      </c>
      <c r="D1075" s="1" t="n">
        <v>46177</v>
      </c>
      <c r="E1075" s="1" t="n">
        <v>46310</v>
      </c>
      <c r="F1075" t="inlineStr">
        <is>
          <t>VÄSTERNORRLANDS LÄN</t>
        </is>
      </c>
      <c r="G1075" t="inlineStr">
        <is>
          <t>ÅNGE</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25779-2023</t>
        </is>
      </c>
      <c r="B1076" t="inlineStr">
        <is>
          <t>avverkningsanmälan</t>
        </is>
      </c>
      <c r="C1076" t="inlineStr">
        <is>
          <t>Föryngringsavverkning</t>
        </is>
      </c>
      <c r="D1076" s="1" t="n">
        <v>45090</v>
      </c>
      <c r="E1076" s="1" t="n">
        <v>46310</v>
      </c>
      <c r="F1076" t="inlineStr">
        <is>
          <t>VÄSTERNORRLANDS LÄN</t>
        </is>
      </c>
      <c r="G1076" t="inlineStr">
        <is>
          <t>ÅNGE</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23225-2024</t>
        </is>
      </c>
      <c r="B1077" t="inlineStr">
        <is>
          <t>avverkningsanmälan</t>
        </is>
      </c>
      <c r="C1077" t="inlineStr">
        <is>
          <t>Föryngringsavverkning</t>
        </is>
      </c>
      <c r="D1077" s="1" t="n">
        <v>45452</v>
      </c>
      <c r="E1077" s="1" t="n">
        <v>46310</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29696-2024</t>
        </is>
      </c>
      <c r="B1078" t="inlineStr">
        <is>
          <t>avverkningsanmälan</t>
        </is>
      </c>
      <c r="C1078" t="inlineStr">
        <is>
          <t>Föryngringsavverkning</t>
        </is>
      </c>
      <c r="D1078" s="1" t="n">
        <v>45484</v>
      </c>
      <c r="E1078" s="1" t="n">
        <v>46310</v>
      </c>
      <c r="F1078" t="inlineStr">
        <is>
          <t>VÄSTERNORRLANDS LÄN</t>
        </is>
      </c>
      <c r="G1078" t="inlineStr">
        <is>
          <t>ÅNGE</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25850-2026</t>
        </is>
      </c>
      <c r="B1079" t="inlineStr">
        <is>
          <t>avverkningsanmälan</t>
        </is>
      </c>
      <c r="C1079" t="inlineStr">
        <is>
          <t>Föryngringsavverkning</t>
        </is>
      </c>
      <c r="D1079" s="1" t="n">
        <v>46178</v>
      </c>
      <c r="E1079" s="1" t="n">
        <v>46310</v>
      </c>
      <c r="F1079" t="inlineStr">
        <is>
          <t>VÄSTERNORRLANDS LÄN</t>
        </is>
      </c>
      <c r="G1079" t="inlineStr">
        <is>
          <t>ÅNGE</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25851-2026</t>
        </is>
      </c>
      <c r="B1080" t="inlineStr">
        <is>
          <t>avverkningsanmälan</t>
        </is>
      </c>
      <c r="C1080" t="inlineStr">
        <is>
          <t>Föryngringsavverkning</t>
        </is>
      </c>
      <c r="D1080" s="1" t="n">
        <v>46178</v>
      </c>
      <c r="E1080" s="1" t="n">
        <v>46310</v>
      </c>
      <c r="F1080" t="inlineStr">
        <is>
          <t>VÄSTERNORRLANDS LÄN</t>
        </is>
      </c>
      <c r="G1080" t="inlineStr">
        <is>
          <t>ÅNGE</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25853-2026</t>
        </is>
      </c>
      <c r="B1081" t="inlineStr">
        <is>
          <t>avverkningsanmälan</t>
        </is>
      </c>
      <c r="C1081" t="inlineStr">
        <is>
          <t>Föryngringsavverkning</t>
        </is>
      </c>
      <c r="D1081" s="1" t="n">
        <v>46178</v>
      </c>
      <c r="E1081" s="1" t="n">
        <v>46310</v>
      </c>
      <c r="F1081" t="inlineStr">
        <is>
          <t>VÄSTERNORRLANDS LÄN</t>
        </is>
      </c>
      <c r="G1081" t="inlineStr">
        <is>
          <t>ÅNGE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6462-2024</t>
        </is>
      </c>
      <c r="B1082" t="inlineStr">
        <is>
          <t>avverkningsanmälan</t>
        </is>
      </c>
      <c r="C1082" t="inlineStr">
        <is>
          <t>Föryngringsavverkning</t>
        </is>
      </c>
      <c r="D1082" s="1" t="n">
        <v>45338</v>
      </c>
      <c r="E1082" s="1" t="n">
        <v>46310</v>
      </c>
      <c r="F1082" t="inlineStr">
        <is>
          <t>VÄSTERNORRLANDS LÄN</t>
        </is>
      </c>
      <c r="G1082" t="inlineStr">
        <is>
          <t>ÅNGE</t>
        </is>
      </c>
      <c r="H1082" t="inlineStr">
        <is>
          <t>Kyrkan</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26018-2024</t>
        </is>
      </c>
      <c r="B1083" t="inlineStr">
        <is>
          <t>avverkningsanmälan</t>
        </is>
      </c>
      <c r="C1083" t="inlineStr">
        <is>
          <t>Föryngringsavverkning</t>
        </is>
      </c>
      <c r="D1083" s="1" t="n">
        <v>45467</v>
      </c>
      <c r="E1083" s="1" t="n">
        <v>46310</v>
      </c>
      <c r="F1083" t="inlineStr">
        <is>
          <t>VÄSTERNORRLANDS LÄN</t>
        </is>
      </c>
      <c r="G1083" t="inlineStr">
        <is>
          <t>ÅNGE</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26021-2024</t>
        </is>
      </c>
      <c r="B1084" t="inlineStr">
        <is>
          <t>avverkningsanmälan</t>
        </is>
      </c>
      <c r="C1084" t="inlineStr">
        <is>
          <t>Föryngringsavverkning</t>
        </is>
      </c>
      <c r="D1084" s="1" t="n">
        <v>45467</v>
      </c>
      <c r="E1084" s="1" t="n">
        <v>46310</v>
      </c>
      <c r="F1084" t="inlineStr">
        <is>
          <t>VÄSTERNORRLANDS LÄN</t>
        </is>
      </c>
      <c r="G1084" t="inlineStr">
        <is>
          <t>ÅNGE</t>
        </is>
      </c>
      <c r="H1084" t="inlineStr">
        <is>
          <t>SCA</t>
        </is>
      </c>
      <c r="I1084" t="n">
        <v>7.7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29673-2024</t>
        </is>
      </c>
      <c r="B1085" t="inlineStr">
        <is>
          <t>avverkningsanmälan</t>
        </is>
      </c>
      <c r="C1085" t="inlineStr">
        <is>
          <t>Föryngringsavverkning</t>
        </is>
      </c>
      <c r="D1085" s="1" t="n">
        <v>45484</v>
      </c>
      <c r="E1085" s="1" t="n">
        <v>46310</v>
      </c>
      <c r="F1085" t="inlineStr">
        <is>
          <t>VÄSTERNORRLANDS LÄN</t>
        </is>
      </c>
      <c r="G1085" t="inlineStr">
        <is>
          <t>ÅNGE</t>
        </is>
      </c>
      <c r="H1085" t="inlineStr">
        <is>
          <t>SCA</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11399-2025</t>
        </is>
      </c>
      <c r="B1086" t="inlineStr">
        <is>
          <t>avverkningsanmälan</t>
        </is>
      </c>
      <c r="C1086" t="inlineStr">
        <is>
          <t>Föryngringsavverkning</t>
        </is>
      </c>
      <c r="D1086" s="1" t="n">
        <v>45726</v>
      </c>
      <c r="E1086" s="1" t="n">
        <v>46310</v>
      </c>
      <c r="F1086" t="inlineStr">
        <is>
          <t>VÄSTERNORRLANDS LÄN</t>
        </is>
      </c>
      <c r="G1086" t="inlineStr">
        <is>
          <t>ÅNGE</t>
        </is>
      </c>
      <c r="H1086" t="inlineStr">
        <is>
          <t>SCA</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39021-2024</t>
        </is>
      </c>
      <c r="B1087" t="inlineStr">
        <is>
          <t>avverkningsanmälan</t>
        </is>
      </c>
      <c r="C1087" t="inlineStr">
        <is>
          <t>Föryngringsavverkning</t>
        </is>
      </c>
      <c r="D1087" s="1" t="n">
        <v>45548</v>
      </c>
      <c r="E1087" s="1" t="n">
        <v>46310</v>
      </c>
      <c r="F1087" t="inlineStr">
        <is>
          <t>VÄSTERNORRLANDS LÄN</t>
        </is>
      </c>
      <c r="G1087" t="inlineStr">
        <is>
          <t>ÅNGE</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27915-2024</t>
        </is>
      </c>
      <c r="B1088" t="inlineStr">
        <is>
          <t>avverkningsanmälan</t>
        </is>
      </c>
      <c r="C1088" t="inlineStr">
        <is>
          <t>Föryngringsavverkning</t>
        </is>
      </c>
      <c r="D1088" s="1" t="n">
        <v>45475</v>
      </c>
      <c r="E1088" s="1" t="n">
        <v>46310</v>
      </c>
      <c r="F1088" t="inlineStr">
        <is>
          <t>VÄSTERNORRLANDS LÄN</t>
        </is>
      </c>
      <c r="G1088" t="inlineStr">
        <is>
          <t>ÅNGE</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2433-2024</t>
        </is>
      </c>
      <c r="B1089" t="inlineStr">
        <is>
          <t>avverkningsanmälan</t>
        </is>
      </c>
      <c r="C1089" t="inlineStr">
        <is>
          <t>Föryngringsavverkning</t>
        </is>
      </c>
      <c r="D1089" s="1" t="n">
        <v>45310</v>
      </c>
      <c r="E1089" s="1" t="n">
        <v>46310</v>
      </c>
      <c r="F1089" t="inlineStr">
        <is>
          <t>VÄSTERNORRLANDS LÄN</t>
        </is>
      </c>
      <c r="G1089" t="inlineStr">
        <is>
          <t>ÅNGE</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57846-2022</t>
        </is>
      </c>
      <c r="B1090" t="inlineStr">
        <is>
          <t>avverkningsanmälan</t>
        </is>
      </c>
      <c r="C1090" t="inlineStr">
        <is>
          <t>Föryngringsavverkning</t>
        </is>
      </c>
      <c r="D1090" s="1" t="n">
        <v>44897</v>
      </c>
      <c r="E1090" s="1" t="n">
        <v>46310</v>
      </c>
      <c r="F1090" t="inlineStr">
        <is>
          <t>VÄSTERNORRLANDS LÄN</t>
        </is>
      </c>
      <c r="G1090" t="inlineStr">
        <is>
          <t>ÅNGE</t>
        </is>
      </c>
      <c r="H1090" t="inlineStr">
        <is>
          <t>SCA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26507-2026</t>
        </is>
      </c>
      <c r="B1091" t="inlineStr">
        <is>
          <t>avverkningsanmälan</t>
        </is>
      </c>
      <c r="C1091" t="inlineStr">
        <is>
          <t>Föryngringsavverkning</t>
        </is>
      </c>
      <c r="D1091" s="1" t="n">
        <v>46183</v>
      </c>
      <c r="E1091" s="1" t="n">
        <v>46310</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26717-2026</t>
        </is>
      </c>
      <c r="B1092" t="inlineStr">
        <is>
          <t>avverkningsanmälan</t>
        </is>
      </c>
      <c r="C1092" t="inlineStr">
        <is>
          <t>Föryngringsavverkning</t>
        </is>
      </c>
      <c r="D1092" s="1" t="n">
        <v>46184</v>
      </c>
      <c r="E1092" s="1" t="n">
        <v>46310</v>
      </c>
      <c r="F1092" t="inlineStr">
        <is>
          <t>VÄSTERNORRLANDS LÄN</t>
        </is>
      </c>
      <c r="G1092" t="inlineStr">
        <is>
          <t>ÅNGE</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8868-2023</t>
        </is>
      </c>
      <c r="B1093" t="inlineStr">
        <is>
          <t>avverkningsanmälan</t>
        </is>
      </c>
      <c r="C1093" t="inlineStr">
        <is>
          <t>Avverkning för att bevara och utveckla /försöksver</t>
        </is>
      </c>
      <c r="D1093" s="1" t="n">
        <v>44978</v>
      </c>
      <c r="E1093" s="1" t="n">
        <v>46310</v>
      </c>
      <c r="F1093" t="inlineStr">
        <is>
          <t>VÄSTERNORRLANDS LÄN</t>
        </is>
      </c>
      <c r="G1093" t="inlineStr">
        <is>
          <t>ÅNGE</t>
        </is>
      </c>
      <c r="H1093" t="inlineStr">
        <is>
          <t>SCA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26720-2026</t>
        </is>
      </c>
      <c r="B1094" t="inlineStr">
        <is>
          <t>avverkningsanmälan</t>
        </is>
      </c>
      <c r="C1094" t="inlineStr">
        <is>
          <t>Föryngringsavverkning</t>
        </is>
      </c>
      <c r="D1094" s="1" t="n">
        <v>46184</v>
      </c>
      <c r="E1094" s="1" t="n">
        <v>46310</v>
      </c>
      <c r="F1094" t="inlineStr">
        <is>
          <t>VÄSTERNORRLANDS LÄN</t>
        </is>
      </c>
      <c r="G1094" t="inlineStr">
        <is>
          <t>ÅNGE</t>
        </is>
      </c>
      <c r="H1094" t="inlineStr">
        <is>
          <t>SCA</t>
        </is>
      </c>
      <c r="I1094" t="n">
        <v>7.3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65229-2021</t>
        </is>
      </c>
      <c r="B1095" t="inlineStr">
        <is>
          <t>avverkningsanmälan</t>
        </is>
      </c>
      <c r="C1095" t="inlineStr">
        <is>
          <t>Föryngringsavverkning</t>
        </is>
      </c>
      <c r="D1095" s="1" t="n">
        <v>44515</v>
      </c>
      <c r="E1095" s="1" t="n">
        <v>46310</v>
      </c>
      <c r="F1095" t="inlineStr">
        <is>
          <t>VÄSTERNORRLANDS LÄN</t>
        </is>
      </c>
      <c r="G1095" t="inlineStr">
        <is>
          <t>ÅNGE</t>
        </is>
      </c>
      <c r="I1095" t="n">
        <v>12.1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57291-2022</t>
        </is>
      </c>
      <c r="B1096" t="inlineStr">
        <is>
          <t>avverkningsanmälan</t>
        </is>
      </c>
      <c r="C1096" t="inlineStr">
        <is>
          <t>Föryngringsavverkning</t>
        </is>
      </c>
      <c r="D1096" s="1" t="n">
        <v>44895</v>
      </c>
      <c r="E1096" s="1" t="n">
        <v>46310</v>
      </c>
      <c r="F1096" t="inlineStr">
        <is>
          <t>VÄSTERNORRLANDS LÄN</t>
        </is>
      </c>
      <c r="G1096" t="inlineStr">
        <is>
          <t>ÅNGE</t>
        </is>
      </c>
      <c r="H1096" t="inlineStr">
        <is>
          <t>SCA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4883-2023</t>
        </is>
      </c>
      <c r="B1097" t="inlineStr">
        <is>
          <t>avverkningsanmälan</t>
        </is>
      </c>
      <c r="C1097" t="inlineStr">
        <is>
          <t>Avverkning för att bevara och utveckla /försöksver</t>
        </is>
      </c>
      <c r="D1097" s="1" t="n">
        <v>44957</v>
      </c>
      <c r="E1097" s="1" t="n">
        <v>46310</v>
      </c>
      <c r="F1097" t="inlineStr">
        <is>
          <t>VÄSTERNORRLANDS LÄN</t>
        </is>
      </c>
      <c r="G1097" t="inlineStr">
        <is>
          <t>ÅNGE</t>
        </is>
      </c>
      <c r="H1097" t="inlineStr">
        <is>
          <t>SCA</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26951-2024</t>
        </is>
      </c>
      <c r="B1098" t="inlineStr">
        <is>
          <t>avverkningsanmälan</t>
        </is>
      </c>
      <c r="C1098" t="inlineStr">
        <is>
          <t>Föryngringsavverkning</t>
        </is>
      </c>
      <c r="D1098" s="1" t="n">
        <v>45470</v>
      </c>
      <c r="E1098" s="1" t="n">
        <v>46310</v>
      </c>
      <c r="F1098" t="inlineStr">
        <is>
          <t>VÄSTERNORRLANDS LÄN</t>
        </is>
      </c>
      <c r="G1098" t="inlineStr">
        <is>
          <t>ÅNGE</t>
        </is>
      </c>
      <c r="H1098" t="inlineStr">
        <is>
          <t>SCA</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26952-2024</t>
        </is>
      </c>
      <c r="B1099" t="inlineStr">
        <is>
          <t>avverkningsanmälan</t>
        </is>
      </c>
      <c r="C1099" t="inlineStr">
        <is>
          <t>Föryngringsavverkning</t>
        </is>
      </c>
      <c r="D1099" s="1" t="n">
        <v>45470</v>
      </c>
      <c r="E1099" s="1" t="n">
        <v>46310</v>
      </c>
      <c r="F1099" t="inlineStr">
        <is>
          <t>VÄSTERNORRLANDS LÄN</t>
        </is>
      </c>
      <c r="G1099" t="inlineStr">
        <is>
          <t>ÅNGE</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27246-2026</t>
        </is>
      </c>
      <c r="B1100" t="inlineStr">
        <is>
          <t>avverkningsanmälan</t>
        </is>
      </c>
      <c r="C1100" t="inlineStr">
        <is>
          <t>Avverkning för annat ändamål</t>
        </is>
      </c>
      <c r="D1100" s="1" t="n">
        <v>46188</v>
      </c>
      <c r="E1100" s="1" t="n">
        <v>46310</v>
      </c>
      <c r="F1100" t="inlineStr">
        <is>
          <t>VÄSTERNORRLANDS LÄN</t>
        </is>
      </c>
      <c r="G1100" t="inlineStr">
        <is>
          <t>ÅNGE</t>
        </is>
      </c>
      <c r="H1100" t="inlineStr">
        <is>
          <t>SCA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26960-2026</t>
        </is>
      </c>
      <c r="B1101" t="inlineStr">
        <is>
          <t>avverkningsanmälan</t>
        </is>
      </c>
      <c r="C1101" t="inlineStr">
        <is>
          <t>Föryngringsavverkning</t>
        </is>
      </c>
      <c r="D1101" s="1" t="n">
        <v>46185</v>
      </c>
      <c r="E1101" s="1" t="n">
        <v>46310</v>
      </c>
      <c r="F1101" t="inlineStr">
        <is>
          <t>VÄSTERNORRLANDS LÄN</t>
        </is>
      </c>
      <c r="G1101" t="inlineStr">
        <is>
          <t>ÅNGE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27251-2026</t>
        </is>
      </c>
      <c r="B1102" t="inlineStr">
        <is>
          <t>avverkningsanmälan</t>
        </is>
      </c>
      <c r="C1102" t="inlineStr">
        <is>
          <t>Föryngringsavverkning</t>
        </is>
      </c>
      <c r="D1102" s="1" t="n">
        <v>46188</v>
      </c>
      <c r="E1102" s="1" t="n">
        <v>46310</v>
      </c>
      <c r="F1102" t="inlineStr">
        <is>
          <t>VÄSTERNORRLANDS LÄN</t>
        </is>
      </c>
      <c r="G1102" t="inlineStr">
        <is>
          <t>ÅNGE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26873-2026</t>
        </is>
      </c>
      <c r="B1103" t="inlineStr">
        <is>
          <t>avverkningsanmälan</t>
        </is>
      </c>
      <c r="C1103" t="inlineStr">
        <is>
          <t>Föryngringsavverkning</t>
        </is>
      </c>
      <c r="D1103" s="1" t="n">
        <v>46185</v>
      </c>
      <c r="E1103" s="1" t="n">
        <v>46310</v>
      </c>
      <c r="F1103" t="inlineStr">
        <is>
          <t>VÄSTERNORRLANDS LÄN</t>
        </is>
      </c>
      <c r="G1103" t="inlineStr">
        <is>
          <t>ÅNGE</t>
        </is>
      </c>
      <c r="H1103" t="inlineStr">
        <is>
          <t>SCA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1654-2026</t>
        </is>
      </c>
      <c r="B1104" t="inlineStr">
        <is>
          <t>avverkningsanmälan</t>
        </is>
      </c>
      <c r="C1104" t="inlineStr">
        <is>
          <t>Föryngringsavverkning</t>
        </is>
      </c>
      <c r="D1104" s="1" t="n">
        <v>46034</v>
      </c>
      <c r="E1104" s="1" t="n">
        <v>46310</v>
      </c>
      <c r="F1104" t="inlineStr">
        <is>
          <t>VÄSTERNORRLANDS LÄN</t>
        </is>
      </c>
      <c r="G1104" t="inlineStr">
        <is>
          <t>ÅNGE</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27633-2026</t>
        </is>
      </c>
      <c r="B1105" t="inlineStr">
        <is>
          <t>avverkningsanmälan</t>
        </is>
      </c>
      <c r="C1105" t="inlineStr">
        <is>
          <t>Föryngringsavverkning</t>
        </is>
      </c>
      <c r="D1105" s="1" t="n">
        <v>46190</v>
      </c>
      <c r="E1105" s="1" t="n">
        <v>46310</v>
      </c>
      <c r="F1105" t="inlineStr">
        <is>
          <t>VÄSTERNORRLANDS LÄN</t>
        </is>
      </c>
      <c r="G1105" t="inlineStr">
        <is>
          <t>ÅNGE</t>
        </is>
      </c>
      <c r="H1105" t="inlineStr">
        <is>
          <t>SCA</t>
        </is>
      </c>
      <c r="I1105" t="n">
        <v>11.4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3322-2025</t>
        </is>
      </c>
      <c r="B1106" t="inlineStr">
        <is>
          <t>avverkningsanmälan</t>
        </is>
      </c>
      <c r="C1106" t="inlineStr">
        <is>
          <t>Föryngringsavverkning</t>
        </is>
      </c>
      <c r="D1106" s="1" t="n">
        <v>45679</v>
      </c>
      <c r="E1106" s="1" t="n">
        <v>46310</v>
      </c>
      <c r="F1106" t="inlineStr">
        <is>
          <t>VÄSTERNORRLANDS LÄN</t>
        </is>
      </c>
      <c r="G1106" t="inlineStr">
        <is>
          <t>ÅNGE</t>
        </is>
      </c>
      <c r="H1106" t="inlineStr">
        <is>
          <t>SCA</t>
        </is>
      </c>
      <c r="I1106" t="n">
        <v>11.1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27751-2026</t>
        </is>
      </c>
      <c r="B1107" t="inlineStr">
        <is>
          <t>avverkningsanmälan</t>
        </is>
      </c>
      <c r="C1107" t="inlineStr">
        <is>
          <t>Avverkning för annat ändamål</t>
        </is>
      </c>
      <c r="D1107" s="1" t="n">
        <v>46191</v>
      </c>
      <c r="E1107" s="1" t="n">
        <v>46310</v>
      </c>
      <c r="F1107" t="inlineStr">
        <is>
          <t>VÄSTERNORRLANDS LÄN</t>
        </is>
      </c>
      <c r="G1107" t="inlineStr">
        <is>
          <t>ÅNGE</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44606-2024</t>
        </is>
      </c>
      <c r="B1108" t="inlineStr">
        <is>
          <t>avverkningsanmälan</t>
        </is>
      </c>
      <c r="C1108" t="inlineStr">
        <is>
          <t>Föryngringsavverkning</t>
        </is>
      </c>
      <c r="D1108" s="1" t="n">
        <v>45574</v>
      </c>
      <c r="E1108" s="1" t="n">
        <v>46310</v>
      </c>
      <c r="F1108" t="inlineStr">
        <is>
          <t>VÄSTERNORRLANDS LÄN</t>
        </is>
      </c>
      <c r="G1108" t="inlineStr">
        <is>
          <t>ÅNGE</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44626-2024</t>
        </is>
      </c>
      <c r="B1109" t="inlineStr">
        <is>
          <t>avverkningsanmälan</t>
        </is>
      </c>
      <c r="C1109" t="inlineStr">
        <is>
          <t>Föryngringsavverkning</t>
        </is>
      </c>
      <c r="D1109" s="1" t="n">
        <v>45574</v>
      </c>
      <c r="E1109" s="1" t="n">
        <v>46310</v>
      </c>
      <c r="F1109" t="inlineStr">
        <is>
          <t>VÄSTERNORRLANDS LÄN</t>
        </is>
      </c>
      <c r="G1109" t="inlineStr">
        <is>
          <t>ÅNGE</t>
        </is>
      </c>
      <c r="H1109" t="inlineStr">
        <is>
          <t>SCA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18668-2023</t>
        </is>
      </c>
      <c r="B1110" t="inlineStr">
        <is>
          <t>avverkningsanmälan</t>
        </is>
      </c>
      <c r="C1110" t="inlineStr">
        <is>
          <t>Föryngringsavverkning</t>
        </is>
      </c>
      <c r="D1110" s="1" t="n">
        <v>45043</v>
      </c>
      <c r="E1110" s="1" t="n">
        <v>46310</v>
      </c>
      <c r="F1110" t="inlineStr">
        <is>
          <t>VÄSTERNORRLANDS LÄN</t>
        </is>
      </c>
      <c r="G1110" t="inlineStr">
        <is>
          <t>ÅNGE</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28283-2026</t>
        </is>
      </c>
      <c r="B1111" t="inlineStr">
        <is>
          <t>avverkningsanmälan</t>
        </is>
      </c>
      <c r="C1111" t="inlineStr">
        <is>
          <t>Föryngringsavverkning</t>
        </is>
      </c>
      <c r="D1111" s="1" t="n">
        <v>46196</v>
      </c>
      <c r="E1111" s="1" t="n">
        <v>46310</v>
      </c>
      <c r="F1111" t="inlineStr">
        <is>
          <t>VÄSTERNORRLANDS LÄN</t>
        </is>
      </c>
      <c r="G1111" t="inlineStr">
        <is>
          <t>ÅNGE</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1964-2022</t>
        </is>
      </c>
      <c r="B1112" t="inlineStr">
        <is>
          <t>avverkningsanmälan</t>
        </is>
      </c>
      <c r="C1112" t="inlineStr">
        <is>
          <t>Föryngringsavverkning</t>
        </is>
      </c>
      <c r="D1112" s="1" t="n">
        <v>44575</v>
      </c>
      <c r="E1112" s="1" t="n">
        <v>46310</v>
      </c>
      <c r="F1112" t="inlineStr">
        <is>
          <t>VÄSTERNORRLANDS LÄN</t>
        </is>
      </c>
      <c r="G1112" t="inlineStr">
        <is>
          <t>ÅNGE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18880-2024</t>
        </is>
      </c>
      <c r="B1113" t="inlineStr">
        <is>
          <t>avverkningsanmälan</t>
        </is>
      </c>
      <c r="C1113" t="inlineStr">
        <is>
          <t>Föryngringsavverkning</t>
        </is>
      </c>
      <c r="D1113" s="1" t="n">
        <v>45426</v>
      </c>
      <c r="E1113" s="1" t="n">
        <v>46310</v>
      </c>
      <c r="F1113" t="inlineStr">
        <is>
          <t>VÄSTERNORRLANDS LÄN</t>
        </is>
      </c>
      <c r="G1113" t="inlineStr">
        <is>
          <t>ÅNGE</t>
        </is>
      </c>
      <c r="H1113" t="inlineStr">
        <is>
          <t>SCA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28336-2026</t>
        </is>
      </c>
      <c r="B1114" t="inlineStr">
        <is>
          <t>avverkningsanmälan</t>
        </is>
      </c>
      <c r="C1114" t="inlineStr">
        <is>
          <t>Föryngringsavverkning</t>
        </is>
      </c>
      <c r="D1114" s="1" t="n">
        <v>46196</v>
      </c>
      <c r="E1114" s="1" t="n">
        <v>46310</v>
      </c>
      <c r="F1114" t="inlineStr">
        <is>
          <t>VÄSTERNORRLANDS LÄN</t>
        </is>
      </c>
      <c r="G1114" t="inlineStr">
        <is>
          <t>ÅNGE</t>
        </is>
      </c>
      <c r="H1114" t="inlineStr">
        <is>
          <t>SCA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48787-2024</t>
        </is>
      </c>
      <c r="B1115" t="inlineStr">
        <is>
          <t>avverkningsanmälan</t>
        </is>
      </c>
      <c r="C1115" t="inlineStr">
        <is>
          <t>Föryngringsavverkning</t>
        </is>
      </c>
      <c r="D1115" s="1" t="n">
        <v>45593</v>
      </c>
      <c r="E1115" s="1" t="n">
        <v>46310</v>
      </c>
      <c r="F1115" t="inlineStr">
        <is>
          <t>VÄSTERNORRLANDS LÄN</t>
        </is>
      </c>
      <c r="G1115" t="inlineStr">
        <is>
          <t>ÅNGE</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1886-2024</t>
        </is>
      </c>
      <c r="B1116" t="inlineStr">
        <is>
          <t>avverkningsanmälan</t>
        </is>
      </c>
      <c r="C1116" t="inlineStr">
        <is>
          <t>Föryngringsavverkning</t>
        </is>
      </c>
      <c r="D1116" s="1" t="n">
        <v>45307</v>
      </c>
      <c r="E1116" s="1" t="n">
        <v>46310</v>
      </c>
      <c r="F1116" t="inlineStr">
        <is>
          <t>VÄSTERNORRLANDS LÄN</t>
        </is>
      </c>
      <c r="G1116" t="inlineStr">
        <is>
          <t>ÅNGE</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41370-2023</t>
        </is>
      </c>
      <c r="B1117" t="inlineStr">
        <is>
          <t>avverkningsanmälan</t>
        </is>
      </c>
      <c r="C1117" t="inlineStr">
        <is>
          <t>Föryngringsavverkning</t>
        </is>
      </c>
      <c r="D1117" s="1" t="n">
        <v>45174</v>
      </c>
      <c r="E1117" s="1" t="n">
        <v>46310</v>
      </c>
      <c r="F1117" t="inlineStr">
        <is>
          <t>VÄSTERNORRLANDS LÄN</t>
        </is>
      </c>
      <c r="G1117" t="inlineStr">
        <is>
          <t>ÅNGE</t>
        </is>
      </c>
      <c r="H1117" t="inlineStr">
        <is>
          <t>Sveaskog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28244-2026</t>
        </is>
      </c>
      <c r="B1118" t="inlineStr">
        <is>
          <t>avverkningsanmälan</t>
        </is>
      </c>
      <c r="C1118" t="inlineStr">
        <is>
          <t>Föryngringsavverkning</t>
        </is>
      </c>
      <c r="D1118" s="1" t="n">
        <v>46196</v>
      </c>
      <c r="E1118" s="1" t="n">
        <v>46310</v>
      </c>
      <c r="F1118" t="inlineStr">
        <is>
          <t>VÄSTERNORRLANDS LÄN</t>
        </is>
      </c>
      <c r="G1118" t="inlineStr">
        <is>
          <t>ÅNGE</t>
        </is>
      </c>
      <c r="H1118" t="inlineStr">
        <is>
          <t>SCA</t>
        </is>
      </c>
      <c r="I1118" t="n">
        <v>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28177-2026</t>
        </is>
      </c>
      <c r="B1119" t="inlineStr">
        <is>
          <t>avverkningsanmälan</t>
        </is>
      </c>
      <c r="C1119" t="inlineStr">
        <is>
          <t>Föryngringsavverkning</t>
        </is>
      </c>
      <c r="D1119" s="1" t="n">
        <v>46195</v>
      </c>
      <c r="E1119" s="1" t="n">
        <v>46310</v>
      </c>
      <c r="F1119" t="inlineStr">
        <is>
          <t>VÄSTERNORRLANDS LÄN</t>
        </is>
      </c>
      <c r="G1119" t="inlineStr">
        <is>
          <t>ÅNGE</t>
        </is>
      </c>
      <c r="H1119" t="inlineStr">
        <is>
          <t>SCA</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28186-2026</t>
        </is>
      </c>
      <c r="B1120" t="inlineStr">
        <is>
          <t>avverkningsanmälan</t>
        </is>
      </c>
      <c r="C1120" t="inlineStr">
        <is>
          <t>Föryngringsavverkning</t>
        </is>
      </c>
      <c r="D1120" s="1" t="n">
        <v>46195</v>
      </c>
      <c r="E1120" s="1" t="n">
        <v>46310</v>
      </c>
      <c r="F1120" t="inlineStr">
        <is>
          <t>VÄSTERNORRLANDS LÄN</t>
        </is>
      </c>
      <c r="G1120" t="inlineStr">
        <is>
          <t>ÅNGE</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30235-2024</t>
        </is>
      </c>
      <c r="B1121" t="inlineStr">
        <is>
          <t>avverkningsanmälan</t>
        </is>
      </c>
      <c r="C1121" t="inlineStr">
        <is>
          <t>Föryngringsavverkning</t>
        </is>
      </c>
      <c r="D1121" s="1" t="n">
        <v>45490</v>
      </c>
      <c r="E1121" s="1" t="n">
        <v>46310</v>
      </c>
      <c r="F1121" t="inlineStr">
        <is>
          <t>VÄSTERNORRLANDS LÄN</t>
        </is>
      </c>
      <c r="G1121" t="inlineStr">
        <is>
          <t>ÅNGE</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18456-2024</t>
        </is>
      </c>
      <c r="B1122" t="inlineStr">
        <is>
          <t>avverkningsanmälan</t>
        </is>
      </c>
      <c r="C1122" t="inlineStr">
        <is>
          <t>Föryngringsavverkning</t>
        </is>
      </c>
      <c r="D1122" s="1" t="n">
        <v>45425</v>
      </c>
      <c r="E1122" s="1" t="n">
        <v>46310</v>
      </c>
      <c r="F1122" t="inlineStr">
        <is>
          <t>VÄSTERNORRLANDS LÄN</t>
        </is>
      </c>
      <c r="G1122" t="inlineStr">
        <is>
          <t>ÅNGE</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7547-2026</t>
        </is>
      </c>
      <c r="B1123" t="inlineStr">
        <is>
          <t>avverkningsanmälan</t>
        </is>
      </c>
      <c r="C1123" t="inlineStr">
        <is>
          <t>Föryngringsavverkning</t>
        </is>
      </c>
      <c r="D1123" s="1" t="n">
        <v>46059</v>
      </c>
      <c r="E1123" s="1" t="n">
        <v>46310</v>
      </c>
      <c r="F1123" t="inlineStr">
        <is>
          <t>VÄSTERNORRLANDS LÄN</t>
        </is>
      </c>
      <c r="G1123" t="inlineStr">
        <is>
          <t>ÅNGE</t>
        </is>
      </c>
      <c r="H1123" t="inlineStr">
        <is>
          <t>SCA</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28495-2026</t>
        </is>
      </c>
      <c r="B1124" t="inlineStr">
        <is>
          <t>avverkningsanmälan</t>
        </is>
      </c>
      <c r="C1124" t="inlineStr">
        <is>
          <t>Föryngringsavverkning</t>
        </is>
      </c>
      <c r="D1124" s="1" t="n">
        <v>46197</v>
      </c>
      <c r="E1124" s="1" t="n">
        <v>46310</v>
      </c>
      <c r="F1124" t="inlineStr">
        <is>
          <t>VÄSTERNORRLANDS LÄN</t>
        </is>
      </c>
      <c r="G1124" t="inlineStr">
        <is>
          <t>ÅNGE</t>
        </is>
      </c>
      <c r="H1124" t="inlineStr">
        <is>
          <t>SCA</t>
        </is>
      </c>
      <c r="I1124" t="n">
        <v>7.2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28504-2026</t>
        </is>
      </c>
      <c r="B1125" t="inlineStr">
        <is>
          <t>avverkningsanmälan</t>
        </is>
      </c>
      <c r="C1125" t="inlineStr">
        <is>
          <t>Föryngringsavverkning</t>
        </is>
      </c>
      <c r="D1125" s="1" t="n">
        <v>46197</v>
      </c>
      <c r="E1125" s="1" t="n">
        <v>46310</v>
      </c>
      <c r="F1125" t="inlineStr">
        <is>
          <t>VÄSTERNORRLANDS LÄN</t>
        </is>
      </c>
      <c r="G1125" t="inlineStr">
        <is>
          <t>ÅNGE</t>
        </is>
      </c>
      <c r="H1125" t="inlineStr">
        <is>
          <t>SCA</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25047-2023</t>
        </is>
      </c>
      <c r="B1126" t="inlineStr">
        <is>
          <t>avverkningsanmälan</t>
        </is>
      </c>
      <c r="C1126" t="inlineStr">
        <is>
          <t>Föryngringsavverkning</t>
        </is>
      </c>
      <c r="D1126" s="1" t="n">
        <v>45085</v>
      </c>
      <c r="E1126" s="1" t="n">
        <v>46310</v>
      </c>
      <c r="F1126" t="inlineStr">
        <is>
          <t>VÄSTERNORRLANDS LÄN</t>
        </is>
      </c>
      <c r="G1126" t="inlineStr">
        <is>
          <t>ÅNGE</t>
        </is>
      </c>
      <c r="H1126" t="inlineStr">
        <is>
          <t>SCA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28742-2026</t>
        </is>
      </c>
      <c r="B1127" t="inlineStr">
        <is>
          <t>avverkningsanmälan</t>
        </is>
      </c>
      <c r="C1127" t="inlineStr">
        <is>
          <t>Föryngringsavverkning</t>
        </is>
      </c>
      <c r="D1127" s="1" t="n">
        <v>46198</v>
      </c>
      <c r="E1127" s="1" t="n">
        <v>46310</v>
      </c>
      <c r="F1127" t="inlineStr">
        <is>
          <t>VÄSTERNORRLANDS LÄN</t>
        </is>
      </c>
      <c r="G1127" t="inlineStr">
        <is>
          <t>ÅNGE</t>
        </is>
      </c>
      <c r="H1127" t="inlineStr">
        <is>
          <t>SCA</t>
        </is>
      </c>
      <c r="I1127" t="n">
        <v>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28500-2026</t>
        </is>
      </c>
      <c r="B1128" t="inlineStr">
        <is>
          <t>avverkningsanmälan</t>
        </is>
      </c>
      <c r="C1128" t="inlineStr">
        <is>
          <t>Föryngringsavverkning</t>
        </is>
      </c>
      <c r="D1128" s="1" t="n">
        <v>46197</v>
      </c>
      <c r="E1128" s="1" t="n">
        <v>46310</v>
      </c>
      <c r="F1128" t="inlineStr">
        <is>
          <t>VÄSTERNORRLANDS LÄN</t>
        </is>
      </c>
      <c r="G1128" t="inlineStr">
        <is>
          <t>ÅNGE</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29094-2026</t>
        </is>
      </c>
      <c r="B1129" t="inlineStr">
        <is>
          <t>avverkningsanmälan</t>
        </is>
      </c>
      <c r="C1129" t="inlineStr">
        <is>
          <t>Föryngringsavverkning</t>
        </is>
      </c>
      <c r="D1129" s="1" t="n">
        <v>46200</v>
      </c>
      <c r="E1129" s="1" t="n">
        <v>46310</v>
      </c>
      <c r="F1129" t="inlineStr">
        <is>
          <t>VÄSTERNORRLANDS LÄN</t>
        </is>
      </c>
      <c r="G1129" t="inlineStr">
        <is>
          <t>ÅNGE</t>
        </is>
      </c>
      <c r="H1129" t="inlineStr">
        <is>
          <t>SCA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29728-2026</t>
        </is>
      </c>
      <c r="B1130" t="inlineStr">
        <is>
          <t>avverkningsanmälan</t>
        </is>
      </c>
      <c r="C1130" t="inlineStr">
        <is>
          <t>Föryngringsavverkning</t>
        </is>
      </c>
      <c r="D1130" s="1" t="n">
        <v>46204</v>
      </c>
      <c r="E1130" s="1" t="n">
        <v>46310</v>
      </c>
      <c r="F1130" t="inlineStr">
        <is>
          <t>VÄSTERNORRLANDS LÄN</t>
        </is>
      </c>
      <c r="G1130" t="inlineStr">
        <is>
          <t>ÅNGE</t>
        </is>
      </c>
      <c r="H1130" t="inlineStr">
        <is>
          <t>SCA</t>
        </is>
      </c>
      <c r="I1130" t="n">
        <v>28.4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29698-2026</t>
        </is>
      </c>
      <c r="B1131" t="inlineStr">
        <is>
          <t>avverkningsanmälan</t>
        </is>
      </c>
      <c r="C1131" t="inlineStr">
        <is>
          <t>Föryngringsavverkning</t>
        </is>
      </c>
      <c r="D1131" s="1" t="n">
        <v>46204</v>
      </c>
      <c r="E1131" s="1" t="n">
        <v>46310</v>
      </c>
      <c r="F1131" t="inlineStr">
        <is>
          <t>VÄSTERNORRLANDS LÄN</t>
        </is>
      </c>
      <c r="G1131" t="inlineStr">
        <is>
          <t>ÅNGE</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25035-2023</t>
        </is>
      </c>
      <c r="B1132" t="inlineStr">
        <is>
          <t>avverkningsanmälan</t>
        </is>
      </c>
      <c r="C1132" t="inlineStr">
        <is>
          <t>Avverkning för annat ändamål</t>
        </is>
      </c>
      <c r="D1132" s="1" t="n">
        <v>45085</v>
      </c>
      <c r="E1132" s="1" t="n">
        <v>46310</v>
      </c>
      <c r="F1132" t="inlineStr">
        <is>
          <t>VÄSTERNORRLANDS LÄN</t>
        </is>
      </c>
      <c r="G1132" t="inlineStr">
        <is>
          <t>ÅNGE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10195-2024</t>
        </is>
      </c>
      <c r="B1133" t="inlineStr">
        <is>
          <t>avverkningsanmälan</t>
        </is>
      </c>
      <c r="C1133" t="inlineStr">
        <is>
          <t>Föryngringsavverkning</t>
        </is>
      </c>
      <c r="D1133" s="1" t="n">
        <v>45364</v>
      </c>
      <c r="E1133" s="1" t="n">
        <v>46310</v>
      </c>
      <c r="F1133" t="inlineStr">
        <is>
          <t>VÄSTERNORRLANDS LÄN</t>
        </is>
      </c>
      <c r="G1133" t="inlineStr">
        <is>
          <t>ÅNGE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42488-2024</t>
        </is>
      </c>
      <c r="B1134" t="inlineStr">
        <is>
          <t>avverkningsanmälan</t>
        </is>
      </c>
      <c r="C1134" t="inlineStr">
        <is>
          <t>Föryngringsavverkning</t>
        </is>
      </c>
      <c r="D1134" s="1" t="n">
        <v>45565</v>
      </c>
      <c r="E1134" s="1" t="n">
        <v>46310</v>
      </c>
      <c r="F1134" t="inlineStr">
        <is>
          <t>VÄSTERNORRLANDS LÄN</t>
        </is>
      </c>
      <c r="G1134" t="inlineStr">
        <is>
          <t>ÅNGE</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42529-2024</t>
        </is>
      </c>
      <c r="B1135" t="inlineStr">
        <is>
          <t>avverkningsanmälan</t>
        </is>
      </c>
      <c r="C1135" t="inlineStr">
        <is>
          <t>Avverkning för att bevara och utveckla /försöksver</t>
        </is>
      </c>
      <c r="D1135" s="1" t="n">
        <v>45565</v>
      </c>
      <c r="E1135" s="1" t="n">
        <v>46310</v>
      </c>
      <c r="F1135" t="inlineStr">
        <is>
          <t>VÄSTERNORRLANDS LÄN</t>
        </is>
      </c>
      <c r="G1135" t="inlineStr">
        <is>
          <t>ÅNGE</t>
        </is>
      </c>
      <c r="H1135" t="inlineStr">
        <is>
          <t>SCA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29511-2026</t>
        </is>
      </c>
      <c r="B1136" t="inlineStr">
        <is>
          <t>avverkningsanmälan</t>
        </is>
      </c>
      <c r="C1136" t="inlineStr">
        <is>
          <t>Föryngringsavverkning</t>
        </is>
      </c>
      <c r="D1136" s="1" t="n">
        <v>46203</v>
      </c>
      <c r="E1136" s="1" t="n">
        <v>46310</v>
      </c>
      <c r="F1136" t="inlineStr">
        <is>
          <t>VÄSTERNORRLANDS LÄN</t>
        </is>
      </c>
      <c r="G1136" t="inlineStr">
        <is>
          <t>ÅNGE</t>
        </is>
      </c>
      <c r="H1136" t="inlineStr">
        <is>
          <t>SCA</t>
        </is>
      </c>
      <c r="I1136" t="n">
        <v>7.1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9211-2023</t>
        </is>
      </c>
      <c r="B1137" t="inlineStr">
        <is>
          <t>avverkningsanmälan</t>
        </is>
      </c>
      <c r="C1137" t="inlineStr">
        <is>
          <t>Föryngringsavverkning</t>
        </is>
      </c>
      <c r="D1137" s="1" t="n">
        <v>44980</v>
      </c>
      <c r="E1137" s="1" t="n">
        <v>46310</v>
      </c>
      <c r="F1137" t="inlineStr">
        <is>
          <t>VÄSTERNORRLANDS LÄN</t>
        </is>
      </c>
      <c r="G1137" t="inlineStr">
        <is>
          <t>ÅNGE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29193-2024</t>
        </is>
      </c>
      <c r="B1138" t="inlineStr">
        <is>
          <t>avverkningsanmälan</t>
        </is>
      </c>
      <c r="C1138" t="inlineStr">
        <is>
          <t>Föryngringsavverkning</t>
        </is>
      </c>
      <c r="D1138" s="1" t="n">
        <v>45482</v>
      </c>
      <c r="E1138" s="1" t="n">
        <v>46310</v>
      </c>
      <c r="F1138" t="inlineStr">
        <is>
          <t>VÄSTERNORRLANDS LÄN</t>
        </is>
      </c>
      <c r="G1138" t="inlineStr">
        <is>
          <t>ÅNGE</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29639-2026</t>
        </is>
      </c>
      <c r="B1139" t="inlineStr">
        <is>
          <t>avverkningsanmälan</t>
        </is>
      </c>
      <c r="C1139" t="inlineStr">
        <is>
          <t>Föryngringsavverkning</t>
        </is>
      </c>
      <c r="D1139" s="1" t="n">
        <v>46204</v>
      </c>
      <c r="E1139" s="1" t="n">
        <v>46310</v>
      </c>
      <c r="F1139" t="inlineStr">
        <is>
          <t>VÄSTERNORRLANDS LÄN</t>
        </is>
      </c>
      <c r="G1139" t="inlineStr">
        <is>
          <t>ÅNGE</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29643-2026</t>
        </is>
      </c>
      <c r="B1140" t="inlineStr">
        <is>
          <t>avverkningsanmälan</t>
        </is>
      </c>
      <c r="C1140" t="inlineStr">
        <is>
          <t>Föryngringsavverkning</t>
        </is>
      </c>
      <c r="D1140" s="1" t="n">
        <v>46204</v>
      </c>
      <c r="E1140" s="1" t="n">
        <v>46310</v>
      </c>
      <c r="F1140" t="inlineStr">
        <is>
          <t>VÄSTERNORRLANDS LÄN</t>
        </is>
      </c>
      <c r="G1140" t="inlineStr">
        <is>
          <t>ÅNGE</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29644-2026</t>
        </is>
      </c>
      <c r="B1141" t="inlineStr">
        <is>
          <t>avverkningsanmälan</t>
        </is>
      </c>
      <c r="C1141" t="inlineStr">
        <is>
          <t>Föryngringsavverkning</t>
        </is>
      </c>
      <c r="D1141" s="1" t="n">
        <v>46204</v>
      </c>
      <c r="E1141" s="1" t="n">
        <v>46310</v>
      </c>
      <c r="F1141" t="inlineStr">
        <is>
          <t>VÄSTERNORRLANDS LÄN</t>
        </is>
      </c>
      <c r="G1141" t="inlineStr">
        <is>
          <t>ÅNGE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29641-2026</t>
        </is>
      </c>
      <c r="B1142" t="inlineStr">
        <is>
          <t>avverkningsanmälan</t>
        </is>
      </c>
      <c r="C1142" t="inlineStr">
        <is>
          <t>Föryngringsavverkning</t>
        </is>
      </c>
      <c r="D1142" s="1" t="n">
        <v>46204</v>
      </c>
      <c r="E1142" s="1" t="n">
        <v>46310</v>
      </c>
      <c r="F1142" t="inlineStr">
        <is>
          <t>VÄSTERNORRLANDS LÄN</t>
        </is>
      </c>
      <c r="G1142" t="inlineStr">
        <is>
          <t>ÅNGE</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3023-2023</t>
        </is>
      </c>
      <c r="B1143" t="inlineStr">
        <is>
          <t>avverkningsanmälan</t>
        </is>
      </c>
      <c r="C1143" t="inlineStr">
        <is>
          <t>Avverkning för att bevara och utveckla /försöksver</t>
        </is>
      </c>
      <c r="D1143" s="1" t="n">
        <v>44945</v>
      </c>
      <c r="E1143" s="1" t="n">
        <v>46310</v>
      </c>
      <c r="F1143" t="inlineStr">
        <is>
          <t>VÄSTERNORRLANDS LÄN</t>
        </is>
      </c>
      <c r="G1143" t="inlineStr">
        <is>
          <t>ÅNGE</t>
        </is>
      </c>
      <c r="H1143" t="inlineStr">
        <is>
          <t>SCA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3025-2023</t>
        </is>
      </c>
      <c r="B1144" t="inlineStr">
        <is>
          <t>avverkningsanmälan</t>
        </is>
      </c>
      <c r="C1144" t="inlineStr">
        <is>
          <t>Avverkning för att bevara och utveckla /försöksver</t>
        </is>
      </c>
      <c r="D1144" s="1" t="n">
        <v>44945</v>
      </c>
      <c r="E1144" s="1" t="n">
        <v>46310</v>
      </c>
      <c r="F1144" t="inlineStr">
        <is>
          <t>VÄSTERNORRLANDS LÄN</t>
        </is>
      </c>
      <c r="G1144" t="inlineStr">
        <is>
          <t>ÅNGE</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7528-2023</t>
        </is>
      </c>
      <c r="B1145" t="inlineStr">
        <is>
          <t>avverkningsanmälan</t>
        </is>
      </c>
      <c r="C1145" t="inlineStr">
        <is>
          <t>Avverkning för att bevara och utveckla /försöksver</t>
        </is>
      </c>
      <c r="D1145" s="1" t="n">
        <v>44971</v>
      </c>
      <c r="E1145" s="1" t="n">
        <v>46310</v>
      </c>
      <c r="F1145" t="inlineStr">
        <is>
          <t>VÄSTERNORRLANDS LÄN</t>
        </is>
      </c>
      <c r="G1145" t="inlineStr">
        <is>
          <t>ÅNGE</t>
        </is>
      </c>
      <c r="H1145" t="inlineStr">
        <is>
          <t>SCA</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54059-2024</t>
        </is>
      </c>
      <c r="B1146" t="inlineStr">
        <is>
          <t>avverkningsanmälan</t>
        </is>
      </c>
      <c r="C1146" t="inlineStr">
        <is>
          <t>Föryngringsavverkning</t>
        </is>
      </c>
      <c r="D1146" s="1" t="n">
        <v>45616</v>
      </c>
      <c r="E1146" s="1" t="n">
        <v>46310</v>
      </c>
      <c r="F1146" t="inlineStr">
        <is>
          <t>VÄSTERNORRLANDS LÄN</t>
        </is>
      </c>
      <c r="G1146" t="inlineStr">
        <is>
          <t>ÅNGE</t>
        </is>
      </c>
      <c r="H1146" t="inlineStr">
        <is>
          <t>SCA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29861-2026</t>
        </is>
      </c>
      <c r="B1147" t="inlineStr">
        <is>
          <t>avverkningsanmälan</t>
        </is>
      </c>
      <c r="C1147" t="inlineStr">
        <is>
          <t>Föryngringsavverkning</t>
        </is>
      </c>
      <c r="D1147" s="1" t="n">
        <v>46205</v>
      </c>
      <c r="E1147" s="1" t="n">
        <v>46310</v>
      </c>
      <c r="F1147" t="inlineStr">
        <is>
          <t>VÄSTERNORRLANDS LÄN</t>
        </is>
      </c>
      <c r="G1147" t="inlineStr">
        <is>
          <t>ÅNGE</t>
        </is>
      </c>
      <c r="H1147" t="inlineStr">
        <is>
          <t>SCA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44600-2024</t>
        </is>
      </c>
      <c r="B1148" t="inlineStr">
        <is>
          <t>avverkningsanmälan</t>
        </is>
      </c>
      <c r="C1148" t="inlineStr">
        <is>
          <t>Föryngringsavverkning</t>
        </is>
      </c>
      <c r="D1148" s="1" t="n">
        <v>45574</v>
      </c>
      <c r="E1148" s="1" t="n">
        <v>46310</v>
      </c>
      <c r="F1148" t="inlineStr">
        <is>
          <t>VÄSTERNORRLANDS LÄN</t>
        </is>
      </c>
      <c r="G1148" t="inlineStr">
        <is>
          <t>ÅNGE</t>
        </is>
      </c>
      <c r="H1148" t="inlineStr">
        <is>
          <t>SCA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30224-2026</t>
        </is>
      </c>
      <c r="B1149" t="inlineStr">
        <is>
          <t>avverkningsanmälan</t>
        </is>
      </c>
      <c r="C1149" t="inlineStr">
        <is>
          <t>Föryngringsavverkning</t>
        </is>
      </c>
      <c r="D1149" s="1" t="n">
        <v>46206</v>
      </c>
      <c r="E1149" s="1" t="n">
        <v>46310</v>
      </c>
      <c r="F1149" t="inlineStr">
        <is>
          <t>VÄSTERNORRLANDS LÄN</t>
        </is>
      </c>
      <c r="G1149" t="inlineStr">
        <is>
          <t>ÅNGE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29799-2026</t>
        </is>
      </c>
      <c r="B1150" t="inlineStr">
        <is>
          <t>avverkningsanmälan</t>
        </is>
      </c>
      <c r="C1150" t="inlineStr">
        <is>
          <t>Föryngringsavverkning</t>
        </is>
      </c>
      <c r="D1150" s="1" t="n">
        <v>46205</v>
      </c>
      <c r="E1150" s="1" t="n">
        <v>46310</v>
      </c>
      <c r="F1150" t="inlineStr">
        <is>
          <t>VÄSTERNORRLANDS LÄN</t>
        </is>
      </c>
      <c r="G1150" t="inlineStr">
        <is>
          <t>ÅNGE</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30466-2026</t>
        </is>
      </c>
      <c r="B1151" t="inlineStr">
        <is>
          <t>avverkningsanmälan</t>
        </is>
      </c>
      <c r="C1151" t="inlineStr">
        <is>
          <t>Föryngringsavverkning</t>
        </is>
      </c>
      <c r="D1151" s="1" t="n">
        <v>46209</v>
      </c>
      <c r="E1151" s="1" t="n">
        <v>46310</v>
      </c>
      <c r="F1151" t="inlineStr">
        <is>
          <t>VÄSTERNORRLANDS LÄN</t>
        </is>
      </c>
      <c r="G1151" t="inlineStr">
        <is>
          <t>ÅNGE</t>
        </is>
      </c>
      <c r="H1151" t="inlineStr">
        <is>
          <t>SCA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30480-2026</t>
        </is>
      </c>
      <c r="B1152" t="inlineStr">
        <is>
          <t>avverkningsanmälan</t>
        </is>
      </c>
      <c r="C1152" t="inlineStr">
        <is>
          <t>Föryngringsavverkning</t>
        </is>
      </c>
      <c r="D1152" s="1" t="n">
        <v>46210</v>
      </c>
      <c r="E1152" s="1" t="n">
        <v>46310</v>
      </c>
      <c r="F1152" t="inlineStr">
        <is>
          <t>VÄSTERNORRLANDS LÄN</t>
        </is>
      </c>
      <c r="G1152" t="inlineStr">
        <is>
          <t>ÅNGE</t>
        </is>
      </c>
      <c r="H1152" t="inlineStr">
        <is>
          <t>SCA</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30389-2026</t>
        </is>
      </c>
      <c r="B1153" t="inlineStr">
        <is>
          <t>avverkningsanmälan</t>
        </is>
      </c>
      <c r="C1153" t="inlineStr">
        <is>
          <t>Föryngringsavverkning</t>
        </is>
      </c>
      <c r="D1153" s="1" t="n">
        <v>46209</v>
      </c>
      <c r="E1153" s="1" t="n">
        <v>46310</v>
      </c>
      <c r="F1153" t="inlineStr">
        <is>
          <t>VÄSTERNORRLANDS LÄN</t>
        </is>
      </c>
      <c r="G1153" t="inlineStr">
        <is>
          <t>ÅNGE</t>
        </is>
      </c>
      <c r="H1153" t="inlineStr">
        <is>
          <t>SCA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30549-2026</t>
        </is>
      </c>
      <c r="B1154" t="inlineStr">
        <is>
          <t>avverkningsanmälan</t>
        </is>
      </c>
      <c r="C1154" t="inlineStr">
        <is>
          <t>Föryngringsavverkning</t>
        </is>
      </c>
      <c r="D1154" s="1" t="n">
        <v>46210</v>
      </c>
      <c r="E1154" s="1" t="n">
        <v>46310</v>
      </c>
      <c r="F1154" t="inlineStr">
        <is>
          <t>VÄSTERNORRLANDS LÄN</t>
        </is>
      </c>
      <c r="G1154" t="inlineStr">
        <is>
          <t>ÅNGE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30378-2026</t>
        </is>
      </c>
      <c r="B1155" t="inlineStr">
        <is>
          <t>avverkningsanmälan</t>
        </is>
      </c>
      <c r="C1155" t="inlineStr">
        <is>
          <t>Föryngringsavverkning</t>
        </is>
      </c>
      <c r="D1155" s="1" t="n">
        <v>46209</v>
      </c>
      <c r="E1155" s="1" t="n">
        <v>46310</v>
      </c>
      <c r="F1155" t="inlineStr">
        <is>
          <t>VÄSTERNORRLANDS LÄN</t>
        </is>
      </c>
      <c r="G1155" t="inlineStr">
        <is>
          <t>ÅNGE</t>
        </is>
      </c>
      <c r="H1155" t="inlineStr">
        <is>
          <t>SCA</t>
        </is>
      </c>
      <c r="I1155" t="n">
        <v>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30400-2026</t>
        </is>
      </c>
      <c r="B1156" t="inlineStr">
        <is>
          <t>avverkningsanmälan</t>
        </is>
      </c>
      <c r="C1156" t="inlineStr">
        <is>
          <t>Föryngringsavverkning</t>
        </is>
      </c>
      <c r="D1156" s="1" t="n">
        <v>46209</v>
      </c>
      <c r="E1156" s="1" t="n">
        <v>46310</v>
      </c>
      <c r="F1156" t="inlineStr">
        <is>
          <t>VÄSTERNORRLANDS LÄN</t>
        </is>
      </c>
      <c r="G1156" t="inlineStr">
        <is>
          <t>ÅNGE</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30481-2026</t>
        </is>
      </c>
      <c r="B1157" t="inlineStr">
        <is>
          <t>avverkningsanmälan</t>
        </is>
      </c>
      <c r="C1157" t="inlineStr">
        <is>
          <t>Föryngringsavverkning</t>
        </is>
      </c>
      <c r="D1157" s="1" t="n">
        <v>46210</v>
      </c>
      <c r="E1157" s="1" t="n">
        <v>46310</v>
      </c>
      <c r="F1157" t="inlineStr">
        <is>
          <t>VÄSTERNORRLANDS LÄN</t>
        </is>
      </c>
      <c r="G1157" t="inlineStr">
        <is>
          <t>ÅNGE</t>
        </is>
      </c>
      <c r="H1157" t="inlineStr">
        <is>
          <t>SCA</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30003-2026</t>
        </is>
      </c>
      <c r="B1158" t="inlineStr">
        <is>
          <t>avverkningsanmälan</t>
        </is>
      </c>
      <c r="C1158" t="inlineStr">
        <is>
          <t>Föryngringsavverkning</t>
        </is>
      </c>
      <c r="D1158" s="1" t="n">
        <v>46202</v>
      </c>
      <c r="E1158" s="1" t="n">
        <v>46310</v>
      </c>
      <c r="F1158" t="inlineStr">
        <is>
          <t>VÄSTERNORRLANDS LÄN</t>
        </is>
      </c>
      <c r="G1158" t="inlineStr">
        <is>
          <t>ÅNGE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54611-2023</t>
        </is>
      </c>
      <c r="B1159" t="inlineStr">
        <is>
          <t>avverkningsanmälan</t>
        </is>
      </c>
      <c r="C1159" t="inlineStr">
        <is>
          <t>Föryngringsavverkning</t>
        </is>
      </c>
      <c r="D1159" s="1" t="n">
        <v>45233</v>
      </c>
      <c r="E1159" s="1" t="n">
        <v>46310</v>
      </c>
      <c r="F1159" t="inlineStr">
        <is>
          <t>VÄSTERNORRLANDS LÄN</t>
        </is>
      </c>
      <c r="G1159" t="inlineStr">
        <is>
          <t>ÅNGE</t>
        </is>
      </c>
      <c r="H1159" t="inlineStr">
        <is>
          <t>SCA</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30817-2026</t>
        </is>
      </c>
      <c r="B1160" t="inlineStr">
        <is>
          <t>avverkningsanmälan</t>
        </is>
      </c>
      <c r="C1160" t="inlineStr">
        <is>
          <t>Föryngringsavverkning</t>
        </is>
      </c>
      <c r="D1160" s="1" t="n">
        <v>46212</v>
      </c>
      <c r="E1160" s="1" t="n">
        <v>46310</v>
      </c>
      <c r="F1160" t="inlineStr">
        <is>
          <t>VÄSTERNORRLANDS LÄN</t>
        </is>
      </c>
      <c r="G1160" t="inlineStr">
        <is>
          <t>ÅNGE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49187-2024</t>
        </is>
      </c>
      <c r="B1161" t="inlineStr">
        <is>
          <t>avverkningsanmälan</t>
        </is>
      </c>
      <c r="C1161" t="inlineStr">
        <is>
          <t>Föryngringsavverkning</t>
        </is>
      </c>
      <c r="D1161" s="1" t="n">
        <v>45595</v>
      </c>
      <c r="E1161" s="1" t="n">
        <v>46310</v>
      </c>
      <c r="F1161" t="inlineStr">
        <is>
          <t>VÄSTERNORRLANDS LÄN</t>
        </is>
      </c>
      <c r="G1161" t="inlineStr">
        <is>
          <t>ÅNGE</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30824-2026</t>
        </is>
      </c>
      <c r="B1162" t="inlineStr">
        <is>
          <t>avverkningsanmälan</t>
        </is>
      </c>
      <c r="C1162" t="inlineStr">
        <is>
          <t>Föryngringsavverkning</t>
        </is>
      </c>
      <c r="D1162" s="1" t="n">
        <v>46212</v>
      </c>
      <c r="E1162" s="1" t="n">
        <v>46310</v>
      </c>
      <c r="F1162" t="inlineStr">
        <is>
          <t>VÄSTERNORRLANDS LÄN</t>
        </is>
      </c>
      <c r="G1162" t="inlineStr">
        <is>
          <t>ÅNGE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51810-2023</t>
        </is>
      </c>
      <c r="B1163" t="inlineStr">
        <is>
          <t>avverkningsanmälan</t>
        </is>
      </c>
      <c r="C1163" t="inlineStr">
        <is>
          <t>Föryngringsavverkning</t>
        </is>
      </c>
      <c r="D1163" s="1" t="n">
        <v>45222</v>
      </c>
      <c r="E1163" s="1" t="n">
        <v>46310</v>
      </c>
      <c r="F1163" t="inlineStr">
        <is>
          <t>VÄSTERNORRLANDS LÄN</t>
        </is>
      </c>
      <c r="G1163" t="inlineStr">
        <is>
          <t>ÅNGE</t>
        </is>
      </c>
      <c r="H1163" t="inlineStr">
        <is>
          <t>SCA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5520-2022</t>
        </is>
      </c>
      <c r="B1164" t="inlineStr">
        <is>
          <t>avverkningsanmälan</t>
        </is>
      </c>
      <c r="C1164" t="inlineStr">
        <is>
          <t>Föryngringsavverkning</t>
        </is>
      </c>
      <c r="D1164" s="1" t="n">
        <v>44595</v>
      </c>
      <c r="E1164" s="1" t="n">
        <v>46310</v>
      </c>
      <c r="F1164" t="inlineStr">
        <is>
          <t>VÄSTERNORRLANDS LÄN</t>
        </is>
      </c>
      <c r="G1164" t="inlineStr">
        <is>
          <t>ÅNGE</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30804-2026</t>
        </is>
      </c>
      <c r="B1165" t="inlineStr">
        <is>
          <t>avverkningsanmälan</t>
        </is>
      </c>
      <c r="C1165" t="inlineStr">
        <is>
          <t>Föryngringsavverkning</t>
        </is>
      </c>
      <c r="D1165" s="1" t="n">
        <v>46212</v>
      </c>
      <c r="E1165" s="1" t="n">
        <v>46310</v>
      </c>
      <c r="F1165" t="inlineStr">
        <is>
          <t>VÄSTERNORRLANDS LÄN</t>
        </is>
      </c>
      <c r="G1165" t="inlineStr">
        <is>
          <t>ÅNGE</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30802-2026</t>
        </is>
      </c>
      <c r="B1166" t="inlineStr">
        <is>
          <t>avverkningsanmälan</t>
        </is>
      </c>
      <c r="C1166" t="inlineStr">
        <is>
          <t>Föryngringsavverkning</t>
        </is>
      </c>
      <c r="D1166" s="1" t="n">
        <v>46212</v>
      </c>
      <c r="E1166" s="1" t="n">
        <v>46310</v>
      </c>
      <c r="F1166" t="inlineStr">
        <is>
          <t>VÄSTERNORRLANDS LÄN</t>
        </is>
      </c>
      <c r="G1166" t="inlineStr">
        <is>
          <t>ÅNGE</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30806-2026</t>
        </is>
      </c>
      <c r="B1167" t="inlineStr">
        <is>
          <t>avverkningsanmälan</t>
        </is>
      </c>
      <c r="C1167" t="inlineStr">
        <is>
          <t>Föryngringsavverkning</t>
        </is>
      </c>
      <c r="D1167" s="1" t="n">
        <v>46212</v>
      </c>
      <c r="E1167" s="1" t="n">
        <v>46310</v>
      </c>
      <c r="F1167" t="inlineStr">
        <is>
          <t>VÄSTERNORRLANDS LÄN</t>
        </is>
      </c>
      <c r="G1167" t="inlineStr">
        <is>
          <t>ÅNGE</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30714-2026</t>
        </is>
      </c>
      <c r="B1168" t="inlineStr">
        <is>
          <t>avverkningsanmälan</t>
        </is>
      </c>
      <c r="C1168" t="inlineStr">
        <is>
          <t>Föryngringsavverkning</t>
        </is>
      </c>
      <c r="D1168" s="1" t="n">
        <v>46211</v>
      </c>
      <c r="E1168" s="1" t="n">
        <v>46310</v>
      </c>
      <c r="F1168" t="inlineStr">
        <is>
          <t>VÄSTERNORRLANDS LÄN</t>
        </is>
      </c>
      <c r="G1168" t="inlineStr">
        <is>
          <t>ÅNGE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31177-2024</t>
        </is>
      </c>
      <c r="B1169" t="inlineStr">
        <is>
          <t>avverkningsanmälan</t>
        </is>
      </c>
      <c r="C1169" t="inlineStr">
        <is>
          <t>Föryngringsavverkning</t>
        </is>
      </c>
      <c r="D1169" s="1" t="n">
        <v>45503</v>
      </c>
      <c r="E1169" s="1" t="n">
        <v>46310</v>
      </c>
      <c r="F1169" t="inlineStr">
        <is>
          <t>VÄSTERNORRLANDS LÄN</t>
        </is>
      </c>
      <c r="G1169" t="inlineStr">
        <is>
          <t>ÅNGE</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30983-2026</t>
        </is>
      </c>
      <c r="B1170" t="inlineStr">
        <is>
          <t>avverkningsanmälan</t>
        </is>
      </c>
      <c r="C1170" t="inlineStr">
        <is>
          <t>Föryngringsavverkning</t>
        </is>
      </c>
      <c r="D1170" s="1" t="n">
        <v>46213</v>
      </c>
      <c r="E1170" s="1" t="n">
        <v>46310</v>
      </c>
      <c r="F1170" t="inlineStr">
        <is>
          <t>VÄSTERNORRLANDS LÄN</t>
        </is>
      </c>
      <c r="G1170" t="inlineStr">
        <is>
          <t>ÅNGE</t>
        </is>
      </c>
      <c r="H1170" t="inlineStr">
        <is>
          <t>SCA</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30974-2026</t>
        </is>
      </c>
      <c r="B1171" t="inlineStr">
        <is>
          <t>avverkningsanmälan</t>
        </is>
      </c>
      <c r="C1171" t="inlineStr">
        <is>
          <t>Föryngringsavverkning</t>
        </is>
      </c>
      <c r="D1171" s="1" t="n">
        <v>46213</v>
      </c>
      <c r="E1171" s="1" t="n">
        <v>46310</v>
      </c>
      <c r="F1171" t="inlineStr">
        <is>
          <t>VÄSTERNORRLANDS LÄN</t>
        </is>
      </c>
      <c r="G1171" t="inlineStr">
        <is>
          <t>ÅNGE</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30982-2026</t>
        </is>
      </c>
      <c r="B1172" t="inlineStr">
        <is>
          <t>avverkningsanmälan</t>
        </is>
      </c>
      <c r="C1172" t="inlineStr">
        <is>
          <t>Föryngringsavverkning</t>
        </is>
      </c>
      <c r="D1172" s="1" t="n">
        <v>46213</v>
      </c>
      <c r="E1172" s="1" t="n">
        <v>46310</v>
      </c>
      <c r="F1172" t="inlineStr">
        <is>
          <t>VÄSTERNORRLANDS LÄN</t>
        </is>
      </c>
      <c r="G1172" t="inlineStr">
        <is>
          <t>ÅNGE</t>
        </is>
      </c>
      <c r="H1172" t="inlineStr">
        <is>
          <t>SCA</t>
        </is>
      </c>
      <c r="I1172" t="n">
        <v>10.9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31091-2026</t>
        </is>
      </c>
      <c r="B1173" t="inlineStr">
        <is>
          <t>avverkningsanmälan</t>
        </is>
      </c>
      <c r="C1173" t="inlineStr">
        <is>
          <t>Föryngringsavverkning</t>
        </is>
      </c>
      <c r="D1173" s="1" t="n">
        <v>46216</v>
      </c>
      <c r="E1173" s="1" t="n">
        <v>46310</v>
      </c>
      <c r="F1173" t="inlineStr">
        <is>
          <t>VÄSTERNORRLANDS LÄN</t>
        </is>
      </c>
      <c r="G1173" t="inlineStr">
        <is>
          <t>ÅNGE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29063-2023</t>
        </is>
      </c>
      <c r="B1174" t="inlineStr">
        <is>
          <t>avverkningsanmälan</t>
        </is>
      </c>
      <c r="C1174" t="inlineStr">
        <is>
          <t>Föryngringsavverkning</t>
        </is>
      </c>
      <c r="D1174" s="1" t="n">
        <v>45104</v>
      </c>
      <c r="E1174" s="1" t="n">
        <v>46310</v>
      </c>
      <c r="F1174" t="inlineStr">
        <is>
          <t>VÄSTERNORRLANDS LÄN</t>
        </is>
      </c>
      <c r="G1174" t="inlineStr">
        <is>
          <t>ÅNGE</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13850-2026</t>
        </is>
      </c>
      <c r="B1175" t="inlineStr">
        <is>
          <t>avverkningsanmälan</t>
        </is>
      </c>
      <c r="C1175" t="inlineStr">
        <is>
          <t>Föryngringsavverkning</t>
        </is>
      </c>
      <c r="D1175" s="1" t="n">
        <v>46098</v>
      </c>
      <c r="E1175" s="1" t="n">
        <v>46310</v>
      </c>
      <c r="F1175" t="inlineStr">
        <is>
          <t>VÄSTERNORRLANDS LÄN</t>
        </is>
      </c>
      <c r="G1175" t="inlineStr">
        <is>
          <t>ÅNGE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59412-2024</t>
        </is>
      </c>
      <c r="B1176" t="inlineStr">
        <is>
          <t>avverkningsanmälan</t>
        </is>
      </c>
      <c r="C1176" t="inlineStr">
        <is>
          <t>Föryngringsavverkning</t>
        </is>
      </c>
      <c r="D1176" s="1" t="n">
        <v>45638</v>
      </c>
      <c r="E1176" s="1" t="n">
        <v>46310</v>
      </c>
      <c r="F1176" t="inlineStr">
        <is>
          <t>VÄSTERNORRLANDS LÄN</t>
        </is>
      </c>
      <c r="G1176" t="inlineStr">
        <is>
          <t>ÅNGE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30973-2026</t>
        </is>
      </c>
      <c r="B1177" t="inlineStr">
        <is>
          <t>avverkningsanmälan</t>
        </is>
      </c>
      <c r="C1177" t="inlineStr">
        <is>
          <t>Föryngringsavverkning</t>
        </is>
      </c>
      <c r="D1177" s="1" t="n">
        <v>46213</v>
      </c>
      <c r="E1177" s="1" t="n">
        <v>46310</v>
      </c>
      <c r="F1177" t="inlineStr">
        <is>
          <t>VÄSTERNORRLANDS LÄN</t>
        </is>
      </c>
      <c r="G1177" t="inlineStr">
        <is>
          <t>ÅNGE</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31195-2026</t>
        </is>
      </c>
      <c r="B1178" t="inlineStr">
        <is>
          <t>avverkningsanmälan</t>
        </is>
      </c>
      <c r="C1178" t="inlineStr">
        <is>
          <t>Föryngringsavverkning</t>
        </is>
      </c>
      <c r="D1178" s="1" t="n">
        <v>46217</v>
      </c>
      <c r="E1178" s="1" t="n">
        <v>46310</v>
      </c>
      <c r="F1178" t="inlineStr">
        <is>
          <t>VÄSTERNORRLANDS LÄN</t>
        </is>
      </c>
      <c r="G1178" t="inlineStr">
        <is>
          <t>ÅNGE</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31208-2026</t>
        </is>
      </c>
      <c r="B1179" t="inlineStr">
        <is>
          <t>avverkningsanmälan</t>
        </is>
      </c>
      <c r="C1179" t="inlineStr">
        <is>
          <t>Föryngringsavverkning</t>
        </is>
      </c>
      <c r="D1179" s="1" t="n">
        <v>46217</v>
      </c>
      <c r="E1179" s="1" t="n">
        <v>46310</v>
      </c>
      <c r="F1179" t="inlineStr">
        <is>
          <t>VÄSTERNORRLANDS LÄN</t>
        </is>
      </c>
      <c r="G1179" t="inlineStr">
        <is>
          <t>ÅNGE</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31280-2026</t>
        </is>
      </c>
      <c r="B1180" t="inlineStr">
        <is>
          <t>avverkningsanmälan</t>
        </is>
      </c>
      <c r="C1180" t="inlineStr">
        <is>
          <t>Föryngringsavverkning</t>
        </is>
      </c>
      <c r="D1180" s="1" t="n">
        <v>46218</v>
      </c>
      <c r="E1180" s="1" t="n">
        <v>46310</v>
      </c>
      <c r="F1180" t="inlineStr">
        <is>
          <t>VÄSTERNORRLANDS LÄN</t>
        </is>
      </c>
      <c r="G1180" t="inlineStr">
        <is>
          <t>ÅNGE</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9567-2024</t>
        </is>
      </c>
      <c r="B1181" t="inlineStr">
        <is>
          <t>avverkningsanmälan</t>
        </is>
      </c>
      <c r="C1181" t="inlineStr">
        <is>
          <t>Föryngringsavverkning</t>
        </is>
      </c>
      <c r="D1181" s="1" t="n">
        <v>45360</v>
      </c>
      <c r="E1181" s="1" t="n">
        <v>46310</v>
      </c>
      <c r="F1181" t="inlineStr">
        <is>
          <t>VÄSTERNORRLANDS LÄN</t>
        </is>
      </c>
      <c r="G1181" t="inlineStr">
        <is>
          <t>ÅNGE</t>
        </is>
      </c>
      <c r="H1181" t="inlineStr">
        <is>
          <t>SCA</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31207-2026</t>
        </is>
      </c>
      <c r="B1182" t="inlineStr">
        <is>
          <t>avverkningsanmälan</t>
        </is>
      </c>
      <c r="C1182" t="inlineStr">
        <is>
          <t>Föryngringsavverkning</t>
        </is>
      </c>
      <c r="D1182" s="1" t="n">
        <v>46217</v>
      </c>
      <c r="E1182" s="1" t="n">
        <v>46310</v>
      </c>
      <c r="F1182" t="inlineStr">
        <is>
          <t>VÄSTERNORRLANDS LÄN</t>
        </is>
      </c>
      <c r="G1182" t="inlineStr">
        <is>
          <t>ÅNGE</t>
        </is>
      </c>
      <c r="H1182" t="inlineStr">
        <is>
          <t>SCA</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11645-2026</t>
        </is>
      </c>
      <c r="B1183" t="inlineStr">
        <is>
          <t>avverkningsanmälan</t>
        </is>
      </c>
      <c r="C1183" t="inlineStr">
        <is>
          <t>Föryngringsavverkning</t>
        </is>
      </c>
      <c r="D1183" s="1" t="n">
        <v>46084</v>
      </c>
      <c r="E1183" s="1" t="n">
        <v>46310</v>
      </c>
      <c r="F1183" t="inlineStr">
        <is>
          <t>VÄSTERNORRLANDS LÄN</t>
        </is>
      </c>
      <c r="G1183" t="inlineStr">
        <is>
          <t>ÅNGE</t>
        </is>
      </c>
      <c r="H1183" t="inlineStr">
        <is>
          <t>SCA</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30762-2026</t>
        </is>
      </c>
      <c r="B1184" t="inlineStr">
        <is>
          <t>avverkningsanmälan</t>
        </is>
      </c>
      <c r="C1184" t="inlineStr">
        <is>
          <t>Föryngringsavverkning</t>
        </is>
      </c>
      <c r="D1184" s="1" t="n">
        <v>46212</v>
      </c>
      <c r="E1184" s="1" t="n">
        <v>46310</v>
      </c>
      <c r="F1184" t="inlineStr">
        <is>
          <t>VÄSTERNORRLANDS LÄN</t>
        </is>
      </c>
      <c r="G1184" t="inlineStr">
        <is>
          <t>ÅNGE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31457-2026</t>
        </is>
      </c>
      <c r="B1185" t="inlineStr">
        <is>
          <t>avverkningsanmälan</t>
        </is>
      </c>
      <c r="C1185" t="inlineStr">
        <is>
          <t>Föryngringsavverkning</t>
        </is>
      </c>
      <c r="D1185" s="1" t="n">
        <v>46221</v>
      </c>
      <c r="E1185" s="1" t="n">
        <v>46310</v>
      </c>
      <c r="F1185" t="inlineStr">
        <is>
          <t>VÄSTERNORRLANDS LÄN</t>
        </is>
      </c>
      <c r="G1185" t="inlineStr">
        <is>
          <t>ÅNGE</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19709-2025</t>
        </is>
      </c>
      <c r="B1186" t="inlineStr">
        <is>
          <t>avverkningsanmälan</t>
        </is>
      </c>
      <c r="C1186" t="inlineStr">
        <is>
          <t>Föryngringsavverkning</t>
        </is>
      </c>
      <c r="D1186" s="1" t="n">
        <v>45771</v>
      </c>
      <c r="E1186" s="1" t="n">
        <v>46310</v>
      </c>
      <c r="F1186" t="inlineStr">
        <is>
          <t>VÄSTERNORRLANDS LÄN</t>
        </is>
      </c>
      <c r="G1186" t="inlineStr">
        <is>
          <t>ÅNGE</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31308-2026</t>
        </is>
      </c>
      <c r="B1187" t="inlineStr">
        <is>
          <t>avverkningsanmälan</t>
        </is>
      </c>
      <c r="C1187" t="inlineStr">
        <is>
          <t>Föryngringsavverkning</t>
        </is>
      </c>
      <c r="D1187" s="1" t="n">
        <v>46219</v>
      </c>
      <c r="E1187" s="1" t="n">
        <v>46310</v>
      </c>
      <c r="F1187" t="inlineStr">
        <is>
          <t>VÄSTERNORRLANDS LÄN</t>
        </is>
      </c>
      <c r="G1187" t="inlineStr">
        <is>
          <t>ÅNGE</t>
        </is>
      </c>
      <c r="H1187" t="inlineStr">
        <is>
          <t>SCA</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17210-2022</t>
        </is>
      </c>
      <c r="B1188" t="inlineStr">
        <is>
          <t>avverkningsanmälan</t>
        </is>
      </c>
      <c r="C1188" t="inlineStr">
        <is>
          <t>Föryngringsavverkning</t>
        </is>
      </c>
      <c r="D1188" s="1" t="n">
        <v>44677</v>
      </c>
      <c r="E1188" s="1" t="n">
        <v>46310</v>
      </c>
      <c r="F1188" t="inlineStr">
        <is>
          <t>VÄSTERNORRLANDS LÄN</t>
        </is>
      </c>
      <c r="G1188" t="inlineStr">
        <is>
          <t>ÅNGE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56574-2024</t>
        </is>
      </c>
      <c r="B1189" t="inlineStr">
        <is>
          <t>avverkningsanmälan</t>
        </is>
      </c>
      <c r="C1189" t="inlineStr">
        <is>
          <t>Föryngringsavverkning</t>
        </is>
      </c>
      <c r="D1189" s="1" t="n">
        <v>45625</v>
      </c>
      <c r="E1189" s="1" t="n">
        <v>46310</v>
      </c>
      <c r="F1189" t="inlineStr">
        <is>
          <t>VÄSTERNORRLANDS LÄN</t>
        </is>
      </c>
      <c r="G1189" t="inlineStr">
        <is>
          <t>ÅNGE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31568-2024</t>
        </is>
      </c>
      <c r="B1190" t="inlineStr">
        <is>
          <t>avverkningsanmälan</t>
        </is>
      </c>
      <c r="C1190" t="inlineStr">
        <is>
          <t>Föryngringsavverkning</t>
        </is>
      </c>
      <c r="D1190" s="1" t="n">
        <v>45505</v>
      </c>
      <c r="E1190" s="1" t="n">
        <v>46310</v>
      </c>
      <c r="F1190" t="inlineStr">
        <is>
          <t>VÄSTERNORRLANDS LÄN</t>
        </is>
      </c>
      <c r="G1190" t="inlineStr">
        <is>
          <t>ÅNGE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4374-2026</t>
        </is>
      </c>
      <c r="B1191" t="inlineStr">
        <is>
          <t>avverkningsanmälan</t>
        </is>
      </c>
      <c r="C1191" t="inlineStr">
        <is>
          <t>Föryngringsavverkning</t>
        </is>
      </c>
      <c r="D1191" s="1" t="n">
        <v>46045</v>
      </c>
      <c r="E1191" s="1" t="n">
        <v>46310</v>
      </c>
      <c r="F1191" t="inlineStr">
        <is>
          <t>VÄSTERNORRLANDS LÄN</t>
        </is>
      </c>
      <c r="G1191" t="inlineStr">
        <is>
          <t>ÅNGE</t>
        </is>
      </c>
      <c r="I1191" t="n">
        <v>13.5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27468-2024</t>
        </is>
      </c>
      <c r="B1192" t="inlineStr">
        <is>
          <t>avverkningsanmälan</t>
        </is>
      </c>
      <c r="C1192" t="inlineStr">
        <is>
          <t>Föryngringsavverkning</t>
        </is>
      </c>
      <c r="D1192" s="1" t="n">
        <v>45474</v>
      </c>
      <c r="E1192" s="1" t="n">
        <v>46310</v>
      </c>
      <c r="F1192" t="inlineStr">
        <is>
          <t>VÄSTERNORRLANDS LÄN</t>
        </is>
      </c>
      <c r="G1192" t="inlineStr">
        <is>
          <t>ÅNGE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1897-2026</t>
        </is>
      </c>
      <c r="B1193" t="inlineStr">
        <is>
          <t>avverkningsanmälan</t>
        </is>
      </c>
      <c r="C1193" t="inlineStr">
        <is>
          <t>Föryngringsavverkning</t>
        </is>
      </c>
      <c r="D1193" s="1" t="n">
        <v>46035</v>
      </c>
      <c r="E1193" s="1" t="n">
        <v>46310</v>
      </c>
      <c r="F1193" t="inlineStr">
        <is>
          <t>VÄSTERNORRLANDS LÄN</t>
        </is>
      </c>
      <c r="G1193" t="inlineStr">
        <is>
          <t>ÅNGE</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31602-2026</t>
        </is>
      </c>
      <c r="B1194" t="inlineStr">
        <is>
          <t>avverkningsanmälan</t>
        </is>
      </c>
      <c r="C1194" t="inlineStr">
        <is>
          <t>Föryngringsavverkning</t>
        </is>
      </c>
      <c r="D1194" s="1" t="n">
        <v>46224</v>
      </c>
      <c r="E1194" s="1" t="n">
        <v>46310</v>
      </c>
      <c r="F1194" t="inlineStr">
        <is>
          <t>VÄSTERNORRLANDS LÄN</t>
        </is>
      </c>
      <c r="G1194" t="inlineStr">
        <is>
          <t>ÅNGE</t>
        </is>
      </c>
      <c r="H1194" t="inlineStr">
        <is>
          <t>SCA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36291-2026</t>
        </is>
      </c>
      <c r="B1195" t="inlineStr">
        <is>
          <t>avverkningsanmälan</t>
        </is>
      </c>
      <c r="C1195" t="inlineStr">
        <is>
          <t>Föryngringsavverkning</t>
        </is>
      </c>
      <c r="D1195" s="1" t="n">
        <v>46268</v>
      </c>
      <c r="E1195" s="1" t="n">
        <v>46310</v>
      </c>
      <c r="F1195" t="inlineStr">
        <is>
          <t>VÄSTERNORRLANDS LÄN</t>
        </is>
      </c>
      <c r="G1195" t="inlineStr">
        <is>
          <t>ÅNGE</t>
        </is>
      </c>
      <c r="H1195" t="inlineStr">
        <is>
          <t>SCA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12123-2024</t>
        </is>
      </c>
      <c r="B1196" t="inlineStr">
        <is>
          <t>avverkningsanmälan</t>
        </is>
      </c>
      <c r="C1196" t="inlineStr">
        <is>
          <t>Föryngringsavverkning</t>
        </is>
      </c>
      <c r="D1196" s="1" t="n">
        <v>45377</v>
      </c>
      <c r="E1196" s="1" t="n">
        <v>46310</v>
      </c>
      <c r="F1196" t="inlineStr">
        <is>
          <t>VÄSTERNORRLANDS LÄN</t>
        </is>
      </c>
      <c r="G1196" t="inlineStr">
        <is>
          <t>ÅNGE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31670-2026</t>
        </is>
      </c>
      <c r="B1197" t="inlineStr">
        <is>
          <t>avverkningsanmälan</t>
        </is>
      </c>
      <c r="C1197" t="inlineStr">
        <is>
          <t>Föryngringsavverkning</t>
        </is>
      </c>
      <c r="D1197" s="1" t="n">
        <v>46225</v>
      </c>
      <c r="E1197" s="1" t="n">
        <v>46310</v>
      </c>
      <c r="F1197" t="inlineStr">
        <is>
          <t>VÄSTERNORRLANDS LÄN</t>
        </is>
      </c>
      <c r="G1197" t="inlineStr">
        <is>
          <t>ÅNGE</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11299-2023</t>
        </is>
      </c>
      <c r="B1198" t="inlineStr">
        <is>
          <t>avverkningsanmälan</t>
        </is>
      </c>
      <c r="C1198" t="inlineStr">
        <is>
          <t>Föryngringsavverkning</t>
        </is>
      </c>
      <c r="D1198" s="1" t="n">
        <v>44993</v>
      </c>
      <c r="E1198" s="1" t="n">
        <v>46310</v>
      </c>
      <c r="F1198" t="inlineStr">
        <is>
          <t>VÄSTERNORRLANDS LÄN</t>
        </is>
      </c>
      <c r="G1198" t="inlineStr">
        <is>
          <t>ÅNGE</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45932-2023</t>
        </is>
      </c>
      <c r="B1199" t="inlineStr">
        <is>
          <t>avverkningsanmälan</t>
        </is>
      </c>
      <c r="C1199" t="inlineStr">
        <is>
          <t>Avverkning för annat ändamål</t>
        </is>
      </c>
      <c r="D1199" s="1" t="n">
        <v>45195</v>
      </c>
      <c r="E1199" s="1" t="n">
        <v>46310</v>
      </c>
      <c r="F1199" t="inlineStr">
        <is>
          <t>VÄSTERNORRLANDS LÄN</t>
        </is>
      </c>
      <c r="G1199" t="inlineStr">
        <is>
          <t>ÅNGE</t>
        </is>
      </c>
      <c r="H1199" t="inlineStr">
        <is>
          <t>SCA</t>
        </is>
      </c>
      <c r="I1199" t="n">
        <v>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36271-2026</t>
        </is>
      </c>
      <c r="B1200" t="inlineStr">
        <is>
          <t>avverkningsanmälan</t>
        </is>
      </c>
      <c r="C1200" t="inlineStr">
        <is>
          <t>Föryngringsavverkning</t>
        </is>
      </c>
      <c r="D1200" s="1" t="n">
        <v>46268</v>
      </c>
      <c r="E1200" s="1" t="n">
        <v>46310</v>
      </c>
      <c r="F1200" t="inlineStr">
        <is>
          <t>VÄSTERNORRLANDS LÄN</t>
        </is>
      </c>
      <c r="G1200" t="inlineStr">
        <is>
          <t>ÅNGE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31707-2026</t>
        </is>
      </c>
      <c r="B1201" t="inlineStr">
        <is>
          <t>avverkningsanmälan</t>
        </is>
      </c>
      <c r="C1201" t="inlineStr">
        <is>
          <t>Föryngringsavverkning</t>
        </is>
      </c>
      <c r="D1201" s="1" t="n">
        <v>46226</v>
      </c>
      <c r="E1201" s="1" t="n">
        <v>46310</v>
      </c>
      <c r="F1201" t="inlineStr">
        <is>
          <t>VÄSTERNORRLANDS LÄN</t>
        </is>
      </c>
      <c r="G1201" t="inlineStr">
        <is>
          <t>ÅNGE</t>
        </is>
      </c>
      <c r="H1201" t="inlineStr">
        <is>
          <t>SCA</t>
        </is>
      </c>
      <c r="I1201" t="n">
        <v>11.8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8648-2025</t>
        </is>
      </c>
      <c r="B1202" t="inlineStr">
        <is>
          <t>avverkningsanmälan</t>
        </is>
      </c>
      <c r="C1202" t="inlineStr">
        <is>
          <t>Föryngringsavverkning</t>
        </is>
      </c>
      <c r="D1202" s="1" t="n">
        <v>45712</v>
      </c>
      <c r="E1202" s="1" t="n">
        <v>46310</v>
      </c>
      <c r="F1202" t="inlineStr">
        <is>
          <t>VÄSTERNORRLANDS LÄN</t>
        </is>
      </c>
      <c r="G1202" t="inlineStr">
        <is>
          <t>ÅNGE</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24541-2023</t>
        </is>
      </c>
      <c r="B1203" t="inlineStr">
        <is>
          <t>avverkningsanmälan</t>
        </is>
      </c>
      <c r="C1203" t="inlineStr">
        <is>
          <t>Föryngringsavverkning</t>
        </is>
      </c>
      <c r="D1203" s="1" t="n">
        <v>45082</v>
      </c>
      <c r="E1203" s="1" t="n">
        <v>46310</v>
      </c>
      <c r="F1203" t="inlineStr">
        <is>
          <t>VÄSTERNORRLANDS LÄN</t>
        </is>
      </c>
      <c r="G1203" t="inlineStr">
        <is>
          <t>ÅNGE</t>
        </is>
      </c>
      <c r="H1203" t="inlineStr">
        <is>
          <t>SCA</t>
        </is>
      </c>
      <c r="I1203" t="n">
        <v>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51131-2022</t>
        </is>
      </c>
      <c r="B1204" t="inlineStr">
        <is>
          <t>avverkningsanmälan</t>
        </is>
      </c>
      <c r="C1204" t="inlineStr">
        <is>
          <t>Föryngringsavverkning</t>
        </is>
      </c>
      <c r="D1204" s="1" t="n">
        <v>44868</v>
      </c>
      <c r="E1204" s="1" t="n">
        <v>46310</v>
      </c>
      <c r="F1204" t="inlineStr">
        <is>
          <t>VÄSTERNORRLANDS LÄN</t>
        </is>
      </c>
      <c r="G1204" t="inlineStr">
        <is>
          <t>ÅNGE</t>
        </is>
      </c>
      <c r="I1204" t="n">
        <v>11.1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33631-2024</t>
        </is>
      </c>
      <c r="B1205" t="inlineStr">
        <is>
          <t>avverkningsanmälan</t>
        </is>
      </c>
      <c r="C1205" t="inlineStr">
        <is>
          <t>Föryngringsavverkning</t>
        </is>
      </c>
      <c r="D1205" s="1" t="n">
        <v>45520</v>
      </c>
      <c r="E1205" s="1" t="n">
        <v>46310</v>
      </c>
      <c r="F1205" t="inlineStr">
        <is>
          <t>VÄSTERNORRLANDS LÄN</t>
        </is>
      </c>
      <c r="G1205" t="inlineStr">
        <is>
          <t>ÅNGE</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31781-2026</t>
        </is>
      </c>
      <c r="B1206" t="inlineStr">
        <is>
          <t>avverkningsanmälan</t>
        </is>
      </c>
      <c r="C1206" t="inlineStr">
        <is>
          <t>Föryngringsavverkning</t>
        </is>
      </c>
      <c r="D1206" s="1" t="n">
        <v>46230</v>
      </c>
      <c r="E1206" s="1" t="n">
        <v>46310</v>
      </c>
      <c r="F1206" t="inlineStr">
        <is>
          <t>VÄSTERNORRLANDS LÄN</t>
        </is>
      </c>
      <c r="G1206" t="inlineStr">
        <is>
          <t>ÅNGE</t>
        </is>
      </c>
      <c r="H1206" t="inlineStr">
        <is>
          <t>SCA</t>
        </is>
      </c>
      <c r="I1206" t="n">
        <v>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63522-2021</t>
        </is>
      </c>
      <c r="B1207" t="inlineStr">
        <is>
          <t>avverkningsanmälan</t>
        </is>
      </c>
      <c r="C1207" t="inlineStr">
        <is>
          <t>Föryngringsavverkning</t>
        </is>
      </c>
      <c r="D1207" s="1" t="n">
        <v>44508</v>
      </c>
      <c r="E1207" s="1" t="n">
        <v>46310</v>
      </c>
      <c r="F1207" t="inlineStr">
        <is>
          <t>VÄSTERNORRLANDS LÄN</t>
        </is>
      </c>
      <c r="G1207" t="inlineStr">
        <is>
          <t>ÅNGE</t>
        </is>
      </c>
      <c r="H1207" t="inlineStr">
        <is>
          <t>Övriga Aktiebolag</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51411-2023</t>
        </is>
      </c>
      <c r="B1208" t="inlineStr">
        <is>
          <t>avverkningsanmälan</t>
        </is>
      </c>
      <c r="C1208" t="inlineStr">
        <is>
          <t>Föryngringsavverkning</t>
        </is>
      </c>
      <c r="D1208" s="1" t="n">
        <v>45219</v>
      </c>
      <c r="E1208" s="1" t="n">
        <v>46310</v>
      </c>
      <c r="F1208" t="inlineStr">
        <is>
          <t>VÄSTERNORRLANDS LÄN</t>
        </is>
      </c>
      <c r="G1208" t="inlineStr">
        <is>
          <t>ÅNGE</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31229-2023</t>
        </is>
      </c>
      <c r="B1209" t="inlineStr">
        <is>
          <t>avverkningsanmälan</t>
        </is>
      </c>
      <c r="C1209" t="inlineStr">
        <is>
          <t>Föryngringsavverkning</t>
        </is>
      </c>
      <c r="D1209" s="1" t="n">
        <v>45114</v>
      </c>
      <c r="E1209" s="1" t="n">
        <v>46310</v>
      </c>
      <c r="F1209" t="inlineStr">
        <is>
          <t>VÄSTERNORRLANDS LÄN</t>
        </is>
      </c>
      <c r="G1209" t="inlineStr">
        <is>
          <t>ÅNGE</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7692-2024</t>
        </is>
      </c>
      <c r="B1210" t="inlineStr">
        <is>
          <t>avverkningsanmälan</t>
        </is>
      </c>
      <c r="C1210" t="inlineStr">
        <is>
          <t>Föryngringsavverkning</t>
        </is>
      </c>
      <c r="D1210" s="1" t="n">
        <v>45349</v>
      </c>
      <c r="E1210" s="1" t="n">
        <v>46310</v>
      </c>
      <c r="F1210" t="inlineStr">
        <is>
          <t>VÄSTERNORRLANDS LÄN</t>
        </is>
      </c>
      <c r="G1210" t="inlineStr">
        <is>
          <t>ÅNGE</t>
        </is>
      </c>
      <c r="H1210" t="inlineStr">
        <is>
          <t>SCA</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47950-2024</t>
        </is>
      </c>
      <c r="B1211" t="inlineStr">
        <is>
          <t>avverkningsanmälan</t>
        </is>
      </c>
      <c r="C1211" t="inlineStr">
        <is>
          <t>Föryngringsavverkning</t>
        </is>
      </c>
      <c r="D1211" s="1" t="n">
        <v>45589</v>
      </c>
      <c r="E1211" s="1" t="n">
        <v>46310</v>
      </c>
      <c r="F1211" t="inlineStr">
        <is>
          <t>VÄSTERNORRLANDS LÄN</t>
        </is>
      </c>
      <c r="G1211" t="inlineStr">
        <is>
          <t>ÅNGE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39589-2022</t>
        </is>
      </c>
      <c r="B1212" t="inlineStr">
        <is>
          <t>avverkningsanmälan</t>
        </is>
      </c>
      <c r="C1212" t="inlineStr">
        <is>
          <t>Föryngringsavverkning</t>
        </is>
      </c>
      <c r="D1212" s="1" t="n">
        <v>44818</v>
      </c>
      <c r="E1212" s="1" t="n">
        <v>46310</v>
      </c>
      <c r="F1212" t="inlineStr">
        <is>
          <t>VÄSTERNORRLANDS LÄN</t>
        </is>
      </c>
      <c r="G1212" t="inlineStr">
        <is>
          <t>ÅNGE</t>
        </is>
      </c>
      <c r="I1212" t="n">
        <v>4.8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31758-2026</t>
        </is>
      </c>
      <c r="B1213" t="inlineStr">
        <is>
          <t>avverkningsanmälan</t>
        </is>
      </c>
      <c r="C1213" t="inlineStr">
        <is>
          <t>Föryngringsavverkning</t>
        </is>
      </c>
      <c r="D1213" s="1" t="n">
        <v>46227</v>
      </c>
      <c r="E1213" s="1" t="n">
        <v>46310</v>
      </c>
      <c r="F1213" t="inlineStr">
        <is>
          <t>VÄSTERNORRLANDS LÄN</t>
        </is>
      </c>
      <c r="G1213" t="inlineStr">
        <is>
          <t>ÅNGE</t>
        </is>
      </c>
      <c r="H1213" t="inlineStr">
        <is>
          <t>SCA</t>
        </is>
      </c>
      <c r="I1213" t="n">
        <v>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42098-2024</t>
        </is>
      </c>
      <c r="B1214" t="inlineStr">
        <is>
          <t>avverkningsanmälan</t>
        </is>
      </c>
      <c r="C1214" t="inlineStr">
        <is>
          <t>Föryngringsavverkning</t>
        </is>
      </c>
      <c r="D1214" s="1" t="n">
        <v>45562</v>
      </c>
      <c r="E1214" s="1" t="n">
        <v>46310</v>
      </c>
      <c r="F1214" t="inlineStr">
        <is>
          <t>VÄSTERNORRLANDS LÄN</t>
        </is>
      </c>
      <c r="G1214" t="inlineStr">
        <is>
          <t>ÅNGE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10071-2023</t>
        </is>
      </c>
      <c r="B1215" t="inlineStr">
        <is>
          <t>avverkningsanmälan</t>
        </is>
      </c>
      <c r="C1215" t="inlineStr">
        <is>
          <t>Föryngringsavverkning</t>
        </is>
      </c>
      <c r="D1215" s="1" t="n">
        <v>44985</v>
      </c>
      <c r="E1215" s="1" t="n">
        <v>46310</v>
      </c>
      <c r="F1215" t="inlineStr">
        <is>
          <t>VÄSTERNORRLANDS LÄN</t>
        </is>
      </c>
      <c r="G1215" t="inlineStr">
        <is>
          <t>ÅNGE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37253-2026</t>
        </is>
      </c>
      <c r="B1216" t="inlineStr">
        <is>
          <t>avverkningsanmälan</t>
        </is>
      </c>
      <c r="C1216" t="inlineStr">
        <is>
          <t>Föryngringsavverkning</t>
        </is>
      </c>
      <c r="D1216" s="1" t="n">
        <v>46274</v>
      </c>
      <c r="E1216" s="1" t="n">
        <v>46310</v>
      </c>
      <c r="F1216" t="inlineStr">
        <is>
          <t>VÄSTERNORRLANDS LÄN</t>
        </is>
      </c>
      <c r="G1216" t="inlineStr">
        <is>
          <t>ÅNGE</t>
        </is>
      </c>
      <c r="I1216" t="n">
        <v>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31990-2026</t>
        </is>
      </c>
      <c r="B1217" t="inlineStr">
        <is>
          <t>avverkningsanmälan</t>
        </is>
      </c>
      <c r="C1217" t="inlineStr">
        <is>
          <t>Föryngringsavverkning</t>
        </is>
      </c>
      <c r="D1217" s="1" t="n">
        <v>46232</v>
      </c>
      <c r="E1217" s="1" t="n">
        <v>46310</v>
      </c>
      <c r="F1217" t="inlineStr">
        <is>
          <t>VÄSTERNORRLANDS LÄN</t>
        </is>
      </c>
      <c r="G1217" t="inlineStr">
        <is>
          <t>ÅNGE</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37122-2026</t>
        </is>
      </c>
      <c r="B1218" t="inlineStr">
        <is>
          <t>avverkningsanmälan</t>
        </is>
      </c>
      <c r="C1218" t="inlineStr">
        <is>
          <t>Föryngringsavverkning</t>
        </is>
      </c>
      <c r="D1218" s="1" t="n">
        <v>46274</v>
      </c>
      <c r="E1218" s="1" t="n">
        <v>46310</v>
      </c>
      <c r="F1218" t="inlineStr">
        <is>
          <t>VÄSTERNORRLANDS LÄN</t>
        </is>
      </c>
      <c r="G1218" t="inlineStr">
        <is>
          <t>ÅNGE</t>
        </is>
      </c>
      <c r="H1218" t="inlineStr">
        <is>
          <t>SCA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37262-2026</t>
        </is>
      </c>
      <c r="B1219" t="inlineStr">
        <is>
          <t>avverkningsanmälan</t>
        </is>
      </c>
      <c r="C1219" t="inlineStr">
        <is>
          <t>Föryngringsavverkning</t>
        </is>
      </c>
      <c r="D1219" s="1" t="n">
        <v>46274</v>
      </c>
      <c r="E1219" s="1" t="n">
        <v>46310</v>
      </c>
      <c r="F1219" t="inlineStr">
        <is>
          <t>VÄSTERNORRLANDS LÄN</t>
        </is>
      </c>
      <c r="G1219" t="inlineStr">
        <is>
          <t>ÅNGE</t>
        </is>
      </c>
      <c r="H1219" t="inlineStr">
        <is>
          <t>Sveaskog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15822-2025</t>
        </is>
      </c>
      <c r="B1220" t="inlineStr">
        <is>
          <t>avverkningsanmälan</t>
        </is>
      </c>
      <c r="C1220" t="inlineStr">
        <is>
          <t>Föryngringsavverkning</t>
        </is>
      </c>
      <c r="D1220" s="1" t="n">
        <v>45748</v>
      </c>
      <c r="E1220" s="1" t="n">
        <v>46310</v>
      </c>
      <c r="F1220" t="inlineStr">
        <is>
          <t>VÄSTERNORRLANDS LÄN</t>
        </is>
      </c>
      <c r="G1220" t="inlineStr">
        <is>
          <t>ÅNGE</t>
        </is>
      </c>
      <c r="H1220" t="inlineStr">
        <is>
          <t>SCA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41083-2024</t>
        </is>
      </c>
      <c r="B1221" t="inlineStr">
        <is>
          <t>avverkningsanmälan</t>
        </is>
      </c>
      <c r="C1221" t="inlineStr">
        <is>
          <t>Avverkning för att bevara och utveckla /försöksver</t>
        </is>
      </c>
      <c r="D1221" s="1" t="n">
        <v>45559</v>
      </c>
      <c r="E1221" s="1" t="n">
        <v>46310</v>
      </c>
      <c r="F1221" t="inlineStr">
        <is>
          <t>VÄSTERNORRLANDS LÄN</t>
        </is>
      </c>
      <c r="G1221" t="inlineStr">
        <is>
          <t>ÅNGE</t>
        </is>
      </c>
      <c r="H1221" t="inlineStr">
        <is>
          <t>SCA</t>
        </is>
      </c>
      <c r="I1221" t="n">
        <v>8.4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37261-2026</t>
        </is>
      </c>
      <c r="B1222" t="inlineStr">
        <is>
          <t>avverkningsanmälan</t>
        </is>
      </c>
      <c r="C1222" t="inlineStr">
        <is>
          <t>Föryngringsavverkning</t>
        </is>
      </c>
      <c r="D1222" s="1" t="n">
        <v>46274</v>
      </c>
      <c r="E1222" s="1" t="n">
        <v>46310</v>
      </c>
      <c r="F1222" t="inlineStr">
        <is>
          <t>VÄSTERNORRLANDS LÄN</t>
        </is>
      </c>
      <c r="G1222" t="inlineStr">
        <is>
          <t>ÅNGE</t>
        </is>
      </c>
      <c r="H1222" t="inlineStr">
        <is>
          <t>Sveaskog</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37286-2026</t>
        </is>
      </c>
      <c r="B1223" t="inlineStr">
        <is>
          <t>avverkningsanmälan</t>
        </is>
      </c>
      <c r="C1223" t="inlineStr">
        <is>
          <t>Föryngringsavverkning</t>
        </is>
      </c>
      <c r="D1223" s="1" t="n">
        <v>46274</v>
      </c>
      <c r="E1223" s="1" t="n">
        <v>46310</v>
      </c>
      <c r="F1223" t="inlineStr">
        <is>
          <t>VÄSTERNORRLANDS LÄN</t>
        </is>
      </c>
      <c r="G1223" t="inlineStr">
        <is>
          <t>ÅNGE</t>
        </is>
      </c>
      <c r="H1223" t="inlineStr">
        <is>
          <t>SCA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37297-2026</t>
        </is>
      </c>
      <c r="B1224" t="inlineStr">
        <is>
          <t>avverkningsanmälan</t>
        </is>
      </c>
      <c r="C1224" t="inlineStr">
        <is>
          <t>Föryngringsavverkning</t>
        </is>
      </c>
      <c r="D1224" s="1" t="n">
        <v>46274</v>
      </c>
      <c r="E1224" s="1" t="n">
        <v>46310</v>
      </c>
      <c r="F1224" t="inlineStr">
        <is>
          <t>VÄSTERNORRLANDS LÄN</t>
        </is>
      </c>
      <c r="G1224" t="inlineStr">
        <is>
          <t>ÅNGE</t>
        </is>
      </c>
      <c r="H1224" t="inlineStr">
        <is>
          <t>SCA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31966-2026</t>
        </is>
      </c>
      <c r="B1225" t="inlineStr">
        <is>
          <t>avverkningsanmälan</t>
        </is>
      </c>
      <c r="C1225" t="inlineStr">
        <is>
          <t>Föryngringsavverkning</t>
        </is>
      </c>
      <c r="D1225" s="1" t="n">
        <v>46232</v>
      </c>
      <c r="E1225" s="1" t="n">
        <v>46310</v>
      </c>
      <c r="F1225" t="inlineStr">
        <is>
          <t>VÄSTERNORRLANDS LÄN</t>
        </is>
      </c>
      <c r="G1225" t="inlineStr">
        <is>
          <t>ÅNGE</t>
        </is>
      </c>
      <c r="H1225" t="inlineStr">
        <is>
          <t>SCA</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41507-2024</t>
        </is>
      </c>
      <c r="B1226" t="inlineStr">
        <is>
          <t>avverkningsanmälan</t>
        </is>
      </c>
      <c r="C1226" t="inlineStr">
        <is>
          <t>Föryngringsavverkning</t>
        </is>
      </c>
      <c r="D1226" s="1" t="n">
        <v>45560</v>
      </c>
      <c r="E1226" s="1" t="n">
        <v>46310</v>
      </c>
      <c r="F1226" t="inlineStr">
        <is>
          <t>VÄSTERNORRLANDS LÄN</t>
        </is>
      </c>
      <c r="G1226" t="inlineStr">
        <is>
          <t>ÅNGE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26019-2024</t>
        </is>
      </c>
      <c r="B1227" t="inlineStr">
        <is>
          <t>avverkningsanmälan</t>
        </is>
      </c>
      <c r="C1227" t="inlineStr">
        <is>
          <t>Föryngringsavverkning</t>
        </is>
      </c>
      <c r="D1227" s="1" t="n">
        <v>45467</v>
      </c>
      <c r="E1227" s="1" t="n">
        <v>46310</v>
      </c>
      <c r="F1227" t="inlineStr">
        <is>
          <t>VÄSTERNORRLANDS LÄN</t>
        </is>
      </c>
      <c r="G1227" t="inlineStr">
        <is>
          <t>ÅNGE</t>
        </is>
      </c>
      <c r="H1227" t="inlineStr">
        <is>
          <t>SCA</t>
        </is>
      </c>
      <c r="I1227" t="n">
        <v>7.5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31912-2026</t>
        </is>
      </c>
      <c r="B1228" t="inlineStr">
        <is>
          <t>avverkningsanmälan</t>
        </is>
      </c>
      <c r="C1228" t="inlineStr">
        <is>
          <t>Föryngringsavverkning</t>
        </is>
      </c>
      <c r="D1228" s="1" t="n">
        <v>46231</v>
      </c>
      <c r="E1228" s="1" t="n">
        <v>46310</v>
      </c>
      <c r="F1228" t="inlineStr">
        <is>
          <t>VÄSTERNORRLANDS LÄN</t>
        </is>
      </c>
      <c r="G1228" t="inlineStr">
        <is>
          <t>ÅNGE</t>
        </is>
      </c>
      <c r="H1228" t="inlineStr">
        <is>
          <t>SCA</t>
        </is>
      </c>
      <c r="I1228" t="n">
        <v>10.8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8747-2022</t>
        </is>
      </c>
      <c r="B1229" t="inlineStr">
        <is>
          <t>avverkningsanmälan</t>
        </is>
      </c>
      <c r="C1229" t="inlineStr">
        <is>
          <t>Föryngringsavverkning</t>
        </is>
      </c>
      <c r="D1229" s="1" t="n">
        <v>44614</v>
      </c>
      <c r="E1229" s="1" t="n">
        <v>46310</v>
      </c>
      <c r="F1229" t="inlineStr">
        <is>
          <t>VÄSTERNORRLANDS LÄN</t>
        </is>
      </c>
      <c r="G1229" t="inlineStr">
        <is>
          <t>ÅNGE</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8755-2022</t>
        </is>
      </c>
      <c r="B1230" t="inlineStr">
        <is>
          <t>avverkningsanmälan</t>
        </is>
      </c>
      <c r="C1230" t="inlineStr">
        <is>
          <t>Föryngringsavverkning</t>
        </is>
      </c>
      <c r="D1230" s="1" t="n">
        <v>44614</v>
      </c>
      <c r="E1230" s="1" t="n">
        <v>46310</v>
      </c>
      <c r="F1230" t="inlineStr">
        <is>
          <t>VÄSTERNORRLANDS LÄN</t>
        </is>
      </c>
      <c r="G1230" t="inlineStr">
        <is>
          <t>ÅNGE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31989-2026</t>
        </is>
      </c>
      <c r="B1231" t="inlineStr">
        <is>
          <t>avverkningsanmälan</t>
        </is>
      </c>
      <c r="C1231" t="inlineStr">
        <is>
          <t>Föryngringsavverkning</t>
        </is>
      </c>
      <c r="D1231" s="1" t="n">
        <v>46232</v>
      </c>
      <c r="E1231" s="1" t="n">
        <v>46310</v>
      </c>
      <c r="F1231" t="inlineStr">
        <is>
          <t>VÄSTERNORRLANDS LÄN</t>
        </is>
      </c>
      <c r="G1231" t="inlineStr">
        <is>
          <t>ÅNGE</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6690-2024</t>
        </is>
      </c>
      <c r="B1232" t="inlineStr">
        <is>
          <t>avverkningsanmälan</t>
        </is>
      </c>
      <c r="C1232" t="inlineStr">
        <is>
          <t>Föryngringsavverkning</t>
        </is>
      </c>
      <c r="D1232" s="1" t="n">
        <v>45341</v>
      </c>
      <c r="E1232" s="1" t="n">
        <v>46310</v>
      </c>
      <c r="F1232" t="inlineStr">
        <is>
          <t>VÄSTERNORRLANDS LÄN</t>
        </is>
      </c>
      <c r="G1232" t="inlineStr">
        <is>
          <t>ÅNGE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64375-2023</t>
        </is>
      </c>
      <c r="B1233" t="inlineStr">
        <is>
          <t>avverkningsanmälan</t>
        </is>
      </c>
      <c r="C1233" t="inlineStr">
        <is>
          <t>Föryngringsavverkning</t>
        </is>
      </c>
      <c r="D1233" s="1" t="n">
        <v>45280</v>
      </c>
      <c r="E1233" s="1" t="n">
        <v>46310</v>
      </c>
      <c r="F1233" t="inlineStr">
        <is>
          <t>VÄSTERNORRLANDS LÄN</t>
        </is>
      </c>
      <c r="G1233" t="inlineStr">
        <is>
          <t>ÅNGE</t>
        </is>
      </c>
      <c r="I1233" t="n">
        <v>7.5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1235-2023</t>
        </is>
      </c>
      <c r="B1234" t="inlineStr">
        <is>
          <t>avverkningsanmälan</t>
        </is>
      </c>
      <c r="C1234" t="inlineStr">
        <is>
          <t>Föryngringsavverkning</t>
        </is>
      </c>
      <c r="D1234" s="1" t="n">
        <v>44935</v>
      </c>
      <c r="E1234" s="1" t="n">
        <v>46310</v>
      </c>
      <c r="F1234" t="inlineStr">
        <is>
          <t>VÄSTERNORRLANDS LÄN</t>
        </is>
      </c>
      <c r="G1234" t="inlineStr">
        <is>
          <t>ÅNGE</t>
        </is>
      </c>
      <c r="H1234" t="inlineStr">
        <is>
          <t>SCA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32023-2026</t>
        </is>
      </c>
      <c r="B1235" t="inlineStr">
        <is>
          <t>avverkningsanmälan</t>
        </is>
      </c>
      <c r="C1235" t="inlineStr">
        <is>
          <t>Föryngringsavverkning</t>
        </is>
      </c>
      <c r="D1235" s="1" t="n">
        <v>46233</v>
      </c>
      <c r="E1235" s="1" t="n">
        <v>46310</v>
      </c>
      <c r="F1235" t="inlineStr">
        <is>
          <t>VÄSTERNORRLANDS LÄN</t>
        </is>
      </c>
      <c r="G1235" t="inlineStr">
        <is>
          <t>ÅNGE</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41302-2024</t>
        </is>
      </c>
      <c r="B1236" t="inlineStr">
        <is>
          <t>avverkningsanmälan</t>
        </is>
      </c>
      <c r="C1236" t="inlineStr">
        <is>
          <t>Föryngringsavverkning</t>
        </is>
      </c>
      <c r="D1236" s="1" t="n">
        <v>45559</v>
      </c>
      <c r="E1236" s="1" t="n">
        <v>46310</v>
      </c>
      <c r="F1236" t="inlineStr">
        <is>
          <t>VÄSTERNORRLANDS LÄN</t>
        </is>
      </c>
      <c r="G1236" t="inlineStr">
        <is>
          <t>ÅNGE</t>
        </is>
      </c>
      <c r="H1236" t="inlineStr">
        <is>
          <t>Holmen skog AB</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37648-2026</t>
        </is>
      </c>
      <c r="B1237" t="inlineStr">
        <is>
          <t>avverkningsanmälan</t>
        </is>
      </c>
      <c r="C1237" t="inlineStr">
        <is>
          <t>Föryngringsavverkning</t>
        </is>
      </c>
      <c r="D1237" s="1" t="n">
        <v>46276</v>
      </c>
      <c r="E1237" s="1" t="n">
        <v>46310</v>
      </c>
      <c r="F1237" t="inlineStr">
        <is>
          <t>VÄSTERNORRLANDS LÄN</t>
        </is>
      </c>
      <c r="G1237" t="inlineStr">
        <is>
          <t>ÅNGE</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32061-2026</t>
        </is>
      </c>
      <c r="B1238" t="inlineStr">
        <is>
          <t>avverkningsanmälan</t>
        </is>
      </c>
      <c r="C1238" t="inlineStr">
        <is>
          <t>Föryngringsavverkning</t>
        </is>
      </c>
      <c r="D1238" s="1" t="n">
        <v>46233</v>
      </c>
      <c r="E1238" s="1" t="n">
        <v>46310</v>
      </c>
      <c r="F1238" t="inlineStr">
        <is>
          <t>VÄSTERNORRLANDS LÄN</t>
        </is>
      </c>
      <c r="G1238" t="inlineStr">
        <is>
          <t>ÅNGE</t>
        </is>
      </c>
      <c r="H1238" t="inlineStr">
        <is>
          <t>SCA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43366-2024</t>
        </is>
      </c>
      <c r="B1239" t="inlineStr">
        <is>
          <t>avverkningsanmälan</t>
        </is>
      </c>
      <c r="C1239" t="inlineStr">
        <is>
          <t>Avverkning för annat ändamål</t>
        </is>
      </c>
      <c r="D1239" s="1" t="n">
        <v>45568</v>
      </c>
      <c r="E1239" s="1" t="n">
        <v>46310</v>
      </c>
      <c r="F1239" t="inlineStr">
        <is>
          <t>VÄSTERNORRLANDS LÄN</t>
        </is>
      </c>
      <c r="G1239" t="inlineStr">
        <is>
          <t>ÅNGE</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32257-2026</t>
        </is>
      </c>
      <c r="B1240" t="inlineStr">
        <is>
          <t>avverkningsanmälan</t>
        </is>
      </c>
      <c r="C1240" t="inlineStr">
        <is>
          <t>Föryngringsavverkning</t>
        </is>
      </c>
      <c r="D1240" s="1" t="n">
        <v>46237</v>
      </c>
      <c r="E1240" s="1" t="n">
        <v>46310</v>
      </c>
      <c r="F1240" t="inlineStr">
        <is>
          <t>VÄSTERNORRLANDS LÄN</t>
        </is>
      </c>
      <c r="G1240" t="inlineStr">
        <is>
          <t>ÅNGE</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38083-2026</t>
        </is>
      </c>
      <c r="B1241" t="inlineStr">
        <is>
          <t>avverkningsanmälan</t>
        </is>
      </c>
      <c r="C1241" t="inlineStr">
        <is>
          <t>Föryngringsavverkning</t>
        </is>
      </c>
      <c r="D1241" s="1" t="n">
        <v>46281</v>
      </c>
      <c r="E1241" s="1" t="n">
        <v>46310</v>
      </c>
      <c r="F1241" t="inlineStr">
        <is>
          <t>VÄSTERNORRLANDS LÄN</t>
        </is>
      </c>
      <c r="G1241" t="inlineStr">
        <is>
          <t>ÅNGE</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32341-2026</t>
        </is>
      </c>
      <c r="B1242" t="inlineStr">
        <is>
          <t>avverkningsanmälan</t>
        </is>
      </c>
      <c r="C1242" t="inlineStr">
        <is>
          <t>Föryngringsavverkning</t>
        </is>
      </c>
      <c r="D1242" s="1" t="n">
        <v>46238</v>
      </c>
      <c r="E1242" s="1" t="n">
        <v>46310</v>
      </c>
      <c r="F1242" t="inlineStr">
        <is>
          <t>VÄSTERNORRLANDS LÄN</t>
        </is>
      </c>
      <c r="G1242" t="inlineStr">
        <is>
          <t>ÅNGE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35577-2024</t>
        </is>
      </c>
      <c r="B1243" t="inlineStr">
        <is>
          <t>avverkningsanmälan</t>
        </is>
      </c>
      <c r="C1243" t="inlineStr">
        <is>
          <t>Föryngringsavverkning</t>
        </is>
      </c>
      <c r="D1243" s="1" t="n">
        <v>45531</v>
      </c>
      <c r="E1243" s="1" t="n">
        <v>46310</v>
      </c>
      <c r="F1243" t="inlineStr">
        <is>
          <t>VÄSTERNORRLANDS LÄN</t>
        </is>
      </c>
      <c r="G1243" t="inlineStr">
        <is>
          <t>ÅNGE</t>
        </is>
      </c>
      <c r="H1243" t="inlineStr">
        <is>
          <t>SCA</t>
        </is>
      </c>
      <c r="I1243" t="n">
        <v>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32322-2026</t>
        </is>
      </c>
      <c r="B1244" t="inlineStr">
        <is>
          <t>avverkningsanmälan</t>
        </is>
      </c>
      <c r="C1244" t="inlineStr">
        <is>
          <t>Avverkning för annat ändamål</t>
        </is>
      </c>
      <c r="D1244" s="1" t="n">
        <v>46238</v>
      </c>
      <c r="E1244" s="1" t="n">
        <v>46310</v>
      </c>
      <c r="F1244" t="inlineStr">
        <is>
          <t>VÄSTERNORRLANDS LÄN</t>
        </is>
      </c>
      <c r="G1244" t="inlineStr">
        <is>
          <t>ÅNGE</t>
        </is>
      </c>
      <c r="H1244" t="inlineStr">
        <is>
          <t>SCA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28428-2023</t>
        </is>
      </c>
      <c r="B1245" t="inlineStr">
        <is>
          <t>avverkningsanmälan</t>
        </is>
      </c>
      <c r="C1245" t="inlineStr">
        <is>
          <t>Föryngringsavverkning</t>
        </is>
      </c>
      <c r="D1245" s="1" t="n">
        <v>45102</v>
      </c>
      <c r="E1245" s="1" t="n">
        <v>46310</v>
      </c>
      <c r="F1245" t="inlineStr">
        <is>
          <t>VÄSTERNORRLANDS LÄN</t>
        </is>
      </c>
      <c r="G1245" t="inlineStr">
        <is>
          <t>ÅNGE</t>
        </is>
      </c>
      <c r="H1245" t="inlineStr">
        <is>
          <t>Kyrkan</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30399-2026</t>
        </is>
      </c>
      <c r="B1246" t="inlineStr">
        <is>
          <t>avverkningsanmälan</t>
        </is>
      </c>
      <c r="C1246" t="inlineStr">
        <is>
          <t>Föryngringsavverkning</t>
        </is>
      </c>
      <c r="D1246" s="1" t="n">
        <v>46209</v>
      </c>
      <c r="E1246" s="1" t="n">
        <v>46310</v>
      </c>
      <c r="F1246" t="inlineStr">
        <is>
          <t>VÄSTERNORRLANDS LÄN</t>
        </is>
      </c>
      <c r="G1246" t="inlineStr">
        <is>
          <t>ÅNGE</t>
        </is>
      </c>
      <c r="H1246" t="inlineStr">
        <is>
          <t>SCA</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32278-2026</t>
        </is>
      </c>
      <c r="B1247" t="inlineStr">
        <is>
          <t>avverkningsanmälan</t>
        </is>
      </c>
      <c r="C1247" t="inlineStr">
        <is>
          <t>Föryngringsavverkning</t>
        </is>
      </c>
      <c r="D1247" s="1" t="n">
        <v>46237</v>
      </c>
      <c r="E1247" s="1" t="n">
        <v>46310</v>
      </c>
      <c r="F1247" t="inlineStr">
        <is>
          <t>VÄSTERNORRLANDS LÄN</t>
        </is>
      </c>
      <c r="G1247" t="inlineStr">
        <is>
          <t>ÅNGE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59986-2021</t>
        </is>
      </c>
      <c r="B1248" t="inlineStr">
        <is>
          <t>avverkningsanmälan</t>
        </is>
      </c>
      <c r="C1248" t="inlineStr">
        <is>
          <t>Föryngringsavverkning</t>
        </is>
      </c>
      <c r="D1248" s="1" t="n">
        <v>44494</v>
      </c>
      <c r="E1248" s="1" t="n">
        <v>46310</v>
      </c>
      <c r="F1248" t="inlineStr">
        <is>
          <t>VÄSTERNORRLANDS LÄN</t>
        </is>
      </c>
      <c r="G1248" t="inlineStr">
        <is>
          <t>ÅNGE</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38193-2026</t>
        </is>
      </c>
      <c r="B1249" t="inlineStr">
        <is>
          <t>avverkningsanmälan</t>
        </is>
      </c>
      <c r="C1249" t="inlineStr">
        <is>
          <t>Föryngringsavverkning</t>
        </is>
      </c>
      <c r="D1249" s="1" t="n">
        <v>46281</v>
      </c>
      <c r="E1249" s="1" t="n">
        <v>46310</v>
      </c>
      <c r="F1249" t="inlineStr">
        <is>
          <t>VÄSTERNORRLANDS LÄN</t>
        </is>
      </c>
      <c r="G1249" t="inlineStr">
        <is>
          <t>ÅNGE</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32313-2026</t>
        </is>
      </c>
      <c r="B1250" t="inlineStr">
        <is>
          <t>avverkningsanmälan</t>
        </is>
      </c>
      <c r="C1250" t="inlineStr">
        <is>
          <t>Föryngringsavverkning</t>
        </is>
      </c>
      <c r="D1250" s="1" t="n">
        <v>46237</v>
      </c>
      <c r="E1250" s="1" t="n">
        <v>46310</v>
      </c>
      <c r="F1250" t="inlineStr">
        <is>
          <t>VÄSTERNORRLANDS LÄN</t>
        </is>
      </c>
      <c r="G1250" t="inlineStr">
        <is>
          <t>ÅNGE</t>
        </is>
      </c>
      <c r="H1250" t="inlineStr">
        <is>
          <t>Sveaskog</t>
        </is>
      </c>
      <c r="I1250" t="n">
        <v>10.5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38362-2026</t>
        </is>
      </c>
      <c r="B1251" t="inlineStr">
        <is>
          <t>avverkningsanmälan</t>
        </is>
      </c>
      <c r="C1251" t="inlineStr">
        <is>
          <t>Föryngringsavverkning</t>
        </is>
      </c>
      <c r="D1251" s="1" t="n">
        <v>46282</v>
      </c>
      <c r="E1251" s="1" t="n">
        <v>46310</v>
      </c>
      <c r="F1251" t="inlineStr">
        <is>
          <t>VÄSTERNORRLANDS LÄN</t>
        </is>
      </c>
      <c r="G1251" t="inlineStr">
        <is>
          <t>ÅNGE</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38670-2026</t>
        </is>
      </c>
      <c r="B1252" t="inlineStr">
        <is>
          <t>avverkningsanmälan</t>
        </is>
      </c>
      <c r="C1252" t="inlineStr">
        <is>
          <t>Avverkning för annat ändamål</t>
        </is>
      </c>
      <c r="D1252" s="1" t="n">
        <v>46283</v>
      </c>
      <c r="E1252" s="1" t="n">
        <v>46310</v>
      </c>
      <c r="F1252" t="inlineStr">
        <is>
          <t>VÄSTERNORRLANDS LÄN</t>
        </is>
      </c>
      <c r="G1252" t="inlineStr">
        <is>
          <t>ÅNGE</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38501-2026</t>
        </is>
      </c>
      <c r="B1253" t="inlineStr">
        <is>
          <t>avverkningsanmälan</t>
        </is>
      </c>
      <c r="C1253" t="inlineStr">
        <is>
          <t>Avverkning för annat ändamål</t>
        </is>
      </c>
      <c r="D1253" s="1" t="n">
        <v>46282</v>
      </c>
      <c r="E1253" s="1" t="n">
        <v>46310</v>
      </c>
      <c r="F1253" t="inlineStr">
        <is>
          <t>VÄSTERNORRLANDS LÄN</t>
        </is>
      </c>
      <c r="G1253" t="inlineStr">
        <is>
          <t>ÅNGE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38502-2026</t>
        </is>
      </c>
      <c r="B1254" t="inlineStr">
        <is>
          <t>avverkningsanmälan</t>
        </is>
      </c>
      <c r="C1254" t="inlineStr">
        <is>
          <t>Avverkning för annat ändamål</t>
        </is>
      </c>
      <c r="D1254" s="1" t="n">
        <v>46282</v>
      </c>
      <c r="E1254" s="1" t="n">
        <v>46310</v>
      </c>
      <c r="F1254" t="inlineStr">
        <is>
          <t>VÄSTERNORRLANDS LÄN</t>
        </is>
      </c>
      <c r="G1254" t="inlineStr">
        <is>
          <t>ÅNGE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32469-2026</t>
        </is>
      </c>
      <c r="B1255" t="inlineStr">
        <is>
          <t>avverkningsanmälan</t>
        </is>
      </c>
      <c r="C1255" t="inlineStr">
        <is>
          <t>Föryngringsavverkning</t>
        </is>
      </c>
      <c r="D1255" s="1" t="n">
        <v>46239</v>
      </c>
      <c r="E1255" s="1" t="n">
        <v>46310</v>
      </c>
      <c r="F1255" t="inlineStr">
        <is>
          <t>VÄSTERNORRLANDS LÄN</t>
        </is>
      </c>
      <c r="G1255" t="inlineStr">
        <is>
          <t>ÅNGE</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32654-2026</t>
        </is>
      </c>
      <c r="B1256" t="inlineStr">
        <is>
          <t>avverkningsanmälan</t>
        </is>
      </c>
      <c r="C1256" t="inlineStr">
        <is>
          <t>Föryngringsavverkning</t>
        </is>
      </c>
      <c r="D1256" s="1" t="n">
        <v>46240</v>
      </c>
      <c r="E1256" s="1" t="n">
        <v>46310</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35392-2024</t>
        </is>
      </c>
      <c r="B1257" t="inlineStr">
        <is>
          <t>avverkningsanmälan</t>
        </is>
      </c>
      <c r="C1257" t="inlineStr">
        <is>
          <t>Föryngringsavverkning</t>
        </is>
      </c>
      <c r="D1257" s="1" t="n">
        <v>45531</v>
      </c>
      <c r="E1257" s="1" t="n">
        <v>46310</v>
      </c>
      <c r="F1257" t="inlineStr">
        <is>
          <t>VÄSTERNORRLANDS LÄN</t>
        </is>
      </c>
      <c r="G1257" t="inlineStr">
        <is>
          <t>ÅNGE</t>
        </is>
      </c>
      <c r="H1257" t="inlineStr">
        <is>
          <t>SCA</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32517-2026</t>
        </is>
      </c>
      <c r="B1258" t="inlineStr">
        <is>
          <t>avverkningsanmälan</t>
        </is>
      </c>
      <c r="C1258" t="inlineStr">
        <is>
          <t>Föryngringsavverkning</t>
        </is>
      </c>
      <c r="D1258" s="1" t="n">
        <v>46239</v>
      </c>
      <c r="E1258" s="1" t="n">
        <v>46310</v>
      </c>
      <c r="F1258" t="inlineStr">
        <is>
          <t>VÄSTERNORRLANDS LÄN</t>
        </is>
      </c>
      <c r="G1258" t="inlineStr">
        <is>
          <t>ÅNGE</t>
        </is>
      </c>
      <c r="H1258" t="inlineStr">
        <is>
          <t>SCA</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58634-2023</t>
        </is>
      </c>
      <c r="B1259" t="inlineStr">
        <is>
          <t>avverkningsanmälan</t>
        </is>
      </c>
      <c r="C1259" t="inlineStr">
        <is>
          <t>Föryngringsavverkning</t>
        </is>
      </c>
      <c r="D1259" s="1" t="n">
        <v>45251</v>
      </c>
      <c r="E1259" s="1" t="n">
        <v>46310</v>
      </c>
      <c r="F1259" t="inlineStr">
        <is>
          <t>VÄSTERNORRLANDS LÄN</t>
        </is>
      </c>
      <c r="G1259" t="inlineStr">
        <is>
          <t>ÅNGE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39130-2026</t>
        </is>
      </c>
      <c r="B1260" t="inlineStr">
        <is>
          <t>avverkningsanmälan</t>
        </is>
      </c>
      <c r="C1260" t="inlineStr">
        <is>
          <t>Föryngringsavverkning</t>
        </is>
      </c>
      <c r="D1260" s="1" t="n">
        <v>46287</v>
      </c>
      <c r="E1260" s="1" t="n">
        <v>46310</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57592-2022</t>
        </is>
      </c>
      <c r="B1261" t="inlineStr">
        <is>
          <t>avverkningsanmälan</t>
        </is>
      </c>
      <c r="C1261" t="inlineStr">
        <is>
          <t>Avverkning för att bevara och utveckla /försöksver</t>
        </is>
      </c>
      <c r="D1261" s="1" t="n">
        <v>44896</v>
      </c>
      <c r="E1261" s="1" t="n">
        <v>46310</v>
      </c>
      <c r="F1261" t="inlineStr">
        <is>
          <t>VÄSTERNORRLANDS LÄN</t>
        </is>
      </c>
      <c r="G1261" t="inlineStr">
        <is>
          <t>ÅNGE</t>
        </is>
      </c>
      <c r="H1261" t="inlineStr">
        <is>
          <t>SCA</t>
        </is>
      </c>
      <c r="I1261" t="n">
        <v>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38874-2026</t>
        </is>
      </c>
      <c r="B1262" t="inlineStr">
        <is>
          <t>avverkningsanmälan</t>
        </is>
      </c>
      <c r="C1262" t="inlineStr">
        <is>
          <t>Föryngringsavverkning</t>
        </is>
      </c>
      <c r="D1262" s="1" t="n">
        <v>46286</v>
      </c>
      <c r="E1262" s="1" t="n">
        <v>46310</v>
      </c>
      <c r="F1262" t="inlineStr">
        <is>
          <t>VÄSTERNORRLANDS LÄN</t>
        </is>
      </c>
      <c r="G1262" t="inlineStr">
        <is>
          <t>ÅNGE</t>
        </is>
      </c>
      <c r="H1262" t="inlineStr">
        <is>
          <t>SCA</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38876-2026</t>
        </is>
      </c>
      <c r="B1263" t="inlineStr">
        <is>
          <t>avverkningsanmälan</t>
        </is>
      </c>
      <c r="C1263" t="inlineStr">
        <is>
          <t>Föryngringsavverkning</t>
        </is>
      </c>
      <c r="D1263" s="1" t="n">
        <v>46286</v>
      </c>
      <c r="E1263" s="1" t="n">
        <v>46310</v>
      </c>
      <c r="F1263" t="inlineStr">
        <is>
          <t>VÄSTERNORRLANDS LÄN</t>
        </is>
      </c>
      <c r="G1263" t="inlineStr">
        <is>
          <t>ÅNGE</t>
        </is>
      </c>
      <c r="H1263" t="inlineStr">
        <is>
          <t>SCA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39154-2026</t>
        </is>
      </c>
      <c r="B1264" t="inlineStr">
        <is>
          <t>avverkningsanmälan</t>
        </is>
      </c>
      <c r="C1264" t="inlineStr">
        <is>
          <t>Föryngringsavverkning</t>
        </is>
      </c>
      <c r="D1264" s="1" t="n">
        <v>46287</v>
      </c>
      <c r="E1264" s="1" t="n">
        <v>46310</v>
      </c>
      <c r="F1264" t="inlineStr">
        <is>
          <t>VÄSTERNORRLANDS LÄN</t>
        </is>
      </c>
      <c r="G1264" t="inlineStr">
        <is>
          <t>ÅNGE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22680-2024</t>
        </is>
      </c>
      <c r="B1265" t="inlineStr">
        <is>
          <t>avverkningsanmälan</t>
        </is>
      </c>
      <c r="C1265" t="inlineStr">
        <is>
          <t>Föryngringsavverkning</t>
        </is>
      </c>
      <c r="D1265" s="1" t="n">
        <v>45447</v>
      </c>
      <c r="E1265" s="1" t="n">
        <v>46310</v>
      </c>
      <c r="F1265" t="inlineStr">
        <is>
          <t>VÄSTERNORRLANDS LÄN</t>
        </is>
      </c>
      <c r="G1265" t="inlineStr">
        <is>
          <t>ÅNGE</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18430-2025</t>
        </is>
      </c>
      <c r="B1266" t="inlineStr">
        <is>
          <t>avverkningsanmälan</t>
        </is>
      </c>
      <c r="C1266" t="inlineStr">
        <is>
          <t>Föryngringsavverkning</t>
        </is>
      </c>
      <c r="D1266" s="1" t="n">
        <v>45762</v>
      </c>
      <c r="E1266" s="1" t="n">
        <v>46310</v>
      </c>
      <c r="F1266" t="inlineStr">
        <is>
          <t>VÄSTERNORRLANDS LÄN</t>
        </is>
      </c>
      <c r="G1266" t="inlineStr">
        <is>
          <t>ÅNGE</t>
        </is>
      </c>
      <c r="H1266" t="inlineStr">
        <is>
          <t>SCA</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3624-2024</t>
        </is>
      </c>
      <c r="B1267" t="inlineStr">
        <is>
          <t>avverkningsanmälan</t>
        </is>
      </c>
      <c r="C1267" t="inlineStr">
        <is>
          <t>Föryngringsavverkning</t>
        </is>
      </c>
      <c r="D1267" s="1" t="n">
        <v>45320</v>
      </c>
      <c r="E1267" s="1" t="n">
        <v>46310</v>
      </c>
      <c r="F1267" t="inlineStr">
        <is>
          <t>VÄSTERNORRLANDS LÄN</t>
        </is>
      </c>
      <c r="G1267" t="inlineStr">
        <is>
          <t>ÅNGE</t>
        </is>
      </c>
      <c r="H1267" t="inlineStr">
        <is>
          <t>SCA</t>
        </is>
      </c>
      <c r="I1267" t="n">
        <v>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10922-2024</t>
        </is>
      </c>
      <c r="B1268" t="inlineStr">
        <is>
          <t>avverkningsanmälan</t>
        </is>
      </c>
      <c r="C1268" t="inlineStr">
        <is>
          <t>Föryngringsavverkning</t>
        </is>
      </c>
      <c r="D1268" s="1" t="n">
        <v>45370</v>
      </c>
      <c r="E1268" s="1" t="n">
        <v>46310</v>
      </c>
      <c r="F1268" t="inlineStr">
        <is>
          <t>VÄSTERNORRLANDS LÄN</t>
        </is>
      </c>
      <c r="G1268" t="inlineStr">
        <is>
          <t>ÅNGE</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46255-2023</t>
        </is>
      </c>
      <c r="B1269" t="inlineStr">
        <is>
          <t>avverkningsanmälan</t>
        </is>
      </c>
      <c r="C1269" t="inlineStr">
        <is>
          <t>Avverkning för annat ändamål</t>
        </is>
      </c>
      <c r="D1269" s="1" t="n">
        <v>45196</v>
      </c>
      <c r="E1269" s="1" t="n">
        <v>46310</v>
      </c>
      <c r="F1269" t="inlineStr">
        <is>
          <t>VÄSTERNORRLANDS LÄN</t>
        </is>
      </c>
      <c r="G1269" t="inlineStr">
        <is>
          <t>ÅNGE</t>
        </is>
      </c>
      <c r="H1269" t="inlineStr">
        <is>
          <t>SCA</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55197-2022</t>
        </is>
      </c>
      <c r="B1270" t="inlineStr">
        <is>
          <t>avverkningsanmälan</t>
        </is>
      </c>
      <c r="C1270" t="inlineStr">
        <is>
          <t>Föryngringsavverkning</t>
        </is>
      </c>
      <c r="D1270" s="1" t="n">
        <v>44886</v>
      </c>
      <c r="E1270" s="1" t="n">
        <v>46310</v>
      </c>
      <c r="F1270" t="inlineStr">
        <is>
          <t>VÄSTERNORRLANDS LÄN</t>
        </is>
      </c>
      <c r="G1270" t="inlineStr">
        <is>
          <t>ÅNGE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18617-2024</t>
        </is>
      </c>
      <c r="B1271" t="inlineStr">
        <is>
          <t>avverkningsanmälan</t>
        </is>
      </c>
      <c r="C1271" t="inlineStr">
        <is>
          <t>Föryngringsavverkning</t>
        </is>
      </c>
      <c r="D1271" s="1" t="n">
        <v>45425</v>
      </c>
      <c r="E1271" s="1" t="n">
        <v>46310</v>
      </c>
      <c r="F1271" t="inlineStr">
        <is>
          <t>VÄSTERNORRLANDS LÄN</t>
        </is>
      </c>
      <c r="G1271" t="inlineStr">
        <is>
          <t>ÅNGE</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37540-2024</t>
        </is>
      </c>
      <c r="B1272" t="inlineStr">
        <is>
          <t>avverkningsanmälan</t>
        </is>
      </c>
      <c r="C1272" t="inlineStr">
        <is>
          <t>Föryngringsavverkning</t>
        </is>
      </c>
      <c r="D1272" s="1" t="n">
        <v>45541</v>
      </c>
      <c r="E1272" s="1" t="n">
        <v>46310</v>
      </c>
      <c r="F1272" t="inlineStr">
        <is>
          <t>VÄSTERNORRLANDS LÄN</t>
        </is>
      </c>
      <c r="G1272" t="inlineStr">
        <is>
          <t>ÅNGE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42958-2024</t>
        </is>
      </c>
      <c r="B1273" t="inlineStr">
        <is>
          <t>avverkningsanmälan</t>
        </is>
      </c>
      <c r="C1273" t="inlineStr">
        <is>
          <t>Föryngringsavverkning</t>
        </is>
      </c>
      <c r="D1273" s="1" t="n">
        <v>45567</v>
      </c>
      <c r="E1273" s="1" t="n">
        <v>46310</v>
      </c>
      <c r="F1273" t="inlineStr">
        <is>
          <t>VÄSTERNORRLANDS LÄN</t>
        </is>
      </c>
      <c r="G1273" t="inlineStr">
        <is>
          <t>ÅNGE</t>
        </is>
      </c>
      <c r="H1273" t="inlineStr">
        <is>
          <t>SCA</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42969-2024</t>
        </is>
      </c>
      <c r="B1274" t="inlineStr">
        <is>
          <t>avverkningsanmälan</t>
        </is>
      </c>
      <c r="C1274" t="inlineStr">
        <is>
          <t>Föryngringsavverkning</t>
        </is>
      </c>
      <c r="D1274" s="1" t="n">
        <v>45567</v>
      </c>
      <c r="E1274" s="1" t="n">
        <v>46310</v>
      </c>
      <c r="F1274" t="inlineStr">
        <is>
          <t>VÄSTERNORRLANDS LÄN</t>
        </is>
      </c>
      <c r="G1274" t="inlineStr">
        <is>
          <t>ÅNGE</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49502-2022</t>
        </is>
      </c>
      <c r="B1275" t="inlineStr">
        <is>
          <t>avverkningsanmälan</t>
        </is>
      </c>
      <c r="C1275" t="inlineStr">
        <is>
          <t>Föryngringsavverkning</t>
        </is>
      </c>
      <c r="D1275" s="1" t="n">
        <v>44861</v>
      </c>
      <c r="E1275" s="1" t="n">
        <v>46310</v>
      </c>
      <c r="F1275" t="inlineStr">
        <is>
          <t>VÄSTERNORRLANDS LÄN</t>
        </is>
      </c>
      <c r="G1275" t="inlineStr">
        <is>
          <t>ÅNGE</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38795-2023</t>
        </is>
      </c>
      <c r="B1276" t="inlineStr">
        <is>
          <t>avverkningsanmälan</t>
        </is>
      </c>
      <c r="C1276" t="inlineStr">
        <is>
          <t>Föryngringsavverkning</t>
        </is>
      </c>
      <c r="D1276" s="1" t="n">
        <v>45162</v>
      </c>
      <c r="E1276" s="1" t="n">
        <v>46310</v>
      </c>
      <c r="F1276" t="inlineStr">
        <is>
          <t>VÄSTERNORRLANDS LÄN</t>
        </is>
      </c>
      <c r="G1276" t="inlineStr">
        <is>
          <t>ÅNGE</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34649-2024</t>
        </is>
      </c>
      <c r="B1277" t="inlineStr">
        <is>
          <t>avverkningsanmälan</t>
        </is>
      </c>
      <c r="C1277" t="inlineStr">
        <is>
          <t>Föryngringsavverkning</t>
        </is>
      </c>
      <c r="D1277" s="1" t="n">
        <v>45526</v>
      </c>
      <c r="E1277" s="1" t="n">
        <v>46310</v>
      </c>
      <c r="F1277" t="inlineStr">
        <is>
          <t>VÄSTERNORRLANDS LÄN</t>
        </is>
      </c>
      <c r="G1277" t="inlineStr">
        <is>
          <t>ÅNGE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13091-2024</t>
        </is>
      </c>
      <c r="B1278" t="inlineStr">
        <is>
          <t>avverkningsanmälan</t>
        </is>
      </c>
      <c r="C1278" t="inlineStr">
        <is>
          <t>Föryngringsavverkning</t>
        </is>
      </c>
      <c r="D1278" s="1" t="n">
        <v>45385</v>
      </c>
      <c r="E1278" s="1" t="n">
        <v>46310</v>
      </c>
      <c r="F1278" t="inlineStr">
        <is>
          <t>VÄSTERNORRLANDS LÄN</t>
        </is>
      </c>
      <c r="G1278" t="inlineStr">
        <is>
          <t>ÅNGE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50419-2022</t>
        </is>
      </c>
      <c r="B1279" t="inlineStr">
        <is>
          <t>avverkningsanmälan</t>
        </is>
      </c>
      <c r="C1279" t="inlineStr">
        <is>
          <t>Föryngringsavverkning</t>
        </is>
      </c>
      <c r="D1279" s="1" t="n">
        <v>44861</v>
      </c>
      <c r="E1279" s="1" t="n">
        <v>46310</v>
      </c>
      <c r="F1279" t="inlineStr">
        <is>
          <t>VÄSTERNORRLANDS LÄN</t>
        </is>
      </c>
      <c r="G1279" t="inlineStr">
        <is>
          <t>ÅNGE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27618-2026</t>
        </is>
      </c>
      <c r="B1280" t="inlineStr">
        <is>
          <t>avverkningsanmälan</t>
        </is>
      </c>
      <c r="C1280" t="inlineStr">
        <is>
          <t>Föryngringsavverkning</t>
        </is>
      </c>
      <c r="D1280" s="1" t="n">
        <v>46190</v>
      </c>
      <c r="E1280" s="1" t="n">
        <v>46310</v>
      </c>
      <c r="F1280" t="inlineStr">
        <is>
          <t>VÄSTERNORRLANDS LÄN</t>
        </is>
      </c>
      <c r="G1280" t="inlineStr">
        <is>
          <t>ÅNGE</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11088-2024</t>
        </is>
      </c>
      <c r="B1281" t="inlineStr">
        <is>
          <t>avverkningsanmälan</t>
        </is>
      </c>
      <c r="C1281" t="inlineStr">
        <is>
          <t>Föryngringsavverkning</t>
        </is>
      </c>
      <c r="D1281" s="1" t="n">
        <v>45370</v>
      </c>
      <c r="E1281" s="1" t="n">
        <v>46310</v>
      </c>
      <c r="F1281" t="inlineStr">
        <is>
          <t>VÄSTERNORRLANDS LÄN</t>
        </is>
      </c>
      <c r="G1281" t="inlineStr">
        <is>
          <t>ÅNGE</t>
        </is>
      </c>
      <c r="H1281" t="inlineStr">
        <is>
          <t>SCA</t>
        </is>
      </c>
      <c r="I1281" t="n">
        <v>9.300000000000001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13773-2024</t>
        </is>
      </c>
      <c r="B1282" t="inlineStr">
        <is>
          <t>avverkningsanmälan</t>
        </is>
      </c>
      <c r="C1282" t="inlineStr">
        <is>
          <t>Föryngringsavverkning</t>
        </is>
      </c>
      <c r="D1282" s="1" t="n">
        <v>45390</v>
      </c>
      <c r="E1282" s="1" t="n">
        <v>46310</v>
      </c>
      <c r="F1282" t="inlineStr">
        <is>
          <t>VÄSTERNORRLANDS LÄN</t>
        </is>
      </c>
      <c r="G1282" t="inlineStr">
        <is>
          <t>ÅNGE</t>
        </is>
      </c>
      <c r="H1282" t="inlineStr">
        <is>
          <t>SCA</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39142-2026</t>
        </is>
      </c>
      <c r="B1283" t="inlineStr">
        <is>
          <t>avverkningsanmälan</t>
        </is>
      </c>
      <c r="C1283" t="inlineStr">
        <is>
          <t>Föryngringsavverkning</t>
        </is>
      </c>
      <c r="D1283" s="1" t="n">
        <v>46287</v>
      </c>
      <c r="E1283" s="1" t="n">
        <v>46310</v>
      </c>
      <c r="F1283" t="inlineStr">
        <is>
          <t>VÄSTERNORRLANDS LÄN</t>
        </is>
      </c>
      <c r="G1283" t="inlineStr">
        <is>
          <t>ÅNGE</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32856-2026</t>
        </is>
      </c>
      <c r="B1284" t="inlineStr">
        <is>
          <t>avverkningsanmälan</t>
        </is>
      </c>
      <c r="C1284" t="inlineStr">
        <is>
          <t>Föryngringsavverkning</t>
        </is>
      </c>
      <c r="D1284" s="1" t="n">
        <v>46244</v>
      </c>
      <c r="E1284" s="1" t="n">
        <v>46310</v>
      </c>
      <c r="F1284" t="inlineStr">
        <is>
          <t>VÄSTERNORRLANDS LÄN</t>
        </is>
      </c>
      <c r="G1284" t="inlineStr">
        <is>
          <t>ÅNGE</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39121-2026</t>
        </is>
      </c>
      <c r="B1285" t="inlineStr">
        <is>
          <t>avverkningsanmälan</t>
        </is>
      </c>
      <c r="C1285" t="inlineStr">
        <is>
          <t>Föryngringsavverkning</t>
        </is>
      </c>
      <c r="D1285" s="1" t="n">
        <v>46287</v>
      </c>
      <c r="E1285" s="1" t="n">
        <v>46310</v>
      </c>
      <c r="F1285" t="inlineStr">
        <is>
          <t>VÄSTERNORRLANDS LÄN</t>
        </is>
      </c>
      <c r="G1285" t="inlineStr">
        <is>
          <t>ÅNGE</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20172-2026</t>
        </is>
      </c>
      <c r="B1286" t="inlineStr">
        <is>
          <t>avverkningsanmälan</t>
        </is>
      </c>
      <c r="C1286" t="inlineStr">
        <is>
          <t>Föryngringsavverkning</t>
        </is>
      </c>
      <c r="D1286" s="1" t="n">
        <v>46139</v>
      </c>
      <c r="E1286" s="1" t="n">
        <v>46310</v>
      </c>
      <c r="F1286" t="inlineStr">
        <is>
          <t>VÄSTERNORRLANDS LÄN</t>
        </is>
      </c>
      <c r="G1286" t="inlineStr">
        <is>
          <t>ÅNGE</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32958-2026</t>
        </is>
      </c>
      <c r="B1287" t="inlineStr">
        <is>
          <t>avverkningsanmälan</t>
        </is>
      </c>
      <c r="C1287" t="inlineStr">
        <is>
          <t>Föryngringsavverkning</t>
        </is>
      </c>
      <c r="D1287" s="1" t="n">
        <v>46244</v>
      </c>
      <c r="E1287" s="1" t="n">
        <v>46310</v>
      </c>
      <c r="F1287" t="inlineStr">
        <is>
          <t>VÄSTERNORRLANDS LÄN</t>
        </is>
      </c>
      <c r="G1287" t="inlineStr">
        <is>
          <t>ÅNGE</t>
        </is>
      </c>
      <c r="H1287" t="inlineStr">
        <is>
          <t>SCA</t>
        </is>
      </c>
      <c r="I1287" t="n">
        <v>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33156-2026</t>
        </is>
      </c>
      <c r="B1288" t="inlineStr">
        <is>
          <t>avverkningsanmälan</t>
        </is>
      </c>
      <c r="C1288" t="inlineStr">
        <is>
          <t>Föryngringsavverkning</t>
        </is>
      </c>
      <c r="D1288" s="1" t="n">
        <v>46244</v>
      </c>
      <c r="E1288" s="1" t="n">
        <v>46310</v>
      </c>
      <c r="F1288" t="inlineStr">
        <is>
          <t>VÄSTERNORRLANDS LÄN</t>
        </is>
      </c>
      <c r="G1288" t="inlineStr">
        <is>
          <t>ÅNGE</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39127-2026</t>
        </is>
      </c>
      <c r="B1289" t="inlineStr">
        <is>
          <t>avverkningsanmälan</t>
        </is>
      </c>
      <c r="C1289" t="inlineStr">
        <is>
          <t>Föryngringsavverkning</t>
        </is>
      </c>
      <c r="D1289" s="1" t="n">
        <v>46287</v>
      </c>
      <c r="E1289" s="1" t="n">
        <v>46310</v>
      </c>
      <c r="F1289" t="inlineStr">
        <is>
          <t>VÄSTERNORRLANDS LÄN</t>
        </is>
      </c>
      <c r="G1289" t="inlineStr">
        <is>
          <t>ÅNGE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54210-2024</t>
        </is>
      </c>
      <c r="B1290" t="inlineStr">
        <is>
          <t>avverkningsanmälan</t>
        </is>
      </c>
      <c r="C1290" t="inlineStr">
        <is>
          <t>Föryngringsavverkning</t>
        </is>
      </c>
      <c r="D1290" s="1" t="n">
        <v>45616</v>
      </c>
      <c r="E1290" s="1" t="n">
        <v>46310</v>
      </c>
      <c r="F1290" t="inlineStr">
        <is>
          <t>VÄSTERNORRLANDS LÄN</t>
        </is>
      </c>
      <c r="G1290" t="inlineStr">
        <is>
          <t>ÅNGE</t>
        </is>
      </c>
      <c r="H1290" t="inlineStr">
        <is>
          <t>SCA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39351-2026</t>
        </is>
      </c>
      <c r="B1291" t="inlineStr">
        <is>
          <t>avverkningsanmälan</t>
        </is>
      </c>
      <c r="C1291" t="inlineStr">
        <is>
          <t>Föryngringsavverkning</t>
        </is>
      </c>
      <c r="D1291" s="1" t="n">
        <v>46288</v>
      </c>
      <c r="E1291" s="1" t="n">
        <v>46310</v>
      </c>
      <c r="F1291" t="inlineStr">
        <is>
          <t>VÄSTERNORRLANDS LÄN</t>
        </is>
      </c>
      <c r="G1291" t="inlineStr">
        <is>
          <t>ÅNGE</t>
        </is>
      </c>
      <c r="H1291" t="inlineStr">
        <is>
          <t>Kyrkan</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33135-2026</t>
        </is>
      </c>
      <c r="B1292" t="inlineStr">
        <is>
          <t>avverkningsanmälan</t>
        </is>
      </c>
      <c r="C1292" t="inlineStr">
        <is>
          <t>Föryngringsavverkning</t>
        </is>
      </c>
      <c r="D1292" s="1" t="n">
        <v>46245</v>
      </c>
      <c r="E1292" s="1" t="n">
        <v>46310</v>
      </c>
      <c r="F1292" t="inlineStr">
        <is>
          <t>VÄSTERNORRLANDS LÄN</t>
        </is>
      </c>
      <c r="G1292" t="inlineStr">
        <is>
          <t>ÅNGE</t>
        </is>
      </c>
      <c r="H1292" t="inlineStr">
        <is>
          <t>SCA</t>
        </is>
      </c>
      <c r="I1292" t="n">
        <v>7.2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5602-2025</t>
        </is>
      </c>
      <c r="B1293" t="inlineStr">
        <is>
          <t>avverkningsanmälan</t>
        </is>
      </c>
      <c r="C1293" t="inlineStr">
        <is>
          <t>Föryngringsavverkning</t>
        </is>
      </c>
      <c r="D1293" s="1" t="n">
        <v>45693</v>
      </c>
      <c r="E1293" s="1" t="n">
        <v>46310</v>
      </c>
      <c r="F1293" t="inlineStr">
        <is>
          <t>VÄSTERNORRLANDS LÄN</t>
        </is>
      </c>
      <c r="G1293" t="inlineStr">
        <is>
          <t>ÅNGE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39541-2026</t>
        </is>
      </c>
      <c r="B1294" t="inlineStr">
        <is>
          <t>avverkningsanmälan</t>
        </is>
      </c>
      <c r="C1294" t="inlineStr">
        <is>
          <t>Föryngringsavverkning</t>
        </is>
      </c>
      <c r="D1294" s="1" t="n">
        <v>46289</v>
      </c>
      <c r="E1294" s="1" t="n">
        <v>46310</v>
      </c>
      <c r="F1294" t="inlineStr">
        <is>
          <t>VÄSTERNORRLANDS LÄN</t>
        </is>
      </c>
      <c r="G1294" t="inlineStr">
        <is>
          <t>ÅNGE</t>
        </is>
      </c>
      <c r="I1294" t="n">
        <v>11.8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39543-2026</t>
        </is>
      </c>
      <c r="B1295" t="inlineStr">
        <is>
          <t>avverkningsanmälan</t>
        </is>
      </c>
      <c r="C1295" t="inlineStr">
        <is>
          <t>Föryngringsavverkning</t>
        </is>
      </c>
      <c r="D1295" s="1" t="n">
        <v>46289</v>
      </c>
      <c r="E1295" s="1" t="n">
        <v>46310</v>
      </c>
      <c r="F1295" t="inlineStr">
        <is>
          <t>VÄSTERNORRLANDS LÄN</t>
        </is>
      </c>
      <c r="G1295" t="inlineStr">
        <is>
          <t>ÅNGE</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60578-2024</t>
        </is>
      </c>
      <c r="B1296" t="inlineStr">
        <is>
          <t>avverkningsanmälan</t>
        </is>
      </c>
      <c r="C1296" t="inlineStr">
        <is>
          <t>Avverkning för att bevara och utveckla /försöksver</t>
        </is>
      </c>
      <c r="D1296" s="1" t="n">
        <v>45644</v>
      </c>
      <c r="E1296" s="1" t="n">
        <v>46310</v>
      </c>
      <c r="F1296" t="inlineStr">
        <is>
          <t>VÄSTERNORRLANDS LÄN</t>
        </is>
      </c>
      <c r="G1296" t="inlineStr">
        <is>
          <t>ÅNGE</t>
        </is>
      </c>
      <c r="H1296" t="inlineStr">
        <is>
          <t>SCA</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39581-2026</t>
        </is>
      </c>
      <c r="B1297" t="inlineStr">
        <is>
          <t>avverkningsanmälan</t>
        </is>
      </c>
      <c r="C1297" t="inlineStr">
        <is>
          <t>Föryngringsavverkning</t>
        </is>
      </c>
      <c r="D1297" s="1" t="n">
        <v>46289</v>
      </c>
      <c r="E1297" s="1" t="n">
        <v>46310</v>
      </c>
      <c r="F1297" t="inlineStr">
        <is>
          <t>VÄSTERNORRLANDS LÄN</t>
        </is>
      </c>
      <c r="G1297" t="inlineStr">
        <is>
          <t>ÅNGE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33134-2026</t>
        </is>
      </c>
      <c r="B1298" t="inlineStr">
        <is>
          <t>avverkningsanmälan</t>
        </is>
      </c>
      <c r="C1298" t="inlineStr">
        <is>
          <t>Föryngringsavverkning</t>
        </is>
      </c>
      <c r="D1298" s="1" t="n">
        <v>46245</v>
      </c>
      <c r="E1298" s="1" t="n">
        <v>46310</v>
      </c>
      <c r="F1298" t="inlineStr">
        <is>
          <t>VÄSTERNORRLANDS LÄN</t>
        </is>
      </c>
      <c r="G1298" t="inlineStr">
        <is>
          <t>ÅNGE</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39327-2026</t>
        </is>
      </c>
      <c r="B1299" t="inlineStr">
        <is>
          <t>avverkningsanmälan</t>
        </is>
      </c>
      <c r="C1299" t="inlineStr">
        <is>
          <t>Föryngringsavverkning</t>
        </is>
      </c>
      <c r="D1299" s="1" t="n">
        <v>46288</v>
      </c>
      <c r="E1299" s="1" t="n">
        <v>46310</v>
      </c>
      <c r="F1299" t="inlineStr">
        <is>
          <t>VÄSTERNORRLANDS LÄN</t>
        </is>
      </c>
      <c r="G1299" t="inlineStr">
        <is>
          <t>ÅNGE</t>
        </is>
      </c>
      <c r="H1299" t="inlineStr">
        <is>
          <t>Kyrkan</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33302-2024</t>
        </is>
      </c>
      <c r="B1300" t="inlineStr">
        <is>
          <t>avverkningsanmälan</t>
        </is>
      </c>
      <c r="C1300" t="inlineStr">
        <is>
          <t>Föryngringsavverkning</t>
        </is>
      </c>
      <c r="D1300" s="1" t="n">
        <v>45518</v>
      </c>
      <c r="E1300" s="1" t="n">
        <v>46310</v>
      </c>
      <c r="F1300" t="inlineStr">
        <is>
          <t>VÄSTERNORRLANDS LÄN</t>
        </is>
      </c>
      <c r="G1300" t="inlineStr">
        <is>
          <t>ÅNGE</t>
        </is>
      </c>
      <c r="H1300" t="inlineStr">
        <is>
          <t>SCA</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16593-2023</t>
        </is>
      </c>
      <c r="B1301" t="inlineStr">
        <is>
          <t>avverkningsanmälan</t>
        </is>
      </c>
      <c r="C1301" t="inlineStr">
        <is>
          <t>Avverkning för annat ändamål</t>
        </is>
      </c>
      <c r="D1301" s="1" t="n">
        <v>45030</v>
      </c>
      <c r="E1301" s="1" t="n">
        <v>46310</v>
      </c>
      <c r="F1301" t="inlineStr">
        <is>
          <t>VÄSTERNORRLANDS LÄN</t>
        </is>
      </c>
      <c r="G1301" t="inlineStr">
        <is>
          <t>ÅNGE</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16600-2023</t>
        </is>
      </c>
      <c r="B1302" t="inlineStr">
        <is>
          <t>avverkningsanmälan</t>
        </is>
      </c>
      <c r="C1302" t="inlineStr">
        <is>
          <t>Avverkning för annat ändamål</t>
        </is>
      </c>
      <c r="D1302" s="1" t="n">
        <v>45030</v>
      </c>
      <c r="E1302" s="1" t="n">
        <v>46310</v>
      </c>
      <c r="F1302" t="inlineStr">
        <is>
          <t>VÄSTERNORRLANDS LÄN</t>
        </is>
      </c>
      <c r="G1302" t="inlineStr">
        <is>
          <t>ÅNGE</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39355-2026</t>
        </is>
      </c>
      <c r="B1303" t="inlineStr">
        <is>
          <t>avverkningsanmälan</t>
        </is>
      </c>
      <c r="C1303" t="inlineStr">
        <is>
          <t>Föryngringsavverkning</t>
        </is>
      </c>
      <c r="D1303" s="1" t="n">
        <v>46288</v>
      </c>
      <c r="E1303" s="1" t="n">
        <v>46310</v>
      </c>
      <c r="F1303" t="inlineStr">
        <is>
          <t>VÄSTERNORRLANDS LÄN</t>
        </is>
      </c>
      <c r="G1303" t="inlineStr">
        <is>
          <t>ÅNGE</t>
        </is>
      </c>
      <c r="H1303" t="inlineStr">
        <is>
          <t>Kyrkan</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10917-2024</t>
        </is>
      </c>
      <c r="B1304" t="inlineStr">
        <is>
          <t>avverkningsanmälan</t>
        </is>
      </c>
      <c r="C1304" t="inlineStr">
        <is>
          <t>Föryngringsavverkning</t>
        </is>
      </c>
      <c r="D1304" s="1" t="n">
        <v>45370</v>
      </c>
      <c r="E1304" s="1" t="n">
        <v>46310</v>
      </c>
      <c r="F1304" t="inlineStr">
        <is>
          <t>VÄSTERNORRLANDS LÄN</t>
        </is>
      </c>
      <c r="G1304" t="inlineStr">
        <is>
          <t>ÅNGE</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39513-2026</t>
        </is>
      </c>
      <c r="B1305" t="inlineStr">
        <is>
          <t>avverkningsanmälan</t>
        </is>
      </c>
      <c r="C1305" t="inlineStr">
        <is>
          <t>Föryngringsavverkning</t>
        </is>
      </c>
      <c r="D1305" s="1" t="n">
        <v>46289</v>
      </c>
      <c r="E1305" s="1" t="n">
        <v>46310</v>
      </c>
      <c r="F1305" t="inlineStr">
        <is>
          <t>VÄSTERNORRLANDS LÄN</t>
        </is>
      </c>
      <c r="G1305" t="inlineStr">
        <is>
          <t>ÅNGE</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39512-2026</t>
        </is>
      </c>
      <c r="B1306" t="inlineStr">
        <is>
          <t>avverkningsanmälan</t>
        </is>
      </c>
      <c r="C1306" t="inlineStr">
        <is>
          <t>Föryngringsavverkning</t>
        </is>
      </c>
      <c r="D1306" s="1" t="n">
        <v>46289</v>
      </c>
      <c r="E1306" s="1" t="n">
        <v>46310</v>
      </c>
      <c r="F1306" t="inlineStr">
        <is>
          <t>VÄSTERNORRLANDS LÄN</t>
        </is>
      </c>
      <c r="G1306" t="inlineStr">
        <is>
          <t>ÅNGE</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39670-2026</t>
        </is>
      </c>
      <c r="B1307" t="inlineStr">
        <is>
          <t>avverkningsanmälan</t>
        </is>
      </c>
      <c r="C1307" t="inlineStr">
        <is>
          <t>Föryngringsavverkning</t>
        </is>
      </c>
      <c r="D1307" s="1" t="n">
        <v>46289</v>
      </c>
      <c r="E1307" s="1" t="n">
        <v>46310</v>
      </c>
      <c r="F1307" t="inlineStr">
        <is>
          <t>VÄSTERNORRLANDS LÄN</t>
        </is>
      </c>
      <c r="G1307" t="inlineStr">
        <is>
          <t>ÅNGE</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3022-2023</t>
        </is>
      </c>
      <c r="B1308" t="inlineStr">
        <is>
          <t>avverkningsanmälan</t>
        </is>
      </c>
      <c r="C1308" t="inlineStr">
        <is>
          <t>Avverkning för att bevara och utveckla /försöksver</t>
        </is>
      </c>
      <c r="D1308" s="1" t="n">
        <v>44945</v>
      </c>
      <c r="E1308" s="1" t="n">
        <v>46310</v>
      </c>
      <c r="F1308" t="inlineStr">
        <is>
          <t>VÄSTERNORRLANDS LÄN</t>
        </is>
      </c>
      <c r="G1308" t="inlineStr">
        <is>
          <t>ÅNGE</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33302-2026</t>
        </is>
      </c>
      <c r="B1309" t="inlineStr">
        <is>
          <t>avverkningsanmälan</t>
        </is>
      </c>
      <c r="C1309" t="inlineStr">
        <is>
          <t>Föryngringsavverkning</t>
        </is>
      </c>
      <c r="D1309" s="1" t="n">
        <v>46246</v>
      </c>
      <c r="E1309" s="1" t="n">
        <v>46310</v>
      </c>
      <c r="F1309" t="inlineStr">
        <is>
          <t>VÄSTERNORRLANDS LÄN</t>
        </is>
      </c>
      <c r="G1309" t="inlineStr">
        <is>
          <t>ÅNGE</t>
        </is>
      </c>
      <c r="H1309" t="inlineStr">
        <is>
          <t>SCA</t>
        </is>
      </c>
      <c r="I1309" t="n">
        <v>21.5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34491-2023</t>
        </is>
      </c>
      <c r="B1310" t="inlineStr">
        <is>
          <t>avverkningsanmälan</t>
        </is>
      </c>
      <c r="C1310" t="inlineStr">
        <is>
          <t>Föryngringsavverkning</t>
        </is>
      </c>
      <c r="D1310" s="1" t="n">
        <v>45139</v>
      </c>
      <c r="E1310" s="1" t="n">
        <v>46310</v>
      </c>
      <c r="F1310" t="inlineStr">
        <is>
          <t>VÄSTERNORRLANDS LÄN</t>
        </is>
      </c>
      <c r="G1310" t="inlineStr">
        <is>
          <t>ÅNGE</t>
        </is>
      </c>
      <c r="H1310" t="inlineStr">
        <is>
          <t>SCA</t>
        </is>
      </c>
      <c r="I1310" t="n">
        <v>4.8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3947-2025</t>
        </is>
      </c>
      <c r="B1311" t="inlineStr">
        <is>
          <t>avverkningsanmälan</t>
        </is>
      </c>
      <c r="C1311" t="inlineStr">
        <is>
          <t>Föryngringsavverkning</t>
        </is>
      </c>
      <c r="D1311" s="1" t="n">
        <v>45684</v>
      </c>
      <c r="E1311" s="1" t="n">
        <v>46310</v>
      </c>
      <c r="F1311" t="inlineStr">
        <is>
          <t>VÄSTERNORRLANDS LÄN</t>
        </is>
      </c>
      <c r="G1311" t="inlineStr">
        <is>
          <t>ÅNGE</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39894-2026</t>
        </is>
      </c>
      <c r="B1312" t="inlineStr">
        <is>
          <t>avverkningsanmälan</t>
        </is>
      </c>
      <c r="C1312" t="inlineStr">
        <is>
          <t>Avverkning för annat ändamål</t>
        </is>
      </c>
      <c r="D1312" s="1" t="n">
        <v>46290</v>
      </c>
      <c r="E1312" s="1" t="n">
        <v>46310</v>
      </c>
      <c r="F1312" t="inlineStr">
        <is>
          <t>VÄSTERNORRLANDS LÄN</t>
        </is>
      </c>
      <c r="G1312" t="inlineStr">
        <is>
          <t>ÅNGE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65633-2021</t>
        </is>
      </c>
      <c r="B1313" t="inlineStr">
        <is>
          <t>avverkningsanmälan</t>
        </is>
      </c>
      <c r="C1313" t="inlineStr">
        <is>
          <t>Föryngringsavverkning</t>
        </is>
      </c>
      <c r="D1313" s="1" t="n">
        <v>44516</v>
      </c>
      <c r="E1313" s="1" t="n">
        <v>46310</v>
      </c>
      <c r="F1313" t="inlineStr">
        <is>
          <t>VÄSTERNORRLANDS LÄN</t>
        </is>
      </c>
      <c r="G1313" t="inlineStr">
        <is>
          <t>ÅNGE</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40048-2026</t>
        </is>
      </c>
      <c r="B1314" t="inlineStr">
        <is>
          <t>avverkningsanmälan</t>
        </is>
      </c>
      <c r="C1314" t="inlineStr">
        <is>
          <t>Föryngringsavverkning</t>
        </is>
      </c>
      <c r="D1314" s="1" t="n">
        <v>46293</v>
      </c>
      <c r="E1314" s="1" t="n">
        <v>46310</v>
      </c>
      <c r="F1314" t="inlineStr">
        <is>
          <t>VÄSTERNORRLANDS LÄN</t>
        </is>
      </c>
      <c r="G1314" t="inlineStr">
        <is>
          <t>ÅNGE</t>
        </is>
      </c>
      <c r="H1314" t="inlineStr">
        <is>
          <t>SCA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32311-2026</t>
        </is>
      </c>
      <c r="B1315" t="inlineStr">
        <is>
          <t>avverkningsanmälan</t>
        </is>
      </c>
      <c r="C1315" t="inlineStr">
        <is>
          <t>Föryngringsavverkning</t>
        </is>
      </c>
      <c r="D1315" s="1" t="n">
        <v>46237</v>
      </c>
      <c r="E1315" s="1" t="n">
        <v>46310</v>
      </c>
      <c r="F1315" t="inlineStr">
        <is>
          <t>VÄSTERNORRLANDS LÄN</t>
        </is>
      </c>
      <c r="G1315" t="inlineStr">
        <is>
          <t>ÅNGE</t>
        </is>
      </c>
      <c r="H1315" t="inlineStr">
        <is>
          <t>Sveaskog</t>
        </is>
      </c>
      <c r="I1315" t="n">
        <v>13.2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24063-2023</t>
        </is>
      </c>
      <c r="B1316" t="inlineStr">
        <is>
          <t>avverkningsanmälan</t>
        </is>
      </c>
      <c r="C1316" t="inlineStr">
        <is>
          <t>Föryngringsavverkning</t>
        </is>
      </c>
      <c r="D1316" s="1" t="n">
        <v>45078</v>
      </c>
      <c r="E1316" s="1" t="n">
        <v>46310</v>
      </c>
      <c r="F1316" t="inlineStr">
        <is>
          <t>VÄSTERNORRLANDS LÄN</t>
        </is>
      </c>
      <c r="G1316" t="inlineStr">
        <is>
          <t>ÅNGE</t>
        </is>
      </c>
      <c r="H1316" t="inlineStr">
        <is>
          <t>SCA</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40109-2026</t>
        </is>
      </c>
      <c r="B1317" t="inlineStr">
        <is>
          <t>avverkningsanmälan</t>
        </is>
      </c>
      <c r="C1317" t="inlineStr">
        <is>
          <t>Avverkning för annat ändamål</t>
        </is>
      </c>
      <c r="D1317" s="1" t="n">
        <v>46293</v>
      </c>
      <c r="E1317" s="1" t="n">
        <v>46310</v>
      </c>
      <c r="F1317" t="inlineStr">
        <is>
          <t>VÄSTERNORRLANDS LÄN</t>
        </is>
      </c>
      <c r="G1317" t="inlineStr">
        <is>
          <t>ÅNGE</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39816-2026</t>
        </is>
      </c>
      <c r="B1318" t="inlineStr">
        <is>
          <t>avverkningsanmälan</t>
        </is>
      </c>
      <c r="C1318" t="inlineStr">
        <is>
          <t>Avverkning för annat ändamål</t>
        </is>
      </c>
      <c r="D1318" s="1" t="n">
        <v>46290</v>
      </c>
      <c r="E1318" s="1" t="n">
        <v>46310</v>
      </c>
      <c r="F1318" t="inlineStr">
        <is>
          <t>VÄSTERNORRLANDS LÄN</t>
        </is>
      </c>
      <c r="G1318" t="inlineStr">
        <is>
          <t>ÅNGE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33358-2026</t>
        </is>
      </c>
      <c r="B1319" t="inlineStr">
        <is>
          <t>avverkningsanmälan</t>
        </is>
      </c>
      <c r="C1319" t="inlineStr">
        <is>
          <t>Föryngringsavverkning</t>
        </is>
      </c>
      <c r="D1319" s="1" t="n">
        <v>46247</v>
      </c>
      <c r="E1319" s="1" t="n">
        <v>46310</v>
      </c>
      <c r="F1319" t="inlineStr">
        <is>
          <t>VÄSTERNORRLANDS LÄN</t>
        </is>
      </c>
      <c r="G1319" t="inlineStr">
        <is>
          <t>ÅNGE</t>
        </is>
      </c>
      <c r="H1319" t="inlineStr">
        <is>
          <t>SCA</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33379-2026</t>
        </is>
      </c>
      <c r="B1320" t="inlineStr">
        <is>
          <t>avverkningsanmälan</t>
        </is>
      </c>
      <c r="C1320" t="inlineStr">
        <is>
          <t>Föryngringsavverkning</t>
        </is>
      </c>
      <c r="D1320" s="1" t="n">
        <v>46247</v>
      </c>
      <c r="E1320" s="1" t="n">
        <v>46310</v>
      </c>
      <c r="F1320" t="inlineStr">
        <is>
          <t>VÄSTERNORRLANDS LÄN</t>
        </is>
      </c>
      <c r="G1320" t="inlineStr">
        <is>
          <t>ÅNGE</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40096-2026</t>
        </is>
      </c>
      <c r="B1321" t="inlineStr">
        <is>
          <t>avverkningsanmälan</t>
        </is>
      </c>
      <c r="C1321" t="inlineStr">
        <is>
          <t>Föryngringsavverkning</t>
        </is>
      </c>
      <c r="D1321" s="1" t="n">
        <v>46293</v>
      </c>
      <c r="E1321" s="1" t="n">
        <v>46310</v>
      </c>
      <c r="F1321" t="inlineStr">
        <is>
          <t>VÄSTERNORRLANDS LÄN</t>
        </is>
      </c>
      <c r="G1321" t="inlineStr">
        <is>
          <t>ÅNGE</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19817-2026</t>
        </is>
      </c>
      <c r="B1322" t="inlineStr">
        <is>
          <t>avverkningsanmälan</t>
        </is>
      </c>
      <c r="C1322" t="inlineStr">
        <is>
          <t>Föryngringsavverkning</t>
        </is>
      </c>
      <c r="D1322" s="1" t="n">
        <v>46135</v>
      </c>
      <c r="E1322" s="1" t="n">
        <v>46310</v>
      </c>
      <c r="F1322" t="inlineStr">
        <is>
          <t>VÄSTERNORRLANDS LÄN</t>
        </is>
      </c>
      <c r="G1322" t="inlineStr">
        <is>
          <t>ÅNGE</t>
        </is>
      </c>
      <c r="H1322" t="inlineStr">
        <is>
          <t>SCA</t>
        </is>
      </c>
      <c r="I1322" t="n">
        <v>11.2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39874-2026</t>
        </is>
      </c>
      <c r="B1323" t="inlineStr">
        <is>
          <t>avverkningsanmälan</t>
        </is>
      </c>
      <c r="C1323" t="inlineStr">
        <is>
          <t>Avverkning för annat ändamål</t>
        </is>
      </c>
      <c r="D1323" s="1" t="n">
        <v>46290</v>
      </c>
      <c r="E1323" s="1" t="n">
        <v>46310</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49711-2024</t>
        </is>
      </c>
      <c r="B1324" t="inlineStr">
        <is>
          <t>avverkningsanmälan</t>
        </is>
      </c>
      <c r="C1324" t="inlineStr">
        <is>
          <t>Föryngringsavverkning</t>
        </is>
      </c>
      <c r="D1324" s="1" t="n">
        <v>45596</v>
      </c>
      <c r="E1324" s="1" t="n">
        <v>46310</v>
      </c>
      <c r="F1324" t="inlineStr">
        <is>
          <t>VÄSTERNORRLANDS LÄN</t>
        </is>
      </c>
      <c r="G1324" t="inlineStr">
        <is>
          <t>ÅNGE</t>
        </is>
      </c>
      <c r="H1324" t="inlineStr">
        <is>
          <t>SCA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33380-2026</t>
        </is>
      </c>
      <c r="B1325" t="inlineStr">
        <is>
          <t>avverkningsanmälan</t>
        </is>
      </c>
      <c r="C1325" t="inlineStr">
        <is>
          <t>Föryngringsavverkning</t>
        </is>
      </c>
      <c r="D1325" s="1" t="n">
        <v>46247</v>
      </c>
      <c r="E1325" s="1" t="n">
        <v>46310</v>
      </c>
      <c r="F1325" t="inlineStr">
        <is>
          <t>VÄSTERNORRLANDS LÄN</t>
        </is>
      </c>
      <c r="G1325" t="inlineStr">
        <is>
          <t>ÅNGE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3323-2023</t>
        </is>
      </c>
      <c r="B1326" t="inlineStr">
        <is>
          <t>avverkningsanmälan</t>
        </is>
      </c>
      <c r="C1326" t="inlineStr">
        <is>
          <t>Föryngringsavverkning</t>
        </is>
      </c>
      <c r="D1326" s="1" t="n">
        <v>44945</v>
      </c>
      <c r="E1326" s="1" t="n">
        <v>46310</v>
      </c>
      <c r="F1326" t="inlineStr">
        <is>
          <t>VÄSTERNORRLANDS LÄN</t>
        </is>
      </c>
      <c r="G1326" t="inlineStr">
        <is>
          <t>ÅNGE</t>
        </is>
      </c>
      <c r="I1326" t="n">
        <v>9.699999999999999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33684-2026</t>
        </is>
      </c>
      <c r="B1327" t="inlineStr">
        <is>
          <t>avverkningsanmälan</t>
        </is>
      </c>
      <c r="C1327" t="inlineStr">
        <is>
          <t>Avverkning för annat ändamål</t>
        </is>
      </c>
      <c r="D1327" s="1" t="n">
        <v>46248</v>
      </c>
      <c r="E1327" s="1" t="n">
        <v>46310</v>
      </c>
      <c r="F1327" t="inlineStr">
        <is>
          <t>VÄSTERNORRLANDS LÄN</t>
        </is>
      </c>
      <c r="G1327" t="inlineStr">
        <is>
          <t>ÅNGE</t>
        </is>
      </c>
      <c r="H1327" t="inlineStr">
        <is>
          <t>SCA</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1711-2025</t>
        </is>
      </c>
      <c r="B1328" t="inlineStr">
        <is>
          <t>avverkningsanmälan</t>
        </is>
      </c>
      <c r="C1328" t="inlineStr">
        <is>
          <t>Föryngringsavverkning</t>
        </is>
      </c>
      <c r="D1328" s="1" t="n">
        <v>45671</v>
      </c>
      <c r="E1328" s="1" t="n">
        <v>46310</v>
      </c>
      <c r="F1328" t="inlineStr">
        <is>
          <t>VÄSTERNORRLANDS LÄN</t>
        </is>
      </c>
      <c r="G1328" t="inlineStr">
        <is>
          <t>ÅNGE</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1714-2025</t>
        </is>
      </c>
      <c r="B1329" t="inlineStr">
        <is>
          <t>avverkningsanmälan</t>
        </is>
      </c>
      <c r="C1329" t="inlineStr">
        <is>
          <t>Föryngringsavverkning</t>
        </is>
      </c>
      <c r="D1329" s="1" t="n">
        <v>45671</v>
      </c>
      <c r="E1329" s="1" t="n">
        <v>46310</v>
      </c>
      <c r="F1329" t="inlineStr">
        <is>
          <t>VÄSTERNORRLANDS LÄN</t>
        </is>
      </c>
      <c r="G1329" t="inlineStr">
        <is>
          <t>ÅNGE</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40047-2026</t>
        </is>
      </c>
      <c r="B1330" t="inlineStr">
        <is>
          <t>avverkningsanmälan</t>
        </is>
      </c>
      <c r="C1330" t="inlineStr">
        <is>
          <t>Föryngringsavverkning</t>
        </is>
      </c>
      <c r="D1330" s="1" t="n">
        <v>46293</v>
      </c>
      <c r="E1330" s="1" t="n">
        <v>46310</v>
      </c>
      <c r="F1330" t="inlineStr">
        <is>
          <t>VÄSTERNORRLANDS LÄN</t>
        </is>
      </c>
      <c r="G1330" t="inlineStr">
        <is>
          <t>ÅNGE</t>
        </is>
      </c>
      <c r="H1330" t="inlineStr">
        <is>
          <t>SCA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31866-2024</t>
        </is>
      </c>
      <c r="B1331" t="inlineStr">
        <is>
          <t>avverkningsanmälan</t>
        </is>
      </c>
      <c r="C1331" t="inlineStr">
        <is>
          <t>Föryngringsavverkning</t>
        </is>
      </c>
      <c r="D1331" s="1" t="n">
        <v>45509</v>
      </c>
      <c r="E1331" s="1" t="n">
        <v>46310</v>
      </c>
      <c r="F1331" t="inlineStr">
        <is>
          <t>VÄSTERNORRLANDS LÄN</t>
        </is>
      </c>
      <c r="G1331" t="inlineStr">
        <is>
          <t>ÅNGE</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31867-2024</t>
        </is>
      </c>
      <c r="B1332" t="inlineStr">
        <is>
          <t>avverkningsanmälan</t>
        </is>
      </c>
      <c r="C1332" t="inlineStr">
        <is>
          <t>Föryngringsavverkning</t>
        </is>
      </c>
      <c r="D1332" s="1" t="n">
        <v>45509</v>
      </c>
      <c r="E1332" s="1" t="n">
        <v>46310</v>
      </c>
      <c r="F1332" t="inlineStr">
        <is>
          <t>VÄSTERNORRLANDS LÄN</t>
        </is>
      </c>
      <c r="G1332" t="inlineStr">
        <is>
          <t>ÅNGE</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33428-2023</t>
        </is>
      </c>
      <c r="B1333" t="inlineStr">
        <is>
          <t>avverkningsanmälan</t>
        </is>
      </c>
      <c r="C1333" t="inlineStr">
        <is>
          <t>Föryngringsavverkning</t>
        </is>
      </c>
      <c r="D1333" s="1" t="n">
        <v>45128</v>
      </c>
      <c r="E1333" s="1" t="n">
        <v>46310</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39887-2026</t>
        </is>
      </c>
      <c r="B1334" t="inlineStr">
        <is>
          <t>avverkningsanmälan</t>
        </is>
      </c>
      <c r="C1334" t="inlineStr">
        <is>
          <t>Avverkning för annat ändamål</t>
        </is>
      </c>
      <c r="D1334" s="1" t="n">
        <v>46290</v>
      </c>
      <c r="E1334" s="1" t="n">
        <v>46310</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6610-2025</t>
        </is>
      </c>
      <c r="B1335" t="inlineStr">
        <is>
          <t>avverkningsanmälan</t>
        </is>
      </c>
      <c r="C1335" t="inlineStr">
        <is>
          <t>Föryngringsavverkning</t>
        </is>
      </c>
      <c r="D1335" s="1" t="n">
        <v>45700</v>
      </c>
      <c r="E1335" s="1" t="n">
        <v>46310</v>
      </c>
      <c r="F1335" t="inlineStr">
        <is>
          <t>VÄSTERNORRLANDS LÄN</t>
        </is>
      </c>
      <c r="G1335" t="inlineStr">
        <is>
          <t>ÅNGE</t>
        </is>
      </c>
      <c r="H1335" t="inlineStr">
        <is>
          <t>SCA</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33369-2026</t>
        </is>
      </c>
      <c r="B1336" t="inlineStr">
        <is>
          <t>avverkningsanmälan</t>
        </is>
      </c>
      <c r="C1336" t="inlineStr">
        <is>
          <t>Föryngringsavverkning</t>
        </is>
      </c>
      <c r="D1336" s="1" t="n">
        <v>46247</v>
      </c>
      <c r="E1336" s="1" t="n">
        <v>46310</v>
      </c>
      <c r="F1336" t="inlineStr">
        <is>
          <t>VÄSTERNORRLANDS LÄN</t>
        </is>
      </c>
      <c r="G1336" t="inlineStr">
        <is>
          <t>ÅNGE</t>
        </is>
      </c>
      <c r="H1336" t="inlineStr">
        <is>
          <t>SCA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58997-2023</t>
        </is>
      </c>
      <c r="B1337" t="inlineStr">
        <is>
          <t>avverkningsanmälan</t>
        </is>
      </c>
      <c r="C1337" t="inlineStr">
        <is>
          <t>Föryngringsavverkning</t>
        </is>
      </c>
      <c r="D1337" s="1" t="n">
        <v>45252</v>
      </c>
      <c r="E1337" s="1" t="n">
        <v>46310</v>
      </c>
      <c r="F1337" t="inlineStr">
        <is>
          <t>VÄSTERNORRLANDS LÄN</t>
        </is>
      </c>
      <c r="G1337" t="inlineStr">
        <is>
          <t>ÅNGE</t>
        </is>
      </c>
      <c r="H1337" t="inlineStr">
        <is>
          <t>Övriga Aktiebolag</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44639-2023</t>
        </is>
      </c>
      <c r="B1338" t="inlineStr">
        <is>
          <t>avverkningsanmälan</t>
        </is>
      </c>
      <c r="C1338" t="inlineStr">
        <is>
          <t>Föryngringsavverkning</t>
        </is>
      </c>
      <c r="D1338" s="1" t="n">
        <v>45184</v>
      </c>
      <c r="E1338" s="1" t="n">
        <v>46310</v>
      </c>
      <c r="F1338" t="inlineStr">
        <is>
          <t>VÄSTERNORRLANDS LÄN</t>
        </is>
      </c>
      <c r="G1338" t="inlineStr">
        <is>
          <t>ÅNGE</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1735-2025</t>
        </is>
      </c>
      <c r="B1339" t="inlineStr">
        <is>
          <t>avverkningsanmälan</t>
        </is>
      </c>
      <c r="C1339" t="inlineStr">
        <is>
          <t>Föryngringsavverkning</t>
        </is>
      </c>
      <c r="D1339" s="1" t="n">
        <v>45671</v>
      </c>
      <c r="E1339" s="1" t="n">
        <v>46310</v>
      </c>
      <c r="F1339" t="inlineStr">
        <is>
          <t>VÄSTERNORRLANDS LÄN</t>
        </is>
      </c>
      <c r="G1339" t="inlineStr">
        <is>
          <t>ÅNGE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39906-2026</t>
        </is>
      </c>
      <c r="B1340" t="inlineStr">
        <is>
          <t>avverkningsanmälan</t>
        </is>
      </c>
      <c r="C1340" t="inlineStr">
        <is>
          <t>Föryngringsavverkning</t>
        </is>
      </c>
      <c r="D1340" s="1" t="n">
        <v>46290</v>
      </c>
      <c r="E1340" s="1" t="n">
        <v>46310</v>
      </c>
      <c r="F1340" t="inlineStr">
        <is>
          <t>VÄSTERNORRLANDS LÄN</t>
        </is>
      </c>
      <c r="G1340" t="inlineStr">
        <is>
          <t>ÅNGE</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50231-2024</t>
        </is>
      </c>
      <c r="B1341" t="inlineStr">
        <is>
          <t>avverkningsanmälan</t>
        </is>
      </c>
      <c r="C1341" t="inlineStr">
        <is>
          <t>Avverkning för att bevara och utveckla /försöksver</t>
        </is>
      </c>
      <c r="D1341" s="1" t="n">
        <v>45600</v>
      </c>
      <c r="E1341" s="1" t="n">
        <v>46310</v>
      </c>
      <c r="F1341" t="inlineStr">
        <is>
          <t>VÄSTERNORRLANDS LÄN</t>
        </is>
      </c>
      <c r="G1341" t="inlineStr">
        <is>
          <t>ÅNGE</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40624-2026</t>
        </is>
      </c>
      <c r="B1342" t="inlineStr">
        <is>
          <t>avverkningsanmälan</t>
        </is>
      </c>
      <c r="C1342" t="inlineStr">
        <is>
          <t>Föryngringsavverkning</t>
        </is>
      </c>
      <c r="D1342" s="1" t="n">
        <v>46295</v>
      </c>
      <c r="E1342" s="1" t="n">
        <v>46310</v>
      </c>
      <c r="F1342" t="inlineStr">
        <is>
          <t>VÄSTERNORRLANDS LÄN</t>
        </is>
      </c>
      <c r="G1342" t="inlineStr">
        <is>
          <t>ÅNGE</t>
        </is>
      </c>
      <c r="H1342" t="inlineStr">
        <is>
          <t>SCA</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40454-2026</t>
        </is>
      </c>
      <c r="B1343" t="inlineStr">
        <is>
          <t>avverkningsanmälan</t>
        </is>
      </c>
      <c r="C1343" t="inlineStr">
        <is>
          <t>Föryngringsavverkning</t>
        </is>
      </c>
      <c r="D1343" s="1" t="n">
        <v>46294</v>
      </c>
      <c r="E1343" s="1" t="n">
        <v>46310</v>
      </c>
      <c r="F1343" t="inlineStr">
        <is>
          <t>VÄSTERNORRLANDS LÄN</t>
        </is>
      </c>
      <c r="G1343" t="inlineStr">
        <is>
          <t>ÅNGE</t>
        </is>
      </c>
      <c r="H1343" t="inlineStr">
        <is>
          <t>SCA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60205-2023</t>
        </is>
      </c>
      <c r="B1344" t="inlineStr">
        <is>
          <t>avverkningsanmälan</t>
        </is>
      </c>
      <c r="C1344" t="inlineStr">
        <is>
          <t>Avverkning för annat ändamål</t>
        </is>
      </c>
      <c r="D1344" s="1" t="n">
        <v>45257</v>
      </c>
      <c r="E1344" s="1" t="n">
        <v>46310</v>
      </c>
      <c r="F1344" t="inlineStr">
        <is>
          <t>VÄSTERNORRLANDS LÄN</t>
        </is>
      </c>
      <c r="G1344" t="inlineStr">
        <is>
          <t>ÅNGE</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33860-2026</t>
        </is>
      </c>
      <c r="B1345" t="inlineStr">
        <is>
          <t>avverkningsanmälan</t>
        </is>
      </c>
      <c r="C1345" t="inlineStr">
        <is>
          <t>Föryngringsavverkning</t>
        </is>
      </c>
      <c r="D1345" s="1" t="n">
        <v>46251</v>
      </c>
      <c r="E1345" s="1" t="n">
        <v>46310</v>
      </c>
      <c r="F1345" t="inlineStr">
        <is>
          <t>VÄSTERNORRLANDS LÄN</t>
        </is>
      </c>
      <c r="G1345" t="inlineStr">
        <is>
          <t>ÅNGE</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40481-2026</t>
        </is>
      </c>
      <c r="B1346" t="inlineStr">
        <is>
          <t>avverkningsanmälan</t>
        </is>
      </c>
      <c r="C1346" t="inlineStr">
        <is>
          <t>Föryngringsavverkning</t>
        </is>
      </c>
      <c r="D1346" s="1" t="n">
        <v>46295</v>
      </c>
      <c r="E1346" s="1" t="n">
        <v>46310</v>
      </c>
      <c r="F1346" t="inlineStr">
        <is>
          <t>VÄSTERNORRLANDS LÄN</t>
        </is>
      </c>
      <c r="G1346" t="inlineStr">
        <is>
          <t>ÅNGE</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40552-2026</t>
        </is>
      </c>
      <c r="B1347" t="inlineStr">
        <is>
          <t>avverkningsanmälan</t>
        </is>
      </c>
      <c r="C1347" t="inlineStr">
        <is>
          <t>Föryngringsavverkning</t>
        </is>
      </c>
      <c r="D1347" s="1" t="n">
        <v>46295</v>
      </c>
      <c r="E1347" s="1" t="n">
        <v>46310</v>
      </c>
      <c r="F1347" t="inlineStr">
        <is>
          <t>VÄSTERNORRLANDS LÄN</t>
        </is>
      </c>
      <c r="G1347" t="inlineStr">
        <is>
          <t>ÅNGE</t>
        </is>
      </c>
      <c r="H1347" t="inlineStr">
        <is>
          <t>SCA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34003-2026</t>
        </is>
      </c>
      <c r="B1348" t="inlineStr">
        <is>
          <t>avverkningsanmälan</t>
        </is>
      </c>
      <c r="C1348" t="inlineStr">
        <is>
          <t>Föryngringsavverkning</t>
        </is>
      </c>
      <c r="D1348" s="1" t="n">
        <v>46252</v>
      </c>
      <c r="E1348" s="1" t="n">
        <v>46310</v>
      </c>
      <c r="F1348" t="inlineStr">
        <is>
          <t>VÄSTERNORRLANDS LÄN</t>
        </is>
      </c>
      <c r="G1348" t="inlineStr">
        <is>
          <t>ÅNGE</t>
        </is>
      </c>
      <c r="H1348" t="inlineStr">
        <is>
          <t>SCA</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40518-2026</t>
        </is>
      </c>
      <c r="B1349" t="inlineStr">
        <is>
          <t>avverkningsanmälan</t>
        </is>
      </c>
      <c r="C1349" t="inlineStr">
        <is>
          <t>Föryngringsavverkning</t>
        </is>
      </c>
      <c r="D1349" s="1" t="n">
        <v>46295</v>
      </c>
      <c r="E1349" s="1" t="n">
        <v>46310</v>
      </c>
      <c r="F1349" t="inlineStr">
        <is>
          <t>VÄSTERNORRLANDS LÄN</t>
        </is>
      </c>
      <c r="G1349" t="inlineStr">
        <is>
          <t>ÅNGE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39991-2023</t>
        </is>
      </c>
      <c r="B1350" t="inlineStr">
        <is>
          <t>avverkningsanmälan</t>
        </is>
      </c>
      <c r="C1350" t="inlineStr">
        <is>
          <t>Föryngringsavverkning</t>
        </is>
      </c>
      <c r="D1350" s="1" t="n">
        <v>45168</v>
      </c>
      <c r="E1350" s="1" t="n">
        <v>46310</v>
      </c>
      <c r="F1350" t="inlineStr">
        <is>
          <t>VÄSTERNORRLANDS LÄN</t>
        </is>
      </c>
      <c r="G1350" t="inlineStr">
        <is>
          <t>ÅNGE</t>
        </is>
      </c>
      <c r="I1350" t="n">
        <v>10.2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1775-2023</t>
        </is>
      </c>
      <c r="B1351" t="inlineStr">
        <is>
          <t>avverkningsanmälan</t>
        </is>
      </c>
      <c r="C1351" t="inlineStr">
        <is>
          <t>Avverkning för annat ändamål</t>
        </is>
      </c>
      <c r="D1351" s="1" t="n">
        <v>44938</v>
      </c>
      <c r="E1351" s="1" t="n">
        <v>46310</v>
      </c>
      <c r="F1351" t="inlineStr">
        <is>
          <t>VÄSTERNORRLANDS LÄN</t>
        </is>
      </c>
      <c r="G1351" t="inlineStr">
        <is>
          <t>ÅNGE</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31182-2024</t>
        </is>
      </c>
      <c r="B1352" t="inlineStr">
        <is>
          <t>avverkningsanmälan</t>
        </is>
      </c>
      <c r="C1352" t="inlineStr">
        <is>
          <t>Föryngringsavverkning</t>
        </is>
      </c>
      <c r="D1352" s="1" t="n">
        <v>45503</v>
      </c>
      <c r="E1352" s="1" t="n">
        <v>46310</v>
      </c>
      <c r="F1352" t="inlineStr">
        <is>
          <t>VÄSTERNORRLANDS LÄN</t>
        </is>
      </c>
      <c r="G1352" t="inlineStr">
        <is>
          <t>ÅNGE</t>
        </is>
      </c>
      <c r="I1352" t="n">
        <v>8.6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40435-2026</t>
        </is>
      </c>
      <c r="B1353" t="inlineStr">
        <is>
          <t>avverkningsanmälan</t>
        </is>
      </c>
      <c r="C1353" t="inlineStr">
        <is>
          <t>Föryngringsavverkning</t>
        </is>
      </c>
      <c r="D1353" s="1" t="n">
        <v>46294</v>
      </c>
      <c r="E1353" s="1" t="n">
        <v>46310</v>
      </c>
      <c r="F1353" t="inlineStr">
        <is>
          <t>VÄSTERNORRLANDS LÄN</t>
        </is>
      </c>
      <c r="G1353" t="inlineStr">
        <is>
          <t>ÅNGE</t>
        </is>
      </c>
      <c r="H1353" t="inlineStr">
        <is>
          <t>SCA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56956-2022</t>
        </is>
      </c>
      <c r="B1354" t="inlineStr">
        <is>
          <t>avverkningsanmälan</t>
        </is>
      </c>
      <c r="C1354" t="inlineStr">
        <is>
          <t>Föryngringsavverkning</t>
        </is>
      </c>
      <c r="D1354" s="1" t="n">
        <v>44894</v>
      </c>
      <c r="E1354" s="1" t="n">
        <v>46310</v>
      </c>
      <c r="F1354" t="inlineStr">
        <is>
          <t>VÄSTERNORRLANDS LÄN</t>
        </is>
      </c>
      <c r="G1354" t="inlineStr">
        <is>
          <t>ÅNGE</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32613-2026</t>
        </is>
      </c>
      <c r="B1355" t="inlineStr">
        <is>
          <t>avverkningsanmälan</t>
        </is>
      </c>
      <c r="C1355" t="inlineStr">
        <is>
          <t>Föryngringsavverkning</t>
        </is>
      </c>
      <c r="D1355" s="1" t="n">
        <v>46240</v>
      </c>
      <c r="E1355" s="1" t="n">
        <v>46310</v>
      </c>
      <c r="F1355" t="inlineStr">
        <is>
          <t>VÄSTERNORRLANDS LÄN</t>
        </is>
      </c>
      <c r="G1355" t="inlineStr">
        <is>
          <t>ÅNGE</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40530-2026</t>
        </is>
      </c>
      <c r="B1356" t="inlineStr">
        <is>
          <t>avverkningsanmälan</t>
        </is>
      </c>
      <c r="C1356" t="inlineStr">
        <is>
          <t>Föryngringsavverkning</t>
        </is>
      </c>
      <c r="D1356" s="1" t="n">
        <v>46295</v>
      </c>
      <c r="E1356" s="1" t="n">
        <v>46310</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33775-2026</t>
        </is>
      </c>
      <c r="B1357" t="inlineStr">
        <is>
          <t>avverkningsanmälan</t>
        </is>
      </c>
      <c r="C1357" t="inlineStr">
        <is>
          <t>Föryngringsavverkning</t>
        </is>
      </c>
      <c r="D1357" s="1" t="n">
        <v>46251</v>
      </c>
      <c r="E1357" s="1" t="n">
        <v>46310</v>
      </c>
      <c r="F1357" t="inlineStr">
        <is>
          <t>VÄSTERNORRLANDS LÄN</t>
        </is>
      </c>
      <c r="G1357" t="inlineStr">
        <is>
          <t>ÅNGE</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27321-2024</t>
        </is>
      </c>
      <c r="B1358" t="inlineStr">
        <is>
          <t>avverkningsanmälan</t>
        </is>
      </c>
      <c r="C1358" t="inlineStr">
        <is>
          <t>Föryngringsavverkning</t>
        </is>
      </c>
      <c r="D1358" s="1" t="n">
        <v>45471</v>
      </c>
      <c r="E1358" s="1" t="n">
        <v>46310</v>
      </c>
      <c r="F1358" t="inlineStr">
        <is>
          <t>VÄSTERNORRLANDS LÄN</t>
        </is>
      </c>
      <c r="G1358" t="inlineStr">
        <is>
          <t>ÅNGE</t>
        </is>
      </c>
      <c r="H1358" t="inlineStr">
        <is>
          <t>SCA</t>
        </is>
      </c>
      <c r="I1358" t="n">
        <v>14.1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8418-2023</t>
        </is>
      </c>
      <c r="B1359" t="inlineStr">
        <is>
          <t>avverkningsanmälan</t>
        </is>
      </c>
      <c r="C1359" t="inlineStr">
        <is>
          <t>Föryngringsavverkning</t>
        </is>
      </c>
      <c r="D1359" s="1" t="n">
        <v>44971</v>
      </c>
      <c r="E1359" s="1" t="n">
        <v>46310</v>
      </c>
      <c r="F1359" t="inlineStr">
        <is>
          <t>VÄSTERNORRLANDS LÄN</t>
        </is>
      </c>
      <c r="G1359" t="inlineStr">
        <is>
          <t>ÅNGE</t>
        </is>
      </c>
      <c r="I1359" t="n">
        <v>8.6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20024-2023</t>
        </is>
      </c>
      <c r="B1360" t="inlineStr">
        <is>
          <t>avverkningsanmälan</t>
        </is>
      </c>
      <c r="C1360" t="inlineStr">
        <is>
          <t>Föryngringsavverkning</t>
        </is>
      </c>
      <c r="D1360" s="1" t="n">
        <v>45051</v>
      </c>
      <c r="E1360" s="1" t="n">
        <v>46310</v>
      </c>
      <c r="F1360" t="inlineStr">
        <is>
          <t>VÄSTERNORRLANDS LÄN</t>
        </is>
      </c>
      <c r="G1360" t="inlineStr">
        <is>
          <t>ÅNGE</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33798-2026</t>
        </is>
      </c>
      <c r="B1361" t="inlineStr">
        <is>
          <t>avverkningsanmälan</t>
        </is>
      </c>
      <c r="C1361" t="inlineStr">
        <is>
          <t>Föryngringsavverkning</t>
        </is>
      </c>
      <c r="D1361" s="1" t="n">
        <v>46251</v>
      </c>
      <c r="E1361" s="1" t="n">
        <v>46310</v>
      </c>
      <c r="F1361" t="inlineStr">
        <is>
          <t>VÄSTERNORRLANDS LÄN</t>
        </is>
      </c>
      <c r="G1361" t="inlineStr">
        <is>
          <t>ÅNGE</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45939-2023</t>
        </is>
      </c>
      <c r="B1362" t="inlineStr">
        <is>
          <t>avverkningsanmälan</t>
        </is>
      </c>
      <c r="C1362" t="inlineStr">
        <is>
          <t>Föryngringsavverkning</t>
        </is>
      </c>
      <c r="D1362" s="1" t="n">
        <v>45195</v>
      </c>
      <c r="E1362" s="1" t="n">
        <v>46310</v>
      </c>
      <c r="F1362" t="inlineStr">
        <is>
          <t>VÄSTERNORRLANDS LÄN</t>
        </is>
      </c>
      <c r="G1362" t="inlineStr">
        <is>
          <t>ÅNGE</t>
        </is>
      </c>
      <c r="H1362" t="inlineStr">
        <is>
          <t>SCA</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51311-2022</t>
        </is>
      </c>
      <c r="B1363" t="inlineStr">
        <is>
          <t>avverkningsanmälan</t>
        </is>
      </c>
      <c r="C1363" t="inlineStr">
        <is>
          <t>Föryngringsavverkning</t>
        </is>
      </c>
      <c r="D1363" s="1" t="n">
        <v>44868</v>
      </c>
      <c r="E1363" s="1" t="n">
        <v>46310</v>
      </c>
      <c r="F1363" t="inlineStr">
        <is>
          <t>VÄSTERNORRLANDS LÄN</t>
        </is>
      </c>
      <c r="G1363" t="inlineStr">
        <is>
          <t>ÅNGE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63216-2023</t>
        </is>
      </c>
      <c r="B1364" t="inlineStr">
        <is>
          <t>avverkningsanmälan</t>
        </is>
      </c>
      <c r="C1364" t="inlineStr">
        <is>
          <t>Föryngringsavverkning</t>
        </is>
      </c>
      <c r="D1364" s="1" t="n">
        <v>45273</v>
      </c>
      <c r="E1364" s="1" t="n">
        <v>46310</v>
      </c>
      <c r="F1364" t="inlineStr">
        <is>
          <t>VÄSTERNORRLANDS LÄN</t>
        </is>
      </c>
      <c r="G1364" t="inlineStr">
        <is>
          <t>ÅNGE</t>
        </is>
      </c>
      <c r="H1364" t="inlineStr">
        <is>
          <t>Holmen skog AB</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34385-2026</t>
        </is>
      </c>
      <c r="B1365" t="inlineStr">
        <is>
          <t>avverkningsanmälan</t>
        </is>
      </c>
      <c r="C1365" t="inlineStr">
        <is>
          <t>Föryngringsavverkning</t>
        </is>
      </c>
      <c r="D1365" s="1" t="n">
        <v>46254</v>
      </c>
      <c r="E1365" s="1" t="n">
        <v>46310</v>
      </c>
      <c r="F1365" t="inlineStr">
        <is>
          <t>VÄSTERNORRLANDS LÄN</t>
        </is>
      </c>
      <c r="G1365" t="inlineStr">
        <is>
          <t>ÅNGE</t>
        </is>
      </c>
      <c r="I1365" t="n">
        <v>12.8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34282-2026</t>
        </is>
      </c>
      <c r="B1366" t="inlineStr">
        <is>
          <t>avverkningsanmälan</t>
        </is>
      </c>
      <c r="C1366" t="inlineStr">
        <is>
          <t>Föryngringsavverkning</t>
        </is>
      </c>
      <c r="D1366" s="1" t="n">
        <v>46253</v>
      </c>
      <c r="E1366" s="1" t="n">
        <v>46310</v>
      </c>
      <c r="F1366" t="inlineStr">
        <is>
          <t>VÄSTERNORRLANDS LÄN</t>
        </is>
      </c>
      <c r="G1366" t="inlineStr">
        <is>
          <t>ÅNGE</t>
        </is>
      </c>
      <c r="H1366" t="inlineStr">
        <is>
          <t>Sveaskog</t>
        </is>
      </c>
      <c r="I1366" t="n">
        <v>10.8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43916-2023</t>
        </is>
      </c>
      <c r="B1367" t="inlineStr">
        <is>
          <t>avverkningsanmälan</t>
        </is>
      </c>
      <c r="C1367" t="inlineStr">
        <is>
          <t>Föryngringsavverkning</t>
        </is>
      </c>
      <c r="D1367" s="1" t="n">
        <v>45187</v>
      </c>
      <c r="E1367" s="1" t="n">
        <v>46310</v>
      </c>
      <c r="F1367" t="inlineStr">
        <is>
          <t>VÄSTERNORRLANDS LÄN</t>
        </is>
      </c>
      <c r="G1367" t="inlineStr">
        <is>
          <t>ÅNGE</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36492-2023</t>
        </is>
      </c>
      <c r="B1368" t="inlineStr">
        <is>
          <t>avverkningsanmälan</t>
        </is>
      </c>
      <c r="C1368" t="inlineStr">
        <is>
          <t>Föryngringsavverkning</t>
        </is>
      </c>
      <c r="D1368" s="1" t="n">
        <v>45152</v>
      </c>
      <c r="E1368" s="1" t="n">
        <v>46310</v>
      </c>
      <c r="F1368" t="inlineStr">
        <is>
          <t>VÄSTERNORRLANDS LÄN</t>
        </is>
      </c>
      <c r="G1368" t="inlineStr">
        <is>
          <t>ÅNGE</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46332-2023</t>
        </is>
      </c>
      <c r="B1369" t="inlineStr">
        <is>
          <t>avverkningsanmälan</t>
        </is>
      </c>
      <c r="C1369" t="inlineStr">
        <is>
          <t>Föryngringsavverkning</t>
        </is>
      </c>
      <c r="D1369" s="1" t="n">
        <v>45196</v>
      </c>
      <c r="E1369" s="1" t="n">
        <v>46310</v>
      </c>
      <c r="F1369" t="inlineStr">
        <is>
          <t>VÄSTERNORRLANDS LÄN</t>
        </is>
      </c>
      <c r="G1369" t="inlineStr">
        <is>
          <t>ÅNGE</t>
        </is>
      </c>
      <c r="H1369" t="inlineStr">
        <is>
          <t>SCA</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55882-2022</t>
        </is>
      </c>
      <c r="B1370" t="inlineStr">
        <is>
          <t>avverkningsanmälan</t>
        </is>
      </c>
      <c r="C1370" t="inlineStr">
        <is>
          <t>Föryngringsavverkning</t>
        </is>
      </c>
      <c r="D1370" s="1" t="n">
        <v>44888</v>
      </c>
      <c r="E1370" s="1" t="n">
        <v>46310</v>
      </c>
      <c r="F1370" t="inlineStr">
        <is>
          <t>VÄSTERNORRLANDS LÄN</t>
        </is>
      </c>
      <c r="G1370" t="inlineStr">
        <is>
          <t>ÅNGE</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34206-2026</t>
        </is>
      </c>
      <c r="B1371" t="inlineStr">
        <is>
          <t>avverkningsanmälan</t>
        </is>
      </c>
      <c r="C1371" t="inlineStr">
        <is>
          <t>Föryngringsavverkning</t>
        </is>
      </c>
      <c r="D1371" s="1" t="n">
        <v>46253</v>
      </c>
      <c r="E1371" s="1" t="n">
        <v>46310</v>
      </c>
      <c r="F1371" t="inlineStr">
        <is>
          <t>VÄSTERNORRLANDS LÄN</t>
        </is>
      </c>
      <c r="G1371" t="inlineStr">
        <is>
          <t>ÅNGE</t>
        </is>
      </c>
      <c r="H1371" t="inlineStr">
        <is>
          <t>SCA</t>
        </is>
      </c>
      <c r="I1371" t="n">
        <v>8.5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34266-2026</t>
        </is>
      </c>
      <c r="B1372" t="inlineStr">
        <is>
          <t>avverkningsanmälan</t>
        </is>
      </c>
      <c r="C1372" t="inlineStr">
        <is>
          <t>Föryngringsavverkning</t>
        </is>
      </c>
      <c r="D1372" s="1" t="n">
        <v>46253</v>
      </c>
      <c r="E1372" s="1" t="n">
        <v>46310</v>
      </c>
      <c r="F1372" t="inlineStr">
        <is>
          <t>VÄSTERNORRLANDS LÄN</t>
        </is>
      </c>
      <c r="G1372" t="inlineStr">
        <is>
          <t>ÅNGE</t>
        </is>
      </c>
      <c r="H1372" t="inlineStr">
        <is>
          <t>SCA</t>
        </is>
      </c>
      <c r="I1372" t="n">
        <v>8.5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63556-2021</t>
        </is>
      </c>
      <c r="B1373" t="inlineStr">
        <is>
          <t>avverkningsanmälan</t>
        </is>
      </c>
      <c r="C1373" t="inlineStr">
        <is>
          <t>Föryngringsavverkning</t>
        </is>
      </c>
      <c r="D1373" s="1" t="n">
        <v>44508</v>
      </c>
      <c r="E1373" s="1" t="n">
        <v>46310</v>
      </c>
      <c r="F1373" t="inlineStr">
        <is>
          <t>VÄSTERNORRLANDS LÄN</t>
        </is>
      </c>
      <c r="G1373" t="inlineStr">
        <is>
          <t>ÅNGE</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34175-2026</t>
        </is>
      </c>
      <c r="B1374" t="inlineStr">
        <is>
          <t>avverkningsanmälan</t>
        </is>
      </c>
      <c r="C1374" t="inlineStr">
        <is>
          <t>Föryngringsavverkning</t>
        </is>
      </c>
      <c r="D1374" s="1" t="n">
        <v>46253</v>
      </c>
      <c r="E1374" s="1" t="n">
        <v>46310</v>
      </c>
      <c r="F1374" t="inlineStr">
        <is>
          <t>VÄSTERNORRLANDS LÄN</t>
        </is>
      </c>
      <c r="G1374" t="inlineStr">
        <is>
          <t>ÅNGE</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40480-2026</t>
        </is>
      </c>
      <c r="B1375" t="inlineStr">
        <is>
          <t>avverkningsanmälan</t>
        </is>
      </c>
      <c r="C1375" t="inlineStr">
        <is>
          <t>Föryngringsavverkning</t>
        </is>
      </c>
      <c r="D1375" s="1" t="n">
        <v>46295</v>
      </c>
      <c r="E1375" s="1" t="n">
        <v>46310</v>
      </c>
      <c r="F1375" t="inlineStr">
        <is>
          <t>VÄSTERNORRLANDS LÄN</t>
        </is>
      </c>
      <c r="G1375" t="inlineStr">
        <is>
          <t>ÅNGE</t>
        </is>
      </c>
      <c r="H1375" t="inlineStr">
        <is>
          <t>SCA</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34854-2026</t>
        </is>
      </c>
      <c r="B1376" t="inlineStr">
        <is>
          <t>avverkningsanmälan</t>
        </is>
      </c>
      <c r="C1376" t="inlineStr">
        <is>
          <t>Föryngringsavverkning</t>
        </is>
      </c>
      <c r="D1376" s="1" t="n">
        <v>46258</v>
      </c>
      <c r="E1376" s="1" t="n">
        <v>46310</v>
      </c>
      <c r="F1376" t="inlineStr">
        <is>
          <t>VÄSTERNORRLANDS LÄN</t>
        </is>
      </c>
      <c r="G1376" t="inlineStr">
        <is>
          <t>ÅNGE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3253-2024</t>
        </is>
      </c>
      <c r="B1377" t="inlineStr">
        <is>
          <t>avverkningsanmälan</t>
        </is>
      </c>
      <c r="C1377" t="inlineStr">
        <is>
          <t>Föryngringsavverkning</t>
        </is>
      </c>
      <c r="D1377" s="1" t="n">
        <v>45316</v>
      </c>
      <c r="E1377" s="1" t="n">
        <v>46310</v>
      </c>
      <c r="F1377" t="inlineStr">
        <is>
          <t>VÄSTERNORRLANDS LÄN</t>
        </is>
      </c>
      <c r="G1377" t="inlineStr">
        <is>
          <t>ÅNGE</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58748-2023</t>
        </is>
      </c>
      <c r="B1378" t="inlineStr">
        <is>
          <t>avverkningsanmälan</t>
        </is>
      </c>
      <c r="C1378" t="inlineStr">
        <is>
          <t>Föryngringsavverkning</t>
        </is>
      </c>
      <c r="D1378" s="1" t="n">
        <v>45251</v>
      </c>
      <c r="E1378" s="1" t="n">
        <v>46310</v>
      </c>
      <c r="F1378" t="inlineStr">
        <is>
          <t>VÄSTERNORRLANDS LÄN</t>
        </is>
      </c>
      <c r="G1378" t="inlineStr">
        <is>
          <t>ÅNGE</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51871-2024</t>
        </is>
      </c>
      <c r="B1379" t="inlineStr">
        <is>
          <t>avverkningsanmälan</t>
        </is>
      </c>
      <c r="C1379" t="inlineStr">
        <is>
          <t>Föryngringsavverkning</t>
        </is>
      </c>
      <c r="D1379" s="1" t="n">
        <v>45607</v>
      </c>
      <c r="E1379" s="1" t="n">
        <v>46310</v>
      </c>
      <c r="F1379" t="inlineStr">
        <is>
          <t>VÄSTERNORRLANDS LÄN</t>
        </is>
      </c>
      <c r="G1379" t="inlineStr">
        <is>
          <t>ÅNGE</t>
        </is>
      </c>
      <c r="H1379" t="inlineStr">
        <is>
          <t>SCA</t>
        </is>
      </c>
      <c r="I1379" t="n">
        <v>10.1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57636-2022</t>
        </is>
      </c>
      <c r="B1380" t="inlineStr">
        <is>
          <t>avverkningsanmälan</t>
        </is>
      </c>
      <c r="C1380" t="inlineStr">
        <is>
          <t>Föryngringsavverkning</t>
        </is>
      </c>
      <c r="D1380" s="1" t="n">
        <v>44897</v>
      </c>
      <c r="E1380" s="1" t="n">
        <v>46310</v>
      </c>
      <c r="F1380" t="inlineStr">
        <is>
          <t>VÄSTERNORRLANDS LÄN</t>
        </is>
      </c>
      <c r="G1380" t="inlineStr">
        <is>
          <t>ÅNGE</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34971-2023</t>
        </is>
      </c>
      <c r="B1381" t="inlineStr">
        <is>
          <t>avverkningsanmälan</t>
        </is>
      </c>
      <c r="C1381" t="inlineStr">
        <is>
          <t>Föryngringsavverkning</t>
        </is>
      </c>
      <c r="D1381" s="1" t="n">
        <v>45142</v>
      </c>
      <c r="E1381" s="1" t="n">
        <v>46310</v>
      </c>
      <c r="F1381" t="inlineStr">
        <is>
          <t>VÄSTERNORRLANDS LÄN</t>
        </is>
      </c>
      <c r="G1381" t="inlineStr">
        <is>
          <t>ÅNGE</t>
        </is>
      </c>
      <c r="H1381" t="inlineStr">
        <is>
          <t>Sveaskog</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43250-2025</t>
        </is>
      </c>
      <c r="B1382" t="inlineStr">
        <is>
          <t>avverkningsanmälan</t>
        </is>
      </c>
      <c r="C1382" t="inlineStr">
        <is>
          <t>Föryngringsavverkning</t>
        </is>
      </c>
      <c r="D1382" s="1" t="n">
        <v>45910</v>
      </c>
      <c r="E1382" s="1" t="n">
        <v>46310</v>
      </c>
      <c r="F1382" t="inlineStr">
        <is>
          <t>VÄSTERNORRLANDS LÄN</t>
        </is>
      </c>
      <c r="G1382" t="inlineStr">
        <is>
          <t>ÅNGE</t>
        </is>
      </c>
      <c r="H1382" t="inlineStr">
        <is>
          <t>SCA</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41335-2026</t>
        </is>
      </c>
      <c r="B1383" t="inlineStr">
        <is>
          <t>avverkningsanmälan</t>
        </is>
      </c>
      <c r="C1383" t="inlineStr">
        <is>
          <t>Föryngringsavverkning</t>
        </is>
      </c>
      <c r="D1383" s="1" t="n">
        <v>46301</v>
      </c>
      <c r="E1383" s="1" t="n">
        <v>46310</v>
      </c>
      <c r="F1383" t="inlineStr">
        <is>
          <t>VÄSTERNORRLANDS LÄN</t>
        </is>
      </c>
      <c r="G1383" t="inlineStr">
        <is>
          <t>ÅNGE</t>
        </is>
      </c>
      <c r="H1383" t="inlineStr">
        <is>
          <t>SCA</t>
        </is>
      </c>
      <c r="I1383" t="n">
        <v>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55329-2023</t>
        </is>
      </c>
      <c r="B1384" t="inlineStr">
        <is>
          <t>avverkningsanmälan</t>
        </is>
      </c>
      <c r="C1384" t="inlineStr">
        <is>
          <t>Föryngringsavverkning</t>
        </is>
      </c>
      <c r="D1384" s="1" t="n">
        <v>45237</v>
      </c>
      <c r="E1384" s="1" t="n">
        <v>46310</v>
      </c>
      <c r="F1384" t="inlineStr">
        <is>
          <t>VÄSTERNORRLANDS LÄN</t>
        </is>
      </c>
      <c r="G1384" t="inlineStr">
        <is>
          <t>ÅNGE</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42346-2023</t>
        </is>
      </c>
      <c r="B1385" t="inlineStr">
        <is>
          <t>avverkningsanmälan</t>
        </is>
      </c>
      <c r="C1385" t="inlineStr">
        <is>
          <t>Föryngringsavverkning</t>
        </is>
      </c>
      <c r="D1385" s="1" t="n">
        <v>45180</v>
      </c>
      <c r="E1385" s="1" t="n">
        <v>46310</v>
      </c>
      <c r="F1385" t="inlineStr">
        <is>
          <t>VÄSTERNORRLANDS LÄN</t>
        </is>
      </c>
      <c r="G1385" t="inlineStr">
        <is>
          <t>ÅNGE</t>
        </is>
      </c>
      <c r="I1385" t="n">
        <v>9.300000000000001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34546-2026</t>
        </is>
      </c>
      <c r="B1386" t="inlineStr">
        <is>
          <t>avverkningsanmälan</t>
        </is>
      </c>
      <c r="C1386" t="inlineStr">
        <is>
          <t>Föryngringsavverkning</t>
        </is>
      </c>
      <c r="D1386" s="1" t="n">
        <v>46255</v>
      </c>
      <c r="E1386" s="1" t="n">
        <v>46310</v>
      </c>
      <c r="F1386" t="inlineStr">
        <is>
          <t>VÄSTERNORRLANDS LÄN</t>
        </is>
      </c>
      <c r="G1386" t="inlineStr">
        <is>
          <t>ÅNGE</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34882-2026</t>
        </is>
      </c>
      <c r="B1387" t="inlineStr">
        <is>
          <t>avverkningsanmälan</t>
        </is>
      </c>
      <c r="C1387" t="inlineStr">
        <is>
          <t>Föryngringsavverkning</t>
        </is>
      </c>
      <c r="D1387" s="1" t="n">
        <v>46258</v>
      </c>
      <c r="E1387" s="1" t="n">
        <v>46310</v>
      </c>
      <c r="F1387" t="inlineStr">
        <is>
          <t>VÄSTERNORRLANDS LÄN</t>
        </is>
      </c>
      <c r="G1387" t="inlineStr">
        <is>
          <t>ÅNGE</t>
        </is>
      </c>
      <c r="H1387" t="inlineStr">
        <is>
          <t>Sveaskog</t>
        </is>
      </c>
      <c r="I1387" t="n">
        <v>19.5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41256-2026</t>
        </is>
      </c>
      <c r="B1388" t="inlineStr">
        <is>
          <t>avverkningsanmälan</t>
        </is>
      </c>
      <c r="C1388" t="inlineStr">
        <is>
          <t>Föryngringsavverkning</t>
        </is>
      </c>
      <c r="D1388" s="1" t="n">
        <v>46300</v>
      </c>
      <c r="E1388" s="1" t="n">
        <v>46310</v>
      </c>
      <c r="F1388" t="inlineStr">
        <is>
          <t>VÄSTERNORRLANDS LÄN</t>
        </is>
      </c>
      <c r="G1388" t="inlineStr">
        <is>
          <t>ÅNGE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41455-2026</t>
        </is>
      </c>
      <c r="B1389" t="inlineStr">
        <is>
          <t>avverkningsanmälan</t>
        </is>
      </c>
      <c r="C1389" t="inlineStr">
        <is>
          <t>Föryngringsavverkning</t>
        </is>
      </c>
      <c r="D1389" s="1" t="n">
        <v>46301</v>
      </c>
      <c r="E1389" s="1" t="n">
        <v>46310</v>
      </c>
      <c r="F1389" t="inlineStr">
        <is>
          <t>VÄSTERNORRLANDS LÄN</t>
        </is>
      </c>
      <c r="G1389" t="inlineStr">
        <is>
          <t>ÅNGE</t>
        </is>
      </c>
      <c r="H1389" t="inlineStr">
        <is>
          <t>SCA</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34592-2026</t>
        </is>
      </c>
      <c r="B1390" t="inlineStr">
        <is>
          <t>avverkningsanmälan</t>
        </is>
      </c>
      <c r="C1390" t="inlineStr">
        <is>
          <t>Föryngringsavverkning</t>
        </is>
      </c>
      <c r="D1390" s="1" t="n">
        <v>46255</v>
      </c>
      <c r="E1390" s="1" t="n">
        <v>46310</v>
      </c>
      <c r="F1390" t="inlineStr">
        <is>
          <t>VÄSTERNORRLANDS LÄN</t>
        </is>
      </c>
      <c r="G1390" t="inlineStr">
        <is>
          <t>ÅNGE</t>
        </is>
      </c>
      <c r="H1390" t="inlineStr">
        <is>
          <t>SCA</t>
        </is>
      </c>
      <c r="I1390" t="n">
        <v>4.8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137-2025</t>
        </is>
      </c>
      <c r="B1391" t="inlineStr">
        <is>
          <t>avverkningsanmälan</t>
        </is>
      </c>
      <c r="C1391" t="inlineStr">
        <is>
          <t>Avverkning för annat ändamål</t>
        </is>
      </c>
      <c r="D1391" s="1" t="n">
        <v>45659</v>
      </c>
      <c r="E1391" s="1" t="n">
        <v>46310</v>
      </c>
      <c r="F1391" t="inlineStr">
        <is>
          <t>VÄSTERNORRLANDS LÄN</t>
        </is>
      </c>
      <c r="G1391" t="inlineStr">
        <is>
          <t>ÅNGE</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41158-2026</t>
        </is>
      </c>
      <c r="B1392" t="inlineStr">
        <is>
          <t>avverkningsanmälan</t>
        </is>
      </c>
      <c r="C1392" t="inlineStr">
        <is>
          <t>Föryngringsavverkning</t>
        </is>
      </c>
      <c r="D1392" s="1" t="n">
        <v>46300</v>
      </c>
      <c r="E1392" s="1" t="n">
        <v>46310</v>
      </c>
      <c r="F1392" t="inlineStr">
        <is>
          <t>VÄSTERNORRLANDS LÄN</t>
        </is>
      </c>
      <c r="G1392" t="inlineStr">
        <is>
          <t>ÅNGE</t>
        </is>
      </c>
      <c r="H1392" t="inlineStr">
        <is>
          <t>SCA</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34708-2026</t>
        </is>
      </c>
      <c r="B1393" t="inlineStr">
        <is>
          <t>avverkningsanmälan</t>
        </is>
      </c>
      <c r="C1393" t="inlineStr">
        <is>
          <t>Föryngringsavverkning</t>
        </is>
      </c>
      <c r="D1393" s="1" t="n">
        <v>46258</v>
      </c>
      <c r="E1393" s="1" t="n">
        <v>46310</v>
      </c>
      <c r="F1393" t="inlineStr">
        <is>
          <t>VÄSTERNORRLANDS LÄN</t>
        </is>
      </c>
      <c r="G1393" t="inlineStr">
        <is>
          <t>ÅNGE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31068-2026</t>
        </is>
      </c>
      <c r="B1394" t="inlineStr">
        <is>
          <t>avverkningsanmälan</t>
        </is>
      </c>
      <c r="C1394" t="inlineStr">
        <is>
          <t>Föryngringsavverkning</t>
        </is>
      </c>
      <c r="D1394" s="1" t="n">
        <v>46215</v>
      </c>
      <c r="E1394" s="1" t="n">
        <v>46310</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22678-2024</t>
        </is>
      </c>
      <c r="B1395" t="inlineStr">
        <is>
          <t>avverkningsanmälan</t>
        </is>
      </c>
      <c r="C1395" t="inlineStr">
        <is>
          <t>Avverkning för att bevara och utveckla /försöksver</t>
        </is>
      </c>
      <c r="D1395" s="1" t="n">
        <v>45447</v>
      </c>
      <c r="E1395" s="1" t="n">
        <v>46310</v>
      </c>
      <c r="F1395" t="inlineStr">
        <is>
          <t>VÄSTERNORRLANDS LÄN</t>
        </is>
      </c>
      <c r="G1395" t="inlineStr">
        <is>
          <t>ÅNGE</t>
        </is>
      </c>
      <c r="H1395" t="inlineStr">
        <is>
          <t>SCA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64121-2021</t>
        </is>
      </c>
      <c r="B1396" t="inlineStr">
        <is>
          <t>avverkningsanmälan</t>
        </is>
      </c>
      <c r="C1396" t="inlineStr">
        <is>
          <t>Föryngringsavverkning</t>
        </is>
      </c>
      <c r="D1396" s="1" t="n">
        <v>44510</v>
      </c>
      <c r="E1396" s="1" t="n">
        <v>46310</v>
      </c>
      <c r="F1396" t="inlineStr">
        <is>
          <t>VÄSTERNORRLANDS LÄN</t>
        </is>
      </c>
      <c r="G1396" t="inlineStr">
        <is>
          <t>ÅNGE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71965-2021</t>
        </is>
      </c>
      <c r="B1397" t="inlineStr">
        <is>
          <t>avverkningsanmälan</t>
        </is>
      </c>
      <c r="C1397" t="inlineStr">
        <is>
          <t>Föryngringsavverkning</t>
        </is>
      </c>
      <c r="D1397" s="1" t="n">
        <v>44544</v>
      </c>
      <c r="E1397" s="1" t="n">
        <v>46310</v>
      </c>
      <c r="F1397" t="inlineStr">
        <is>
          <t>VÄSTERNORRLANDS LÄN</t>
        </is>
      </c>
      <c r="G1397" t="inlineStr">
        <is>
          <t>ÅNGE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34643-2026</t>
        </is>
      </c>
      <c r="B1398" t="inlineStr">
        <is>
          <t>avverkningsanmälan</t>
        </is>
      </c>
      <c r="C1398" t="inlineStr">
        <is>
          <t>Föryngringsavverkning</t>
        </is>
      </c>
      <c r="D1398" s="1" t="n">
        <v>46255</v>
      </c>
      <c r="E1398" s="1" t="n">
        <v>46310</v>
      </c>
      <c r="F1398" t="inlineStr">
        <is>
          <t>VÄSTERNORRLANDS LÄN</t>
        </is>
      </c>
      <c r="G1398" t="inlineStr">
        <is>
          <t>ÅNGE</t>
        </is>
      </c>
      <c r="H1398" t="inlineStr">
        <is>
          <t>Sveaskog</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62834-2021</t>
        </is>
      </c>
      <c r="B1399" t="inlineStr">
        <is>
          <t>avverkningsanmälan</t>
        </is>
      </c>
      <c r="C1399" t="inlineStr">
        <is>
          <t>Avverkning för att bevara och utveckla /försöksver</t>
        </is>
      </c>
      <c r="D1399" s="1" t="n">
        <v>44503</v>
      </c>
      <c r="E1399" s="1" t="n">
        <v>46310</v>
      </c>
      <c r="F1399" t="inlineStr">
        <is>
          <t>VÄSTERNORRLANDS LÄN</t>
        </is>
      </c>
      <c r="G1399" t="inlineStr">
        <is>
          <t>ÅNGE</t>
        </is>
      </c>
      <c r="H1399" t="inlineStr">
        <is>
          <t>Övriga statliga verk och myndigheter</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7535-2023</t>
        </is>
      </c>
      <c r="B1400" t="inlineStr">
        <is>
          <t>avverkningsanmälan</t>
        </is>
      </c>
      <c r="C1400" t="inlineStr">
        <is>
          <t>Avverkning för att bevara och utveckla /försöksver</t>
        </is>
      </c>
      <c r="D1400" s="1" t="n">
        <v>44971</v>
      </c>
      <c r="E1400" s="1" t="n">
        <v>46310</v>
      </c>
      <c r="F1400" t="inlineStr">
        <is>
          <t>VÄSTERNORRLANDS LÄN</t>
        </is>
      </c>
      <c r="G1400" t="inlineStr">
        <is>
          <t>ÅNGE</t>
        </is>
      </c>
      <c r="H1400" t="inlineStr">
        <is>
          <t>SCA</t>
        </is>
      </c>
      <c r="I1400" t="n">
        <v>14.6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48946-2024</t>
        </is>
      </c>
      <c r="B1401" t="inlineStr">
        <is>
          <t>avverkningsanmälan</t>
        </is>
      </c>
      <c r="C1401" t="inlineStr">
        <is>
          <t>Föryngringsavverkning</t>
        </is>
      </c>
      <c r="D1401" s="1" t="n">
        <v>45594</v>
      </c>
      <c r="E1401" s="1" t="n">
        <v>46310</v>
      </c>
      <c r="F1401" t="inlineStr">
        <is>
          <t>VÄSTERNORRLANDS LÄN</t>
        </is>
      </c>
      <c r="G1401" t="inlineStr">
        <is>
          <t>ÅNGE</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41499-2026</t>
        </is>
      </c>
      <c r="B1402" t="inlineStr">
        <is>
          <t>avverkningsanmälan</t>
        </is>
      </c>
      <c r="C1402" t="inlineStr">
        <is>
          <t>Föryngringsavverkning</t>
        </is>
      </c>
      <c r="D1402" s="1" t="n">
        <v>46301</v>
      </c>
      <c r="E1402" s="1" t="n">
        <v>46310</v>
      </c>
      <c r="F1402" t="inlineStr">
        <is>
          <t>VÄSTERNORRLANDS LÄN</t>
        </is>
      </c>
      <c r="G1402" t="inlineStr">
        <is>
          <t>ÅNGE</t>
        </is>
      </c>
      <c r="H1402" t="inlineStr">
        <is>
          <t>SCA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41737-2026</t>
        </is>
      </c>
      <c r="B1403" t="inlineStr">
        <is>
          <t>avverkningsanmälan</t>
        </is>
      </c>
      <c r="C1403" t="inlineStr">
        <is>
          <t>Föryngringsavverkning</t>
        </is>
      </c>
      <c r="D1403" s="1" t="n">
        <v>46302</v>
      </c>
      <c r="E1403" s="1" t="n">
        <v>46310</v>
      </c>
      <c r="F1403" t="inlineStr">
        <is>
          <t>VÄSTERNORRLANDS LÄN</t>
        </is>
      </c>
      <c r="G1403" t="inlineStr">
        <is>
          <t>ÅNGE</t>
        </is>
      </c>
      <c r="I1403" t="n">
        <v>7.9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41686-2026</t>
        </is>
      </c>
      <c r="B1404" t="inlineStr">
        <is>
          <t>avverkningsanmälan</t>
        </is>
      </c>
      <c r="C1404" t="inlineStr">
        <is>
          <t>Föryngringsavverkning</t>
        </is>
      </c>
      <c r="D1404" s="1" t="n">
        <v>46302</v>
      </c>
      <c r="E1404" s="1" t="n">
        <v>46310</v>
      </c>
      <c r="F1404" t="inlineStr">
        <is>
          <t>VÄSTERNORRLANDS LÄN</t>
        </is>
      </c>
      <c r="G1404" t="inlineStr">
        <is>
          <t>ÅNGE</t>
        </is>
      </c>
      <c r="H1404" t="inlineStr">
        <is>
          <t>SCA</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33429-2023</t>
        </is>
      </c>
      <c r="B1405" t="inlineStr">
        <is>
          <t>avverkningsanmälan</t>
        </is>
      </c>
      <c r="C1405" t="inlineStr">
        <is>
          <t>Föryngringsavverkning</t>
        </is>
      </c>
      <c r="D1405" s="1" t="n">
        <v>45128</v>
      </c>
      <c r="E1405" s="1" t="n">
        <v>46310</v>
      </c>
      <c r="F1405" t="inlineStr">
        <is>
          <t>VÄSTERNORRLANDS LÄN</t>
        </is>
      </c>
      <c r="G1405" t="inlineStr">
        <is>
          <t>ÅNGE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41630-2026</t>
        </is>
      </c>
      <c r="B1406" t="inlineStr">
        <is>
          <t>avverkningsanmälan</t>
        </is>
      </c>
      <c r="C1406" t="inlineStr">
        <is>
          <t>Föryngringsavverkning</t>
        </is>
      </c>
      <c r="D1406" s="1" t="n">
        <v>46302</v>
      </c>
      <c r="E1406" s="1" t="n">
        <v>46310</v>
      </c>
      <c r="F1406" t="inlineStr">
        <is>
          <t>VÄSTERNORRLANDS LÄN</t>
        </is>
      </c>
      <c r="G1406" t="inlineStr">
        <is>
          <t>ÅNGE</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20255-2023</t>
        </is>
      </c>
      <c r="B1407" t="inlineStr">
        <is>
          <t>avverkningsanmälan</t>
        </is>
      </c>
      <c r="C1407" t="inlineStr">
        <is>
          <t>Föryngringsavverkning</t>
        </is>
      </c>
      <c r="D1407" s="1" t="n">
        <v>45055</v>
      </c>
      <c r="E1407" s="1" t="n">
        <v>46310</v>
      </c>
      <c r="F1407" t="inlineStr">
        <is>
          <t>VÄSTERNORRLANDS LÄN</t>
        </is>
      </c>
      <c r="G1407" t="inlineStr">
        <is>
          <t>ÅNGE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41862-2026</t>
        </is>
      </c>
      <c r="B1408" t="inlineStr">
        <is>
          <t>avverkningsanmälan</t>
        </is>
      </c>
      <c r="C1408" t="inlineStr">
        <is>
          <t>Föryngringsavverkning</t>
        </is>
      </c>
      <c r="D1408" s="1" t="n">
        <v>46303</v>
      </c>
      <c r="E1408" s="1" t="n">
        <v>46310</v>
      </c>
      <c r="F1408" t="inlineStr">
        <is>
          <t>VÄSTERNORRLANDS LÄN</t>
        </is>
      </c>
      <c r="G1408" t="inlineStr">
        <is>
          <t>ÅNGE</t>
        </is>
      </c>
      <c r="H1408" t="inlineStr">
        <is>
          <t>SCA</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41651-2026</t>
        </is>
      </c>
      <c r="B1409" t="inlineStr">
        <is>
          <t>avverkningsanmälan</t>
        </is>
      </c>
      <c r="C1409" t="inlineStr">
        <is>
          <t>Föryngringsavverkning</t>
        </is>
      </c>
      <c r="D1409" s="1" t="n">
        <v>46302</v>
      </c>
      <c r="E1409" s="1" t="n">
        <v>46310</v>
      </c>
      <c r="F1409" t="inlineStr">
        <is>
          <t>VÄSTERNORRLANDS LÄN</t>
        </is>
      </c>
      <c r="G1409" t="inlineStr">
        <is>
          <t>ÅNGE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41760-2026</t>
        </is>
      </c>
      <c r="B1410" t="inlineStr">
        <is>
          <t>avverkningsanmälan</t>
        </is>
      </c>
      <c r="C1410" t="inlineStr">
        <is>
          <t>Föryngringsavverkning</t>
        </is>
      </c>
      <c r="D1410" s="1" t="n">
        <v>46302</v>
      </c>
      <c r="E1410" s="1" t="n">
        <v>46310</v>
      </c>
      <c r="F1410" t="inlineStr">
        <is>
          <t>VÄSTERNORRLANDS LÄN</t>
        </is>
      </c>
      <c r="G1410" t="inlineStr">
        <is>
          <t>ÅNGE</t>
        </is>
      </c>
      <c r="H1410" t="inlineStr">
        <is>
          <t>SCA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41745-2026</t>
        </is>
      </c>
      <c r="B1411" t="inlineStr">
        <is>
          <t>avverkningsanmälan</t>
        </is>
      </c>
      <c r="C1411" t="inlineStr">
        <is>
          <t>Föryngringsavverkning</t>
        </is>
      </c>
      <c r="D1411" s="1" t="n">
        <v>46302</v>
      </c>
      <c r="E1411" s="1" t="n">
        <v>46310</v>
      </c>
      <c r="F1411" t="inlineStr">
        <is>
          <t>VÄSTERNORRLANDS LÄN</t>
        </is>
      </c>
      <c r="G1411" t="inlineStr">
        <is>
          <t>ÅNGE</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35047-2026</t>
        </is>
      </c>
      <c r="B1412" t="inlineStr">
        <is>
          <t>avverkningsanmälan</t>
        </is>
      </c>
      <c r="C1412" t="inlineStr">
        <is>
          <t>Föryngringsavverkning</t>
        </is>
      </c>
      <c r="D1412" s="1" t="n">
        <v>46259</v>
      </c>
      <c r="E1412" s="1" t="n">
        <v>46310</v>
      </c>
      <c r="F1412" t="inlineStr">
        <is>
          <t>VÄSTERNORRLANDS LÄN</t>
        </is>
      </c>
      <c r="G1412" t="inlineStr">
        <is>
          <t>ÅNGE</t>
        </is>
      </c>
      <c r="H1412" t="inlineStr">
        <is>
          <t>SCA</t>
        </is>
      </c>
      <c r="I1412" t="n">
        <v>7.4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35161-2026</t>
        </is>
      </c>
      <c r="B1413" t="inlineStr">
        <is>
          <t>avverkningsanmälan</t>
        </is>
      </c>
      <c r="C1413" t="inlineStr">
        <is>
          <t>Föryngringsavverkning</t>
        </is>
      </c>
      <c r="D1413" s="1" t="n">
        <v>46260</v>
      </c>
      <c r="E1413" s="1" t="n">
        <v>46310</v>
      </c>
      <c r="F1413" t="inlineStr">
        <is>
          <t>VÄSTERNORRLANDS LÄN</t>
        </is>
      </c>
      <c r="G1413" t="inlineStr">
        <is>
          <t>ÅNGE</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16281-2023</t>
        </is>
      </c>
      <c r="B1414" t="inlineStr">
        <is>
          <t>avverkningsanmälan</t>
        </is>
      </c>
      <c r="C1414" t="inlineStr">
        <is>
          <t>Föryngringsavverkning</t>
        </is>
      </c>
      <c r="D1414" s="1" t="n">
        <v>45028</v>
      </c>
      <c r="E1414" s="1" t="n">
        <v>46310</v>
      </c>
      <c r="F1414" t="inlineStr">
        <is>
          <t>VÄSTERNORRLANDS LÄN</t>
        </is>
      </c>
      <c r="G1414" t="inlineStr">
        <is>
          <t>ÅNGE</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41768-2026</t>
        </is>
      </c>
      <c r="B1415" t="inlineStr">
        <is>
          <t>avverkningsanmälan</t>
        </is>
      </c>
      <c r="C1415" t="inlineStr">
        <is>
          <t>Föryngringsavverkning</t>
        </is>
      </c>
      <c r="D1415" s="1" t="n">
        <v>46302</v>
      </c>
      <c r="E1415" s="1" t="n">
        <v>46310</v>
      </c>
      <c r="F1415" t="inlineStr">
        <is>
          <t>VÄSTERNORRLANDS LÄN</t>
        </is>
      </c>
      <c r="G1415" t="inlineStr">
        <is>
          <t>ÅNGE</t>
        </is>
      </c>
      <c r="H1415" t="inlineStr">
        <is>
          <t>SCA</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26015-2024</t>
        </is>
      </c>
      <c r="B1416" t="inlineStr">
        <is>
          <t>avverkningsanmälan</t>
        </is>
      </c>
      <c r="C1416" t="inlineStr">
        <is>
          <t>Föryngringsavverkning</t>
        </is>
      </c>
      <c r="D1416" s="1" t="n">
        <v>45467</v>
      </c>
      <c r="E1416" s="1" t="n">
        <v>46310</v>
      </c>
      <c r="F1416" t="inlineStr">
        <is>
          <t>VÄSTERNORRLANDS LÄN</t>
        </is>
      </c>
      <c r="G1416" t="inlineStr">
        <is>
          <t>ÅNGE</t>
        </is>
      </c>
      <c r="H1416" t="inlineStr">
        <is>
          <t>SCA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48697-2024</t>
        </is>
      </c>
      <c r="B1417" t="inlineStr">
        <is>
          <t>avverkningsanmälan</t>
        </is>
      </c>
      <c r="C1417" t="inlineStr">
        <is>
          <t>Föryngringsavverkning</t>
        </is>
      </c>
      <c r="D1417" s="1" t="n">
        <v>45593</v>
      </c>
      <c r="E1417" s="1" t="n">
        <v>46310</v>
      </c>
      <c r="F1417" t="inlineStr">
        <is>
          <t>VÄSTERNORRLANDS LÄN</t>
        </is>
      </c>
      <c r="G1417" t="inlineStr">
        <is>
          <t>ÅNGE</t>
        </is>
      </c>
      <c r="H1417" t="inlineStr">
        <is>
          <t>SCA</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1095-2023</t>
        </is>
      </c>
      <c r="B1418" t="inlineStr">
        <is>
          <t>avverkningsanmälan</t>
        </is>
      </c>
      <c r="C1418" t="inlineStr">
        <is>
          <t>Föryngringsavverkning</t>
        </is>
      </c>
      <c r="D1418" s="1" t="n">
        <v>44929</v>
      </c>
      <c r="E1418" s="1" t="n">
        <v>46310</v>
      </c>
      <c r="F1418" t="inlineStr">
        <is>
          <t>VÄSTERNORRLANDS LÄN</t>
        </is>
      </c>
      <c r="G1418" t="inlineStr">
        <is>
          <t>ÅNGE</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35221-2026</t>
        </is>
      </c>
      <c r="B1419" t="inlineStr">
        <is>
          <t>avverkningsanmälan</t>
        </is>
      </c>
      <c r="C1419" t="inlineStr">
        <is>
          <t>Föryngringsavverkning</t>
        </is>
      </c>
      <c r="D1419" s="1" t="n">
        <v>46260</v>
      </c>
      <c r="E1419" s="1" t="n">
        <v>46310</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63709-2023</t>
        </is>
      </c>
      <c r="B1420" t="inlineStr">
        <is>
          <t>avverkningsanmälan</t>
        </is>
      </c>
      <c r="C1420" t="inlineStr">
        <is>
          <t>Föryngringsavverkning</t>
        </is>
      </c>
      <c r="D1420" s="1" t="n">
        <v>45275</v>
      </c>
      <c r="E1420" s="1" t="n">
        <v>46310</v>
      </c>
      <c r="F1420" t="inlineStr">
        <is>
          <t>VÄSTERNORRLANDS LÄN</t>
        </is>
      </c>
      <c r="G1420" t="inlineStr">
        <is>
          <t>ÅNGE</t>
        </is>
      </c>
      <c r="H1420" t="inlineStr">
        <is>
          <t>SCA</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30353-2024</t>
        </is>
      </c>
      <c r="B1421" t="inlineStr">
        <is>
          <t>avverkningsanmälan</t>
        </is>
      </c>
      <c r="C1421" t="inlineStr">
        <is>
          <t>Föryngringsavverkning</t>
        </is>
      </c>
      <c r="D1421" s="1" t="n">
        <v>45490</v>
      </c>
      <c r="E1421" s="1" t="n">
        <v>46310</v>
      </c>
      <c r="F1421" t="inlineStr">
        <is>
          <t>VÄSTERNORRLANDS LÄN</t>
        </is>
      </c>
      <c r="G1421" t="inlineStr">
        <is>
          <t>ÅNGE</t>
        </is>
      </c>
      <c r="H1421" t="inlineStr">
        <is>
          <t>SCA</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34856-2026</t>
        </is>
      </c>
      <c r="B1422" t="inlineStr">
        <is>
          <t>avverkningsanmälan</t>
        </is>
      </c>
      <c r="C1422" t="inlineStr">
        <is>
          <t>Föryngringsavverkning</t>
        </is>
      </c>
      <c r="D1422" s="1" t="n">
        <v>46258</v>
      </c>
      <c r="E1422" s="1" t="n">
        <v>46310</v>
      </c>
      <c r="F1422" t="inlineStr">
        <is>
          <t>VÄSTERNORRLANDS LÄN</t>
        </is>
      </c>
      <c r="G1422" t="inlineStr">
        <is>
          <t>ÅNGE</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58929-2024</t>
        </is>
      </c>
      <c r="B1423" t="inlineStr">
        <is>
          <t>avverkningsanmälan</t>
        </is>
      </c>
      <c r="C1423" t="inlineStr">
        <is>
          <t>Föryngringsavverkning</t>
        </is>
      </c>
      <c r="D1423" s="1" t="n">
        <v>45636</v>
      </c>
      <c r="E1423" s="1" t="n">
        <v>46310</v>
      </c>
      <c r="F1423" t="inlineStr">
        <is>
          <t>VÄSTERNORRLANDS LÄN</t>
        </is>
      </c>
      <c r="G1423" t="inlineStr">
        <is>
          <t>ÅNGE</t>
        </is>
      </c>
      <c r="H1423" t="inlineStr">
        <is>
          <t>SCA</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42100-2023</t>
        </is>
      </c>
      <c r="B1424" t="inlineStr">
        <is>
          <t>avverkningsanmälan</t>
        </is>
      </c>
      <c r="C1424" t="inlineStr">
        <is>
          <t>Föryngringsavverkning</t>
        </is>
      </c>
      <c r="D1424" s="1" t="n">
        <v>45174</v>
      </c>
      <c r="E1424" s="1" t="n">
        <v>46310</v>
      </c>
      <c r="F1424" t="inlineStr">
        <is>
          <t>VÄSTERNORRLANDS LÄN</t>
        </is>
      </c>
      <c r="G1424" t="inlineStr">
        <is>
          <t>ÅNGE</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2365-2024</t>
        </is>
      </c>
      <c r="B1425" t="inlineStr">
        <is>
          <t>avverkningsanmälan</t>
        </is>
      </c>
      <c r="C1425" t="inlineStr">
        <is>
          <t>Föryngringsavverkning</t>
        </is>
      </c>
      <c r="D1425" s="1" t="n">
        <v>45310</v>
      </c>
      <c r="E1425" s="1" t="n">
        <v>46310</v>
      </c>
      <c r="F1425" t="inlineStr">
        <is>
          <t>VÄSTERNORRLANDS LÄN</t>
        </is>
      </c>
      <c r="G1425" t="inlineStr">
        <is>
          <t>ÅNGE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2372-2024</t>
        </is>
      </c>
      <c r="B1426" t="inlineStr">
        <is>
          <t>avverkningsanmälan</t>
        </is>
      </c>
      <c r="C1426" t="inlineStr">
        <is>
          <t>Föryngringsavverkning</t>
        </is>
      </c>
      <c r="D1426" s="1" t="n">
        <v>45310</v>
      </c>
      <c r="E1426" s="1" t="n">
        <v>46310</v>
      </c>
      <c r="F1426" t="inlineStr">
        <is>
          <t>VÄSTERNORRLANDS LÄN</t>
        </is>
      </c>
      <c r="G1426" t="inlineStr">
        <is>
          <t>ÅNGE</t>
        </is>
      </c>
      <c r="I1426" t="n">
        <v>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41718-2026</t>
        </is>
      </c>
      <c r="B1427" t="inlineStr">
        <is>
          <t>avverkningsanmälan</t>
        </is>
      </c>
      <c r="C1427" t="inlineStr">
        <is>
          <t>Föryngringsavverkning</t>
        </is>
      </c>
      <c r="D1427" s="1" t="n">
        <v>46302</v>
      </c>
      <c r="E1427" s="1" t="n">
        <v>46310</v>
      </c>
      <c r="F1427" t="inlineStr">
        <is>
          <t>VÄSTERNORRLANDS LÄN</t>
        </is>
      </c>
      <c r="G1427" t="inlineStr">
        <is>
          <t>ÅNGE</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21068-2025</t>
        </is>
      </c>
      <c r="B1428" t="inlineStr">
        <is>
          <t>avverkningsanmälan</t>
        </is>
      </c>
      <c r="C1428" t="inlineStr">
        <is>
          <t>Föryngringsavverkning</t>
        </is>
      </c>
      <c r="D1428" s="1" t="n">
        <v>45777</v>
      </c>
      <c r="E1428" s="1" t="n">
        <v>46310</v>
      </c>
      <c r="F1428" t="inlineStr">
        <is>
          <t>VÄSTERNORRLANDS LÄN</t>
        </is>
      </c>
      <c r="G1428" t="inlineStr">
        <is>
          <t>ÅNGE</t>
        </is>
      </c>
      <c r="H1428" t="inlineStr">
        <is>
          <t>SCA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20776-2025</t>
        </is>
      </c>
      <c r="B1429" t="inlineStr">
        <is>
          <t>avverkningsanmälan</t>
        </is>
      </c>
      <c r="C1429" t="inlineStr">
        <is>
          <t>Föryngringsavverkning</t>
        </is>
      </c>
      <c r="D1429" s="1" t="n">
        <v>45776</v>
      </c>
      <c r="E1429" s="1" t="n">
        <v>46310</v>
      </c>
      <c r="F1429" t="inlineStr">
        <is>
          <t>VÄSTERNORRLANDS LÄN</t>
        </is>
      </c>
      <c r="G1429" t="inlineStr">
        <is>
          <t>ÅNGE</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21174-2025</t>
        </is>
      </c>
      <c r="B1430" t="inlineStr">
        <is>
          <t>avverkningsanmälan</t>
        </is>
      </c>
      <c r="C1430" t="inlineStr">
        <is>
          <t>Föryngringsavverkning</t>
        </is>
      </c>
      <c r="D1430" s="1" t="n">
        <v>45779</v>
      </c>
      <c r="E1430" s="1" t="n">
        <v>46310</v>
      </c>
      <c r="F1430" t="inlineStr">
        <is>
          <t>VÄSTERNORRLANDS LÄN</t>
        </is>
      </c>
      <c r="G1430" t="inlineStr">
        <is>
          <t>ÅNGE</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21197-2025</t>
        </is>
      </c>
      <c r="B1431" t="inlineStr">
        <is>
          <t>avverkningsanmälan</t>
        </is>
      </c>
      <c r="C1431" t="inlineStr">
        <is>
          <t>Föryngringsavverkning</t>
        </is>
      </c>
      <c r="D1431" s="1" t="n">
        <v>45779</v>
      </c>
      <c r="E1431" s="1" t="n">
        <v>46310</v>
      </c>
      <c r="F1431" t="inlineStr">
        <is>
          <t>VÄSTERNORRLANDS LÄN</t>
        </is>
      </c>
      <c r="G1431" t="inlineStr">
        <is>
          <t>ÅNGE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45030-2024</t>
        </is>
      </c>
      <c r="B1432" t="inlineStr">
        <is>
          <t>avverkningsanmälan</t>
        </is>
      </c>
      <c r="C1432" t="inlineStr">
        <is>
          <t>Föryngringsavverkning</t>
        </is>
      </c>
      <c r="D1432" s="1" t="n">
        <v>45575</v>
      </c>
      <c r="E1432" s="1" t="n">
        <v>46310</v>
      </c>
      <c r="F1432" t="inlineStr">
        <is>
          <t>VÄSTERNORRLANDS LÄN</t>
        </is>
      </c>
      <c r="G1432" t="inlineStr">
        <is>
          <t>ÅNGE</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21251-2025</t>
        </is>
      </c>
      <c r="B1433" t="inlineStr">
        <is>
          <t>avverkningsanmälan</t>
        </is>
      </c>
      <c r="C1433" t="inlineStr">
        <is>
          <t>Föryngringsavverkning</t>
        </is>
      </c>
      <c r="D1433" s="1" t="n">
        <v>45779</v>
      </c>
      <c r="E1433" s="1" t="n">
        <v>46310</v>
      </c>
      <c r="F1433" t="inlineStr">
        <is>
          <t>VÄSTERNORRLANDS LÄN</t>
        </is>
      </c>
      <c r="G1433" t="inlineStr">
        <is>
          <t>ÅNGE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35361-2026</t>
        </is>
      </c>
      <c r="B1434" t="inlineStr">
        <is>
          <t>avverkningsanmälan</t>
        </is>
      </c>
      <c r="C1434" t="inlineStr">
        <is>
          <t>Föryngringsavverkning</t>
        </is>
      </c>
      <c r="D1434" s="1" t="n">
        <v>46261</v>
      </c>
      <c r="E1434" s="1" t="n">
        <v>46310</v>
      </c>
      <c r="F1434" t="inlineStr">
        <is>
          <t>VÄSTERNORRLANDS LÄN</t>
        </is>
      </c>
      <c r="G1434" t="inlineStr">
        <is>
          <t>ÅNGE</t>
        </is>
      </c>
      <c r="H1434" t="inlineStr">
        <is>
          <t>SCA</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53858-2024</t>
        </is>
      </c>
      <c r="B1435" t="inlineStr">
        <is>
          <t>avverkningsanmälan</t>
        </is>
      </c>
      <c r="C1435" t="inlineStr">
        <is>
          <t>Föryngringsavverkning</t>
        </is>
      </c>
      <c r="D1435" s="1" t="n">
        <v>45615</v>
      </c>
      <c r="E1435" s="1" t="n">
        <v>46310</v>
      </c>
      <c r="F1435" t="inlineStr">
        <is>
          <t>VÄSTERNORRLANDS LÄN</t>
        </is>
      </c>
      <c r="G1435" t="inlineStr">
        <is>
          <t>ÅNGE</t>
        </is>
      </c>
      <c r="H1435" t="inlineStr">
        <is>
          <t>SCA</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42366-2026</t>
        </is>
      </c>
      <c r="B1436" t="inlineStr">
        <is>
          <t>avverkningsanmälan</t>
        </is>
      </c>
      <c r="C1436" t="inlineStr">
        <is>
          <t>Föryngringsavverkning</t>
        </is>
      </c>
      <c r="D1436" s="1" t="n">
        <v>46307</v>
      </c>
      <c r="E1436" s="1" t="n">
        <v>46310</v>
      </c>
      <c r="F1436" t="inlineStr">
        <is>
          <t>VÄSTERNORRLANDS LÄN</t>
        </is>
      </c>
      <c r="G1436" t="inlineStr">
        <is>
          <t>ÅNGE</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21685-2025</t>
        </is>
      </c>
      <c r="B1437" t="inlineStr">
        <is>
          <t>avverkningsanmälan</t>
        </is>
      </c>
      <c r="C1437" t="inlineStr">
        <is>
          <t>Föryngringsavverkning</t>
        </is>
      </c>
      <c r="D1437" s="1" t="n">
        <v>45783</v>
      </c>
      <c r="E1437" s="1" t="n">
        <v>46310</v>
      </c>
      <c r="F1437" t="inlineStr">
        <is>
          <t>VÄSTERNORRLANDS LÄN</t>
        </is>
      </c>
      <c r="G1437" t="inlineStr">
        <is>
          <t>ÅNGE</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17669-2023</t>
        </is>
      </c>
      <c r="B1438" t="inlineStr">
        <is>
          <t>avverkningsanmälan</t>
        </is>
      </c>
      <c r="C1438" t="inlineStr">
        <is>
          <t>Föryngringsavverkning</t>
        </is>
      </c>
      <c r="D1438" s="1" t="n">
        <v>45036</v>
      </c>
      <c r="E1438" s="1" t="n">
        <v>46310</v>
      </c>
      <c r="F1438" t="inlineStr">
        <is>
          <t>VÄSTERNORRLANDS LÄN</t>
        </is>
      </c>
      <c r="G1438" t="inlineStr">
        <is>
          <t>ÅNGE</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35287-2026</t>
        </is>
      </c>
      <c r="B1439" t="inlineStr">
        <is>
          <t>avverkningsanmälan</t>
        </is>
      </c>
      <c r="C1439" t="inlineStr">
        <is>
          <t>Föryngringsavverkning</t>
        </is>
      </c>
      <c r="D1439" s="1" t="n">
        <v>46261</v>
      </c>
      <c r="E1439" s="1" t="n">
        <v>46310</v>
      </c>
      <c r="F1439" t="inlineStr">
        <is>
          <t>VÄSTERNORRLANDS LÄN</t>
        </is>
      </c>
      <c r="G1439" t="inlineStr">
        <is>
          <t>ÅNGE</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25867-2024</t>
        </is>
      </c>
      <c r="B1440" t="inlineStr">
        <is>
          <t>avverkningsanmälan</t>
        </is>
      </c>
      <c r="C1440" t="inlineStr">
        <is>
          <t>Föryngringsavverkning</t>
        </is>
      </c>
      <c r="D1440" s="1" t="n">
        <v>45463</v>
      </c>
      <c r="E1440" s="1" t="n">
        <v>46310</v>
      </c>
      <c r="F1440" t="inlineStr">
        <is>
          <t>VÄSTERNORRLANDS LÄN</t>
        </is>
      </c>
      <c r="G1440" t="inlineStr">
        <is>
          <t>ÅNGE</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2539-2025</t>
        </is>
      </c>
      <c r="B1441" t="inlineStr">
        <is>
          <t>avverkningsanmälan</t>
        </is>
      </c>
      <c r="C1441" t="inlineStr">
        <is>
          <t>Föryngringsavverkning</t>
        </is>
      </c>
      <c r="D1441" s="1" t="n">
        <v>45674</v>
      </c>
      <c r="E1441" s="1" t="n">
        <v>46310</v>
      </c>
      <c r="F1441" t="inlineStr">
        <is>
          <t>VÄSTERNORRLANDS LÄN</t>
        </is>
      </c>
      <c r="G1441" t="inlineStr">
        <is>
          <t>ÅNGE</t>
        </is>
      </c>
      <c r="H1441" t="inlineStr">
        <is>
          <t>SCA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42087-2026</t>
        </is>
      </c>
      <c r="B1442" t="inlineStr">
        <is>
          <t>avverkningsanmälan</t>
        </is>
      </c>
      <c r="C1442" t="inlineStr">
        <is>
          <t>Föryngringsavverkning</t>
        </is>
      </c>
      <c r="D1442" s="1" t="n">
        <v>46304</v>
      </c>
      <c r="E1442" s="1" t="n">
        <v>46310</v>
      </c>
      <c r="F1442" t="inlineStr">
        <is>
          <t>VÄSTERNORRLANDS LÄN</t>
        </is>
      </c>
      <c r="G1442" t="inlineStr">
        <is>
          <t>ÅNGE</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42104-2026</t>
        </is>
      </c>
      <c r="B1443" t="inlineStr">
        <is>
          <t>avverkningsanmälan</t>
        </is>
      </c>
      <c r="C1443" t="inlineStr">
        <is>
          <t>Föryngringsavverkning</t>
        </is>
      </c>
      <c r="D1443" s="1" t="n">
        <v>46304</v>
      </c>
      <c r="E1443" s="1" t="n">
        <v>46310</v>
      </c>
      <c r="F1443" t="inlineStr">
        <is>
          <t>VÄSTERNORRLANDS LÄN</t>
        </is>
      </c>
      <c r="G1443" t="inlineStr">
        <is>
          <t>ÅNGE</t>
        </is>
      </c>
      <c r="H1443" t="inlineStr">
        <is>
          <t>SCA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46310</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21563-2025</t>
        </is>
      </c>
      <c r="B1445" t="inlineStr">
        <is>
          <t>avverkningsanmälan</t>
        </is>
      </c>
      <c r="C1445" t="inlineStr">
        <is>
          <t>Föryngringsavverkning</t>
        </is>
      </c>
      <c r="D1445" s="1" t="n">
        <v>45782</v>
      </c>
      <c r="E1445" s="1" t="n">
        <v>46310</v>
      </c>
      <c r="F1445" t="inlineStr">
        <is>
          <t>VÄSTERNORRLANDS LÄN</t>
        </is>
      </c>
      <c r="G1445" t="inlineStr">
        <is>
          <t>ÅNGE</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21712-2025</t>
        </is>
      </c>
      <c r="B1446" t="inlineStr">
        <is>
          <t>avverkningsanmälan</t>
        </is>
      </c>
      <c r="C1446" t="inlineStr">
        <is>
          <t>Föryngringsavverkning</t>
        </is>
      </c>
      <c r="D1446" s="1" t="n">
        <v>45783</v>
      </c>
      <c r="E1446" s="1" t="n">
        <v>46310</v>
      </c>
      <c r="F1446" t="inlineStr">
        <is>
          <t>VÄSTERNORRLANDS LÄN</t>
        </is>
      </c>
      <c r="G1446" t="inlineStr">
        <is>
          <t>ÅNGE</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35523-2026</t>
        </is>
      </c>
      <c r="B1447" t="inlineStr">
        <is>
          <t>avverkningsanmälan</t>
        </is>
      </c>
      <c r="C1447" t="inlineStr">
        <is>
          <t>Föryngringsavverkning</t>
        </is>
      </c>
      <c r="D1447" s="1" t="n">
        <v>46262</v>
      </c>
      <c r="E1447" s="1" t="n">
        <v>46310</v>
      </c>
      <c r="F1447" t="inlineStr">
        <is>
          <t>VÄSTERNORRLANDS LÄN</t>
        </is>
      </c>
      <c r="G1447" t="inlineStr">
        <is>
          <t>ÅNGE</t>
        </is>
      </c>
      <c r="H1447" t="inlineStr">
        <is>
          <t>SCA</t>
        </is>
      </c>
      <c r="I1447" t="n">
        <v>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32257-2024</t>
        </is>
      </c>
      <c r="B1448" t="inlineStr">
        <is>
          <t>avverkningsanmälan</t>
        </is>
      </c>
      <c r="C1448" t="inlineStr">
        <is>
          <t>Föryngringsavverkning</t>
        </is>
      </c>
      <c r="D1448" s="1" t="n">
        <v>45511</v>
      </c>
      <c r="E1448" s="1" t="n">
        <v>46310</v>
      </c>
      <c r="F1448" t="inlineStr">
        <is>
          <t>VÄSTERNORRLANDS LÄN</t>
        </is>
      </c>
      <c r="G1448" t="inlineStr">
        <is>
          <t>ÅNGE</t>
        </is>
      </c>
      <c r="H1448" t="inlineStr">
        <is>
          <t>SCA</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20880-2025</t>
        </is>
      </c>
      <c r="B1449" t="inlineStr">
        <is>
          <t>avverkningsanmälan</t>
        </is>
      </c>
      <c r="C1449" t="inlineStr">
        <is>
          <t>Föryngringsavverkning</t>
        </is>
      </c>
      <c r="D1449" s="1" t="n">
        <v>45777</v>
      </c>
      <c r="E1449" s="1" t="n">
        <v>46310</v>
      </c>
      <c r="F1449" t="inlineStr">
        <is>
          <t>VÄSTERNORRLANDS LÄN</t>
        </is>
      </c>
      <c r="G1449" t="inlineStr">
        <is>
          <t>ÅNGE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22219-2025</t>
        </is>
      </c>
      <c r="B1450" t="inlineStr">
        <is>
          <t>avverkningsanmälan</t>
        </is>
      </c>
      <c r="C1450" t="inlineStr">
        <is>
          <t>Föryngringsavverkning</t>
        </is>
      </c>
      <c r="D1450" s="1" t="n">
        <v>45785</v>
      </c>
      <c r="E1450" s="1" t="n">
        <v>46310</v>
      </c>
      <c r="F1450" t="inlineStr">
        <is>
          <t>VÄSTERNORRLANDS LÄN</t>
        </is>
      </c>
      <c r="G1450" t="inlineStr">
        <is>
          <t>ÅNGE</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21862-2025</t>
        </is>
      </c>
      <c r="B1451" t="inlineStr">
        <is>
          <t>avverkningsanmälan</t>
        </is>
      </c>
      <c r="C1451" t="inlineStr">
        <is>
          <t>Föryngringsavverkning</t>
        </is>
      </c>
      <c r="D1451" s="1" t="n">
        <v>45784</v>
      </c>
      <c r="E1451" s="1" t="n">
        <v>46310</v>
      </c>
      <c r="F1451" t="inlineStr">
        <is>
          <t>VÄSTERNORRLANDS LÄN</t>
        </is>
      </c>
      <c r="G1451" t="inlineStr">
        <is>
          <t>ÅNGE</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22206-2025</t>
        </is>
      </c>
      <c r="B1452" t="inlineStr">
        <is>
          <t>avverkningsanmälan</t>
        </is>
      </c>
      <c r="C1452" t="inlineStr">
        <is>
          <t>Föryngringsavverkning</t>
        </is>
      </c>
      <c r="D1452" s="1" t="n">
        <v>45785</v>
      </c>
      <c r="E1452" s="1" t="n">
        <v>46310</v>
      </c>
      <c r="F1452" t="inlineStr">
        <is>
          <t>VÄSTERNORRLANDS LÄN</t>
        </is>
      </c>
      <c r="G1452" t="inlineStr">
        <is>
          <t>ÅNGE</t>
        </is>
      </c>
      <c r="H1452" t="inlineStr">
        <is>
          <t>SCA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31067-2026</t>
        </is>
      </c>
      <c r="B1453" t="inlineStr">
        <is>
          <t>avverkningsanmälan</t>
        </is>
      </c>
      <c r="C1453" t="inlineStr">
        <is>
          <t>Föryngringsavverkning</t>
        </is>
      </c>
      <c r="D1453" s="1" t="n">
        <v>46215</v>
      </c>
      <c r="E1453" s="1" t="n">
        <v>46310</v>
      </c>
      <c r="F1453" t="inlineStr">
        <is>
          <t>VÄSTERNORRLANDS LÄN</t>
        </is>
      </c>
      <c r="G1453" t="inlineStr">
        <is>
          <t>ÅNGE</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29395-2023</t>
        </is>
      </c>
      <c r="B1454" t="inlineStr">
        <is>
          <t>avverkningsanmälan</t>
        </is>
      </c>
      <c r="C1454" t="inlineStr">
        <is>
          <t>Föryngringsavverkning</t>
        </is>
      </c>
      <c r="D1454" s="1" t="n">
        <v>45106</v>
      </c>
      <c r="E1454" s="1" t="n">
        <v>46310</v>
      </c>
      <c r="F1454" t="inlineStr">
        <is>
          <t>VÄSTERNORRLANDS LÄN</t>
        </is>
      </c>
      <c r="G1454" t="inlineStr">
        <is>
          <t>ÅNGE</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38800-2024</t>
        </is>
      </c>
      <c r="B1455" t="inlineStr">
        <is>
          <t>avverkningsanmälan</t>
        </is>
      </c>
      <c r="C1455" t="inlineStr">
        <is>
          <t>Föryngringsavverkning</t>
        </is>
      </c>
      <c r="D1455" s="1" t="n">
        <v>45547</v>
      </c>
      <c r="E1455" s="1" t="n">
        <v>46310</v>
      </c>
      <c r="F1455" t="inlineStr">
        <is>
          <t>VÄSTERNORRLANDS LÄN</t>
        </is>
      </c>
      <c r="G1455" t="inlineStr">
        <is>
          <t>ÅNGE</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21883-2025</t>
        </is>
      </c>
      <c r="B1456" t="inlineStr">
        <is>
          <t>avverkningsanmälan</t>
        </is>
      </c>
      <c r="C1456" t="inlineStr">
        <is>
          <t>Föryngringsavverkning</t>
        </is>
      </c>
      <c r="D1456" s="1" t="n">
        <v>45784</v>
      </c>
      <c r="E1456" s="1" t="n">
        <v>46310</v>
      </c>
      <c r="F1456" t="inlineStr">
        <is>
          <t>VÄSTERNORRLANDS LÄN</t>
        </is>
      </c>
      <c r="G1456" t="inlineStr">
        <is>
          <t>ÅNGE</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31492-2024</t>
        </is>
      </c>
      <c r="B1457" t="inlineStr">
        <is>
          <t>avverkningsanmälan</t>
        </is>
      </c>
      <c r="C1457" t="inlineStr">
        <is>
          <t>Föryngringsavverkning</t>
        </is>
      </c>
      <c r="D1457" s="1" t="n">
        <v>45505</v>
      </c>
      <c r="E1457" s="1" t="n">
        <v>46310</v>
      </c>
      <c r="F1457" t="inlineStr">
        <is>
          <t>VÄSTERNORRLANDS LÄN</t>
        </is>
      </c>
      <c r="G1457" t="inlineStr">
        <is>
          <t>ÅNGE</t>
        </is>
      </c>
      <c r="H1457" t="inlineStr">
        <is>
          <t>SCA</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42540-2026</t>
        </is>
      </c>
      <c r="B1458" t="inlineStr">
        <is>
          <t>avverkningsanmälan</t>
        </is>
      </c>
      <c r="C1458" t="inlineStr">
        <is>
          <t>Föryngringsavverkning</t>
        </is>
      </c>
      <c r="D1458" s="1" t="n">
        <v>46308</v>
      </c>
      <c r="E1458" s="1" t="n">
        <v>46310</v>
      </c>
      <c r="F1458" t="inlineStr">
        <is>
          <t>VÄSTERNORRLANDS LÄN</t>
        </is>
      </c>
      <c r="G1458" t="inlineStr">
        <is>
          <t>ÅNGE</t>
        </is>
      </c>
      <c r="I1458" t="n">
        <v>17.2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22187-2024</t>
        </is>
      </c>
      <c r="B1459" t="inlineStr">
        <is>
          <t>avverkningsanmälan</t>
        </is>
      </c>
      <c r="C1459" t="inlineStr">
        <is>
          <t>Föryngringsavverkning</t>
        </is>
      </c>
      <c r="D1459" s="1" t="n">
        <v>45446</v>
      </c>
      <c r="E1459" s="1" t="n">
        <v>46310</v>
      </c>
      <c r="F1459" t="inlineStr">
        <is>
          <t>VÄSTERNORRLANDS LÄN</t>
        </is>
      </c>
      <c r="G1459" t="inlineStr">
        <is>
          <t>ÅNGE</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35693-2026</t>
        </is>
      </c>
      <c r="B1460" t="inlineStr">
        <is>
          <t>avverkningsanmälan</t>
        </is>
      </c>
      <c r="C1460" t="inlineStr">
        <is>
          <t>Föryngringsavverkning</t>
        </is>
      </c>
      <c r="D1460" s="1" t="n">
        <v>46265</v>
      </c>
      <c r="E1460" s="1" t="n">
        <v>46310</v>
      </c>
      <c r="F1460" t="inlineStr">
        <is>
          <t>VÄSTERNORRLANDS LÄN</t>
        </is>
      </c>
      <c r="G1460" t="inlineStr">
        <is>
          <t>ÅNGE</t>
        </is>
      </c>
      <c r="H1460" t="inlineStr">
        <is>
          <t>SCA</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42787-2026</t>
        </is>
      </c>
      <c r="B1461" t="inlineStr">
        <is>
          <t>avverkningsanmälan</t>
        </is>
      </c>
      <c r="C1461" t="inlineStr">
        <is>
          <t>Föryngringsavverkning</t>
        </is>
      </c>
      <c r="D1461" s="1" t="n">
        <v>46309</v>
      </c>
      <c r="E1461" s="1" t="n">
        <v>46310</v>
      </c>
      <c r="F1461" t="inlineStr">
        <is>
          <t>VÄSTERNORRLANDS LÄN</t>
        </is>
      </c>
      <c r="G1461" t="inlineStr">
        <is>
          <t>ÅNGE</t>
        </is>
      </c>
      <c r="H1461" t="inlineStr">
        <is>
          <t>SCA</t>
        </is>
      </c>
      <c r="I1461" t="n">
        <v>15.4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22489-2025</t>
        </is>
      </c>
      <c r="B1462" t="inlineStr">
        <is>
          <t>avverkningsanmälan</t>
        </is>
      </c>
      <c r="C1462" t="inlineStr">
        <is>
          <t>Föryngringsavverkning</t>
        </is>
      </c>
      <c r="D1462" s="1" t="n">
        <v>45786</v>
      </c>
      <c r="E1462" s="1" t="n">
        <v>46310</v>
      </c>
      <c r="F1462" t="inlineStr">
        <is>
          <t>VÄSTERNORRLANDS LÄN</t>
        </is>
      </c>
      <c r="G1462" t="inlineStr">
        <is>
          <t>ÅNGE</t>
        </is>
      </c>
      <c r="H1462" t="inlineStr">
        <is>
          <t>Sveaskog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22791-2025</t>
        </is>
      </c>
      <c r="B1463" t="inlineStr">
        <is>
          <t>avverkningsanmälan</t>
        </is>
      </c>
      <c r="C1463" t="inlineStr">
        <is>
          <t>Föryngringsavverkning</t>
        </is>
      </c>
      <c r="D1463" s="1" t="n">
        <v>45789</v>
      </c>
      <c r="E1463" s="1" t="n">
        <v>46310</v>
      </c>
      <c r="F1463" t="inlineStr">
        <is>
          <t>VÄSTERNORRLANDS LÄN</t>
        </is>
      </c>
      <c r="G1463" t="inlineStr">
        <is>
          <t>ÅNGE</t>
        </is>
      </c>
      <c r="H1463" t="inlineStr">
        <is>
          <t>SCA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42543-2026</t>
        </is>
      </c>
      <c r="B1464" t="inlineStr">
        <is>
          <t>avverkningsanmälan</t>
        </is>
      </c>
      <c r="C1464" t="inlineStr">
        <is>
          <t>Föryngringsavverkning</t>
        </is>
      </c>
      <c r="D1464" s="1" t="n">
        <v>46308</v>
      </c>
      <c r="E1464" s="1" t="n">
        <v>46310</v>
      </c>
      <c r="F1464" t="inlineStr">
        <is>
          <t>VÄSTERNORRLANDS LÄN</t>
        </is>
      </c>
      <c r="G1464" t="inlineStr">
        <is>
          <t>ÅNGE</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42545-2026</t>
        </is>
      </c>
      <c r="B1465" t="inlineStr">
        <is>
          <t>avverkningsanmälan</t>
        </is>
      </c>
      <c r="C1465" t="inlineStr">
        <is>
          <t>Föryngringsavverkning</t>
        </is>
      </c>
      <c r="D1465" s="1" t="n">
        <v>46308</v>
      </c>
      <c r="E1465" s="1" t="n">
        <v>46310</v>
      </c>
      <c r="F1465" t="inlineStr">
        <is>
          <t>VÄSTERNORRLANDS LÄN</t>
        </is>
      </c>
      <c r="G1465" t="inlineStr">
        <is>
          <t>ÅNGE</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42544-2026</t>
        </is>
      </c>
      <c r="B1466" t="inlineStr">
        <is>
          <t>avverkningsanmälan</t>
        </is>
      </c>
      <c r="C1466" t="inlineStr">
        <is>
          <t>Föryngringsavverkning</t>
        </is>
      </c>
      <c r="D1466" s="1" t="n">
        <v>46308</v>
      </c>
      <c r="E1466" s="1" t="n">
        <v>46310</v>
      </c>
      <c r="F1466" t="inlineStr">
        <is>
          <t>VÄSTERNORRLANDS LÄN</t>
        </is>
      </c>
      <c r="G1466" t="inlineStr">
        <is>
          <t>ÅNGE</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35664-2026</t>
        </is>
      </c>
      <c r="B1467" t="inlineStr">
        <is>
          <t>avverkningsanmälan</t>
        </is>
      </c>
      <c r="C1467" t="inlineStr">
        <is>
          <t>Föryngringsavverkning</t>
        </is>
      </c>
      <c r="D1467" s="1" t="n">
        <v>46265</v>
      </c>
      <c r="E1467" s="1" t="n">
        <v>46310</v>
      </c>
      <c r="F1467" t="inlineStr">
        <is>
          <t>VÄSTERNORRLANDS LÄN</t>
        </is>
      </c>
      <c r="G1467" t="inlineStr">
        <is>
          <t>ÅNGE</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1220-2024</t>
        </is>
      </c>
      <c r="B1468" t="inlineStr">
        <is>
          <t>samrådsanmälan</t>
        </is>
      </c>
      <c r="C1468" t="inlineStr">
        <is>
          <t>Annan skogsbruksåtgärd</t>
        </is>
      </c>
      <c r="D1468" s="1" t="n">
        <v>45398</v>
      </c>
      <c r="E1468" s="1" t="n">
        <v>46310</v>
      </c>
      <c r="F1468" t="inlineStr">
        <is>
          <t>VÄSTERNORRLANDS LÄN</t>
        </is>
      </c>
      <c r="G1468" t="inlineStr">
        <is>
          <t>ÅNGE</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1217-2024</t>
        </is>
      </c>
      <c r="B1469" t="inlineStr">
        <is>
          <t>samrådsanmälan</t>
        </is>
      </c>
      <c r="C1469" t="inlineStr">
        <is>
          <t>Annan skogsbruksåtgärd</t>
        </is>
      </c>
      <c r="D1469" s="1" t="n">
        <v>45398</v>
      </c>
      <c r="E1469" s="1" t="n">
        <v>46310</v>
      </c>
      <c r="F1469" t="inlineStr">
        <is>
          <t>VÄSTERNORRLANDS LÄN</t>
        </is>
      </c>
      <c r="G1469" t="inlineStr">
        <is>
          <t>ÅNGE</t>
        </is>
      </c>
      <c r="H1469" t="inlineStr">
        <is>
          <t>SCA</t>
        </is>
      </c>
      <c r="I1469" t="n">
        <v>12.4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1227-2024</t>
        </is>
      </c>
      <c r="B1470" t="inlineStr">
        <is>
          <t>samrådsanmälan</t>
        </is>
      </c>
      <c r="C1470" t="inlineStr">
        <is>
          <t>Annan skogsbruksåtgärd</t>
        </is>
      </c>
      <c r="D1470" s="1" t="n">
        <v>45398</v>
      </c>
      <c r="E1470" s="1" t="n">
        <v>46310</v>
      </c>
      <c r="F1470" t="inlineStr">
        <is>
          <t>VÄSTERNORRLANDS LÄN</t>
        </is>
      </c>
      <c r="G1470" t="inlineStr">
        <is>
          <t>ÅNGE</t>
        </is>
      </c>
      <c r="H1470" t="inlineStr">
        <is>
          <t>SCA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309-2024</t>
        </is>
      </c>
      <c r="B1471" t="inlineStr">
        <is>
          <t>samrådsanmälan</t>
        </is>
      </c>
      <c r="C1471" t="inlineStr">
        <is>
          <t>Skogsgödsling</t>
        </is>
      </c>
      <c r="D1471" s="1" t="n">
        <v>45323</v>
      </c>
      <c r="E1471" s="1" t="n">
        <v>46310</v>
      </c>
      <c r="F1471" t="inlineStr">
        <is>
          <t>VÄSTERNORRLANDS LÄN</t>
        </is>
      </c>
      <c r="G1471" t="inlineStr">
        <is>
          <t>ÅNGE</t>
        </is>
      </c>
      <c r="H1471" t="inlineStr">
        <is>
          <t>SCA</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7191-2022</t>
        </is>
      </c>
      <c r="B1472" t="inlineStr">
        <is>
          <t>samrådsanmälan</t>
        </is>
      </c>
      <c r="C1472" t="inlineStr">
        <is>
          <t>Skogsgödsling</t>
        </is>
      </c>
      <c r="D1472" s="1" t="n">
        <v>44904</v>
      </c>
      <c r="E1472" s="1" t="n">
        <v>46310</v>
      </c>
      <c r="F1472" t="inlineStr">
        <is>
          <t>VÄSTERNORRLANDS LÄN</t>
        </is>
      </c>
      <c r="G1472" t="inlineStr">
        <is>
          <t>ÅNGE</t>
        </is>
      </c>
      <c r="H1472" t="inlineStr">
        <is>
          <t>Holmen skog AB</t>
        </is>
      </c>
      <c r="I1472" t="n">
        <v>227.4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4005-2023</t>
        </is>
      </c>
      <c r="B1473" t="inlineStr">
        <is>
          <t>samrådsanmälan</t>
        </is>
      </c>
      <c r="C1473" t="inlineStr">
        <is>
          <t>Skogsgödsling</t>
        </is>
      </c>
      <c r="D1473" s="1" t="n">
        <v>45237</v>
      </c>
      <c r="E1473" s="1" t="n">
        <v>46310</v>
      </c>
      <c r="F1473" t="inlineStr">
        <is>
          <t>VÄSTERNORRLANDS LÄN</t>
        </is>
      </c>
      <c r="G1473" t="inlineStr">
        <is>
          <t>ÅNGE</t>
        </is>
      </c>
      <c r="H1473" t="inlineStr">
        <is>
          <t>Holmen skog AB</t>
        </is>
      </c>
      <c r="I1473" t="n">
        <v>67.2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4007-2023</t>
        </is>
      </c>
      <c r="B1474" t="inlineStr">
        <is>
          <t>samrådsanmälan</t>
        </is>
      </c>
      <c r="C1474" t="inlineStr">
        <is>
          <t>Skogsgödsling</t>
        </is>
      </c>
      <c r="D1474" s="1" t="n">
        <v>45237</v>
      </c>
      <c r="E1474" s="1" t="n">
        <v>46310</v>
      </c>
      <c r="F1474" t="inlineStr">
        <is>
          <t>VÄSTERNORRLANDS LÄN</t>
        </is>
      </c>
      <c r="G1474" t="inlineStr">
        <is>
          <t>ÅNGE</t>
        </is>
      </c>
      <c r="H1474" t="inlineStr">
        <is>
          <t>Holmen skog AB</t>
        </is>
      </c>
      <c r="I1474" t="n">
        <v>16.8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4006-2023</t>
        </is>
      </c>
      <c r="B1475" t="inlineStr">
        <is>
          <t>samrådsanmälan</t>
        </is>
      </c>
      <c r="C1475" t="inlineStr">
        <is>
          <t>Skogsgödsling</t>
        </is>
      </c>
      <c r="D1475" s="1" t="n">
        <v>45237</v>
      </c>
      <c r="E1475" s="1" t="n">
        <v>46310</v>
      </c>
      <c r="F1475" t="inlineStr">
        <is>
          <t>VÄSTERNORRLANDS LÄN</t>
        </is>
      </c>
      <c r="G1475" t="inlineStr">
        <is>
          <t>ÅNGE</t>
        </is>
      </c>
      <c r="H1475" t="inlineStr">
        <is>
          <t>Holmen skog AB</t>
        </is>
      </c>
      <c r="I1475" t="n">
        <v>87.40000000000001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241-2025</t>
        </is>
      </c>
      <c r="B1476" t="inlineStr">
        <is>
          <t>samrådsanmälan</t>
        </is>
      </c>
      <c r="C1476" t="inlineStr">
        <is>
          <t>Annan skogsbruksåtgärd</t>
        </is>
      </c>
      <c r="D1476" s="1" t="n">
        <v>45681</v>
      </c>
      <c r="E1476" s="1" t="n">
        <v>46310</v>
      </c>
      <c r="F1476" t="inlineStr">
        <is>
          <t>VÄSTERNORRLANDS LÄN</t>
        </is>
      </c>
      <c r="G1476" t="inlineStr">
        <is>
          <t>ÅNGE</t>
        </is>
      </c>
      <c r="H1476" t="inlineStr">
        <is>
          <t>SCA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297-2024</t>
        </is>
      </c>
      <c r="B1477" t="inlineStr">
        <is>
          <t>samrådsanmälan</t>
        </is>
      </c>
      <c r="C1477" t="inlineStr">
        <is>
          <t>Skogsgödsling</t>
        </is>
      </c>
      <c r="D1477" s="1" t="n">
        <v>45323</v>
      </c>
      <c r="E1477" s="1" t="n">
        <v>46310</v>
      </c>
      <c r="F1477" t="inlineStr">
        <is>
          <t>VÄSTERNORRLANDS LÄN</t>
        </is>
      </c>
      <c r="G1477" t="inlineStr">
        <is>
          <t>ÅNGE</t>
        </is>
      </c>
      <c r="H1477" t="inlineStr">
        <is>
          <t>SCA</t>
        </is>
      </c>
      <c r="I1477" t="n">
        <v>383.9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1067-2025</t>
        </is>
      </c>
      <c r="B1478" t="inlineStr">
        <is>
          <t>samrådsanmälan</t>
        </is>
      </c>
      <c r="C1478" t="inlineStr">
        <is>
          <t>Annan skogsbruksåtgärd</t>
        </is>
      </c>
      <c r="D1478" s="1" t="n">
        <v>45749</v>
      </c>
      <c r="E1478" s="1" t="n">
        <v>46310</v>
      </c>
      <c r="F1478" t="inlineStr">
        <is>
          <t>VÄSTERNORRLANDS LÄN</t>
        </is>
      </c>
      <c r="G1478" t="inlineStr">
        <is>
          <t>ÅNGE</t>
        </is>
      </c>
      <c r="H1478" t="inlineStr">
        <is>
          <t>SCA</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1365-2025</t>
        </is>
      </c>
      <c r="B1479" t="inlineStr">
        <is>
          <t>samrådsanmälan</t>
        </is>
      </c>
      <c r="C1479" t="inlineStr">
        <is>
          <t>Annan skogsbruksåtgärd</t>
        </is>
      </c>
      <c r="D1479" s="1" t="n">
        <v>45775</v>
      </c>
      <c r="E1479" s="1" t="n">
        <v>46310</v>
      </c>
      <c r="F1479" t="inlineStr">
        <is>
          <t>VÄSTERNORRLANDS LÄN</t>
        </is>
      </c>
      <c r="G1479" t="inlineStr">
        <is>
          <t>ÅNGE</t>
        </is>
      </c>
      <c r="H1479" t="inlineStr">
        <is>
          <t>SCA</t>
        </is>
      </c>
      <c r="I1479" t="n">
        <v>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449-2025</t>
        </is>
      </c>
      <c r="B1480" t="inlineStr">
        <is>
          <t>samrådsanmälan</t>
        </is>
      </c>
      <c r="C1480" t="inlineStr">
        <is>
          <t>Annan skogsbruksåtgärd</t>
        </is>
      </c>
      <c r="D1480" s="1" t="n">
        <v>45701</v>
      </c>
      <c r="E1480" s="1" t="n">
        <v>46310</v>
      </c>
      <c r="F1480" t="inlineStr">
        <is>
          <t>VÄSTERNORRLANDS LÄN</t>
        </is>
      </c>
      <c r="G1480" t="inlineStr">
        <is>
          <t>ÅNGE</t>
        </is>
      </c>
      <c r="H1480" t="inlineStr">
        <is>
          <t>SCA</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489-2025</t>
        </is>
      </c>
      <c r="B1481" t="inlineStr">
        <is>
          <t>samrådsanmälan</t>
        </is>
      </c>
      <c r="C1481" t="inlineStr">
        <is>
          <t>Annan skogsbruksåtgärd</t>
        </is>
      </c>
      <c r="D1481" s="1" t="n">
        <v>45705</v>
      </c>
      <c r="E1481" s="1" t="n">
        <v>46310</v>
      </c>
      <c r="F1481" t="inlineStr">
        <is>
          <t>VÄSTERNORRLANDS LÄN</t>
        </is>
      </c>
      <c r="G1481" t="inlineStr">
        <is>
          <t>ÅNGE</t>
        </is>
      </c>
      <c r="H1481" t="inlineStr">
        <is>
          <t>SCA</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1995-2025</t>
        </is>
      </c>
      <c r="B1482" t="inlineStr">
        <is>
          <t>samrådsanmälan</t>
        </is>
      </c>
      <c r="C1482" t="inlineStr">
        <is>
          <t>Annan skogsbruksåtgärd</t>
        </is>
      </c>
      <c r="D1482" s="1" t="n">
        <v>45833</v>
      </c>
      <c r="E1482" s="1" t="n">
        <v>46310</v>
      </c>
      <c r="F1482" t="inlineStr">
        <is>
          <t>VÄSTERNORRLANDS LÄN</t>
        </is>
      </c>
      <c r="G1482" t="inlineStr">
        <is>
          <t>ÅNGE</t>
        </is>
      </c>
      <c r="H1482" t="inlineStr">
        <is>
          <t>SCA</t>
        </is>
      </c>
      <c r="I1482" t="n">
        <v>12.6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1994-2025</t>
        </is>
      </c>
      <c r="B1483" t="inlineStr">
        <is>
          <t>samrådsanmälan</t>
        </is>
      </c>
      <c r="C1483" t="inlineStr">
        <is>
          <t>Annan skogsbruksåtgärd</t>
        </is>
      </c>
      <c r="D1483" s="1" t="n">
        <v>45833</v>
      </c>
      <c r="E1483" s="1" t="n">
        <v>46310</v>
      </c>
      <c r="F1483" t="inlineStr">
        <is>
          <t>VÄSTERNORRLANDS LÄN</t>
        </is>
      </c>
      <c r="G1483" t="inlineStr">
        <is>
          <t>ÅNGE</t>
        </is>
      </c>
      <c r="H1483" t="inlineStr">
        <is>
          <t>SCA</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2851-2025</t>
        </is>
      </c>
      <c r="B1484" t="inlineStr">
        <is>
          <t>samrådsanmälan</t>
        </is>
      </c>
      <c r="C1484" t="inlineStr">
        <is>
          <t>Annan skogsbruksåtgärd</t>
        </is>
      </c>
      <c r="D1484" s="1" t="n">
        <v>45943</v>
      </c>
      <c r="E1484" s="1" t="n">
        <v>46310</v>
      </c>
      <c r="F1484" t="inlineStr">
        <is>
          <t>VÄSTERNORRLANDS LÄN</t>
        </is>
      </c>
      <c r="G1484" t="inlineStr">
        <is>
          <t>ÅNGE</t>
        </is>
      </c>
      <c r="H1484" t="inlineStr">
        <is>
          <t>SCA</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2852-2025</t>
        </is>
      </c>
      <c r="B1485" t="inlineStr">
        <is>
          <t>samrådsanmälan</t>
        </is>
      </c>
      <c r="C1485" t="inlineStr">
        <is>
          <t>Annan skogsbruksåtgärd</t>
        </is>
      </c>
      <c r="D1485" s="1" t="n">
        <v>45943</v>
      </c>
      <c r="E1485" s="1" t="n">
        <v>46310</v>
      </c>
      <c r="F1485" t="inlineStr">
        <is>
          <t>VÄSTERNORRLANDS LÄN</t>
        </is>
      </c>
      <c r="G1485" t="inlineStr">
        <is>
          <t>ÅNGE</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3193-2025</t>
        </is>
      </c>
      <c r="B1486" t="inlineStr">
        <is>
          <t>samrådsanmälan</t>
        </is>
      </c>
      <c r="C1486" t="inlineStr">
        <is>
          <t>Annan skogsbruksåtgärd</t>
        </is>
      </c>
      <c r="D1486" s="1" t="n">
        <v>45978</v>
      </c>
      <c r="E1486" s="1" t="n">
        <v>46310</v>
      </c>
      <c r="F1486" t="inlineStr">
        <is>
          <t>VÄSTERNORRLANDS LÄN</t>
        </is>
      </c>
      <c r="G1486" t="inlineStr">
        <is>
          <t>ÅNGE</t>
        </is>
      </c>
      <c r="H1486" t="inlineStr">
        <is>
          <t>SCA</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3315-2025</t>
        </is>
      </c>
      <c r="B1487" t="inlineStr">
        <is>
          <t>samrådsanmälan</t>
        </is>
      </c>
      <c r="C1487" t="inlineStr">
        <is>
          <t>Annan skogsbruksåtgärd</t>
        </is>
      </c>
      <c r="D1487" s="1" t="n">
        <v>45988</v>
      </c>
      <c r="E1487" s="1" t="n">
        <v>46310</v>
      </c>
      <c r="F1487" t="inlineStr">
        <is>
          <t>VÄSTERNORRLANDS LÄN</t>
        </is>
      </c>
      <c r="G1487" t="inlineStr">
        <is>
          <t>ÅNGE</t>
        </is>
      </c>
      <c r="H1487" t="inlineStr">
        <is>
          <t>Sveaskog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3406-2025</t>
        </is>
      </c>
      <c r="B1488" t="inlineStr">
        <is>
          <t>samrådsanmälan</t>
        </is>
      </c>
      <c r="C1488" t="inlineStr">
        <is>
          <t>Annan skogsbruksåtgärd</t>
        </is>
      </c>
      <c r="D1488" s="1" t="n">
        <v>45995</v>
      </c>
      <c r="E1488" s="1" t="n">
        <v>46310</v>
      </c>
      <c r="F1488" t="inlineStr">
        <is>
          <t>VÄSTERNORRLANDS LÄN</t>
        </is>
      </c>
      <c r="G1488" t="inlineStr">
        <is>
          <t>ÅNGE</t>
        </is>
      </c>
      <c r="H1488" t="inlineStr">
        <is>
          <t>SCA</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3495-2025</t>
        </is>
      </c>
      <c r="B1489" t="inlineStr">
        <is>
          <t>samrådsanmälan</t>
        </is>
      </c>
      <c r="C1489" t="inlineStr">
        <is>
          <t>Annan skogsbruksåtgärd</t>
        </is>
      </c>
      <c r="D1489" s="1" t="n">
        <v>46000</v>
      </c>
      <c r="E1489" s="1" t="n">
        <v>46310</v>
      </c>
      <c r="F1489" t="inlineStr">
        <is>
          <t>VÄSTERNORRLANDS LÄN</t>
        </is>
      </c>
      <c r="G1489" t="inlineStr">
        <is>
          <t>ÅNGE</t>
        </is>
      </c>
      <c r="H1489" t="inlineStr">
        <is>
          <t>SCA</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2857-2025</t>
        </is>
      </c>
      <c r="B1490" t="inlineStr">
        <is>
          <t>samrådsanmälan</t>
        </is>
      </c>
      <c r="C1490" t="inlineStr">
        <is>
          <t>Annan skogsbruksåtgärd</t>
        </is>
      </c>
      <c r="D1490" s="1" t="n">
        <v>45943</v>
      </c>
      <c r="E1490" s="1" t="n">
        <v>46310</v>
      </c>
      <c r="F1490" t="inlineStr">
        <is>
          <t>VÄSTERNORRLANDS LÄN</t>
        </is>
      </c>
      <c r="G1490" t="inlineStr">
        <is>
          <t>ÅNGE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349-2026</t>
        </is>
      </c>
      <c r="B1491" t="inlineStr">
        <is>
          <t>samrådsanmälan</t>
        </is>
      </c>
      <c r="C1491" t="inlineStr">
        <is>
          <t>Skogsgödsling</t>
        </is>
      </c>
      <c r="D1491" s="1" t="n">
        <v>46063</v>
      </c>
      <c r="E1491" s="1" t="n">
        <v>46310</v>
      </c>
      <c r="F1491" t="inlineStr">
        <is>
          <t>VÄSTERNORRLANDS LÄN</t>
        </is>
      </c>
      <c r="G1491" t="inlineStr">
        <is>
          <t>ÅNGE</t>
        </is>
      </c>
      <c r="I1491" t="n">
        <v>18.4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351-2026</t>
        </is>
      </c>
      <c r="B1492" t="inlineStr">
        <is>
          <t>samrådsanmälan</t>
        </is>
      </c>
      <c r="C1492" t="inlineStr">
        <is>
          <t>Skogsgödsling</t>
        </is>
      </c>
      <c r="D1492" s="1" t="n">
        <v>46063</v>
      </c>
      <c r="E1492" s="1" t="n">
        <v>46310</v>
      </c>
      <c r="F1492" t="inlineStr">
        <is>
          <t>VÄSTERNORRLANDS LÄN</t>
        </is>
      </c>
      <c r="G1492" t="inlineStr">
        <is>
          <t>ÅNGE</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352-2026</t>
        </is>
      </c>
      <c r="B1493" t="inlineStr">
        <is>
          <t>samrådsanmälan</t>
        </is>
      </c>
      <c r="C1493" t="inlineStr">
        <is>
          <t>Skogsgödsling</t>
        </is>
      </c>
      <c r="D1493" s="1" t="n">
        <v>46063</v>
      </c>
      <c r="E1493" s="1" t="n">
        <v>46310</v>
      </c>
      <c r="F1493" t="inlineStr">
        <is>
          <t>VÄSTERNORRLANDS LÄN</t>
        </is>
      </c>
      <c r="G1493" t="inlineStr">
        <is>
          <t>ÅNGE</t>
        </is>
      </c>
      <c r="I1493" t="n">
        <v>12.1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350-2026</t>
        </is>
      </c>
      <c r="B1494" t="inlineStr">
        <is>
          <t>samrådsanmälan</t>
        </is>
      </c>
      <c r="C1494" t="inlineStr">
        <is>
          <t>Skogsgödsling</t>
        </is>
      </c>
      <c r="D1494" s="1" t="n">
        <v>46063</v>
      </c>
      <c r="E1494" s="1" t="n">
        <v>46310</v>
      </c>
      <c r="F1494" t="inlineStr">
        <is>
          <t>VÄSTERNORRLANDS LÄN</t>
        </is>
      </c>
      <c r="G1494" t="inlineStr">
        <is>
          <t>ÅNGE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481-2026</t>
        </is>
      </c>
      <c r="B1495" t="inlineStr">
        <is>
          <t>samrådsanmälan</t>
        </is>
      </c>
      <c r="C1495" t="inlineStr">
        <is>
          <t>Annan skogsbruksåtgärd</t>
        </is>
      </c>
      <c r="D1495" s="1" t="n">
        <v>46072</v>
      </c>
      <c r="E1495" s="1" t="n">
        <v>46310</v>
      </c>
      <c r="F1495" t="inlineStr">
        <is>
          <t>VÄSTERNORRLANDS LÄN</t>
        </is>
      </c>
      <c r="G1495" t="inlineStr">
        <is>
          <t>ÅNGE</t>
        </is>
      </c>
      <c r="H1495" t="inlineStr">
        <is>
          <t>Sveaskog</t>
        </is>
      </c>
      <c r="I1495" t="n">
        <v>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976-2026</t>
        </is>
      </c>
      <c r="B1496" t="inlineStr">
        <is>
          <t>samrådsanmälan</t>
        </is>
      </c>
      <c r="C1496" t="inlineStr">
        <is>
          <t>Annan skogsbruksåtgärd</t>
        </is>
      </c>
      <c r="D1496" s="1" t="n">
        <v>46114</v>
      </c>
      <c r="E1496" s="1" t="n">
        <v>46310</v>
      </c>
      <c r="F1496" t="inlineStr">
        <is>
          <t>VÄSTERNORRLANDS LÄN</t>
        </is>
      </c>
      <c r="G1496" t="inlineStr">
        <is>
          <t>ÅNGE</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1072-2026</t>
        </is>
      </c>
      <c r="B1497" t="inlineStr">
        <is>
          <t>samrådsanmälan</t>
        </is>
      </c>
      <c r="C1497" t="inlineStr">
        <is>
          <t>Annan skogsbruksåtgärd</t>
        </is>
      </c>
      <c r="D1497" s="1" t="n">
        <v>46127</v>
      </c>
      <c r="E1497" s="1" t="n">
        <v>46310</v>
      </c>
      <c r="F1497" t="inlineStr">
        <is>
          <t>VÄSTERNORRLANDS LÄN</t>
        </is>
      </c>
      <c r="G1497" t="inlineStr">
        <is>
          <t>ÅNGE</t>
        </is>
      </c>
      <c r="H1497" t="inlineStr">
        <is>
          <t>SCA</t>
        </is>
      </c>
      <c r="I1497" t="n">
        <v>55.7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1075-2026</t>
        </is>
      </c>
      <c r="B1498" t="inlineStr">
        <is>
          <t>samrådsanmälan</t>
        </is>
      </c>
      <c r="C1498" t="inlineStr">
        <is>
          <t>Annan skogsbruksåtgärd</t>
        </is>
      </c>
      <c r="D1498" s="1" t="n">
        <v>46127</v>
      </c>
      <c r="E1498" s="1" t="n">
        <v>46310</v>
      </c>
      <c r="F1498" t="inlineStr">
        <is>
          <t>VÄSTERNORRLANDS LÄN</t>
        </is>
      </c>
      <c r="G1498" t="inlineStr">
        <is>
          <t>ÅNGE</t>
        </is>
      </c>
      <c r="H1498" t="inlineStr">
        <is>
          <t>SCA</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1681-2026</t>
        </is>
      </c>
      <c r="B1499" t="inlineStr">
        <is>
          <t>samrådsanmälan</t>
        </is>
      </c>
      <c r="C1499" t="inlineStr">
        <is>
          <t>Annan skogsbruksåtgärd</t>
        </is>
      </c>
      <c r="D1499" s="1" t="n">
        <v>46182</v>
      </c>
      <c r="E1499" s="1" t="n">
        <v>46310</v>
      </c>
      <c r="F1499" t="inlineStr">
        <is>
          <t>VÄSTERNORRLANDS LÄN</t>
        </is>
      </c>
      <c r="G1499" t="inlineStr">
        <is>
          <t>ÅNGE</t>
        </is>
      </c>
      <c r="H1499" t="inlineStr">
        <is>
          <t>SCA</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1744-2026</t>
        </is>
      </c>
      <c r="B1500" t="inlineStr">
        <is>
          <t>samrådsanmälan</t>
        </is>
      </c>
      <c r="C1500" t="inlineStr">
        <is>
          <t>Annan skogsbruksåtgärd</t>
        </is>
      </c>
      <c r="D1500" s="1" t="n">
        <v>46185</v>
      </c>
      <c r="E1500" s="1" t="n">
        <v>46310</v>
      </c>
      <c r="F1500" t="inlineStr">
        <is>
          <t>VÄSTERNORRLANDS LÄN</t>
        </is>
      </c>
      <c r="G1500" t="inlineStr">
        <is>
          <t>ÅNGE</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1742-2026</t>
        </is>
      </c>
      <c r="B1501" t="inlineStr">
        <is>
          <t>samrådsanmälan</t>
        </is>
      </c>
      <c r="C1501" t="inlineStr">
        <is>
          <t>Annan skogsbruksåtgärd</t>
        </is>
      </c>
      <c r="D1501" s="1" t="n">
        <v>46185</v>
      </c>
      <c r="E1501" s="1" t="n">
        <v>46310</v>
      </c>
      <c r="F1501" t="inlineStr">
        <is>
          <t>VÄSTERNORRLANDS LÄN</t>
        </is>
      </c>
      <c r="G1501" t="inlineStr">
        <is>
          <t>ÅNGE</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c r="A1502" t="inlineStr">
        <is>
          <t>S 2144-2026</t>
        </is>
      </c>
      <c r="B1502" t="inlineStr">
        <is>
          <t>samrådsanmälan</t>
        </is>
      </c>
      <c r="C1502" t="inlineStr">
        <is>
          <t>Annan skogsbruksåtgärd</t>
        </is>
      </c>
      <c r="D1502" s="1" t="n">
        <v>46247</v>
      </c>
      <c r="E1502" s="1" t="n">
        <v>46310</v>
      </c>
      <c r="F1502" t="inlineStr">
        <is>
          <t>VÄSTERNORRLANDS LÄN</t>
        </is>
      </c>
      <c r="G1502" t="inlineStr">
        <is>
          <t>ÅNGE</t>
        </is>
      </c>
      <c r="H1502" t="inlineStr">
        <is>
          <t>SCA</t>
        </is>
      </c>
      <c r="I1502" t="n">
        <v>3.8</v>
      </c>
      <c r="J1502" t="n">
        <v>0</v>
      </c>
      <c r="K1502" t="n">
        <v>0</v>
      </c>
      <c r="L1502" t="n">
        <v>0</v>
      </c>
      <c r="M1502" t="n">
        <v>0</v>
      </c>
      <c r="N1502" t="n">
        <v>0</v>
      </c>
      <c r="O1502" t="n">
        <v>0</v>
      </c>
      <c r="P1502" t="n">
        <v>0</v>
      </c>
      <c r="Q1502" t="n">
        <v>0</v>
      </c>
      <c r="R1502" t="n">
        <v>0</v>
      </c>
      <c r="S1502" t="n">
        <v>0</v>
      </c>
      <c r="T1502" t="n">
        <v>0</v>
      </c>
      <c r="U1502" t="n">
        <v>0</v>
      </c>
      <c r="V1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2026-10-15T02:03:13Z</dcterms:created>
  <dcterms:modified xmlns:dcterms="http://purl.org/dc/terms/" xmlns:xsi="http://www.w3.org/2001/XMLSchema-instance" xsi:type="dcterms:W3CDTF">2026-10-15T02:03:14Z</dcterms:modified>
</cp:coreProperties>
</file>