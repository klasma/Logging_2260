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45986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45986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45986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45986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45986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45986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45986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45986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45986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45986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45986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45986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45986</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45986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45986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45986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45986</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45986</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45986</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45986</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45986</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48738-2024</t>
        </is>
      </c>
      <c r="B40" s="1" t="n">
        <v>45593</v>
      </c>
      <c r="C40" s="1" t="n">
        <v>45986</v>
      </c>
      <c r="D40" t="inlineStr">
        <is>
          <t>VÄSTERNORRLANDS LÄN</t>
        </is>
      </c>
      <c r="E40" t="inlineStr">
        <is>
          <t>ÅNGE</t>
        </is>
      </c>
      <c r="F40" t="inlineStr">
        <is>
          <t>SCA</t>
        </is>
      </c>
      <c r="G40" t="n">
        <v>19.8</v>
      </c>
      <c r="H40" t="n">
        <v>5</v>
      </c>
      <c r="I40" t="n">
        <v>5</v>
      </c>
      <c r="J40" t="n">
        <v>4</v>
      </c>
      <c r="K40" t="n">
        <v>0</v>
      </c>
      <c r="L40" t="n">
        <v>0</v>
      </c>
      <c r="M40" t="n">
        <v>0</v>
      </c>
      <c r="N40" t="n">
        <v>0</v>
      </c>
      <c r="O40" t="n">
        <v>4</v>
      </c>
      <c r="P40" t="n">
        <v>0</v>
      </c>
      <c r="Q40" t="n">
        <v>11</v>
      </c>
      <c r="R40" s="2" t="inlineStr">
        <is>
          <t>Gammelgransskål
Garnlav
Lunglav
Spillkråka
Korallrot
Kransrams
Spindelblomster
Stuplav
Svavelriska
Fläcknycklar
Revlummer</t>
        </is>
      </c>
      <c r="S40">
        <f>HYPERLINK("https://klasma.github.io/Logging_2260/artfynd/A 48738-2024 artfynd.xlsx", "A 48738-2024")</f>
        <v/>
      </c>
      <c r="T40">
        <f>HYPERLINK("https://klasma.github.io/Logging_2260/kartor/A 48738-2024 karta.png", "A 48738-2024")</f>
        <v/>
      </c>
      <c r="V40">
        <f>HYPERLINK("https://klasma.github.io/Logging_2260/klagomål/A 48738-2024 FSC-klagomål.docx", "A 48738-2024")</f>
        <v/>
      </c>
      <c r="W40">
        <f>HYPERLINK("https://klasma.github.io/Logging_2260/klagomålsmail/A 48738-2024 FSC-klagomål mail.docx", "A 48738-2024")</f>
        <v/>
      </c>
      <c r="X40">
        <f>HYPERLINK("https://klasma.github.io/Logging_2260/tillsyn/A 48738-2024 tillsynsbegäran.docx", "A 48738-2024")</f>
        <v/>
      </c>
      <c r="Y40">
        <f>HYPERLINK("https://klasma.github.io/Logging_2260/tillsynsmail/A 48738-2024 tillsynsbegäran mail.docx", "A 48738-2024")</f>
        <v/>
      </c>
      <c r="Z40">
        <f>HYPERLINK("https://klasma.github.io/Logging_2260/fåglar/A 48738-2024 prioriterade fågelarter.docx", "A 48738-2024")</f>
        <v/>
      </c>
    </row>
    <row r="41" ht="15" customHeight="1">
      <c r="A41" t="inlineStr">
        <is>
          <t>A 30840-2023</t>
        </is>
      </c>
      <c r="B41" s="1" t="n">
        <v>45112</v>
      </c>
      <c r="C41" s="1" t="n">
        <v>45986</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30474-2025</t>
        </is>
      </c>
      <c r="B42" s="1" t="n">
        <v>45828.34430555555</v>
      </c>
      <c r="C42" s="1" t="n">
        <v>45986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45986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39496-2024</t>
        </is>
      </c>
      <c r="B44" s="1" t="n">
        <v>45551</v>
      </c>
      <c r="C44" s="1" t="n">
        <v>45986</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25323-2023</t>
        </is>
      </c>
      <c r="B45" s="1" t="n">
        <v>45086</v>
      </c>
      <c r="C45" s="1" t="n">
        <v>45986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45986</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45986</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45986</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45986</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45986</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45986</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45986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45986</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45986</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45986</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45986</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57843-2024</t>
        </is>
      </c>
      <c r="B57" s="1" t="n">
        <v>45631</v>
      </c>
      <c r="C57" s="1" t="n">
        <v>45986</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45986</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45986</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45986</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45986</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45986</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45986</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45986</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45986</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45986</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45986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45986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45986</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45986</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45986</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31509-2024</t>
        </is>
      </c>
      <c r="B72" s="1" t="n">
        <v>45505</v>
      </c>
      <c r="C72" s="1" t="n">
        <v>45986</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48191-2025</t>
        </is>
      </c>
      <c r="B73" s="1" t="n">
        <v>45933.46956018519</v>
      </c>
      <c r="C73" s="1" t="n">
        <v>45986</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45986</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45986</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45986</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45986</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45986</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45986</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45986</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45986</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45986</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52269-2024</t>
        </is>
      </c>
      <c r="B83" s="1" t="n">
        <v>45608.65660879629</v>
      </c>
      <c r="C83" s="1" t="n">
        <v>45986</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45986</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45986</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45986</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62640-2020</t>
        </is>
      </c>
      <c r="B87" s="1" t="n">
        <v>44161</v>
      </c>
      <c r="C87" s="1" t="n">
        <v>45986</v>
      </c>
      <c r="D87" t="inlineStr">
        <is>
          <t>VÄSTERNORRLANDS LÄN</t>
        </is>
      </c>
      <c r="E87" t="inlineStr">
        <is>
          <t>ÅNGE</t>
        </is>
      </c>
      <c r="F87" t="inlineStr">
        <is>
          <t>Sveaskog</t>
        </is>
      </c>
      <c r="G87" t="n">
        <v>2</v>
      </c>
      <c r="H87" t="n">
        <v>1</v>
      </c>
      <c r="I87" t="n">
        <v>2</v>
      </c>
      <c r="J87" t="n">
        <v>0</v>
      </c>
      <c r="K87" t="n">
        <v>2</v>
      </c>
      <c r="L87" t="n">
        <v>0</v>
      </c>
      <c r="M87" t="n">
        <v>0</v>
      </c>
      <c r="N87" t="n">
        <v>0</v>
      </c>
      <c r="O87" t="n">
        <v>2</v>
      </c>
      <c r="P87" t="n">
        <v>2</v>
      </c>
      <c r="Q87" t="n">
        <v>5</v>
      </c>
      <c r="R87" s="2" t="inlineStr">
        <is>
          <t>Bitter taggsvamp
Rynkskinn
Kransrams
Svart trolldruva
Blåsippa</t>
        </is>
      </c>
      <c r="S87">
        <f>HYPERLINK("https://klasma.github.io/Logging_2260/artfynd/A 62640-2020 artfynd.xlsx", "A 62640-2020")</f>
        <v/>
      </c>
      <c r="T87">
        <f>HYPERLINK("https://klasma.github.io/Logging_2260/kartor/A 62640-2020 karta.png", "A 62640-2020")</f>
        <v/>
      </c>
      <c r="V87">
        <f>HYPERLINK("https://klasma.github.io/Logging_2260/klagomål/A 62640-2020 FSC-klagomål.docx", "A 62640-2020")</f>
        <v/>
      </c>
      <c r="W87">
        <f>HYPERLINK("https://klasma.github.io/Logging_2260/klagomålsmail/A 62640-2020 FSC-klagomål mail.docx", "A 62640-2020")</f>
        <v/>
      </c>
      <c r="X87">
        <f>HYPERLINK("https://klasma.github.io/Logging_2260/tillsyn/A 62640-2020 tillsynsbegäran.docx", "A 62640-2020")</f>
        <v/>
      </c>
      <c r="Y87">
        <f>HYPERLINK("https://klasma.github.io/Logging_2260/tillsynsmail/A 62640-2020 tillsynsbegäran mail.docx", "A 62640-2020")</f>
        <v/>
      </c>
    </row>
    <row r="88" ht="15" customHeight="1">
      <c r="A88" t="inlineStr">
        <is>
          <t>A 46375-2025</t>
        </is>
      </c>
      <c r="B88" s="1" t="n">
        <v>45925.51097222222</v>
      </c>
      <c r="C88" s="1" t="n">
        <v>45986</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29880-2025</t>
        </is>
      </c>
      <c r="B89" s="1" t="n">
        <v>45826.36510416667</v>
      </c>
      <c r="C89" s="1" t="n">
        <v>45986</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47102-2025</t>
        </is>
      </c>
      <c r="B90" s="1" t="n">
        <v>45929</v>
      </c>
      <c r="C90" s="1" t="n">
        <v>45986</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52601-2025</t>
        </is>
      </c>
      <c r="B91" s="1" t="n">
        <v>45954</v>
      </c>
      <c r="C91" s="1" t="n">
        <v>45986</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26958-2024</t>
        </is>
      </c>
      <c r="B92" s="1" t="n">
        <v>45470</v>
      </c>
      <c r="C92" s="1" t="n">
        <v>45986</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38322-2025</t>
        </is>
      </c>
      <c r="B93" s="1" t="n">
        <v>45883.49003472222</v>
      </c>
      <c r="C93" s="1" t="n">
        <v>45986</v>
      </c>
      <c r="D93" t="inlineStr">
        <is>
          <t>VÄSTERNORRLANDS LÄN</t>
        </is>
      </c>
      <c r="E93" t="inlineStr">
        <is>
          <t>ÅNGE</t>
        </is>
      </c>
      <c r="F93" t="inlineStr">
        <is>
          <t>SCA</t>
        </is>
      </c>
      <c r="G93" t="n">
        <v>5.4</v>
      </c>
      <c r="H93" t="n">
        <v>1</v>
      </c>
      <c r="I93" t="n">
        <v>0</v>
      </c>
      <c r="J93" t="n">
        <v>4</v>
      </c>
      <c r="K93" t="n">
        <v>0</v>
      </c>
      <c r="L93" t="n">
        <v>0</v>
      </c>
      <c r="M93" t="n">
        <v>0</v>
      </c>
      <c r="N93" t="n">
        <v>0</v>
      </c>
      <c r="O93" t="n">
        <v>4</v>
      </c>
      <c r="P93" t="n">
        <v>0</v>
      </c>
      <c r="Q93" t="n">
        <v>5</v>
      </c>
      <c r="R93" s="2" t="inlineStr">
        <is>
          <t>Gammelgransskål
Garnlav
Skrovellav
Violettgrå tagellav
Revlummer</t>
        </is>
      </c>
      <c r="S93">
        <f>HYPERLINK("https://klasma.github.io/Logging_2260/artfynd/A 38322-2025 artfynd.xlsx", "A 38322-2025")</f>
        <v/>
      </c>
      <c r="T93">
        <f>HYPERLINK("https://klasma.github.io/Logging_2260/kartor/A 38322-2025 karta.png", "A 38322-2025")</f>
        <v/>
      </c>
      <c r="V93">
        <f>HYPERLINK("https://klasma.github.io/Logging_2260/klagomål/A 38322-2025 FSC-klagomål.docx", "A 38322-2025")</f>
        <v/>
      </c>
      <c r="W93">
        <f>HYPERLINK("https://klasma.github.io/Logging_2260/klagomålsmail/A 38322-2025 FSC-klagomål mail.docx", "A 38322-2025")</f>
        <v/>
      </c>
      <c r="X93">
        <f>HYPERLINK("https://klasma.github.io/Logging_2260/tillsyn/A 38322-2025 tillsynsbegäran.docx", "A 38322-2025")</f>
        <v/>
      </c>
      <c r="Y93">
        <f>HYPERLINK("https://klasma.github.io/Logging_2260/tillsynsmail/A 38322-2025 tillsynsbegäran mail.docx", "A 38322-2025")</f>
        <v/>
      </c>
    </row>
    <row r="94" ht="15" customHeight="1">
      <c r="A94" t="inlineStr">
        <is>
          <t>A 38327-2025</t>
        </is>
      </c>
      <c r="B94" s="1" t="n">
        <v>45883.49084490741</v>
      </c>
      <c r="C94" s="1" t="n">
        <v>45986</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27914-2024</t>
        </is>
      </c>
      <c r="B95" s="1" t="n">
        <v>45475</v>
      </c>
      <c r="C95" s="1" t="n">
        <v>45986</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55004-2023</t>
        </is>
      </c>
      <c r="B96" s="1" t="n">
        <v>45236</v>
      </c>
      <c r="C96" s="1" t="n">
        <v>45986</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45986</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24796-2024</t>
        </is>
      </c>
      <c r="B98" s="1" t="n">
        <v>45460</v>
      </c>
      <c r="C98" s="1" t="n">
        <v>45986</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46548-2023</t>
        </is>
      </c>
      <c r="B99" s="1" t="n">
        <v>45197</v>
      </c>
      <c r="C99" s="1" t="n">
        <v>45986</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45986</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54095-2025</t>
        </is>
      </c>
      <c r="B101" s="1" t="n">
        <v>45964.40685185185</v>
      </c>
      <c r="C101" s="1" t="n">
        <v>45986</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26953-2024</t>
        </is>
      </c>
      <c r="B102" s="1" t="n">
        <v>45470</v>
      </c>
      <c r="C102" s="1" t="n">
        <v>45986</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38713-2025</t>
        </is>
      </c>
      <c r="B103" s="1" t="n">
        <v>45886.34479166667</v>
      </c>
      <c r="C103" s="1" t="n">
        <v>45986</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44558-2024</t>
        </is>
      </c>
      <c r="B104" s="1" t="n">
        <v>45574.47001157407</v>
      </c>
      <c r="C104" s="1" t="n">
        <v>45986</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57299-2022</t>
        </is>
      </c>
      <c r="B105" s="1" t="n">
        <v>44895.95090277777</v>
      </c>
      <c r="C105" s="1" t="n">
        <v>45986</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45986</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39176-2024</t>
        </is>
      </c>
      <c r="B107" s="1" t="n">
        <v>45548</v>
      </c>
      <c r="C107" s="1" t="n">
        <v>45986</v>
      </c>
      <c r="D107" t="inlineStr">
        <is>
          <t>VÄSTERNORRLANDS LÄN</t>
        </is>
      </c>
      <c r="E107" t="inlineStr">
        <is>
          <t>ÅNGE</t>
        </is>
      </c>
      <c r="F107" t="inlineStr">
        <is>
          <t>SCA</t>
        </is>
      </c>
      <c r="G107" t="n">
        <v>6.9</v>
      </c>
      <c r="H107" t="n">
        <v>1</v>
      </c>
      <c r="I107" t="n">
        <v>0</v>
      </c>
      <c r="J107" t="n">
        <v>3</v>
      </c>
      <c r="K107" t="n">
        <v>1</v>
      </c>
      <c r="L107" t="n">
        <v>0</v>
      </c>
      <c r="M107" t="n">
        <v>0</v>
      </c>
      <c r="N107" t="n">
        <v>0</v>
      </c>
      <c r="O107" t="n">
        <v>4</v>
      </c>
      <c r="P107" t="n">
        <v>1</v>
      </c>
      <c r="Q107" t="n">
        <v>4</v>
      </c>
      <c r="R107" s="2" t="inlineStr">
        <is>
          <t>Knärot
Doftskinn
Skrovellav
Violettgrå tagellav</t>
        </is>
      </c>
      <c r="S107">
        <f>HYPERLINK("https://klasma.github.io/Logging_2260/artfynd/A 39176-2024 artfynd.xlsx", "A 39176-2024")</f>
        <v/>
      </c>
      <c r="T107">
        <f>HYPERLINK("https://klasma.github.io/Logging_2260/kartor/A 39176-2024 karta.png", "A 39176-2024")</f>
        <v/>
      </c>
      <c r="U107">
        <f>HYPERLINK("https://klasma.github.io/Logging_2260/knärot/A 39176-2024 karta knärot.png", "A 39176-2024")</f>
        <v/>
      </c>
      <c r="V107">
        <f>HYPERLINK("https://klasma.github.io/Logging_2260/klagomål/A 39176-2024 FSC-klagomål.docx", "A 39176-2024")</f>
        <v/>
      </c>
      <c r="W107">
        <f>HYPERLINK("https://klasma.github.io/Logging_2260/klagomålsmail/A 39176-2024 FSC-klagomål mail.docx", "A 39176-2024")</f>
        <v/>
      </c>
      <c r="X107">
        <f>HYPERLINK("https://klasma.github.io/Logging_2260/tillsyn/A 39176-2024 tillsynsbegäran.docx", "A 39176-2024")</f>
        <v/>
      </c>
      <c r="Y107">
        <f>HYPERLINK("https://klasma.github.io/Logging_2260/tillsynsmail/A 39176-2024 tillsynsbegäran mail.docx", "A 39176-2024")</f>
        <v/>
      </c>
    </row>
    <row r="108" ht="15" customHeight="1">
      <c r="A108" t="inlineStr">
        <is>
          <t>A 11029-2025</t>
        </is>
      </c>
      <c r="B108" s="1" t="n">
        <v>45723</v>
      </c>
      <c r="C108" s="1" t="n">
        <v>45986</v>
      </c>
      <c r="D108" t="inlineStr">
        <is>
          <t>VÄSTERNORRLANDS LÄN</t>
        </is>
      </c>
      <c r="E108" t="inlineStr">
        <is>
          <t>ÅNGE</t>
        </is>
      </c>
      <c r="G108" t="n">
        <v>1.3</v>
      </c>
      <c r="H108" t="n">
        <v>3</v>
      </c>
      <c r="I108" t="n">
        <v>0</v>
      </c>
      <c r="J108" t="n">
        <v>1</v>
      </c>
      <c r="K108" t="n">
        <v>1</v>
      </c>
      <c r="L108" t="n">
        <v>0</v>
      </c>
      <c r="M108" t="n">
        <v>0</v>
      </c>
      <c r="N108" t="n">
        <v>0</v>
      </c>
      <c r="O108" t="n">
        <v>2</v>
      </c>
      <c r="P108" t="n">
        <v>1</v>
      </c>
      <c r="Q108" t="n">
        <v>4</v>
      </c>
      <c r="R108" s="2" t="inlineStr">
        <is>
          <t>Knärot
Garnlav
Vanlig groda
Revlummer</t>
        </is>
      </c>
      <c r="S108">
        <f>HYPERLINK("https://klasma.github.io/Logging_2260/artfynd/A 11029-2025 artfynd.xlsx", "A 11029-2025")</f>
        <v/>
      </c>
      <c r="T108">
        <f>HYPERLINK("https://klasma.github.io/Logging_2260/kartor/A 11029-2025 karta.png", "A 11029-2025")</f>
        <v/>
      </c>
      <c r="U108">
        <f>HYPERLINK("https://klasma.github.io/Logging_2260/knärot/A 11029-2025 karta knärot.png", "A 11029-2025")</f>
        <v/>
      </c>
      <c r="V108">
        <f>HYPERLINK("https://klasma.github.io/Logging_2260/klagomål/A 11029-2025 FSC-klagomål.docx", "A 11029-2025")</f>
        <v/>
      </c>
      <c r="W108">
        <f>HYPERLINK("https://klasma.github.io/Logging_2260/klagomålsmail/A 11029-2025 FSC-klagomål mail.docx", "A 11029-2025")</f>
        <v/>
      </c>
      <c r="X108">
        <f>HYPERLINK("https://klasma.github.io/Logging_2260/tillsyn/A 11029-2025 tillsynsbegäran.docx", "A 11029-2025")</f>
        <v/>
      </c>
      <c r="Y108">
        <f>HYPERLINK("https://klasma.github.io/Logging_2260/tillsynsmail/A 11029-2025 tillsynsbegäran mail.docx", "A 11029-2025")</f>
        <v/>
      </c>
    </row>
    <row r="109" ht="15" customHeight="1">
      <c r="A109" t="inlineStr">
        <is>
          <t>A 723-2025</t>
        </is>
      </c>
      <c r="B109" s="1" t="n">
        <v>45665.38576388889</v>
      </c>
      <c r="C109" s="1" t="n">
        <v>45986</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45986</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45986</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38664-2025</t>
        </is>
      </c>
      <c r="B112" s="1" t="n">
        <v>45884.61503472222</v>
      </c>
      <c r="C112" s="1" t="n">
        <v>45986</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39029-2025</t>
        </is>
      </c>
      <c r="B113" s="1" t="n">
        <v>45888.40684027778</v>
      </c>
      <c r="C113" s="1" t="n">
        <v>45986</v>
      </c>
      <c r="D113" t="inlineStr">
        <is>
          <t>VÄSTERNORRLANDS LÄN</t>
        </is>
      </c>
      <c r="E113" t="inlineStr">
        <is>
          <t>ÅNGE</t>
        </is>
      </c>
      <c r="F113" t="inlineStr">
        <is>
          <t>SCA</t>
        </is>
      </c>
      <c r="G113" t="n">
        <v>2.4</v>
      </c>
      <c r="H113" t="n">
        <v>2</v>
      </c>
      <c r="I113" t="n">
        <v>0</v>
      </c>
      <c r="J113" t="n">
        <v>1</v>
      </c>
      <c r="K113" t="n">
        <v>0</v>
      </c>
      <c r="L113" t="n">
        <v>0</v>
      </c>
      <c r="M113" t="n">
        <v>0</v>
      </c>
      <c r="N113" t="n">
        <v>0</v>
      </c>
      <c r="O113" t="n">
        <v>1</v>
      </c>
      <c r="P113" t="n">
        <v>0</v>
      </c>
      <c r="Q113" t="n">
        <v>3</v>
      </c>
      <c r="R113" s="2" t="inlineStr">
        <is>
          <t>Kolflarnlav
Fläcknycklar
Revlummer</t>
        </is>
      </c>
      <c r="S113">
        <f>HYPERLINK("https://klasma.github.io/Logging_2260/artfynd/A 39029-2025 artfynd.xlsx", "A 39029-2025")</f>
        <v/>
      </c>
      <c r="T113">
        <f>HYPERLINK("https://klasma.github.io/Logging_2260/kartor/A 39029-2025 karta.png", "A 39029-2025")</f>
        <v/>
      </c>
      <c r="V113">
        <f>HYPERLINK("https://klasma.github.io/Logging_2260/klagomål/A 39029-2025 FSC-klagomål.docx", "A 39029-2025")</f>
        <v/>
      </c>
      <c r="W113">
        <f>HYPERLINK("https://klasma.github.io/Logging_2260/klagomålsmail/A 39029-2025 FSC-klagomål mail.docx", "A 39029-2025")</f>
        <v/>
      </c>
      <c r="X113">
        <f>HYPERLINK("https://klasma.github.io/Logging_2260/tillsyn/A 39029-2025 tillsynsbegäran.docx", "A 39029-2025")</f>
        <v/>
      </c>
      <c r="Y113">
        <f>HYPERLINK("https://klasma.github.io/Logging_2260/tillsynsmail/A 39029-2025 tillsynsbegäran mail.docx", "A 39029-2025")</f>
        <v/>
      </c>
    </row>
    <row r="114" ht="15" customHeight="1">
      <c r="A114" t="inlineStr">
        <is>
          <t>A 23754-2025</t>
        </is>
      </c>
      <c r="B114" s="1" t="n">
        <v>45793.45782407407</v>
      </c>
      <c r="C114" s="1" t="n">
        <v>45986</v>
      </c>
      <c r="D114" t="inlineStr">
        <is>
          <t>VÄSTERNORRLANDS LÄN</t>
        </is>
      </c>
      <c r="E114" t="inlineStr">
        <is>
          <t>ÅNGE</t>
        </is>
      </c>
      <c r="F114" t="inlineStr">
        <is>
          <t>Sveaskog</t>
        </is>
      </c>
      <c r="G114" t="n">
        <v>4.3</v>
      </c>
      <c r="H114" t="n">
        <v>3</v>
      </c>
      <c r="I114" t="n">
        <v>0</v>
      </c>
      <c r="J114" t="n">
        <v>1</v>
      </c>
      <c r="K114" t="n">
        <v>0</v>
      </c>
      <c r="L114" t="n">
        <v>0</v>
      </c>
      <c r="M114" t="n">
        <v>0</v>
      </c>
      <c r="N114" t="n">
        <v>0</v>
      </c>
      <c r="O114" t="n">
        <v>1</v>
      </c>
      <c r="P114" t="n">
        <v>0</v>
      </c>
      <c r="Q114" t="n">
        <v>3</v>
      </c>
      <c r="R114" s="2" t="inlineStr">
        <is>
          <t>Spillkråka
Tjäder
Blåsippa</t>
        </is>
      </c>
      <c r="S114">
        <f>HYPERLINK("https://klasma.github.io/Logging_2260/artfynd/A 23754-2025 artfynd.xlsx", "A 23754-2025")</f>
        <v/>
      </c>
      <c r="T114">
        <f>HYPERLINK("https://klasma.github.io/Logging_2260/kartor/A 23754-2025 karta.png", "A 23754-2025")</f>
        <v/>
      </c>
      <c r="U114">
        <f>HYPERLINK("https://klasma.github.io/Logging_2260/knärot/A 23754-2025 karta knärot.png", "A 23754-2025")</f>
        <v/>
      </c>
      <c r="V114">
        <f>HYPERLINK("https://klasma.github.io/Logging_2260/klagomål/A 23754-2025 FSC-klagomål.docx", "A 23754-2025")</f>
        <v/>
      </c>
      <c r="W114">
        <f>HYPERLINK("https://klasma.github.io/Logging_2260/klagomålsmail/A 23754-2025 FSC-klagomål mail.docx", "A 23754-2025")</f>
        <v/>
      </c>
      <c r="X114">
        <f>HYPERLINK("https://klasma.github.io/Logging_2260/tillsyn/A 23754-2025 tillsynsbegäran.docx", "A 23754-2025")</f>
        <v/>
      </c>
      <c r="Y114">
        <f>HYPERLINK("https://klasma.github.io/Logging_2260/tillsynsmail/A 23754-2025 tillsynsbegäran mail.docx", "A 23754-2025")</f>
        <v/>
      </c>
      <c r="Z114">
        <f>HYPERLINK("https://klasma.github.io/Logging_2260/fåglar/A 23754-2025 prioriterade fågelarter.docx", "A 23754-2025")</f>
        <v/>
      </c>
    </row>
    <row r="115" ht="15" customHeight="1">
      <c r="A115" t="inlineStr">
        <is>
          <t>A 23759-2025</t>
        </is>
      </c>
      <c r="B115" s="1" t="n">
        <v>45793.46409722222</v>
      </c>
      <c r="C115" s="1" t="n">
        <v>45986</v>
      </c>
      <c r="D115" t="inlineStr">
        <is>
          <t>VÄSTERNORRLANDS LÄN</t>
        </is>
      </c>
      <c r="E115" t="inlineStr">
        <is>
          <t>ÅNGE</t>
        </is>
      </c>
      <c r="F115" t="inlineStr">
        <is>
          <t>Sveaskog</t>
        </is>
      </c>
      <c r="G115" t="n">
        <v>5.2</v>
      </c>
      <c r="H115" t="n">
        <v>0</v>
      </c>
      <c r="I115" t="n">
        <v>1</v>
      </c>
      <c r="J115" t="n">
        <v>2</v>
      </c>
      <c r="K115" t="n">
        <v>0</v>
      </c>
      <c r="L115" t="n">
        <v>0</v>
      </c>
      <c r="M115" t="n">
        <v>0</v>
      </c>
      <c r="N115" t="n">
        <v>0</v>
      </c>
      <c r="O115" t="n">
        <v>2</v>
      </c>
      <c r="P115" t="n">
        <v>0</v>
      </c>
      <c r="Q115" t="n">
        <v>3</v>
      </c>
      <c r="R115" s="2" t="inlineStr">
        <is>
          <t>Lunglav
Skrovellav
Korallblylav</t>
        </is>
      </c>
      <c r="S115">
        <f>HYPERLINK("https://klasma.github.io/Logging_2260/artfynd/A 23759-2025 artfynd.xlsx", "A 23759-2025")</f>
        <v/>
      </c>
      <c r="T115">
        <f>HYPERLINK("https://klasma.github.io/Logging_2260/kartor/A 23759-2025 karta.png", "A 23759-2025")</f>
        <v/>
      </c>
      <c r="V115">
        <f>HYPERLINK("https://klasma.github.io/Logging_2260/klagomål/A 23759-2025 FSC-klagomål.docx", "A 23759-2025")</f>
        <v/>
      </c>
      <c r="W115">
        <f>HYPERLINK("https://klasma.github.io/Logging_2260/klagomålsmail/A 23759-2025 FSC-klagomål mail.docx", "A 23759-2025")</f>
        <v/>
      </c>
      <c r="X115">
        <f>HYPERLINK("https://klasma.github.io/Logging_2260/tillsyn/A 23759-2025 tillsynsbegäran.docx", "A 23759-2025")</f>
        <v/>
      </c>
      <c r="Y115">
        <f>HYPERLINK("https://klasma.github.io/Logging_2260/tillsynsmail/A 23759-2025 tillsynsbegäran mail.docx", "A 23759-2025")</f>
        <v/>
      </c>
    </row>
    <row r="116" ht="15" customHeight="1">
      <c r="A116" t="inlineStr">
        <is>
          <t>A 41868-2025</t>
        </is>
      </c>
      <c r="B116" s="1" t="n">
        <v>45903.34429398148</v>
      </c>
      <c r="C116" s="1" t="n">
        <v>45986</v>
      </c>
      <c r="D116" t="inlineStr">
        <is>
          <t>VÄSTERNORRLANDS LÄN</t>
        </is>
      </c>
      <c r="E116" t="inlineStr">
        <is>
          <t>ÅNGE</t>
        </is>
      </c>
      <c r="F116" t="inlineStr">
        <is>
          <t>SCA</t>
        </is>
      </c>
      <c r="G116" t="n">
        <v>5.4</v>
      </c>
      <c r="H116" t="n">
        <v>2</v>
      </c>
      <c r="I116" t="n">
        <v>1</v>
      </c>
      <c r="J116" t="n">
        <v>1</v>
      </c>
      <c r="K116" t="n">
        <v>0</v>
      </c>
      <c r="L116" t="n">
        <v>0</v>
      </c>
      <c r="M116" t="n">
        <v>0</v>
      </c>
      <c r="N116" t="n">
        <v>0</v>
      </c>
      <c r="O116" t="n">
        <v>1</v>
      </c>
      <c r="P116" t="n">
        <v>0</v>
      </c>
      <c r="Q116" t="n">
        <v>3</v>
      </c>
      <c r="R116" s="2" t="inlineStr">
        <is>
          <t>Garnlav
Spindelblomster
Revlummer</t>
        </is>
      </c>
      <c r="S116">
        <f>HYPERLINK("https://klasma.github.io/Logging_2260/artfynd/A 41868-2025 artfynd.xlsx", "A 41868-2025")</f>
        <v/>
      </c>
      <c r="T116">
        <f>HYPERLINK("https://klasma.github.io/Logging_2260/kartor/A 41868-2025 karta.png", "A 41868-2025")</f>
        <v/>
      </c>
      <c r="V116">
        <f>HYPERLINK("https://klasma.github.io/Logging_2260/klagomål/A 41868-2025 FSC-klagomål.docx", "A 41868-2025")</f>
        <v/>
      </c>
      <c r="W116">
        <f>HYPERLINK("https://klasma.github.io/Logging_2260/klagomålsmail/A 41868-2025 FSC-klagomål mail.docx", "A 41868-2025")</f>
        <v/>
      </c>
      <c r="X116">
        <f>HYPERLINK("https://klasma.github.io/Logging_2260/tillsyn/A 41868-2025 tillsynsbegäran.docx", "A 41868-2025")</f>
        <v/>
      </c>
      <c r="Y116">
        <f>HYPERLINK("https://klasma.github.io/Logging_2260/tillsynsmail/A 41868-2025 tillsynsbegäran mail.docx", "A 41868-2025")</f>
        <v/>
      </c>
    </row>
    <row r="117" ht="15" customHeight="1">
      <c r="A117" t="inlineStr">
        <is>
          <t>A 22996-2023</t>
        </is>
      </c>
      <c r="B117" s="1" t="n">
        <v>45072</v>
      </c>
      <c r="C117" s="1" t="n">
        <v>45986</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50259-2025</t>
        </is>
      </c>
      <c r="B118" s="1" t="n">
        <v>45944.34498842592</v>
      </c>
      <c r="C118" s="1" t="n">
        <v>45986</v>
      </c>
      <c r="D118" t="inlineStr">
        <is>
          <t>VÄSTERNORRLANDS LÄN</t>
        </is>
      </c>
      <c r="E118" t="inlineStr">
        <is>
          <t>ÅNGE</t>
        </is>
      </c>
      <c r="F118" t="inlineStr">
        <is>
          <t>SCA</t>
        </is>
      </c>
      <c r="G118" t="n">
        <v>1.7</v>
      </c>
      <c r="H118" t="n">
        <v>1</v>
      </c>
      <c r="I118" t="n">
        <v>1</v>
      </c>
      <c r="J118" t="n">
        <v>1</v>
      </c>
      <c r="K118" t="n">
        <v>0</v>
      </c>
      <c r="L118" t="n">
        <v>0</v>
      </c>
      <c r="M118" t="n">
        <v>0</v>
      </c>
      <c r="N118" t="n">
        <v>0</v>
      </c>
      <c r="O118" t="n">
        <v>1</v>
      </c>
      <c r="P118" t="n">
        <v>0</v>
      </c>
      <c r="Q118" t="n">
        <v>3</v>
      </c>
      <c r="R118" s="2" t="inlineStr">
        <is>
          <t>Lunglav
Bollvitmossa
Fläcknycklar</t>
        </is>
      </c>
      <c r="S118">
        <f>HYPERLINK("https://klasma.github.io/Logging_2260/artfynd/A 50259-2025 artfynd.xlsx", "A 50259-2025")</f>
        <v/>
      </c>
      <c r="T118">
        <f>HYPERLINK("https://klasma.github.io/Logging_2260/kartor/A 50259-2025 karta.png", "A 50259-2025")</f>
        <v/>
      </c>
      <c r="V118">
        <f>HYPERLINK("https://klasma.github.io/Logging_2260/klagomål/A 50259-2025 FSC-klagomål.docx", "A 50259-2025")</f>
        <v/>
      </c>
      <c r="W118">
        <f>HYPERLINK("https://klasma.github.io/Logging_2260/klagomålsmail/A 50259-2025 FSC-klagomål mail.docx", "A 50259-2025")</f>
        <v/>
      </c>
      <c r="X118">
        <f>HYPERLINK("https://klasma.github.io/Logging_2260/tillsyn/A 50259-2025 tillsynsbegäran.docx", "A 50259-2025")</f>
        <v/>
      </c>
      <c r="Y118">
        <f>HYPERLINK("https://klasma.github.io/Logging_2260/tillsynsmail/A 50259-2025 tillsynsbegäran mail.docx", "A 50259-2025")</f>
        <v/>
      </c>
    </row>
    <row r="119" ht="15" customHeight="1">
      <c r="A119" t="inlineStr">
        <is>
          <t>A 26679-2025</t>
        </is>
      </c>
      <c r="B119" s="1" t="n">
        <v>45810</v>
      </c>
      <c r="C119" s="1" t="n">
        <v>45986</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43319-2025</t>
        </is>
      </c>
      <c r="B120" s="1" t="n">
        <v>45910.65681712963</v>
      </c>
      <c r="C120" s="1" t="n">
        <v>45986</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29665-2024</t>
        </is>
      </c>
      <c r="B121" s="1" t="n">
        <v>45484</v>
      </c>
      <c r="C121" s="1" t="n">
        <v>45986</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45986</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16307-2025</t>
        </is>
      </c>
      <c r="B123" s="1" t="n">
        <v>45751.34686342593</v>
      </c>
      <c r="C123" s="1" t="n">
        <v>45986</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43880-2025</t>
        </is>
      </c>
      <c r="B124" s="1" t="n">
        <v>45912</v>
      </c>
      <c r="C124" s="1" t="n">
        <v>45986</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53710-2025</t>
        </is>
      </c>
      <c r="B125" s="1" t="n">
        <v>45960.6153125</v>
      </c>
      <c r="C125" s="1" t="n">
        <v>45986</v>
      </c>
      <c r="D125" t="inlineStr">
        <is>
          <t>VÄSTERNORRLANDS LÄN</t>
        </is>
      </c>
      <c r="E125" t="inlineStr">
        <is>
          <t>ÅNGE</t>
        </is>
      </c>
      <c r="F125" t="inlineStr">
        <is>
          <t>SCA</t>
        </is>
      </c>
      <c r="G125" t="n">
        <v>7.9</v>
      </c>
      <c r="H125" t="n">
        <v>1</v>
      </c>
      <c r="I125" t="n">
        <v>0</v>
      </c>
      <c r="J125" t="n">
        <v>3</v>
      </c>
      <c r="K125" t="n">
        <v>0</v>
      </c>
      <c r="L125" t="n">
        <v>0</v>
      </c>
      <c r="M125" t="n">
        <v>0</v>
      </c>
      <c r="N125" t="n">
        <v>0</v>
      </c>
      <c r="O125" t="n">
        <v>3</v>
      </c>
      <c r="P125" t="n">
        <v>0</v>
      </c>
      <c r="Q125" t="n">
        <v>3</v>
      </c>
      <c r="R125" s="2" t="inlineStr">
        <is>
          <t>Kolflarnlav
Spillkråka
Vedskivlav</t>
        </is>
      </c>
      <c r="S125">
        <f>HYPERLINK("https://klasma.github.io/Logging_2260/artfynd/A 53710-2025 artfynd.xlsx", "A 53710-2025")</f>
        <v/>
      </c>
      <c r="T125">
        <f>HYPERLINK("https://klasma.github.io/Logging_2260/kartor/A 53710-2025 karta.png", "A 53710-2025")</f>
        <v/>
      </c>
      <c r="V125">
        <f>HYPERLINK("https://klasma.github.io/Logging_2260/klagomål/A 53710-2025 FSC-klagomål.docx", "A 53710-2025")</f>
        <v/>
      </c>
      <c r="W125">
        <f>HYPERLINK("https://klasma.github.io/Logging_2260/klagomålsmail/A 53710-2025 FSC-klagomål mail.docx", "A 53710-2025")</f>
        <v/>
      </c>
      <c r="X125">
        <f>HYPERLINK("https://klasma.github.io/Logging_2260/tillsyn/A 53710-2025 tillsynsbegäran.docx", "A 53710-2025")</f>
        <v/>
      </c>
      <c r="Y125">
        <f>HYPERLINK("https://klasma.github.io/Logging_2260/tillsynsmail/A 53710-2025 tillsynsbegäran mail.docx", "A 53710-2025")</f>
        <v/>
      </c>
      <c r="Z125">
        <f>HYPERLINK("https://klasma.github.io/Logging_2260/fåglar/A 53710-2025 prioriterade fågelarter.docx", "A 53710-2025")</f>
        <v/>
      </c>
    </row>
    <row r="126" ht="15" customHeight="1">
      <c r="A126" t="inlineStr">
        <is>
          <t>A 46417-2025</t>
        </is>
      </c>
      <c r="B126" s="1" t="n">
        <v>45925.59454861111</v>
      </c>
      <c r="C126" s="1" t="n">
        <v>45986</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47617-2024</t>
        </is>
      </c>
      <c r="B127" s="1" t="n">
        <v>45588.32125</v>
      </c>
      <c r="C127" s="1" t="n">
        <v>45986</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31212-2025</t>
        </is>
      </c>
      <c r="B128" s="1" t="n">
        <v>45832.71978009259</v>
      </c>
      <c r="C128" s="1" t="n">
        <v>45986</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49530-2025</t>
        </is>
      </c>
      <c r="B129" s="1" t="n">
        <v>45939.40700231482</v>
      </c>
      <c r="C129" s="1" t="n">
        <v>45986</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33806-2025</t>
        </is>
      </c>
      <c r="B130" s="1" t="n">
        <v>45842.44865740741</v>
      </c>
      <c r="C130" s="1" t="n">
        <v>45986</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7533-2023</t>
        </is>
      </c>
      <c r="B131" s="1" t="n">
        <v>44971</v>
      </c>
      <c r="C131" s="1" t="n">
        <v>45986</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37184-2025</t>
        </is>
      </c>
      <c r="B132" s="1" t="n">
        <v>45875.63591435185</v>
      </c>
      <c r="C132" s="1" t="n">
        <v>45986</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38238-2025</t>
        </is>
      </c>
      <c r="B133" s="1" t="n">
        <v>45883.36497685185</v>
      </c>
      <c r="C133" s="1" t="n">
        <v>45986</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39708-2024</t>
        </is>
      </c>
      <c r="B134" s="1" t="n">
        <v>45552.59408564815</v>
      </c>
      <c r="C134" s="1" t="n">
        <v>45986</v>
      </c>
      <c r="D134" t="inlineStr">
        <is>
          <t>VÄSTERNORRLANDS LÄN</t>
        </is>
      </c>
      <c r="E134" t="inlineStr">
        <is>
          <t>ÅNGE</t>
        </is>
      </c>
      <c r="F134" t="inlineStr">
        <is>
          <t>SCA</t>
        </is>
      </c>
      <c r="G134" t="n">
        <v>6.2</v>
      </c>
      <c r="H134" t="n">
        <v>0</v>
      </c>
      <c r="I134" t="n">
        <v>0</v>
      </c>
      <c r="J134" t="n">
        <v>3</v>
      </c>
      <c r="K134" t="n">
        <v>0</v>
      </c>
      <c r="L134" t="n">
        <v>0</v>
      </c>
      <c r="M134" t="n">
        <v>0</v>
      </c>
      <c r="N134" t="n">
        <v>0</v>
      </c>
      <c r="O134" t="n">
        <v>3</v>
      </c>
      <c r="P134" t="n">
        <v>0</v>
      </c>
      <c r="Q134" t="n">
        <v>3</v>
      </c>
      <c r="R134" s="2" t="inlineStr">
        <is>
          <t>Granticka
Ullticka
Vitgrynig nållav</t>
        </is>
      </c>
      <c r="S134">
        <f>HYPERLINK("https://klasma.github.io/Logging_2260/artfynd/A 39708-2024 artfynd.xlsx", "A 39708-2024")</f>
        <v/>
      </c>
      <c r="T134">
        <f>HYPERLINK("https://klasma.github.io/Logging_2260/kartor/A 39708-2024 karta.png", "A 39708-2024")</f>
        <v/>
      </c>
      <c r="V134">
        <f>HYPERLINK("https://klasma.github.io/Logging_2260/klagomål/A 39708-2024 FSC-klagomål.docx", "A 39708-2024")</f>
        <v/>
      </c>
      <c r="W134">
        <f>HYPERLINK("https://klasma.github.io/Logging_2260/klagomålsmail/A 39708-2024 FSC-klagomål mail.docx", "A 39708-2024")</f>
        <v/>
      </c>
      <c r="X134">
        <f>HYPERLINK("https://klasma.github.io/Logging_2260/tillsyn/A 39708-2024 tillsynsbegäran.docx", "A 39708-2024")</f>
        <v/>
      </c>
      <c r="Y134">
        <f>HYPERLINK("https://klasma.github.io/Logging_2260/tillsynsmail/A 39708-2024 tillsynsbegäran mail.docx", "A 39708-2024")</f>
        <v/>
      </c>
    </row>
    <row r="135" ht="15" customHeight="1">
      <c r="A135" t="inlineStr">
        <is>
          <t>A 29691-2024</t>
        </is>
      </c>
      <c r="B135" s="1" t="n">
        <v>45484.9446875</v>
      </c>
      <c r="C135" s="1" t="n">
        <v>45986</v>
      </c>
      <c r="D135" t="inlineStr">
        <is>
          <t>VÄSTERNORRLANDS LÄN</t>
        </is>
      </c>
      <c r="E135" t="inlineStr">
        <is>
          <t>ÅNGE</t>
        </is>
      </c>
      <c r="F135" t="inlineStr">
        <is>
          <t>SCA</t>
        </is>
      </c>
      <c r="G135" t="n">
        <v>6.8</v>
      </c>
      <c r="H135" t="n">
        <v>0</v>
      </c>
      <c r="I135" t="n">
        <v>1</v>
      </c>
      <c r="J135" t="n">
        <v>2</v>
      </c>
      <c r="K135" t="n">
        <v>0</v>
      </c>
      <c r="L135" t="n">
        <v>0</v>
      </c>
      <c r="M135" t="n">
        <v>0</v>
      </c>
      <c r="N135" t="n">
        <v>0</v>
      </c>
      <c r="O135" t="n">
        <v>2</v>
      </c>
      <c r="P135" t="n">
        <v>0</v>
      </c>
      <c r="Q135" t="n">
        <v>3</v>
      </c>
      <c r="R135" s="2" t="inlineStr">
        <is>
          <t>Lunglav
Rosenticka
Vedticka</t>
        </is>
      </c>
      <c r="S135">
        <f>HYPERLINK("https://klasma.github.io/Logging_2260/artfynd/A 29691-2024 artfynd.xlsx", "A 29691-2024")</f>
        <v/>
      </c>
      <c r="T135">
        <f>HYPERLINK("https://klasma.github.io/Logging_2260/kartor/A 29691-2024 karta.png", "A 29691-2024")</f>
        <v/>
      </c>
      <c r="V135">
        <f>HYPERLINK("https://klasma.github.io/Logging_2260/klagomål/A 29691-2024 FSC-klagomål.docx", "A 29691-2024")</f>
        <v/>
      </c>
      <c r="W135">
        <f>HYPERLINK("https://klasma.github.io/Logging_2260/klagomålsmail/A 29691-2024 FSC-klagomål mail.docx", "A 29691-2024")</f>
        <v/>
      </c>
      <c r="X135">
        <f>HYPERLINK("https://klasma.github.io/Logging_2260/tillsyn/A 29691-2024 tillsynsbegäran.docx", "A 29691-2024")</f>
        <v/>
      </c>
      <c r="Y135">
        <f>HYPERLINK("https://klasma.github.io/Logging_2260/tillsynsmail/A 29691-2024 tillsynsbegäran mail.docx", "A 29691-2024")</f>
        <v/>
      </c>
    </row>
    <row r="136" ht="15" customHeight="1">
      <c r="A136" t="inlineStr">
        <is>
          <t>A 39181-2024</t>
        </is>
      </c>
      <c r="B136" s="1" t="n">
        <v>45548</v>
      </c>
      <c r="C136" s="1" t="n">
        <v>45986</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24795-2024</t>
        </is>
      </c>
      <c r="B137" s="1" t="n">
        <v>45460.95252314815</v>
      </c>
      <c r="C137" s="1" t="n">
        <v>45986</v>
      </c>
      <c r="D137" t="inlineStr">
        <is>
          <t>VÄSTERNORRLANDS LÄN</t>
        </is>
      </c>
      <c r="E137" t="inlineStr">
        <is>
          <t>ÅNGE</t>
        </is>
      </c>
      <c r="F137" t="inlineStr">
        <is>
          <t>SCA</t>
        </is>
      </c>
      <c r="G137" t="n">
        <v>2.2</v>
      </c>
      <c r="H137" t="n">
        <v>1</v>
      </c>
      <c r="I137" t="n">
        <v>2</v>
      </c>
      <c r="J137" t="n">
        <v>1</v>
      </c>
      <c r="K137" t="n">
        <v>0</v>
      </c>
      <c r="L137" t="n">
        <v>0</v>
      </c>
      <c r="M137" t="n">
        <v>0</v>
      </c>
      <c r="N137" t="n">
        <v>0</v>
      </c>
      <c r="O137" t="n">
        <v>1</v>
      </c>
      <c r="P137" t="n">
        <v>0</v>
      </c>
      <c r="Q137" t="n">
        <v>3</v>
      </c>
      <c r="R137" s="2" t="inlineStr">
        <is>
          <t>Lunglav
Plattlummer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28274-2023</t>
        </is>
      </c>
      <c r="B138" s="1" t="n">
        <v>45099</v>
      </c>
      <c r="C138" s="1" t="n">
        <v>45986</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21267-2025</t>
        </is>
      </c>
      <c r="B139" s="1" t="n">
        <v>45779</v>
      </c>
      <c r="C139" s="1" t="n">
        <v>45986</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45986</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45986</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45986</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45986</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45986</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45986</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45986</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55591-2021</t>
        </is>
      </c>
      <c r="B147" s="1" t="n">
        <v>44475</v>
      </c>
      <c r="C147" s="1" t="n">
        <v>45986</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24176-2025</t>
        </is>
      </c>
      <c r="B148" s="1" t="n">
        <v>45796.69832175926</v>
      </c>
      <c r="C148" s="1" t="n">
        <v>45986</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42864-2025</t>
        </is>
      </c>
      <c r="B149" s="1" t="n">
        <v>45908</v>
      </c>
      <c r="C149" s="1" t="n">
        <v>45986</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26906-2025</t>
        </is>
      </c>
      <c r="B150" s="1" t="n">
        <v>45811.34552083333</v>
      </c>
      <c r="C150" s="1" t="n">
        <v>45986</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18081-2025</t>
        </is>
      </c>
      <c r="B151" s="1" t="n">
        <v>45761.51086805556</v>
      </c>
      <c r="C151" s="1" t="n">
        <v>45986</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45986</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43721-2025</t>
        </is>
      </c>
      <c r="B153" s="1" t="n">
        <v>45912.42800925926</v>
      </c>
      <c r="C153" s="1" t="n">
        <v>45986</v>
      </c>
      <c r="D153" t="inlineStr">
        <is>
          <t>VÄSTERNORRLANDS LÄN</t>
        </is>
      </c>
      <c r="E153" t="inlineStr">
        <is>
          <t>ÅNGE</t>
        </is>
      </c>
      <c r="F153" t="inlineStr">
        <is>
          <t>SCA</t>
        </is>
      </c>
      <c r="G153" t="n">
        <v>9.9</v>
      </c>
      <c r="H153" t="n">
        <v>1</v>
      </c>
      <c r="I153" t="n">
        <v>1</v>
      </c>
      <c r="J153" t="n">
        <v>0</v>
      </c>
      <c r="K153" t="n">
        <v>1</v>
      </c>
      <c r="L153" t="n">
        <v>0</v>
      </c>
      <c r="M153" t="n">
        <v>0</v>
      </c>
      <c r="N153" t="n">
        <v>0</v>
      </c>
      <c r="O153" t="n">
        <v>1</v>
      </c>
      <c r="P153" t="n">
        <v>1</v>
      </c>
      <c r="Q153" t="n">
        <v>2</v>
      </c>
      <c r="R153" s="2" t="inlineStr">
        <is>
          <t>Knärot
Svavelriska</t>
        </is>
      </c>
      <c r="S153">
        <f>HYPERLINK("https://klasma.github.io/Logging_2260/artfynd/A 43721-2025 artfynd.xlsx", "A 43721-2025")</f>
        <v/>
      </c>
      <c r="T153">
        <f>HYPERLINK("https://klasma.github.io/Logging_2260/kartor/A 43721-2025 karta.png", "A 43721-2025")</f>
        <v/>
      </c>
      <c r="U153">
        <f>HYPERLINK("https://klasma.github.io/Logging_2260/knärot/A 43721-2025 karta knärot.png", "A 43721-2025")</f>
        <v/>
      </c>
      <c r="V153">
        <f>HYPERLINK("https://klasma.github.io/Logging_2260/klagomål/A 43721-2025 FSC-klagomål.docx", "A 43721-2025")</f>
        <v/>
      </c>
      <c r="W153">
        <f>HYPERLINK("https://klasma.github.io/Logging_2260/klagomålsmail/A 43721-2025 FSC-klagomål mail.docx", "A 43721-2025")</f>
        <v/>
      </c>
      <c r="X153">
        <f>HYPERLINK("https://klasma.github.io/Logging_2260/tillsyn/A 43721-2025 tillsynsbegäran.docx", "A 43721-2025")</f>
        <v/>
      </c>
      <c r="Y153">
        <f>HYPERLINK("https://klasma.github.io/Logging_2260/tillsynsmail/A 43721-2025 tillsynsbegäran mail.docx", "A 43721-2025")</f>
        <v/>
      </c>
    </row>
    <row r="154" ht="15" customHeight="1">
      <c r="A154" t="inlineStr">
        <is>
          <t>A 62861-2021</t>
        </is>
      </c>
      <c r="B154" s="1" t="n">
        <v>44503</v>
      </c>
      <c r="C154" s="1" t="n">
        <v>45986</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25034-2024</t>
        </is>
      </c>
      <c r="B155" s="1" t="n">
        <v>45461.96458333333</v>
      </c>
      <c r="C155" s="1" t="n">
        <v>45986</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45986</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54625-2025</t>
        </is>
      </c>
      <c r="B157" s="1" t="n">
        <v>45966.34552083333</v>
      </c>
      <c r="C157" s="1" t="n">
        <v>45986</v>
      </c>
      <c r="D157" t="inlineStr">
        <is>
          <t>VÄSTERNORRLANDS LÄN</t>
        </is>
      </c>
      <c r="E157" t="inlineStr">
        <is>
          <t>ÅNGE</t>
        </is>
      </c>
      <c r="F157" t="inlineStr">
        <is>
          <t>SCA</t>
        </is>
      </c>
      <c r="G157" t="n">
        <v>2.5</v>
      </c>
      <c r="H157" t="n">
        <v>1</v>
      </c>
      <c r="I157" t="n">
        <v>1</v>
      </c>
      <c r="J157" t="n">
        <v>1</v>
      </c>
      <c r="K157" t="n">
        <v>0</v>
      </c>
      <c r="L157" t="n">
        <v>0</v>
      </c>
      <c r="M157" t="n">
        <v>0</v>
      </c>
      <c r="N157" t="n">
        <v>0</v>
      </c>
      <c r="O157" t="n">
        <v>1</v>
      </c>
      <c r="P157" t="n">
        <v>0</v>
      </c>
      <c r="Q157" t="n">
        <v>2</v>
      </c>
      <c r="R157" s="2" t="inlineStr">
        <is>
          <t>Talltita
Dropptaggsvamp</t>
        </is>
      </c>
      <c r="S157">
        <f>HYPERLINK("https://klasma.github.io/Logging_2260/artfynd/A 54625-2025 artfynd.xlsx", "A 54625-2025")</f>
        <v/>
      </c>
      <c r="T157">
        <f>HYPERLINK("https://klasma.github.io/Logging_2260/kartor/A 54625-2025 karta.png", "A 54625-2025")</f>
        <v/>
      </c>
      <c r="V157">
        <f>HYPERLINK("https://klasma.github.io/Logging_2260/klagomål/A 54625-2025 FSC-klagomål.docx", "A 54625-2025")</f>
        <v/>
      </c>
      <c r="W157">
        <f>HYPERLINK("https://klasma.github.io/Logging_2260/klagomålsmail/A 54625-2025 FSC-klagomål mail.docx", "A 54625-2025")</f>
        <v/>
      </c>
      <c r="X157">
        <f>HYPERLINK("https://klasma.github.io/Logging_2260/tillsyn/A 54625-2025 tillsynsbegäran.docx", "A 54625-2025")</f>
        <v/>
      </c>
      <c r="Y157">
        <f>HYPERLINK("https://klasma.github.io/Logging_2260/tillsynsmail/A 54625-2025 tillsynsbegäran mail.docx", "A 54625-2025")</f>
        <v/>
      </c>
      <c r="Z157">
        <f>HYPERLINK("https://klasma.github.io/Logging_2260/fåglar/A 54625-2025 prioriterade fågelarter.docx", "A 54625-2025")</f>
        <v/>
      </c>
    </row>
    <row r="158" ht="15" customHeight="1">
      <c r="A158" t="inlineStr">
        <is>
          <t>A 55178-2024</t>
        </is>
      </c>
      <c r="B158" s="1" t="n">
        <v>45621</v>
      </c>
      <c r="C158" s="1" t="n">
        <v>45986</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45986</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26020-2024</t>
        </is>
      </c>
      <c r="B160" s="1" t="n">
        <v>45467.9603125</v>
      </c>
      <c r="C160" s="1" t="n">
        <v>45986</v>
      </c>
      <c r="D160" t="inlineStr">
        <is>
          <t>VÄSTERNORRLANDS LÄN</t>
        </is>
      </c>
      <c r="E160" t="inlineStr">
        <is>
          <t>ÅNGE</t>
        </is>
      </c>
      <c r="F160" t="inlineStr">
        <is>
          <t>SCA</t>
        </is>
      </c>
      <c r="G160" t="n">
        <v>4.8</v>
      </c>
      <c r="H160" t="n">
        <v>0</v>
      </c>
      <c r="I160" t="n">
        <v>1</v>
      </c>
      <c r="J160" t="n">
        <v>1</v>
      </c>
      <c r="K160" t="n">
        <v>0</v>
      </c>
      <c r="L160" t="n">
        <v>0</v>
      </c>
      <c r="M160" t="n">
        <v>0</v>
      </c>
      <c r="N160" t="n">
        <v>0</v>
      </c>
      <c r="O160" t="n">
        <v>1</v>
      </c>
      <c r="P160" t="n">
        <v>0</v>
      </c>
      <c r="Q160" t="n">
        <v>2</v>
      </c>
      <c r="R160" s="2" t="inlineStr">
        <is>
          <t>Lunglav
Stuplav</t>
        </is>
      </c>
      <c r="S160">
        <f>HYPERLINK("https://klasma.github.io/Logging_2260/artfynd/A 26020-2024 artfynd.xlsx", "A 26020-2024")</f>
        <v/>
      </c>
      <c r="T160">
        <f>HYPERLINK("https://klasma.github.io/Logging_2260/kartor/A 26020-2024 karta.png", "A 26020-2024")</f>
        <v/>
      </c>
      <c r="V160">
        <f>HYPERLINK("https://klasma.github.io/Logging_2260/klagomål/A 26020-2024 FSC-klagomål.docx", "A 26020-2024")</f>
        <v/>
      </c>
      <c r="W160">
        <f>HYPERLINK("https://klasma.github.io/Logging_2260/klagomålsmail/A 26020-2024 FSC-klagomål mail.docx", "A 26020-2024")</f>
        <v/>
      </c>
      <c r="X160">
        <f>HYPERLINK("https://klasma.github.io/Logging_2260/tillsyn/A 26020-2024 tillsynsbegäran.docx", "A 26020-2024")</f>
        <v/>
      </c>
      <c r="Y160">
        <f>HYPERLINK("https://klasma.github.io/Logging_2260/tillsynsmail/A 26020-2024 tillsynsbegäran mail.docx", "A 26020-2024")</f>
        <v/>
      </c>
    </row>
    <row r="161" ht="15" customHeight="1">
      <c r="A161" t="inlineStr">
        <is>
          <t>A 8324-2025</t>
        </is>
      </c>
      <c r="B161" s="1" t="n">
        <v>45708.63621527778</v>
      </c>
      <c r="C161" s="1" t="n">
        <v>45986</v>
      </c>
      <c r="D161" t="inlineStr">
        <is>
          <t>VÄSTERNORRLANDS LÄN</t>
        </is>
      </c>
      <c r="E161" t="inlineStr">
        <is>
          <t>ÅNGE</t>
        </is>
      </c>
      <c r="F161" t="inlineStr">
        <is>
          <t>SCA</t>
        </is>
      </c>
      <c r="G161" t="n">
        <v>7.8</v>
      </c>
      <c r="H161" t="n">
        <v>0</v>
      </c>
      <c r="I161" t="n">
        <v>1</v>
      </c>
      <c r="J161" t="n">
        <v>1</v>
      </c>
      <c r="K161" t="n">
        <v>0</v>
      </c>
      <c r="L161" t="n">
        <v>0</v>
      </c>
      <c r="M161" t="n">
        <v>0</v>
      </c>
      <c r="N161" t="n">
        <v>0</v>
      </c>
      <c r="O161" t="n">
        <v>1</v>
      </c>
      <c r="P161" t="n">
        <v>0</v>
      </c>
      <c r="Q161" t="n">
        <v>2</v>
      </c>
      <c r="R161" s="2" t="inlineStr">
        <is>
          <t>Vitgrynig nållav
Bollvitmossa</t>
        </is>
      </c>
      <c r="S161">
        <f>HYPERLINK("https://klasma.github.io/Logging_2260/artfynd/A 8324-2025 artfynd.xlsx", "A 8324-2025")</f>
        <v/>
      </c>
      <c r="T161">
        <f>HYPERLINK("https://klasma.github.io/Logging_2260/kartor/A 8324-2025 karta.png", "A 8324-2025")</f>
        <v/>
      </c>
      <c r="V161">
        <f>HYPERLINK("https://klasma.github.io/Logging_2260/klagomål/A 8324-2025 FSC-klagomål.docx", "A 8324-2025")</f>
        <v/>
      </c>
      <c r="W161">
        <f>HYPERLINK("https://klasma.github.io/Logging_2260/klagomålsmail/A 8324-2025 FSC-klagomål mail.docx", "A 8324-2025")</f>
        <v/>
      </c>
      <c r="X161">
        <f>HYPERLINK("https://klasma.github.io/Logging_2260/tillsyn/A 8324-2025 tillsynsbegäran.docx", "A 8324-2025")</f>
        <v/>
      </c>
      <c r="Y161">
        <f>HYPERLINK("https://klasma.github.io/Logging_2260/tillsynsmail/A 8324-2025 tillsynsbegäran mail.docx", "A 8324-2025")</f>
        <v/>
      </c>
    </row>
    <row r="162" ht="15" customHeight="1">
      <c r="A162" t="inlineStr">
        <is>
          <t>A 36414-2025</t>
        </is>
      </c>
      <c r="B162" s="1" t="n">
        <v>45868.69246527777</v>
      </c>
      <c r="C162" s="1" t="n">
        <v>45986</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45986</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45986</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48695-2024</t>
        </is>
      </c>
      <c r="B165" s="1" t="n">
        <v>45593.5109837963</v>
      </c>
      <c r="C165" s="1" t="n">
        <v>45986</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4873-2025</t>
        </is>
      </c>
      <c r="B166" s="1" t="n">
        <v>45688.67633101852</v>
      </c>
      <c r="C166" s="1" t="n">
        <v>45986</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4873-2025 artfynd.xlsx", "A 4873-2025")</f>
        <v/>
      </c>
      <c r="T166">
        <f>HYPERLINK("https://klasma.github.io/Logging_2260/kartor/A 4873-2025 karta.png", "A 4873-2025")</f>
        <v/>
      </c>
      <c r="V166">
        <f>HYPERLINK("https://klasma.github.io/Logging_2260/klagomål/A 4873-2025 FSC-klagomål.docx", "A 4873-2025")</f>
        <v/>
      </c>
      <c r="W166">
        <f>HYPERLINK("https://klasma.github.io/Logging_2260/klagomålsmail/A 4873-2025 FSC-klagomål mail.docx", "A 4873-2025")</f>
        <v/>
      </c>
      <c r="X166">
        <f>HYPERLINK("https://klasma.github.io/Logging_2260/tillsyn/A 4873-2025 tillsynsbegäran.docx", "A 4873-2025")</f>
        <v/>
      </c>
      <c r="Y166">
        <f>HYPERLINK("https://klasma.github.io/Logging_2260/tillsynsmail/A 4873-2025 tillsynsbegäran mail.docx", "A 4873-2025")</f>
        <v/>
      </c>
    </row>
    <row r="167" ht="15" customHeight="1">
      <c r="A167" t="inlineStr">
        <is>
          <t>A 57089-2024</t>
        </is>
      </c>
      <c r="B167" s="1" t="n">
        <v>45629.35665509259</v>
      </c>
      <c r="C167" s="1" t="n">
        <v>45986</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47719-2024</t>
        </is>
      </c>
      <c r="B168" s="1" t="n">
        <v>45588.48996527777</v>
      </c>
      <c r="C168" s="1" t="n">
        <v>45986</v>
      </c>
      <c r="D168" t="inlineStr">
        <is>
          <t>VÄSTERNORRLANDS LÄN</t>
        </is>
      </c>
      <c r="E168" t="inlineStr">
        <is>
          <t>ÅNGE</t>
        </is>
      </c>
      <c r="F168" t="inlineStr">
        <is>
          <t>SCA</t>
        </is>
      </c>
      <c r="G168" t="n">
        <v>1.4</v>
      </c>
      <c r="H168" t="n">
        <v>0</v>
      </c>
      <c r="I168" t="n">
        <v>0</v>
      </c>
      <c r="J168" t="n">
        <v>2</v>
      </c>
      <c r="K168" t="n">
        <v>0</v>
      </c>
      <c r="L168" t="n">
        <v>0</v>
      </c>
      <c r="M168" t="n">
        <v>0</v>
      </c>
      <c r="N168" t="n">
        <v>0</v>
      </c>
      <c r="O168" t="n">
        <v>2</v>
      </c>
      <c r="P168" t="n">
        <v>0</v>
      </c>
      <c r="Q168" t="n">
        <v>2</v>
      </c>
      <c r="R168" s="2" t="inlineStr">
        <is>
          <t>Dvärgbägarlav
Vedskivlav</t>
        </is>
      </c>
      <c r="S168">
        <f>HYPERLINK("https://klasma.github.io/Logging_2260/artfynd/A 47719-2024 artfynd.xlsx", "A 47719-2024")</f>
        <v/>
      </c>
      <c r="T168">
        <f>HYPERLINK("https://klasma.github.io/Logging_2260/kartor/A 47719-2024 karta.png", "A 47719-2024")</f>
        <v/>
      </c>
      <c r="V168">
        <f>HYPERLINK("https://klasma.github.io/Logging_2260/klagomål/A 47719-2024 FSC-klagomål.docx", "A 47719-2024")</f>
        <v/>
      </c>
      <c r="W168">
        <f>HYPERLINK("https://klasma.github.io/Logging_2260/klagomålsmail/A 47719-2024 FSC-klagomål mail.docx", "A 47719-2024")</f>
        <v/>
      </c>
      <c r="X168">
        <f>HYPERLINK("https://klasma.github.io/Logging_2260/tillsyn/A 47719-2024 tillsynsbegäran.docx", "A 47719-2024")</f>
        <v/>
      </c>
      <c r="Y168">
        <f>HYPERLINK("https://klasma.github.io/Logging_2260/tillsynsmail/A 47719-2024 tillsynsbegäran mail.docx", "A 47719-2024")</f>
        <v/>
      </c>
    </row>
    <row r="169" ht="15" customHeight="1">
      <c r="A169" t="inlineStr">
        <is>
          <t>A 29325-2023</t>
        </is>
      </c>
      <c r="B169" s="1" t="n">
        <v>45105</v>
      </c>
      <c r="C169" s="1" t="n">
        <v>45986</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57594-2022</t>
        </is>
      </c>
      <c r="B170" s="1" t="n">
        <v>44896.97854166666</v>
      </c>
      <c r="C170" s="1" t="n">
        <v>45986</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4093-2025</t>
        </is>
      </c>
      <c r="B171" s="1" t="n">
        <v>45684.67762731481</v>
      </c>
      <c r="C171" s="1" t="n">
        <v>45986</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31493-2024</t>
        </is>
      </c>
      <c r="B172" s="1" t="n">
        <v>45505</v>
      </c>
      <c r="C172" s="1" t="n">
        <v>45986</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165-2025</t>
        </is>
      </c>
      <c r="B173" s="1" t="n">
        <v>45659</v>
      </c>
      <c r="C173" s="1" t="n">
        <v>45986</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17861-2023</t>
        </is>
      </c>
      <c r="B174" s="1" t="n">
        <v>45037.94171296297</v>
      </c>
      <c r="C174" s="1" t="n">
        <v>45986</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32659-2024</t>
        </is>
      </c>
      <c r="B175" s="1" t="n">
        <v>45513</v>
      </c>
      <c r="C175" s="1" t="n">
        <v>45986</v>
      </c>
      <c r="D175" t="inlineStr">
        <is>
          <t>VÄSTERNORRLANDS LÄN</t>
        </is>
      </c>
      <c r="E175" t="inlineStr">
        <is>
          <t>ÅNGE</t>
        </is>
      </c>
      <c r="F175" t="inlineStr">
        <is>
          <t>SCA</t>
        </is>
      </c>
      <c r="G175" t="n">
        <v>6.9</v>
      </c>
      <c r="H175" t="n">
        <v>0</v>
      </c>
      <c r="I175" t="n">
        <v>0</v>
      </c>
      <c r="J175" t="n">
        <v>2</v>
      </c>
      <c r="K175" t="n">
        <v>0</v>
      </c>
      <c r="L175" t="n">
        <v>0</v>
      </c>
      <c r="M175" t="n">
        <v>0</v>
      </c>
      <c r="N175" t="n">
        <v>0</v>
      </c>
      <c r="O175" t="n">
        <v>2</v>
      </c>
      <c r="P175" t="n">
        <v>0</v>
      </c>
      <c r="Q175" t="n">
        <v>2</v>
      </c>
      <c r="R175" s="2" t="inlineStr">
        <is>
          <t>Lunglav
Stjärntagging</t>
        </is>
      </c>
      <c r="S175">
        <f>HYPERLINK("https://klasma.github.io/Logging_2260/artfynd/A 32659-2024 artfynd.xlsx", "A 32659-2024")</f>
        <v/>
      </c>
      <c r="T175">
        <f>HYPERLINK("https://klasma.github.io/Logging_2260/kartor/A 32659-2024 karta.png", "A 32659-2024")</f>
        <v/>
      </c>
      <c r="V175">
        <f>HYPERLINK("https://klasma.github.io/Logging_2260/klagomål/A 32659-2024 FSC-klagomål.docx", "A 32659-2024")</f>
        <v/>
      </c>
      <c r="W175">
        <f>HYPERLINK("https://klasma.github.io/Logging_2260/klagomålsmail/A 32659-2024 FSC-klagomål mail.docx", "A 32659-2024")</f>
        <v/>
      </c>
      <c r="X175">
        <f>HYPERLINK("https://klasma.github.io/Logging_2260/tillsyn/A 32659-2024 tillsynsbegäran.docx", "A 32659-2024")</f>
        <v/>
      </c>
      <c r="Y175">
        <f>HYPERLINK("https://klasma.github.io/Logging_2260/tillsynsmail/A 32659-2024 tillsynsbegäran mail.docx", "A 32659-2024")</f>
        <v/>
      </c>
    </row>
    <row r="176" ht="15" customHeight="1">
      <c r="A176" t="inlineStr">
        <is>
          <t>A 21453-2025</t>
        </is>
      </c>
      <c r="B176" s="1" t="n">
        <v>45782.55311342593</v>
      </c>
      <c r="C176" s="1" t="n">
        <v>45986</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45986</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45986</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45986</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45986</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45986</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45986</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23490-2025</t>
        </is>
      </c>
      <c r="B183" s="1" t="n">
        <v>45792.46907407408</v>
      </c>
      <c r="C183" s="1" t="n">
        <v>45986</v>
      </c>
      <c r="D183" t="inlineStr">
        <is>
          <t>VÄSTERNORRLANDS LÄN</t>
        </is>
      </c>
      <c r="E183" t="inlineStr">
        <is>
          <t>ÅNGE</t>
        </is>
      </c>
      <c r="F183" t="inlineStr">
        <is>
          <t>SCA</t>
        </is>
      </c>
      <c r="G183" t="n">
        <v>3.3</v>
      </c>
      <c r="H183" t="n">
        <v>0</v>
      </c>
      <c r="I183" t="n">
        <v>0</v>
      </c>
      <c r="J183" t="n">
        <v>1</v>
      </c>
      <c r="K183" t="n">
        <v>0</v>
      </c>
      <c r="L183" t="n">
        <v>0</v>
      </c>
      <c r="M183" t="n">
        <v>0</v>
      </c>
      <c r="N183" t="n">
        <v>0</v>
      </c>
      <c r="O183" t="n">
        <v>1</v>
      </c>
      <c r="P183" t="n">
        <v>0</v>
      </c>
      <c r="Q183" t="n">
        <v>1</v>
      </c>
      <c r="R183" s="2" t="inlineStr">
        <is>
          <t>Garnlav</t>
        </is>
      </c>
      <c r="S183">
        <f>HYPERLINK("https://klasma.github.io/Logging_2260/artfynd/A 23490-2025 artfynd.xlsx", "A 23490-2025")</f>
        <v/>
      </c>
      <c r="T183">
        <f>HYPERLINK("https://klasma.github.io/Logging_2260/kartor/A 23490-2025 karta.png", "A 23490-2025")</f>
        <v/>
      </c>
      <c r="V183">
        <f>HYPERLINK("https://klasma.github.io/Logging_2260/klagomål/A 23490-2025 FSC-klagomål.docx", "A 23490-2025")</f>
        <v/>
      </c>
      <c r="W183">
        <f>HYPERLINK("https://klasma.github.io/Logging_2260/klagomålsmail/A 23490-2025 FSC-klagomål mail.docx", "A 23490-2025")</f>
        <v/>
      </c>
      <c r="X183">
        <f>HYPERLINK("https://klasma.github.io/Logging_2260/tillsyn/A 23490-2025 tillsynsbegäran.docx", "A 23490-2025")</f>
        <v/>
      </c>
      <c r="Y183">
        <f>HYPERLINK("https://klasma.github.io/Logging_2260/tillsynsmail/A 23490-2025 tillsynsbegäran mail.docx", "A 23490-2025")</f>
        <v/>
      </c>
    </row>
    <row r="184" ht="15" customHeight="1">
      <c r="A184" t="inlineStr">
        <is>
          <t>A 71366-2021</t>
        </is>
      </c>
      <c r="B184" s="1" t="n">
        <v>44539</v>
      </c>
      <c r="C184" s="1" t="n">
        <v>45986</v>
      </c>
      <c r="D184" t="inlineStr">
        <is>
          <t>VÄSTERNORRLANDS LÄN</t>
        </is>
      </c>
      <c r="E184" t="inlineStr">
        <is>
          <t>ÅNGE</t>
        </is>
      </c>
      <c r="F184" t="inlineStr">
        <is>
          <t>SCA</t>
        </is>
      </c>
      <c r="G184" t="n">
        <v>2.3</v>
      </c>
      <c r="H184" t="n">
        <v>1</v>
      </c>
      <c r="I184" t="n">
        <v>0</v>
      </c>
      <c r="J184" t="n">
        <v>0</v>
      </c>
      <c r="K184" t="n">
        <v>1</v>
      </c>
      <c r="L184" t="n">
        <v>0</v>
      </c>
      <c r="M184" t="n">
        <v>0</v>
      </c>
      <c r="N184" t="n">
        <v>0</v>
      </c>
      <c r="O184" t="n">
        <v>1</v>
      </c>
      <c r="P184" t="n">
        <v>1</v>
      </c>
      <c r="Q184" t="n">
        <v>1</v>
      </c>
      <c r="R184" s="2" t="inlineStr">
        <is>
          <t>Knärot</t>
        </is>
      </c>
      <c r="S184">
        <f>HYPERLINK("https://klasma.github.io/Logging_2260/artfynd/A 71366-2021 artfynd.xlsx", "A 71366-2021")</f>
        <v/>
      </c>
      <c r="T184">
        <f>HYPERLINK("https://klasma.github.io/Logging_2260/kartor/A 71366-2021 karta.png", "A 71366-2021")</f>
        <v/>
      </c>
      <c r="U184">
        <f>HYPERLINK("https://klasma.github.io/Logging_2260/knärot/A 71366-2021 karta knärot.png", "A 71366-2021")</f>
        <v/>
      </c>
      <c r="V184">
        <f>HYPERLINK("https://klasma.github.io/Logging_2260/klagomål/A 71366-2021 FSC-klagomål.docx", "A 71366-2021")</f>
        <v/>
      </c>
      <c r="W184">
        <f>HYPERLINK("https://klasma.github.io/Logging_2260/klagomålsmail/A 71366-2021 FSC-klagomål mail.docx", "A 71366-2021")</f>
        <v/>
      </c>
      <c r="X184">
        <f>HYPERLINK("https://klasma.github.io/Logging_2260/tillsyn/A 71366-2021 tillsynsbegäran.docx", "A 71366-2021")</f>
        <v/>
      </c>
      <c r="Y184">
        <f>HYPERLINK("https://klasma.github.io/Logging_2260/tillsynsmail/A 71366-2021 tillsynsbegäran mail.docx", "A 71366-2021")</f>
        <v/>
      </c>
    </row>
    <row r="185" ht="15" customHeight="1">
      <c r="A185" t="inlineStr">
        <is>
          <t>A 32457-2024</t>
        </is>
      </c>
      <c r="B185" s="1" t="n">
        <v>45512</v>
      </c>
      <c r="C185" s="1" t="n">
        <v>45986</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45986</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42524-2025</t>
        </is>
      </c>
      <c r="B187" s="1" t="n">
        <v>45905.55262731481</v>
      </c>
      <c r="C187" s="1" t="n">
        <v>45986</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HYPERLINK("https://klasma.github.io/Logging_2260/artfynd/A 42524-2025 artfynd.xlsx", "A 42524-2025")</f>
        <v/>
      </c>
      <c r="T187">
        <f>HYPERLINK("https://klasma.github.io/Logging_2260/kartor/A 42524-2025 karta.png", "A 42524-2025")</f>
        <v/>
      </c>
      <c r="V187">
        <f>HYPERLINK("https://klasma.github.io/Logging_2260/klagomål/A 42524-2025 FSC-klagomål.docx", "A 42524-2025")</f>
        <v/>
      </c>
      <c r="W187">
        <f>HYPERLINK("https://klasma.github.io/Logging_2260/klagomålsmail/A 42524-2025 FSC-klagomål mail.docx", "A 42524-2025")</f>
        <v/>
      </c>
      <c r="X187">
        <f>HYPERLINK("https://klasma.github.io/Logging_2260/tillsyn/A 42524-2025 tillsynsbegäran.docx", "A 42524-2025")</f>
        <v/>
      </c>
      <c r="Y187">
        <f>HYPERLINK("https://klasma.github.io/Logging_2260/tillsynsmail/A 42524-2025 tillsynsbegäran mail.docx", "A 42524-2025")</f>
        <v/>
      </c>
    </row>
    <row r="188" ht="15" customHeight="1">
      <c r="A188" t="inlineStr">
        <is>
          <t>A 54386-2024</t>
        </is>
      </c>
      <c r="B188" s="1" t="n">
        <v>45617.44822916666</v>
      </c>
      <c r="C188" s="1" t="n">
        <v>45986</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43590-2025</t>
        </is>
      </c>
      <c r="B189" s="1" t="n">
        <v>45911.65665509259</v>
      </c>
      <c r="C189" s="1" t="n">
        <v>45986</v>
      </c>
      <c r="D189" t="inlineStr">
        <is>
          <t>VÄSTERNORRLANDS LÄN</t>
        </is>
      </c>
      <c r="E189" t="inlineStr">
        <is>
          <t>ÅNGE</t>
        </is>
      </c>
      <c r="F189" t="inlineStr">
        <is>
          <t>SCA</t>
        </is>
      </c>
      <c r="G189" t="n">
        <v>2.9</v>
      </c>
      <c r="H189" t="n">
        <v>0</v>
      </c>
      <c r="I189" t="n">
        <v>0</v>
      </c>
      <c r="J189" t="n">
        <v>1</v>
      </c>
      <c r="K189" t="n">
        <v>0</v>
      </c>
      <c r="L189" t="n">
        <v>0</v>
      </c>
      <c r="M189" t="n">
        <v>0</v>
      </c>
      <c r="N189" t="n">
        <v>0</v>
      </c>
      <c r="O189" t="n">
        <v>1</v>
      </c>
      <c r="P189" t="n">
        <v>0</v>
      </c>
      <c r="Q189" t="n">
        <v>1</v>
      </c>
      <c r="R189" s="2" t="inlineStr">
        <is>
          <t>Granticka</t>
        </is>
      </c>
      <c r="S189">
        <f>HYPERLINK("https://klasma.github.io/Logging_2260/artfynd/A 43590-2025 artfynd.xlsx", "A 43590-2025")</f>
        <v/>
      </c>
      <c r="T189">
        <f>HYPERLINK("https://klasma.github.io/Logging_2260/kartor/A 43590-2025 karta.png", "A 43590-2025")</f>
        <v/>
      </c>
      <c r="V189">
        <f>HYPERLINK("https://klasma.github.io/Logging_2260/klagomål/A 43590-2025 FSC-klagomål.docx", "A 43590-2025")</f>
        <v/>
      </c>
      <c r="W189">
        <f>HYPERLINK("https://klasma.github.io/Logging_2260/klagomålsmail/A 43590-2025 FSC-klagomål mail.docx", "A 43590-2025")</f>
        <v/>
      </c>
      <c r="X189">
        <f>HYPERLINK("https://klasma.github.io/Logging_2260/tillsyn/A 43590-2025 tillsynsbegäran.docx", "A 43590-2025")</f>
        <v/>
      </c>
      <c r="Y189">
        <f>HYPERLINK("https://klasma.github.io/Logging_2260/tillsynsmail/A 43590-2025 tillsynsbegäran mail.docx", "A 43590-2025")</f>
        <v/>
      </c>
    </row>
    <row r="190" ht="15" customHeight="1">
      <c r="A190" t="inlineStr">
        <is>
          <t>A 39933-2022</t>
        </is>
      </c>
      <c r="B190" s="1" t="n">
        <v>44819</v>
      </c>
      <c r="C190" s="1" t="n">
        <v>45986</v>
      </c>
      <c r="D190" t="inlineStr">
        <is>
          <t>VÄSTERNORRLANDS LÄN</t>
        </is>
      </c>
      <c r="E190" t="inlineStr">
        <is>
          <t>ÅNGE</t>
        </is>
      </c>
      <c r="F190" t="inlineStr">
        <is>
          <t>SCA</t>
        </is>
      </c>
      <c r="G190" t="n">
        <v>13.8</v>
      </c>
      <c r="H190" t="n">
        <v>1</v>
      </c>
      <c r="I190" t="n">
        <v>0</v>
      </c>
      <c r="J190" t="n">
        <v>0</v>
      </c>
      <c r="K190" t="n">
        <v>1</v>
      </c>
      <c r="L190" t="n">
        <v>0</v>
      </c>
      <c r="M190" t="n">
        <v>0</v>
      </c>
      <c r="N190" t="n">
        <v>0</v>
      </c>
      <c r="O190" t="n">
        <v>1</v>
      </c>
      <c r="P190" t="n">
        <v>1</v>
      </c>
      <c r="Q190" t="n">
        <v>1</v>
      </c>
      <c r="R190" s="2" t="inlineStr">
        <is>
          <t>Knärot</t>
        </is>
      </c>
      <c r="S190">
        <f>HYPERLINK("https://klasma.github.io/Logging_2260/artfynd/A 39933-2022 artfynd.xlsx", "A 39933-2022")</f>
        <v/>
      </c>
      <c r="T190">
        <f>HYPERLINK("https://klasma.github.io/Logging_2260/kartor/A 39933-2022 karta.png", "A 39933-2022")</f>
        <v/>
      </c>
      <c r="U190">
        <f>HYPERLINK("https://klasma.github.io/Logging_2260/knärot/A 39933-2022 karta knärot.png", "A 39933-2022")</f>
        <v/>
      </c>
      <c r="V190">
        <f>HYPERLINK("https://klasma.github.io/Logging_2260/klagomål/A 39933-2022 FSC-klagomål.docx", "A 39933-2022")</f>
        <v/>
      </c>
      <c r="W190">
        <f>HYPERLINK("https://klasma.github.io/Logging_2260/klagomålsmail/A 39933-2022 FSC-klagomål mail.docx", "A 39933-2022")</f>
        <v/>
      </c>
      <c r="X190">
        <f>HYPERLINK("https://klasma.github.io/Logging_2260/tillsyn/A 39933-2022 tillsynsbegäran.docx", "A 39933-2022")</f>
        <v/>
      </c>
      <c r="Y190">
        <f>HYPERLINK("https://klasma.github.io/Logging_2260/tillsynsmail/A 39933-2022 tillsynsbegäran mail.docx", "A 39933-2022")</f>
        <v/>
      </c>
    </row>
    <row r="191" ht="15" customHeight="1">
      <c r="A191" t="inlineStr">
        <is>
          <t>A 38606-2024</t>
        </is>
      </c>
      <c r="B191" s="1" t="n">
        <v>45546.67804398148</v>
      </c>
      <c r="C191" s="1" t="n">
        <v>45986</v>
      </c>
      <c r="D191" t="inlineStr">
        <is>
          <t>VÄSTERNORRLANDS LÄN</t>
        </is>
      </c>
      <c r="E191" t="inlineStr">
        <is>
          <t>ÅNGE</t>
        </is>
      </c>
      <c r="F191" t="inlineStr">
        <is>
          <t>SCA</t>
        </is>
      </c>
      <c r="G191" t="n">
        <v>2.4</v>
      </c>
      <c r="H191" t="n">
        <v>0</v>
      </c>
      <c r="I191" t="n">
        <v>0</v>
      </c>
      <c r="J191" t="n">
        <v>1</v>
      </c>
      <c r="K191" t="n">
        <v>0</v>
      </c>
      <c r="L191" t="n">
        <v>0</v>
      </c>
      <c r="M191" t="n">
        <v>0</v>
      </c>
      <c r="N191" t="n">
        <v>0</v>
      </c>
      <c r="O191" t="n">
        <v>1</v>
      </c>
      <c r="P191" t="n">
        <v>0</v>
      </c>
      <c r="Q191" t="n">
        <v>1</v>
      </c>
      <c r="R191" s="2" t="inlineStr">
        <is>
          <t>Ullticka</t>
        </is>
      </c>
      <c r="S191">
        <f>HYPERLINK("https://klasma.github.io/Logging_2260/artfynd/A 38606-2024 artfynd.xlsx", "A 38606-2024")</f>
        <v/>
      </c>
      <c r="T191">
        <f>HYPERLINK("https://klasma.github.io/Logging_2260/kartor/A 38606-2024 karta.png", "A 38606-2024")</f>
        <v/>
      </c>
      <c r="V191">
        <f>HYPERLINK("https://klasma.github.io/Logging_2260/klagomål/A 38606-2024 FSC-klagomål.docx", "A 38606-2024")</f>
        <v/>
      </c>
      <c r="W191">
        <f>HYPERLINK("https://klasma.github.io/Logging_2260/klagomålsmail/A 38606-2024 FSC-klagomål mail.docx", "A 38606-2024")</f>
        <v/>
      </c>
      <c r="X191">
        <f>HYPERLINK("https://klasma.github.io/Logging_2260/tillsyn/A 38606-2024 tillsynsbegäran.docx", "A 38606-2024")</f>
        <v/>
      </c>
      <c r="Y191">
        <f>HYPERLINK("https://klasma.github.io/Logging_2260/tillsynsmail/A 38606-2024 tillsynsbegäran mail.docx", "A 38606-2024")</f>
        <v/>
      </c>
    </row>
    <row r="192" ht="15" customHeight="1">
      <c r="A192" t="inlineStr">
        <is>
          <t>A 46094-2025</t>
        </is>
      </c>
      <c r="B192" s="1" t="n">
        <v>45924</v>
      </c>
      <c r="C192" s="1" t="n">
        <v>45986</v>
      </c>
      <c r="D192" t="inlineStr">
        <is>
          <t>VÄSTERNORRLANDS LÄN</t>
        </is>
      </c>
      <c r="E192" t="inlineStr">
        <is>
          <t>ÅNGE</t>
        </is>
      </c>
      <c r="F192" t="inlineStr">
        <is>
          <t>SCA</t>
        </is>
      </c>
      <c r="G192" t="n">
        <v>1.1</v>
      </c>
      <c r="H192" t="n">
        <v>1</v>
      </c>
      <c r="I192" t="n">
        <v>0</v>
      </c>
      <c r="J192" t="n">
        <v>1</v>
      </c>
      <c r="K192" t="n">
        <v>0</v>
      </c>
      <c r="L192" t="n">
        <v>0</v>
      </c>
      <c r="M192" t="n">
        <v>0</v>
      </c>
      <c r="N192" t="n">
        <v>0</v>
      </c>
      <c r="O192" t="n">
        <v>1</v>
      </c>
      <c r="P192" t="n">
        <v>0</v>
      </c>
      <c r="Q192" t="n">
        <v>1</v>
      </c>
      <c r="R192" s="2" t="inlineStr">
        <is>
          <t>Utter</t>
        </is>
      </c>
      <c r="S192">
        <f>HYPERLINK("https://klasma.github.io/Logging_2260/artfynd/A 46094-2025 artfynd.xlsx", "A 46094-2025")</f>
        <v/>
      </c>
      <c r="T192">
        <f>HYPERLINK("https://klasma.github.io/Logging_2260/kartor/A 46094-2025 karta.png", "A 46094-2025")</f>
        <v/>
      </c>
      <c r="V192">
        <f>HYPERLINK("https://klasma.github.io/Logging_2260/klagomål/A 46094-2025 FSC-klagomål.docx", "A 46094-2025")</f>
        <v/>
      </c>
      <c r="W192">
        <f>HYPERLINK("https://klasma.github.io/Logging_2260/klagomålsmail/A 46094-2025 FSC-klagomål mail.docx", "A 46094-2025")</f>
        <v/>
      </c>
      <c r="X192">
        <f>HYPERLINK("https://klasma.github.io/Logging_2260/tillsyn/A 46094-2025 tillsynsbegäran.docx", "A 46094-2025")</f>
        <v/>
      </c>
      <c r="Y192">
        <f>HYPERLINK("https://klasma.github.io/Logging_2260/tillsynsmail/A 46094-2025 tillsynsbegäran mail.docx", "A 46094-2025")</f>
        <v/>
      </c>
    </row>
    <row r="193" ht="15" customHeight="1">
      <c r="A193" t="inlineStr">
        <is>
          <t>A 27025-2025</t>
        </is>
      </c>
      <c r="B193" s="1" t="n">
        <v>45811</v>
      </c>
      <c r="C193" s="1" t="n">
        <v>45986</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47857-2025</t>
        </is>
      </c>
      <c r="B194" s="1" t="n">
        <v>45932.4068287037</v>
      </c>
      <c r="C194" s="1" t="n">
        <v>45986</v>
      </c>
      <c r="D194" t="inlineStr">
        <is>
          <t>VÄSTERNORRLANDS LÄN</t>
        </is>
      </c>
      <c r="E194" t="inlineStr">
        <is>
          <t>ÅNGE</t>
        </is>
      </c>
      <c r="G194" t="n">
        <v>2.5</v>
      </c>
      <c r="H194" t="n">
        <v>1</v>
      </c>
      <c r="I194" t="n">
        <v>0</v>
      </c>
      <c r="J194" t="n">
        <v>1</v>
      </c>
      <c r="K194" t="n">
        <v>0</v>
      </c>
      <c r="L194" t="n">
        <v>0</v>
      </c>
      <c r="M194" t="n">
        <v>0</v>
      </c>
      <c r="N194" t="n">
        <v>0</v>
      </c>
      <c r="O194" t="n">
        <v>1</v>
      </c>
      <c r="P194" t="n">
        <v>0</v>
      </c>
      <c r="Q194" t="n">
        <v>1</v>
      </c>
      <c r="R194" s="2" t="inlineStr">
        <is>
          <t>Kungsörn</t>
        </is>
      </c>
      <c r="S194">
        <f>HYPERLINK("https://klasma.github.io/Logging_2260/artfynd/A 47857-2025 artfynd.xlsx", "A 47857-2025")</f>
        <v/>
      </c>
      <c r="T194">
        <f>HYPERLINK("https://klasma.github.io/Logging_2260/kartor/A 47857-2025 karta.png", "A 47857-2025")</f>
        <v/>
      </c>
      <c r="V194">
        <f>HYPERLINK("https://klasma.github.io/Logging_2260/klagomål/A 47857-2025 FSC-klagomål.docx", "A 47857-2025")</f>
        <v/>
      </c>
      <c r="W194">
        <f>HYPERLINK("https://klasma.github.io/Logging_2260/klagomålsmail/A 47857-2025 FSC-klagomål mail.docx", "A 47857-2025")</f>
        <v/>
      </c>
      <c r="X194">
        <f>HYPERLINK("https://klasma.github.io/Logging_2260/tillsyn/A 47857-2025 tillsynsbegäran.docx", "A 47857-2025")</f>
        <v/>
      </c>
      <c r="Y194">
        <f>HYPERLINK("https://klasma.github.io/Logging_2260/tillsynsmail/A 47857-2025 tillsynsbegäran mail.docx", "A 47857-2025")</f>
        <v/>
      </c>
      <c r="Z194">
        <f>HYPERLINK("https://klasma.github.io/Logging_2260/fåglar/A 47857-2025 prioriterade fågelarter.docx", "A 47857-2025")</f>
        <v/>
      </c>
    </row>
    <row r="195" ht="15" customHeight="1">
      <c r="A195" t="inlineStr">
        <is>
          <t>A 48237-2025</t>
        </is>
      </c>
      <c r="B195" s="1" t="n">
        <v>45933</v>
      </c>
      <c r="C195" s="1" t="n">
        <v>45986</v>
      </c>
      <c r="D195" t="inlineStr">
        <is>
          <t>VÄSTERNORRLANDS LÄN</t>
        </is>
      </c>
      <c r="E195" t="inlineStr">
        <is>
          <t>ÅNGE</t>
        </is>
      </c>
      <c r="F195" t="inlineStr">
        <is>
          <t>SCA</t>
        </is>
      </c>
      <c r="G195" t="n">
        <v>1.9</v>
      </c>
      <c r="H195" t="n">
        <v>1</v>
      </c>
      <c r="I195" t="n">
        <v>0</v>
      </c>
      <c r="J195" t="n">
        <v>0</v>
      </c>
      <c r="K195" t="n">
        <v>1</v>
      </c>
      <c r="L195" t="n">
        <v>0</v>
      </c>
      <c r="M195" t="n">
        <v>0</v>
      </c>
      <c r="N195" t="n">
        <v>0</v>
      </c>
      <c r="O195" t="n">
        <v>1</v>
      </c>
      <c r="P195" t="n">
        <v>1</v>
      </c>
      <c r="Q195" t="n">
        <v>1</v>
      </c>
      <c r="R195" s="2" t="inlineStr">
        <is>
          <t>Knärot</t>
        </is>
      </c>
      <c r="S195">
        <f>HYPERLINK("https://klasma.github.io/Logging_2260/artfynd/A 48237-2025 artfynd.xlsx", "A 48237-2025")</f>
        <v/>
      </c>
      <c r="T195">
        <f>HYPERLINK("https://klasma.github.io/Logging_2260/kartor/A 48237-2025 karta.png", "A 48237-2025")</f>
        <v/>
      </c>
      <c r="U195">
        <f>HYPERLINK("https://klasma.github.io/Logging_2260/knärot/A 48237-2025 karta knärot.png", "A 48237-2025")</f>
        <v/>
      </c>
      <c r="V195">
        <f>HYPERLINK("https://klasma.github.io/Logging_2260/klagomål/A 48237-2025 FSC-klagomål.docx", "A 48237-2025")</f>
        <v/>
      </c>
      <c r="W195">
        <f>HYPERLINK("https://klasma.github.io/Logging_2260/klagomålsmail/A 48237-2025 FSC-klagomål mail.docx", "A 48237-2025")</f>
        <v/>
      </c>
      <c r="X195">
        <f>HYPERLINK("https://klasma.github.io/Logging_2260/tillsyn/A 48237-2025 tillsynsbegäran.docx", "A 48237-2025")</f>
        <v/>
      </c>
      <c r="Y195">
        <f>HYPERLINK("https://klasma.github.io/Logging_2260/tillsynsmail/A 48237-2025 tillsynsbegäran mail.docx", "A 48237-2025")</f>
        <v/>
      </c>
    </row>
    <row r="196" ht="15" customHeight="1">
      <c r="A196" t="inlineStr">
        <is>
          <t>A 53683-2025</t>
        </is>
      </c>
      <c r="B196" s="1" t="n">
        <v>45960</v>
      </c>
      <c r="C196" s="1" t="n">
        <v>45986</v>
      </c>
      <c r="D196" t="inlineStr">
        <is>
          <t>VÄSTERNORRLANDS LÄN</t>
        </is>
      </c>
      <c r="E196" t="inlineStr">
        <is>
          <t>ÅNGE</t>
        </is>
      </c>
      <c r="F196" t="inlineStr">
        <is>
          <t>SCA</t>
        </is>
      </c>
      <c r="G196" t="n">
        <v>3.6</v>
      </c>
      <c r="H196" t="n">
        <v>0</v>
      </c>
      <c r="I196" t="n">
        <v>1</v>
      </c>
      <c r="J196" t="n">
        <v>0</v>
      </c>
      <c r="K196" t="n">
        <v>0</v>
      </c>
      <c r="L196" t="n">
        <v>0</v>
      </c>
      <c r="M196" t="n">
        <v>0</v>
      </c>
      <c r="N196" t="n">
        <v>0</v>
      </c>
      <c r="O196" t="n">
        <v>0</v>
      </c>
      <c r="P196" t="n">
        <v>0</v>
      </c>
      <c r="Q196" t="n">
        <v>1</v>
      </c>
      <c r="R196" s="2" t="inlineStr">
        <is>
          <t>Ögonpyrola</t>
        </is>
      </c>
      <c r="S196">
        <f>HYPERLINK("https://klasma.github.io/Logging_2260/artfynd/A 53683-2025 artfynd.xlsx", "A 53683-2025")</f>
        <v/>
      </c>
      <c r="T196">
        <f>HYPERLINK("https://klasma.github.io/Logging_2260/kartor/A 53683-2025 karta.png", "A 53683-2025")</f>
        <v/>
      </c>
      <c r="U196">
        <f>HYPERLINK("https://klasma.github.io/Logging_2260/knärot/A 53683-2025 karta knärot.png", "A 53683-2025")</f>
        <v/>
      </c>
      <c r="V196">
        <f>HYPERLINK("https://klasma.github.io/Logging_2260/klagomål/A 53683-2025 FSC-klagomål.docx", "A 53683-2025")</f>
        <v/>
      </c>
      <c r="W196">
        <f>HYPERLINK("https://klasma.github.io/Logging_2260/klagomålsmail/A 53683-2025 FSC-klagomål mail.docx", "A 53683-2025")</f>
        <v/>
      </c>
      <c r="X196">
        <f>HYPERLINK("https://klasma.github.io/Logging_2260/tillsyn/A 53683-2025 tillsynsbegäran.docx", "A 53683-2025")</f>
        <v/>
      </c>
      <c r="Y196">
        <f>HYPERLINK("https://klasma.github.io/Logging_2260/tillsynsmail/A 53683-2025 tillsynsbegäran mail.docx", "A 53683-2025")</f>
        <v/>
      </c>
    </row>
    <row r="197" ht="15" customHeight="1">
      <c r="A197" t="inlineStr">
        <is>
          <t>A 64510-2023</t>
        </is>
      </c>
      <c r="B197" s="1" t="n">
        <v>45281</v>
      </c>
      <c r="C197" s="1" t="n">
        <v>45986</v>
      </c>
      <c r="D197" t="inlineStr">
        <is>
          <t>VÄSTERNORRLANDS LÄN</t>
        </is>
      </c>
      <c r="E197" t="inlineStr">
        <is>
          <t>ÅNGE</t>
        </is>
      </c>
      <c r="G197" t="n">
        <v>3.7</v>
      </c>
      <c r="H197" t="n">
        <v>0</v>
      </c>
      <c r="I197" t="n">
        <v>1</v>
      </c>
      <c r="J197" t="n">
        <v>0</v>
      </c>
      <c r="K197" t="n">
        <v>0</v>
      </c>
      <c r="L197" t="n">
        <v>0</v>
      </c>
      <c r="M197" t="n">
        <v>0</v>
      </c>
      <c r="N197" t="n">
        <v>0</v>
      </c>
      <c r="O197" t="n">
        <v>0</v>
      </c>
      <c r="P197" t="n">
        <v>0</v>
      </c>
      <c r="Q197" t="n">
        <v>1</v>
      </c>
      <c r="R197" s="2" t="inlineStr">
        <is>
          <t>Dropptaggsvamp</t>
        </is>
      </c>
      <c r="S197">
        <f>HYPERLINK("https://klasma.github.io/Logging_2260/artfynd/A 64510-2023 artfynd.xlsx", "A 64510-2023")</f>
        <v/>
      </c>
      <c r="T197">
        <f>HYPERLINK("https://klasma.github.io/Logging_2260/kartor/A 64510-2023 karta.png", "A 64510-2023")</f>
        <v/>
      </c>
      <c r="V197">
        <f>HYPERLINK("https://klasma.github.io/Logging_2260/klagomål/A 64510-2023 FSC-klagomål.docx", "A 64510-2023")</f>
        <v/>
      </c>
      <c r="W197">
        <f>HYPERLINK("https://klasma.github.io/Logging_2260/klagomålsmail/A 64510-2023 FSC-klagomål mail.docx", "A 64510-2023")</f>
        <v/>
      </c>
      <c r="X197">
        <f>HYPERLINK("https://klasma.github.io/Logging_2260/tillsyn/A 64510-2023 tillsynsbegäran.docx", "A 64510-2023")</f>
        <v/>
      </c>
      <c r="Y197">
        <f>HYPERLINK("https://klasma.github.io/Logging_2260/tillsynsmail/A 64510-2023 tillsynsbegäran mail.docx", "A 64510-2023")</f>
        <v/>
      </c>
    </row>
    <row r="198" ht="15" customHeight="1">
      <c r="A198" t="inlineStr">
        <is>
          <t>A 24798-2024</t>
        </is>
      </c>
      <c r="B198" s="1" t="n">
        <v>45460.95277777778</v>
      </c>
      <c r="C198" s="1" t="n">
        <v>45986</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45986</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45986</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38603-2024</t>
        </is>
      </c>
      <c r="B201" s="1" t="n">
        <v>45546</v>
      </c>
      <c r="C201" s="1" t="n">
        <v>45986</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45986</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58534-2025</t>
        </is>
      </c>
      <c r="B203" s="1" t="n">
        <v>45985.80396990741</v>
      </c>
      <c r="C203" s="1" t="n">
        <v>45986</v>
      </c>
      <c r="D203" t="inlineStr">
        <is>
          <t>VÄSTERNORRLANDS LÄN</t>
        </is>
      </c>
      <c r="E203" t="inlineStr">
        <is>
          <t>ÅNGE</t>
        </is>
      </c>
      <c r="F203" t="inlineStr">
        <is>
          <t>Holmen skog AB</t>
        </is>
      </c>
      <c r="G203" t="n">
        <v>2.2</v>
      </c>
      <c r="H203" t="n">
        <v>0</v>
      </c>
      <c r="I203" t="n">
        <v>0</v>
      </c>
      <c r="J203" t="n">
        <v>1</v>
      </c>
      <c r="K203" t="n">
        <v>0</v>
      </c>
      <c r="L203" t="n">
        <v>0</v>
      </c>
      <c r="M203" t="n">
        <v>0</v>
      </c>
      <c r="N203" t="n">
        <v>0</v>
      </c>
      <c r="O203" t="n">
        <v>1</v>
      </c>
      <c r="P203" t="n">
        <v>0</v>
      </c>
      <c r="Q203" t="n">
        <v>1</v>
      </c>
      <c r="R203" s="2" t="inlineStr">
        <is>
          <t>Ullticka</t>
        </is>
      </c>
      <c r="S203">
        <f>HYPERLINK("https://klasma.github.io/Logging_2260/artfynd/A 58534-2025 artfynd.xlsx", "A 58534-2025")</f>
        <v/>
      </c>
      <c r="T203">
        <f>HYPERLINK("https://klasma.github.io/Logging_2260/kartor/A 58534-2025 karta.png", "A 58534-2025")</f>
        <v/>
      </c>
      <c r="V203">
        <f>HYPERLINK("https://klasma.github.io/Logging_2260/klagomål/A 58534-2025 FSC-klagomål.docx", "A 58534-2025")</f>
        <v/>
      </c>
      <c r="W203">
        <f>HYPERLINK("https://klasma.github.io/Logging_2260/klagomålsmail/A 58534-2025 FSC-klagomål mail.docx", "A 58534-2025")</f>
        <v/>
      </c>
      <c r="X203">
        <f>HYPERLINK("https://klasma.github.io/Logging_2260/tillsyn/A 58534-2025 tillsynsbegäran.docx", "A 58534-2025")</f>
        <v/>
      </c>
      <c r="Y203">
        <f>HYPERLINK("https://klasma.github.io/Logging_2260/tillsynsmail/A 58534-2025 tillsynsbegäran mail.docx", "A 58534-2025")</f>
        <v/>
      </c>
    </row>
    <row r="204" ht="15" customHeight="1">
      <c r="A204" t="inlineStr">
        <is>
          <t>A 29327-2023</t>
        </is>
      </c>
      <c r="B204" s="1" t="n">
        <v>45105.94349537037</v>
      </c>
      <c r="C204" s="1" t="n">
        <v>45986</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31878-2024</t>
        </is>
      </c>
      <c r="B205" s="1" t="n">
        <v>45509</v>
      </c>
      <c r="C205" s="1" t="n">
        <v>45986</v>
      </c>
      <c r="D205" t="inlineStr">
        <is>
          <t>VÄSTERNORRLANDS LÄN</t>
        </is>
      </c>
      <c r="E205" t="inlineStr">
        <is>
          <t>ÅNGE</t>
        </is>
      </c>
      <c r="F205" t="inlineStr">
        <is>
          <t>SCA</t>
        </is>
      </c>
      <c r="G205" t="n">
        <v>5.1</v>
      </c>
      <c r="H205" t="n">
        <v>0</v>
      </c>
      <c r="I205" t="n">
        <v>1</v>
      </c>
      <c r="J205" t="n">
        <v>0</v>
      </c>
      <c r="K205" t="n">
        <v>0</v>
      </c>
      <c r="L205" t="n">
        <v>0</v>
      </c>
      <c r="M205" t="n">
        <v>0</v>
      </c>
      <c r="N205" t="n">
        <v>0</v>
      </c>
      <c r="O205" t="n">
        <v>0</v>
      </c>
      <c r="P205" t="n">
        <v>0</v>
      </c>
      <c r="Q205" t="n">
        <v>1</v>
      </c>
      <c r="R205" s="2" t="inlineStr">
        <is>
          <t>Grönpyrola</t>
        </is>
      </c>
      <c r="S205">
        <f>HYPERLINK("https://klasma.github.io/Logging_2260/artfynd/A 31878-2024 artfynd.xlsx", "A 31878-2024")</f>
        <v/>
      </c>
      <c r="T205">
        <f>HYPERLINK("https://klasma.github.io/Logging_2260/kartor/A 31878-2024 karta.png", "A 31878-2024")</f>
        <v/>
      </c>
      <c r="V205">
        <f>HYPERLINK("https://klasma.github.io/Logging_2260/klagomål/A 31878-2024 FSC-klagomål.docx", "A 31878-2024")</f>
        <v/>
      </c>
      <c r="W205">
        <f>HYPERLINK("https://klasma.github.io/Logging_2260/klagomålsmail/A 31878-2024 FSC-klagomål mail.docx", "A 31878-2024")</f>
        <v/>
      </c>
      <c r="X205">
        <f>HYPERLINK("https://klasma.github.io/Logging_2260/tillsyn/A 31878-2024 tillsynsbegäran.docx", "A 31878-2024")</f>
        <v/>
      </c>
      <c r="Y205">
        <f>HYPERLINK("https://klasma.github.io/Logging_2260/tillsynsmail/A 31878-2024 tillsynsbegäran mail.docx", "A 31878-2024")</f>
        <v/>
      </c>
    </row>
    <row r="206" ht="15" customHeight="1">
      <c r="A206" t="inlineStr">
        <is>
          <t>A 63983-2020</t>
        </is>
      </c>
      <c r="B206" s="1" t="n">
        <v>44167</v>
      </c>
      <c r="C206" s="1" t="n">
        <v>45986</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25705-2024</t>
        </is>
      </c>
      <c r="B207" s="1" t="n">
        <v>45463.9428587963</v>
      </c>
      <c r="C207" s="1" t="n">
        <v>45986</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35648-2025</t>
        </is>
      </c>
      <c r="B208" s="1" t="n">
        <v>45859.51670138889</v>
      </c>
      <c r="C208" s="1" t="n">
        <v>45986</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35839-2025</t>
        </is>
      </c>
      <c r="B209" s="1" t="n">
        <v>45861.53943287037</v>
      </c>
      <c r="C209" s="1" t="n">
        <v>45986</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20192-2025</t>
        </is>
      </c>
      <c r="B210" s="1" t="n">
        <v>45772.60177083333</v>
      </c>
      <c r="C210" s="1" t="n">
        <v>45986</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39638-2024</t>
        </is>
      </c>
      <c r="B211" s="1" t="n">
        <v>45552</v>
      </c>
      <c r="C211" s="1" t="n">
        <v>45986</v>
      </c>
      <c r="D211" t="inlineStr">
        <is>
          <t>VÄSTERNORRLANDS LÄN</t>
        </is>
      </c>
      <c r="E211" t="inlineStr">
        <is>
          <t>ÅNGE</t>
        </is>
      </c>
      <c r="G211" t="n">
        <v>3</v>
      </c>
      <c r="H211" t="n">
        <v>1</v>
      </c>
      <c r="I211" t="n">
        <v>0</v>
      </c>
      <c r="J211" t="n">
        <v>0</v>
      </c>
      <c r="K211" t="n">
        <v>0</v>
      </c>
      <c r="L211" t="n">
        <v>0</v>
      </c>
      <c r="M211" t="n">
        <v>0</v>
      </c>
      <c r="N211" t="n">
        <v>0</v>
      </c>
      <c r="O211" t="n">
        <v>0</v>
      </c>
      <c r="P211" t="n">
        <v>0</v>
      </c>
      <c r="Q211" t="n">
        <v>1</v>
      </c>
      <c r="R211" s="2" t="inlineStr">
        <is>
          <t>Tjäder</t>
        </is>
      </c>
      <c r="S211">
        <f>HYPERLINK("https://klasma.github.io/Logging_2260/artfynd/A 39638-2024 artfynd.xlsx", "A 39638-2024")</f>
        <v/>
      </c>
      <c r="T211">
        <f>HYPERLINK("https://klasma.github.io/Logging_2260/kartor/A 39638-2024 karta.png", "A 39638-2024")</f>
        <v/>
      </c>
      <c r="V211">
        <f>HYPERLINK("https://klasma.github.io/Logging_2260/klagomål/A 39638-2024 FSC-klagomål.docx", "A 39638-2024")</f>
        <v/>
      </c>
      <c r="W211">
        <f>HYPERLINK("https://klasma.github.io/Logging_2260/klagomålsmail/A 39638-2024 FSC-klagomål mail.docx", "A 39638-2024")</f>
        <v/>
      </c>
      <c r="X211">
        <f>HYPERLINK("https://klasma.github.io/Logging_2260/tillsyn/A 39638-2024 tillsynsbegäran.docx", "A 39638-2024")</f>
        <v/>
      </c>
      <c r="Y211">
        <f>HYPERLINK("https://klasma.github.io/Logging_2260/tillsynsmail/A 39638-2024 tillsynsbegäran mail.docx", "A 39638-2024")</f>
        <v/>
      </c>
      <c r="Z211">
        <f>HYPERLINK("https://klasma.github.io/Logging_2260/fåglar/A 39638-2024 prioriterade fågelarter.docx", "A 39638-2024")</f>
        <v/>
      </c>
    </row>
    <row r="212" ht="15" customHeight="1">
      <c r="A212" t="inlineStr">
        <is>
          <t>A 57272-2024</t>
        </is>
      </c>
      <c r="B212" s="1" t="n">
        <v>45629.57380787037</v>
      </c>
      <c r="C212" s="1" t="n">
        <v>45986</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37432-2025</t>
        </is>
      </c>
      <c r="B213" s="1" t="n">
        <v>45877.51106481482</v>
      </c>
      <c r="C213" s="1" t="n">
        <v>45986</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1449-2025</t>
        </is>
      </c>
      <c r="B214" s="1" t="n">
        <v>45670.27537037037</v>
      </c>
      <c r="C214" s="1" t="n">
        <v>45986</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4351-2024</t>
        </is>
      </c>
      <c r="B215" s="1" t="n">
        <v>45324</v>
      </c>
      <c r="C215" s="1" t="n">
        <v>45986</v>
      </c>
      <c r="D215" t="inlineStr">
        <is>
          <t>VÄSTERNORRLANDS LÄN</t>
        </is>
      </c>
      <c r="E215" t="inlineStr">
        <is>
          <t>ÅNGE</t>
        </is>
      </c>
      <c r="F215" t="inlineStr">
        <is>
          <t>SCA</t>
        </is>
      </c>
      <c r="G215" t="n">
        <v>0.5</v>
      </c>
      <c r="H215" t="n">
        <v>0</v>
      </c>
      <c r="I215" t="n">
        <v>0</v>
      </c>
      <c r="J215" t="n">
        <v>1</v>
      </c>
      <c r="K215" t="n">
        <v>0</v>
      </c>
      <c r="L215" t="n">
        <v>0</v>
      </c>
      <c r="M215" t="n">
        <v>0</v>
      </c>
      <c r="N215" t="n">
        <v>0</v>
      </c>
      <c r="O215" t="n">
        <v>1</v>
      </c>
      <c r="P215" t="n">
        <v>0</v>
      </c>
      <c r="Q215" t="n">
        <v>1</v>
      </c>
      <c r="R215" s="2" t="inlineStr">
        <is>
          <t>Garnlav</t>
        </is>
      </c>
      <c r="S215">
        <f>HYPERLINK("https://klasma.github.io/Logging_2260/artfynd/A 4351-2024 artfynd.xlsx", "A 4351-2024")</f>
        <v/>
      </c>
      <c r="T215">
        <f>HYPERLINK("https://klasma.github.io/Logging_2260/kartor/A 4351-2024 karta.png", "A 4351-2024")</f>
        <v/>
      </c>
      <c r="V215">
        <f>HYPERLINK("https://klasma.github.io/Logging_2260/klagomål/A 4351-2024 FSC-klagomål.docx", "A 4351-2024")</f>
        <v/>
      </c>
      <c r="W215">
        <f>HYPERLINK("https://klasma.github.io/Logging_2260/klagomålsmail/A 4351-2024 FSC-klagomål mail.docx", "A 4351-2024")</f>
        <v/>
      </c>
      <c r="X215">
        <f>HYPERLINK("https://klasma.github.io/Logging_2260/tillsyn/A 4351-2024 tillsynsbegäran.docx", "A 4351-2024")</f>
        <v/>
      </c>
      <c r="Y215">
        <f>HYPERLINK("https://klasma.github.io/Logging_2260/tillsynsmail/A 4351-2024 tillsynsbegäran mail.docx", "A 4351-2024")</f>
        <v/>
      </c>
    </row>
    <row r="216" ht="15" customHeight="1">
      <c r="A216" t="inlineStr">
        <is>
          <t>A 40214-2024</t>
        </is>
      </c>
      <c r="B216" s="1" t="n">
        <v>45554.59460648148</v>
      </c>
      <c r="C216" s="1" t="n">
        <v>45986</v>
      </c>
      <c r="D216" t="inlineStr">
        <is>
          <t>VÄSTERNORRLANDS LÄN</t>
        </is>
      </c>
      <c r="E216" t="inlineStr">
        <is>
          <t>ÅNGE</t>
        </is>
      </c>
      <c r="F216" t="inlineStr">
        <is>
          <t>SCA</t>
        </is>
      </c>
      <c r="G216" t="n">
        <v>7.7</v>
      </c>
      <c r="H216" t="n">
        <v>0</v>
      </c>
      <c r="I216" t="n">
        <v>0</v>
      </c>
      <c r="J216" t="n">
        <v>1</v>
      </c>
      <c r="K216" t="n">
        <v>0</v>
      </c>
      <c r="L216" t="n">
        <v>0</v>
      </c>
      <c r="M216" t="n">
        <v>0</v>
      </c>
      <c r="N216" t="n">
        <v>0</v>
      </c>
      <c r="O216" t="n">
        <v>1</v>
      </c>
      <c r="P216" t="n">
        <v>0</v>
      </c>
      <c r="Q216" t="n">
        <v>1</v>
      </c>
      <c r="R216" s="2" t="inlineStr">
        <is>
          <t>Lunglav</t>
        </is>
      </c>
      <c r="S216">
        <f>HYPERLINK("https://klasma.github.io/Logging_2260/artfynd/A 40214-2024 artfynd.xlsx", "A 40214-2024")</f>
        <v/>
      </c>
      <c r="T216">
        <f>HYPERLINK("https://klasma.github.io/Logging_2260/kartor/A 40214-2024 karta.png", "A 40214-2024")</f>
        <v/>
      </c>
      <c r="V216">
        <f>HYPERLINK("https://klasma.github.io/Logging_2260/klagomål/A 40214-2024 FSC-klagomål.docx", "A 40214-2024")</f>
        <v/>
      </c>
      <c r="W216">
        <f>HYPERLINK("https://klasma.github.io/Logging_2260/klagomålsmail/A 40214-2024 FSC-klagomål mail.docx", "A 40214-2024")</f>
        <v/>
      </c>
      <c r="X216">
        <f>HYPERLINK("https://klasma.github.io/Logging_2260/tillsyn/A 40214-2024 tillsynsbegäran.docx", "A 40214-2024")</f>
        <v/>
      </c>
      <c r="Y216">
        <f>HYPERLINK("https://klasma.github.io/Logging_2260/tillsynsmail/A 40214-2024 tillsynsbegäran mail.docx", "A 40214-2024")</f>
        <v/>
      </c>
    </row>
    <row r="217" ht="15" customHeight="1">
      <c r="A217" t="inlineStr">
        <is>
          <t>A 52424-2023</t>
        </is>
      </c>
      <c r="B217" s="1" t="n">
        <v>45217</v>
      </c>
      <c r="C217" s="1" t="n">
        <v>45986</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31544-2024</t>
        </is>
      </c>
      <c r="B218" s="1" t="n">
        <v>45505</v>
      </c>
      <c r="C218" s="1" t="n">
        <v>45986</v>
      </c>
      <c r="D218" t="inlineStr">
        <is>
          <t>VÄSTERNORRLANDS LÄN</t>
        </is>
      </c>
      <c r="E218" t="inlineStr">
        <is>
          <t>ÅNGE</t>
        </is>
      </c>
      <c r="F218" t="inlineStr">
        <is>
          <t>SCA</t>
        </is>
      </c>
      <c r="G218" t="n">
        <v>3.5</v>
      </c>
      <c r="H218" t="n">
        <v>0</v>
      </c>
      <c r="I218" t="n">
        <v>0</v>
      </c>
      <c r="J218" t="n">
        <v>1</v>
      </c>
      <c r="K218" t="n">
        <v>0</v>
      </c>
      <c r="L218" t="n">
        <v>0</v>
      </c>
      <c r="M218" t="n">
        <v>0</v>
      </c>
      <c r="N218" t="n">
        <v>0</v>
      </c>
      <c r="O218" t="n">
        <v>1</v>
      </c>
      <c r="P218" t="n">
        <v>0</v>
      </c>
      <c r="Q218" t="n">
        <v>1</v>
      </c>
      <c r="R218" s="2" t="inlineStr">
        <is>
          <t>Granticka</t>
        </is>
      </c>
      <c r="S218">
        <f>HYPERLINK("https://klasma.github.io/Logging_2260/artfynd/A 31544-2024 artfynd.xlsx", "A 31544-2024")</f>
        <v/>
      </c>
      <c r="T218">
        <f>HYPERLINK("https://klasma.github.io/Logging_2260/kartor/A 31544-2024 karta.png", "A 31544-2024")</f>
        <v/>
      </c>
      <c r="V218">
        <f>HYPERLINK("https://klasma.github.io/Logging_2260/klagomål/A 31544-2024 FSC-klagomål.docx", "A 31544-2024")</f>
        <v/>
      </c>
      <c r="W218">
        <f>HYPERLINK("https://klasma.github.io/Logging_2260/klagomålsmail/A 31544-2024 FSC-klagomål mail.docx", "A 31544-2024")</f>
        <v/>
      </c>
      <c r="X218">
        <f>HYPERLINK("https://klasma.github.io/Logging_2260/tillsyn/A 31544-2024 tillsynsbegäran.docx", "A 31544-2024")</f>
        <v/>
      </c>
      <c r="Y218">
        <f>HYPERLINK("https://klasma.github.io/Logging_2260/tillsynsmail/A 31544-2024 tillsynsbegäran mail.docx", "A 31544-2024")</f>
        <v/>
      </c>
    </row>
    <row r="219" ht="15" customHeight="1">
      <c r="A219" t="inlineStr">
        <is>
          <t>A 56091-2024</t>
        </is>
      </c>
      <c r="B219" s="1" t="n">
        <v>45624.40678240741</v>
      </c>
      <c r="C219" s="1" t="n">
        <v>45986</v>
      </c>
      <c r="D219" t="inlineStr">
        <is>
          <t>VÄSTERNORRLANDS LÄN</t>
        </is>
      </c>
      <c r="E219" t="inlineStr">
        <is>
          <t>ÅNGE</t>
        </is>
      </c>
      <c r="F219" t="inlineStr">
        <is>
          <t>SCA</t>
        </is>
      </c>
      <c r="G219" t="n">
        <v>2.5</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56091-2024 artfynd.xlsx", "A 56091-2024")</f>
        <v/>
      </c>
      <c r="T219">
        <f>HYPERLINK("https://klasma.github.io/Logging_2260/kartor/A 56091-2024 karta.png", "A 56091-2024")</f>
        <v/>
      </c>
      <c r="V219">
        <f>HYPERLINK("https://klasma.github.io/Logging_2260/klagomål/A 56091-2024 FSC-klagomål.docx", "A 56091-2024")</f>
        <v/>
      </c>
      <c r="W219">
        <f>HYPERLINK("https://klasma.github.io/Logging_2260/klagomålsmail/A 56091-2024 FSC-klagomål mail.docx", "A 56091-2024")</f>
        <v/>
      </c>
      <c r="X219">
        <f>HYPERLINK("https://klasma.github.io/Logging_2260/tillsyn/A 56091-2024 tillsynsbegäran.docx", "A 56091-2024")</f>
        <v/>
      </c>
      <c r="Y219">
        <f>HYPERLINK("https://klasma.github.io/Logging_2260/tillsynsmail/A 56091-2024 tillsynsbegäran mail.docx", "A 56091-2024")</f>
        <v/>
      </c>
    </row>
    <row r="220" ht="15" customHeight="1">
      <c r="A220" t="inlineStr">
        <is>
          <t>A 13934-2024</t>
        </is>
      </c>
      <c r="B220" s="1" t="n">
        <v>45391</v>
      </c>
      <c r="C220" s="1" t="n">
        <v>45986</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43171-2024</t>
        </is>
      </c>
      <c r="B221" s="1" t="n">
        <v>45567</v>
      </c>
      <c r="C221" s="1" t="n">
        <v>45986</v>
      </c>
      <c r="D221" t="inlineStr">
        <is>
          <t>VÄSTERNORRLANDS LÄN</t>
        </is>
      </c>
      <c r="E221" t="inlineStr">
        <is>
          <t>ÅNGE</t>
        </is>
      </c>
      <c r="F221" t="inlineStr">
        <is>
          <t>SCA</t>
        </is>
      </c>
      <c r="G221" t="n">
        <v>3.4</v>
      </c>
      <c r="H221" t="n">
        <v>0</v>
      </c>
      <c r="I221" t="n">
        <v>0</v>
      </c>
      <c r="J221" t="n">
        <v>1</v>
      </c>
      <c r="K221" t="n">
        <v>0</v>
      </c>
      <c r="L221" t="n">
        <v>0</v>
      </c>
      <c r="M221" t="n">
        <v>0</v>
      </c>
      <c r="N221" t="n">
        <v>0</v>
      </c>
      <c r="O221" t="n">
        <v>1</v>
      </c>
      <c r="P221" t="n">
        <v>0</v>
      </c>
      <c r="Q221" t="n">
        <v>1</v>
      </c>
      <c r="R221" s="2" t="inlineStr">
        <is>
          <t>Rosenticka</t>
        </is>
      </c>
      <c r="S221">
        <f>HYPERLINK("https://klasma.github.io/Logging_2260/artfynd/A 43171-2024 artfynd.xlsx", "A 43171-2024")</f>
        <v/>
      </c>
      <c r="T221">
        <f>HYPERLINK("https://klasma.github.io/Logging_2260/kartor/A 43171-2024 karta.png", "A 43171-2024")</f>
        <v/>
      </c>
      <c r="V221">
        <f>HYPERLINK("https://klasma.github.io/Logging_2260/klagomål/A 43171-2024 FSC-klagomål.docx", "A 43171-2024")</f>
        <v/>
      </c>
      <c r="W221">
        <f>HYPERLINK("https://klasma.github.io/Logging_2260/klagomålsmail/A 43171-2024 FSC-klagomål mail.docx", "A 43171-2024")</f>
        <v/>
      </c>
      <c r="X221">
        <f>HYPERLINK("https://klasma.github.io/Logging_2260/tillsyn/A 43171-2024 tillsynsbegäran.docx", "A 43171-2024")</f>
        <v/>
      </c>
      <c r="Y221">
        <f>HYPERLINK("https://klasma.github.io/Logging_2260/tillsynsmail/A 43171-2024 tillsynsbegäran mail.docx", "A 43171-2024")</f>
        <v/>
      </c>
    </row>
    <row r="222" ht="15" customHeight="1">
      <c r="A222" t="inlineStr">
        <is>
          <t>A 55015-2023</t>
        </is>
      </c>
      <c r="B222" s="1" t="n">
        <v>45237.32185185186</v>
      </c>
      <c r="C222" s="1" t="n">
        <v>45986</v>
      </c>
      <c r="D222" t="inlineStr">
        <is>
          <t>VÄSTERNORRLANDS LÄN</t>
        </is>
      </c>
      <c r="E222" t="inlineStr">
        <is>
          <t>ÅNGE</t>
        </is>
      </c>
      <c r="F222" t="inlineStr">
        <is>
          <t>Sveaskog</t>
        </is>
      </c>
      <c r="G222" t="n">
        <v>2.7</v>
      </c>
      <c r="H222" t="n">
        <v>0</v>
      </c>
      <c r="I222" t="n">
        <v>0</v>
      </c>
      <c r="J222" t="n">
        <v>1</v>
      </c>
      <c r="K222" t="n">
        <v>0</v>
      </c>
      <c r="L222" t="n">
        <v>0</v>
      </c>
      <c r="M222" t="n">
        <v>0</v>
      </c>
      <c r="N222" t="n">
        <v>0</v>
      </c>
      <c r="O222" t="n">
        <v>1</v>
      </c>
      <c r="P222" t="n">
        <v>0</v>
      </c>
      <c r="Q222" t="n">
        <v>1</v>
      </c>
      <c r="R222" s="2" t="inlineStr">
        <is>
          <t>Lunglav</t>
        </is>
      </c>
      <c r="S222">
        <f>HYPERLINK("https://klasma.github.io/Logging_2260/artfynd/A 55015-2023 artfynd.xlsx", "A 55015-2023")</f>
        <v/>
      </c>
      <c r="T222">
        <f>HYPERLINK("https://klasma.github.io/Logging_2260/kartor/A 55015-2023 karta.png", "A 55015-2023")</f>
        <v/>
      </c>
      <c r="V222">
        <f>HYPERLINK("https://klasma.github.io/Logging_2260/klagomål/A 55015-2023 FSC-klagomål.docx", "A 55015-2023")</f>
        <v/>
      </c>
      <c r="W222">
        <f>HYPERLINK("https://klasma.github.io/Logging_2260/klagomålsmail/A 55015-2023 FSC-klagomål mail.docx", "A 55015-2023")</f>
        <v/>
      </c>
      <c r="X222">
        <f>HYPERLINK("https://klasma.github.io/Logging_2260/tillsyn/A 55015-2023 tillsynsbegäran.docx", "A 55015-2023")</f>
        <v/>
      </c>
      <c r="Y222">
        <f>HYPERLINK("https://klasma.github.io/Logging_2260/tillsynsmail/A 55015-2023 tillsynsbegäran mail.docx", "A 55015-2023")</f>
        <v/>
      </c>
    </row>
    <row r="223" ht="15" customHeight="1">
      <c r="A223" t="inlineStr">
        <is>
          <t>A 41493-2021</t>
        </is>
      </c>
      <c r="B223" s="1" t="n">
        <v>44424</v>
      </c>
      <c r="C223" s="1" t="n">
        <v>45986</v>
      </c>
      <c r="D223" t="inlineStr">
        <is>
          <t>VÄSTERNORRLANDS LÄN</t>
        </is>
      </c>
      <c r="E223" t="inlineStr">
        <is>
          <t>ÅNGE</t>
        </is>
      </c>
      <c r="F223" t="inlineStr">
        <is>
          <t>SCA</t>
        </is>
      </c>
      <c r="G223" t="n">
        <v>8</v>
      </c>
      <c r="H223" t="n">
        <v>1</v>
      </c>
      <c r="I223" t="n">
        <v>0</v>
      </c>
      <c r="J223" t="n">
        <v>0</v>
      </c>
      <c r="K223" t="n">
        <v>1</v>
      </c>
      <c r="L223" t="n">
        <v>0</v>
      </c>
      <c r="M223" t="n">
        <v>0</v>
      </c>
      <c r="N223" t="n">
        <v>0</v>
      </c>
      <c r="O223" t="n">
        <v>1</v>
      </c>
      <c r="P223" t="n">
        <v>1</v>
      </c>
      <c r="Q223" t="n">
        <v>1</v>
      </c>
      <c r="R223" s="2" t="inlineStr">
        <is>
          <t>Knärot</t>
        </is>
      </c>
      <c r="S223">
        <f>HYPERLINK("https://klasma.github.io/Logging_2260/artfynd/A 41493-2021 artfynd.xlsx", "A 41493-2021")</f>
        <v/>
      </c>
      <c r="T223">
        <f>HYPERLINK("https://klasma.github.io/Logging_2260/kartor/A 41493-2021 karta.png", "A 41493-2021")</f>
        <v/>
      </c>
      <c r="U223">
        <f>HYPERLINK("https://klasma.github.io/Logging_2260/knärot/A 41493-2021 karta knärot.png", "A 41493-2021")</f>
        <v/>
      </c>
      <c r="V223">
        <f>HYPERLINK("https://klasma.github.io/Logging_2260/klagomål/A 41493-2021 FSC-klagomål.docx", "A 41493-2021")</f>
        <v/>
      </c>
      <c r="W223">
        <f>HYPERLINK("https://klasma.github.io/Logging_2260/klagomålsmail/A 41493-2021 FSC-klagomål mail.docx", "A 41493-2021")</f>
        <v/>
      </c>
      <c r="X223">
        <f>HYPERLINK("https://klasma.github.io/Logging_2260/tillsyn/A 41493-2021 tillsynsbegäran.docx", "A 41493-2021")</f>
        <v/>
      </c>
      <c r="Y223">
        <f>HYPERLINK("https://klasma.github.io/Logging_2260/tillsynsmail/A 41493-2021 tillsynsbegäran mail.docx", "A 41493-2021")</f>
        <v/>
      </c>
    </row>
    <row r="224" ht="15" customHeight="1">
      <c r="A224" t="inlineStr">
        <is>
          <t>A 31510-2024</t>
        </is>
      </c>
      <c r="B224" s="1" t="n">
        <v>45505</v>
      </c>
      <c r="C224" s="1" t="n">
        <v>45986</v>
      </c>
      <c r="D224" t="inlineStr">
        <is>
          <t>VÄSTERNORRLANDS LÄN</t>
        </is>
      </c>
      <c r="E224" t="inlineStr">
        <is>
          <t>ÅNGE</t>
        </is>
      </c>
      <c r="F224" t="inlineStr">
        <is>
          <t>SCA</t>
        </is>
      </c>
      <c r="G224" t="n">
        <v>6</v>
      </c>
      <c r="H224" t="n">
        <v>1</v>
      </c>
      <c r="I224" t="n">
        <v>0</v>
      </c>
      <c r="J224" t="n">
        <v>0</v>
      </c>
      <c r="K224" t="n">
        <v>1</v>
      </c>
      <c r="L224" t="n">
        <v>0</v>
      </c>
      <c r="M224" t="n">
        <v>0</v>
      </c>
      <c r="N224" t="n">
        <v>0</v>
      </c>
      <c r="O224" t="n">
        <v>1</v>
      </c>
      <c r="P224" t="n">
        <v>1</v>
      </c>
      <c r="Q224" t="n">
        <v>1</v>
      </c>
      <c r="R224" s="2" t="inlineStr">
        <is>
          <t>Doftticka</t>
        </is>
      </c>
      <c r="S224">
        <f>HYPERLINK("https://klasma.github.io/Logging_2260/artfynd/A 31510-2024 artfynd.xlsx", "A 31510-2024")</f>
        <v/>
      </c>
      <c r="T224">
        <f>HYPERLINK("https://klasma.github.io/Logging_2260/kartor/A 31510-2024 karta.png", "A 31510-2024")</f>
        <v/>
      </c>
      <c r="V224">
        <f>HYPERLINK("https://klasma.github.io/Logging_2260/klagomål/A 31510-2024 FSC-klagomål.docx", "A 31510-2024")</f>
        <v/>
      </c>
      <c r="W224">
        <f>HYPERLINK("https://klasma.github.io/Logging_2260/klagomålsmail/A 31510-2024 FSC-klagomål mail.docx", "A 31510-2024")</f>
        <v/>
      </c>
      <c r="X224">
        <f>HYPERLINK("https://klasma.github.io/Logging_2260/tillsyn/A 31510-2024 tillsynsbegäran.docx", "A 31510-2024")</f>
        <v/>
      </c>
      <c r="Y224">
        <f>HYPERLINK("https://klasma.github.io/Logging_2260/tillsynsmail/A 31510-2024 tillsynsbegäran mail.docx", "A 31510-2024")</f>
        <v/>
      </c>
    </row>
    <row r="225" ht="15" customHeight="1">
      <c r="A225" t="inlineStr">
        <is>
          <t>A 37914-2024</t>
        </is>
      </c>
      <c r="B225" s="1" t="n">
        <v>45544</v>
      </c>
      <c r="C225" s="1" t="n">
        <v>45986</v>
      </c>
      <c r="D225" t="inlineStr">
        <is>
          <t>VÄSTERNORRLANDS LÄN</t>
        </is>
      </c>
      <c r="E225" t="inlineStr">
        <is>
          <t>ÅNGE</t>
        </is>
      </c>
      <c r="F225" t="inlineStr">
        <is>
          <t>SCA</t>
        </is>
      </c>
      <c r="G225" t="n">
        <v>9</v>
      </c>
      <c r="H225" t="n">
        <v>0</v>
      </c>
      <c r="I225" t="n">
        <v>0</v>
      </c>
      <c r="J225" t="n">
        <v>1</v>
      </c>
      <c r="K225" t="n">
        <v>0</v>
      </c>
      <c r="L225" t="n">
        <v>0</v>
      </c>
      <c r="M225" t="n">
        <v>0</v>
      </c>
      <c r="N225" t="n">
        <v>0</v>
      </c>
      <c r="O225" t="n">
        <v>1</v>
      </c>
      <c r="P225" t="n">
        <v>0</v>
      </c>
      <c r="Q225" t="n">
        <v>1</v>
      </c>
      <c r="R225" s="2" t="inlineStr">
        <is>
          <t>Granticka</t>
        </is>
      </c>
      <c r="S225">
        <f>HYPERLINK("https://klasma.github.io/Logging_2260/artfynd/A 37914-2024 artfynd.xlsx", "A 37914-2024")</f>
        <v/>
      </c>
      <c r="T225">
        <f>HYPERLINK("https://klasma.github.io/Logging_2260/kartor/A 37914-2024 karta.png", "A 37914-2024")</f>
        <v/>
      </c>
      <c r="V225">
        <f>HYPERLINK("https://klasma.github.io/Logging_2260/klagomål/A 37914-2024 FSC-klagomål.docx", "A 37914-2024")</f>
        <v/>
      </c>
      <c r="W225">
        <f>HYPERLINK("https://klasma.github.io/Logging_2260/klagomålsmail/A 37914-2024 FSC-klagomål mail.docx", "A 37914-2024")</f>
        <v/>
      </c>
      <c r="X225">
        <f>HYPERLINK("https://klasma.github.io/Logging_2260/tillsyn/A 37914-2024 tillsynsbegäran.docx", "A 37914-2024")</f>
        <v/>
      </c>
      <c r="Y225">
        <f>HYPERLINK("https://klasma.github.io/Logging_2260/tillsynsmail/A 37914-2024 tillsynsbegäran mail.docx", "A 37914-2024")</f>
        <v/>
      </c>
    </row>
    <row r="226" ht="15" customHeight="1">
      <c r="A226" t="inlineStr">
        <is>
          <t>A 54751-2021</t>
        </is>
      </c>
      <c r="B226" s="1" t="n">
        <v>44473</v>
      </c>
      <c r="C226" s="1" t="n">
        <v>45986</v>
      </c>
      <c r="D226" t="inlineStr">
        <is>
          <t>VÄSTERNORRLANDS LÄN</t>
        </is>
      </c>
      <c r="E226" t="inlineStr">
        <is>
          <t>ÅNGE</t>
        </is>
      </c>
      <c r="G226" t="n">
        <v>6.5</v>
      </c>
      <c r="H226" t="n">
        <v>0</v>
      </c>
      <c r="I226" t="n">
        <v>0</v>
      </c>
      <c r="J226" t="n">
        <v>0</v>
      </c>
      <c r="K226" t="n">
        <v>1</v>
      </c>
      <c r="L226" t="n">
        <v>0</v>
      </c>
      <c r="M226" t="n">
        <v>0</v>
      </c>
      <c r="N226" t="n">
        <v>0</v>
      </c>
      <c r="O226" t="n">
        <v>1</v>
      </c>
      <c r="P226" t="n">
        <v>1</v>
      </c>
      <c r="Q226" t="n">
        <v>1</v>
      </c>
      <c r="R226" s="2" t="inlineStr">
        <is>
          <t>Gräddporing</t>
        </is>
      </c>
      <c r="S226">
        <f>HYPERLINK("https://klasma.github.io/Logging_2260/artfynd/A 54751-2021 artfynd.xlsx", "A 54751-2021")</f>
        <v/>
      </c>
      <c r="T226">
        <f>HYPERLINK("https://klasma.github.io/Logging_2260/kartor/A 54751-2021 karta.png", "A 54751-2021")</f>
        <v/>
      </c>
      <c r="V226">
        <f>HYPERLINK("https://klasma.github.io/Logging_2260/klagomål/A 54751-2021 FSC-klagomål.docx", "A 54751-2021")</f>
        <v/>
      </c>
      <c r="W226">
        <f>HYPERLINK("https://klasma.github.io/Logging_2260/klagomålsmail/A 54751-2021 FSC-klagomål mail.docx", "A 54751-2021")</f>
        <v/>
      </c>
      <c r="X226">
        <f>HYPERLINK("https://klasma.github.io/Logging_2260/tillsyn/A 54751-2021 tillsynsbegäran.docx", "A 54751-2021")</f>
        <v/>
      </c>
      <c r="Y226">
        <f>HYPERLINK("https://klasma.github.io/Logging_2260/tillsynsmail/A 54751-2021 tillsynsbegäran mail.docx", "A 54751-2021")</f>
        <v/>
      </c>
    </row>
    <row r="227" ht="15" customHeight="1">
      <c r="A227" t="inlineStr">
        <is>
          <t>A 39180-2024</t>
        </is>
      </c>
      <c r="B227" s="1" t="n">
        <v>45548.6571412037</v>
      </c>
      <c r="C227" s="1" t="n">
        <v>45986</v>
      </c>
      <c r="D227" t="inlineStr">
        <is>
          <t>VÄSTERNORRLANDS LÄN</t>
        </is>
      </c>
      <c r="E227" t="inlineStr">
        <is>
          <t>ÅNGE</t>
        </is>
      </c>
      <c r="F227" t="inlineStr">
        <is>
          <t>SCA</t>
        </is>
      </c>
      <c r="G227" t="n">
        <v>8.699999999999999</v>
      </c>
      <c r="H227" t="n">
        <v>0</v>
      </c>
      <c r="I227" t="n">
        <v>0</v>
      </c>
      <c r="J227" t="n">
        <v>1</v>
      </c>
      <c r="K227" t="n">
        <v>0</v>
      </c>
      <c r="L227" t="n">
        <v>0</v>
      </c>
      <c r="M227" t="n">
        <v>0</v>
      </c>
      <c r="N227" t="n">
        <v>0</v>
      </c>
      <c r="O227" t="n">
        <v>1</v>
      </c>
      <c r="P227" t="n">
        <v>0</v>
      </c>
      <c r="Q227" t="n">
        <v>1</v>
      </c>
      <c r="R227" s="2" t="inlineStr">
        <is>
          <t>Lunglav</t>
        </is>
      </c>
      <c r="S227">
        <f>HYPERLINK("https://klasma.github.io/Logging_2260/artfynd/A 39180-2024 artfynd.xlsx", "A 39180-2024")</f>
        <v/>
      </c>
      <c r="T227">
        <f>HYPERLINK("https://klasma.github.io/Logging_2260/kartor/A 39180-2024 karta.png", "A 39180-2024")</f>
        <v/>
      </c>
      <c r="V227">
        <f>HYPERLINK("https://klasma.github.io/Logging_2260/klagomål/A 39180-2024 FSC-klagomål.docx", "A 39180-2024")</f>
        <v/>
      </c>
      <c r="W227">
        <f>HYPERLINK("https://klasma.github.io/Logging_2260/klagomålsmail/A 39180-2024 FSC-klagomål mail.docx", "A 39180-2024")</f>
        <v/>
      </c>
      <c r="X227">
        <f>HYPERLINK("https://klasma.github.io/Logging_2260/tillsyn/A 39180-2024 tillsynsbegäran.docx", "A 39180-2024")</f>
        <v/>
      </c>
      <c r="Y227">
        <f>HYPERLINK("https://klasma.github.io/Logging_2260/tillsynsmail/A 39180-2024 tillsynsbegäran mail.docx", "A 39180-2024")</f>
        <v/>
      </c>
    </row>
    <row r="228" ht="15" customHeight="1">
      <c r="A228" t="inlineStr">
        <is>
          <t>A 8057-2021</t>
        </is>
      </c>
      <c r="B228" s="1" t="n">
        <v>44238</v>
      </c>
      <c r="C228" s="1" t="n">
        <v>45986</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45986</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45986</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45986</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45986</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45986</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45986</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45986</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45986</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45986</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45986</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45986</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45986</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69271-2020</t>
        </is>
      </c>
      <c r="B241" s="1" t="n">
        <v>44193</v>
      </c>
      <c r="C241" s="1" t="n">
        <v>45986</v>
      </c>
      <c r="D241" t="inlineStr">
        <is>
          <t>VÄSTERNORRLANDS LÄN</t>
        </is>
      </c>
      <c r="E241" t="inlineStr">
        <is>
          <t>ÅNGE</t>
        </is>
      </c>
      <c r="G241" t="n">
        <v>0.8</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45986</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45986</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45986</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45986</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45986</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45986</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45986</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45986</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45986</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45986</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45986</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45986</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45986</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45986</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45986</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45986</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45986</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45986</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45986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45986</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45986</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45986</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45986</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45986</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45986</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45986</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45986</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45986</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45986</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45986</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45986</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45986</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45986</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45986</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45986</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45986</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45986</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45986</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70899-2021</t>
        </is>
      </c>
      <c r="B280" s="1" t="n">
        <v>44537</v>
      </c>
      <c r="C280" s="1" t="n">
        <v>45986</v>
      </c>
      <c r="D280" t="inlineStr">
        <is>
          <t>VÄSTERNORRLANDS LÄN</t>
        </is>
      </c>
      <c r="E280" t="inlineStr">
        <is>
          <t>ÅNGE</t>
        </is>
      </c>
      <c r="G280" t="n">
        <v>0.8</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45986</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45986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45986</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45986</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45986</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45986</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45986</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45986</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45986</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45986</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45986</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45986</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45986</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45986</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45986</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45986</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45986</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45986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45986</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45986</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45986</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45986</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45986</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45986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45986</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45986</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45986</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45986</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45986</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45986</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45986</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45986</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45986</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45986</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45986</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45986</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45986</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45986</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21189-2021</t>
        </is>
      </c>
      <c r="B319" s="1" t="n">
        <v>44320</v>
      </c>
      <c r="C319" s="1" t="n">
        <v>45986</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45986</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45986</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5366-2022</t>
        </is>
      </c>
      <c r="B322" s="1" t="n">
        <v>44594.92107638889</v>
      </c>
      <c r="C322" s="1" t="n">
        <v>45986</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46351-2022</t>
        </is>
      </c>
      <c r="B323" s="1" t="n">
        <v>44847</v>
      </c>
      <c r="C323" s="1" t="n">
        <v>45986</v>
      </c>
      <c r="D323" t="inlineStr">
        <is>
          <t>VÄSTERNORRLANDS LÄN</t>
        </is>
      </c>
      <c r="E323" t="inlineStr">
        <is>
          <t>ÅNGE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44413-2022</t>
        </is>
      </c>
      <c r="B324" s="1" t="n">
        <v>44839.92630787037</v>
      </c>
      <c r="C324" s="1" t="n">
        <v>45986</v>
      </c>
      <c r="D324" t="inlineStr">
        <is>
          <t>VÄSTERNORRLANDS LÄN</t>
        </is>
      </c>
      <c r="E324" t="inlineStr">
        <is>
          <t>ÅNGE</t>
        </is>
      </c>
      <c r="G324" t="n">
        <v>0.7</v>
      </c>
      <c r="H324" t="n">
        <v>0</v>
      </c>
      <c r="I324" t="n">
        <v>0</v>
      </c>
      <c r="J324" t="n">
        <v>0</v>
      </c>
      <c r="K324" t="n">
        <v>0</v>
      </c>
      <c r="L324" t="n">
        <v>0</v>
      </c>
      <c r="M324" t="n">
        <v>0</v>
      </c>
      <c r="N324" t="n">
        <v>0</v>
      </c>
      <c r="O324" t="n">
        <v>0</v>
      </c>
      <c r="P324" t="n">
        <v>0</v>
      </c>
      <c r="Q324" t="n">
        <v>0</v>
      </c>
      <c r="R324" s="2" t="inlineStr"/>
    </row>
    <row r="325" ht="15" customHeight="1">
      <c r="A325" t="inlineStr">
        <is>
          <t>A 56907-2021</t>
        </is>
      </c>
      <c r="B325" s="1" t="n">
        <v>44481.93837962963</v>
      </c>
      <c r="C325" s="1" t="n">
        <v>45986</v>
      </c>
      <c r="D325" t="inlineStr">
        <is>
          <t>VÄSTERNORRLANDS LÄN</t>
        </is>
      </c>
      <c r="E325" t="inlineStr">
        <is>
          <t>ÅNGE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12800-2021</t>
        </is>
      </c>
      <c r="B326" s="1" t="n">
        <v>44270.92056712963</v>
      </c>
      <c r="C326" s="1" t="n">
        <v>45986</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53010-2022</t>
        </is>
      </c>
      <c r="B327" s="1" t="n">
        <v>44875</v>
      </c>
      <c r="C327" s="1" t="n">
        <v>45986</v>
      </c>
      <c r="D327" t="inlineStr">
        <is>
          <t>VÄSTERNORRLANDS LÄN</t>
        </is>
      </c>
      <c r="E327" t="inlineStr">
        <is>
          <t>ÅNGE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21642-2021</t>
        </is>
      </c>
      <c r="B328" s="1" t="n">
        <v>44321.94239583334</v>
      </c>
      <c r="C328" s="1" t="n">
        <v>45986</v>
      </c>
      <c r="D328" t="inlineStr">
        <is>
          <t>VÄSTERNORRLANDS LÄN</t>
        </is>
      </c>
      <c r="E328" t="inlineStr">
        <is>
          <t>ÅNGE</t>
        </is>
      </c>
      <c r="F328" t="inlineStr">
        <is>
          <t>SCA</t>
        </is>
      </c>
      <c r="G328" t="n">
        <v>0.4</v>
      </c>
      <c r="H328" t="n">
        <v>0</v>
      </c>
      <c r="I328" t="n">
        <v>0</v>
      </c>
      <c r="J328" t="n">
        <v>0</v>
      </c>
      <c r="K328" t="n">
        <v>0</v>
      </c>
      <c r="L328" t="n">
        <v>0</v>
      </c>
      <c r="M328" t="n">
        <v>0</v>
      </c>
      <c r="N328" t="n">
        <v>0</v>
      </c>
      <c r="O328" t="n">
        <v>0</v>
      </c>
      <c r="P328" t="n">
        <v>0</v>
      </c>
      <c r="Q328" t="n">
        <v>0</v>
      </c>
      <c r="R328" s="2" t="inlineStr"/>
    </row>
    <row r="329" ht="15" customHeight="1">
      <c r="A329" t="inlineStr">
        <is>
          <t>A 55905-2021</t>
        </is>
      </c>
      <c r="B329" s="1" t="n">
        <v>44476.91895833334</v>
      </c>
      <c r="C329" s="1" t="n">
        <v>45986</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17580-2022</t>
        </is>
      </c>
      <c r="B330" s="1" t="n">
        <v>44679</v>
      </c>
      <c r="C330" s="1" t="n">
        <v>45986</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37605-2021</t>
        </is>
      </c>
      <c r="B331" s="1" t="n">
        <v>44399</v>
      </c>
      <c r="C331" s="1" t="n">
        <v>45986</v>
      </c>
      <c r="D331" t="inlineStr">
        <is>
          <t>VÄSTERNORRLANDS LÄN</t>
        </is>
      </c>
      <c r="E331" t="inlineStr">
        <is>
          <t>ÅNGE</t>
        </is>
      </c>
      <c r="G331" t="n">
        <v>0.5</v>
      </c>
      <c r="H331" t="n">
        <v>0</v>
      </c>
      <c r="I331" t="n">
        <v>0</v>
      </c>
      <c r="J331" t="n">
        <v>0</v>
      </c>
      <c r="K331" t="n">
        <v>0</v>
      </c>
      <c r="L331" t="n">
        <v>0</v>
      </c>
      <c r="M331" t="n">
        <v>0</v>
      </c>
      <c r="N331" t="n">
        <v>0</v>
      </c>
      <c r="O331" t="n">
        <v>0</v>
      </c>
      <c r="P331" t="n">
        <v>0</v>
      </c>
      <c r="Q331" t="n">
        <v>0</v>
      </c>
      <c r="R331" s="2" t="inlineStr"/>
    </row>
    <row r="332" ht="15" customHeight="1">
      <c r="A332" t="inlineStr">
        <is>
          <t>A 37620-2021</t>
        </is>
      </c>
      <c r="B332" s="1" t="n">
        <v>44399</v>
      </c>
      <c r="C332" s="1" t="n">
        <v>45986</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70893-2021</t>
        </is>
      </c>
      <c r="B333" s="1" t="n">
        <v>44538</v>
      </c>
      <c r="C333" s="1" t="n">
        <v>45986</v>
      </c>
      <c r="D333" t="inlineStr">
        <is>
          <t>VÄSTERNORRLANDS LÄN</t>
        </is>
      </c>
      <c r="E333" t="inlineStr">
        <is>
          <t>ÅNGE</t>
        </is>
      </c>
      <c r="G333" t="n">
        <v>6.2</v>
      </c>
      <c r="H333" t="n">
        <v>0</v>
      </c>
      <c r="I333" t="n">
        <v>0</v>
      </c>
      <c r="J333" t="n">
        <v>0</v>
      </c>
      <c r="K333" t="n">
        <v>0</v>
      </c>
      <c r="L333" t="n">
        <v>0</v>
      </c>
      <c r="M333" t="n">
        <v>0</v>
      </c>
      <c r="N333" t="n">
        <v>0</v>
      </c>
      <c r="O333" t="n">
        <v>0</v>
      </c>
      <c r="P333" t="n">
        <v>0</v>
      </c>
      <c r="Q333" t="n">
        <v>0</v>
      </c>
      <c r="R333" s="2" t="inlineStr"/>
    </row>
    <row r="334" ht="15" customHeight="1">
      <c r="A334" t="inlineStr">
        <is>
          <t>A 20369-2022</t>
        </is>
      </c>
      <c r="B334" s="1" t="n">
        <v>44699.41140046297</v>
      </c>
      <c r="C334" s="1" t="n">
        <v>45986</v>
      </c>
      <c r="D334" t="inlineStr">
        <is>
          <t>VÄSTERNORRLANDS LÄN</t>
        </is>
      </c>
      <c r="E334" t="inlineStr">
        <is>
          <t>ÅNGE</t>
        </is>
      </c>
      <c r="G334" t="n">
        <v>5.5</v>
      </c>
      <c r="H334" t="n">
        <v>0</v>
      </c>
      <c r="I334" t="n">
        <v>0</v>
      </c>
      <c r="J334" t="n">
        <v>0</v>
      </c>
      <c r="K334" t="n">
        <v>0</v>
      </c>
      <c r="L334" t="n">
        <v>0</v>
      </c>
      <c r="M334" t="n">
        <v>0</v>
      </c>
      <c r="N334" t="n">
        <v>0</v>
      </c>
      <c r="O334" t="n">
        <v>0</v>
      </c>
      <c r="P334" t="n">
        <v>0</v>
      </c>
      <c r="Q334" t="n">
        <v>0</v>
      </c>
      <c r="R334" s="2" t="inlineStr"/>
    </row>
    <row r="335" ht="15" customHeight="1">
      <c r="A335" t="inlineStr">
        <is>
          <t>A 5113-2022</t>
        </is>
      </c>
      <c r="B335" s="1" t="n">
        <v>44593.93362268519</v>
      </c>
      <c r="C335" s="1" t="n">
        <v>45986</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31668-2021</t>
        </is>
      </c>
      <c r="B336" s="1" t="n">
        <v>44369</v>
      </c>
      <c r="C336" s="1" t="n">
        <v>45986</v>
      </c>
      <c r="D336" t="inlineStr">
        <is>
          <t>VÄSTERNORRLANDS LÄN</t>
        </is>
      </c>
      <c r="E336" t="inlineStr">
        <is>
          <t>ÅNGE</t>
        </is>
      </c>
      <c r="F336" t="inlineStr">
        <is>
          <t>Kyrkan</t>
        </is>
      </c>
      <c r="G336" t="n">
        <v>3.6</v>
      </c>
      <c r="H336" t="n">
        <v>0</v>
      </c>
      <c r="I336" t="n">
        <v>0</v>
      </c>
      <c r="J336" t="n">
        <v>0</v>
      </c>
      <c r="K336" t="n">
        <v>0</v>
      </c>
      <c r="L336" t="n">
        <v>0</v>
      </c>
      <c r="M336" t="n">
        <v>0</v>
      </c>
      <c r="N336" t="n">
        <v>0</v>
      </c>
      <c r="O336" t="n">
        <v>0</v>
      </c>
      <c r="P336" t="n">
        <v>0</v>
      </c>
      <c r="Q336" t="n">
        <v>0</v>
      </c>
      <c r="R336" s="2" t="inlineStr"/>
    </row>
    <row r="337" ht="15" customHeight="1">
      <c r="A337" t="inlineStr">
        <is>
          <t>A 32328-2021</t>
        </is>
      </c>
      <c r="B337" s="1" t="n">
        <v>44371.55924768518</v>
      </c>
      <c r="C337" s="1" t="n">
        <v>45986</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61761-2021</t>
        </is>
      </c>
      <c r="B338" s="1" t="n">
        <v>44501</v>
      </c>
      <c r="C338" s="1" t="n">
        <v>45986</v>
      </c>
      <c r="D338" t="inlineStr">
        <is>
          <t>VÄSTERNORRLANDS LÄN</t>
        </is>
      </c>
      <c r="E338" t="inlineStr">
        <is>
          <t>ÅNGE</t>
        </is>
      </c>
      <c r="G338" t="n">
        <v>0.3</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45986</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45986</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66233-2021</t>
        </is>
      </c>
      <c r="B341" s="1" t="n">
        <v>44518.39234953704</v>
      </c>
      <c r="C341" s="1" t="n">
        <v>45986</v>
      </c>
      <c r="D341" t="inlineStr">
        <is>
          <t>VÄSTERNORRLANDS LÄN</t>
        </is>
      </c>
      <c r="E341" t="inlineStr">
        <is>
          <t>ÅNGE</t>
        </is>
      </c>
      <c r="G341" t="n">
        <v>3.1</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45986</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51555-2022</t>
        </is>
      </c>
      <c r="B343" s="1" t="n">
        <v>44869.9495949074</v>
      </c>
      <c r="C343" s="1" t="n">
        <v>45986</v>
      </c>
      <c r="D343" t="inlineStr">
        <is>
          <t>VÄSTERNORRLANDS LÄN</t>
        </is>
      </c>
      <c r="E343" t="inlineStr">
        <is>
          <t>ÅNGE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30286-2021</t>
        </is>
      </c>
      <c r="B344" s="1" t="n">
        <v>44363</v>
      </c>
      <c r="C344" s="1" t="n">
        <v>45986</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35276-2022</t>
        </is>
      </c>
      <c r="B345" s="1" t="n">
        <v>44798</v>
      </c>
      <c r="C345" s="1" t="n">
        <v>45986</v>
      </c>
      <c r="D345" t="inlineStr">
        <is>
          <t>VÄSTERNORRLANDS LÄN</t>
        </is>
      </c>
      <c r="E345" t="inlineStr">
        <is>
          <t>ÅNGE</t>
        </is>
      </c>
      <c r="G345" t="n">
        <v>15.2</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45986</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45986</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65280-2020</t>
        </is>
      </c>
      <c r="B348" s="1" t="n">
        <v>44172</v>
      </c>
      <c r="C348" s="1" t="n">
        <v>45986</v>
      </c>
      <c r="D348" t="inlineStr">
        <is>
          <t>VÄSTERNORRLANDS LÄN</t>
        </is>
      </c>
      <c r="E348" t="inlineStr">
        <is>
          <t>ÅNGE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45986</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45986</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45986</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47660-2022</t>
        </is>
      </c>
      <c r="B352" s="1" t="n">
        <v>44854.45766203704</v>
      </c>
      <c r="C352" s="1" t="n">
        <v>45986</v>
      </c>
      <c r="D352" t="inlineStr">
        <is>
          <t>VÄSTERNORRLANDS LÄN</t>
        </is>
      </c>
      <c r="E352" t="inlineStr">
        <is>
          <t>ÅNGE</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45986</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7633-2022</t>
        </is>
      </c>
      <c r="B354" s="1" t="n">
        <v>44607.71378472223</v>
      </c>
      <c r="C354" s="1" t="n">
        <v>45986</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45986</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45986</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45986</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45986</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45986</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10342-2021</t>
        </is>
      </c>
      <c r="B360" s="1" t="n">
        <v>44257</v>
      </c>
      <c r="C360" s="1" t="n">
        <v>45986</v>
      </c>
      <c r="D360" t="inlineStr">
        <is>
          <t>VÄSTERNORRLANDS LÄN</t>
        </is>
      </c>
      <c r="E360" t="inlineStr">
        <is>
          <t>ÅNGE</t>
        </is>
      </c>
      <c r="G360" t="n">
        <v>1.8</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45986</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45986</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45986</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45986</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45986</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45986</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45986</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45986</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2327-2021</t>
        </is>
      </c>
      <c r="B369" s="1" t="n">
        <v>44214</v>
      </c>
      <c r="C369" s="1" t="n">
        <v>45986</v>
      </c>
      <c r="D369" t="inlineStr">
        <is>
          <t>VÄSTERNORRLANDS LÄN</t>
        </is>
      </c>
      <c r="E369" t="inlineStr">
        <is>
          <t>ÅNGE</t>
        </is>
      </c>
      <c r="G369" t="n">
        <v>6.7</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45986</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45986</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45145-2021</t>
        </is>
      </c>
      <c r="B372" s="1" t="n">
        <v>44439</v>
      </c>
      <c r="C372" s="1" t="n">
        <v>45986</v>
      </c>
      <c r="D372" t="inlineStr">
        <is>
          <t>VÄSTERNORRLANDS LÄN</t>
        </is>
      </c>
      <c r="E372" t="inlineStr">
        <is>
          <t>ÅNGE</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71302-2021</t>
        </is>
      </c>
      <c r="B373" s="1" t="n">
        <v>44539.63871527778</v>
      </c>
      <c r="C373" s="1" t="n">
        <v>45986</v>
      </c>
      <c r="D373" t="inlineStr">
        <is>
          <t>VÄSTERNORRLANDS LÄN</t>
        </is>
      </c>
      <c r="E373" t="inlineStr">
        <is>
          <t>ÅNGE</t>
        </is>
      </c>
      <c r="G373" t="n">
        <v>0.5</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45986</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44412-2022</t>
        </is>
      </c>
      <c r="B375" s="1" t="n">
        <v>44839.92626157407</v>
      </c>
      <c r="C375" s="1" t="n">
        <v>45986</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6263-2022</t>
        </is>
      </c>
      <c r="B376" s="1" t="n">
        <v>44600</v>
      </c>
      <c r="C376" s="1" t="n">
        <v>45986</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45986</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45986</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45986</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50640-2022</t>
        </is>
      </c>
      <c r="B380" s="1" t="n">
        <v>44866.94734953704</v>
      </c>
      <c r="C380" s="1" t="n">
        <v>45986</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38369-2021</t>
        </is>
      </c>
      <c r="B381" s="1" t="n">
        <v>44406</v>
      </c>
      <c r="C381" s="1" t="n">
        <v>45986</v>
      </c>
      <c r="D381" t="inlineStr">
        <is>
          <t>VÄSTERNORRLANDS LÄN</t>
        </is>
      </c>
      <c r="E381" t="inlineStr">
        <is>
          <t>ÅNGE</t>
        </is>
      </c>
      <c r="G381" t="n">
        <v>5.6</v>
      </c>
      <c r="H381" t="n">
        <v>0</v>
      </c>
      <c r="I381" t="n">
        <v>0</v>
      </c>
      <c r="J381" t="n">
        <v>0</v>
      </c>
      <c r="K381" t="n">
        <v>0</v>
      </c>
      <c r="L381" t="n">
        <v>0</v>
      </c>
      <c r="M381" t="n">
        <v>0</v>
      </c>
      <c r="N381" t="n">
        <v>0</v>
      </c>
      <c r="O381" t="n">
        <v>0</v>
      </c>
      <c r="P381" t="n">
        <v>0</v>
      </c>
      <c r="Q381" t="n">
        <v>0</v>
      </c>
      <c r="R381" s="2" t="inlineStr"/>
    </row>
    <row r="382" ht="15" customHeight="1">
      <c r="A382" t="inlineStr">
        <is>
          <t>A 18024-2022</t>
        </is>
      </c>
      <c r="B382" s="1" t="n">
        <v>44683.94383101852</v>
      </c>
      <c r="C382" s="1" t="n">
        <v>45986</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17963-2022</t>
        </is>
      </c>
      <c r="B383" s="1" t="n">
        <v>44683</v>
      </c>
      <c r="C383" s="1" t="n">
        <v>45986</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35496-2022</t>
        </is>
      </c>
      <c r="B384" s="1" t="n">
        <v>44798</v>
      </c>
      <c r="C384" s="1" t="n">
        <v>45986</v>
      </c>
      <c r="D384" t="inlineStr">
        <is>
          <t>VÄSTERNORRLANDS LÄN</t>
        </is>
      </c>
      <c r="E384" t="inlineStr">
        <is>
          <t>ÅNGE</t>
        </is>
      </c>
      <c r="F384" t="inlineStr">
        <is>
          <t>SCA</t>
        </is>
      </c>
      <c r="G384" t="n">
        <v>15.6</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45986</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18422-2021</t>
        </is>
      </c>
      <c r="B386" s="1" t="n">
        <v>44305</v>
      </c>
      <c r="C386" s="1" t="n">
        <v>45986</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45986</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45986</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5552-2022</t>
        </is>
      </c>
      <c r="B389" s="1" t="n">
        <v>44595.62966435185</v>
      </c>
      <c r="C389" s="1" t="n">
        <v>45986</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45986</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45986</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45986</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15368-2024</t>
        </is>
      </c>
      <c r="B393" s="1" t="n">
        <v>45400.92284722222</v>
      </c>
      <c r="C393" s="1" t="n">
        <v>45986</v>
      </c>
      <c r="D393" t="inlineStr">
        <is>
          <t>VÄSTERNORRLANDS LÄN</t>
        </is>
      </c>
      <c r="E393" t="inlineStr">
        <is>
          <t>ÅNGE</t>
        </is>
      </c>
      <c r="G393" t="n">
        <v>0.4</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45986</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37382-2021</t>
        </is>
      </c>
      <c r="B395" s="1" t="n">
        <v>44397</v>
      </c>
      <c r="C395" s="1" t="n">
        <v>45986</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45986</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45986</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6680-2024</t>
        </is>
      </c>
      <c r="B398" s="1" t="n">
        <v>45341</v>
      </c>
      <c r="C398" s="1" t="n">
        <v>45986</v>
      </c>
      <c r="D398" t="inlineStr">
        <is>
          <t>VÄSTERNORRLANDS LÄN</t>
        </is>
      </c>
      <c r="E398" t="inlineStr">
        <is>
          <t>ÅNGE</t>
        </is>
      </c>
      <c r="G398" t="n">
        <v>0.9</v>
      </c>
      <c r="H398" t="n">
        <v>0</v>
      </c>
      <c r="I398" t="n">
        <v>0</v>
      </c>
      <c r="J398" t="n">
        <v>0</v>
      </c>
      <c r="K398" t="n">
        <v>0</v>
      </c>
      <c r="L398" t="n">
        <v>0</v>
      </c>
      <c r="M398" t="n">
        <v>0</v>
      </c>
      <c r="N398" t="n">
        <v>0</v>
      </c>
      <c r="O398" t="n">
        <v>0</v>
      </c>
      <c r="P398" t="n">
        <v>0</v>
      </c>
      <c r="Q398" t="n">
        <v>0</v>
      </c>
      <c r="R398" s="2" t="inlineStr"/>
    </row>
    <row r="399" ht="15" customHeight="1">
      <c r="A399" t="inlineStr">
        <is>
          <t>A 15799-2025</t>
        </is>
      </c>
      <c r="B399" s="1" t="n">
        <v>45748.64768518518</v>
      </c>
      <c r="C399" s="1" t="n">
        <v>45986</v>
      </c>
      <c r="D399" t="inlineStr">
        <is>
          <t>VÄSTERNORRLANDS LÄN</t>
        </is>
      </c>
      <c r="E399" t="inlineStr">
        <is>
          <t>ÅNGE</t>
        </is>
      </c>
      <c r="G399" t="n">
        <v>2.3</v>
      </c>
      <c r="H399" t="n">
        <v>0</v>
      </c>
      <c r="I399" t="n">
        <v>0</v>
      </c>
      <c r="J399" t="n">
        <v>0</v>
      </c>
      <c r="K399" t="n">
        <v>0</v>
      </c>
      <c r="L399" t="n">
        <v>0</v>
      </c>
      <c r="M399" t="n">
        <v>0</v>
      </c>
      <c r="N399" t="n">
        <v>0</v>
      </c>
      <c r="O399" t="n">
        <v>0</v>
      </c>
      <c r="P399" t="n">
        <v>0</v>
      </c>
      <c r="Q399" t="n">
        <v>0</v>
      </c>
      <c r="R399" s="2" t="inlineStr"/>
    </row>
    <row r="400" ht="15" customHeight="1">
      <c r="A400" t="inlineStr">
        <is>
          <t>A 6685-2024</t>
        </is>
      </c>
      <c r="B400" s="1" t="n">
        <v>45341</v>
      </c>
      <c r="C400" s="1" t="n">
        <v>45986</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45986</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45986</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39973-2023</t>
        </is>
      </c>
      <c r="B403" s="1" t="n">
        <v>45168.5858912037</v>
      </c>
      <c r="C403" s="1" t="n">
        <v>45986</v>
      </c>
      <c r="D403" t="inlineStr">
        <is>
          <t>VÄSTERNORRLANDS LÄN</t>
        </is>
      </c>
      <c r="E403" t="inlineStr">
        <is>
          <t>ÅNGE</t>
        </is>
      </c>
      <c r="G403" t="n">
        <v>3.6</v>
      </c>
      <c r="H403" t="n">
        <v>0</v>
      </c>
      <c r="I403" t="n">
        <v>0</v>
      </c>
      <c r="J403" t="n">
        <v>0</v>
      </c>
      <c r="K403" t="n">
        <v>0</v>
      </c>
      <c r="L403" t="n">
        <v>0</v>
      </c>
      <c r="M403" t="n">
        <v>0</v>
      </c>
      <c r="N403" t="n">
        <v>0</v>
      </c>
      <c r="O403" t="n">
        <v>0</v>
      </c>
      <c r="P403" t="n">
        <v>0</v>
      </c>
      <c r="Q403" t="n">
        <v>0</v>
      </c>
      <c r="R403" s="2" t="inlineStr"/>
    </row>
    <row r="404" ht="15" customHeight="1">
      <c r="A404" t="inlineStr">
        <is>
          <t>A 33747-2024</t>
        </is>
      </c>
      <c r="B404" s="1" t="n">
        <v>45520</v>
      </c>
      <c r="C404" s="1" t="n">
        <v>45986</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34851-2023</t>
        </is>
      </c>
      <c r="B405" s="1" t="n">
        <v>45141</v>
      </c>
      <c r="C405" s="1" t="n">
        <v>45986</v>
      </c>
      <c r="D405" t="inlineStr">
        <is>
          <t>VÄSTERNORRLANDS LÄN</t>
        </is>
      </c>
      <c r="E405" t="inlineStr">
        <is>
          <t>ÅNGE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11529-2023</t>
        </is>
      </c>
      <c r="B406" s="1" t="n">
        <v>44993</v>
      </c>
      <c r="C406" s="1" t="n">
        <v>45986</v>
      </c>
      <c r="D406" t="inlineStr">
        <is>
          <t>VÄSTERNORRLANDS LÄN</t>
        </is>
      </c>
      <c r="E406" t="inlineStr">
        <is>
          <t>ÅNGE</t>
        </is>
      </c>
      <c r="G406" t="n">
        <v>8.9</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45986</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113-2025</t>
        </is>
      </c>
      <c r="B408" s="1" t="n">
        <v>45659.5106712963</v>
      </c>
      <c r="C408" s="1" t="n">
        <v>45986</v>
      </c>
      <c r="D408" t="inlineStr">
        <is>
          <t>VÄSTERNORRLANDS LÄN</t>
        </is>
      </c>
      <c r="E408" t="inlineStr">
        <is>
          <t>ÅNGE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54946-2021</t>
        </is>
      </c>
      <c r="B409" s="1" t="n">
        <v>44474.46466435185</v>
      </c>
      <c r="C409" s="1" t="n">
        <v>45986</v>
      </c>
      <c r="D409" t="inlineStr">
        <is>
          <t>VÄSTERNORRLANDS LÄN</t>
        </is>
      </c>
      <c r="E409" t="inlineStr">
        <is>
          <t>ÅNGE</t>
        </is>
      </c>
      <c r="G409" t="n">
        <v>5.4</v>
      </c>
      <c r="H409" t="n">
        <v>0</v>
      </c>
      <c r="I409" t="n">
        <v>0</v>
      </c>
      <c r="J409" t="n">
        <v>0</v>
      </c>
      <c r="K409" t="n">
        <v>0</v>
      </c>
      <c r="L409" t="n">
        <v>0</v>
      </c>
      <c r="M409" t="n">
        <v>0</v>
      </c>
      <c r="N409" t="n">
        <v>0</v>
      </c>
      <c r="O409" t="n">
        <v>0</v>
      </c>
      <c r="P409" t="n">
        <v>0</v>
      </c>
      <c r="Q409" t="n">
        <v>0</v>
      </c>
      <c r="R409" s="2" t="inlineStr"/>
    </row>
    <row r="410" ht="15" customHeight="1">
      <c r="A410" t="inlineStr">
        <is>
          <t>A 38960-2021</t>
        </is>
      </c>
      <c r="B410" s="1" t="n">
        <v>44411</v>
      </c>
      <c r="C410" s="1" t="n">
        <v>45986</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27002-2023</t>
        </is>
      </c>
      <c r="B411" s="1" t="n">
        <v>45093</v>
      </c>
      <c r="C411" s="1" t="n">
        <v>45986</v>
      </c>
      <c r="D411" t="inlineStr">
        <is>
          <t>VÄSTERNORRLANDS LÄN</t>
        </is>
      </c>
      <c r="E411" t="inlineStr">
        <is>
          <t>ÅNGE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45027-2023</t>
        </is>
      </c>
      <c r="B412" s="1" t="n">
        <v>45190.96303240741</v>
      </c>
      <c r="C412" s="1" t="n">
        <v>45986</v>
      </c>
      <c r="D412" t="inlineStr">
        <is>
          <t>VÄSTERNORRLANDS LÄN</t>
        </is>
      </c>
      <c r="E412" t="inlineStr">
        <is>
          <t>ÅNGE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16303-2025</t>
        </is>
      </c>
      <c r="B413" s="1" t="n">
        <v>45751.3462037037</v>
      </c>
      <c r="C413" s="1" t="n">
        <v>45986</v>
      </c>
      <c r="D413" t="inlineStr">
        <is>
          <t>VÄSTERNORRLANDS LÄN</t>
        </is>
      </c>
      <c r="E413" t="inlineStr">
        <is>
          <t>ÅNGE</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45986</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36290-2023</t>
        </is>
      </c>
      <c r="B415" s="1" t="n">
        <v>45152.35467592593</v>
      </c>
      <c r="C415" s="1" t="n">
        <v>45986</v>
      </c>
      <c r="D415" t="inlineStr">
        <is>
          <t>VÄSTERNORRLANDS LÄN</t>
        </is>
      </c>
      <c r="E415" t="inlineStr">
        <is>
          <t>ÅNGE</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30273-2023</t>
        </is>
      </c>
      <c r="B416" s="1" t="n">
        <v>45099</v>
      </c>
      <c r="C416" s="1" t="n">
        <v>45986</v>
      </c>
      <c r="D416" t="inlineStr">
        <is>
          <t>VÄSTERNORRLANDS LÄN</t>
        </is>
      </c>
      <c r="E416" t="inlineStr">
        <is>
          <t>ÅNGE</t>
        </is>
      </c>
      <c r="G416" t="n">
        <v>3.9</v>
      </c>
      <c r="H416" t="n">
        <v>0</v>
      </c>
      <c r="I416" t="n">
        <v>0</v>
      </c>
      <c r="J416" t="n">
        <v>0</v>
      </c>
      <c r="K416" t="n">
        <v>0</v>
      </c>
      <c r="L416" t="n">
        <v>0</v>
      </c>
      <c r="M416" t="n">
        <v>0</v>
      </c>
      <c r="N416" t="n">
        <v>0</v>
      </c>
      <c r="O416" t="n">
        <v>0</v>
      </c>
      <c r="P416" t="n">
        <v>0</v>
      </c>
      <c r="Q416" t="n">
        <v>0</v>
      </c>
      <c r="R416" s="2" t="inlineStr"/>
    </row>
    <row r="417" ht="15" customHeight="1">
      <c r="A417" t="inlineStr">
        <is>
          <t>A 29048-2021</t>
        </is>
      </c>
      <c r="B417" s="1" t="n">
        <v>44358</v>
      </c>
      <c r="C417" s="1" t="n">
        <v>45986</v>
      </c>
      <c r="D417" t="inlineStr">
        <is>
          <t>VÄSTERNORRLANDS LÄN</t>
        </is>
      </c>
      <c r="E417" t="inlineStr">
        <is>
          <t>ÅNGE</t>
        </is>
      </c>
      <c r="G417" t="n">
        <v>2.5</v>
      </c>
      <c r="H417" t="n">
        <v>0</v>
      </c>
      <c r="I417" t="n">
        <v>0</v>
      </c>
      <c r="J417" t="n">
        <v>0</v>
      </c>
      <c r="K417" t="n">
        <v>0</v>
      </c>
      <c r="L417" t="n">
        <v>0</v>
      </c>
      <c r="M417" t="n">
        <v>0</v>
      </c>
      <c r="N417" t="n">
        <v>0</v>
      </c>
      <c r="O417" t="n">
        <v>0</v>
      </c>
      <c r="P417" t="n">
        <v>0</v>
      </c>
      <c r="Q417" t="n">
        <v>0</v>
      </c>
      <c r="R417" s="2" t="inlineStr"/>
    </row>
    <row r="418" ht="15" customHeight="1">
      <c r="A418" t="inlineStr">
        <is>
          <t>A 26640-2024</t>
        </is>
      </c>
      <c r="B418" s="1" t="n">
        <v>45469.92831018518</v>
      </c>
      <c r="C418" s="1" t="n">
        <v>45986</v>
      </c>
      <c r="D418" t="inlineStr">
        <is>
          <t>VÄSTERNORRLANDS LÄN</t>
        </is>
      </c>
      <c r="E418" t="inlineStr">
        <is>
          <t>ÅNGE</t>
        </is>
      </c>
      <c r="G418" t="n">
        <v>9.9</v>
      </c>
      <c r="H418" t="n">
        <v>0</v>
      </c>
      <c r="I418" t="n">
        <v>0</v>
      </c>
      <c r="J418" t="n">
        <v>0</v>
      </c>
      <c r="K418" t="n">
        <v>0</v>
      </c>
      <c r="L418" t="n">
        <v>0</v>
      </c>
      <c r="M418" t="n">
        <v>0</v>
      </c>
      <c r="N418" t="n">
        <v>0</v>
      </c>
      <c r="O418" t="n">
        <v>0</v>
      </c>
      <c r="P418" t="n">
        <v>0</v>
      </c>
      <c r="Q418" t="n">
        <v>0</v>
      </c>
      <c r="R418" s="2" t="inlineStr"/>
    </row>
    <row r="419" ht="15" customHeight="1">
      <c r="A419" t="inlineStr">
        <is>
          <t>A 14889-2022</t>
        </is>
      </c>
      <c r="B419" s="1" t="n">
        <v>44656</v>
      </c>
      <c r="C419" s="1" t="n">
        <v>45986</v>
      </c>
      <c r="D419" t="inlineStr">
        <is>
          <t>VÄSTERNORRLANDS LÄN</t>
        </is>
      </c>
      <c r="E419" t="inlineStr">
        <is>
          <t>ÅNGE</t>
        </is>
      </c>
      <c r="G419" t="n">
        <v>14</v>
      </c>
      <c r="H419" t="n">
        <v>0</v>
      </c>
      <c r="I419" t="n">
        <v>0</v>
      </c>
      <c r="J419" t="n">
        <v>0</v>
      </c>
      <c r="K419" t="n">
        <v>0</v>
      </c>
      <c r="L419" t="n">
        <v>0</v>
      </c>
      <c r="M419" t="n">
        <v>0</v>
      </c>
      <c r="N419" t="n">
        <v>0</v>
      </c>
      <c r="O419" t="n">
        <v>0</v>
      </c>
      <c r="P419" t="n">
        <v>0</v>
      </c>
      <c r="Q419" t="n">
        <v>0</v>
      </c>
      <c r="R419" s="2" t="inlineStr"/>
    </row>
    <row r="420" ht="15" customHeight="1">
      <c r="A420" t="inlineStr">
        <is>
          <t>A 10087-2023</t>
        </is>
      </c>
      <c r="B420" s="1" t="n">
        <v>44985</v>
      </c>
      <c r="C420" s="1" t="n">
        <v>45986</v>
      </c>
      <c r="D420" t="inlineStr">
        <is>
          <t>VÄSTERNORRLANDS LÄN</t>
        </is>
      </c>
      <c r="E420" t="inlineStr">
        <is>
          <t>ÅNGE</t>
        </is>
      </c>
      <c r="F420" t="inlineStr">
        <is>
          <t>SCA</t>
        </is>
      </c>
      <c r="G420" t="n">
        <v>7.9</v>
      </c>
      <c r="H420" t="n">
        <v>0</v>
      </c>
      <c r="I420" t="n">
        <v>0</v>
      </c>
      <c r="J420" t="n">
        <v>0</v>
      </c>
      <c r="K420" t="n">
        <v>0</v>
      </c>
      <c r="L420" t="n">
        <v>0</v>
      </c>
      <c r="M420" t="n">
        <v>0</v>
      </c>
      <c r="N420" t="n">
        <v>0</v>
      </c>
      <c r="O420" t="n">
        <v>0</v>
      </c>
      <c r="P420" t="n">
        <v>0</v>
      </c>
      <c r="Q420" t="n">
        <v>0</v>
      </c>
      <c r="R420" s="2" t="inlineStr"/>
    </row>
    <row r="421" ht="15" customHeight="1">
      <c r="A421" t="inlineStr">
        <is>
          <t>A 39119-2024</t>
        </is>
      </c>
      <c r="B421" s="1" t="n">
        <v>45548.58939814815</v>
      </c>
      <c r="C421" s="1" t="n">
        <v>45986</v>
      </c>
      <c r="D421" t="inlineStr">
        <is>
          <t>VÄSTERNORRLANDS LÄN</t>
        </is>
      </c>
      <c r="E421" t="inlineStr">
        <is>
          <t>ÅNGE</t>
        </is>
      </c>
      <c r="G421" t="n">
        <v>8</v>
      </c>
      <c r="H421" t="n">
        <v>0</v>
      </c>
      <c r="I421" t="n">
        <v>0</v>
      </c>
      <c r="J421" t="n">
        <v>0</v>
      </c>
      <c r="K421" t="n">
        <v>0</v>
      </c>
      <c r="L421" t="n">
        <v>0</v>
      </c>
      <c r="M421" t="n">
        <v>0</v>
      </c>
      <c r="N421" t="n">
        <v>0</v>
      </c>
      <c r="O421" t="n">
        <v>0</v>
      </c>
      <c r="P421" t="n">
        <v>0</v>
      </c>
      <c r="Q421" t="n">
        <v>0</v>
      </c>
      <c r="R421" s="2" t="inlineStr"/>
    </row>
    <row r="422" ht="15" customHeight="1">
      <c r="A422" t="inlineStr">
        <is>
          <t>A 32257-2024</t>
        </is>
      </c>
      <c r="B422" s="1" t="n">
        <v>45511</v>
      </c>
      <c r="C422" s="1" t="n">
        <v>45986</v>
      </c>
      <c r="D422" t="inlineStr">
        <is>
          <t>VÄSTERNORRLANDS LÄN</t>
        </is>
      </c>
      <c r="E422" t="inlineStr">
        <is>
          <t>ÅNGE</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15288-2025</t>
        </is>
      </c>
      <c r="B423" s="1" t="n">
        <v>45745.34423611111</v>
      </c>
      <c r="C423" s="1" t="n">
        <v>45986</v>
      </c>
      <c r="D423" t="inlineStr">
        <is>
          <t>VÄSTERNORRLANDS LÄN</t>
        </is>
      </c>
      <c r="E423" t="inlineStr">
        <is>
          <t>ÅNGE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20880-2025</t>
        </is>
      </c>
      <c r="B424" s="1" t="n">
        <v>45777</v>
      </c>
      <c r="C424" s="1" t="n">
        <v>45986</v>
      </c>
      <c r="D424" t="inlineStr">
        <is>
          <t>VÄSTERNORRLANDS LÄN</t>
        </is>
      </c>
      <c r="E424" t="inlineStr">
        <is>
          <t>ÅNGE</t>
        </is>
      </c>
      <c r="G424" t="n">
        <v>1.6</v>
      </c>
      <c r="H424" t="n">
        <v>0</v>
      </c>
      <c r="I424" t="n">
        <v>0</v>
      </c>
      <c r="J424" t="n">
        <v>0</v>
      </c>
      <c r="K424" t="n">
        <v>0</v>
      </c>
      <c r="L424" t="n">
        <v>0</v>
      </c>
      <c r="M424" t="n">
        <v>0</v>
      </c>
      <c r="N424" t="n">
        <v>0</v>
      </c>
      <c r="O424" t="n">
        <v>0</v>
      </c>
      <c r="P424" t="n">
        <v>0</v>
      </c>
      <c r="Q424" t="n">
        <v>0</v>
      </c>
      <c r="R424" s="2" t="inlineStr"/>
    </row>
    <row r="425" ht="15" customHeight="1">
      <c r="A425" t="inlineStr">
        <is>
          <t>A 17044-2023</t>
        </is>
      </c>
      <c r="B425" s="1" t="n">
        <v>45034</v>
      </c>
      <c r="C425" s="1" t="n">
        <v>45986</v>
      </c>
      <c r="D425" t="inlineStr">
        <is>
          <t>VÄSTERNORRLANDS LÄN</t>
        </is>
      </c>
      <c r="E425" t="inlineStr">
        <is>
          <t>ÅNGE</t>
        </is>
      </c>
      <c r="G425" t="n">
        <v>0.5</v>
      </c>
      <c r="H425" t="n">
        <v>0</v>
      </c>
      <c r="I425" t="n">
        <v>0</v>
      </c>
      <c r="J425" t="n">
        <v>0</v>
      </c>
      <c r="K425" t="n">
        <v>0</v>
      </c>
      <c r="L425" t="n">
        <v>0</v>
      </c>
      <c r="M425" t="n">
        <v>0</v>
      </c>
      <c r="N425" t="n">
        <v>0</v>
      </c>
      <c r="O425" t="n">
        <v>0</v>
      </c>
      <c r="P425" t="n">
        <v>0</v>
      </c>
      <c r="Q425" t="n">
        <v>0</v>
      </c>
      <c r="R425" s="2" t="inlineStr"/>
    </row>
    <row r="426" ht="15" customHeight="1">
      <c r="A426" t="inlineStr">
        <is>
          <t>A 22219-2025</t>
        </is>
      </c>
      <c r="B426" s="1" t="n">
        <v>45785.65849537037</v>
      </c>
      <c r="C426" s="1" t="n">
        <v>45986</v>
      </c>
      <c r="D426" t="inlineStr">
        <is>
          <t>VÄSTERNORRLANDS LÄN</t>
        </is>
      </c>
      <c r="E426" t="inlineStr">
        <is>
          <t>ÅNGE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21862-2025</t>
        </is>
      </c>
      <c r="B427" s="1" t="n">
        <v>45784.36519675926</v>
      </c>
      <c r="C427" s="1" t="n">
        <v>45986</v>
      </c>
      <c r="D427" t="inlineStr">
        <is>
          <t>VÄSTERNORRLANDS LÄN</t>
        </is>
      </c>
      <c r="E427" t="inlineStr">
        <is>
          <t>ÅNGE</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17670-2023</t>
        </is>
      </c>
      <c r="B428" s="1" t="n">
        <v>45036</v>
      </c>
      <c r="C428" s="1" t="n">
        <v>45986</v>
      </c>
      <c r="D428" t="inlineStr">
        <is>
          <t>VÄSTERNORRLANDS LÄN</t>
        </is>
      </c>
      <c r="E428" t="inlineStr">
        <is>
          <t>ÅNGE</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57109-2023</t>
        </is>
      </c>
      <c r="B429" s="1" t="n">
        <v>45239</v>
      </c>
      <c r="C429" s="1" t="n">
        <v>45986</v>
      </c>
      <c r="D429" t="inlineStr">
        <is>
          <t>VÄSTERNORRLANDS LÄN</t>
        </is>
      </c>
      <c r="E429" t="inlineStr">
        <is>
          <t>ÅNGE</t>
        </is>
      </c>
      <c r="G429" t="n">
        <v>7</v>
      </c>
      <c r="H429" t="n">
        <v>0</v>
      </c>
      <c r="I429" t="n">
        <v>0</v>
      </c>
      <c r="J429" t="n">
        <v>0</v>
      </c>
      <c r="K429" t="n">
        <v>0</v>
      </c>
      <c r="L429" t="n">
        <v>0</v>
      </c>
      <c r="M429" t="n">
        <v>0</v>
      </c>
      <c r="N429" t="n">
        <v>0</v>
      </c>
      <c r="O429" t="n">
        <v>0</v>
      </c>
      <c r="P429" t="n">
        <v>0</v>
      </c>
      <c r="Q429" t="n">
        <v>0</v>
      </c>
      <c r="R429" s="2" t="inlineStr"/>
    </row>
    <row r="430" ht="15" customHeight="1">
      <c r="A430" t="inlineStr">
        <is>
          <t>A 22206-2025</t>
        </is>
      </c>
      <c r="B430" s="1" t="n">
        <v>45785.65699074074</v>
      </c>
      <c r="C430" s="1" t="n">
        <v>45986</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29395-2023</t>
        </is>
      </c>
      <c r="B431" s="1" t="n">
        <v>45106.4359837963</v>
      </c>
      <c r="C431" s="1" t="n">
        <v>45986</v>
      </c>
      <c r="D431" t="inlineStr">
        <is>
          <t>VÄSTERNORRLANDS LÄN</t>
        </is>
      </c>
      <c r="E431" t="inlineStr">
        <is>
          <t>ÅNGE</t>
        </is>
      </c>
      <c r="G431" t="n">
        <v>3.5</v>
      </c>
      <c r="H431" t="n">
        <v>0</v>
      </c>
      <c r="I431" t="n">
        <v>0</v>
      </c>
      <c r="J431" t="n">
        <v>0</v>
      </c>
      <c r="K431" t="n">
        <v>0</v>
      </c>
      <c r="L431" t="n">
        <v>0</v>
      </c>
      <c r="M431" t="n">
        <v>0</v>
      </c>
      <c r="N431" t="n">
        <v>0</v>
      </c>
      <c r="O431" t="n">
        <v>0</v>
      </c>
      <c r="P431" t="n">
        <v>0</v>
      </c>
      <c r="Q431" t="n">
        <v>0</v>
      </c>
      <c r="R431" s="2" t="inlineStr"/>
    </row>
    <row r="432" ht="15" customHeight="1">
      <c r="A432" t="inlineStr">
        <is>
          <t>A 38800-2024</t>
        </is>
      </c>
      <c r="B432" s="1" t="n">
        <v>45547</v>
      </c>
      <c r="C432" s="1" t="n">
        <v>45986</v>
      </c>
      <c r="D432" t="inlineStr">
        <is>
          <t>VÄSTERNORRLANDS LÄN</t>
        </is>
      </c>
      <c r="E432" t="inlineStr">
        <is>
          <t>ÅNGE</t>
        </is>
      </c>
      <c r="G432" t="n">
        <v>2.6</v>
      </c>
      <c r="H432" t="n">
        <v>0</v>
      </c>
      <c r="I432" t="n">
        <v>0</v>
      </c>
      <c r="J432" t="n">
        <v>0</v>
      </c>
      <c r="K432" t="n">
        <v>0</v>
      </c>
      <c r="L432" t="n">
        <v>0</v>
      </c>
      <c r="M432" t="n">
        <v>0</v>
      </c>
      <c r="N432" t="n">
        <v>0</v>
      </c>
      <c r="O432" t="n">
        <v>0</v>
      </c>
      <c r="P432" t="n">
        <v>0</v>
      </c>
      <c r="Q432" t="n">
        <v>0</v>
      </c>
      <c r="R432" s="2" t="inlineStr"/>
    </row>
    <row r="433" ht="15" customHeight="1">
      <c r="A433" t="inlineStr">
        <is>
          <t>A 61577-2023</t>
        </is>
      </c>
      <c r="B433" s="1" t="n">
        <v>45265.47366898148</v>
      </c>
      <c r="C433" s="1" t="n">
        <v>45986</v>
      </c>
      <c r="D433" t="inlineStr">
        <is>
          <t>VÄSTERNORRLANDS LÄN</t>
        </is>
      </c>
      <c r="E433" t="inlineStr">
        <is>
          <t>ÅNGE</t>
        </is>
      </c>
      <c r="G433" t="n">
        <v>2.9</v>
      </c>
      <c r="H433" t="n">
        <v>0</v>
      </c>
      <c r="I433" t="n">
        <v>0</v>
      </c>
      <c r="J433" t="n">
        <v>0</v>
      </c>
      <c r="K433" t="n">
        <v>0</v>
      </c>
      <c r="L433" t="n">
        <v>0</v>
      </c>
      <c r="M433" t="n">
        <v>0</v>
      </c>
      <c r="N433" t="n">
        <v>0</v>
      </c>
      <c r="O433" t="n">
        <v>0</v>
      </c>
      <c r="P433" t="n">
        <v>0</v>
      </c>
      <c r="Q433" t="n">
        <v>0</v>
      </c>
      <c r="R433" s="2" t="inlineStr"/>
    </row>
    <row r="434" ht="15" customHeight="1">
      <c r="A434" t="inlineStr">
        <is>
          <t>A 21883-2025</t>
        </is>
      </c>
      <c r="B434" s="1" t="n">
        <v>45784.41361111111</v>
      </c>
      <c r="C434" s="1" t="n">
        <v>45986</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31492-2024</t>
        </is>
      </c>
      <c r="B435" s="1" t="n">
        <v>45505</v>
      </c>
      <c r="C435" s="1" t="n">
        <v>45986</v>
      </c>
      <c r="D435" t="inlineStr">
        <is>
          <t>VÄSTERNORRLANDS LÄN</t>
        </is>
      </c>
      <c r="E435" t="inlineStr">
        <is>
          <t>ÅNGE</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51024-2024</t>
        </is>
      </c>
      <c r="B436" s="1" t="n">
        <v>45603.4141087963</v>
      </c>
      <c r="C436" s="1" t="n">
        <v>45986</v>
      </c>
      <c r="D436" t="inlineStr">
        <is>
          <t>VÄSTERNORRLANDS LÄN</t>
        </is>
      </c>
      <c r="E436" t="inlineStr">
        <is>
          <t>ÅNGE</t>
        </is>
      </c>
      <c r="G436" t="n">
        <v>8.9</v>
      </c>
      <c r="H436" t="n">
        <v>0</v>
      </c>
      <c r="I436" t="n">
        <v>0</v>
      </c>
      <c r="J436" t="n">
        <v>0</v>
      </c>
      <c r="K436" t="n">
        <v>0</v>
      </c>
      <c r="L436" t="n">
        <v>0</v>
      </c>
      <c r="M436" t="n">
        <v>0</v>
      </c>
      <c r="N436" t="n">
        <v>0</v>
      </c>
      <c r="O436" t="n">
        <v>0</v>
      </c>
      <c r="P436" t="n">
        <v>0</v>
      </c>
      <c r="Q436" t="n">
        <v>0</v>
      </c>
      <c r="R436" s="2" t="inlineStr"/>
    </row>
    <row r="437" ht="15" customHeight="1">
      <c r="A437" t="inlineStr">
        <is>
          <t>A 20716-2025</t>
        </is>
      </c>
      <c r="B437" s="1" t="n">
        <v>45776.49026620371</v>
      </c>
      <c r="C437" s="1" t="n">
        <v>45986</v>
      </c>
      <c r="D437" t="inlineStr">
        <is>
          <t>VÄSTERNORRLANDS LÄN</t>
        </is>
      </c>
      <c r="E437" t="inlineStr">
        <is>
          <t>ÅNGE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54456-2024</t>
        </is>
      </c>
      <c r="B438" s="1" t="n">
        <v>45617.53160879629</v>
      </c>
      <c r="C438" s="1" t="n">
        <v>45986</v>
      </c>
      <c r="D438" t="inlineStr">
        <is>
          <t>VÄSTERNORRLANDS LÄN</t>
        </is>
      </c>
      <c r="E438" t="inlineStr">
        <is>
          <t>ÅNGE</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23035-2024</t>
        </is>
      </c>
      <c r="B439" s="1" t="n">
        <v>45450.39016203704</v>
      </c>
      <c r="C439" s="1" t="n">
        <v>45986</v>
      </c>
      <c r="D439" t="inlineStr">
        <is>
          <t>VÄSTERNORRLANDS LÄN</t>
        </is>
      </c>
      <c r="E439" t="inlineStr">
        <is>
          <t>ÅNGE</t>
        </is>
      </c>
      <c r="G439" t="n">
        <v>12.1</v>
      </c>
      <c r="H439" t="n">
        <v>0</v>
      </c>
      <c r="I439" t="n">
        <v>0</v>
      </c>
      <c r="J439" t="n">
        <v>0</v>
      </c>
      <c r="K439" t="n">
        <v>0</v>
      </c>
      <c r="L439" t="n">
        <v>0</v>
      </c>
      <c r="M439" t="n">
        <v>0</v>
      </c>
      <c r="N439" t="n">
        <v>0</v>
      </c>
      <c r="O439" t="n">
        <v>0</v>
      </c>
      <c r="P439" t="n">
        <v>0</v>
      </c>
      <c r="Q439" t="n">
        <v>0</v>
      </c>
      <c r="R439" s="2" t="inlineStr"/>
    </row>
    <row r="440" ht="15" customHeight="1">
      <c r="A440" t="inlineStr">
        <is>
          <t>A 21982-2025</t>
        </is>
      </c>
      <c r="B440" s="1" t="n">
        <v>45784.65660879629</v>
      </c>
      <c r="C440" s="1" t="n">
        <v>45986</v>
      </c>
      <c r="D440" t="inlineStr">
        <is>
          <t>VÄSTERNORRLANDS LÄN</t>
        </is>
      </c>
      <c r="E440" t="inlineStr">
        <is>
          <t>ÅNGE</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22187-2024</t>
        </is>
      </c>
      <c r="B441" s="1" t="n">
        <v>45446.35222222222</v>
      </c>
      <c r="C441" s="1" t="n">
        <v>45986</v>
      </c>
      <c r="D441" t="inlineStr">
        <is>
          <t>VÄSTERNORRLANDS LÄN</t>
        </is>
      </c>
      <c r="E441" t="inlineStr">
        <is>
          <t>ÅNGE</t>
        </is>
      </c>
      <c r="G441" t="n">
        <v>2.3</v>
      </c>
      <c r="H441" t="n">
        <v>0</v>
      </c>
      <c r="I441" t="n">
        <v>0</v>
      </c>
      <c r="J441" t="n">
        <v>0</v>
      </c>
      <c r="K441" t="n">
        <v>0</v>
      </c>
      <c r="L441" t="n">
        <v>0</v>
      </c>
      <c r="M441" t="n">
        <v>0</v>
      </c>
      <c r="N441" t="n">
        <v>0</v>
      </c>
      <c r="O441" t="n">
        <v>0</v>
      </c>
      <c r="P441" t="n">
        <v>0</v>
      </c>
      <c r="Q441" t="n">
        <v>0</v>
      </c>
      <c r="R441" s="2" t="inlineStr"/>
    </row>
    <row r="442" ht="15" customHeight="1">
      <c r="A442" t="inlineStr">
        <is>
          <t>A 34959-2023</t>
        </is>
      </c>
      <c r="B442" s="1" t="n">
        <v>45142</v>
      </c>
      <c r="C442" s="1" t="n">
        <v>45986</v>
      </c>
      <c r="D442" t="inlineStr">
        <is>
          <t>VÄSTERNORRLANDS LÄN</t>
        </is>
      </c>
      <c r="E442" t="inlineStr">
        <is>
          <t>ÅNGE</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3352-2021</t>
        </is>
      </c>
      <c r="B443" s="1" t="n">
        <v>44217</v>
      </c>
      <c r="C443" s="1" t="n">
        <v>45986</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38693-2025</t>
        </is>
      </c>
      <c r="B444" s="1" t="n">
        <v>45884.69829861111</v>
      </c>
      <c r="C444" s="1" t="n">
        <v>45986</v>
      </c>
      <c r="D444" t="inlineStr">
        <is>
          <t>VÄSTERNORRLANDS LÄN</t>
        </is>
      </c>
      <c r="E444" t="inlineStr">
        <is>
          <t>ÅNGE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38703-2025</t>
        </is>
      </c>
      <c r="B445" s="1" t="n">
        <v>45885.34440972222</v>
      </c>
      <c r="C445" s="1" t="n">
        <v>45986</v>
      </c>
      <c r="D445" t="inlineStr">
        <is>
          <t>VÄSTERNORRLANDS LÄN</t>
        </is>
      </c>
      <c r="E445" t="inlineStr">
        <is>
          <t>ÅNGE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38711-2025</t>
        </is>
      </c>
      <c r="B446" s="1" t="n">
        <v>45886.34450231482</v>
      </c>
      <c r="C446" s="1" t="n">
        <v>45986</v>
      </c>
      <c r="D446" t="inlineStr">
        <is>
          <t>VÄSTERNORRLANDS LÄN</t>
        </is>
      </c>
      <c r="E446" t="inlineStr">
        <is>
          <t>ÅNGE</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38715-2025</t>
        </is>
      </c>
      <c r="B447" s="1" t="n">
        <v>45886.34501157407</v>
      </c>
      <c r="C447" s="1" t="n">
        <v>45986</v>
      </c>
      <c r="D447" t="inlineStr">
        <is>
          <t>VÄSTERNORRLANDS LÄN</t>
        </is>
      </c>
      <c r="E447" t="inlineStr">
        <is>
          <t>ÅNGE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38686-2025</t>
        </is>
      </c>
      <c r="B448" s="1" t="n">
        <v>45884.65658564815</v>
      </c>
      <c r="C448" s="1" t="n">
        <v>45986</v>
      </c>
      <c r="D448" t="inlineStr">
        <is>
          <t>VÄSTERNORRLANDS LÄN</t>
        </is>
      </c>
      <c r="E448" t="inlineStr">
        <is>
          <t>ÅNGE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22489-2025</t>
        </is>
      </c>
      <c r="B449" s="1" t="n">
        <v>45786.64946759259</v>
      </c>
      <c r="C449" s="1" t="n">
        <v>45986</v>
      </c>
      <c r="D449" t="inlineStr">
        <is>
          <t>VÄSTERNORRLANDS LÄN</t>
        </is>
      </c>
      <c r="E449" t="inlineStr">
        <is>
          <t>ÅNGE</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22791-2025</t>
        </is>
      </c>
      <c r="B450" s="1" t="n">
        <v>45789.65663194445</v>
      </c>
      <c r="C450" s="1" t="n">
        <v>45986</v>
      </c>
      <c r="D450" t="inlineStr">
        <is>
          <t>VÄSTERNORRLANDS LÄN</t>
        </is>
      </c>
      <c r="E450" t="inlineStr">
        <is>
          <t>ÅNGE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8406-2023</t>
        </is>
      </c>
      <c r="B451" s="1" t="n">
        <v>44971</v>
      </c>
      <c r="C451" s="1" t="n">
        <v>45986</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22549-2025</t>
        </is>
      </c>
      <c r="B452" s="1" t="n">
        <v>45788.48113425926</v>
      </c>
      <c r="C452" s="1" t="n">
        <v>45986</v>
      </c>
      <c r="D452" t="inlineStr">
        <is>
          <t>VÄSTERNORRLANDS LÄN</t>
        </is>
      </c>
      <c r="E452" t="inlineStr">
        <is>
          <t>ÅNGE</t>
        </is>
      </c>
      <c r="G452" t="n">
        <v>2.6</v>
      </c>
      <c r="H452" t="n">
        <v>0</v>
      </c>
      <c r="I452" t="n">
        <v>0</v>
      </c>
      <c r="J452" t="n">
        <v>0</v>
      </c>
      <c r="K452" t="n">
        <v>0</v>
      </c>
      <c r="L452" t="n">
        <v>0</v>
      </c>
      <c r="M452" t="n">
        <v>0</v>
      </c>
      <c r="N452" t="n">
        <v>0</v>
      </c>
      <c r="O452" t="n">
        <v>0</v>
      </c>
      <c r="P452" t="n">
        <v>0</v>
      </c>
      <c r="Q452" t="n">
        <v>0</v>
      </c>
      <c r="R452" s="2" t="inlineStr"/>
    </row>
    <row r="453" ht="15" customHeight="1">
      <c r="A453" t="inlineStr">
        <is>
          <t>A 23091-2025</t>
        </is>
      </c>
      <c r="B453" s="1" t="n">
        <v>45791.34456018519</v>
      </c>
      <c r="C453" s="1" t="n">
        <v>45986</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23343-2025</t>
        </is>
      </c>
      <c r="B454" s="1" t="n">
        <v>45791.65702546296</v>
      </c>
      <c r="C454" s="1" t="n">
        <v>45986</v>
      </c>
      <c r="D454" t="inlineStr">
        <is>
          <t>VÄSTERNORRLANDS LÄN</t>
        </is>
      </c>
      <c r="E454" t="inlineStr">
        <is>
          <t>ÅNGE</t>
        </is>
      </c>
      <c r="F454" t="inlineStr">
        <is>
          <t>SCA</t>
        </is>
      </c>
      <c r="G454" t="n">
        <v>12.6</v>
      </c>
      <c r="H454" t="n">
        <v>0</v>
      </c>
      <c r="I454" t="n">
        <v>0</v>
      </c>
      <c r="J454" t="n">
        <v>0</v>
      </c>
      <c r="K454" t="n">
        <v>0</v>
      </c>
      <c r="L454" t="n">
        <v>0</v>
      </c>
      <c r="M454" t="n">
        <v>0</v>
      </c>
      <c r="N454" t="n">
        <v>0</v>
      </c>
      <c r="O454" t="n">
        <v>0</v>
      </c>
      <c r="P454" t="n">
        <v>0</v>
      </c>
      <c r="Q454" t="n">
        <v>0</v>
      </c>
      <c r="R454" s="2" t="inlineStr"/>
    </row>
    <row r="455" ht="15" customHeight="1">
      <c r="A455" t="inlineStr">
        <is>
          <t>A 23252-2025</t>
        </is>
      </c>
      <c r="B455" s="1" t="n">
        <v>45791.53157407408</v>
      </c>
      <c r="C455" s="1" t="n">
        <v>45986</v>
      </c>
      <c r="D455" t="inlineStr">
        <is>
          <t>VÄSTERNORRLANDS LÄN</t>
        </is>
      </c>
      <c r="E455" t="inlineStr">
        <is>
          <t>ÅNGE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39434-2025</t>
        </is>
      </c>
      <c r="B456" s="1" t="n">
        <v>45889.67811342593</v>
      </c>
      <c r="C456" s="1" t="n">
        <v>45986</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39444-2025</t>
        </is>
      </c>
      <c r="B457" s="1" t="n">
        <v>45889.69826388889</v>
      </c>
      <c r="C457" s="1" t="n">
        <v>45986</v>
      </c>
      <c r="D457" t="inlineStr">
        <is>
          <t>VÄSTERNORRLANDS LÄN</t>
        </is>
      </c>
      <c r="E457" t="inlineStr">
        <is>
          <t>ÅNGE</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22926-2025</t>
        </is>
      </c>
      <c r="B458" s="1" t="n">
        <v>45790</v>
      </c>
      <c r="C458" s="1" t="n">
        <v>45986</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22928-2025</t>
        </is>
      </c>
      <c r="B459" s="1" t="n">
        <v>45790.44825231482</v>
      </c>
      <c r="C459" s="1" t="n">
        <v>45986</v>
      </c>
      <c r="D459" t="inlineStr">
        <is>
          <t>VÄSTERNORRLANDS LÄN</t>
        </is>
      </c>
      <c r="E459" t="inlineStr">
        <is>
          <t>ÅNGE</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23748-2025</t>
        </is>
      </c>
      <c r="B460" s="1" t="n">
        <v>45793.44755787037</v>
      </c>
      <c r="C460" s="1" t="n">
        <v>45986</v>
      </c>
      <c r="D460" t="inlineStr">
        <is>
          <t>VÄSTERNORRLANDS LÄN</t>
        </is>
      </c>
      <c r="E460" t="inlineStr">
        <is>
          <t>ÅNGE</t>
        </is>
      </c>
      <c r="F460" t="inlineStr">
        <is>
          <t>Sveaskog</t>
        </is>
      </c>
      <c r="G460" t="n">
        <v>6.5</v>
      </c>
      <c r="H460" t="n">
        <v>0</v>
      </c>
      <c r="I460" t="n">
        <v>0</v>
      </c>
      <c r="J460" t="n">
        <v>0</v>
      </c>
      <c r="K460" t="n">
        <v>0</v>
      </c>
      <c r="L460" t="n">
        <v>0</v>
      </c>
      <c r="M460" t="n">
        <v>0</v>
      </c>
      <c r="N460" t="n">
        <v>0</v>
      </c>
      <c r="O460" t="n">
        <v>0</v>
      </c>
      <c r="P460" t="n">
        <v>0</v>
      </c>
      <c r="Q460" t="n">
        <v>0</v>
      </c>
      <c r="R460" s="2" t="inlineStr"/>
    </row>
    <row r="461" ht="15" customHeight="1">
      <c r="A461" t="inlineStr">
        <is>
          <t>A 32051-2025</t>
        </is>
      </c>
      <c r="B461" s="1" t="n">
        <v>45835.44185185185</v>
      </c>
      <c r="C461" s="1" t="n">
        <v>45986</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23589-2025</t>
        </is>
      </c>
      <c r="B462" s="1" t="n">
        <v>45792.63618055556</v>
      </c>
      <c r="C462" s="1" t="n">
        <v>45986</v>
      </c>
      <c r="D462" t="inlineStr">
        <is>
          <t>VÄSTERNORRLANDS LÄN</t>
        </is>
      </c>
      <c r="E462" t="inlineStr">
        <is>
          <t>ÅNGE</t>
        </is>
      </c>
      <c r="F462" t="inlineStr">
        <is>
          <t>SCA</t>
        </is>
      </c>
      <c r="G462" t="n">
        <v>10.7</v>
      </c>
      <c r="H462" t="n">
        <v>0</v>
      </c>
      <c r="I462" t="n">
        <v>0</v>
      </c>
      <c r="J462" t="n">
        <v>0</v>
      </c>
      <c r="K462" t="n">
        <v>0</v>
      </c>
      <c r="L462" t="n">
        <v>0</v>
      </c>
      <c r="M462" t="n">
        <v>0</v>
      </c>
      <c r="N462" t="n">
        <v>0</v>
      </c>
      <c r="O462" t="n">
        <v>0</v>
      </c>
      <c r="P462" t="n">
        <v>0</v>
      </c>
      <c r="Q462" t="n">
        <v>0</v>
      </c>
      <c r="R462" s="2" t="inlineStr"/>
    </row>
    <row r="463" ht="15" customHeight="1">
      <c r="A463" t="inlineStr">
        <is>
          <t>A 23495-2025</t>
        </is>
      </c>
      <c r="B463" s="1" t="n">
        <v>45792.46967592592</v>
      </c>
      <c r="C463" s="1" t="n">
        <v>45986</v>
      </c>
      <c r="D463" t="inlineStr">
        <is>
          <t>VÄSTERNORRLANDS LÄN</t>
        </is>
      </c>
      <c r="E463" t="inlineStr">
        <is>
          <t>ÅNGE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23580-2025</t>
        </is>
      </c>
      <c r="B464" s="1" t="n">
        <v>45792.62555555555</v>
      </c>
      <c r="C464" s="1" t="n">
        <v>45986</v>
      </c>
      <c r="D464" t="inlineStr">
        <is>
          <t>VÄSTERNORRLANDS LÄN</t>
        </is>
      </c>
      <c r="E464" t="inlineStr">
        <is>
          <t>ÅNGE</t>
        </is>
      </c>
      <c r="F464" t="inlineStr">
        <is>
          <t>Kyrkan</t>
        </is>
      </c>
      <c r="G464" t="n">
        <v>2.6</v>
      </c>
      <c r="H464" t="n">
        <v>0</v>
      </c>
      <c r="I464" t="n">
        <v>0</v>
      </c>
      <c r="J464" t="n">
        <v>0</v>
      </c>
      <c r="K464" t="n">
        <v>0</v>
      </c>
      <c r="L464" t="n">
        <v>0</v>
      </c>
      <c r="M464" t="n">
        <v>0</v>
      </c>
      <c r="N464" t="n">
        <v>0</v>
      </c>
      <c r="O464" t="n">
        <v>0</v>
      </c>
      <c r="P464" t="n">
        <v>0</v>
      </c>
      <c r="Q464" t="n">
        <v>0</v>
      </c>
      <c r="R464" s="2" t="inlineStr"/>
    </row>
    <row r="465" ht="15" customHeight="1">
      <c r="A465" t="inlineStr">
        <is>
          <t>A 23590-2025</t>
        </is>
      </c>
      <c r="B465" s="1" t="n">
        <v>45792.63627314815</v>
      </c>
      <c r="C465" s="1" t="n">
        <v>45986</v>
      </c>
      <c r="D465" t="inlineStr">
        <is>
          <t>VÄSTERNORRLANDS LÄN</t>
        </is>
      </c>
      <c r="E465" t="inlineStr">
        <is>
          <t>ÅNGE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23573-2025</t>
        </is>
      </c>
      <c r="B466" s="1" t="n">
        <v>45792.61497685185</v>
      </c>
      <c r="C466" s="1" t="n">
        <v>45986</v>
      </c>
      <c r="D466" t="inlineStr">
        <is>
          <t>VÄSTERNORRLANDS LÄN</t>
        </is>
      </c>
      <c r="E466" t="inlineStr">
        <is>
          <t>ÅNGE</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23552-2025</t>
        </is>
      </c>
      <c r="B467" s="1" t="n">
        <v>45792.5738425926</v>
      </c>
      <c r="C467" s="1" t="n">
        <v>45986</v>
      </c>
      <c r="D467" t="inlineStr">
        <is>
          <t>VÄSTERNORRLANDS LÄN</t>
        </is>
      </c>
      <c r="E467" t="inlineStr">
        <is>
          <t>ÅNGE</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39768-2025</t>
        </is>
      </c>
      <c r="B468" s="1" t="n">
        <v>45891.44842592593</v>
      </c>
      <c r="C468" s="1" t="n">
        <v>45986</v>
      </c>
      <c r="D468" t="inlineStr">
        <is>
          <t>VÄSTERNORRLANDS LÄN</t>
        </is>
      </c>
      <c r="E468" t="inlineStr">
        <is>
          <t>ÅNGE</t>
        </is>
      </c>
      <c r="G468" t="n">
        <v>10.4</v>
      </c>
      <c r="H468" t="n">
        <v>0</v>
      </c>
      <c r="I468" t="n">
        <v>0</v>
      </c>
      <c r="J468" t="n">
        <v>0</v>
      </c>
      <c r="K468" t="n">
        <v>0</v>
      </c>
      <c r="L468" t="n">
        <v>0</v>
      </c>
      <c r="M468" t="n">
        <v>0</v>
      </c>
      <c r="N468" t="n">
        <v>0</v>
      </c>
      <c r="O468" t="n">
        <v>0</v>
      </c>
      <c r="P468" t="n">
        <v>0</v>
      </c>
      <c r="Q468" t="n">
        <v>0</v>
      </c>
      <c r="R468" s="2" t="inlineStr"/>
    </row>
    <row r="469" ht="15" customHeight="1">
      <c r="A469" t="inlineStr">
        <is>
          <t>A 39729-2025</t>
        </is>
      </c>
      <c r="B469" s="1" t="n">
        <v>45891</v>
      </c>
      <c r="C469" s="1" t="n">
        <v>45986</v>
      </c>
      <c r="D469" t="inlineStr">
        <is>
          <t>VÄSTERNORRLANDS LÄN</t>
        </is>
      </c>
      <c r="E469" t="inlineStr">
        <is>
          <t>ÅNGE</t>
        </is>
      </c>
      <c r="G469" t="n">
        <v>2.3</v>
      </c>
      <c r="H469" t="n">
        <v>0</v>
      </c>
      <c r="I469" t="n">
        <v>0</v>
      </c>
      <c r="J469" t="n">
        <v>0</v>
      </c>
      <c r="K469" t="n">
        <v>0</v>
      </c>
      <c r="L469" t="n">
        <v>0</v>
      </c>
      <c r="M469" t="n">
        <v>0</v>
      </c>
      <c r="N469" t="n">
        <v>0</v>
      </c>
      <c r="O469" t="n">
        <v>0</v>
      </c>
      <c r="P469" t="n">
        <v>0</v>
      </c>
      <c r="Q469" t="n">
        <v>0</v>
      </c>
      <c r="R469" s="2" t="inlineStr"/>
    </row>
    <row r="470" ht="15" customHeight="1">
      <c r="A470" t="inlineStr">
        <is>
          <t>A 23529-2025</t>
        </is>
      </c>
      <c r="B470" s="1" t="n">
        <v>45792.53158564815</v>
      </c>
      <c r="C470" s="1" t="n">
        <v>45986</v>
      </c>
      <c r="D470" t="inlineStr">
        <is>
          <t>VÄSTERNORRLANDS LÄN</t>
        </is>
      </c>
      <c r="E470" t="inlineStr">
        <is>
          <t>ÅNGE</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60004-2023</t>
        </is>
      </c>
      <c r="B471" s="1" t="n">
        <v>45257</v>
      </c>
      <c r="C471" s="1" t="n">
        <v>45986</v>
      </c>
      <c r="D471" t="inlineStr">
        <is>
          <t>VÄSTERNORRLANDS LÄN</t>
        </is>
      </c>
      <c r="E471" t="inlineStr">
        <is>
          <t>ÅNGE</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4142-2024</t>
        </is>
      </c>
      <c r="B472" s="1" t="n">
        <v>45323</v>
      </c>
      <c r="C472" s="1" t="n">
        <v>45986</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39843-2023</t>
        </is>
      </c>
      <c r="B473" s="1" t="n">
        <v>45168</v>
      </c>
      <c r="C473" s="1" t="n">
        <v>45986</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23899-2025</t>
        </is>
      </c>
      <c r="B474" s="1" t="n">
        <v>45794.34414351852</v>
      </c>
      <c r="C474" s="1" t="n">
        <v>45986</v>
      </c>
      <c r="D474" t="inlineStr">
        <is>
          <t>VÄSTERNORRLANDS LÄN</t>
        </is>
      </c>
      <c r="E474" t="inlineStr">
        <is>
          <t>ÅNGE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54079-2023</t>
        </is>
      </c>
      <c r="B475" s="1" t="n">
        <v>45231</v>
      </c>
      <c r="C475" s="1" t="n">
        <v>45986</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24357-2025</t>
        </is>
      </c>
      <c r="B476" s="1" t="n">
        <v>45797.59467592592</v>
      </c>
      <c r="C476" s="1" t="n">
        <v>45986</v>
      </c>
      <c r="D476" t="inlineStr">
        <is>
          <t>VÄSTERNORRLANDS LÄN</t>
        </is>
      </c>
      <c r="E476" t="inlineStr">
        <is>
          <t>ÅNGE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24292-2025</t>
        </is>
      </c>
      <c r="B477" s="1" t="n">
        <v>45797.46657407407</v>
      </c>
      <c r="C477" s="1" t="n">
        <v>45986</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24008-2025</t>
        </is>
      </c>
      <c r="B478" s="1" t="n">
        <v>45796.43841435185</v>
      </c>
      <c r="C478" s="1" t="n">
        <v>45986</v>
      </c>
      <c r="D478" t="inlineStr">
        <is>
          <t>VÄSTERNORRLANDS LÄN</t>
        </is>
      </c>
      <c r="E478" t="inlineStr">
        <is>
          <t>ÅNGE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16450-2025</t>
        </is>
      </c>
      <c r="B479" s="1" t="n">
        <v>45751.51081018519</v>
      </c>
      <c r="C479" s="1" t="n">
        <v>45986</v>
      </c>
      <c r="D479" t="inlineStr">
        <is>
          <t>VÄSTERNORRLANDS LÄN</t>
        </is>
      </c>
      <c r="E479" t="inlineStr">
        <is>
          <t>ÅNGE</t>
        </is>
      </c>
      <c r="F479" t="inlineStr">
        <is>
          <t>SCA</t>
        </is>
      </c>
      <c r="G479" t="n">
        <v>3.9</v>
      </c>
      <c r="H479" t="n">
        <v>0</v>
      </c>
      <c r="I479" t="n">
        <v>0</v>
      </c>
      <c r="J479" t="n">
        <v>0</v>
      </c>
      <c r="K479" t="n">
        <v>0</v>
      </c>
      <c r="L479" t="n">
        <v>0</v>
      </c>
      <c r="M479" t="n">
        <v>0</v>
      </c>
      <c r="N479" t="n">
        <v>0</v>
      </c>
      <c r="O479" t="n">
        <v>0</v>
      </c>
      <c r="P479" t="n">
        <v>0</v>
      </c>
      <c r="Q479" t="n">
        <v>0</v>
      </c>
      <c r="R479" s="2" t="inlineStr"/>
    </row>
    <row r="480" ht="15" customHeight="1">
      <c r="A480" t="inlineStr">
        <is>
          <t>A 41575-2024</t>
        </is>
      </c>
      <c r="B480" s="1" t="n">
        <v>45560.55106481481</v>
      </c>
      <c r="C480" s="1" t="n">
        <v>45986</v>
      </c>
      <c r="D480" t="inlineStr">
        <is>
          <t>VÄSTERNORRLANDS LÄN</t>
        </is>
      </c>
      <c r="E480" t="inlineStr">
        <is>
          <t>ÅNGE</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19007-2025</t>
        </is>
      </c>
      <c r="B481" s="1" t="n">
        <v>45764.58515046296</v>
      </c>
      <c r="C481" s="1" t="n">
        <v>45986</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41741-2023</t>
        </is>
      </c>
      <c r="B482" s="1" t="n">
        <v>45176.42164351852</v>
      </c>
      <c r="C482" s="1" t="n">
        <v>45986</v>
      </c>
      <c r="D482" t="inlineStr">
        <is>
          <t>VÄSTERNORRLANDS LÄN</t>
        </is>
      </c>
      <c r="E482" t="inlineStr">
        <is>
          <t>ÅNGE</t>
        </is>
      </c>
      <c r="G482" t="n">
        <v>7.8</v>
      </c>
      <c r="H482" t="n">
        <v>0</v>
      </c>
      <c r="I482" t="n">
        <v>0</v>
      </c>
      <c r="J482" t="n">
        <v>0</v>
      </c>
      <c r="K482" t="n">
        <v>0</v>
      </c>
      <c r="L482" t="n">
        <v>0</v>
      </c>
      <c r="M482" t="n">
        <v>0</v>
      </c>
      <c r="N482" t="n">
        <v>0</v>
      </c>
      <c r="O482" t="n">
        <v>0</v>
      </c>
      <c r="P482" t="n">
        <v>0</v>
      </c>
      <c r="Q482" t="n">
        <v>0</v>
      </c>
      <c r="R482" s="2" t="inlineStr"/>
    </row>
    <row r="483" ht="15" customHeight="1">
      <c r="A483" t="inlineStr">
        <is>
          <t>A 29702-2024</t>
        </is>
      </c>
      <c r="B483" s="1" t="n">
        <v>45485.31525462963</v>
      </c>
      <c r="C483" s="1" t="n">
        <v>45986</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23069-2024</t>
        </is>
      </c>
      <c r="B484" s="1" t="n">
        <v>45450</v>
      </c>
      <c r="C484" s="1" t="n">
        <v>45986</v>
      </c>
      <c r="D484" t="inlineStr">
        <is>
          <t>VÄSTERNORRLANDS LÄN</t>
        </is>
      </c>
      <c r="E484" t="inlineStr">
        <is>
          <t>ÅNGE</t>
        </is>
      </c>
      <c r="G484" t="n">
        <v>1.5</v>
      </c>
      <c r="H484" t="n">
        <v>0</v>
      </c>
      <c r="I484" t="n">
        <v>0</v>
      </c>
      <c r="J484" t="n">
        <v>0</v>
      </c>
      <c r="K484" t="n">
        <v>0</v>
      </c>
      <c r="L484" t="n">
        <v>0</v>
      </c>
      <c r="M484" t="n">
        <v>0</v>
      </c>
      <c r="N484" t="n">
        <v>0</v>
      </c>
      <c r="O484" t="n">
        <v>0</v>
      </c>
      <c r="P484" t="n">
        <v>0</v>
      </c>
      <c r="Q484" t="n">
        <v>0</v>
      </c>
      <c r="R484" s="2" t="inlineStr"/>
    </row>
    <row r="485" ht="15" customHeight="1">
      <c r="A485" t="inlineStr">
        <is>
          <t>A 24209-2025</t>
        </is>
      </c>
      <c r="B485" s="1" t="n">
        <v>45797.3446875</v>
      </c>
      <c r="C485" s="1" t="n">
        <v>45986</v>
      </c>
      <c r="D485" t="inlineStr">
        <is>
          <t>VÄSTERNORRLANDS LÄN</t>
        </is>
      </c>
      <c r="E485" t="inlineStr">
        <is>
          <t>ÅNGE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10781-2024</t>
        </is>
      </c>
      <c r="B486" s="1" t="n">
        <v>45369.59635416666</v>
      </c>
      <c r="C486" s="1" t="n">
        <v>45986</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23975-2025</t>
        </is>
      </c>
      <c r="B487" s="1" t="n">
        <v>45796.38614583333</v>
      </c>
      <c r="C487" s="1" t="n">
        <v>45986</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23976-2025</t>
        </is>
      </c>
      <c r="B488" s="1" t="n">
        <v>45796.38625</v>
      </c>
      <c r="C488" s="1" t="n">
        <v>45986</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57516-2023</t>
        </is>
      </c>
      <c r="B489" s="1" t="n">
        <v>45246.44665509259</v>
      </c>
      <c r="C489" s="1" t="n">
        <v>45986</v>
      </c>
      <c r="D489" t="inlineStr">
        <is>
          <t>VÄSTERNORRLANDS LÄN</t>
        </is>
      </c>
      <c r="E489" t="inlineStr">
        <is>
          <t>ÅNGE</t>
        </is>
      </c>
      <c r="G489" t="n">
        <v>2.2</v>
      </c>
      <c r="H489" t="n">
        <v>0</v>
      </c>
      <c r="I489" t="n">
        <v>0</v>
      </c>
      <c r="J489" t="n">
        <v>0</v>
      </c>
      <c r="K489" t="n">
        <v>0</v>
      </c>
      <c r="L489" t="n">
        <v>0</v>
      </c>
      <c r="M489" t="n">
        <v>0</v>
      </c>
      <c r="N489" t="n">
        <v>0</v>
      </c>
      <c r="O489" t="n">
        <v>0</v>
      </c>
      <c r="P489" t="n">
        <v>0</v>
      </c>
      <c r="Q489" t="n">
        <v>0</v>
      </c>
      <c r="R489" s="2" t="inlineStr"/>
    </row>
    <row r="490" ht="15" customHeight="1">
      <c r="A490" t="inlineStr">
        <is>
          <t>A 26641-2024</t>
        </is>
      </c>
      <c r="B490" s="1" t="n">
        <v>45469.92836805555</v>
      </c>
      <c r="C490" s="1" t="n">
        <v>45986</v>
      </c>
      <c r="D490" t="inlineStr">
        <is>
          <t>VÄSTERNORRLANDS LÄN</t>
        </is>
      </c>
      <c r="E490" t="inlineStr">
        <is>
          <t>ÅNGE</t>
        </is>
      </c>
      <c r="G490" t="n">
        <v>4.5</v>
      </c>
      <c r="H490" t="n">
        <v>0</v>
      </c>
      <c r="I490" t="n">
        <v>0</v>
      </c>
      <c r="J490" t="n">
        <v>0</v>
      </c>
      <c r="K490" t="n">
        <v>0</v>
      </c>
      <c r="L490" t="n">
        <v>0</v>
      </c>
      <c r="M490" t="n">
        <v>0</v>
      </c>
      <c r="N490" t="n">
        <v>0</v>
      </c>
      <c r="O490" t="n">
        <v>0</v>
      </c>
      <c r="P490" t="n">
        <v>0</v>
      </c>
      <c r="Q490" t="n">
        <v>0</v>
      </c>
      <c r="R490" s="2" t="inlineStr"/>
    </row>
    <row r="491" ht="15" customHeight="1">
      <c r="A491" t="inlineStr">
        <is>
          <t>A 33720-2025</t>
        </is>
      </c>
      <c r="B491" s="1" t="n">
        <v>45841.90605324074</v>
      </c>
      <c r="C491" s="1" t="n">
        <v>45986</v>
      </c>
      <c r="D491" t="inlineStr">
        <is>
          <t>VÄSTERNORRLANDS LÄN</t>
        </is>
      </c>
      <c r="E491" t="inlineStr">
        <is>
          <t>ÅNGE</t>
        </is>
      </c>
      <c r="G491" t="n">
        <v>6.4</v>
      </c>
      <c r="H491" t="n">
        <v>0</v>
      </c>
      <c r="I491" t="n">
        <v>0</v>
      </c>
      <c r="J491" t="n">
        <v>0</v>
      </c>
      <c r="K491" t="n">
        <v>0</v>
      </c>
      <c r="L491" t="n">
        <v>0</v>
      </c>
      <c r="M491" t="n">
        <v>0</v>
      </c>
      <c r="N491" t="n">
        <v>0</v>
      </c>
      <c r="O491" t="n">
        <v>0</v>
      </c>
      <c r="P491" t="n">
        <v>0</v>
      </c>
      <c r="Q491" t="n">
        <v>0</v>
      </c>
      <c r="R491" s="2" t="inlineStr"/>
    </row>
    <row r="492" ht="15" customHeight="1">
      <c r="A492" t="inlineStr">
        <is>
          <t>A 37992-2024</t>
        </is>
      </c>
      <c r="B492" s="1" t="n">
        <v>45544.59524305556</v>
      </c>
      <c r="C492" s="1" t="n">
        <v>45986</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24207-2025</t>
        </is>
      </c>
      <c r="B493" s="1" t="n">
        <v>45797.34439814815</v>
      </c>
      <c r="C493" s="1" t="n">
        <v>45986</v>
      </c>
      <c r="D493" t="inlineStr">
        <is>
          <t>VÄSTERNORRLANDS LÄN</t>
        </is>
      </c>
      <c r="E493" t="inlineStr">
        <is>
          <t>ÅNGE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43145-2024</t>
        </is>
      </c>
      <c r="B494" s="1" t="n">
        <v>45567.63030092593</v>
      </c>
      <c r="C494" s="1" t="n">
        <v>45986</v>
      </c>
      <c r="D494" t="inlineStr">
        <is>
          <t>VÄSTERNORRLANDS LÄN</t>
        </is>
      </c>
      <c r="E494" t="inlineStr">
        <is>
          <t>ÅNGE</t>
        </is>
      </c>
      <c r="G494" t="n">
        <v>1.4</v>
      </c>
      <c r="H494" t="n">
        <v>0</v>
      </c>
      <c r="I494" t="n">
        <v>0</v>
      </c>
      <c r="J494" t="n">
        <v>0</v>
      </c>
      <c r="K494" t="n">
        <v>0</v>
      </c>
      <c r="L494" t="n">
        <v>0</v>
      </c>
      <c r="M494" t="n">
        <v>0</v>
      </c>
      <c r="N494" t="n">
        <v>0</v>
      </c>
      <c r="O494" t="n">
        <v>0</v>
      </c>
      <c r="P494" t="n">
        <v>0</v>
      </c>
      <c r="Q494" t="n">
        <v>0</v>
      </c>
      <c r="R494" s="2" t="inlineStr"/>
    </row>
    <row r="495" ht="15" customHeight="1">
      <c r="A495" t="inlineStr">
        <is>
          <t>A 23917-2025</t>
        </is>
      </c>
      <c r="B495" s="1" t="n">
        <v>45795.34481481482</v>
      </c>
      <c r="C495" s="1" t="n">
        <v>45986</v>
      </c>
      <c r="D495" t="inlineStr">
        <is>
          <t>VÄSTERNORRLANDS LÄN</t>
        </is>
      </c>
      <c r="E495" t="inlineStr">
        <is>
          <t>ÅNGE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23921-2025</t>
        </is>
      </c>
      <c r="B496" s="1" t="n">
        <v>45795.34513888889</v>
      </c>
      <c r="C496" s="1" t="n">
        <v>45986</v>
      </c>
      <c r="D496" t="inlineStr">
        <is>
          <t>VÄSTERNORRLANDS LÄN</t>
        </is>
      </c>
      <c r="E496" t="inlineStr">
        <is>
          <t>ÅNGE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35578-2025</t>
        </is>
      </c>
      <c r="B497" s="1" t="n">
        <v>45856.67797453704</v>
      </c>
      <c r="C497" s="1" t="n">
        <v>45986</v>
      </c>
      <c r="D497" t="inlineStr">
        <is>
          <t>VÄSTERNORRLANDS LÄN</t>
        </is>
      </c>
      <c r="E497" t="inlineStr">
        <is>
          <t>ÅNGE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24232-2025</t>
        </is>
      </c>
      <c r="B498" s="1" t="n">
        <v>45797.37846064815</v>
      </c>
      <c r="C498" s="1" t="n">
        <v>45986</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56188-2024</t>
        </is>
      </c>
      <c r="B499" s="1" t="n">
        <v>45624.57800925926</v>
      </c>
      <c r="C499" s="1" t="n">
        <v>45986</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24458-2025</t>
        </is>
      </c>
      <c r="B500" s="1" t="n">
        <v>45798.34476851852</v>
      </c>
      <c r="C500" s="1" t="n">
        <v>45986</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24627-2025</t>
        </is>
      </c>
      <c r="B501" s="1" t="n">
        <v>45798.59471064815</v>
      </c>
      <c r="C501" s="1" t="n">
        <v>45986</v>
      </c>
      <c r="D501" t="inlineStr">
        <is>
          <t>VÄSTERNORRLANDS LÄN</t>
        </is>
      </c>
      <c r="E501" t="inlineStr">
        <is>
          <t>ÅNGE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40818-2025</t>
        </is>
      </c>
      <c r="B502" s="1" t="n">
        <v>45897.48881944444</v>
      </c>
      <c r="C502" s="1" t="n">
        <v>45986</v>
      </c>
      <c r="D502" t="inlineStr">
        <is>
          <t>VÄSTERNORRLANDS LÄN</t>
        </is>
      </c>
      <c r="E502" t="inlineStr">
        <is>
          <t>ÅNGE</t>
        </is>
      </c>
      <c r="G502" t="n">
        <v>2.9</v>
      </c>
      <c r="H502" t="n">
        <v>0</v>
      </c>
      <c r="I502" t="n">
        <v>0</v>
      </c>
      <c r="J502" t="n">
        <v>0</v>
      </c>
      <c r="K502" t="n">
        <v>0</v>
      </c>
      <c r="L502" t="n">
        <v>0</v>
      </c>
      <c r="M502" t="n">
        <v>0</v>
      </c>
      <c r="N502" t="n">
        <v>0</v>
      </c>
      <c r="O502" t="n">
        <v>0</v>
      </c>
      <c r="P502" t="n">
        <v>0</v>
      </c>
      <c r="Q502" t="n">
        <v>0</v>
      </c>
      <c r="R502" s="2" t="inlineStr"/>
    </row>
    <row r="503" ht="15" customHeight="1">
      <c r="A503" t="inlineStr">
        <is>
          <t>A 40830-2025</t>
        </is>
      </c>
      <c r="B503" s="1" t="n">
        <v>45897.51079861111</v>
      </c>
      <c r="C503" s="1" t="n">
        <v>45986</v>
      </c>
      <c r="D503" t="inlineStr">
        <is>
          <t>VÄSTERNORRLANDS LÄN</t>
        </is>
      </c>
      <c r="E503" t="inlineStr">
        <is>
          <t>ÅNGE</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27853-2024</t>
        </is>
      </c>
      <c r="B504" s="1" t="n">
        <v>45475</v>
      </c>
      <c r="C504" s="1" t="n">
        <v>45986</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40872-2025</t>
        </is>
      </c>
      <c r="B505" s="1" t="n">
        <v>45897.574375</v>
      </c>
      <c r="C505" s="1" t="n">
        <v>45986</v>
      </c>
      <c r="D505" t="inlineStr">
        <is>
          <t>VÄSTERNORRLANDS LÄN</t>
        </is>
      </c>
      <c r="E505" t="inlineStr">
        <is>
          <t>ÅNGE</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40665-2025</t>
        </is>
      </c>
      <c r="B506" s="1" t="n">
        <v>45896.65663194445</v>
      </c>
      <c r="C506" s="1" t="n">
        <v>45986</v>
      </c>
      <c r="D506" t="inlineStr">
        <is>
          <t>VÄSTERNORRLANDS LÄN</t>
        </is>
      </c>
      <c r="E506" t="inlineStr">
        <is>
          <t>ÅNGE</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40898-2025</t>
        </is>
      </c>
      <c r="B507" s="1" t="n">
        <v>45897.61503472222</v>
      </c>
      <c r="C507" s="1" t="n">
        <v>45986</v>
      </c>
      <c r="D507" t="inlineStr">
        <is>
          <t>VÄSTERNORRLANDS LÄN</t>
        </is>
      </c>
      <c r="E507" t="inlineStr">
        <is>
          <t>ÅNGE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40899-2025</t>
        </is>
      </c>
      <c r="B508" s="1" t="n">
        <v>45897.61528935185</v>
      </c>
      <c r="C508" s="1" t="n">
        <v>45986</v>
      </c>
      <c r="D508" t="inlineStr">
        <is>
          <t>VÄSTERNORRLANDS LÄN</t>
        </is>
      </c>
      <c r="E508" t="inlineStr">
        <is>
          <t>ÅNGE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24847-2025</t>
        </is>
      </c>
      <c r="B509" s="1" t="n">
        <v>45799.46907407408</v>
      </c>
      <c r="C509" s="1" t="n">
        <v>45986</v>
      </c>
      <c r="D509" t="inlineStr">
        <is>
          <t>VÄSTERNORRLANDS LÄN</t>
        </is>
      </c>
      <c r="E509" t="inlineStr">
        <is>
          <t>ÅNGE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25017-2025</t>
        </is>
      </c>
      <c r="B510" s="1" t="n">
        <v>45799.63791666667</v>
      </c>
      <c r="C510" s="1" t="n">
        <v>45986</v>
      </c>
      <c r="D510" t="inlineStr">
        <is>
          <t>VÄSTERNORRLANDS LÄN</t>
        </is>
      </c>
      <c r="E510" t="inlineStr">
        <is>
          <t>ÅNGE</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41179-2025</t>
        </is>
      </c>
      <c r="B511" s="1" t="n">
        <v>45898.55277777778</v>
      </c>
      <c r="C511" s="1" t="n">
        <v>45986</v>
      </c>
      <c r="D511" t="inlineStr">
        <is>
          <t>VÄSTERNORRLANDS LÄN</t>
        </is>
      </c>
      <c r="E511" t="inlineStr">
        <is>
          <t>ÅNGE</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41173-2025</t>
        </is>
      </c>
      <c r="B512" s="1" t="n">
        <v>45898</v>
      </c>
      <c r="C512" s="1" t="n">
        <v>45986</v>
      </c>
      <c r="D512" t="inlineStr">
        <is>
          <t>VÄSTERNORRLANDS LÄN</t>
        </is>
      </c>
      <c r="E512" t="inlineStr">
        <is>
          <t>ÅNGE</t>
        </is>
      </c>
      <c r="G512" t="n">
        <v>3.6</v>
      </c>
      <c r="H512" t="n">
        <v>0</v>
      </c>
      <c r="I512" t="n">
        <v>0</v>
      </c>
      <c r="J512" t="n">
        <v>0</v>
      </c>
      <c r="K512" t="n">
        <v>0</v>
      </c>
      <c r="L512" t="n">
        <v>0</v>
      </c>
      <c r="M512" t="n">
        <v>0</v>
      </c>
      <c r="N512" t="n">
        <v>0</v>
      </c>
      <c r="O512" t="n">
        <v>0</v>
      </c>
      <c r="P512" t="n">
        <v>0</v>
      </c>
      <c r="Q512" t="n">
        <v>0</v>
      </c>
      <c r="R512" s="2" t="inlineStr"/>
    </row>
    <row r="513" ht="15" customHeight="1">
      <c r="A513" t="inlineStr">
        <is>
          <t>A 41355-2025</t>
        </is>
      </c>
      <c r="B513" s="1" t="n">
        <v>45900.34425925926</v>
      </c>
      <c r="C513" s="1" t="n">
        <v>45986</v>
      </c>
      <c r="D513" t="inlineStr">
        <is>
          <t>VÄSTERNORRLANDS LÄN</t>
        </is>
      </c>
      <c r="E513" t="inlineStr">
        <is>
          <t>ÅNGE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30054-2024</t>
        </is>
      </c>
      <c r="B514" s="1" t="n">
        <v>45488.94758101852</v>
      </c>
      <c r="C514" s="1" t="n">
        <v>45986</v>
      </c>
      <c r="D514" t="inlineStr">
        <is>
          <t>VÄSTERNORRLANDS LÄN</t>
        </is>
      </c>
      <c r="E514" t="inlineStr">
        <is>
          <t>ÅNGE</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24852-2025</t>
        </is>
      </c>
      <c r="B515" s="1" t="n">
        <v>45799.46975694445</v>
      </c>
      <c r="C515" s="1" t="n">
        <v>45986</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43622-2023</t>
        </is>
      </c>
      <c r="B516" s="1" t="n">
        <v>45184.70777777778</v>
      </c>
      <c r="C516" s="1" t="n">
        <v>45986</v>
      </c>
      <c r="D516" t="inlineStr">
        <is>
          <t>VÄSTERNORRLANDS LÄN</t>
        </is>
      </c>
      <c r="E516" t="inlineStr">
        <is>
          <t>ÅNGE</t>
        </is>
      </c>
      <c r="F516" t="inlineStr">
        <is>
          <t>Holmen skog AB</t>
        </is>
      </c>
      <c r="G516" t="n">
        <v>5.9</v>
      </c>
      <c r="H516" t="n">
        <v>0</v>
      </c>
      <c r="I516" t="n">
        <v>0</v>
      </c>
      <c r="J516" t="n">
        <v>0</v>
      </c>
      <c r="K516" t="n">
        <v>0</v>
      </c>
      <c r="L516" t="n">
        <v>0</v>
      </c>
      <c r="M516" t="n">
        <v>0</v>
      </c>
      <c r="N516" t="n">
        <v>0</v>
      </c>
      <c r="O516" t="n">
        <v>0</v>
      </c>
      <c r="P516" t="n">
        <v>0</v>
      </c>
      <c r="Q516" t="n">
        <v>0</v>
      </c>
      <c r="R516" s="2" t="inlineStr"/>
    </row>
    <row r="517" ht="15" customHeight="1">
      <c r="A517" t="inlineStr">
        <is>
          <t>A 42857-2022</t>
        </is>
      </c>
      <c r="B517" s="1" t="n">
        <v>44832</v>
      </c>
      <c r="C517" s="1" t="n">
        <v>45986</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25067-2025</t>
        </is>
      </c>
      <c r="B518" s="1" t="n">
        <v>45799.71908564815</v>
      </c>
      <c r="C518" s="1" t="n">
        <v>45986</v>
      </c>
      <c r="D518" t="inlineStr">
        <is>
          <t>VÄSTERNORRLANDS LÄN</t>
        </is>
      </c>
      <c r="E518" t="inlineStr">
        <is>
          <t>ÅNGE</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29390-2021</t>
        </is>
      </c>
      <c r="B519" s="1" t="n">
        <v>44361</v>
      </c>
      <c r="C519" s="1" t="n">
        <v>45986</v>
      </c>
      <c r="D519" t="inlineStr">
        <is>
          <t>VÄSTERNORRLANDS LÄN</t>
        </is>
      </c>
      <c r="E519" t="inlineStr">
        <is>
          <t>ÅNGE</t>
        </is>
      </c>
      <c r="F519" t="inlineStr">
        <is>
          <t>Holmen skog AB</t>
        </is>
      </c>
      <c r="G519" t="n">
        <v>1.7</v>
      </c>
      <c r="H519" t="n">
        <v>0</v>
      </c>
      <c r="I519" t="n">
        <v>0</v>
      </c>
      <c r="J519" t="n">
        <v>0</v>
      </c>
      <c r="K519" t="n">
        <v>0</v>
      </c>
      <c r="L519" t="n">
        <v>0</v>
      </c>
      <c r="M519" t="n">
        <v>0</v>
      </c>
      <c r="N519" t="n">
        <v>0</v>
      </c>
      <c r="O519" t="n">
        <v>0</v>
      </c>
      <c r="P519" t="n">
        <v>0</v>
      </c>
      <c r="Q519" t="n">
        <v>0</v>
      </c>
      <c r="R519" s="2" t="inlineStr"/>
    </row>
    <row r="520" ht="15" customHeight="1">
      <c r="A520" t="inlineStr">
        <is>
          <t>A 36877-2024</t>
        </is>
      </c>
      <c r="B520" s="1" t="n">
        <v>45538.59418981482</v>
      </c>
      <c r="C520" s="1" t="n">
        <v>45986</v>
      </c>
      <c r="D520" t="inlineStr">
        <is>
          <t>VÄSTERNORRLANDS LÄN</t>
        </is>
      </c>
      <c r="E520" t="inlineStr">
        <is>
          <t>ÅNGE</t>
        </is>
      </c>
      <c r="G520" t="n">
        <v>3.3</v>
      </c>
      <c r="H520" t="n">
        <v>0</v>
      </c>
      <c r="I520" t="n">
        <v>0</v>
      </c>
      <c r="J520" t="n">
        <v>0</v>
      </c>
      <c r="K520" t="n">
        <v>0</v>
      </c>
      <c r="L520" t="n">
        <v>0</v>
      </c>
      <c r="M520" t="n">
        <v>0</v>
      </c>
      <c r="N520" t="n">
        <v>0</v>
      </c>
      <c r="O520" t="n">
        <v>0</v>
      </c>
      <c r="P520" t="n">
        <v>0</v>
      </c>
      <c r="Q520" t="n">
        <v>0</v>
      </c>
      <c r="R520" s="2" t="inlineStr"/>
    </row>
    <row r="521" ht="15" customHeight="1">
      <c r="A521" t="inlineStr">
        <is>
          <t>A 25352-2025</t>
        </is>
      </c>
      <c r="B521" s="1" t="n">
        <v>45800.61552083334</v>
      </c>
      <c r="C521" s="1" t="n">
        <v>45986</v>
      </c>
      <c r="D521" t="inlineStr">
        <is>
          <t>VÄSTERNORRLANDS LÄN</t>
        </is>
      </c>
      <c r="E521" t="inlineStr">
        <is>
          <t>ÅNGE</t>
        </is>
      </c>
      <c r="F521" t="inlineStr">
        <is>
          <t>SCA</t>
        </is>
      </c>
      <c r="G521" t="n">
        <v>6.3</v>
      </c>
      <c r="H521" t="n">
        <v>0</v>
      </c>
      <c r="I521" t="n">
        <v>0</v>
      </c>
      <c r="J521" t="n">
        <v>0</v>
      </c>
      <c r="K521" t="n">
        <v>0</v>
      </c>
      <c r="L521" t="n">
        <v>0</v>
      </c>
      <c r="M521" t="n">
        <v>0</v>
      </c>
      <c r="N521" t="n">
        <v>0</v>
      </c>
      <c r="O521" t="n">
        <v>0</v>
      </c>
      <c r="P521" t="n">
        <v>0</v>
      </c>
      <c r="Q521" t="n">
        <v>0</v>
      </c>
      <c r="R521" s="2" t="inlineStr"/>
    </row>
    <row r="522" ht="15" customHeight="1">
      <c r="A522" t="inlineStr">
        <is>
          <t>A 53651-2023</t>
        </is>
      </c>
      <c r="B522" s="1" t="n">
        <v>45230.60815972222</v>
      </c>
      <c r="C522" s="1" t="n">
        <v>45986</v>
      </c>
      <c r="D522" t="inlineStr">
        <is>
          <t>VÄSTERNORRLANDS LÄN</t>
        </is>
      </c>
      <c r="E522" t="inlineStr">
        <is>
          <t>ÅNGE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25340-2025</t>
        </is>
      </c>
      <c r="B523" s="1" t="n">
        <v>45800.60074074074</v>
      </c>
      <c r="C523" s="1" t="n">
        <v>45986</v>
      </c>
      <c r="D523" t="inlineStr">
        <is>
          <t>VÄSTERNORRLANDS LÄN</t>
        </is>
      </c>
      <c r="E523" t="inlineStr">
        <is>
          <t>ÅNGE</t>
        </is>
      </c>
      <c r="G523" t="n">
        <v>2.7</v>
      </c>
      <c r="H523" t="n">
        <v>0</v>
      </c>
      <c r="I523" t="n">
        <v>0</v>
      </c>
      <c r="J523" t="n">
        <v>0</v>
      </c>
      <c r="K523" t="n">
        <v>0</v>
      </c>
      <c r="L523" t="n">
        <v>0</v>
      </c>
      <c r="M523" t="n">
        <v>0</v>
      </c>
      <c r="N523" t="n">
        <v>0</v>
      </c>
      <c r="O523" t="n">
        <v>0</v>
      </c>
      <c r="P523" t="n">
        <v>0</v>
      </c>
      <c r="Q523" t="n">
        <v>0</v>
      </c>
      <c r="R523" s="2" t="inlineStr"/>
    </row>
    <row r="524" ht="15" customHeight="1">
      <c r="A524" t="inlineStr">
        <is>
          <t>A 25532-2025</t>
        </is>
      </c>
      <c r="B524" s="1" t="n">
        <v>45803.4065162037</v>
      </c>
      <c r="C524" s="1" t="n">
        <v>45986</v>
      </c>
      <c r="D524" t="inlineStr">
        <is>
          <t>VÄSTERNORRLANDS LÄN</t>
        </is>
      </c>
      <c r="E524" t="inlineStr">
        <is>
          <t>ÅNGE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25499-2025</t>
        </is>
      </c>
      <c r="B525" s="1" t="n">
        <v>45803.344375</v>
      </c>
      <c r="C525" s="1" t="n">
        <v>45986</v>
      </c>
      <c r="D525" t="inlineStr">
        <is>
          <t>VÄSTERNORRLANDS LÄN</t>
        </is>
      </c>
      <c r="E525" t="inlineStr">
        <is>
          <t>ÅNGE</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41872-2025</t>
        </is>
      </c>
      <c r="B526" s="1" t="n">
        <v>45903.34497685185</v>
      </c>
      <c r="C526" s="1" t="n">
        <v>45986</v>
      </c>
      <c r="D526" t="inlineStr">
        <is>
          <t>VÄSTERNORRLANDS LÄN</t>
        </is>
      </c>
      <c r="E526" t="inlineStr">
        <is>
          <t>ÅNGE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6-2025</t>
        </is>
      </c>
      <c r="B527" s="1" t="n">
        <v>45658.50759259259</v>
      </c>
      <c r="C527" s="1" t="n">
        <v>45986</v>
      </c>
      <c r="D527" t="inlineStr">
        <is>
          <t>VÄSTERNORRLANDS LÄN</t>
        </is>
      </c>
      <c r="E527" t="inlineStr">
        <is>
          <t>ÅNGE</t>
        </is>
      </c>
      <c r="G527" t="n">
        <v>4.3</v>
      </c>
      <c r="H527" t="n">
        <v>0</v>
      </c>
      <c r="I527" t="n">
        <v>0</v>
      </c>
      <c r="J527" t="n">
        <v>0</v>
      </c>
      <c r="K527" t="n">
        <v>0</v>
      </c>
      <c r="L527" t="n">
        <v>0</v>
      </c>
      <c r="M527" t="n">
        <v>0</v>
      </c>
      <c r="N527" t="n">
        <v>0</v>
      </c>
      <c r="O527" t="n">
        <v>0</v>
      </c>
      <c r="P527" t="n">
        <v>0</v>
      </c>
      <c r="Q527" t="n">
        <v>0</v>
      </c>
      <c r="R527" s="2" t="inlineStr"/>
    </row>
    <row r="528" ht="15" customHeight="1">
      <c r="A528" t="inlineStr">
        <is>
          <t>A 41870-2025</t>
        </is>
      </c>
      <c r="B528" s="1" t="n">
        <v>45903.3446412037</v>
      </c>
      <c r="C528" s="1" t="n">
        <v>45986</v>
      </c>
      <c r="D528" t="inlineStr">
        <is>
          <t>VÄSTERNORRLANDS LÄN</t>
        </is>
      </c>
      <c r="E528" t="inlineStr">
        <is>
          <t>ÅNGE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25274-2025</t>
        </is>
      </c>
      <c r="B529" s="1" t="n">
        <v>45800.55276620371</v>
      </c>
      <c r="C529" s="1" t="n">
        <v>45986</v>
      </c>
      <c r="D529" t="inlineStr">
        <is>
          <t>VÄSTERNORRLANDS LÄN</t>
        </is>
      </c>
      <c r="E529" t="inlineStr">
        <is>
          <t>ÅNGE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50460-2025</t>
        </is>
      </c>
      <c r="B530" s="1" t="n">
        <v>45945.345</v>
      </c>
      <c r="C530" s="1" t="n">
        <v>45986</v>
      </c>
      <c r="D530" t="inlineStr">
        <is>
          <t>VÄSTERNORRLANDS LÄN</t>
        </is>
      </c>
      <c r="E530" t="inlineStr">
        <is>
          <t>ÅNGE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25241-2025</t>
        </is>
      </c>
      <c r="B531" s="1" t="n">
        <v>45800.49053240741</v>
      </c>
      <c r="C531" s="1" t="n">
        <v>45986</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50571-2025</t>
        </is>
      </c>
      <c r="B532" s="1" t="n">
        <v>45945.57443287037</v>
      </c>
      <c r="C532" s="1" t="n">
        <v>45986</v>
      </c>
      <c r="D532" t="inlineStr">
        <is>
          <t>VÄSTERNORRLANDS LÄN</t>
        </is>
      </c>
      <c r="E532" t="inlineStr">
        <is>
          <t>ÅNGE</t>
        </is>
      </c>
      <c r="G532" t="n">
        <v>2.5</v>
      </c>
      <c r="H532" t="n">
        <v>0</v>
      </c>
      <c r="I532" t="n">
        <v>0</v>
      </c>
      <c r="J532" t="n">
        <v>0</v>
      </c>
      <c r="K532" t="n">
        <v>0</v>
      </c>
      <c r="L532" t="n">
        <v>0</v>
      </c>
      <c r="M532" t="n">
        <v>0</v>
      </c>
      <c r="N532" t="n">
        <v>0</v>
      </c>
      <c r="O532" t="n">
        <v>0</v>
      </c>
      <c r="P532" t="n">
        <v>0</v>
      </c>
      <c r="Q532" t="n">
        <v>0</v>
      </c>
      <c r="R532" s="2" t="inlineStr"/>
    </row>
    <row r="533" ht="15" customHeight="1">
      <c r="A533" t="inlineStr">
        <is>
          <t>A 24232-2024</t>
        </is>
      </c>
      <c r="B533" s="1" t="n">
        <v>45457.34686342593</v>
      </c>
      <c r="C533" s="1" t="n">
        <v>45986</v>
      </c>
      <c r="D533" t="inlineStr">
        <is>
          <t>VÄSTERNORRLANDS LÄN</t>
        </is>
      </c>
      <c r="E533" t="inlineStr">
        <is>
          <t>ÅNGE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31863-2024</t>
        </is>
      </c>
      <c r="B534" s="1" t="n">
        <v>45509.74121527778</v>
      </c>
      <c r="C534" s="1" t="n">
        <v>45986</v>
      </c>
      <c r="D534" t="inlineStr">
        <is>
          <t>VÄSTERNORRLANDS LÄN</t>
        </is>
      </c>
      <c r="E534" t="inlineStr">
        <is>
          <t>ÅNGE</t>
        </is>
      </c>
      <c r="G534" t="n">
        <v>4.5</v>
      </c>
      <c r="H534" t="n">
        <v>0</v>
      </c>
      <c r="I534" t="n">
        <v>0</v>
      </c>
      <c r="J534" t="n">
        <v>0</v>
      </c>
      <c r="K534" t="n">
        <v>0</v>
      </c>
      <c r="L534" t="n">
        <v>0</v>
      </c>
      <c r="M534" t="n">
        <v>0</v>
      </c>
      <c r="N534" t="n">
        <v>0</v>
      </c>
      <c r="O534" t="n">
        <v>0</v>
      </c>
      <c r="P534" t="n">
        <v>0</v>
      </c>
      <c r="Q534" t="n">
        <v>0</v>
      </c>
      <c r="R534" s="2" t="inlineStr"/>
    </row>
    <row r="535" ht="15" customHeight="1">
      <c r="A535" t="inlineStr">
        <is>
          <t>A 31325-2022</t>
        </is>
      </c>
      <c r="B535" s="1" t="n">
        <v>44774.41421296296</v>
      </c>
      <c r="C535" s="1" t="n">
        <v>45986</v>
      </c>
      <c r="D535" t="inlineStr">
        <is>
          <t>VÄSTERNORRLANDS LÄN</t>
        </is>
      </c>
      <c r="E535" t="inlineStr">
        <is>
          <t>ÅNGE</t>
        </is>
      </c>
      <c r="G535" t="n">
        <v>6.3</v>
      </c>
      <c r="H535" t="n">
        <v>0</v>
      </c>
      <c r="I535" t="n">
        <v>0</v>
      </c>
      <c r="J535" t="n">
        <v>0</v>
      </c>
      <c r="K535" t="n">
        <v>0</v>
      </c>
      <c r="L535" t="n">
        <v>0</v>
      </c>
      <c r="M535" t="n">
        <v>0</v>
      </c>
      <c r="N535" t="n">
        <v>0</v>
      </c>
      <c r="O535" t="n">
        <v>0</v>
      </c>
      <c r="P535" t="n">
        <v>0</v>
      </c>
      <c r="Q535" t="n">
        <v>0</v>
      </c>
      <c r="R535" s="2" t="inlineStr"/>
    </row>
    <row r="536" ht="15" customHeight="1">
      <c r="A536" t="inlineStr">
        <is>
          <t>A 50291-2025</t>
        </is>
      </c>
      <c r="B536" s="1" t="n">
        <v>45944.40677083333</v>
      </c>
      <c r="C536" s="1" t="n">
        <v>45986</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25273-2025</t>
        </is>
      </c>
      <c r="B537" s="1" t="n">
        <v>45800.55253472222</v>
      </c>
      <c r="C537" s="1" t="n">
        <v>45986</v>
      </c>
      <c r="D537" t="inlineStr">
        <is>
          <t>VÄSTERNORRLANDS LÄN</t>
        </is>
      </c>
      <c r="E537" t="inlineStr">
        <is>
          <t>ÅNGE</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25332-2025</t>
        </is>
      </c>
      <c r="B538" s="1" t="n">
        <v>45800.59418981482</v>
      </c>
      <c r="C538" s="1" t="n">
        <v>45986</v>
      </c>
      <c r="D538" t="inlineStr">
        <is>
          <t>VÄSTERNORRLANDS LÄN</t>
        </is>
      </c>
      <c r="E538" t="inlineStr">
        <is>
          <t>ÅNGE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25772-2025</t>
        </is>
      </c>
      <c r="B539" s="1" t="n">
        <v>45804.34520833333</v>
      </c>
      <c r="C539" s="1" t="n">
        <v>45986</v>
      </c>
      <c r="D539" t="inlineStr">
        <is>
          <t>VÄSTERNORRLANDS LÄN</t>
        </is>
      </c>
      <c r="E539" t="inlineStr">
        <is>
          <t>ÅNGE</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21262-2025</t>
        </is>
      </c>
      <c r="B540" s="1" t="n">
        <v>45779</v>
      </c>
      <c r="C540" s="1" t="n">
        <v>45986</v>
      </c>
      <c r="D540" t="inlineStr">
        <is>
          <t>VÄSTERNORRLANDS LÄN</t>
        </is>
      </c>
      <c r="E540" t="inlineStr">
        <is>
          <t>ÅNGE</t>
        </is>
      </c>
      <c r="F540" t="inlineStr">
        <is>
          <t>Sveaskog</t>
        </is>
      </c>
      <c r="G540" t="n">
        <v>9</v>
      </c>
      <c r="H540" t="n">
        <v>0</v>
      </c>
      <c r="I540" t="n">
        <v>0</v>
      </c>
      <c r="J540" t="n">
        <v>0</v>
      </c>
      <c r="K540" t="n">
        <v>0</v>
      </c>
      <c r="L540" t="n">
        <v>0</v>
      </c>
      <c r="M540" t="n">
        <v>0</v>
      </c>
      <c r="N540" t="n">
        <v>0</v>
      </c>
      <c r="O540" t="n">
        <v>0</v>
      </c>
      <c r="P540" t="n">
        <v>0</v>
      </c>
      <c r="Q540" t="n">
        <v>0</v>
      </c>
      <c r="R540" s="2" t="inlineStr"/>
    </row>
    <row r="541" ht="15" customHeight="1">
      <c r="A541" t="inlineStr">
        <is>
          <t>A 5035-2025</t>
        </is>
      </c>
      <c r="B541" s="1" t="n">
        <v>45691</v>
      </c>
      <c r="C541" s="1" t="n">
        <v>45986</v>
      </c>
      <c r="D541" t="inlineStr">
        <is>
          <t>VÄSTERNORRLANDS LÄN</t>
        </is>
      </c>
      <c r="E541" t="inlineStr">
        <is>
          <t>ÅNGE</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50767-2025</t>
        </is>
      </c>
      <c r="B542" s="1" t="n">
        <v>45946</v>
      </c>
      <c r="C542" s="1" t="n">
        <v>45986</v>
      </c>
      <c r="D542" t="inlineStr">
        <is>
          <t>VÄSTERNORRLANDS LÄN</t>
        </is>
      </c>
      <c r="E542" t="inlineStr">
        <is>
          <t>ÅNGE</t>
        </is>
      </c>
      <c r="G542" t="n">
        <v>0.7</v>
      </c>
      <c r="H542" t="n">
        <v>0</v>
      </c>
      <c r="I542" t="n">
        <v>0</v>
      </c>
      <c r="J542" t="n">
        <v>0</v>
      </c>
      <c r="K542" t="n">
        <v>0</v>
      </c>
      <c r="L542" t="n">
        <v>0</v>
      </c>
      <c r="M542" t="n">
        <v>0</v>
      </c>
      <c r="N542" t="n">
        <v>0</v>
      </c>
      <c r="O542" t="n">
        <v>0</v>
      </c>
      <c r="P542" t="n">
        <v>0</v>
      </c>
      <c r="Q542" t="n">
        <v>0</v>
      </c>
      <c r="R542" s="2" t="inlineStr"/>
    </row>
    <row r="543" ht="15" customHeight="1">
      <c r="A543" t="inlineStr">
        <is>
          <t>A 22411-2023</t>
        </is>
      </c>
      <c r="B543" s="1" t="n">
        <v>45070</v>
      </c>
      <c r="C543" s="1" t="n">
        <v>45986</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21456-2025</t>
        </is>
      </c>
      <c r="B544" s="1" t="n">
        <v>45782.55342592593</v>
      </c>
      <c r="C544" s="1" t="n">
        <v>45986</v>
      </c>
      <c r="D544" t="inlineStr">
        <is>
          <t>VÄSTERNORRLANDS LÄN</t>
        </is>
      </c>
      <c r="E544" t="inlineStr">
        <is>
          <t>ÅNGE</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42589-2025</t>
        </is>
      </c>
      <c r="B545" s="1" t="n">
        <v>45905.63585648148</v>
      </c>
      <c r="C545" s="1" t="n">
        <v>45986</v>
      </c>
      <c r="D545" t="inlineStr">
        <is>
          <t>VÄSTERNORRLANDS LÄN</t>
        </is>
      </c>
      <c r="E545" t="inlineStr">
        <is>
          <t>ÅNGE</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9619-2021</t>
        </is>
      </c>
      <c r="B546" s="1" t="n">
        <v>44251</v>
      </c>
      <c r="C546" s="1" t="n">
        <v>45986</v>
      </c>
      <c r="D546" t="inlineStr">
        <is>
          <t>VÄSTERNORRLANDS LÄN</t>
        </is>
      </c>
      <c r="E546" t="inlineStr">
        <is>
          <t>ÅNGE</t>
        </is>
      </c>
      <c r="G546" t="n">
        <v>10.4</v>
      </c>
      <c r="H546" t="n">
        <v>0</v>
      </c>
      <c r="I546" t="n">
        <v>0</v>
      </c>
      <c r="J546" t="n">
        <v>0</v>
      </c>
      <c r="K546" t="n">
        <v>0</v>
      </c>
      <c r="L546" t="n">
        <v>0</v>
      </c>
      <c r="M546" t="n">
        <v>0</v>
      </c>
      <c r="N546" t="n">
        <v>0</v>
      </c>
      <c r="O546" t="n">
        <v>0</v>
      </c>
      <c r="P546" t="n">
        <v>0</v>
      </c>
      <c r="Q546" t="n">
        <v>0</v>
      </c>
      <c r="R546" s="2" t="inlineStr"/>
    </row>
    <row r="547" ht="15" customHeight="1">
      <c r="A547" t="inlineStr">
        <is>
          <t>A 15863-2022</t>
        </is>
      </c>
      <c r="B547" s="1" t="n">
        <v>44664</v>
      </c>
      <c r="C547" s="1" t="n">
        <v>45986</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50769-2025</t>
        </is>
      </c>
      <c r="B548" s="1" t="n">
        <v>45946.44864583333</v>
      </c>
      <c r="C548" s="1" t="n">
        <v>45986</v>
      </c>
      <c r="D548" t="inlineStr">
        <is>
          <t>VÄSTERNORRLANDS LÄN</t>
        </is>
      </c>
      <c r="E548" t="inlineStr">
        <is>
          <t>ÅNGE</t>
        </is>
      </c>
      <c r="G548" t="n">
        <v>3.4</v>
      </c>
      <c r="H548" t="n">
        <v>0</v>
      </c>
      <c r="I548" t="n">
        <v>0</v>
      </c>
      <c r="J548" t="n">
        <v>0</v>
      </c>
      <c r="K548" t="n">
        <v>0</v>
      </c>
      <c r="L548" t="n">
        <v>0</v>
      </c>
      <c r="M548" t="n">
        <v>0</v>
      </c>
      <c r="N548" t="n">
        <v>0</v>
      </c>
      <c r="O548" t="n">
        <v>0</v>
      </c>
      <c r="P548" t="n">
        <v>0</v>
      </c>
      <c r="Q548" t="n">
        <v>0</v>
      </c>
      <c r="R548" s="2" t="inlineStr"/>
    </row>
    <row r="549" ht="15" customHeight="1">
      <c r="A549" t="inlineStr">
        <is>
          <t>A 16606-2023</t>
        </is>
      </c>
      <c r="B549" s="1" t="n">
        <v>45030.3990625</v>
      </c>
      <c r="C549" s="1" t="n">
        <v>45986</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25810-2025</t>
        </is>
      </c>
      <c r="B550" s="1" t="n">
        <v>45804.42083333333</v>
      </c>
      <c r="C550" s="1" t="n">
        <v>45986</v>
      </c>
      <c r="D550" t="inlineStr">
        <is>
          <t>VÄSTERNORRLANDS LÄN</t>
        </is>
      </c>
      <c r="E550" t="inlineStr">
        <is>
          <t>ÅNGE</t>
        </is>
      </c>
      <c r="G550" t="n">
        <v>6.2</v>
      </c>
      <c r="H550" t="n">
        <v>0</v>
      </c>
      <c r="I550" t="n">
        <v>0</v>
      </c>
      <c r="J550" t="n">
        <v>0</v>
      </c>
      <c r="K550" t="n">
        <v>0</v>
      </c>
      <c r="L550" t="n">
        <v>0</v>
      </c>
      <c r="M550" t="n">
        <v>0</v>
      </c>
      <c r="N550" t="n">
        <v>0</v>
      </c>
      <c r="O550" t="n">
        <v>0</v>
      </c>
      <c r="P550" t="n">
        <v>0</v>
      </c>
      <c r="Q550" t="n">
        <v>0</v>
      </c>
      <c r="R550" s="2" t="inlineStr"/>
    </row>
    <row r="551" ht="15" customHeight="1">
      <c r="A551" t="inlineStr">
        <is>
          <t>A 60368-2024</t>
        </is>
      </c>
      <c r="B551" s="1" t="n">
        <v>45643</v>
      </c>
      <c r="C551" s="1" t="n">
        <v>45986</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9382-2025</t>
        </is>
      </c>
      <c r="B552" s="1" t="n">
        <v>45715.34425925926</v>
      </c>
      <c r="C552" s="1" t="n">
        <v>45986</v>
      </c>
      <c r="D552" t="inlineStr">
        <is>
          <t>VÄSTERNORRLANDS LÄN</t>
        </is>
      </c>
      <c r="E552" t="inlineStr">
        <is>
          <t>ÅNGE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56434-2021</t>
        </is>
      </c>
      <c r="B553" s="1" t="n">
        <v>44477</v>
      </c>
      <c r="C553" s="1" t="n">
        <v>45986</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51109-2025</t>
        </is>
      </c>
      <c r="B554" s="1" t="n">
        <v>45947.50263888889</v>
      </c>
      <c r="C554" s="1" t="n">
        <v>45986</v>
      </c>
      <c r="D554" t="inlineStr">
        <is>
          <t>VÄSTERNORRLANDS LÄN</t>
        </is>
      </c>
      <c r="E554" t="inlineStr">
        <is>
          <t>ÅNGE</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18067-2025</t>
        </is>
      </c>
      <c r="B555" s="1" t="n">
        <v>45761.49016203704</v>
      </c>
      <c r="C555" s="1" t="n">
        <v>45986</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26193-2025</t>
        </is>
      </c>
      <c r="B556" s="1" t="n">
        <v>45805.48922453704</v>
      </c>
      <c r="C556" s="1" t="n">
        <v>45986</v>
      </c>
      <c r="D556" t="inlineStr">
        <is>
          <t>VÄSTERNORRLANDS LÄN</t>
        </is>
      </c>
      <c r="E556" t="inlineStr">
        <is>
          <t>ÅNGE</t>
        </is>
      </c>
      <c r="G556" t="n">
        <v>2.3</v>
      </c>
      <c r="H556" t="n">
        <v>0</v>
      </c>
      <c r="I556" t="n">
        <v>0</v>
      </c>
      <c r="J556" t="n">
        <v>0</v>
      </c>
      <c r="K556" t="n">
        <v>0</v>
      </c>
      <c r="L556" t="n">
        <v>0</v>
      </c>
      <c r="M556" t="n">
        <v>0</v>
      </c>
      <c r="N556" t="n">
        <v>0</v>
      </c>
      <c r="O556" t="n">
        <v>0</v>
      </c>
      <c r="P556" t="n">
        <v>0</v>
      </c>
      <c r="Q556" t="n">
        <v>0</v>
      </c>
      <c r="R556" s="2" t="inlineStr"/>
    </row>
    <row r="557" ht="15" customHeight="1">
      <c r="A557" t="inlineStr">
        <is>
          <t>A 11396-2024</t>
        </is>
      </c>
      <c r="B557" s="1" t="n">
        <v>45372</v>
      </c>
      <c r="C557" s="1" t="n">
        <v>45986</v>
      </c>
      <c r="D557" t="inlineStr">
        <is>
          <t>VÄSTERNORRLANDS LÄN</t>
        </is>
      </c>
      <c r="E557" t="inlineStr">
        <is>
          <t>ÅNGE</t>
        </is>
      </c>
      <c r="G557" t="n">
        <v>2.2</v>
      </c>
      <c r="H557" t="n">
        <v>0</v>
      </c>
      <c r="I557" t="n">
        <v>0</v>
      </c>
      <c r="J557" t="n">
        <v>0</v>
      </c>
      <c r="K557" t="n">
        <v>0</v>
      </c>
      <c r="L557" t="n">
        <v>0</v>
      </c>
      <c r="M557" t="n">
        <v>0</v>
      </c>
      <c r="N557" t="n">
        <v>0</v>
      </c>
      <c r="O557" t="n">
        <v>0</v>
      </c>
      <c r="P557" t="n">
        <v>0</v>
      </c>
      <c r="Q557" t="n">
        <v>0</v>
      </c>
      <c r="R557" s="2" t="inlineStr"/>
    </row>
    <row r="558" ht="15" customHeight="1">
      <c r="A558" t="inlineStr">
        <is>
          <t>A 15778-2025</t>
        </is>
      </c>
      <c r="B558" s="1" t="n">
        <v>45748.60030092593</v>
      </c>
      <c r="C558" s="1" t="n">
        <v>45986</v>
      </c>
      <c r="D558" t="inlineStr">
        <is>
          <t>VÄSTERNORRLANDS LÄN</t>
        </is>
      </c>
      <c r="E558" t="inlineStr">
        <is>
          <t>ÅNGE</t>
        </is>
      </c>
      <c r="F558" t="inlineStr">
        <is>
          <t>SCA</t>
        </is>
      </c>
      <c r="G558" t="n">
        <v>13.6</v>
      </c>
      <c r="H558" t="n">
        <v>0</v>
      </c>
      <c r="I558" t="n">
        <v>0</v>
      </c>
      <c r="J558" t="n">
        <v>0</v>
      </c>
      <c r="K558" t="n">
        <v>0</v>
      </c>
      <c r="L558" t="n">
        <v>0</v>
      </c>
      <c r="M558" t="n">
        <v>0</v>
      </c>
      <c r="N558" t="n">
        <v>0</v>
      </c>
      <c r="O558" t="n">
        <v>0</v>
      </c>
      <c r="P558" t="n">
        <v>0</v>
      </c>
      <c r="Q558" t="n">
        <v>0</v>
      </c>
      <c r="R558" s="2" t="inlineStr"/>
    </row>
    <row r="559" ht="15" customHeight="1">
      <c r="A559" t="inlineStr">
        <is>
          <t>A 39764-2024</t>
        </is>
      </c>
      <c r="B559" s="1" t="n">
        <v>45552.7190162037</v>
      </c>
      <c r="C559" s="1" t="n">
        <v>45986</v>
      </c>
      <c r="D559" t="inlineStr">
        <is>
          <t>VÄSTERNORRLANDS LÄN</t>
        </is>
      </c>
      <c r="E559" t="inlineStr">
        <is>
          <t>ÅNGE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42786-2025</t>
        </is>
      </c>
      <c r="B560" s="1" t="n">
        <v>45908.51097222222</v>
      </c>
      <c r="C560" s="1" t="n">
        <v>45986</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26365-2025</t>
        </is>
      </c>
      <c r="B561" s="1" t="n">
        <v>45806.34412037037</v>
      </c>
      <c r="C561" s="1" t="n">
        <v>45986</v>
      </c>
      <c r="D561" t="inlineStr">
        <is>
          <t>VÄSTERNORRLANDS LÄN</t>
        </is>
      </c>
      <c r="E561" t="inlineStr">
        <is>
          <t>ÅNGE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42863-2025</t>
        </is>
      </c>
      <c r="B562" s="1" t="n">
        <v>45908.61527777778</v>
      </c>
      <c r="C562" s="1" t="n">
        <v>45986</v>
      </c>
      <c r="D562" t="inlineStr">
        <is>
          <t>VÄSTERNORRLANDS LÄN</t>
        </is>
      </c>
      <c r="E562" t="inlineStr">
        <is>
          <t>ÅNGE</t>
        </is>
      </c>
      <c r="G562" t="n">
        <v>1.1</v>
      </c>
      <c r="H562" t="n">
        <v>0</v>
      </c>
      <c r="I562" t="n">
        <v>0</v>
      </c>
      <c r="J562" t="n">
        <v>0</v>
      </c>
      <c r="K562" t="n">
        <v>0</v>
      </c>
      <c r="L562" t="n">
        <v>0</v>
      </c>
      <c r="M562" t="n">
        <v>0</v>
      </c>
      <c r="N562" t="n">
        <v>0</v>
      </c>
      <c r="O562" t="n">
        <v>0</v>
      </c>
      <c r="P562" t="n">
        <v>0</v>
      </c>
      <c r="Q562" t="n">
        <v>0</v>
      </c>
      <c r="R562" s="2" t="inlineStr"/>
    </row>
    <row r="563" ht="15" customHeight="1">
      <c r="A563" t="inlineStr">
        <is>
          <t>A 51370-2025</t>
        </is>
      </c>
      <c r="B563" s="1" t="n">
        <v>45950.44818287037</v>
      </c>
      <c r="C563" s="1" t="n">
        <v>45986</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42785-2025</t>
        </is>
      </c>
      <c r="B564" s="1" t="n">
        <v>45908.51083333333</v>
      </c>
      <c r="C564" s="1" t="n">
        <v>45986</v>
      </c>
      <c r="D564" t="inlineStr">
        <is>
          <t>VÄSTERNORRLANDS LÄN</t>
        </is>
      </c>
      <c r="E564" t="inlineStr">
        <is>
          <t>ÅNGE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42889-2025</t>
        </is>
      </c>
      <c r="B565" s="1" t="n">
        <v>45908.65546296296</v>
      </c>
      <c r="C565" s="1" t="n">
        <v>45986</v>
      </c>
      <c r="D565" t="inlineStr">
        <is>
          <t>VÄSTERNORRLANDS LÄN</t>
        </is>
      </c>
      <c r="E565" t="inlineStr">
        <is>
          <t>ÅNGE</t>
        </is>
      </c>
      <c r="G565" t="n">
        <v>11.9</v>
      </c>
      <c r="H565" t="n">
        <v>0</v>
      </c>
      <c r="I565" t="n">
        <v>0</v>
      </c>
      <c r="J565" t="n">
        <v>0</v>
      </c>
      <c r="K565" t="n">
        <v>0</v>
      </c>
      <c r="L565" t="n">
        <v>0</v>
      </c>
      <c r="M565" t="n">
        <v>0</v>
      </c>
      <c r="N565" t="n">
        <v>0</v>
      </c>
      <c r="O565" t="n">
        <v>0</v>
      </c>
      <c r="P565" t="n">
        <v>0</v>
      </c>
      <c r="Q565" t="n">
        <v>0</v>
      </c>
      <c r="R565" s="2" t="inlineStr"/>
    </row>
    <row r="566" ht="15" customHeight="1">
      <c r="A566" t="inlineStr">
        <is>
          <t>A 26389-2025</t>
        </is>
      </c>
      <c r="B566" s="1" t="n">
        <v>45806.51078703703</v>
      </c>
      <c r="C566" s="1" t="n">
        <v>45986</v>
      </c>
      <c r="D566" t="inlineStr">
        <is>
          <t>VÄSTERNORRLANDS LÄN</t>
        </is>
      </c>
      <c r="E566" t="inlineStr">
        <is>
          <t>ÅNGE</t>
        </is>
      </c>
      <c r="F566" t="inlineStr">
        <is>
          <t>SCA</t>
        </is>
      </c>
      <c r="G566" t="n">
        <v>11.9</v>
      </c>
      <c r="H566" t="n">
        <v>0</v>
      </c>
      <c r="I566" t="n">
        <v>0</v>
      </c>
      <c r="J566" t="n">
        <v>0</v>
      </c>
      <c r="K566" t="n">
        <v>0</v>
      </c>
      <c r="L566" t="n">
        <v>0</v>
      </c>
      <c r="M566" t="n">
        <v>0</v>
      </c>
      <c r="N566" t="n">
        <v>0</v>
      </c>
      <c r="O566" t="n">
        <v>0</v>
      </c>
      <c r="P566" t="n">
        <v>0</v>
      </c>
      <c r="Q566" t="n">
        <v>0</v>
      </c>
      <c r="R566" s="2" t="inlineStr"/>
    </row>
    <row r="567" ht="15" customHeight="1">
      <c r="A567" t="inlineStr">
        <is>
          <t>A 42764-2025</t>
        </is>
      </c>
      <c r="B567" s="1" t="n">
        <v>45908.46943287037</v>
      </c>
      <c r="C567" s="1" t="n">
        <v>45986</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26388-2025</t>
        </is>
      </c>
      <c r="B568" s="1" t="n">
        <v>45806.51069444444</v>
      </c>
      <c r="C568" s="1" t="n">
        <v>45986</v>
      </c>
      <c r="D568" t="inlineStr">
        <is>
          <t>VÄSTERNORRLANDS LÄN</t>
        </is>
      </c>
      <c r="E568" t="inlineStr">
        <is>
          <t>ÅNGE</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26366-2025</t>
        </is>
      </c>
      <c r="B569" s="1" t="n">
        <v>45806.34424768519</v>
      </c>
      <c r="C569" s="1" t="n">
        <v>45986</v>
      </c>
      <c r="D569" t="inlineStr">
        <is>
          <t>VÄSTERNORRLANDS LÄN</t>
        </is>
      </c>
      <c r="E569" t="inlineStr">
        <is>
          <t>ÅNGE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42731-2025</t>
        </is>
      </c>
      <c r="B570" s="1" t="n">
        <v>45908.40686342592</v>
      </c>
      <c r="C570" s="1" t="n">
        <v>45986</v>
      </c>
      <c r="D570" t="inlineStr">
        <is>
          <t>VÄSTERNORRLANDS LÄN</t>
        </is>
      </c>
      <c r="E570" t="inlineStr">
        <is>
          <t>ÅNGE</t>
        </is>
      </c>
      <c r="G570" t="n">
        <v>14.1</v>
      </c>
      <c r="H570" t="n">
        <v>0</v>
      </c>
      <c r="I570" t="n">
        <v>0</v>
      </c>
      <c r="J570" t="n">
        <v>0</v>
      </c>
      <c r="K570" t="n">
        <v>0</v>
      </c>
      <c r="L570" t="n">
        <v>0</v>
      </c>
      <c r="M570" t="n">
        <v>0</v>
      </c>
      <c r="N570" t="n">
        <v>0</v>
      </c>
      <c r="O570" t="n">
        <v>0</v>
      </c>
      <c r="P570" t="n">
        <v>0</v>
      </c>
      <c r="Q570" t="n">
        <v>0</v>
      </c>
      <c r="R570" s="2" t="inlineStr"/>
    </row>
    <row r="571" ht="15" customHeight="1">
      <c r="A571" t="inlineStr">
        <is>
          <t>A 43077-2025</t>
        </is>
      </c>
      <c r="B571" s="1" t="n">
        <v>45909.6046412037</v>
      </c>
      <c r="C571" s="1" t="n">
        <v>45986</v>
      </c>
      <c r="D571" t="inlineStr">
        <is>
          <t>VÄSTERNORRLANDS LÄN</t>
        </is>
      </c>
      <c r="E571" t="inlineStr">
        <is>
          <t>ÅNGE</t>
        </is>
      </c>
      <c r="F571" t="inlineStr">
        <is>
          <t>Kyrkan</t>
        </is>
      </c>
      <c r="G571" t="n">
        <v>7.6</v>
      </c>
      <c r="H571" t="n">
        <v>0</v>
      </c>
      <c r="I571" t="n">
        <v>0</v>
      </c>
      <c r="J571" t="n">
        <v>0</v>
      </c>
      <c r="K571" t="n">
        <v>0</v>
      </c>
      <c r="L571" t="n">
        <v>0</v>
      </c>
      <c r="M571" t="n">
        <v>0</v>
      </c>
      <c r="N571" t="n">
        <v>0</v>
      </c>
      <c r="O571" t="n">
        <v>0</v>
      </c>
      <c r="P571" t="n">
        <v>0</v>
      </c>
      <c r="Q571" t="n">
        <v>0</v>
      </c>
      <c r="R571" s="2" t="inlineStr"/>
    </row>
    <row r="572" ht="15" customHeight="1">
      <c r="A572" t="inlineStr">
        <is>
          <t>A 42880-2025</t>
        </is>
      </c>
      <c r="B572" s="1" t="n">
        <v>45908.63599537037</v>
      </c>
      <c r="C572" s="1" t="n">
        <v>45986</v>
      </c>
      <c r="D572" t="inlineStr">
        <is>
          <t>VÄSTERNORRLANDS LÄN</t>
        </is>
      </c>
      <c r="E572" t="inlineStr">
        <is>
          <t>ÅNGE</t>
        </is>
      </c>
      <c r="G572" t="n">
        <v>4.3</v>
      </c>
      <c r="H572" t="n">
        <v>0</v>
      </c>
      <c r="I572" t="n">
        <v>0</v>
      </c>
      <c r="J572" t="n">
        <v>0</v>
      </c>
      <c r="K572" t="n">
        <v>0</v>
      </c>
      <c r="L572" t="n">
        <v>0</v>
      </c>
      <c r="M572" t="n">
        <v>0</v>
      </c>
      <c r="N572" t="n">
        <v>0</v>
      </c>
      <c r="O572" t="n">
        <v>0</v>
      </c>
      <c r="P572" t="n">
        <v>0</v>
      </c>
      <c r="Q572" t="n">
        <v>0</v>
      </c>
      <c r="R572" s="2" t="inlineStr"/>
    </row>
    <row r="573" ht="15" customHeight="1">
      <c r="A573" t="inlineStr">
        <is>
          <t>A 46775-2024</t>
        </is>
      </c>
      <c r="B573" s="1" t="n">
        <v>45583.49711805556</v>
      </c>
      <c r="C573" s="1" t="n">
        <v>45986</v>
      </c>
      <c r="D573" t="inlineStr">
        <is>
          <t>VÄSTERNORRLANDS LÄN</t>
        </is>
      </c>
      <c r="E573" t="inlineStr">
        <is>
          <t>ÅNGE</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46780-2024</t>
        </is>
      </c>
      <c r="B574" s="1" t="n">
        <v>45583.51076388889</v>
      </c>
      <c r="C574" s="1" t="n">
        <v>45986</v>
      </c>
      <c r="D574" t="inlineStr">
        <is>
          <t>VÄSTERNORRLANDS LÄN</t>
        </is>
      </c>
      <c r="E574" t="inlineStr">
        <is>
          <t>ÅNGE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53858-2024</t>
        </is>
      </c>
      <c r="B575" s="1" t="n">
        <v>45615</v>
      </c>
      <c r="C575" s="1" t="n">
        <v>45986</v>
      </c>
      <c r="D575" t="inlineStr">
        <is>
          <t>VÄSTERNORRLANDS LÄN</t>
        </is>
      </c>
      <c r="E575" t="inlineStr">
        <is>
          <t>ÅNGE</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3-2025</t>
        </is>
      </c>
      <c r="B576" s="1" t="n">
        <v>45658.49819444444</v>
      </c>
      <c r="C576" s="1" t="n">
        <v>45986</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41355-2024</t>
        </is>
      </c>
      <c r="B577" s="1" t="n">
        <v>45559.69833333333</v>
      </c>
      <c r="C577" s="1" t="n">
        <v>45986</v>
      </c>
      <c r="D577" t="inlineStr">
        <is>
          <t>VÄSTERNORRLANDS LÄN</t>
        </is>
      </c>
      <c r="E577" t="inlineStr">
        <is>
          <t>ÅNGE</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26734-2025</t>
        </is>
      </c>
      <c r="B578" s="1" t="n">
        <v>45810.51087962963</v>
      </c>
      <c r="C578" s="1" t="n">
        <v>45986</v>
      </c>
      <c r="D578" t="inlineStr">
        <is>
          <t>VÄSTERNORRLANDS LÄN</t>
        </is>
      </c>
      <c r="E578" t="inlineStr">
        <is>
          <t>ÅNGE</t>
        </is>
      </c>
      <c r="G578" t="n">
        <v>1.5</v>
      </c>
      <c r="H578" t="n">
        <v>0</v>
      </c>
      <c r="I578" t="n">
        <v>0</v>
      </c>
      <c r="J578" t="n">
        <v>0</v>
      </c>
      <c r="K578" t="n">
        <v>0</v>
      </c>
      <c r="L578" t="n">
        <v>0</v>
      </c>
      <c r="M578" t="n">
        <v>0</v>
      </c>
      <c r="N578" t="n">
        <v>0</v>
      </c>
      <c r="O578" t="n">
        <v>0</v>
      </c>
      <c r="P578" t="n">
        <v>0</v>
      </c>
      <c r="Q578" t="n">
        <v>0</v>
      </c>
      <c r="R578" s="2" t="inlineStr"/>
    </row>
    <row r="579" ht="15" customHeight="1">
      <c r="A579" t="inlineStr">
        <is>
          <t>A 732-2023</t>
        </is>
      </c>
      <c r="B579" s="1" t="n">
        <v>44931.29981481482</v>
      </c>
      <c r="C579" s="1" t="n">
        <v>45986</v>
      </c>
      <c r="D579" t="inlineStr">
        <is>
          <t>VÄSTERNORRLANDS LÄN</t>
        </is>
      </c>
      <c r="E579" t="inlineStr">
        <is>
          <t>ÅNGE</t>
        </is>
      </c>
      <c r="F579" t="inlineStr">
        <is>
          <t>Sveaskog</t>
        </is>
      </c>
      <c r="G579" t="n">
        <v>3.6</v>
      </c>
      <c r="H579" t="n">
        <v>0</v>
      </c>
      <c r="I579" t="n">
        <v>0</v>
      </c>
      <c r="J579" t="n">
        <v>0</v>
      </c>
      <c r="K579" t="n">
        <v>0</v>
      </c>
      <c r="L579" t="n">
        <v>0</v>
      </c>
      <c r="M579" t="n">
        <v>0</v>
      </c>
      <c r="N579" t="n">
        <v>0</v>
      </c>
      <c r="O579" t="n">
        <v>0</v>
      </c>
      <c r="P579" t="n">
        <v>0</v>
      </c>
      <c r="Q579" t="n">
        <v>0</v>
      </c>
      <c r="R579" s="2" t="inlineStr"/>
    </row>
    <row r="580" ht="15" customHeight="1">
      <c r="A580" t="inlineStr">
        <is>
          <t>A 51389-2025</t>
        </is>
      </c>
      <c r="B580" s="1" t="n">
        <v>45950.46767361111</v>
      </c>
      <c r="C580" s="1" t="n">
        <v>45986</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51813-2025</t>
        </is>
      </c>
      <c r="B581" s="1" t="n">
        <v>45951.83082175926</v>
      </c>
      <c r="C581" s="1" t="n">
        <v>45986</v>
      </c>
      <c r="D581" t="inlineStr">
        <is>
          <t>VÄSTERNORRLANDS LÄN</t>
        </is>
      </c>
      <c r="E581" t="inlineStr">
        <is>
          <t>ÅNGE</t>
        </is>
      </c>
      <c r="G581" t="n">
        <v>2.5</v>
      </c>
      <c r="H581" t="n">
        <v>0</v>
      </c>
      <c r="I581" t="n">
        <v>0</v>
      </c>
      <c r="J581" t="n">
        <v>0</v>
      </c>
      <c r="K581" t="n">
        <v>0</v>
      </c>
      <c r="L581" t="n">
        <v>0</v>
      </c>
      <c r="M581" t="n">
        <v>0</v>
      </c>
      <c r="N581" t="n">
        <v>0</v>
      </c>
      <c r="O581" t="n">
        <v>0</v>
      </c>
      <c r="P581" t="n">
        <v>0</v>
      </c>
      <c r="Q581" t="n">
        <v>0</v>
      </c>
      <c r="R581" s="2" t="inlineStr"/>
    </row>
    <row r="582" ht="15" customHeight="1">
      <c r="A582" t="inlineStr">
        <is>
          <t>A 51393-2025</t>
        </is>
      </c>
      <c r="B582" s="1" t="n">
        <v>45950.46957175926</v>
      </c>
      <c r="C582" s="1" t="n">
        <v>45986</v>
      </c>
      <c r="D582" t="inlineStr">
        <is>
          <t>VÄSTERNORRLANDS LÄN</t>
        </is>
      </c>
      <c r="E582" t="inlineStr">
        <is>
          <t>ÅNGE</t>
        </is>
      </c>
      <c r="F582" t="inlineStr">
        <is>
          <t>SCA</t>
        </is>
      </c>
      <c r="G582" t="n">
        <v>17.9</v>
      </c>
      <c r="H582" t="n">
        <v>0</v>
      </c>
      <c r="I582" t="n">
        <v>0</v>
      </c>
      <c r="J582" t="n">
        <v>0</v>
      </c>
      <c r="K582" t="n">
        <v>0</v>
      </c>
      <c r="L582" t="n">
        <v>0</v>
      </c>
      <c r="M582" t="n">
        <v>0</v>
      </c>
      <c r="N582" t="n">
        <v>0</v>
      </c>
      <c r="O582" t="n">
        <v>0</v>
      </c>
      <c r="P582" t="n">
        <v>0</v>
      </c>
      <c r="Q582" t="n">
        <v>0</v>
      </c>
      <c r="R582" s="2" t="inlineStr"/>
    </row>
    <row r="583" ht="15" customHeight="1">
      <c r="A583" t="inlineStr">
        <is>
          <t>A 58943-2022</t>
        </is>
      </c>
      <c r="B583" s="1" t="n">
        <v>44903.64400462963</v>
      </c>
      <c r="C583" s="1" t="n">
        <v>45986</v>
      </c>
      <c r="D583" t="inlineStr">
        <is>
          <t>VÄSTERNORRLANDS LÄN</t>
        </is>
      </c>
      <c r="E583" t="inlineStr">
        <is>
          <t>ÅNGE</t>
        </is>
      </c>
      <c r="G583" t="n">
        <v>5.6</v>
      </c>
      <c r="H583" t="n">
        <v>0</v>
      </c>
      <c r="I583" t="n">
        <v>0</v>
      </c>
      <c r="J583" t="n">
        <v>0</v>
      </c>
      <c r="K583" t="n">
        <v>0</v>
      </c>
      <c r="L583" t="n">
        <v>0</v>
      </c>
      <c r="M583" t="n">
        <v>0</v>
      </c>
      <c r="N583" t="n">
        <v>0</v>
      </c>
      <c r="O583" t="n">
        <v>0</v>
      </c>
      <c r="P583" t="n">
        <v>0</v>
      </c>
      <c r="Q583" t="n">
        <v>0</v>
      </c>
      <c r="R583" s="2" t="inlineStr"/>
    </row>
    <row r="584" ht="15" customHeight="1">
      <c r="A584" t="inlineStr">
        <is>
          <t>A 43091-2025</t>
        </is>
      </c>
      <c r="B584" s="1" t="n">
        <v>45909.62511574074</v>
      </c>
      <c r="C584" s="1" t="n">
        <v>45986</v>
      </c>
      <c r="D584" t="inlineStr">
        <is>
          <t>VÄSTERNORRLANDS LÄN</t>
        </is>
      </c>
      <c r="E584" t="inlineStr">
        <is>
          <t>ÅNGE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51382-2025</t>
        </is>
      </c>
      <c r="B585" s="1" t="n">
        <v>45950.46019675926</v>
      </c>
      <c r="C585" s="1" t="n">
        <v>45986</v>
      </c>
      <c r="D585" t="inlineStr">
        <is>
          <t>VÄSTERNORRLANDS LÄN</t>
        </is>
      </c>
      <c r="E585" t="inlineStr">
        <is>
          <t>ÅNGE</t>
        </is>
      </c>
      <c r="G585" t="n">
        <v>3</v>
      </c>
      <c r="H585" t="n">
        <v>0</v>
      </c>
      <c r="I585" t="n">
        <v>0</v>
      </c>
      <c r="J585" t="n">
        <v>0</v>
      </c>
      <c r="K585" t="n">
        <v>0</v>
      </c>
      <c r="L585" t="n">
        <v>0</v>
      </c>
      <c r="M585" t="n">
        <v>0</v>
      </c>
      <c r="N585" t="n">
        <v>0</v>
      </c>
      <c r="O585" t="n">
        <v>0</v>
      </c>
      <c r="P585" t="n">
        <v>0</v>
      </c>
      <c r="Q585" t="n">
        <v>0</v>
      </c>
      <c r="R585" s="2" t="inlineStr"/>
    </row>
    <row r="586" ht="15" customHeight="1">
      <c r="A586" t="inlineStr">
        <is>
          <t>A 29462-2024</t>
        </is>
      </c>
      <c r="B586" s="1" t="n">
        <v>45483.96979166667</v>
      </c>
      <c r="C586" s="1" t="n">
        <v>45986</v>
      </c>
      <c r="D586" t="inlineStr">
        <is>
          <t>VÄSTERNORRLANDS LÄN</t>
        </is>
      </c>
      <c r="E586" t="inlineStr">
        <is>
          <t>ÅNGE</t>
        </is>
      </c>
      <c r="F586" t="inlineStr">
        <is>
          <t>SCA</t>
        </is>
      </c>
      <c r="G586" t="n">
        <v>8.4</v>
      </c>
      <c r="H586" t="n">
        <v>0</v>
      </c>
      <c r="I586" t="n">
        <v>0</v>
      </c>
      <c r="J586" t="n">
        <v>0</v>
      </c>
      <c r="K586" t="n">
        <v>0</v>
      </c>
      <c r="L586" t="n">
        <v>0</v>
      </c>
      <c r="M586" t="n">
        <v>0</v>
      </c>
      <c r="N586" t="n">
        <v>0</v>
      </c>
      <c r="O586" t="n">
        <v>0</v>
      </c>
      <c r="P586" t="n">
        <v>0</v>
      </c>
      <c r="Q586" t="n">
        <v>0</v>
      </c>
      <c r="R586" s="2" t="inlineStr"/>
    </row>
    <row r="587" ht="15" customHeight="1">
      <c r="A587" t="inlineStr">
        <is>
          <t>A 51416-2025</t>
        </is>
      </c>
      <c r="B587" s="1" t="n">
        <v>45950.51097222222</v>
      </c>
      <c r="C587" s="1" t="n">
        <v>45986</v>
      </c>
      <c r="D587" t="inlineStr">
        <is>
          <t>VÄSTERNORRLANDS LÄN</t>
        </is>
      </c>
      <c r="E587" t="inlineStr">
        <is>
          <t>ÅNGE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42730-2025</t>
        </is>
      </c>
      <c r="B588" s="1" t="n">
        <v>45908.40666666667</v>
      </c>
      <c r="C588" s="1" t="n">
        <v>45986</v>
      </c>
      <c r="D588" t="inlineStr">
        <is>
          <t>VÄSTERNORRLANDS LÄN</t>
        </is>
      </c>
      <c r="E588" t="inlineStr">
        <is>
          <t>ÅNGE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26901-2025</t>
        </is>
      </c>
      <c r="B589" s="1" t="n">
        <v>45811.34457175926</v>
      </c>
      <c r="C589" s="1" t="n">
        <v>45986</v>
      </c>
      <c r="D589" t="inlineStr">
        <is>
          <t>VÄSTERNORRLANDS LÄN</t>
        </is>
      </c>
      <c r="E589" t="inlineStr">
        <is>
          <t>ÅNGE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52060-2025</t>
        </is>
      </c>
      <c r="B590" s="1" t="n">
        <v>45952.63641203703</v>
      </c>
      <c r="C590" s="1" t="n">
        <v>45986</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55177-2024</t>
        </is>
      </c>
      <c r="B591" s="1" t="n">
        <v>45621.53179398148</v>
      </c>
      <c r="C591" s="1" t="n">
        <v>45986</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52335-2025</t>
        </is>
      </c>
      <c r="B592" s="1" t="n">
        <v>45953.68591435185</v>
      </c>
      <c r="C592" s="1" t="n">
        <v>45986</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43237-2025</t>
        </is>
      </c>
      <c r="B593" s="1" t="n">
        <v>45910.51670138889</v>
      </c>
      <c r="C593" s="1" t="n">
        <v>45986</v>
      </c>
      <c r="D593" t="inlineStr">
        <is>
          <t>VÄSTERNORRLANDS LÄN</t>
        </is>
      </c>
      <c r="E593" t="inlineStr">
        <is>
          <t>ÅNGE</t>
        </is>
      </c>
      <c r="G593" t="n">
        <v>0.7</v>
      </c>
      <c r="H593" t="n">
        <v>0</v>
      </c>
      <c r="I593" t="n">
        <v>0</v>
      </c>
      <c r="J593" t="n">
        <v>0</v>
      </c>
      <c r="K593" t="n">
        <v>0</v>
      </c>
      <c r="L593" t="n">
        <v>0</v>
      </c>
      <c r="M593" t="n">
        <v>0</v>
      </c>
      <c r="N593" t="n">
        <v>0</v>
      </c>
      <c r="O593" t="n">
        <v>0</v>
      </c>
      <c r="P593" t="n">
        <v>0</v>
      </c>
      <c r="Q593" t="n">
        <v>0</v>
      </c>
      <c r="R593" s="2" t="inlineStr"/>
    </row>
    <row r="594" ht="15" customHeight="1">
      <c r="A594" t="inlineStr">
        <is>
          <t>A 43250-2025</t>
        </is>
      </c>
      <c r="B594" s="1" t="n">
        <v>45910.5525462963</v>
      </c>
      <c r="C594" s="1" t="n">
        <v>45986</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33305-2024</t>
        </is>
      </c>
      <c r="B595" s="1" t="n">
        <v>45518</v>
      </c>
      <c r="C595" s="1" t="n">
        <v>45986</v>
      </c>
      <c r="D595" t="inlineStr">
        <is>
          <t>VÄSTERNORRLANDS LÄN</t>
        </is>
      </c>
      <c r="E595" t="inlineStr">
        <is>
          <t>ÅNGE</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33306-2024</t>
        </is>
      </c>
      <c r="B596" s="1" t="n">
        <v>45518</v>
      </c>
      <c r="C596" s="1" t="n">
        <v>45986</v>
      </c>
      <c r="D596" t="inlineStr">
        <is>
          <t>VÄSTERNORRLANDS LÄN</t>
        </is>
      </c>
      <c r="E596" t="inlineStr">
        <is>
          <t>ÅNGE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52306-2025</t>
        </is>
      </c>
      <c r="B597" s="1" t="n">
        <v>45953.63600694444</v>
      </c>
      <c r="C597" s="1" t="n">
        <v>45986</v>
      </c>
      <c r="D597" t="inlineStr">
        <is>
          <t>VÄSTERNORRLANDS LÄN</t>
        </is>
      </c>
      <c r="E597" t="inlineStr">
        <is>
          <t>ÅNGE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43252-2025</t>
        </is>
      </c>
      <c r="B598" s="1" t="n">
        <v>45910.55292824074</v>
      </c>
      <c r="C598" s="1" t="n">
        <v>45986</v>
      </c>
      <c r="D598" t="inlineStr">
        <is>
          <t>VÄSTERNORRLANDS LÄN</t>
        </is>
      </c>
      <c r="E598" t="inlineStr">
        <is>
          <t>ÅNGE</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29270-2024</t>
        </is>
      </c>
      <c r="B599" s="1" t="n">
        <v>45482.94979166667</v>
      </c>
      <c r="C599" s="1" t="n">
        <v>45986</v>
      </c>
      <c r="D599" t="inlineStr">
        <is>
          <t>VÄSTERNORRLANDS LÄN</t>
        </is>
      </c>
      <c r="E599" t="inlineStr">
        <is>
          <t>ÅNGE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28506-2024</t>
        </is>
      </c>
      <c r="B600" s="1" t="n">
        <v>45477.9475</v>
      </c>
      <c r="C600" s="1" t="n">
        <v>45986</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43415-2025</t>
        </is>
      </c>
      <c r="B601" s="1" t="n">
        <v>45911.40662037037</v>
      </c>
      <c r="C601" s="1" t="n">
        <v>45986</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43386-2025</t>
        </is>
      </c>
      <c r="B602" s="1" t="n">
        <v>45911.36520833334</v>
      </c>
      <c r="C602" s="1" t="n">
        <v>45986</v>
      </c>
      <c r="D602" t="inlineStr">
        <is>
          <t>VÄSTERNORRLANDS LÄN</t>
        </is>
      </c>
      <c r="E602" t="inlineStr">
        <is>
          <t>ÅNGE</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52283-2025</t>
        </is>
      </c>
      <c r="B603" s="1" t="n">
        <v>45953.57346064815</v>
      </c>
      <c r="C603" s="1" t="n">
        <v>45986</v>
      </c>
      <c r="D603" t="inlineStr">
        <is>
          <t>VÄSTERNORRLANDS LÄN</t>
        </is>
      </c>
      <c r="E603" t="inlineStr">
        <is>
          <t>ÅNGE</t>
        </is>
      </c>
      <c r="G603" t="n">
        <v>8.9</v>
      </c>
      <c r="H603" t="n">
        <v>0</v>
      </c>
      <c r="I603" t="n">
        <v>0</v>
      </c>
      <c r="J603" t="n">
        <v>0</v>
      </c>
      <c r="K603" t="n">
        <v>0</v>
      </c>
      <c r="L603" t="n">
        <v>0</v>
      </c>
      <c r="M603" t="n">
        <v>0</v>
      </c>
      <c r="N603" t="n">
        <v>0</v>
      </c>
      <c r="O603" t="n">
        <v>0</v>
      </c>
      <c r="P603" t="n">
        <v>0</v>
      </c>
      <c r="Q603" t="n">
        <v>0</v>
      </c>
      <c r="R603" s="2" t="inlineStr"/>
    </row>
    <row r="604" ht="15" customHeight="1">
      <c r="A604" t="inlineStr">
        <is>
          <t>A 26655-2025</t>
        </is>
      </c>
      <c r="B604" s="1" t="n">
        <v>45810.39047453704</v>
      </c>
      <c r="C604" s="1" t="n">
        <v>45986</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43385-2025</t>
        </is>
      </c>
      <c r="B605" s="1" t="n">
        <v>45911.36508101852</v>
      </c>
      <c r="C605" s="1" t="n">
        <v>45986</v>
      </c>
      <c r="D605" t="inlineStr">
        <is>
          <t>VÄSTERNORRLANDS LÄN</t>
        </is>
      </c>
      <c r="E605" t="inlineStr">
        <is>
          <t>ÅNGE</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34861-2024</t>
        </is>
      </c>
      <c r="B606" s="1" t="n">
        <v>45527.339375</v>
      </c>
      <c r="C606" s="1" t="n">
        <v>45986</v>
      </c>
      <c r="D606" t="inlineStr">
        <is>
          <t>VÄSTERNORRLANDS LÄN</t>
        </is>
      </c>
      <c r="E606" t="inlineStr">
        <is>
          <t>ÅNGE</t>
        </is>
      </c>
      <c r="F606" t="inlineStr">
        <is>
          <t>SCA</t>
        </is>
      </c>
      <c r="G606" t="n">
        <v>9.1</v>
      </c>
      <c r="H606" t="n">
        <v>0</v>
      </c>
      <c r="I606" t="n">
        <v>0</v>
      </c>
      <c r="J606" t="n">
        <v>0</v>
      </c>
      <c r="K606" t="n">
        <v>0</v>
      </c>
      <c r="L606" t="n">
        <v>0</v>
      </c>
      <c r="M606" t="n">
        <v>0</v>
      </c>
      <c r="N606" t="n">
        <v>0</v>
      </c>
      <c r="O606" t="n">
        <v>0</v>
      </c>
      <c r="P606" t="n">
        <v>0</v>
      </c>
      <c r="Q606" t="n">
        <v>0</v>
      </c>
      <c r="R606" s="2" t="inlineStr"/>
    </row>
    <row r="607" ht="15" customHeight="1">
      <c r="A607" t="inlineStr">
        <is>
          <t>A 43546-2025</t>
        </is>
      </c>
      <c r="B607" s="1" t="n">
        <v>45911.6153125</v>
      </c>
      <c r="C607" s="1" t="n">
        <v>45986</v>
      </c>
      <c r="D607" t="inlineStr">
        <is>
          <t>VÄSTERNORRLANDS LÄN</t>
        </is>
      </c>
      <c r="E607" t="inlineStr">
        <is>
          <t>ÅNGE</t>
        </is>
      </c>
      <c r="F607" t="inlineStr">
        <is>
          <t>SCA</t>
        </is>
      </c>
      <c r="G607" t="n">
        <v>9.6</v>
      </c>
      <c r="H607" t="n">
        <v>0</v>
      </c>
      <c r="I607" t="n">
        <v>0</v>
      </c>
      <c r="J607" t="n">
        <v>0</v>
      </c>
      <c r="K607" t="n">
        <v>0</v>
      </c>
      <c r="L607" t="n">
        <v>0</v>
      </c>
      <c r="M607" t="n">
        <v>0</v>
      </c>
      <c r="N607" t="n">
        <v>0</v>
      </c>
      <c r="O607" t="n">
        <v>0</v>
      </c>
      <c r="P607" t="n">
        <v>0</v>
      </c>
      <c r="Q607" t="n">
        <v>0</v>
      </c>
      <c r="R607" s="2" t="inlineStr"/>
    </row>
    <row r="608" ht="15" customHeight="1">
      <c r="A608" t="inlineStr">
        <is>
          <t>A 43389-2025</t>
        </is>
      </c>
      <c r="B608" s="1" t="n">
        <v>45911.36560185185</v>
      </c>
      <c r="C608" s="1" t="n">
        <v>45986</v>
      </c>
      <c r="D608" t="inlineStr">
        <is>
          <t>VÄSTERNORRLANDS LÄN</t>
        </is>
      </c>
      <c r="E608" t="inlineStr">
        <is>
          <t>ÅNGE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5931-2025</t>
        </is>
      </c>
      <c r="B609" s="1" t="n">
        <v>45695.44827546296</v>
      </c>
      <c r="C609" s="1" t="n">
        <v>45986</v>
      </c>
      <c r="D609" t="inlineStr">
        <is>
          <t>VÄSTERNORRLANDS LÄN</t>
        </is>
      </c>
      <c r="E609" t="inlineStr">
        <is>
          <t>ÅNGE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43221-2025</t>
        </is>
      </c>
      <c r="B610" s="1" t="n">
        <v>45910.47981481482</v>
      </c>
      <c r="C610" s="1" t="n">
        <v>45986</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61461-2023</t>
        </is>
      </c>
      <c r="B611" s="1" t="n">
        <v>45264.9261574074</v>
      </c>
      <c r="C611" s="1" t="n">
        <v>45986</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39005-2024</t>
        </is>
      </c>
      <c r="B612" s="1" t="n">
        <v>45548.42743055556</v>
      </c>
      <c r="C612" s="1" t="n">
        <v>45986</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c r="U612">
        <f>HYPERLINK("https://klasma.github.io/Logging_2260/knärot/A 39005-2024 karta knärot.png", "A 39005-2024")</f>
        <v/>
      </c>
      <c r="V612">
        <f>HYPERLINK("https://klasma.github.io/Logging_2260/klagomål/A 39005-2024 FSC-klagomål.docx", "A 39005-2024")</f>
        <v/>
      </c>
      <c r="W612">
        <f>HYPERLINK("https://klasma.github.io/Logging_2260/klagomålsmail/A 39005-2024 FSC-klagomål mail.docx", "A 39005-2024")</f>
        <v/>
      </c>
      <c r="X612">
        <f>HYPERLINK("https://klasma.github.io/Logging_2260/tillsyn/A 39005-2024 tillsynsbegäran.docx", "A 39005-2024")</f>
        <v/>
      </c>
      <c r="Y612">
        <f>HYPERLINK("https://klasma.github.io/Logging_2260/tillsynsmail/A 39005-2024 tillsynsbegäran mail.docx", "A 39005-2024")</f>
        <v/>
      </c>
    </row>
    <row r="613" ht="15" customHeight="1">
      <c r="A613" t="inlineStr">
        <is>
          <t>A 52121-2025</t>
        </is>
      </c>
      <c r="B613" s="1" t="n">
        <v>45952.71921296296</v>
      </c>
      <c r="C613" s="1" t="n">
        <v>45986</v>
      </c>
      <c r="D613" t="inlineStr">
        <is>
          <t>VÄSTERNORRLANDS LÄN</t>
        </is>
      </c>
      <c r="E613" t="inlineStr">
        <is>
          <t>ÅNGE</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51857-2025</t>
        </is>
      </c>
      <c r="B614" s="1" t="n">
        <v>45952.36506944444</v>
      </c>
      <c r="C614" s="1" t="n">
        <v>45986</v>
      </c>
      <c r="D614" t="inlineStr">
        <is>
          <t>VÄSTERNORRLANDS LÄN</t>
        </is>
      </c>
      <c r="E614" t="inlineStr">
        <is>
          <t>ÅNGE</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43265-2025</t>
        </is>
      </c>
      <c r="B615" s="1" t="n">
        <v>45910.57377314815</v>
      </c>
      <c r="C615" s="1" t="n">
        <v>45986</v>
      </c>
      <c r="D615" t="inlineStr">
        <is>
          <t>VÄSTERNORRLANDS LÄN</t>
        </is>
      </c>
      <c r="E615" t="inlineStr">
        <is>
          <t>ÅNGE</t>
        </is>
      </c>
      <c r="F615" t="inlineStr">
        <is>
          <t>SCA</t>
        </is>
      </c>
      <c r="G615" t="n">
        <v>7</v>
      </c>
      <c r="H615" t="n">
        <v>0</v>
      </c>
      <c r="I615" t="n">
        <v>0</v>
      </c>
      <c r="J615" t="n">
        <v>0</v>
      </c>
      <c r="K615" t="n">
        <v>0</v>
      </c>
      <c r="L615" t="n">
        <v>0</v>
      </c>
      <c r="M615" t="n">
        <v>0</v>
      </c>
      <c r="N615" t="n">
        <v>0</v>
      </c>
      <c r="O615" t="n">
        <v>0</v>
      </c>
      <c r="P615" t="n">
        <v>0</v>
      </c>
      <c r="Q615" t="n">
        <v>0</v>
      </c>
      <c r="R615" s="2" t="inlineStr"/>
    </row>
    <row r="616" ht="15" customHeight="1">
      <c r="A616" t="inlineStr">
        <is>
          <t>A 26608-2025</t>
        </is>
      </c>
      <c r="B616" s="1" t="n">
        <v>45809.98600694445</v>
      </c>
      <c r="C616" s="1" t="n">
        <v>45986</v>
      </c>
      <c r="D616" t="inlineStr">
        <is>
          <t>VÄSTERNORRLANDS LÄN</t>
        </is>
      </c>
      <c r="E616" t="inlineStr">
        <is>
          <t>ÅNGE</t>
        </is>
      </c>
      <c r="G616" t="n">
        <v>4.5</v>
      </c>
      <c r="H616" t="n">
        <v>0</v>
      </c>
      <c r="I616" t="n">
        <v>0</v>
      </c>
      <c r="J616" t="n">
        <v>0</v>
      </c>
      <c r="K616" t="n">
        <v>0</v>
      </c>
      <c r="L616" t="n">
        <v>0</v>
      </c>
      <c r="M616" t="n">
        <v>0</v>
      </c>
      <c r="N616" t="n">
        <v>0</v>
      </c>
      <c r="O616" t="n">
        <v>0</v>
      </c>
      <c r="P616" t="n">
        <v>0</v>
      </c>
      <c r="Q616" t="n">
        <v>0</v>
      </c>
      <c r="R616" s="2" t="inlineStr"/>
    </row>
    <row r="617" ht="15" customHeight="1">
      <c r="A617" t="inlineStr">
        <is>
          <t>A 53856-2024</t>
        </is>
      </c>
      <c r="B617" s="1" t="n">
        <v>45615</v>
      </c>
      <c r="C617" s="1" t="n">
        <v>45986</v>
      </c>
      <c r="D617" t="inlineStr">
        <is>
          <t>VÄSTERNORRLANDS LÄN</t>
        </is>
      </c>
      <c r="E617" t="inlineStr">
        <is>
          <t>ÅNGE</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57593-2022</t>
        </is>
      </c>
      <c r="B618" s="1" t="n">
        <v>44896.97847222222</v>
      </c>
      <c r="C618" s="1" t="n">
        <v>45986</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57596-2022</t>
        </is>
      </c>
      <c r="B619" s="1" t="n">
        <v>44896.97871527778</v>
      </c>
      <c r="C619" s="1" t="n">
        <v>45986</v>
      </c>
      <c r="D619" t="inlineStr">
        <is>
          <t>VÄSTERNORRLANDS LÄN</t>
        </is>
      </c>
      <c r="E619" t="inlineStr">
        <is>
          <t>ÅNGE</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57598-2022</t>
        </is>
      </c>
      <c r="B620" s="1" t="n">
        <v>44896</v>
      </c>
      <c r="C620" s="1" t="n">
        <v>45986</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23063-2024</t>
        </is>
      </c>
      <c r="B621" s="1" t="n">
        <v>45450.44278935185</v>
      </c>
      <c r="C621" s="1" t="n">
        <v>45986</v>
      </c>
      <c r="D621" t="inlineStr">
        <is>
          <t>VÄSTERNORRLANDS LÄN</t>
        </is>
      </c>
      <c r="E621" t="inlineStr">
        <is>
          <t>ÅNGE</t>
        </is>
      </c>
      <c r="G621" t="n">
        <v>0.8</v>
      </c>
      <c r="H621" t="n">
        <v>0</v>
      </c>
      <c r="I621" t="n">
        <v>0</v>
      </c>
      <c r="J621" t="n">
        <v>0</v>
      </c>
      <c r="K621" t="n">
        <v>0</v>
      </c>
      <c r="L621" t="n">
        <v>0</v>
      </c>
      <c r="M621" t="n">
        <v>0</v>
      </c>
      <c r="N621" t="n">
        <v>0</v>
      </c>
      <c r="O621" t="n">
        <v>0</v>
      </c>
      <c r="P621" t="n">
        <v>0</v>
      </c>
      <c r="Q621" t="n">
        <v>0</v>
      </c>
      <c r="R621" s="2" t="inlineStr"/>
    </row>
    <row r="622" ht="15" customHeight="1">
      <c r="A622" t="inlineStr">
        <is>
          <t>A 27023-2025</t>
        </is>
      </c>
      <c r="B622" s="1" t="n">
        <v>45811.57342592593</v>
      </c>
      <c r="C622" s="1" t="n">
        <v>45986</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10558-2023</t>
        </is>
      </c>
      <c r="B623" s="1" t="n">
        <v>44987.94438657408</v>
      </c>
      <c r="C623" s="1" t="n">
        <v>45986</v>
      </c>
      <c r="D623" t="inlineStr">
        <is>
          <t>VÄSTERNORRLANDS LÄN</t>
        </is>
      </c>
      <c r="E623" t="inlineStr">
        <is>
          <t>ÅNGE</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53013-2025</t>
        </is>
      </c>
      <c r="B624" s="1" t="n">
        <v>45957.81732638889</v>
      </c>
      <c r="C624" s="1" t="n">
        <v>45986</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36790-2023</t>
        </is>
      </c>
      <c r="B625" s="1" t="n">
        <v>45154.36418981481</v>
      </c>
      <c r="C625" s="1" t="n">
        <v>45986</v>
      </c>
      <c r="D625" t="inlineStr">
        <is>
          <t>VÄSTERNORRLANDS LÄN</t>
        </is>
      </c>
      <c r="E625" t="inlineStr">
        <is>
          <t>ÅNGE</t>
        </is>
      </c>
      <c r="G625" t="n">
        <v>1.4</v>
      </c>
      <c r="H625" t="n">
        <v>0</v>
      </c>
      <c r="I625" t="n">
        <v>0</v>
      </c>
      <c r="J625" t="n">
        <v>0</v>
      </c>
      <c r="K625" t="n">
        <v>0</v>
      </c>
      <c r="L625" t="n">
        <v>0</v>
      </c>
      <c r="M625" t="n">
        <v>0</v>
      </c>
      <c r="N625" t="n">
        <v>0</v>
      </c>
      <c r="O625" t="n">
        <v>0</v>
      </c>
      <c r="P625" t="n">
        <v>0</v>
      </c>
      <c r="Q625" t="n">
        <v>0</v>
      </c>
      <c r="R625" s="2" t="inlineStr"/>
    </row>
    <row r="626" ht="15" customHeight="1">
      <c r="A626" t="inlineStr">
        <is>
          <t>A 42242-2023</t>
        </is>
      </c>
      <c r="B626" s="1" t="n">
        <v>45180.35025462963</v>
      </c>
      <c r="C626" s="1" t="n">
        <v>45986</v>
      </c>
      <c r="D626" t="inlineStr">
        <is>
          <t>VÄSTERNORRLANDS LÄN</t>
        </is>
      </c>
      <c r="E626" t="inlineStr">
        <is>
          <t>ÅNGE</t>
        </is>
      </c>
      <c r="G626" t="n">
        <v>5.7</v>
      </c>
      <c r="H626" t="n">
        <v>0</v>
      </c>
      <c r="I626" t="n">
        <v>0</v>
      </c>
      <c r="J626" t="n">
        <v>0</v>
      </c>
      <c r="K626" t="n">
        <v>0</v>
      </c>
      <c r="L626" t="n">
        <v>0</v>
      </c>
      <c r="M626" t="n">
        <v>0</v>
      </c>
      <c r="N626" t="n">
        <v>0</v>
      </c>
      <c r="O626" t="n">
        <v>0</v>
      </c>
      <c r="P626" t="n">
        <v>0</v>
      </c>
      <c r="Q626" t="n">
        <v>0</v>
      </c>
      <c r="R626" s="2" t="inlineStr"/>
    </row>
    <row r="627" ht="15" customHeight="1">
      <c r="A627" t="inlineStr">
        <is>
          <t>A 44158-2024</t>
        </is>
      </c>
      <c r="B627" s="1" t="n">
        <v>45572</v>
      </c>
      <c r="C627" s="1" t="n">
        <v>45986</v>
      </c>
      <c r="D627" t="inlineStr">
        <is>
          <t>VÄSTERNORRLANDS LÄN</t>
        </is>
      </c>
      <c r="E627" t="inlineStr">
        <is>
          <t>ÅNGE</t>
        </is>
      </c>
      <c r="G627" t="n">
        <v>2.6</v>
      </c>
      <c r="H627" t="n">
        <v>0</v>
      </c>
      <c r="I627" t="n">
        <v>0</v>
      </c>
      <c r="J627" t="n">
        <v>0</v>
      </c>
      <c r="K627" t="n">
        <v>0</v>
      </c>
      <c r="L627" t="n">
        <v>0</v>
      </c>
      <c r="M627" t="n">
        <v>0</v>
      </c>
      <c r="N627" t="n">
        <v>0</v>
      </c>
      <c r="O627" t="n">
        <v>0</v>
      </c>
      <c r="P627" t="n">
        <v>0</v>
      </c>
      <c r="Q627" t="n">
        <v>0</v>
      </c>
      <c r="R627" s="2" t="inlineStr"/>
    </row>
    <row r="628" ht="15" customHeight="1">
      <c r="A628" t="inlineStr">
        <is>
          <t>A 27951-2021</t>
        </is>
      </c>
      <c r="B628" s="1" t="n">
        <v>44354</v>
      </c>
      <c r="C628" s="1" t="n">
        <v>45986</v>
      </c>
      <c r="D628" t="inlineStr">
        <is>
          <t>VÄSTERNORRLANDS LÄN</t>
        </is>
      </c>
      <c r="E628" t="inlineStr">
        <is>
          <t>ÅNGE</t>
        </is>
      </c>
      <c r="G628" t="n">
        <v>3</v>
      </c>
      <c r="H628" t="n">
        <v>0</v>
      </c>
      <c r="I628" t="n">
        <v>0</v>
      </c>
      <c r="J628" t="n">
        <v>0</v>
      </c>
      <c r="K628" t="n">
        <v>0</v>
      </c>
      <c r="L628" t="n">
        <v>0</v>
      </c>
      <c r="M628" t="n">
        <v>0</v>
      </c>
      <c r="N628" t="n">
        <v>0</v>
      </c>
      <c r="O628" t="n">
        <v>0</v>
      </c>
      <c r="P628" t="n">
        <v>0</v>
      </c>
      <c r="Q628" t="n">
        <v>0</v>
      </c>
      <c r="R628" s="2" t="inlineStr"/>
    </row>
    <row r="629" ht="15" customHeight="1">
      <c r="A629" t="inlineStr">
        <is>
          <t>A 52642-2025</t>
        </is>
      </c>
      <c r="B629" s="1" t="n">
        <v>45955.34576388889</v>
      </c>
      <c r="C629" s="1" t="n">
        <v>45986</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25973-2022</t>
        </is>
      </c>
      <c r="B630" s="1" t="n">
        <v>44734</v>
      </c>
      <c r="C630" s="1" t="n">
        <v>45986</v>
      </c>
      <c r="D630" t="inlineStr">
        <is>
          <t>VÄSTERNORRLANDS LÄN</t>
        </is>
      </c>
      <c r="E630" t="inlineStr">
        <is>
          <t>ÅNGE</t>
        </is>
      </c>
      <c r="G630" t="n">
        <v>4.1</v>
      </c>
      <c r="H630" t="n">
        <v>0</v>
      </c>
      <c r="I630" t="n">
        <v>0</v>
      </c>
      <c r="J630" t="n">
        <v>0</v>
      </c>
      <c r="K630" t="n">
        <v>0</v>
      </c>
      <c r="L630" t="n">
        <v>0</v>
      </c>
      <c r="M630" t="n">
        <v>0</v>
      </c>
      <c r="N630" t="n">
        <v>0</v>
      </c>
      <c r="O630" t="n">
        <v>0</v>
      </c>
      <c r="P630" t="n">
        <v>0</v>
      </c>
      <c r="Q630" t="n">
        <v>0</v>
      </c>
      <c r="R630" s="2" t="inlineStr"/>
    </row>
    <row r="631" ht="15" customHeight="1">
      <c r="A631" t="inlineStr">
        <is>
          <t>A 41829-2021</t>
        </is>
      </c>
      <c r="B631" s="1" t="n">
        <v>44425.92202546296</v>
      </c>
      <c r="C631" s="1" t="n">
        <v>45986</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25903-2022</t>
        </is>
      </c>
      <c r="B632" s="1" t="n">
        <v>44733</v>
      </c>
      <c r="C632" s="1" t="n">
        <v>45986</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44165-2025</t>
        </is>
      </c>
      <c r="B633" s="1" t="n">
        <v>45915.59840277778</v>
      </c>
      <c r="C633" s="1" t="n">
        <v>45986</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1103-2023</t>
        </is>
      </c>
      <c r="B634" s="1" t="n">
        <v>44929</v>
      </c>
      <c r="C634" s="1" t="n">
        <v>45986</v>
      </c>
      <c r="D634" t="inlineStr">
        <is>
          <t>VÄSTERNORRLANDS LÄN</t>
        </is>
      </c>
      <c r="E634" t="inlineStr">
        <is>
          <t>ÅNGE</t>
        </is>
      </c>
      <c r="G634" t="n">
        <v>7.3</v>
      </c>
      <c r="H634" t="n">
        <v>0</v>
      </c>
      <c r="I634" t="n">
        <v>0</v>
      </c>
      <c r="J634" t="n">
        <v>0</v>
      </c>
      <c r="K634" t="n">
        <v>0</v>
      </c>
      <c r="L634" t="n">
        <v>0</v>
      </c>
      <c r="M634" t="n">
        <v>0</v>
      </c>
      <c r="N634" t="n">
        <v>0</v>
      </c>
      <c r="O634" t="n">
        <v>0</v>
      </c>
      <c r="P634" t="n">
        <v>0</v>
      </c>
      <c r="Q634" t="n">
        <v>0</v>
      </c>
      <c r="R634" s="2" t="inlineStr"/>
    </row>
    <row r="635" ht="15" customHeight="1">
      <c r="A635" t="inlineStr">
        <is>
          <t>A 51059-2024</t>
        </is>
      </c>
      <c r="B635" s="1" t="n">
        <v>45603</v>
      </c>
      <c r="C635" s="1" t="n">
        <v>45986</v>
      </c>
      <c r="D635" t="inlineStr">
        <is>
          <t>VÄSTERNORRLANDS LÄN</t>
        </is>
      </c>
      <c r="E635" t="inlineStr">
        <is>
          <t>ÅNGE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51054-2024</t>
        </is>
      </c>
      <c r="B636" s="1" t="n">
        <v>45603</v>
      </c>
      <c r="C636" s="1" t="n">
        <v>45986</v>
      </c>
      <c r="D636" t="inlineStr">
        <is>
          <t>VÄSTERNORRLANDS LÄN</t>
        </is>
      </c>
      <c r="E636" t="inlineStr">
        <is>
          <t>ÅNGE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27164-2025</t>
        </is>
      </c>
      <c r="B637" s="1" t="n">
        <v>45812.34430555555</v>
      </c>
      <c r="C637" s="1" t="n">
        <v>45986</v>
      </c>
      <c r="D637" t="inlineStr">
        <is>
          <t>VÄSTERNORRLANDS LÄN</t>
        </is>
      </c>
      <c r="E637" t="inlineStr">
        <is>
          <t>ÅNGE</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52392-2025</t>
        </is>
      </c>
      <c r="B638" s="1" t="n">
        <v>45954.34424768519</v>
      </c>
      <c r="C638" s="1" t="n">
        <v>45986</v>
      </c>
      <c r="D638" t="inlineStr">
        <is>
          <t>VÄSTERNORRLANDS LÄN</t>
        </is>
      </c>
      <c r="E638" t="inlineStr">
        <is>
          <t>ÅNGE</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52858-2025</t>
        </is>
      </c>
      <c r="B639" s="1" t="n">
        <v>45957.50284722223</v>
      </c>
      <c r="C639" s="1" t="n">
        <v>45986</v>
      </c>
      <c r="D639" t="inlineStr">
        <is>
          <t>VÄSTERNORRLANDS LÄN</t>
        </is>
      </c>
      <c r="E639" t="inlineStr">
        <is>
          <t>ÅNGE</t>
        </is>
      </c>
      <c r="G639" t="n">
        <v>1.7</v>
      </c>
      <c r="H639" t="n">
        <v>0</v>
      </c>
      <c r="I639" t="n">
        <v>0</v>
      </c>
      <c r="J639" t="n">
        <v>0</v>
      </c>
      <c r="K639" t="n">
        <v>0</v>
      </c>
      <c r="L639" t="n">
        <v>0</v>
      </c>
      <c r="M639" t="n">
        <v>0</v>
      </c>
      <c r="N639" t="n">
        <v>0</v>
      </c>
      <c r="O639" t="n">
        <v>0</v>
      </c>
      <c r="P639" t="n">
        <v>0</v>
      </c>
      <c r="Q639" t="n">
        <v>0</v>
      </c>
      <c r="R639" s="2" t="inlineStr"/>
    </row>
    <row r="640" ht="15" customHeight="1">
      <c r="A640" t="inlineStr">
        <is>
          <t>A 2140-2023</t>
        </is>
      </c>
      <c r="B640" s="1" t="n">
        <v>44940</v>
      </c>
      <c r="C640" s="1" t="n">
        <v>45986</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27606-2025</t>
        </is>
      </c>
      <c r="B641" s="1" t="n">
        <v>45813.53200231482</v>
      </c>
      <c r="C641" s="1" t="n">
        <v>45986</v>
      </c>
      <c r="D641" t="inlineStr">
        <is>
          <t>VÄSTERNORRLANDS LÄN</t>
        </is>
      </c>
      <c r="E641" t="inlineStr">
        <is>
          <t>ÅNGE</t>
        </is>
      </c>
      <c r="F641" t="inlineStr">
        <is>
          <t>SCA</t>
        </is>
      </c>
      <c r="G641" t="n">
        <v>6.3</v>
      </c>
      <c r="H641" t="n">
        <v>0</v>
      </c>
      <c r="I641" t="n">
        <v>0</v>
      </c>
      <c r="J641" t="n">
        <v>0</v>
      </c>
      <c r="K641" t="n">
        <v>0</v>
      </c>
      <c r="L641" t="n">
        <v>0</v>
      </c>
      <c r="M641" t="n">
        <v>0</v>
      </c>
      <c r="N641" t="n">
        <v>0</v>
      </c>
      <c r="O641" t="n">
        <v>0</v>
      </c>
      <c r="P641" t="n">
        <v>0</v>
      </c>
      <c r="Q641" t="n">
        <v>0</v>
      </c>
      <c r="R641" s="2" t="inlineStr"/>
    </row>
    <row r="642" ht="15" customHeight="1">
      <c r="A642" t="inlineStr">
        <is>
          <t>A 47488-2023</t>
        </is>
      </c>
      <c r="B642" s="1" t="n">
        <v>45202.94168981481</v>
      </c>
      <c r="C642" s="1" t="n">
        <v>45986</v>
      </c>
      <c r="D642" t="inlineStr">
        <is>
          <t>VÄSTERNORRLANDS LÄN</t>
        </is>
      </c>
      <c r="E642" t="inlineStr">
        <is>
          <t>ÅNGE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52411-2025</t>
        </is>
      </c>
      <c r="B643" s="1" t="n">
        <v>45954.36518518518</v>
      </c>
      <c r="C643" s="1" t="n">
        <v>45986</v>
      </c>
      <c r="D643" t="inlineStr">
        <is>
          <t>VÄSTERNORRLANDS LÄN</t>
        </is>
      </c>
      <c r="E643" t="inlineStr">
        <is>
          <t>ÅNGE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34754-2024</t>
        </is>
      </c>
      <c r="B644" s="1" t="n">
        <v>45526</v>
      </c>
      <c r="C644" s="1" t="n">
        <v>45986</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3362-2023</t>
        </is>
      </c>
      <c r="B645" s="1" t="n">
        <v>44945</v>
      </c>
      <c r="C645" s="1" t="n">
        <v>45986</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59600-2024</t>
        </is>
      </c>
      <c r="B646" s="1" t="n">
        <v>45638.71763888889</v>
      </c>
      <c r="C646" s="1" t="n">
        <v>45986</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33750-2024</t>
        </is>
      </c>
      <c r="B647" s="1" t="n">
        <v>45520.56475694444</v>
      </c>
      <c r="C647" s="1" t="n">
        <v>45986</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43707-2025</t>
        </is>
      </c>
      <c r="B648" s="1" t="n">
        <v>45912.40668981482</v>
      </c>
      <c r="C648" s="1" t="n">
        <v>45986</v>
      </c>
      <c r="D648" t="inlineStr">
        <is>
          <t>VÄSTERNORRLANDS LÄN</t>
        </is>
      </c>
      <c r="E648" t="inlineStr">
        <is>
          <t>ÅNGE</t>
        </is>
      </c>
      <c r="F648" t="inlineStr">
        <is>
          <t>SCA</t>
        </is>
      </c>
      <c r="G648" t="n">
        <v>12.5</v>
      </c>
      <c r="H648" t="n">
        <v>0</v>
      </c>
      <c r="I648" t="n">
        <v>0</v>
      </c>
      <c r="J648" t="n">
        <v>0</v>
      </c>
      <c r="K648" t="n">
        <v>0</v>
      </c>
      <c r="L648" t="n">
        <v>0</v>
      </c>
      <c r="M648" t="n">
        <v>0</v>
      </c>
      <c r="N648" t="n">
        <v>0</v>
      </c>
      <c r="O648" t="n">
        <v>0</v>
      </c>
      <c r="P648" t="n">
        <v>0</v>
      </c>
      <c r="Q648" t="n">
        <v>0</v>
      </c>
      <c r="R648" s="2" t="inlineStr"/>
      <c r="U648">
        <f>HYPERLINK("https://klasma.github.io/Logging_2260/knärot/A 43707-2025 karta knärot.png", "A 43707-2025")</f>
        <v/>
      </c>
      <c r="V648">
        <f>HYPERLINK("https://klasma.github.io/Logging_2260/klagomål/A 43707-2025 FSC-klagomål.docx", "A 43707-2025")</f>
        <v/>
      </c>
      <c r="W648">
        <f>HYPERLINK("https://klasma.github.io/Logging_2260/klagomålsmail/A 43707-2025 FSC-klagomål mail.docx", "A 43707-2025")</f>
        <v/>
      </c>
      <c r="X648">
        <f>HYPERLINK("https://klasma.github.io/Logging_2260/tillsyn/A 43707-2025 tillsynsbegäran.docx", "A 43707-2025")</f>
        <v/>
      </c>
      <c r="Y648">
        <f>HYPERLINK("https://klasma.github.io/Logging_2260/tillsynsmail/A 43707-2025 tillsynsbegäran mail.docx", "A 43707-2025")</f>
        <v/>
      </c>
    </row>
    <row r="649" ht="15" customHeight="1">
      <c r="A649" t="inlineStr">
        <is>
          <t>A 52685-2024</t>
        </is>
      </c>
      <c r="B649" s="1" t="n">
        <v>45610</v>
      </c>
      <c r="C649" s="1" t="n">
        <v>45986</v>
      </c>
      <c r="D649" t="inlineStr">
        <is>
          <t>VÄSTERNORRLANDS LÄN</t>
        </is>
      </c>
      <c r="E649" t="inlineStr">
        <is>
          <t>ÅNGE</t>
        </is>
      </c>
      <c r="G649" t="n">
        <v>2.3</v>
      </c>
      <c r="H649" t="n">
        <v>0</v>
      </c>
      <c r="I649" t="n">
        <v>0</v>
      </c>
      <c r="J649" t="n">
        <v>0</v>
      </c>
      <c r="K649" t="n">
        <v>0</v>
      </c>
      <c r="L649" t="n">
        <v>0</v>
      </c>
      <c r="M649" t="n">
        <v>0</v>
      </c>
      <c r="N649" t="n">
        <v>0</v>
      </c>
      <c r="O649" t="n">
        <v>0</v>
      </c>
      <c r="P649" t="n">
        <v>0</v>
      </c>
      <c r="Q649" t="n">
        <v>0</v>
      </c>
      <c r="R649" s="2" t="inlineStr"/>
    </row>
    <row r="650" ht="15" customHeight="1">
      <c r="A650" t="inlineStr">
        <is>
          <t>A 53012-2025</t>
        </is>
      </c>
      <c r="B650" s="1" t="n">
        <v>45957.80320601852</v>
      </c>
      <c r="C650" s="1" t="n">
        <v>45986</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36466-2024</t>
        </is>
      </c>
      <c r="B651" s="1" t="n">
        <v>45537.35872685185</v>
      </c>
      <c r="C651" s="1" t="n">
        <v>45986</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27639-2025</t>
        </is>
      </c>
      <c r="B652" s="1" t="n">
        <v>45813</v>
      </c>
      <c r="C652" s="1" t="n">
        <v>45986</v>
      </c>
      <c r="D652" t="inlineStr">
        <is>
          <t>VÄSTERNORRLANDS LÄN</t>
        </is>
      </c>
      <c r="E652" t="inlineStr">
        <is>
          <t>ÅNGE</t>
        </is>
      </c>
      <c r="G652" t="n">
        <v>22.9</v>
      </c>
      <c r="H652" t="n">
        <v>0</v>
      </c>
      <c r="I652" t="n">
        <v>0</v>
      </c>
      <c r="J652" t="n">
        <v>0</v>
      </c>
      <c r="K652" t="n">
        <v>0</v>
      </c>
      <c r="L652" t="n">
        <v>0</v>
      </c>
      <c r="M652" t="n">
        <v>0</v>
      </c>
      <c r="N652" t="n">
        <v>0</v>
      </c>
      <c r="O652" t="n">
        <v>0</v>
      </c>
      <c r="P652" t="n">
        <v>0</v>
      </c>
      <c r="Q652" t="n">
        <v>0</v>
      </c>
      <c r="R652" s="2" t="inlineStr"/>
    </row>
    <row r="653" ht="15" customHeight="1">
      <c r="A653" t="inlineStr">
        <is>
          <t>A 27572-2025</t>
        </is>
      </c>
      <c r="B653" s="1" t="n">
        <v>45813.49049768518</v>
      </c>
      <c r="C653" s="1" t="n">
        <v>45986</v>
      </c>
      <c r="D653" t="inlineStr">
        <is>
          <t>VÄSTERNORRLANDS LÄN</t>
        </is>
      </c>
      <c r="E653" t="inlineStr">
        <is>
          <t>ÅNGE</t>
        </is>
      </c>
      <c r="F653" t="inlineStr">
        <is>
          <t>SCA</t>
        </is>
      </c>
      <c r="G653" t="n">
        <v>14.3</v>
      </c>
      <c r="H653" t="n">
        <v>0</v>
      </c>
      <c r="I653" t="n">
        <v>0</v>
      </c>
      <c r="J653" t="n">
        <v>0</v>
      </c>
      <c r="K653" t="n">
        <v>0</v>
      </c>
      <c r="L653" t="n">
        <v>0</v>
      </c>
      <c r="M653" t="n">
        <v>0</v>
      </c>
      <c r="N653" t="n">
        <v>0</v>
      </c>
      <c r="O653" t="n">
        <v>0</v>
      </c>
      <c r="P653" t="n">
        <v>0</v>
      </c>
      <c r="Q653" t="n">
        <v>0</v>
      </c>
      <c r="R653" s="2" t="inlineStr"/>
    </row>
    <row r="654" ht="15" customHeight="1">
      <c r="A654" t="inlineStr">
        <is>
          <t>A 27165-2025</t>
        </is>
      </c>
      <c r="B654" s="1" t="n">
        <v>45812.34440972222</v>
      </c>
      <c r="C654" s="1" t="n">
        <v>45986</v>
      </c>
      <c r="D654" t="inlineStr">
        <is>
          <t>VÄSTERNORRLANDS LÄN</t>
        </is>
      </c>
      <c r="E654" t="inlineStr">
        <is>
          <t>ÅNGE</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27545-2025</t>
        </is>
      </c>
      <c r="B655" s="1" t="n">
        <v>45813.46942129629</v>
      </c>
      <c r="C655" s="1" t="n">
        <v>45986</v>
      </c>
      <c r="D655" t="inlineStr">
        <is>
          <t>VÄSTERNORRLANDS LÄN</t>
        </is>
      </c>
      <c r="E655" t="inlineStr">
        <is>
          <t>ÅNGE</t>
        </is>
      </c>
      <c r="F655" t="inlineStr">
        <is>
          <t>SCA</t>
        </is>
      </c>
      <c r="G655" t="n">
        <v>14.3</v>
      </c>
      <c r="H655" t="n">
        <v>0</v>
      </c>
      <c r="I655" t="n">
        <v>0</v>
      </c>
      <c r="J655" t="n">
        <v>0</v>
      </c>
      <c r="K655" t="n">
        <v>0</v>
      </c>
      <c r="L655" t="n">
        <v>0</v>
      </c>
      <c r="M655" t="n">
        <v>0</v>
      </c>
      <c r="N655" t="n">
        <v>0</v>
      </c>
      <c r="O655" t="n">
        <v>0</v>
      </c>
      <c r="P655" t="n">
        <v>0</v>
      </c>
      <c r="Q655" t="n">
        <v>0</v>
      </c>
      <c r="R655" s="2" t="inlineStr"/>
    </row>
    <row r="656" ht="15" customHeight="1">
      <c r="A656" t="inlineStr">
        <is>
          <t>A 54720-2024</t>
        </is>
      </c>
      <c r="B656" s="1" t="n">
        <v>45618.43715277778</v>
      </c>
      <c r="C656" s="1" t="n">
        <v>45986</v>
      </c>
      <c r="D656" t="inlineStr">
        <is>
          <t>VÄSTERNORRLANDS LÄN</t>
        </is>
      </c>
      <c r="E656" t="inlineStr">
        <is>
          <t>ÅNGE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35650-2024</t>
        </is>
      </c>
      <c r="B657" s="1" t="n">
        <v>45532.34123842593</v>
      </c>
      <c r="C657" s="1" t="n">
        <v>45986</v>
      </c>
      <c r="D657" t="inlineStr">
        <is>
          <t>VÄSTERNORRLANDS LÄN</t>
        </is>
      </c>
      <c r="E657" t="inlineStr">
        <is>
          <t>ÅNGE</t>
        </is>
      </c>
      <c r="G657" t="n">
        <v>3.8</v>
      </c>
      <c r="H657" t="n">
        <v>0</v>
      </c>
      <c r="I657" t="n">
        <v>0</v>
      </c>
      <c r="J657" t="n">
        <v>0</v>
      </c>
      <c r="K657" t="n">
        <v>0</v>
      </c>
      <c r="L657" t="n">
        <v>0</v>
      </c>
      <c r="M657" t="n">
        <v>0</v>
      </c>
      <c r="N657" t="n">
        <v>0</v>
      </c>
      <c r="O657" t="n">
        <v>0</v>
      </c>
      <c r="P657" t="n">
        <v>0</v>
      </c>
      <c r="Q657" t="n">
        <v>0</v>
      </c>
      <c r="R657" s="2" t="inlineStr"/>
    </row>
    <row r="658" ht="15" customHeight="1">
      <c r="A658" t="inlineStr">
        <is>
          <t>A 19709-2025</t>
        </is>
      </c>
      <c r="B658" s="1" t="n">
        <v>45771.34263888889</v>
      </c>
      <c r="C658" s="1" t="n">
        <v>45986</v>
      </c>
      <c r="D658" t="inlineStr">
        <is>
          <t>VÄSTERNORRLANDS LÄN</t>
        </is>
      </c>
      <c r="E658" t="inlineStr">
        <is>
          <t>ÅNGE</t>
        </is>
      </c>
      <c r="G658" t="n">
        <v>3.8</v>
      </c>
      <c r="H658" t="n">
        <v>0</v>
      </c>
      <c r="I658" t="n">
        <v>0</v>
      </c>
      <c r="J658" t="n">
        <v>0</v>
      </c>
      <c r="K658" t="n">
        <v>0</v>
      </c>
      <c r="L658" t="n">
        <v>0</v>
      </c>
      <c r="M658" t="n">
        <v>0</v>
      </c>
      <c r="N658" t="n">
        <v>0</v>
      </c>
      <c r="O658" t="n">
        <v>0</v>
      </c>
      <c r="P658" t="n">
        <v>0</v>
      </c>
      <c r="Q658" t="n">
        <v>0</v>
      </c>
      <c r="R658" s="2" t="inlineStr"/>
    </row>
    <row r="659" ht="15" customHeight="1">
      <c r="A659" t="inlineStr">
        <is>
          <t>A 53033-2025</t>
        </is>
      </c>
      <c r="B659" s="1" t="n">
        <v>45958.34479166667</v>
      </c>
      <c r="C659" s="1" t="n">
        <v>45986</v>
      </c>
      <c r="D659" t="inlineStr">
        <is>
          <t>VÄSTERNORRLANDS LÄN</t>
        </is>
      </c>
      <c r="E659" t="inlineStr">
        <is>
          <t>ÅNGE</t>
        </is>
      </c>
      <c r="G659" t="n">
        <v>2.7</v>
      </c>
      <c r="H659" t="n">
        <v>0</v>
      </c>
      <c r="I659" t="n">
        <v>0</v>
      </c>
      <c r="J659" t="n">
        <v>0</v>
      </c>
      <c r="K659" t="n">
        <v>0</v>
      </c>
      <c r="L659" t="n">
        <v>0</v>
      </c>
      <c r="M659" t="n">
        <v>0</v>
      </c>
      <c r="N659" t="n">
        <v>0</v>
      </c>
      <c r="O659" t="n">
        <v>0</v>
      </c>
      <c r="P659" t="n">
        <v>0</v>
      </c>
      <c r="Q659" t="n">
        <v>0</v>
      </c>
      <c r="R659" s="2" t="inlineStr"/>
    </row>
    <row r="660" ht="15" customHeight="1">
      <c r="A660" t="inlineStr">
        <is>
          <t>A 24552-2023</t>
        </is>
      </c>
      <c r="B660" s="1" t="n">
        <v>45082.94226851852</v>
      </c>
      <c r="C660" s="1" t="n">
        <v>45986</v>
      </c>
      <c r="D660" t="inlineStr">
        <is>
          <t>VÄSTERNORRLANDS LÄN</t>
        </is>
      </c>
      <c r="E660" t="inlineStr">
        <is>
          <t>ÅNGE</t>
        </is>
      </c>
      <c r="G660" t="n">
        <v>1.5</v>
      </c>
      <c r="H660" t="n">
        <v>0</v>
      </c>
      <c r="I660" t="n">
        <v>0</v>
      </c>
      <c r="J660" t="n">
        <v>0</v>
      </c>
      <c r="K660" t="n">
        <v>0</v>
      </c>
      <c r="L660" t="n">
        <v>0</v>
      </c>
      <c r="M660" t="n">
        <v>0</v>
      </c>
      <c r="N660" t="n">
        <v>0</v>
      </c>
      <c r="O660" t="n">
        <v>0</v>
      </c>
      <c r="P660" t="n">
        <v>0</v>
      </c>
      <c r="Q660" t="n">
        <v>0</v>
      </c>
      <c r="R660" s="2" t="inlineStr"/>
    </row>
    <row r="661" ht="15" customHeight="1">
      <c r="A661" t="inlineStr">
        <is>
          <t>A 11531-2023</t>
        </is>
      </c>
      <c r="B661" s="1" t="n">
        <v>44993.77038194444</v>
      </c>
      <c r="C661" s="1" t="n">
        <v>45986</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11532-2023</t>
        </is>
      </c>
      <c r="B662" s="1" t="n">
        <v>44993.77212962963</v>
      </c>
      <c r="C662" s="1" t="n">
        <v>45986</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45459-2022</t>
        </is>
      </c>
      <c r="B663" s="1" t="n">
        <v>44845</v>
      </c>
      <c r="C663" s="1" t="n">
        <v>45986</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41758-2024</t>
        </is>
      </c>
      <c r="B664" s="1" t="n">
        <v>45561.34478009259</v>
      </c>
      <c r="C664" s="1" t="n">
        <v>45986</v>
      </c>
      <c r="D664" t="inlineStr">
        <is>
          <t>VÄSTERNORRLANDS LÄN</t>
        </is>
      </c>
      <c r="E664" t="inlineStr">
        <is>
          <t>ÅNGE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9759-2024</t>
        </is>
      </c>
      <c r="B665" s="1" t="n">
        <v>45362</v>
      </c>
      <c r="C665" s="1" t="n">
        <v>45986</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53381-2025</t>
        </is>
      </c>
      <c r="B666" s="1" t="n">
        <v>45959.53690972222</v>
      </c>
      <c r="C666" s="1" t="n">
        <v>45986</v>
      </c>
      <c r="D666" t="inlineStr">
        <is>
          <t>VÄSTERNORRLANDS LÄN</t>
        </is>
      </c>
      <c r="E666" t="inlineStr">
        <is>
          <t>ÅNGE</t>
        </is>
      </c>
      <c r="G666" t="n">
        <v>9.6</v>
      </c>
      <c r="H666" t="n">
        <v>0</v>
      </c>
      <c r="I666" t="n">
        <v>0</v>
      </c>
      <c r="J666" t="n">
        <v>0</v>
      </c>
      <c r="K666" t="n">
        <v>0</v>
      </c>
      <c r="L666" t="n">
        <v>0</v>
      </c>
      <c r="M666" t="n">
        <v>0</v>
      </c>
      <c r="N666" t="n">
        <v>0</v>
      </c>
      <c r="O666" t="n">
        <v>0</v>
      </c>
      <c r="P666" t="n">
        <v>0</v>
      </c>
      <c r="Q666" t="n">
        <v>0</v>
      </c>
      <c r="R666" s="2" t="inlineStr"/>
    </row>
    <row r="667" ht="15" customHeight="1">
      <c r="A667" t="inlineStr">
        <is>
          <t>A 55328-2023</t>
        </is>
      </c>
      <c r="B667" s="1" t="n">
        <v>45237</v>
      </c>
      <c r="C667" s="1" t="n">
        <v>45986</v>
      </c>
      <c r="D667" t="inlineStr">
        <is>
          <t>VÄSTERNORRLANDS LÄN</t>
        </is>
      </c>
      <c r="E667" t="inlineStr">
        <is>
          <t>ÅNGE</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5369-2022</t>
        </is>
      </c>
      <c r="B668" s="1" t="n">
        <v>44594.92113425926</v>
      </c>
      <c r="C668" s="1" t="n">
        <v>45986</v>
      </c>
      <c r="D668" t="inlineStr">
        <is>
          <t>VÄSTERNORRLANDS LÄN</t>
        </is>
      </c>
      <c r="E668" t="inlineStr">
        <is>
          <t>ÅNGE</t>
        </is>
      </c>
      <c r="G668" t="n">
        <v>1.3</v>
      </c>
      <c r="H668" t="n">
        <v>0</v>
      </c>
      <c r="I668" t="n">
        <v>0</v>
      </c>
      <c r="J668" t="n">
        <v>0</v>
      </c>
      <c r="K668" t="n">
        <v>0</v>
      </c>
      <c r="L668" t="n">
        <v>0</v>
      </c>
      <c r="M668" t="n">
        <v>0</v>
      </c>
      <c r="N668" t="n">
        <v>0</v>
      </c>
      <c r="O668" t="n">
        <v>0</v>
      </c>
      <c r="P668" t="n">
        <v>0</v>
      </c>
      <c r="Q668" t="n">
        <v>0</v>
      </c>
      <c r="R668" s="2" t="inlineStr"/>
    </row>
    <row r="669" ht="15" customHeight="1">
      <c r="A669" t="inlineStr">
        <is>
          <t>A 28085-2025</t>
        </is>
      </c>
      <c r="B669" s="1" t="n">
        <v>45817.71924768519</v>
      </c>
      <c r="C669" s="1" t="n">
        <v>45986</v>
      </c>
      <c r="D669" t="inlineStr">
        <is>
          <t>VÄSTERNORRLANDS LÄN</t>
        </is>
      </c>
      <c r="E669" t="inlineStr">
        <is>
          <t>ÅNGE</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213-2024</t>
        </is>
      </c>
      <c r="B670" s="1" t="n">
        <v>45293</v>
      </c>
      <c r="C670" s="1" t="n">
        <v>45986</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28070-2025</t>
        </is>
      </c>
      <c r="B671" s="1" t="n">
        <v>45817.67739583334</v>
      </c>
      <c r="C671" s="1" t="n">
        <v>45986</v>
      </c>
      <c r="D671" t="inlineStr">
        <is>
          <t>VÄSTERNORRLANDS LÄN</t>
        </is>
      </c>
      <c r="E671" t="inlineStr">
        <is>
          <t>ÅNGE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53221-2025</t>
        </is>
      </c>
      <c r="B672" s="1" t="n">
        <v>45958.60331018519</v>
      </c>
      <c r="C672" s="1" t="n">
        <v>45986</v>
      </c>
      <c r="D672" t="inlineStr">
        <is>
          <t>VÄSTERNORRLANDS LÄN</t>
        </is>
      </c>
      <c r="E672" t="inlineStr">
        <is>
          <t>ÅNGE</t>
        </is>
      </c>
      <c r="G672" t="n">
        <v>2.1</v>
      </c>
      <c r="H672" t="n">
        <v>0</v>
      </c>
      <c r="I672" t="n">
        <v>0</v>
      </c>
      <c r="J672" t="n">
        <v>0</v>
      </c>
      <c r="K672" t="n">
        <v>0</v>
      </c>
      <c r="L672" t="n">
        <v>0</v>
      </c>
      <c r="M672" t="n">
        <v>0</v>
      </c>
      <c r="N672" t="n">
        <v>0</v>
      </c>
      <c r="O672" t="n">
        <v>0</v>
      </c>
      <c r="P672" t="n">
        <v>0</v>
      </c>
      <c r="Q672" t="n">
        <v>0</v>
      </c>
      <c r="R672" s="2" t="inlineStr"/>
    </row>
    <row r="673" ht="15" customHeight="1">
      <c r="A673" t="inlineStr">
        <is>
          <t>A 4872-2025</t>
        </is>
      </c>
      <c r="B673" s="1" t="n">
        <v>45688.67619212963</v>
      </c>
      <c r="C673" s="1" t="n">
        <v>45986</v>
      </c>
      <c r="D673" t="inlineStr">
        <is>
          <t>VÄSTERNORRLANDS LÄN</t>
        </is>
      </c>
      <c r="E673" t="inlineStr">
        <is>
          <t>ÅNGE</t>
        </is>
      </c>
      <c r="F673" t="inlineStr">
        <is>
          <t>SCA</t>
        </is>
      </c>
      <c r="G673" t="n">
        <v>31.3</v>
      </c>
      <c r="H673" t="n">
        <v>0</v>
      </c>
      <c r="I673" t="n">
        <v>0</v>
      </c>
      <c r="J673" t="n">
        <v>0</v>
      </c>
      <c r="K673" t="n">
        <v>0</v>
      </c>
      <c r="L673" t="n">
        <v>0</v>
      </c>
      <c r="M673" t="n">
        <v>0</v>
      </c>
      <c r="N673" t="n">
        <v>0</v>
      </c>
      <c r="O673" t="n">
        <v>0</v>
      </c>
      <c r="P673" t="n">
        <v>0</v>
      </c>
      <c r="Q673" t="n">
        <v>0</v>
      </c>
      <c r="R673" s="2" t="inlineStr"/>
      <c r="U673">
        <f>HYPERLINK("https://klasma.github.io/Logging_2260/knärot/A 4872-2025 karta knärot.png", "A 4872-2025")</f>
        <v/>
      </c>
      <c r="V673">
        <f>HYPERLINK("https://klasma.github.io/Logging_2260/klagomål/A 4872-2025 FSC-klagomål.docx", "A 4872-2025")</f>
        <v/>
      </c>
      <c r="W673">
        <f>HYPERLINK("https://klasma.github.io/Logging_2260/klagomålsmail/A 4872-2025 FSC-klagomål mail.docx", "A 4872-2025")</f>
        <v/>
      </c>
      <c r="X673">
        <f>HYPERLINK("https://klasma.github.io/Logging_2260/tillsyn/A 4872-2025 tillsynsbegäran.docx", "A 4872-2025")</f>
        <v/>
      </c>
      <c r="Y673">
        <f>HYPERLINK("https://klasma.github.io/Logging_2260/tillsynsmail/A 4872-2025 tillsynsbegäran mail.docx", "A 4872-2025")</f>
        <v/>
      </c>
    </row>
    <row r="674" ht="15" customHeight="1">
      <c r="A674" t="inlineStr">
        <is>
          <t>A 35426-2024</t>
        </is>
      </c>
      <c r="B674" s="1" t="n">
        <v>45531</v>
      </c>
      <c r="C674" s="1" t="n">
        <v>45986</v>
      </c>
      <c r="D674" t="inlineStr">
        <is>
          <t>VÄSTERNORRLANDS LÄN</t>
        </is>
      </c>
      <c r="E674" t="inlineStr">
        <is>
          <t>ÅNGE</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35488-2024</t>
        </is>
      </c>
      <c r="B675" s="1" t="n">
        <v>45531</v>
      </c>
      <c r="C675" s="1" t="n">
        <v>45986</v>
      </c>
      <c r="D675" t="inlineStr">
        <is>
          <t>VÄSTERNORRLANDS LÄN</t>
        </is>
      </c>
      <c r="E675" t="inlineStr">
        <is>
          <t>ÅNGE</t>
        </is>
      </c>
      <c r="G675" t="n">
        <v>2.4</v>
      </c>
      <c r="H675" t="n">
        <v>0</v>
      </c>
      <c r="I675" t="n">
        <v>0</v>
      </c>
      <c r="J675" t="n">
        <v>0</v>
      </c>
      <c r="K675" t="n">
        <v>0</v>
      </c>
      <c r="L675" t="n">
        <v>0</v>
      </c>
      <c r="M675" t="n">
        <v>0</v>
      </c>
      <c r="N675" t="n">
        <v>0</v>
      </c>
      <c r="O675" t="n">
        <v>0</v>
      </c>
      <c r="P675" t="n">
        <v>0</v>
      </c>
      <c r="Q675" t="n">
        <v>0</v>
      </c>
      <c r="R675" s="2" t="inlineStr"/>
    </row>
    <row r="676" ht="15" customHeight="1">
      <c r="A676" t="inlineStr">
        <is>
          <t>A 44919-2025</t>
        </is>
      </c>
      <c r="B676" s="1" t="n">
        <v>45918.55246527777</v>
      </c>
      <c r="C676" s="1" t="n">
        <v>45986</v>
      </c>
      <c r="D676" t="inlineStr">
        <is>
          <t>VÄSTERNORRLANDS LÄN</t>
        </is>
      </c>
      <c r="E676" t="inlineStr">
        <is>
          <t>ÅNGE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44935-2025</t>
        </is>
      </c>
      <c r="B677" s="1" t="n">
        <v>45918.57392361111</v>
      </c>
      <c r="C677" s="1" t="n">
        <v>45986</v>
      </c>
      <c r="D677" t="inlineStr">
        <is>
          <t>VÄSTERNORRLANDS LÄN</t>
        </is>
      </c>
      <c r="E677" t="inlineStr">
        <is>
          <t>ÅNGE</t>
        </is>
      </c>
      <c r="F677" t="inlineStr">
        <is>
          <t>SCA</t>
        </is>
      </c>
      <c r="G677" t="n">
        <v>6.8</v>
      </c>
      <c r="H677" t="n">
        <v>0</v>
      </c>
      <c r="I677" t="n">
        <v>0</v>
      </c>
      <c r="J677" t="n">
        <v>0</v>
      </c>
      <c r="K677" t="n">
        <v>0</v>
      </c>
      <c r="L677" t="n">
        <v>0</v>
      </c>
      <c r="M677" t="n">
        <v>0</v>
      </c>
      <c r="N677" t="n">
        <v>0</v>
      </c>
      <c r="O677" t="n">
        <v>0</v>
      </c>
      <c r="P677" t="n">
        <v>0</v>
      </c>
      <c r="Q677" t="n">
        <v>0</v>
      </c>
      <c r="R677" s="2" t="inlineStr"/>
    </row>
    <row r="678" ht="15" customHeight="1">
      <c r="A678" t="inlineStr">
        <is>
          <t>A 3347-2024</t>
        </is>
      </c>
      <c r="B678" s="1" t="n">
        <v>45317</v>
      </c>
      <c r="C678" s="1" t="n">
        <v>45986</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53713-2025</t>
        </is>
      </c>
      <c r="B679" s="1" t="n">
        <v>45960.61568287037</v>
      </c>
      <c r="C679" s="1" t="n">
        <v>45986</v>
      </c>
      <c r="D679" t="inlineStr">
        <is>
          <t>VÄSTERNORRLANDS LÄN</t>
        </is>
      </c>
      <c r="E679" t="inlineStr">
        <is>
          <t>ÅNGE</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31563-2024</t>
        </is>
      </c>
      <c r="B680" s="1" t="n">
        <v>45505</v>
      </c>
      <c r="C680" s="1" t="n">
        <v>45986</v>
      </c>
      <c r="D680" t="inlineStr">
        <is>
          <t>VÄSTERNORRLANDS LÄN</t>
        </is>
      </c>
      <c r="E680" t="inlineStr">
        <is>
          <t>ÅNGE</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53984-2025</t>
        </is>
      </c>
      <c r="B681" s="1" t="n">
        <v>45961.5734837963</v>
      </c>
      <c r="C681" s="1" t="n">
        <v>45986</v>
      </c>
      <c r="D681" t="inlineStr">
        <is>
          <t>VÄSTERNORRLANDS LÄN</t>
        </is>
      </c>
      <c r="E681" t="inlineStr">
        <is>
          <t>ÅNGE</t>
        </is>
      </c>
      <c r="F681" t="inlineStr">
        <is>
          <t>SCA</t>
        </is>
      </c>
      <c r="G681" t="n">
        <v>14.8</v>
      </c>
      <c r="H681" t="n">
        <v>0</v>
      </c>
      <c r="I681" t="n">
        <v>0</v>
      </c>
      <c r="J681" t="n">
        <v>0</v>
      </c>
      <c r="K681" t="n">
        <v>0</v>
      </c>
      <c r="L681" t="n">
        <v>0</v>
      </c>
      <c r="M681" t="n">
        <v>0</v>
      </c>
      <c r="N681" t="n">
        <v>0</v>
      </c>
      <c r="O681" t="n">
        <v>0</v>
      </c>
      <c r="P681" t="n">
        <v>0</v>
      </c>
      <c r="Q681" t="n">
        <v>0</v>
      </c>
      <c r="R681" s="2" t="inlineStr"/>
    </row>
    <row r="682" ht="15" customHeight="1">
      <c r="A682" t="inlineStr">
        <is>
          <t>A 34629-2025</t>
        </is>
      </c>
      <c r="B682" s="1" t="n">
        <v>45847.93006944445</v>
      </c>
      <c r="C682" s="1" t="n">
        <v>45986</v>
      </c>
      <c r="D682" t="inlineStr">
        <is>
          <t>VÄSTERNORRLANDS LÄN</t>
        </is>
      </c>
      <c r="E682" t="inlineStr">
        <is>
          <t>ÅNGE</t>
        </is>
      </c>
      <c r="G682" t="n">
        <v>0.2</v>
      </c>
      <c r="H682" t="n">
        <v>0</v>
      </c>
      <c r="I682" t="n">
        <v>0</v>
      </c>
      <c r="J682" t="n">
        <v>0</v>
      </c>
      <c r="K682" t="n">
        <v>0</v>
      </c>
      <c r="L682" t="n">
        <v>0</v>
      </c>
      <c r="M682" t="n">
        <v>0</v>
      </c>
      <c r="N682" t="n">
        <v>0</v>
      </c>
      <c r="O682" t="n">
        <v>0</v>
      </c>
      <c r="P682" t="n">
        <v>0</v>
      </c>
      <c r="Q682" t="n">
        <v>0</v>
      </c>
      <c r="R682" s="2" t="inlineStr"/>
    </row>
    <row r="683" ht="15" customHeight="1">
      <c r="A683" t="inlineStr">
        <is>
          <t>A 53985-2025</t>
        </is>
      </c>
      <c r="B683" s="1" t="n">
        <v>45961.57366898148</v>
      </c>
      <c r="C683" s="1" t="n">
        <v>45986</v>
      </c>
      <c r="D683" t="inlineStr">
        <is>
          <t>VÄSTERNORRLANDS LÄN</t>
        </is>
      </c>
      <c r="E683" t="inlineStr">
        <is>
          <t>ÅNGE</t>
        </is>
      </c>
      <c r="F683" t="inlineStr">
        <is>
          <t>SCA</t>
        </is>
      </c>
      <c r="G683" t="n">
        <v>14.2</v>
      </c>
      <c r="H683" t="n">
        <v>0</v>
      </c>
      <c r="I683" t="n">
        <v>0</v>
      </c>
      <c r="J683" t="n">
        <v>0</v>
      </c>
      <c r="K683" t="n">
        <v>0</v>
      </c>
      <c r="L683" t="n">
        <v>0</v>
      </c>
      <c r="M683" t="n">
        <v>0</v>
      </c>
      <c r="N683" t="n">
        <v>0</v>
      </c>
      <c r="O683" t="n">
        <v>0</v>
      </c>
      <c r="P683" t="n">
        <v>0</v>
      </c>
      <c r="Q683" t="n">
        <v>0</v>
      </c>
      <c r="R683" s="2" t="inlineStr"/>
    </row>
    <row r="684" ht="15" customHeight="1">
      <c r="A684" t="inlineStr">
        <is>
          <t>A 53509-2025</t>
        </is>
      </c>
      <c r="B684" s="1" t="n">
        <v>45960.34506944445</v>
      </c>
      <c r="C684" s="1" t="n">
        <v>45986</v>
      </c>
      <c r="D684" t="inlineStr">
        <is>
          <t>VÄSTERNORRLANDS LÄN</t>
        </is>
      </c>
      <c r="E684" t="inlineStr">
        <is>
          <t>ÅNGE</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741-2024</t>
        </is>
      </c>
      <c r="B685" s="1" t="n">
        <v>45300.46591435185</v>
      </c>
      <c r="C685" s="1" t="n">
        <v>45986</v>
      </c>
      <c r="D685" t="inlineStr">
        <is>
          <t>VÄSTERNORRLANDS LÄN</t>
        </is>
      </c>
      <c r="E685" t="inlineStr">
        <is>
          <t>ÅNGE</t>
        </is>
      </c>
      <c r="G685" t="n">
        <v>8</v>
      </c>
      <c r="H685" t="n">
        <v>0</v>
      </c>
      <c r="I685" t="n">
        <v>0</v>
      </c>
      <c r="J685" t="n">
        <v>0</v>
      </c>
      <c r="K685" t="n">
        <v>0</v>
      </c>
      <c r="L685" t="n">
        <v>0</v>
      </c>
      <c r="M685" t="n">
        <v>0</v>
      </c>
      <c r="N685" t="n">
        <v>0</v>
      </c>
      <c r="O685" t="n">
        <v>0</v>
      </c>
      <c r="P685" t="n">
        <v>0</v>
      </c>
      <c r="Q685" t="n">
        <v>0</v>
      </c>
      <c r="R685" s="2" t="inlineStr"/>
    </row>
    <row r="686" ht="15" customHeight="1">
      <c r="A686" t="inlineStr">
        <is>
          <t>A 48369-2024</t>
        </is>
      </c>
      <c r="B686" s="1" t="n">
        <v>45590.57960648148</v>
      </c>
      <c r="C686" s="1" t="n">
        <v>45986</v>
      </c>
      <c r="D686" t="inlineStr">
        <is>
          <t>VÄSTERNORRLANDS LÄN</t>
        </is>
      </c>
      <c r="E686" t="inlineStr">
        <is>
          <t>ÅNGE</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28143-2025</t>
        </is>
      </c>
      <c r="B687" s="1" t="n">
        <v>45818.34546296296</v>
      </c>
      <c r="C687" s="1" t="n">
        <v>45986</v>
      </c>
      <c r="D687" t="inlineStr">
        <is>
          <t>VÄSTERNORRLANDS LÄN</t>
        </is>
      </c>
      <c r="E687" t="inlineStr">
        <is>
          <t>ÅNGE</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28404-2025</t>
        </is>
      </c>
      <c r="B688" s="1" t="n">
        <v>45819.34532407407</v>
      </c>
      <c r="C688" s="1" t="n">
        <v>45986</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16524-2025</t>
        </is>
      </c>
      <c r="B689" s="1" t="n">
        <v>45751.64310185185</v>
      </c>
      <c r="C689" s="1" t="n">
        <v>45986</v>
      </c>
      <c r="D689" t="inlineStr">
        <is>
          <t>VÄSTERNORRLANDS LÄN</t>
        </is>
      </c>
      <c r="E689" t="inlineStr">
        <is>
          <t>ÅNGE</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52683-2024</t>
        </is>
      </c>
      <c r="B690" s="1" t="n">
        <v>45610</v>
      </c>
      <c r="C690" s="1" t="n">
        <v>45986</v>
      </c>
      <c r="D690" t="inlineStr">
        <is>
          <t>VÄSTERNORRLANDS LÄN</t>
        </is>
      </c>
      <c r="E690" t="inlineStr">
        <is>
          <t>ÅNGE</t>
        </is>
      </c>
      <c r="G690" t="n">
        <v>1.8</v>
      </c>
      <c r="H690" t="n">
        <v>0</v>
      </c>
      <c r="I690" t="n">
        <v>0</v>
      </c>
      <c r="J690" t="n">
        <v>0</v>
      </c>
      <c r="K690" t="n">
        <v>0</v>
      </c>
      <c r="L690" t="n">
        <v>0</v>
      </c>
      <c r="M690" t="n">
        <v>0</v>
      </c>
      <c r="N690" t="n">
        <v>0</v>
      </c>
      <c r="O690" t="n">
        <v>0</v>
      </c>
      <c r="P690" t="n">
        <v>0</v>
      </c>
      <c r="Q690" t="n">
        <v>0</v>
      </c>
      <c r="R690" s="2" t="inlineStr"/>
    </row>
    <row r="691" ht="15" customHeight="1">
      <c r="A691" t="inlineStr">
        <is>
          <t>A 40790-2023</t>
        </is>
      </c>
      <c r="B691" s="1" t="n">
        <v>45170.95814814815</v>
      </c>
      <c r="C691" s="1" t="n">
        <v>45986</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29153-2025</t>
        </is>
      </c>
      <c r="B692" s="1" t="n">
        <v>45821.63574074074</v>
      </c>
      <c r="C692" s="1" t="n">
        <v>45986</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28896-2025</t>
        </is>
      </c>
      <c r="B693" s="1" t="n">
        <v>45820.63584490741</v>
      </c>
      <c r="C693" s="1" t="n">
        <v>45986</v>
      </c>
      <c r="D693" t="inlineStr">
        <is>
          <t>VÄSTERNORRLANDS LÄN</t>
        </is>
      </c>
      <c r="E693" t="inlineStr">
        <is>
          <t>ÅNGE</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38002-2024</t>
        </is>
      </c>
      <c r="B694" s="1" t="n">
        <v>45544.61484953704</v>
      </c>
      <c r="C694" s="1" t="n">
        <v>45986</v>
      </c>
      <c r="D694" t="inlineStr">
        <is>
          <t>VÄSTERNORRLANDS LÄN</t>
        </is>
      </c>
      <c r="E694" t="inlineStr">
        <is>
          <t>ÅNGE</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60514-2024</t>
        </is>
      </c>
      <c r="B695" s="1" t="n">
        <v>45643.67474537037</v>
      </c>
      <c r="C695" s="1" t="n">
        <v>45986</v>
      </c>
      <c r="D695" t="inlineStr">
        <is>
          <t>VÄSTERNORRLANDS LÄN</t>
        </is>
      </c>
      <c r="E695" t="inlineStr">
        <is>
          <t>ÅNGE</t>
        </is>
      </c>
      <c r="G695" t="n">
        <v>2.4</v>
      </c>
      <c r="H695" t="n">
        <v>0</v>
      </c>
      <c r="I695" t="n">
        <v>0</v>
      </c>
      <c r="J695" t="n">
        <v>0</v>
      </c>
      <c r="K695" t="n">
        <v>0</v>
      </c>
      <c r="L695" t="n">
        <v>0</v>
      </c>
      <c r="M695" t="n">
        <v>0</v>
      </c>
      <c r="N695" t="n">
        <v>0</v>
      </c>
      <c r="O695" t="n">
        <v>0</v>
      </c>
      <c r="P695" t="n">
        <v>0</v>
      </c>
      <c r="Q695" t="n">
        <v>0</v>
      </c>
      <c r="R695" s="2" t="inlineStr"/>
    </row>
    <row r="696" ht="15" customHeight="1">
      <c r="A696" t="inlineStr">
        <is>
          <t>A 6684-2024</t>
        </is>
      </c>
      <c r="B696" s="1" t="n">
        <v>45341.92555555556</v>
      </c>
      <c r="C696" s="1" t="n">
        <v>45986</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6691-2024</t>
        </is>
      </c>
      <c r="B697" s="1" t="n">
        <v>45341</v>
      </c>
      <c r="C697" s="1" t="n">
        <v>45986</v>
      </c>
      <c r="D697" t="inlineStr">
        <is>
          <t>VÄSTERNORRLANDS LÄN</t>
        </is>
      </c>
      <c r="E697" t="inlineStr">
        <is>
          <t>ÅNGE</t>
        </is>
      </c>
      <c r="G697" t="n">
        <v>0.9</v>
      </c>
      <c r="H697" t="n">
        <v>0</v>
      </c>
      <c r="I697" t="n">
        <v>0</v>
      </c>
      <c r="J697" t="n">
        <v>0</v>
      </c>
      <c r="K697" t="n">
        <v>0</v>
      </c>
      <c r="L697" t="n">
        <v>0</v>
      </c>
      <c r="M697" t="n">
        <v>0</v>
      </c>
      <c r="N697" t="n">
        <v>0</v>
      </c>
      <c r="O697" t="n">
        <v>0</v>
      </c>
      <c r="P697" t="n">
        <v>0</v>
      </c>
      <c r="Q697" t="n">
        <v>0</v>
      </c>
      <c r="R697" s="2" t="inlineStr"/>
    </row>
    <row r="698" ht="15" customHeight="1">
      <c r="A698" t="inlineStr">
        <is>
          <t>A 28814-2025</t>
        </is>
      </c>
      <c r="B698" s="1" t="n">
        <v>45820.52846064815</v>
      </c>
      <c r="C698" s="1" t="n">
        <v>45986</v>
      </c>
      <c r="D698" t="inlineStr">
        <is>
          <t>VÄSTERNORRLANDS LÄN</t>
        </is>
      </c>
      <c r="E698" t="inlineStr">
        <is>
          <t>ÅNGE</t>
        </is>
      </c>
      <c r="G698" t="n">
        <v>2.6</v>
      </c>
      <c r="H698" t="n">
        <v>0</v>
      </c>
      <c r="I698" t="n">
        <v>0</v>
      </c>
      <c r="J698" t="n">
        <v>0</v>
      </c>
      <c r="K698" t="n">
        <v>0</v>
      </c>
      <c r="L698" t="n">
        <v>0</v>
      </c>
      <c r="M698" t="n">
        <v>0</v>
      </c>
      <c r="N698" t="n">
        <v>0</v>
      </c>
      <c r="O698" t="n">
        <v>0</v>
      </c>
      <c r="P698" t="n">
        <v>0</v>
      </c>
      <c r="Q698" t="n">
        <v>0</v>
      </c>
      <c r="R698" s="2" t="inlineStr"/>
    </row>
    <row r="699" ht="15" customHeight="1">
      <c r="A699" t="inlineStr">
        <is>
          <t>A 45403-2025</t>
        </is>
      </c>
      <c r="B699" s="1" t="n">
        <v>45922.42803240741</v>
      </c>
      <c r="C699" s="1" t="n">
        <v>45986</v>
      </c>
      <c r="D699" t="inlineStr">
        <is>
          <t>VÄSTERNORRLANDS LÄN</t>
        </is>
      </c>
      <c r="E699" t="inlineStr">
        <is>
          <t>ÅNGE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28717-2025</t>
        </is>
      </c>
      <c r="B700" s="1" t="n">
        <v>45820</v>
      </c>
      <c r="C700" s="1" t="n">
        <v>45986</v>
      </c>
      <c r="D700" t="inlineStr">
        <is>
          <t>VÄSTERNORRLANDS LÄN</t>
        </is>
      </c>
      <c r="E700" t="inlineStr">
        <is>
          <t>ÅNGE</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56874-2024</t>
        </is>
      </c>
      <c r="B701" s="1" t="n">
        <v>45628</v>
      </c>
      <c r="C701" s="1" t="n">
        <v>45986</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58087-2024</t>
        </is>
      </c>
      <c r="B702" s="1" t="n">
        <v>45632.34502314815</v>
      </c>
      <c r="C702" s="1" t="n">
        <v>45986</v>
      </c>
      <c r="D702" t="inlineStr">
        <is>
          <t>VÄSTERNORRLANDS LÄN</t>
        </is>
      </c>
      <c r="E702" t="inlineStr">
        <is>
          <t>ÅNGE</t>
        </is>
      </c>
      <c r="G702" t="n">
        <v>2.6</v>
      </c>
      <c r="H702" t="n">
        <v>0</v>
      </c>
      <c r="I702" t="n">
        <v>0</v>
      </c>
      <c r="J702" t="n">
        <v>0</v>
      </c>
      <c r="K702" t="n">
        <v>0</v>
      </c>
      <c r="L702" t="n">
        <v>0</v>
      </c>
      <c r="M702" t="n">
        <v>0</v>
      </c>
      <c r="N702" t="n">
        <v>0</v>
      </c>
      <c r="O702" t="n">
        <v>0</v>
      </c>
      <c r="P702" t="n">
        <v>0</v>
      </c>
      <c r="Q702" t="n">
        <v>0</v>
      </c>
      <c r="R702" s="2" t="inlineStr"/>
    </row>
    <row r="703" ht="15" customHeight="1">
      <c r="A703" t="inlineStr">
        <is>
          <t>A 54357-2025</t>
        </is>
      </c>
      <c r="B703" s="1" t="n">
        <v>45965.3858912037</v>
      </c>
      <c r="C703" s="1" t="n">
        <v>45986</v>
      </c>
      <c r="D703" t="inlineStr">
        <is>
          <t>VÄSTERNORRLANDS LÄN</t>
        </is>
      </c>
      <c r="E703" t="inlineStr">
        <is>
          <t>ÅNGE</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21200-2024</t>
        </is>
      </c>
      <c r="B704" s="1" t="n">
        <v>45440</v>
      </c>
      <c r="C704" s="1" t="n">
        <v>45986</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10017-2025</t>
        </is>
      </c>
      <c r="B705" s="1" t="n">
        <v>45719.46957175926</v>
      </c>
      <c r="C705" s="1" t="n">
        <v>45986</v>
      </c>
      <c r="D705" t="inlineStr">
        <is>
          <t>VÄSTERNORRLANDS LÄN</t>
        </is>
      </c>
      <c r="E705" t="inlineStr">
        <is>
          <t>ÅNGE</t>
        </is>
      </c>
      <c r="F705" t="inlineStr">
        <is>
          <t>SCA</t>
        </is>
      </c>
      <c r="G705" t="n">
        <v>9.9</v>
      </c>
      <c r="H705" t="n">
        <v>0</v>
      </c>
      <c r="I705" t="n">
        <v>0</v>
      </c>
      <c r="J705" t="n">
        <v>0</v>
      </c>
      <c r="K705" t="n">
        <v>0</v>
      </c>
      <c r="L705" t="n">
        <v>0</v>
      </c>
      <c r="M705" t="n">
        <v>0</v>
      </c>
      <c r="N705" t="n">
        <v>0</v>
      </c>
      <c r="O705" t="n">
        <v>0</v>
      </c>
      <c r="P705" t="n">
        <v>0</v>
      </c>
      <c r="Q705" t="n">
        <v>0</v>
      </c>
      <c r="R705" s="2" t="inlineStr"/>
    </row>
    <row r="706" ht="15" customHeight="1">
      <c r="A706" t="inlineStr">
        <is>
          <t>A 45401-2025</t>
        </is>
      </c>
      <c r="B706" s="1" t="n">
        <v>45922.42767361111</v>
      </c>
      <c r="C706" s="1" t="n">
        <v>45986</v>
      </c>
      <c r="D706" t="inlineStr">
        <is>
          <t>VÄSTERNORRLANDS LÄN</t>
        </is>
      </c>
      <c r="E706" t="inlineStr">
        <is>
          <t>ÅNGE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28819-2025</t>
        </is>
      </c>
      <c r="B707" s="1" t="n">
        <v>45820.53758101852</v>
      </c>
      <c r="C707" s="1" t="n">
        <v>45986</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28845-2025</t>
        </is>
      </c>
      <c r="B708" s="1" t="n">
        <v>45820.57324074074</v>
      </c>
      <c r="C708" s="1" t="n">
        <v>45986</v>
      </c>
      <c r="D708" t="inlineStr">
        <is>
          <t>VÄSTERNORRLANDS LÄN</t>
        </is>
      </c>
      <c r="E708" t="inlineStr">
        <is>
          <t>ÅNGE</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1127-2023</t>
        </is>
      </c>
      <c r="B709" s="1" t="n">
        <v>44929</v>
      </c>
      <c r="C709" s="1" t="n">
        <v>45986</v>
      </c>
      <c r="D709" t="inlineStr">
        <is>
          <t>VÄSTERNORRLANDS LÄN</t>
        </is>
      </c>
      <c r="E709" t="inlineStr">
        <is>
          <t>ÅNGE</t>
        </is>
      </c>
      <c r="G709" t="n">
        <v>10.5</v>
      </c>
      <c r="H709" t="n">
        <v>0</v>
      </c>
      <c r="I709" t="n">
        <v>0</v>
      </c>
      <c r="J709" t="n">
        <v>0</v>
      </c>
      <c r="K709" t="n">
        <v>0</v>
      </c>
      <c r="L709" t="n">
        <v>0</v>
      </c>
      <c r="M709" t="n">
        <v>0</v>
      </c>
      <c r="N709" t="n">
        <v>0</v>
      </c>
      <c r="O709" t="n">
        <v>0</v>
      </c>
      <c r="P709" t="n">
        <v>0</v>
      </c>
      <c r="Q709" t="n">
        <v>0</v>
      </c>
      <c r="R709" s="2" t="inlineStr"/>
    </row>
    <row r="710" ht="15" customHeight="1">
      <c r="A710" t="inlineStr">
        <is>
          <t>A 45404-2025</t>
        </is>
      </c>
      <c r="B710" s="1" t="n">
        <v>45922.42820601852</v>
      </c>
      <c r="C710" s="1" t="n">
        <v>45986</v>
      </c>
      <c r="D710" t="inlineStr">
        <is>
          <t>VÄSTERNORRLANDS LÄN</t>
        </is>
      </c>
      <c r="E710" t="inlineStr">
        <is>
          <t>ÅNGE</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22755-2023</t>
        </is>
      </c>
      <c r="B711" s="1" t="n">
        <v>45071.94127314815</v>
      </c>
      <c r="C711" s="1" t="n">
        <v>45986</v>
      </c>
      <c r="D711" t="inlineStr">
        <is>
          <t>VÄSTERNORRLANDS LÄN</t>
        </is>
      </c>
      <c r="E711" t="inlineStr">
        <is>
          <t>ÅNGE</t>
        </is>
      </c>
      <c r="F711" t="inlineStr">
        <is>
          <t>SCA</t>
        </is>
      </c>
      <c r="G711" t="n">
        <v>12.6</v>
      </c>
      <c r="H711" t="n">
        <v>0</v>
      </c>
      <c r="I711" t="n">
        <v>0</v>
      </c>
      <c r="J711" t="n">
        <v>0</v>
      </c>
      <c r="K711" t="n">
        <v>0</v>
      </c>
      <c r="L711" t="n">
        <v>0</v>
      </c>
      <c r="M711" t="n">
        <v>0</v>
      </c>
      <c r="N711" t="n">
        <v>0</v>
      </c>
      <c r="O711" t="n">
        <v>0</v>
      </c>
      <c r="P711" t="n">
        <v>0</v>
      </c>
      <c r="Q711" t="n">
        <v>0</v>
      </c>
      <c r="R711" s="2" t="inlineStr"/>
    </row>
    <row r="712" ht="15" customHeight="1">
      <c r="A712" t="inlineStr">
        <is>
          <t>A 4727-2023</t>
        </is>
      </c>
      <c r="B712" s="1" t="n">
        <v>44953</v>
      </c>
      <c r="C712" s="1" t="n">
        <v>45986</v>
      </c>
      <c r="D712" t="inlineStr">
        <is>
          <t>VÄSTERNORRLANDS LÄN</t>
        </is>
      </c>
      <c r="E712" t="inlineStr">
        <is>
          <t>ÅNGE</t>
        </is>
      </c>
      <c r="G712" t="n">
        <v>0.4</v>
      </c>
      <c r="H712" t="n">
        <v>0</v>
      </c>
      <c r="I712" t="n">
        <v>0</v>
      </c>
      <c r="J712" t="n">
        <v>0</v>
      </c>
      <c r="K712" t="n">
        <v>0</v>
      </c>
      <c r="L712" t="n">
        <v>0</v>
      </c>
      <c r="M712" t="n">
        <v>0</v>
      </c>
      <c r="N712" t="n">
        <v>0</v>
      </c>
      <c r="O712" t="n">
        <v>0</v>
      </c>
      <c r="P712" t="n">
        <v>0</v>
      </c>
      <c r="Q712" t="n">
        <v>0</v>
      </c>
      <c r="R712" s="2" t="inlineStr"/>
    </row>
    <row r="713" ht="15" customHeight="1">
      <c r="A713" t="inlineStr">
        <is>
          <t>A 29786-2025</t>
        </is>
      </c>
      <c r="B713" s="1" t="n">
        <v>45825.65663194445</v>
      </c>
      <c r="C713" s="1" t="n">
        <v>45986</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54346-2025</t>
        </is>
      </c>
      <c r="B714" s="1" t="n">
        <v>45965.36525462963</v>
      </c>
      <c r="C714" s="1" t="n">
        <v>45986</v>
      </c>
      <c r="D714" t="inlineStr">
        <is>
          <t>VÄSTERNORRLANDS LÄN</t>
        </is>
      </c>
      <c r="E714" t="inlineStr">
        <is>
          <t>ÅNGE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45660-2025</t>
        </is>
      </c>
      <c r="B715" s="1" t="n">
        <v>45923.34494212963</v>
      </c>
      <c r="C715" s="1" t="n">
        <v>45986</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45875-2025</t>
        </is>
      </c>
      <c r="B716" s="1" t="n">
        <v>45923.65690972222</v>
      </c>
      <c r="C716" s="1" t="n">
        <v>45986</v>
      </c>
      <c r="D716" t="inlineStr">
        <is>
          <t>VÄSTERNORRLANDS LÄN</t>
        </is>
      </c>
      <c r="E716" t="inlineStr">
        <is>
          <t>ÅNGE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29350-2025</t>
        </is>
      </c>
      <c r="B717" s="1" t="n">
        <v>45824.53206018519</v>
      </c>
      <c r="C717" s="1" t="n">
        <v>45986</v>
      </c>
      <c r="D717" t="inlineStr">
        <is>
          <t>VÄSTERNORRLANDS LÄN</t>
        </is>
      </c>
      <c r="E717" t="inlineStr">
        <is>
          <t>ÅNGE</t>
        </is>
      </c>
      <c r="G717" t="n">
        <v>8.6</v>
      </c>
      <c r="H717" t="n">
        <v>0</v>
      </c>
      <c r="I717" t="n">
        <v>0</v>
      </c>
      <c r="J717" t="n">
        <v>0</v>
      </c>
      <c r="K717" t="n">
        <v>0</v>
      </c>
      <c r="L717" t="n">
        <v>0</v>
      </c>
      <c r="M717" t="n">
        <v>0</v>
      </c>
      <c r="N717" t="n">
        <v>0</v>
      </c>
      <c r="O717" t="n">
        <v>0</v>
      </c>
      <c r="P717" t="n">
        <v>0</v>
      </c>
      <c r="Q717" t="n">
        <v>0</v>
      </c>
      <c r="R717" s="2" t="inlineStr"/>
    </row>
    <row r="718" ht="15" customHeight="1">
      <c r="A718" t="inlineStr">
        <is>
          <t>A 45659-2025</t>
        </is>
      </c>
      <c r="B718" s="1" t="n">
        <v>45923.34471064815</v>
      </c>
      <c r="C718" s="1" t="n">
        <v>45986</v>
      </c>
      <c r="D718" t="inlineStr">
        <is>
          <t>VÄSTERNORRLANDS LÄN</t>
        </is>
      </c>
      <c r="E718" t="inlineStr">
        <is>
          <t>ÅNGE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42881-2023</t>
        </is>
      </c>
      <c r="B719" s="1" t="n">
        <v>45182.45256944445</v>
      </c>
      <c r="C719" s="1" t="n">
        <v>45986</v>
      </c>
      <c r="D719" t="inlineStr">
        <is>
          <t>VÄSTERNORRLANDS LÄN</t>
        </is>
      </c>
      <c r="E719" t="inlineStr">
        <is>
          <t>ÅNGE</t>
        </is>
      </c>
      <c r="G719" t="n">
        <v>3.9</v>
      </c>
      <c r="H719" t="n">
        <v>0</v>
      </c>
      <c r="I719" t="n">
        <v>0</v>
      </c>
      <c r="J719" t="n">
        <v>0</v>
      </c>
      <c r="K719" t="n">
        <v>0</v>
      </c>
      <c r="L719" t="n">
        <v>0</v>
      </c>
      <c r="M719" t="n">
        <v>0</v>
      </c>
      <c r="N719" t="n">
        <v>0</v>
      </c>
      <c r="O719" t="n">
        <v>0</v>
      </c>
      <c r="P719" t="n">
        <v>0</v>
      </c>
      <c r="Q719" t="n">
        <v>0</v>
      </c>
      <c r="R719" s="2" t="inlineStr"/>
    </row>
    <row r="720" ht="15" customHeight="1">
      <c r="A720" t="inlineStr">
        <is>
          <t>A 54680-2025</t>
        </is>
      </c>
      <c r="B720" s="1" t="n">
        <v>45966.42751157407</v>
      </c>
      <c r="C720" s="1" t="n">
        <v>45986</v>
      </c>
      <c r="D720" t="inlineStr">
        <is>
          <t>VÄSTERNORRLANDS LÄN</t>
        </is>
      </c>
      <c r="E720" t="inlineStr">
        <is>
          <t>ÅNGE</t>
        </is>
      </c>
      <c r="F720" t="inlineStr">
        <is>
          <t>SCA</t>
        </is>
      </c>
      <c r="G720" t="n">
        <v>5.2</v>
      </c>
      <c r="H720" t="n">
        <v>0</v>
      </c>
      <c r="I720" t="n">
        <v>0</v>
      </c>
      <c r="J720" t="n">
        <v>0</v>
      </c>
      <c r="K720" t="n">
        <v>0</v>
      </c>
      <c r="L720" t="n">
        <v>0</v>
      </c>
      <c r="M720" t="n">
        <v>0</v>
      </c>
      <c r="N720" t="n">
        <v>0</v>
      </c>
      <c r="O720" t="n">
        <v>0</v>
      </c>
      <c r="P720" t="n">
        <v>0</v>
      </c>
      <c r="Q720" t="n">
        <v>0</v>
      </c>
      <c r="R720" s="2" t="inlineStr"/>
    </row>
    <row r="721" ht="15" customHeight="1">
      <c r="A721" t="inlineStr">
        <is>
          <t>A 30474-2024</t>
        </is>
      </c>
      <c r="B721" s="1" t="n">
        <v>45491</v>
      </c>
      <c r="C721" s="1" t="n">
        <v>45986</v>
      </c>
      <c r="D721" t="inlineStr">
        <is>
          <t>VÄSTERNORRLANDS LÄN</t>
        </is>
      </c>
      <c r="E721" t="inlineStr">
        <is>
          <t>ÅNGE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30475-2024</t>
        </is>
      </c>
      <c r="B722" s="1" t="n">
        <v>45491</v>
      </c>
      <c r="C722" s="1" t="n">
        <v>45986</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55045-2025</t>
        </is>
      </c>
      <c r="B723" s="1" t="n">
        <v>45967.66068287037</v>
      </c>
      <c r="C723" s="1" t="n">
        <v>45986</v>
      </c>
      <c r="D723" t="inlineStr">
        <is>
          <t>VÄSTERNORRLANDS LÄN</t>
        </is>
      </c>
      <c r="E723" t="inlineStr">
        <is>
          <t>ÅNGE</t>
        </is>
      </c>
      <c r="G723" t="n">
        <v>0.9</v>
      </c>
      <c r="H723" t="n">
        <v>0</v>
      </c>
      <c r="I723" t="n">
        <v>0</v>
      </c>
      <c r="J723" t="n">
        <v>0</v>
      </c>
      <c r="K723" t="n">
        <v>0</v>
      </c>
      <c r="L723" t="n">
        <v>0</v>
      </c>
      <c r="M723" t="n">
        <v>0</v>
      </c>
      <c r="N723" t="n">
        <v>0</v>
      </c>
      <c r="O723" t="n">
        <v>0</v>
      </c>
      <c r="P723" t="n">
        <v>0</v>
      </c>
      <c r="Q723" t="n">
        <v>0</v>
      </c>
      <c r="R723" s="2" t="inlineStr"/>
    </row>
    <row r="724" ht="15" customHeight="1">
      <c r="A724" t="inlineStr">
        <is>
          <t>A 47243-2024</t>
        </is>
      </c>
      <c r="B724" s="1" t="n">
        <v>45586.6987962963</v>
      </c>
      <c r="C724" s="1" t="n">
        <v>45986</v>
      </c>
      <c r="D724" t="inlineStr">
        <is>
          <t>VÄSTERNORRLANDS LÄN</t>
        </is>
      </c>
      <c r="E724" t="inlineStr">
        <is>
          <t>ÅNGE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42043-2024</t>
        </is>
      </c>
      <c r="B725" s="1" t="n">
        <v>45561</v>
      </c>
      <c r="C725" s="1" t="n">
        <v>45986</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42046-2024</t>
        </is>
      </c>
      <c r="B726" s="1" t="n">
        <v>45561.83422453704</v>
      </c>
      <c r="C726" s="1" t="n">
        <v>45986</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55038-2025</t>
        </is>
      </c>
      <c r="B727" s="1" t="n">
        <v>45967.65527777778</v>
      </c>
      <c r="C727" s="1" t="n">
        <v>45986</v>
      </c>
      <c r="D727" t="inlineStr">
        <is>
          <t>VÄSTERNORRLANDS LÄN</t>
        </is>
      </c>
      <c r="E727" t="inlineStr">
        <is>
          <t>ÅNGE</t>
        </is>
      </c>
      <c r="G727" t="n">
        <v>4.5</v>
      </c>
      <c r="H727" t="n">
        <v>0</v>
      </c>
      <c r="I727" t="n">
        <v>0</v>
      </c>
      <c r="J727" t="n">
        <v>0</v>
      </c>
      <c r="K727" t="n">
        <v>0</v>
      </c>
      <c r="L727" t="n">
        <v>0</v>
      </c>
      <c r="M727" t="n">
        <v>0</v>
      </c>
      <c r="N727" t="n">
        <v>0</v>
      </c>
      <c r="O727" t="n">
        <v>0</v>
      </c>
      <c r="P727" t="n">
        <v>0</v>
      </c>
      <c r="Q727" t="n">
        <v>0</v>
      </c>
      <c r="R727" s="2" t="inlineStr"/>
    </row>
    <row r="728" ht="15" customHeight="1">
      <c r="A728" t="inlineStr">
        <is>
          <t>A 54925-2025</t>
        </is>
      </c>
      <c r="B728" s="1" t="n">
        <v>45967.40699074074</v>
      </c>
      <c r="C728" s="1" t="n">
        <v>45986</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54705-2025</t>
        </is>
      </c>
      <c r="B729" s="1" t="n">
        <v>45966.4853125</v>
      </c>
      <c r="C729" s="1" t="n">
        <v>45986</v>
      </c>
      <c r="D729" t="inlineStr">
        <is>
          <t>VÄSTERNORRLANDS LÄN</t>
        </is>
      </c>
      <c r="E729" t="inlineStr">
        <is>
          <t>ÅNGE</t>
        </is>
      </c>
      <c r="G729" t="n">
        <v>4.5</v>
      </c>
      <c r="H729" t="n">
        <v>0</v>
      </c>
      <c r="I729" t="n">
        <v>0</v>
      </c>
      <c r="J729" t="n">
        <v>0</v>
      </c>
      <c r="K729" t="n">
        <v>0</v>
      </c>
      <c r="L729" t="n">
        <v>0</v>
      </c>
      <c r="M729" t="n">
        <v>0</v>
      </c>
      <c r="N729" t="n">
        <v>0</v>
      </c>
      <c r="O729" t="n">
        <v>0</v>
      </c>
      <c r="P729" t="n">
        <v>0</v>
      </c>
      <c r="Q729" t="n">
        <v>0</v>
      </c>
      <c r="R729" s="2" t="inlineStr"/>
    </row>
    <row r="730" ht="15" customHeight="1">
      <c r="A730" t="inlineStr">
        <is>
          <t>A 54715-2025</t>
        </is>
      </c>
      <c r="B730" s="1" t="n">
        <v>45966.50961805556</v>
      </c>
      <c r="C730" s="1" t="n">
        <v>45986</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46419-2025</t>
        </is>
      </c>
      <c r="B731" s="1" t="n">
        <v>45925.5949537037</v>
      </c>
      <c r="C731" s="1" t="n">
        <v>45986</v>
      </c>
      <c r="D731" t="inlineStr">
        <is>
          <t>VÄSTERNORRLANDS LÄN</t>
        </is>
      </c>
      <c r="E731" t="inlineStr">
        <is>
          <t>ÅNGE</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54926-2025</t>
        </is>
      </c>
      <c r="B732" s="1" t="n">
        <v>45967.40707175926</v>
      </c>
      <c r="C732" s="1" t="n">
        <v>45986</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54819-2025</t>
        </is>
      </c>
      <c r="B733" s="1" t="n">
        <v>45966.65709490741</v>
      </c>
      <c r="C733" s="1" t="n">
        <v>45986</v>
      </c>
      <c r="D733" t="inlineStr">
        <is>
          <t>VÄSTERNORRLANDS LÄN</t>
        </is>
      </c>
      <c r="E733" t="inlineStr">
        <is>
          <t>ÅNGE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53999-2025</t>
        </is>
      </c>
      <c r="B734" s="1" t="n">
        <v>45961</v>
      </c>
      <c r="C734" s="1" t="n">
        <v>45986</v>
      </c>
      <c r="D734" t="inlineStr">
        <is>
          <t>VÄSTERNORRLANDS LÄN</t>
        </is>
      </c>
      <c r="E734" t="inlineStr">
        <is>
          <t>ÅNGE</t>
        </is>
      </c>
      <c r="F734" t="inlineStr">
        <is>
          <t>SCA</t>
        </is>
      </c>
      <c r="G734" t="n">
        <v>6.7</v>
      </c>
      <c r="H734" t="n">
        <v>0</v>
      </c>
      <c r="I734" t="n">
        <v>0</v>
      </c>
      <c r="J734" t="n">
        <v>0</v>
      </c>
      <c r="K734" t="n">
        <v>0</v>
      </c>
      <c r="L734" t="n">
        <v>0</v>
      </c>
      <c r="M734" t="n">
        <v>0</v>
      </c>
      <c r="N734" t="n">
        <v>0</v>
      </c>
      <c r="O734" t="n">
        <v>0</v>
      </c>
      <c r="P734" t="n">
        <v>0</v>
      </c>
      <c r="Q734" t="n">
        <v>0</v>
      </c>
      <c r="R734" s="2" t="inlineStr"/>
    </row>
    <row r="735" ht="15" customHeight="1">
      <c r="A735" t="inlineStr">
        <is>
          <t>A 55664-2023</t>
        </is>
      </c>
      <c r="B735" s="1" t="n">
        <v>45238.96748842593</v>
      </c>
      <c r="C735" s="1" t="n">
        <v>45986</v>
      </c>
      <c r="D735" t="inlineStr">
        <is>
          <t>VÄSTERNORRLANDS LÄN</t>
        </is>
      </c>
      <c r="E735" t="inlineStr">
        <is>
          <t>ÅNGE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46111-2025</t>
        </is>
      </c>
      <c r="B736" s="1" t="n">
        <v>45924.56684027778</v>
      </c>
      <c r="C736" s="1" t="n">
        <v>45986</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57595-2022</t>
        </is>
      </c>
      <c r="B737" s="1" t="n">
        <v>44896.97862268519</v>
      </c>
      <c r="C737" s="1" t="n">
        <v>45986</v>
      </c>
      <c r="D737" t="inlineStr">
        <is>
          <t>VÄSTERNORRLANDS LÄN</t>
        </is>
      </c>
      <c r="E737" t="inlineStr">
        <is>
          <t>ÅNGE</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30747-2024</t>
        </is>
      </c>
      <c r="B738" s="1" t="n">
        <v>45496</v>
      </c>
      <c r="C738" s="1" t="n">
        <v>45986</v>
      </c>
      <c r="D738" t="inlineStr">
        <is>
          <t>VÄSTERNORRLANDS LÄN</t>
        </is>
      </c>
      <c r="E738" t="inlineStr">
        <is>
          <t>ÅNGE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46267-2025</t>
        </is>
      </c>
      <c r="B739" s="1" t="n">
        <v>45925.36578703704</v>
      </c>
      <c r="C739" s="1" t="n">
        <v>45986</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58939-2021</t>
        </is>
      </c>
      <c r="B740" s="1" t="n">
        <v>44489</v>
      </c>
      <c r="C740" s="1" t="n">
        <v>45986</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29560-2025</t>
        </is>
      </c>
      <c r="B741" s="1" t="n">
        <v>45825.36497685185</v>
      </c>
      <c r="C741" s="1" t="n">
        <v>45986</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54702-2025</t>
        </is>
      </c>
      <c r="B742" s="1" t="n">
        <v>45966.4828587963</v>
      </c>
      <c r="C742" s="1" t="n">
        <v>45986</v>
      </c>
      <c r="D742" t="inlineStr">
        <is>
          <t>VÄSTERNORRLANDS LÄN</t>
        </is>
      </c>
      <c r="E742" t="inlineStr">
        <is>
          <t>ÅNGE</t>
        </is>
      </c>
      <c r="G742" t="n">
        <v>12.3</v>
      </c>
      <c r="H742" t="n">
        <v>0</v>
      </c>
      <c r="I742" t="n">
        <v>0</v>
      </c>
      <c r="J742" t="n">
        <v>0</v>
      </c>
      <c r="K742" t="n">
        <v>0</v>
      </c>
      <c r="L742" t="n">
        <v>0</v>
      </c>
      <c r="M742" t="n">
        <v>0</v>
      </c>
      <c r="N742" t="n">
        <v>0</v>
      </c>
      <c r="O742" t="n">
        <v>0</v>
      </c>
      <c r="P742" t="n">
        <v>0</v>
      </c>
      <c r="Q742" t="n">
        <v>0</v>
      </c>
      <c r="R742" s="2" t="inlineStr"/>
    </row>
    <row r="743" ht="15" customHeight="1">
      <c r="A743" t="inlineStr">
        <is>
          <t>A 54710-2025</t>
        </is>
      </c>
      <c r="B743" s="1" t="n">
        <v>45966.49515046296</v>
      </c>
      <c r="C743" s="1" t="n">
        <v>45986</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46416-2025</t>
        </is>
      </c>
      <c r="B744" s="1" t="n">
        <v>45925.594375</v>
      </c>
      <c r="C744" s="1" t="n">
        <v>45986</v>
      </c>
      <c r="D744" t="inlineStr">
        <is>
          <t>VÄSTERNORRLANDS LÄN</t>
        </is>
      </c>
      <c r="E744" t="inlineStr">
        <is>
          <t>ÅNGE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58639-2023</t>
        </is>
      </c>
      <c r="B745" s="1" t="n">
        <v>45251</v>
      </c>
      <c r="C745" s="1" t="n">
        <v>45986</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54713-2025</t>
        </is>
      </c>
      <c r="B746" s="1" t="n">
        <v>45966.50446759259</v>
      </c>
      <c r="C746" s="1" t="n">
        <v>45986</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55049-2025</t>
        </is>
      </c>
      <c r="B747" s="1" t="n">
        <v>45967.66614583333</v>
      </c>
      <c r="C747" s="1" t="n">
        <v>45986</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44635-2024</t>
        </is>
      </c>
      <c r="B748" s="1" t="n">
        <v>45574.51488425926</v>
      </c>
      <c r="C748" s="1" t="n">
        <v>45986</v>
      </c>
      <c r="D748" t="inlineStr">
        <is>
          <t>VÄSTERNORRLANDS LÄN</t>
        </is>
      </c>
      <c r="E748" t="inlineStr">
        <is>
          <t>ÅNGE</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46109-2025</t>
        </is>
      </c>
      <c r="B749" s="1" t="n">
        <v>45924.5596412037</v>
      </c>
      <c r="C749" s="1" t="n">
        <v>45986</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45970-2025</t>
        </is>
      </c>
      <c r="B750" s="1" t="n">
        <v>45924.36519675926</v>
      </c>
      <c r="C750" s="1" t="n">
        <v>45986</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43066-2022</t>
        </is>
      </c>
      <c r="B751" s="1" t="n">
        <v>44833</v>
      </c>
      <c r="C751" s="1" t="n">
        <v>45986</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54197-2025</t>
        </is>
      </c>
      <c r="B752" s="1" t="n">
        <v>45964</v>
      </c>
      <c r="C752" s="1" t="n">
        <v>45986</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54346-2023</t>
        </is>
      </c>
      <c r="B753" s="1" t="n">
        <v>45232.96087962963</v>
      </c>
      <c r="C753" s="1" t="n">
        <v>45986</v>
      </c>
      <c r="D753" t="inlineStr">
        <is>
          <t>VÄSTERNORRLANDS LÄN</t>
        </is>
      </c>
      <c r="E753" t="inlineStr">
        <is>
          <t>ÅNGE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46933-2025</t>
        </is>
      </c>
      <c r="B754" s="1" t="n">
        <v>45929.44645833333</v>
      </c>
      <c r="C754" s="1" t="n">
        <v>45986</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63530-2023</t>
        </is>
      </c>
      <c r="B755" s="1" t="n">
        <v>45274</v>
      </c>
      <c r="C755" s="1" t="n">
        <v>45986</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55556-2025</t>
        </is>
      </c>
      <c r="B756" s="1" t="n">
        <v>45971.64694444444</v>
      </c>
      <c r="C756" s="1" t="n">
        <v>45986</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46897-2025</t>
        </is>
      </c>
      <c r="B757" s="1" t="n">
        <v>45929.38597222222</v>
      </c>
      <c r="C757" s="1" t="n">
        <v>45986</v>
      </c>
      <c r="D757" t="inlineStr">
        <is>
          <t>VÄSTERNORRLANDS LÄN</t>
        </is>
      </c>
      <c r="E757" t="inlineStr">
        <is>
          <t>ÅNGE</t>
        </is>
      </c>
      <c r="G757" t="n">
        <v>10.6</v>
      </c>
      <c r="H757" t="n">
        <v>0</v>
      </c>
      <c r="I757" t="n">
        <v>0</v>
      </c>
      <c r="J757" t="n">
        <v>0</v>
      </c>
      <c r="K757" t="n">
        <v>0</v>
      </c>
      <c r="L757" t="n">
        <v>0</v>
      </c>
      <c r="M757" t="n">
        <v>0</v>
      </c>
      <c r="N757" t="n">
        <v>0</v>
      </c>
      <c r="O757" t="n">
        <v>0</v>
      </c>
      <c r="P757" t="n">
        <v>0</v>
      </c>
      <c r="Q757" t="n">
        <v>0</v>
      </c>
      <c r="R757" s="2" t="inlineStr"/>
    </row>
    <row r="758" ht="15" customHeight="1">
      <c r="A758" t="inlineStr">
        <is>
          <t>A 3249-2024</t>
        </is>
      </c>
      <c r="B758" s="1" t="n">
        <v>45316</v>
      </c>
      <c r="C758" s="1" t="n">
        <v>45986</v>
      </c>
      <c r="D758" t="inlineStr">
        <is>
          <t>VÄSTERNORRLANDS LÄN</t>
        </is>
      </c>
      <c r="E758" t="inlineStr">
        <is>
          <t>ÅNGE</t>
        </is>
      </c>
      <c r="G758" t="n">
        <v>0.3</v>
      </c>
      <c r="H758" t="n">
        <v>0</v>
      </c>
      <c r="I758" t="n">
        <v>0</v>
      </c>
      <c r="J758" t="n">
        <v>0</v>
      </c>
      <c r="K758" t="n">
        <v>0</v>
      </c>
      <c r="L758" t="n">
        <v>0</v>
      </c>
      <c r="M758" t="n">
        <v>0</v>
      </c>
      <c r="N758" t="n">
        <v>0</v>
      </c>
      <c r="O758" t="n">
        <v>0</v>
      </c>
      <c r="P758" t="n">
        <v>0</v>
      </c>
      <c r="Q758" t="n">
        <v>0</v>
      </c>
      <c r="R758" s="2" t="inlineStr"/>
    </row>
    <row r="759" ht="15" customHeight="1">
      <c r="A759" t="inlineStr">
        <is>
          <t>A 58275-2022</t>
        </is>
      </c>
      <c r="B759" s="1" t="n">
        <v>44901.47865740741</v>
      </c>
      <c r="C759" s="1" t="n">
        <v>45986</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42948-2024</t>
        </is>
      </c>
      <c r="B760" s="1" t="n">
        <v>45567.36628472222</v>
      </c>
      <c r="C760" s="1" t="n">
        <v>45986</v>
      </c>
      <c r="D760" t="inlineStr">
        <is>
          <t>VÄSTERNORRLANDS LÄN</t>
        </is>
      </c>
      <c r="E760" t="inlineStr">
        <is>
          <t>ÅNGE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42953-2024</t>
        </is>
      </c>
      <c r="B761" s="1" t="n">
        <v>45567</v>
      </c>
      <c r="C761" s="1" t="n">
        <v>45986</v>
      </c>
      <c r="D761" t="inlineStr">
        <is>
          <t>VÄSTERNORRLANDS LÄN</t>
        </is>
      </c>
      <c r="E761" t="inlineStr">
        <is>
          <t>ÅNGE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42968-2024</t>
        </is>
      </c>
      <c r="B762" s="1" t="n">
        <v>45567</v>
      </c>
      <c r="C762" s="1" t="n">
        <v>45986</v>
      </c>
      <c r="D762" t="inlineStr">
        <is>
          <t>VÄSTERNORRLANDS LÄN</t>
        </is>
      </c>
      <c r="E762" t="inlineStr">
        <is>
          <t>ÅNGE</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14673-2025</t>
        </is>
      </c>
      <c r="B763" s="1" t="n">
        <v>45742.55309027778</v>
      </c>
      <c r="C763" s="1" t="n">
        <v>45986</v>
      </c>
      <c r="D763" t="inlineStr">
        <is>
          <t>VÄSTERNORRLANDS LÄN</t>
        </is>
      </c>
      <c r="E763" t="inlineStr">
        <is>
          <t>ÅNGE</t>
        </is>
      </c>
      <c r="G763" t="n">
        <v>2.5</v>
      </c>
      <c r="H763" t="n">
        <v>0</v>
      </c>
      <c r="I763" t="n">
        <v>0</v>
      </c>
      <c r="J763" t="n">
        <v>0</v>
      </c>
      <c r="K763" t="n">
        <v>0</v>
      </c>
      <c r="L763" t="n">
        <v>0</v>
      </c>
      <c r="M763" t="n">
        <v>0</v>
      </c>
      <c r="N763" t="n">
        <v>0</v>
      </c>
      <c r="O763" t="n">
        <v>0</v>
      </c>
      <c r="P763" t="n">
        <v>0</v>
      </c>
      <c r="Q763" t="n">
        <v>0</v>
      </c>
      <c r="R763" s="2" t="inlineStr"/>
    </row>
    <row r="764" ht="15" customHeight="1">
      <c r="A764" t="inlineStr">
        <is>
          <t>A 16191-2023</t>
        </is>
      </c>
      <c r="B764" s="1" t="n">
        <v>45027.94111111111</v>
      </c>
      <c r="C764" s="1" t="n">
        <v>45986</v>
      </c>
      <c r="D764" t="inlineStr">
        <is>
          <t>VÄSTERNORRLANDS LÄN</t>
        </is>
      </c>
      <c r="E764" t="inlineStr">
        <is>
          <t>ÅNGE</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29862-2025</t>
        </is>
      </c>
      <c r="B765" s="1" t="n">
        <v>45826.3465625</v>
      </c>
      <c r="C765" s="1" t="n">
        <v>45986</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29882-2025</t>
        </is>
      </c>
      <c r="B766" s="1" t="n">
        <v>45826.36548611111</v>
      </c>
      <c r="C766" s="1" t="n">
        <v>45986</v>
      </c>
      <c r="D766" t="inlineStr">
        <is>
          <t>VÄSTERNORRLANDS LÄN</t>
        </is>
      </c>
      <c r="E766" t="inlineStr">
        <is>
          <t>ÅNGE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35498-2022</t>
        </is>
      </c>
      <c r="B767" s="1" t="n">
        <v>44798.94810185185</v>
      </c>
      <c r="C767" s="1" t="n">
        <v>45986</v>
      </c>
      <c r="D767" t="inlineStr">
        <is>
          <t>VÄSTERNORRLANDS LÄN</t>
        </is>
      </c>
      <c r="E767" t="inlineStr">
        <is>
          <t>ÅNGE</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29916-2025</t>
        </is>
      </c>
      <c r="B768" s="1" t="n">
        <v>45826.41822916667</v>
      </c>
      <c r="C768" s="1" t="n">
        <v>45986</v>
      </c>
      <c r="D768" t="inlineStr">
        <is>
          <t>VÄSTERNORRLANDS LÄN</t>
        </is>
      </c>
      <c r="E768" t="inlineStr">
        <is>
          <t>ÅNGE</t>
        </is>
      </c>
      <c r="G768" t="n">
        <v>3.4</v>
      </c>
      <c r="H768" t="n">
        <v>0</v>
      </c>
      <c r="I768" t="n">
        <v>0</v>
      </c>
      <c r="J768" t="n">
        <v>0</v>
      </c>
      <c r="K768" t="n">
        <v>0</v>
      </c>
      <c r="L768" t="n">
        <v>0</v>
      </c>
      <c r="M768" t="n">
        <v>0</v>
      </c>
      <c r="N768" t="n">
        <v>0</v>
      </c>
      <c r="O768" t="n">
        <v>0</v>
      </c>
      <c r="P768" t="n">
        <v>0</v>
      </c>
      <c r="Q768" t="n">
        <v>0</v>
      </c>
      <c r="R768" s="2" t="inlineStr"/>
    </row>
    <row r="769" ht="15" customHeight="1">
      <c r="A769" t="inlineStr">
        <is>
          <t>A 55160-2025</t>
        </is>
      </c>
      <c r="B769" s="1" t="n">
        <v>45968.46930555555</v>
      </c>
      <c r="C769" s="1" t="n">
        <v>45986</v>
      </c>
      <c r="D769" t="inlineStr">
        <is>
          <t>VÄSTERNORRLANDS LÄN</t>
        </is>
      </c>
      <c r="E769" t="inlineStr">
        <is>
          <t>ÅNGE</t>
        </is>
      </c>
      <c r="G769" t="n">
        <v>6.8</v>
      </c>
      <c r="H769" t="n">
        <v>0</v>
      </c>
      <c r="I769" t="n">
        <v>0</v>
      </c>
      <c r="J769" t="n">
        <v>0</v>
      </c>
      <c r="K769" t="n">
        <v>0</v>
      </c>
      <c r="L769" t="n">
        <v>0</v>
      </c>
      <c r="M769" t="n">
        <v>0</v>
      </c>
      <c r="N769" t="n">
        <v>0</v>
      </c>
      <c r="O769" t="n">
        <v>0</v>
      </c>
      <c r="P769" t="n">
        <v>0</v>
      </c>
      <c r="Q769" t="n">
        <v>0</v>
      </c>
      <c r="R769" s="2" t="inlineStr"/>
    </row>
    <row r="770" ht="15" customHeight="1">
      <c r="A770" t="inlineStr">
        <is>
          <t>A 2299-2025</t>
        </is>
      </c>
      <c r="B770" s="1" t="n">
        <v>45673.59516203704</v>
      </c>
      <c r="C770" s="1" t="n">
        <v>45986</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31457-2024</t>
        </is>
      </c>
      <c r="B771" s="1" t="n">
        <v>45505</v>
      </c>
      <c r="C771" s="1" t="n">
        <v>45986</v>
      </c>
      <c r="D771" t="inlineStr">
        <is>
          <t>VÄSTERNORRLANDS LÄN</t>
        </is>
      </c>
      <c r="E771" t="inlineStr">
        <is>
          <t>ÅNGE</t>
        </is>
      </c>
      <c r="F771" t="inlineStr">
        <is>
          <t>SCA</t>
        </is>
      </c>
      <c r="G771" t="n">
        <v>5.2</v>
      </c>
      <c r="H771" t="n">
        <v>0</v>
      </c>
      <c r="I771" t="n">
        <v>0</v>
      </c>
      <c r="J771" t="n">
        <v>0</v>
      </c>
      <c r="K771" t="n">
        <v>0</v>
      </c>
      <c r="L771" t="n">
        <v>0</v>
      </c>
      <c r="M771" t="n">
        <v>0</v>
      </c>
      <c r="N771" t="n">
        <v>0</v>
      </c>
      <c r="O771" t="n">
        <v>0</v>
      </c>
      <c r="P771" t="n">
        <v>0</v>
      </c>
      <c r="Q771" t="n">
        <v>0</v>
      </c>
      <c r="R771" s="2" t="inlineStr"/>
    </row>
    <row r="772" ht="15" customHeight="1">
      <c r="A772" t="inlineStr">
        <is>
          <t>A 30475-2025</t>
        </is>
      </c>
      <c r="B772" s="1" t="n">
        <v>45828.34444444445</v>
      </c>
      <c r="C772" s="1" t="n">
        <v>45986</v>
      </c>
      <c r="D772" t="inlineStr">
        <is>
          <t>VÄSTERNORRLANDS LÄN</t>
        </is>
      </c>
      <c r="E772" t="inlineStr">
        <is>
          <t>ÅNGE</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46829-2025</t>
        </is>
      </c>
      <c r="B773" s="1" t="n">
        <v>45927.34513888889</v>
      </c>
      <c r="C773" s="1" t="n">
        <v>45986</v>
      </c>
      <c r="D773" t="inlineStr">
        <is>
          <t>VÄSTERNORRLANDS LÄN</t>
        </is>
      </c>
      <c r="E773" t="inlineStr">
        <is>
          <t>ÅNGE</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54771-2023</t>
        </is>
      </c>
      <c r="B774" s="1" t="n">
        <v>45229</v>
      </c>
      <c r="C774" s="1" t="n">
        <v>45986</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47118-2025</t>
        </is>
      </c>
      <c r="B775" s="1" t="n">
        <v>45929.67770833334</v>
      </c>
      <c r="C775" s="1" t="n">
        <v>45986</v>
      </c>
      <c r="D775" t="inlineStr">
        <is>
          <t>VÄSTERNORRLANDS LÄN</t>
        </is>
      </c>
      <c r="E775" t="inlineStr">
        <is>
          <t>ÅNGE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26011-2024</t>
        </is>
      </c>
      <c r="B776" s="1" t="n">
        <v>45467.95828703704</v>
      </c>
      <c r="C776" s="1" t="n">
        <v>45986</v>
      </c>
      <c r="D776" t="inlineStr">
        <is>
          <t>VÄSTERNORRLANDS LÄN</t>
        </is>
      </c>
      <c r="E776" t="inlineStr">
        <is>
          <t>ÅNGE</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26014-2024</t>
        </is>
      </c>
      <c r="B777" s="1" t="n">
        <v>45467.95862268518</v>
      </c>
      <c r="C777" s="1" t="n">
        <v>45986</v>
      </c>
      <c r="D777" t="inlineStr">
        <is>
          <t>VÄSTERNORRLANDS LÄN</t>
        </is>
      </c>
      <c r="E777" t="inlineStr">
        <is>
          <t>ÅNGE</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3629-2023</t>
        </is>
      </c>
      <c r="B778" s="1" t="n">
        <v>44950</v>
      </c>
      <c r="C778" s="1" t="n">
        <v>45986</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3631-2023</t>
        </is>
      </c>
      <c r="B779" s="1" t="n">
        <v>44950</v>
      </c>
      <c r="C779" s="1" t="n">
        <v>45986</v>
      </c>
      <c r="D779" t="inlineStr">
        <is>
          <t>VÄSTERNORRLANDS LÄN</t>
        </is>
      </c>
      <c r="E779" t="inlineStr">
        <is>
          <t>ÅNGE</t>
        </is>
      </c>
      <c r="G779" t="n">
        <v>0.8</v>
      </c>
      <c r="H779" t="n">
        <v>0</v>
      </c>
      <c r="I779" t="n">
        <v>0</v>
      </c>
      <c r="J779" t="n">
        <v>0</v>
      </c>
      <c r="K779" t="n">
        <v>0</v>
      </c>
      <c r="L779" t="n">
        <v>0</v>
      </c>
      <c r="M779" t="n">
        <v>0</v>
      </c>
      <c r="N779" t="n">
        <v>0</v>
      </c>
      <c r="O779" t="n">
        <v>0</v>
      </c>
      <c r="P779" t="n">
        <v>0</v>
      </c>
      <c r="Q779" t="n">
        <v>0</v>
      </c>
      <c r="R779" s="2" t="inlineStr"/>
    </row>
    <row r="780" ht="15" customHeight="1">
      <c r="A780" t="inlineStr">
        <is>
          <t>A 47305-2025</t>
        </is>
      </c>
      <c r="B780" s="1" t="n">
        <v>45930</v>
      </c>
      <c r="C780" s="1" t="n">
        <v>45986</v>
      </c>
      <c r="D780" t="inlineStr">
        <is>
          <t>VÄSTERNORRLANDS LÄN</t>
        </is>
      </c>
      <c r="E780" t="inlineStr">
        <is>
          <t>ÅNGE</t>
        </is>
      </c>
      <c r="G780" t="n">
        <v>10.9</v>
      </c>
      <c r="H780" t="n">
        <v>0</v>
      </c>
      <c r="I780" t="n">
        <v>0</v>
      </c>
      <c r="J780" t="n">
        <v>0</v>
      </c>
      <c r="K780" t="n">
        <v>0</v>
      </c>
      <c r="L780" t="n">
        <v>0</v>
      </c>
      <c r="M780" t="n">
        <v>0</v>
      </c>
      <c r="N780" t="n">
        <v>0</v>
      </c>
      <c r="O780" t="n">
        <v>0</v>
      </c>
      <c r="P780" t="n">
        <v>0</v>
      </c>
      <c r="Q780" t="n">
        <v>0</v>
      </c>
      <c r="R780" s="2" t="inlineStr"/>
    </row>
    <row r="781" ht="15" customHeight="1">
      <c r="A781" t="inlineStr">
        <is>
          <t>A 17703-2025</t>
        </is>
      </c>
      <c r="B781" s="1" t="n">
        <v>45758.4275462963</v>
      </c>
      <c r="C781" s="1" t="n">
        <v>45986</v>
      </c>
      <c r="D781" t="inlineStr">
        <is>
          <t>VÄSTERNORRLANDS LÄN</t>
        </is>
      </c>
      <c r="E781" t="inlineStr">
        <is>
          <t>ÅNGE</t>
        </is>
      </c>
      <c r="G781" t="n">
        <v>2.5</v>
      </c>
      <c r="H781" t="n">
        <v>0</v>
      </c>
      <c r="I781" t="n">
        <v>0</v>
      </c>
      <c r="J781" t="n">
        <v>0</v>
      </c>
      <c r="K781" t="n">
        <v>0</v>
      </c>
      <c r="L781" t="n">
        <v>0</v>
      </c>
      <c r="M781" t="n">
        <v>0</v>
      </c>
      <c r="N781" t="n">
        <v>0</v>
      </c>
      <c r="O781" t="n">
        <v>0</v>
      </c>
      <c r="P781" t="n">
        <v>0</v>
      </c>
      <c r="Q781" t="n">
        <v>0</v>
      </c>
      <c r="R781" s="2" t="inlineStr"/>
    </row>
    <row r="782" ht="15" customHeight="1">
      <c r="A782" t="inlineStr">
        <is>
          <t>A 30618-2025</t>
        </is>
      </c>
      <c r="B782" s="1" t="n">
        <v>45831.46909722222</v>
      </c>
      <c r="C782" s="1" t="n">
        <v>45986</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30598-2025</t>
        </is>
      </c>
      <c r="B783" s="1" t="n">
        <v>45831.44834490741</v>
      </c>
      <c r="C783" s="1" t="n">
        <v>45986</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28779-2023</t>
        </is>
      </c>
      <c r="B784" s="1" t="n">
        <v>45104.34314814815</v>
      </c>
      <c r="C784" s="1" t="n">
        <v>45986</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25311-2023</t>
        </is>
      </c>
      <c r="B785" s="1" t="n">
        <v>45086.93869212963</v>
      </c>
      <c r="C785" s="1" t="n">
        <v>45986</v>
      </c>
      <c r="D785" t="inlineStr">
        <is>
          <t>VÄSTERNORRLANDS LÄN</t>
        </is>
      </c>
      <c r="E785" t="inlineStr">
        <is>
          <t>ÅNGE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47752-2025</t>
        </is>
      </c>
      <c r="B786" s="1" t="n">
        <v>45931.66358796296</v>
      </c>
      <c r="C786" s="1" t="n">
        <v>45986</v>
      </c>
      <c r="D786" t="inlineStr">
        <is>
          <t>VÄSTERNORRLANDS LÄN</t>
        </is>
      </c>
      <c r="E786" t="inlineStr">
        <is>
          <t>ÅNGE</t>
        </is>
      </c>
      <c r="G786" t="n">
        <v>3.9</v>
      </c>
      <c r="H786" t="n">
        <v>0</v>
      </c>
      <c r="I786" t="n">
        <v>0</v>
      </c>
      <c r="J786" t="n">
        <v>0</v>
      </c>
      <c r="K786" t="n">
        <v>0</v>
      </c>
      <c r="L786" t="n">
        <v>0</v>
      </c>
      <c r="M786" t="n">
        <v>0</v>
      </c>
      <c r="N786" t="n">
        <v>0</v>
      </c>
      <c r="O786" t="n">
        <v>0</v>
      </c>
      <c r="P786" t="n">
        <v>0</v>
      </c>
      <c r="Q786" t="n">
        <v>0</v>
      </c>
      <c r="R786" s="2" t="inlineStr"/>
    </row>
    <row r="787" ht="15" customHeight="1">
      <c r="A787" t="inlineStr">
        <is>
          <t>A 56077-2025</t>
        </is>
      </c>
      <c r="B787" s="1" t="n">
        <v>45973.65759259259</v>
      </c>
      <c r="C787" s="1" t="n">
        <v>45986</v>
      </c>
      <c r="D787" t="inlineStr">
        <is>
          <t>VÄSTERNORRLANDS LÄN</t>
        </is>
      </c>
      <c r="E787" t="inlineStr">
        <is>
          <t>ÅNGE</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28873-2024</t>
        </is>
      </c>
      <c r="B788" s="1" t="n">
        <v>45478.94766203704</v>
      </c>
      <c r="C788" s="1" t="n">
        <v>45986</v>
      </c>
      <c r="D788" t="inlineStr">
        <is>
          <t>VÄSTERNORRLANDS LÄN</t>
        </is>
      </c>
      <c r="E788" t="inlineStr">
        <is>
          <t>ÅNGE</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27682-2023</t>
        </is>
      </c>
      <c r="B789" s="1" t="n">
        <v>45097.93758101852</v>
      </c>
      <c r="C789" s="1" t="n">
        <v>45986</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50612-2024</t>
        </is>
      </c>
      <c r="B790" s="1" t="n">
        <v>45601</v>
      </c>
      <c r="C790" s="1" t="n">
        <v>45986</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47440-2025</t>
        </is>
      </c>
      <c r="B791" s="1" t="n">
        <v>45930.63766203704</v>
      </c>
      <c r="C791" s="1" t="n">
        <v>45986</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30892-2025</t>
        </is>
      </c>
      <c r="B792" s="1" t="n">
        <v>45832.34663194444</v>
      </c>
      <c r="C792" s="1" t="n">
        <v>45986</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56699-2023</t>
        </is>
      </c>
      <c r="B793" s="1" t="n">
        <v>45243</v>
      </c>
      <c r="C793" s="1" t="n">
        <v>45986</v>
      </c>
      <c r="D793" t="inlineStr">
        <is>
          <t>VÄSTERNORRLANDS LÄN</t>
        </is>
      </c>
      <c r="E793" t="inlineStr">
        <is>
          <t>ÅNGE</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31188-2025</t>
        </is>
      </c>
      <c r="B794" s="1" t="n">
        <v>45832.67842592593</v>
      </c>
      <c r="C794" s="1" t="n">
        <v>45986</v>
      </c>
      <c r="D794" t="inlineStr">
        <is>
          <t>VÄSTERNORRLANDS LÄN</t>
        </is>
      </c>
      <c r="E794" t="inlineStr">
        <is>
          <t>ÅNGE</t>
        </is>
      </c>
      <c r="F794" t="inlineStr">
        <is>
          <t>SCA</t>
        </is>
      </c>
      <c r="G794" t="n">
        <v>14.9</v>
      </c>
      <c r="H794" t="n">
        <v>0</v>
      </c>
      <c r="I794" t="n">
        <v>0</v>
      </c>
      <c r="J794" t="n">
        <v>0</v>
      </c>
      <c r="K794" t="n">
        <v>0</v>
      </c>
      <c r="L794" t="n">
        <v>0</v>
      </c>
      <c r="M794" t="n">
        <v>0</v>
      </c>
      <c r="N794" t="n">
        <v>0</v>
      </c>
      <c r="O794" t="n">
        <v>0</v>
      </c>
      <c r="P794" t="n">
        <v>0</v>
      </c>
      <c r="Q794" t="n">
        <v>0</v>
      </c>
      <c r="R794" s="2" t="inlineStr"/>
    </row>
    <row r="795" ht="15" customHeight="1">
      <c r="A795" t="inlineStr">
        <is>
          <t>A 47488-2025</t>
        </is>
      </c>
      <c r="B795" s="1" t="n">
        <v>45930.69890046296</v>
      </c>
      <c r="C795" s="1" t="n">
        <v>45986</v>
      </c>
      <c r="D795" t="inlineStr">
        <is>
          <t>VÄSTERNORRLANDS LÄN</t>
        </is>
      </c>
      <c r="E795" t="inlineStr">
        <is>
          <t>ÅNGE</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47196-2025</t>
        </is>
      </c>
      <c r="B796" s="1" t="n">
        <v>45930.34520833333</v>
      </c>
      <c r="C796" s="1" t="n">
        <v>45986</v>
      </c>
      <c r="D796" t="inlineStr">
        <is>
          <t>VÄSTERNORRLANDS LÄN</t>
        </is>
      </c>
      <c r="E796" t="inlineStr">
        <is>
          <t>ÅNGE</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30751-2024</t>
        </is>
      </c>
      <c r="B797" s="1" t="n">
        <v>45496.69339120371</v>
      </c>
      <c r="C797" s="1" t="n">
        <v>45986</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31452-2025</t>
        </is>
      </c>
      <c r="B798" s="1" t="n">
        <v>45833.53179398148</v>
      </c>
      <c r="C798" s="1" t="n">
        <v>45986</v>
      </c>
      <c r="D798" t="inlineStr">
        <is>
          <t>VÄSTERNORRLANDS LÄN</t>
        </is>
      </c>
      <c r="E798" t="inlineStr">
        <is>
          <t>ÅNGE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31544-2025</t>
        </is>
      </c>
      <c r="B799" s="1" t="n">
        <v>45833.63597222222</v>
      </c>
      <c r="C799" s="1" t="n">
        <v>45986</v>
      </c>
      <c r="D799" t="inlineStr">
        <is>
          <t>VÄSTERNORRLANDS LÄN</t>
        </is>
      </c>
      <c r="E799" t="inlineStr">
        <is>
          <t>ÅNGE</t>
        </is>
      </c>
      <c r="G799" t="n">
        <v>2.1</v>
      </c>
      <c r="H799" t="n">
        <v>0</v>
      </c>
      <c r="I799" t="n">
        <v>0</v>
      </c>
      <c r="J799" t="n">
        <v>0</v>
      </c>
      <c r="K799" t="n">
        <v>0</v>
      </c>
      <c r="L799" t="n">
        <v>0</v>
      </c>
      <c r="M799" t="n">
        <v>0</v>
      </c>
      <c r="N799" t="n">
        <v>0</v>
      </c>
      <c r="O799" t="n">
        <v>0</v>
      </c>
      <c r="P799" t="n">
        <v>0</v>
      </c>
      <c r="Q799" t="n">
        <v>0</v>
      </c>
      <c r="R799" s="2" t="inlineStr"/>
    </row>
    <row r="800" ht="15" customHeight="1">
      <c r="A800" t="inlineStr">
        <is>
          <t>A 55816-2025</t>
        </is>
      </c>
      <c r="B800" s="1" t="n">
        <v>45972.69851851852</v>
      </c>
      <c r="C800" s="1" t="n">
        <v>45986</v>
      </c>
      <c r="D800" t="inlineStr">
        <is>
          <t>VÄSTERNORRLANDS LÄN</t>
        </is>
      </c>
      <c r="E800" t="inlineStr">
        <is>
          <t>ÅNGE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55324-2023</t>
        </is>
      </c>
      <c r="B801" s="1" t="n">
        <v>45237.9734837963</v>
      </c>
      <c r="C801" s="1" t="n">
        <v>45986</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47377-2025</t>
        </is>
      </c>
      <c r="B802" s="1" t="n">
        <v>45930.59469907408</v>
      </c>
      <c r="C802" s="1" t="n">
        <v>45986</v>
      </c>
      <c r="D802" t="inlineStr">
        <is>
          <t>VÄSTERNORRLANDS LÄN</t>
        </is>
      </c>
      <c r="E802" t="inlineStr">
        <is>
          <t>ÅNGE</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31042-2025</t>
        </is>
      </c>
      <c r="B803" s="1" t="n">
        <v>45832.55267361111</v>
      </c>
      <c r="C803" s="1" t="n">
        <v>45986</v>
      </c>
      <c r="D803" t="inlineStr">
        <is>
          <t>VÄSTERNORRLANDS LÄN</t>
        </is>
      </c>
      <c r="E803" t="inlineStr">
        <is>
          <t>ÅNGE</t>
        </is>
      </c>
      <c r="F803" t="inlineStr">
        <is>
          <t>SCA</t>
        </is>
      </c>
      <c r="G803" t="n">
        <v>11.8</v>
      </c>
      <c r="H803" t="n">
        <v>0</v>
      </c>
      <c r="I803" t="n">
        <v>0</v>
      </c>
      <c r="J803" t="n">
        <v>0</v>
      </c>
      <c r="K803" t="n">
        <v>0</v>
      </c>
      <c r="L803" t="n">
        <v>0</v>
      </c>
      <c r="M803" t="n">
        <v>0</v>
      </c>
      <c r="N803" t="n">
        <v>0</v>
      </c>
      <c r="O803" t="n">
        <v>0</v>
      </c>
      <c r="P803" t="n">
        <v>0</v>
      </c>
      <c r="Q803" t="n">
        <v>0</v>
      </c>
      <c r="R803" s="2" t="inlineStr"/>
    </row>
    <row r="804" ht="15" customHeight="1">
      <c r="A804" t="inlineStr">
        <is>
          <t>A 31275-2025</t>
        </is>
      </c>
      <c r="B804" s="1" t="n">
        <v>45833.34459490741</v>
      </c>
      <c r="C804" s="1" t="n">
        <v>45986</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31135-2025</t>
        </is>
      </c>
      <c r="B805" s="1" t="n">
        <v>45832.63581018519</v>
      </c>
      <c r="C805" s="1" t="n">
        <v>45986</v>
      </c>
      <c r="D805" t="inlineStr">
        <is>
          <t>VÄSTERNORRLANDS LÄN</t>
        </is>
      </c>
      <c r="E805" t="inlineStr">
        <is>
          <t>ÅNGE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58445-2022</t>
        </is>
      </c>
      <c r="B806" s="1" t="n">
        <v>44901.95453703704</v>
      </c>
      <c r="C806" s="1" t="n">
        <v>45986</v>
      </c>
      <c r="D806" t="inlineStr">
        <is>
          <t>VÄSTERNORRLANDS LÄN</t>
        </is>
      </c>
      <c r="E806" t="inlineStr">
        <is>
          <t>ÅNGE</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30888-2025</t>
        </is>
      </c>
      <c r="B807" s="1" t="n">
        <v>45832.34606481482</v>
      </c>
      <c r="C807" s="1" t="n">
        <v>45986</v>
      </c>
      <c r="D807" t="inlineStr">
        <is>
          <t>VÄSTERNORRLANDS LÄN</t>
        </is>
      </c>
      <c r="E807" t="inlineStr">
        <is>
          <t>ÅNGE</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30875-2025</t>
        </is>
      </c>
      <c r="B808" s="1" t="n">
        <v>45832.34447916667</v>
      </c>
      <c r="C808" s="1" t="n">
        <v>45986</v>
      </c>
      <c r="D808" t="inlineStr">
        <is>
          <t>VÄSTERNORRLANDS LÄN</t>
        </is>
      </c>
      <c r="E808" t="inlineStr">
        <is>
          <t>ÅNGE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25680-2023</t>
        </is>
      </c>
      <c r="B809" s="1" t="n">
        <v>45089</v>
      </c>
      <c r="C809" s="1" t="n">
        <v>45986</v>
      </c>
      <c r="D809" t="inlineStr">
        <is>
          <t>VÄSTERNORRLANDS LÄN</t>
        </is>
      </c>
      <c r="E809" t="inlineStr">
        <is>
          <t>ÅNGE</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31211-2025</t>
        </is>
      </c>
      <c r="B810" s="1" t="n">
        <v>45832.71938657408</v>
      </c>
      <c r="C810" s="1" t="n">
        <v>45986</v>
      </c>
      <c r="D810" t="inlineStr">
        <is>
          <t>VÄSTERNORRLANDS LÄN</t>
        </is>
      </c>
      <c r="E810" t="inlineStr">
        <is>
          <t>ÅNGE</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48234-2025</t>
        </is>
      </c>
      <c r="B811" s="1" t="n">
        <v>45933.53211805555</v>
      </c>
      <c r="C811" s="1" t="n">
        <v>45986</v>
      </c>
      <c r="D811" t="inlineStr">
        <is>
          <t>VÄSTERNORRLANDS LÄN</t>
        </is>
      </c>
      <c r="E811" t="inlineStr">
        <is>
          <t>ÅNGE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48235-2025</t>
        </is>
      </c>
      <c r="B812" s="1" t="n">
        <v>45933.5321412037</v>
      </c>
      <c r="C812" s="1" t="n">
        <v>45986</v>
      </c>
      <c r="D812" t="inlineStr">
        <is>
          <t>VÄSTERNORRLANDS LÄN</t>
        </is>
      </c>
      <c r="E812" t="inlineStr">
        <is>
          <t>ÅNGE</t>
        </is>
      </c>
      <c r="G812" t="n">
        <v>3.1</v>
      </c>
      <c r="H812" t="n">
        <v>0</v>
      </c>
      <c r="I812" t="n">
        <v>0</v>
      </c>
      <c r="J812" t="n">
        <v>0</v>
      </c>
      <c r="K812" t="n">
        <v>0</v>
      </c>
      <c r="L812" t="n">
        <v>0</v>
      </c>
      <c r="M812" t="n">
        <v>0</v>
      </c>
      <c r="N812" t="n">
        <v>0</v>
      </c>
      <c r="O812" t="n">
        <v>0</v>
      </c>
      <c r="P812" t="n">
        <v>0</v>
      </c>
      <c r="Q812" t="n">
        <v>0</v>
      </c>
      <c r="R812" s="2" t="inlineStr"/>
    </row>
    <row r="813" ht="15" customHeight="1">
      <c r="A813" t="inlineStr">
        <is>
          <t>A 18542-2022</t>
        </is>
      </c>
      <c r="B813" s="1" t="n">
        <v>44686</v>
      </c>
      <c r="C813" s="1" t="n">
        <v>45986</v>
      </c>
      <c r="D813" t="inlineStr">
        <is>
          <t>VÄSTERNORRLANDS LÄN</t>
        </is>
      </c>
      <c r="E813" t="inlineStr">
        <is>
          <t>ÅNGE</t>
        </is>
      </c>
      <c r="G813" t="n">
        <v>0.2</v>
      </c>
      <c r="H813" t="n">
        <v>0</v>
      </c>
      <c r="I813" t="n">
        <v>0</v>
      </c>
      <c r="J813" t="n">
        <v>0</v>
      </c>
      <c r="K813" t="n">
        <v>0</v>
      </c>
      <c r="L813" t="n">
        <v>0</v>
      </c>
      <c r="M813" t="n">
        <v>0</v>
      </c>
      <c r="N813" t="n">
        <v>0</v>
      </c>
      <c r="O813" t="n">
        <v>0</v>
      </c>
      <c r="P813" t="n">
        <v>0</v>
      </c>
      <c r="Q813" t="n">
        <v>0</v>
      </c>
      <c r="R813" s="2" t="inlineStr"/>
    </row>
    <row r="814" ht="15" customHeight="1">
      <c r="A814" t="inlineStr">
        <is>
          <t>A 56423-2025</t>
        </is>
      </c>
      <c r="B814" s="1" t="n">
        <v>45975.34528935186</v>
      </c>
      <c r="C814" s="1" t="n">
        <v>45986</v>
      </c>
      <c r="D814" t="inlineStr">
        <is>
          <t>VÄSTERNORRLANDS LÄN</t>
        </is>
      </c>
      <c r="E814" t="inlineStr">
        <is>
          <t>ÅNGE</t>
        </is>
      </c>
      <c r="F814" t="inlineStr">
        <is>
          <t>SCA</t>
        </is>
      </c>
      <c r="G814" t="n">
        <v>1.5</v>
      </c>
      <c r="H814" t="n">
        <v>0</v>
      </c>
      <c r="I814" t="n">
        <v>0</v>
      </c>
      <c r="J814" t="n">
        <v>0</v>
      </c>
      <c r="K814" t="n">
        <v>0</v>
      </c>
      <c r="L814" t="n">
        <v>0</v>
      </c>
      <c r="M814" t="n">
        <v>0</v>
      </c>
      <c r="N814" t="n">
        <v>0</v>
      </c>
      <c r="O814" t="n">
        <v>0</v>
      </c>
      <c r="P814" t="n">
        <v>0</v>
      </c>
      <c r="Q814" t="n">
        <v>0</v>
      </c>
      <c r="R814" s="2" t="inlineStr"/>
      <c r="U814">
        <f>HYPERLINK("https://klasma.github.io/Logging_2260/knärot/A 56423-2025 karta knärot.png", "A 56423-2025")</f>
        <v/>
      </c>
      <c r="V814">
        <f>HYPERLINK("https://klasma.github.io/Logging_2260/klagomål/A 56423-2025 FSC-klagomål.docx", "A 56423-2025")</f>
        <v/>
      </c>
      <c r="W814">
        <f>HYPERLINK("https://klasma.github.io/Logging_2260/klagomålsmail/A 56423-2025 FSC-klagomål mail.docx", "A 56423-2025")</f>
        <v/>
      </c>
      <c r="X814">
        <f>HYPERLINK("https://klasma.github.io/Logging_2260/tillsyn/A 56423-2025 tillsynsbegäran.docx", "A 56423-2025")</f>
        <v/>
      </c>
      <c r="Y814">
        <f>HYPERLINK("https://klasma.github.io/Logging_2260/tillsynsmail/A 56423-2025 tillsynsbegäran mail.docx", "A 56423-2025")</f>
        <v/>
      </c>
    </row>
    <row r="815" ht="15" customHeight="1">
      <c r="A815" t="inlineStr">
        <is>
          <t>A 55007-2022</t>
        </is>
      </c>
      <c r="B815" s="1" t="n">
        <v>44881</v>
      </c>
      <c r="C815" s="1" t="n">
        <v>45986</v>
      </c>
      <c r="D815" t="inlineStr">
        <is>
          <t>VÄSTERNORRLANDS LÄN</t>
        </is>
      </c>
      <c r="E815" t="inlineStr">
        <is>
          <t>ÅNGE</t>
        </is>
      </c>
      <c r="G815" t="n">
        <v>2</v>
      </c>
      <c r="H815" t="n">
        <v>0</v>
      </c>
      <c r="I815" t="n">
        <v>0</v>
      </c>
      <c r="J815" t="n">
        <v>0</v>
      </c>
      <c r="K815" t="n">
        <v>0</v>
      </c>
      <c r="L815" t="n">
        <v>0</v>
      </c>
      <c r="M815" t="n">
        <v>0</v>
      </c>
      <c r="N815" t="n">
        <v>0</v>
      </c>
      <c r="O815" t="n">
        <v>0</v>
      </c>
      <c r="P815" t="n">
        <v>0</v>
      </c>
      <c r="Q815" t="n">
        <v>0</v>
      </c>
      <c r="R815" s="2" t="inlineStr"/>
    </row>
    <row r="816" ht="15" customHeight="1">
      <c r="A816" t="inlineStr">
        <is>
          <t>A 63607-2021</t>
        </is>
      </c>
      <c r="B816" s="1" t="n">
        <v>44508.94650462963</v>
      </c>
      <c r="C816" s="1" t="n">
        <v>45986</v>
      </c>
      <c r="D816" t="inlineStr">
        <is>
          <t>VÄSTERNORRLANDS LÄN</t>
        </is>
      </c>
      <c r="E816" t="inlineStr">
        <is>
          <t>ÅNGE</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41222-2024</t>
        </is>
      </c>
      <c r="B817" s="1" t="n">
        <v>45559.55306712963</v>
      </c>
      <c r="C817" s="1" t="n">
        <v>45986</v>
      </c>
      <c r="D817" t="inlineStr">
        <is>
          <t>VÄSTERNORRLANDS LÄN</t>
        </is>
      </c>
      <c r="E817" t="inlineStr">
        <is>
          <t>ÅNGE</t>
        </is>
      </c>
      <c r="G817" t="n">
        <v>0.4</v>
      </c>
      <c r="H817" t="n">
        <v>0</v>
      </c>
      <c r="I817" t="n">
        <v>0</v>
      </c>
      <c r="J817" t="n">
        <v>0</v>
      </c>
      <c r="K817" t="n">
        <v>0</v>
      </c>
      <c r="L817" t="n">
        <v>0</v>
      </c>
      <c r="M817" t="n">
        <v>0</v>
      </c>
      <c r="N817" t="n">
        <v>0</v>
      </c>
      <c r="O817" t="n">
        <v>0</v>
      </c>
      <c r="P817" t="n">
        <v>0</v>
      </c>
      <c r="Q817" t="n">
        <v>0</v>
      </c>
      <c r="R817" s="2" t="inlineStr"/>
    </row>
    <row r="818" ht="15" customHeight="1">
      <c r="A818" t="inlineStr">
        <is>
          <t>A 13706-2023</t>
        </is>
      </c>
      <c r="B818" s="1" t="n">
        <v>45006</v>
      </c>
      <c r="C818" s="1" t="n">
        <v>45986</v>
      </c>
      <c r="D818" t="inlineStr">
        <is>
          <t>VÄSTERNORRLANDS LÄN</t>
        </is>
      </c>
      <c r="E818" t="inlineStr">
        <is>
          <t>ÅNGE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31484-2025</t>
        </is>
      </c>
      <c r="B819" s="1" t="n">
        <v>45833.57418981481</v>
      </c>
      <c r="C819" s="1" t="n">
        <v>45986</v>
      </c>
      <c r="D819" t="inlineStr">
        <is>
          <t>VÄSTERNORRLANDS LÄN</t>
        </is>
      </c>
      <c r="E819" t="inlineStr">
        <is>
          <t>ÅNGE</t>
        </is>
      </c>
      <c r="F819" t="inlineStr">
        <is>
          <t>SCA</t>
        </is>
      </c>
      <c r="G819" t="n">
        <v>7</v>
      </c>
      <c r="H819" t="n">
        <v>0</v>
      </c>
      <c r="I819" t="n">
        <v>0</v>
      </c>
      <c r="J819" t="n">
        <v>0</v>
      </c>
      <c r="K819" t="n">
        <v>0</v>
      </c>
      <c r="L819" t="n">
        <v>0</v>
      </c>
      <c r="M819" t="n">
        <v>0</v>
      </c>
      <c r="N819" t="n">
        <v>0</v>
      </c>
      <c r="O819" t="n">
        <v>0</v>
      </c>
      <c r="P819" t="n">
        <v>0</v>
      </c>
      <c r="Q819" t="n">
        <v>0</v>
      </c>
      <c r="R819" s="2" t="inlineStr"/>
    </row>
    <row r="820" ht="15" customHeight="1">
      <c r="A820" t="inlineStr">
        <is>
          <t>A 30877-2025</t>
        </is>
      </c>
      <c r="B820" s="1" t="n">
        <v>45832.34478009259</v>
      </c>
      <c r="C820" s="1" t="n">
        <v>45986</v>
      </c>
      <c r="D820" t="inlineStr">
        <is>
          <t>VÄSTERNORRLANDS LÄN</t>
        </is>
      </c>
      <c r="E820" t="inlineStr">
        <is>
          <t>ÅNGE</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31139-2025</t>
        </is>
      </c>
      <c r="B821" s="1" t="n">
        <v>45832.63633101852</v>
      </c>
      <c r="C821" s="1" t="n">
        <v>45986</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31041-2025</t>
        </is>
      </c>
      <c r="B822" s="1" t="n">
        <v>45832.55247685185</v>
      </c>
      <c r="C822" s="1" t="n">
        <v>45986</v>
      </c>
      <c r="D822" t="inlineStr">
        <is>
          <t>VÄSTERNORRLANDS LÄN</t>
        </is>
      </c>
      <c r="E822" t="inlineStr">
        <is>
          <t>ÅNGE</t>
        </is>
      </c>
      <c r="F822" t="inlineStr">
        <is>
          <t>SCA</t>
        </is>
      </c>
      <c r="G822" t="n">
        <v>15.1</v>
      </c>
      <c r="H822" t="n">
        <v>0</v>
      </c>
      <c r="I822" t="n">
        <v>0</v>
      </c>
      <c r="J822" t="n">
        <v>0</v>
      </c>
      <c r="K822" t="n">
        <v>0</v>
      </c>
      <c r="L822" t="n">
        <v>0</v>
      </c>
      <c r="M822" t="n">
        <v>0</v>
      </c>
      <c r="N822" t="n">
        <v>0</v>
      </c>
      <c r="O822" t="n">
        <v>0</v>
      </c>
      <c r="P822" t="n">
        <v>0</v>
      </c>
      <c r="Q822" t="n">
        <v>0</v>
      </c>
      <c r="R822" s="2" t="inlineStr"/>
    </row>
    <row r="823" ht="15" customHeight="1">
      <c r="A823" t="inlineStr">
        <is>
          <t>A 36342-2024</t>
        </is>
      </c>
      <c r="B823" s="1" t="n">
        <v>45534.64315972223</v>
      </c>
      <c r="C823" s="1" t="n">
        <v>45986</v>
      </c>
      <c r="D823" t="inlineStr">
        <is>
          <t>VÄSTERNORRLANDS LÄN</t>
        </is>
      </c>
      <c r="E823" t="inlineStr">
        <is>
          <t>ÅNGE</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54627-2025</t>
        </is>
      </c>
      <c r="B824" s="1" t="n">
        <v>45966.34565972222</v>
      </c>
      <c r="C824" s="1" t="n">
        <v>45986</v>
      </c>
      <c r="D824" t="inlineStr">
        <is>
          <t>VÄSTERNORRLANDS LÄN</t>
        </is>
      </c>
      <c r="E824" t="inlineStr">
        <is>
          <t>ÅNGE</t>
        </is>
      </c>
      <c r="F824" t="inlineStr">
        <is>
          <t>SCA</t>
        </is>
      </c>
      <c r="G824" t="n">
        <v>18.5</v>
      </c>
      <c r="H824" t="n">
        <v>0</v>
      </c>
      <c r="I824" t="n">
        <v>0</v>
      </c>
      <c r="J824" t="n">
        <v>0</v>
      </c>
      <c r="K824" t="n">
        <v>0</v>
      </c>
      <c r="L824" t="n">
        <v>0</v>
      </c>
      <c r="M824" t="n">
        <v>0</v>
      </c>
      <c r="N824" t="n">
        <v>0</v>
      </c>
      <c r="O824" t="n">
        <v>0</v>
      </c>
      <c r="P824" t="n">
        <v>0</v>
      </c>
      <c r="Q824" t="n">
        <v>0</v>
      </c>
      <c r="R824" s="2" t="inlineStr"/>
    </row>
    <row r="825" ht="15" customHeight="1">
      <c r="A825" t="inlineStr">
        <is>
          <t>A 17749-2025</t>
        </is>
      </c>
      <c r="B825" s="1" t="n">
        <v>45758.48380787037</v>
      </c>
      <c r="C825" s="1" t="n">
        <v>45986</v>
      </c>
      <c r="D825" t="inlineStr">
        <is>
          <t>VÄSTERNORRLANDS LÄN</t>
        </is>
      </c>
      <c r="E825" t="inlineStr">
        <is>
          <t>ÅNGE</t>
        </is>
      </c>
      <c r="G825" t="n">
        <v>7.3</v>
      </c>
      <c r="H825" t="n">
        <v>0</v>
      </c>
      <c r="I825" t="n">
        <v>0</v>
      </c>
      <c r="J825" t="n">
        <v>0</v>
      </c>
      <c r="K825" t="n">
        <v>0</v>
      </c>
      <c r="L825" t="n">
        <v>0</v>
      </c>
      <c r="M825" t="n">
        <v>0</v>
      </c>
      <c r="N825" t="n">
        <v>0</v>
      </c>
      <c r="O825" t="n">
        <v>0</v>
      </c>
      <c r="P825" t="n">
        <v>0</v>
      </c>
      <c r="Q825" t="n">
        <v>0</v>
      </c>
      <c r="R825" s="2" t="inlineStr"/>
    </row>
    <row r="826" ht="15" customHeight="1">
      <c r="A826" t="inlineStr">
        <is>
          <t>A 56666-2025</t>
        </is>
      </c>
      <c r="B826" s="1" t="n">
        <v>45975.67747685185</v>
      </c>
      <c r="C826" s="1" t="n">
        <v>45986</v>
      </c>
      <c r="D826" t="inlineStr">
        <is>
          <t>VÄSTERNORRLANDS LÄN</t>
        </is>
      </c>
      <c r="E826" t="inlineStr">
        <is>
          <t>ÅNGE</t>
        </is>
      </c>
      <c r="G826" t="n">
        <v>5.2</v>
      </c>
      <c r="H826" t="n">
        <v>0</v>
      </c>
      <c r="I826" t="n">
        <v>0</v>
      </c>
      <c r="J826" t="n">
        <v>0</v>
      </c>
      <c r="K826" t="n">
        <v>0</v>
      </c>
      <c r="L826" t="n">
        <v>0</v>
      </c>
      <c r="M826" t="n">
        <v>0</v>
      </c>
      <c r="N826" t="n">
        <v>0</v>
      </c>
      <c r="O826" t="n">
        <v>0</v>
      </c>
      <c r="P826" t="n">
        <v>0</v>
      </c>
      <c r="Q826" t="n">
        <v>0</v>
      </c>
      <c r="R826" s="2" t="inlineStr"/>
    </row>
    <row r="827" ht="15" customHeight="1">
      <c r="A827" t="inlineStr">
        <is>
          <t>A 31646-2025</t>
        </is>
      </c>
      <c r="B827" s="1" t="n">
        <v>45834.34563657407</v>
      </c>
      <c r="C827" s="1" t="n">
        <v>45986</v>
      </c>
      <c r="D827" t="inlineStr">
        <is>
          <t>VÄSTERNORRLANDS LÄN</t>
        </is>
      </c>
      <c r="E827" t="inlineStr">
        <is>
          <t>ÅNGE</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31642-2025</t>
        </is>
      </c>
      <c r="B828" s="1" t="n">
        <v>45834.34474537037</v>
      </c>
      <c r="C828" s="1" t="n">
        <v>45986</v>
      </c>
      <c r="D828" t="inlineStr">
        <is>
          <t>VÄSTERNORRLANDS LÄN</t>
        </is>
      </c>
      <c r="E828" t="inlineStr">
        <is>
          <t>ÅNGE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32025-2025</t>
        </is>
      </c>
      <c r="B829" s="1" t="n">
        <v>45835.40721064815</v>
      </c>
      <c r="C829" s="1" t="n">
        <v>45986</v>
      </c>
      <c r="D829" t="inlineStr">
        <is>
          <t>VÄSTERNORRLANDS LÄN</t>
        </is>
      </c>
      <c r="E829" t="inlineStr">
        <is>
          <t>ÅNGE</t>
        </is>
      </c>
      <c r="G829" t="n">
        <v>1.6</v>
      </c>
      <c r="H829" t="n">
        <v>0</v>
      </c>
      <c r="I829" t="n">
        <v>0</v>
      </c>
      <c r="J829" t="n">
        <v>0</v>
      </c>
      <c r="K829" t="n">
        <v>0</v>
      </c>
      <c r="L829" t="n">
        <v>0</v>
      </c>
      <c r="M829" t="n">
        <v>0</v>
      </c>
      <c r="N829" t="n">
        <v>0</v>
      </c>
      <c r="O829" t="n">
        <v>0</v>
      </c>
      <c r="P829" t="n">
        <v>0</v>
      </c>
      <c r="Q829" t="n">
        <v>0</v>
      </c>
      <c r="R829" s="2" t="inlineStr"/>
    </row>
    <row r="830" ht="15" customHeight="1">
      <c r="A830" t="inlineStr">
        <is>
          <t>A 41781-2024</t>
        </is>
      </c>
      <c r="B830" s="1" t="n">
        <v>45561.34938657407</v>
      </c>
      <c r="C830" s="1" t="n">
        <v>45986</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56419-2025</t>
        </is>
      </c>
      <c r="B831" s="1" t="n">
        <v>45975.34445601852</v>
      </c>
      <c r="C831" s="1" t="n">
        <v>45986</v>
      </c>
      <c r="D831" t="inlineStr">
        <is>
          <t>VÄSTERNORRLANDS LÄN</t>
        </is>
      </c>
      <c r="E831" t="inlineStr">
        <is>
          <t>ÅNGE</t>
        </is>
      </c>
      <c r="F831" t="inlineStr">
        <is>
          <t>SCA</t>
        </is>
      </c>
      <c r="G831" t="n">
        <v>21.4</v>
      </c>
      <c r="H831" t="n">
        <v>0</v>
      </c>
      <c r="I831" t="n">
        <v>0</v>
      </c>
      <c r="J831" t="n">
        <v>0</v>
      </c>
      <c r="K831" t="n">
        <v>0</v>
      </c>
      <c r="L831" t="n">
        <v>0</v>
      </c>
      <c r="M831" t="n">
        <v>0</v>
      </c>
      <c r="N831" t="n">
        <v>0</v>
      </c>
      <c r="O831" t="n">
        <v>0</v>
      </c>
      <c r="P831" t="n">
        <v>0</v>
      </c>
      <c r="Q831" t="n">
        <v>0</v>
      </c>
      <c r="R831" s="2" t="inlineStr"/>
    </row>
    <row r="832" ht="15" customHeight="1">
      <c r="A832" t="inlineStr">
        <is>
          <t>A 32024-2025</t>
        </is>
      </c>
      <c r="B832" s="1" t="n">
        <v>45835.40706018519</v>
      </c>
      <c r="C832" s="1" t="n">
        <v>45986</v>
      </c>
      <c r="D832" t="inlineStr">
        <is>
          <t>VÄSTERNORRLANDS LÄN</t>
        </is>
      </c>
      <c r="E832" t="inlineStr">
        <is>
          <t>ÅNGE</t>
        </is>
      </c>
      <c r="F832" t="inlineStr">
        <is>
          <t>SCA</t>
        </is>
      </c>
      <c r="G832" t="n">
        <v>12.3</v>
      </c>
      <c r="H832" t="n">
        <v>0</v>
      </c>
      <c r="I832" t="n">
        <v>0</v>
      </c>
      <c r="J832" t="n">
        <v>0</v>
      </c>
      <c r="K832" t="n">
        <v>0</v>
      </c>
      <c r="L832" t="n">
        <v>0</v>
      </c>
      <c r="M832" t="n">
        <v>0</v>
      </c>
      <c r="N832" t="n">
        <v>0</v>
      </c>
      <c r="O832" t="n">
        <v>0</v>
      </c>
      <c r="P832" t="n">
        <v>0</v>
      </c>
      <c r="Q832" t="n">
        <v>0</v>
      </c>
      <c r="R832" s="2" t="inlineStr"/>
    </row>
    <row r="833" ht="15" customHeight="1">
      <c r="A833" t="inlineStr">
        <is>
          <t>A 26092-2025</t>
        </is>
      </c>
      <c r="B833" s="1" t="n">
        <v>45805</v>
      </c>
      <c r="C833" s="1" t="n">
        <v>45986</v>
      </c>
      <c r="D833" t="inlineStr">
        <is>
          <t>VÄSTERNORRLANDS LÄN</t>
        </is>
      </c>
      <c r="E833" t="inlineStr">
        <is>
          <t>ÅNGE</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48055-2025</t>
        </is>
      </c>
      <c r="B834" s="1" t="n">
        <v>45932.67922453704</v>
      </c>
      <c r="C834" s="1" t="n">
        <v>45986</v>
      </c>
      <c r="D834" t="inlineStr">
        <is>
          <t>VÄSTERNORRLANDS LÄN</t>
        </is>
      </c>
      <c r="E834" t="inlineStr">
        <is>
          <t>ÅNGE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48069-2025</t>
        </is>
      </c>
      <c r="B835" s="1" t="n">
        <v>45932.69865740741</v>
      </c>
      <c r="C835" s="1" t="n">
        <v>45986</v>
      </c>
      <c r="D835" t="inlineStr">
        <is>
          <t>VÄSTERNORRLANDS LÄN</t>
        </is>
      </c>
      <c r="E835" t="inlineStr">
        <is>
          <t>ÅNGE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3330-2025</t>
        </is>
      </c>
      <c r="B836" s="1" t="n">
        <v>45679.70041666667</v>
      </c>
      <c r="C836" s="1" t="n">
        <v>45986</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31666-2025</t>
        </is>
      </c>
      <c r="B837" s="1" t="n">
        <v>45834.36519675926</v>
      </c>
      <c r="C837" s="1" t="n">
        <v>45986</v>
      </c>
      <c r="D837" t="inlineStr">
        <is>
          <t>VÄSTERNORRLANDS LÄN</t>
        </is>
      </c>
      <c r="E837" t="inlineStr">
        <is>
          <t>ÅNGE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38272-2024</t>
        </is>
      </c>
      <c r="B838" s="1" t="n">
        <v>45545.60392361111</v>
      </c>
      <c r="C838" s="1" t="n">
        <v>45986</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41831-2021</t>
        </is>
      </c>
      <c r="B839" s="1" t="n">
        <v>44425.92212962963</v>
      </c>
      <c r="C839" s="1" t="n">
        <v>45986</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32922-2024</t>
        </is>
      </c>
      <c r="B840" s="1" t="n">
        <v>45516.95263888889</v>
      </c>
      <c r="C840" s="1" t="n">
        <v>45986</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48679-2025</t>
        </is>
      </c>
      <c r="B841" s="1" t="n">
        <v>45936.59196759259</v>
      </c>
      <c r="C841" s="1" t="n">
        <v>45986</v>
      </c>
      <c r="D841" t="inlineStr">
        <is>
          <t>VÄSTERNORRLANDS LÄN</t>
        </is>
      </c>
      <c r="E841" t="inlineStr">
        <is>
          <t>ÅNGE</t>
        </is>
      </c>
      <c r="G841" t="n">
        <v>2.1</v>
      </c>
      <c r="H841" t="n">
        <v>0</v>
      </c>
      <c r="I841" t="n">
        <v>0</v>
      </c>
      <c r="J841" t="n">
        <v>0</v>
      </c>
      <c r="K841" t="n">
        <v>0</v>
      </c>
      <c r="L841" t="n">
        <v>0</v>
      </c>
      <c r="M841" t="n">
        <v>0</v>
      </c>
      <c r="N841" t="n">
        <v>0</v>
      </c>
      <c r="O841" t="n">
        <v>0</v>
      </c>
      <c r="P841" t="n">
        <v>0</v>
      </c>
      <c r="Q841" t="n">
        <v>0</v>
      </c>
      <c r="R841" s="2" t="inlineStr"/>
    </row>
    <row r="842" ht="15" customHeight="1">
      <c r="A842" t="inlineStr">
        <is>
          <t>A 56741-2025</t>
        </is>
      </c>
      <c r="B842" s="1" t="n">
        <v>45978.34726851852</v>
      </c>
      <c r="C842" s="1" t="n">
        <v>45986</v>
      </c>
      <c r="D842" t="inlineStr">
        <is>
          <t>VÄSTERNORRLANDS LÄN</t>
        </is>
      </c>
      <c r="E842" t="inlineStr">
        <is>
          <t>ÅNGE</t>
        </is>
      </c>
      <c r="G842" t="n">
        <v>11.4</v>
      </c>
      <c r="H842" t="n">
        <v>0</v>
      </c>
      <c r="I842" t="n">
        <v>0</v>
      </c>
      <c r="J842" t="n">
        <v>0</v>
      </c>
      <c r="K842" t="n">
        <v>0</v>
      </c>
      <c r="L842" t="n">
        <v>0</v>
      </c>
      <c r="M842" t="n">
        <v>0</v>
      </c>
      <c r="N842" t="n">
        <v>0</v>
      </c>
      <c r="O842" t="n">
        <v>0</v>
      </c>
      <c r="P842" t="n">
        <v>0</v>
      </c>
      <c r="Q842" t="n">
        <v>0</v>
      </c>
      <c r="R842" s="2" t="inlineStr"/>
    </row>
    <row r="843" ht="15" customHeight="1">
      <c r="A843" t="inlineStr">
        <is>
          <t>A 10282-2025</t>
        </is>
      </c>
      <c r="B843" s="1" t="n">
        <v>45720.40659722222</v>
      </c>
      <c r="C843" s="1" t="n">
        <v>45986</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51055-2023</t>
        </is>
      </c>
      <c r="B844" s="1" t="n">
        <v>45218</v>
      </c>
      <c r="C844" s="1" t="n">
        <v>45986</v>
      </c>
      <c r="D844" t="inlineStr">
        <is>
          <t>VÄSTERNORRLANDS LÄN</t>
        </is>
      </c>
      <c r="E844" t="inlineStr">
        <is>
          <t>ÅNGE</t>
        </is>
      </c>
      <c r="G844" t="n">
        <v>1.3</v>
      </c>
      <c r="H844" t="n">
        <v>0</v>
      </c>
      <c r="I844" t="n">
        <v>0</v>
      </c>
      <c r="J844" t="n">
        <v>0</v>
      </c>
      <c r="K844" t="n">
        <v>0</v>
      </c>
      <c r="L844" t="n">
        <v>0</v>
      </c>
      <c r="M844" t="n">
        <v>0</v>
      </c>
      <c r="N844" t="n">
        <v>0</v>
      </c>
      <c r="O844" t="n">
        <v>0</v>
      </c>
      <c r="P844" t="n">
        <v>0</v>
      </c>
      <c r="Q844" t="n">
        <v>0</v>
      </c>
      <c r="R844" s="2" t="inlineStr"/>
    </row>
    <row r="845" ht="15" customHeight="1">
      <c r="A845" t="inlineStr">
        <is>
          <t>A 5455-2023</t>
        </is>
      </c>
      <c r="B845" s="1" t="n">
        <v>44959.93983796296</v>
      </c>
      <c r="C845" s="1" t="n">
        <v>45986</v>
      </c>
      <c r="D845" t="inlineStr">
        <is>
          <t>VÄSTERNORRLANDS LÄN</t>
        </is>
      </c>
      <c r="E845" t="inlineStr">
        <is>
          <t>ÅNGE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43775-2022</t>
        </is>
      </c>
      <c r="B846" s="1" t="n">
        <v>44837.95053240741</v>
      </c>
      <c r="C846" s="1" t="n">
        <v>45986</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57022-2025</t>
        </is>
      </c>
      <c r="B847" s="1" t="n">
        <v>45978.88921296296</v>
      </c>
      <c r="C847" s="1" t="n">
        <v>45986</v>
      </c>
      <c r="D847" t="inlineStr">
        <is>
          <t>VÄSTERNORRLANDS LÄN</t>
        </is>
      </c>
      <c r="E847" t="inlineStr">
        <is>
          <t>ÅNGE</t>
        </is>
      </c>
      <c r="G847" t="n">
        <v>1.2</v>
      </c>
      <c r="H847" t="n">
        <v>0</v>
      </c>
      <c r="I847" t="n">
        <v>0</v>
      </c>
      <c r="J847" t="n">
        <v>0</v>
      </c>
      <c r="K847" t="n">
        <v>0</v>
      </c>
      <c r="L847" t="n">
        <v>0</v>
      </c>
      <c r="M847" t="n">
        <v>0</v>
      </c>
      <c r="N847" t="n">
        <v>0</v>
      </c>
      <c r="O847" t="n">
        <v>0</v>
      </c>
      <c r="P847" t="n">
        <v>0</v>
      </c>
      <c r="Q847" t="n">
        <v>0</v>
      </c>
      <c r="R847" s="2" t="inlineStr"/>
    </row>
    <row r="848" ht="15" customHeight="1">
      <c r="A848" t="inlineStr">
        <is>
          <t>A 16915-2024</t>
        </is>
      </c>
      <c r="B848" s="1" t="n">
        <v>45411.65185185185</v>
      </c>
      <c r="C848" s="1" t="n">
        <v>45986</v>
      </c>
      <c r="D848" t="inlineStr">
        <is>
          <t>VÄSTERNORRLANDS LÄN</t>
        </is>
      </c>
      <c r="E848" t="inlineStr">
        <is>
          <t>ÅNGE</t>
        </is>
      </c>
      <c r="G848" t="n">
        <v>2.1</v>
      </c>
      <c r="H848" t="n">
        <v>0</v>
      </c>
      <c r="I848" t="n">
        <v>0</v>
      </c>
      <c r="J848" t="n">
        <v>0</v>
      </c>
      <c r="K848" t="n">
        <v>0</v>
      </c>
      <c r="L848" t="n">
        <v>0</v>
      </c>
      <c r="M848" t="n">
        <v>0</v>
      </c>
      <c r="N848" t="n">
        <v>0</v>
      </c>
      <c r="O848" t="n">
        <v>0</v>
      </c>
      <c r="P848" t="n">
        <v>0</v>
      </c>
      <c r="Q848" t="n">
        <v>0</v>
      </c>
      <c r="R848" s="2" t="inlineStr"/>
    </row>
    <row r="849" ht="15" customHeight="1">
      <c r="A849" t="inlineStr">
        <is>
          <t>A 57560-2023</t>
        </is>
      </c>
      <c r="B849" s="1" t="n">
        <v>45243</v>
      </c>
      <c r="C849" s="1" t="n">
        <v>45986</v>
      </c>
      <c r="D849" t="inlineStr">
        <is>
          <t>VÄSTERNORRLANDS LÄN</t>
        </is>
      </c>
      <c r="E849" t="inlineStr">
        <is>
          <t>ÅNGE</t>
        </is>
      </c>
      <c r="G849" t="n">
        <v>7.4</v>
      </c>
      <c r="H849" t="n">
        <v>0</v>
      </c>
      <c r="I849" t="n">
        <v>0</v>
      </c>
      <c r="J849" t="n">
        <v>0</v>
      </c>
      <c r="K849" t="n">
        <v>0</v>
      </c>
      <c r="L849" t="n">
        <v>0</v>
      </c>
      <c r="M849" t="n">
        <v>0</v>
      </c>
      <c r="N849" t="n">
        <v>0</v>
      </c>
      <c r="O849" t="n">
        <v>0</v>
      </c>
      <c r="P849" t="n">
        <v>0</v>
      </c>
      <c r="Q849" t="n">
        <v>0</v>
      </c>
      <c r="R849" s="2" t="inlineStr"/>
    </row>
    <row r="850" ht="15" customHeight="1">
      <c r="A850" t="inlineStr">
        <is>
          <t>A 57568-2023</t>
        </is>
      </c>
      <c r="B850" s="1" t="n">
        <v>45246.50484953704</v>
      </c>
      <c r="C850" s="1" t="n">
        <v>45986</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16576-2023</t>
        </is>
      </c>
      <c r="B851" s="1" t="n">
        <v>45029.94251157407</v>
      </c>
      <c r="C851" s="1" t="n">
        <v>45986</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57081-2025</t>
        </is>
      </c>
      <c r="B852" s="1" t="n">
        <v>45979.40826388889</v>
      </c>
      <c r="C852" s="1" t="n">
        <v>45986</v>
      </c>
      <c r="D852" t="inlineStr">
        <is>
          <t>VÄSTERNORRLANDS LÄN</t>
        </is>
      </c>
      <c r="E852" t="inlineStr">
        <is>
          <t>ÅNGE</t>
        </is>
      </c>
      <c r="G852" t="n">
        <v>2.2</v>
      </c>
      <c r="H852" t="n">
        <v>0</v>
      </c>
      <c r="I852" t="n">
        <v>0</v>
      </c>
      <c r="J852" t="n">
        <v>0</v>
      </c>
      <c r="K852" t="n">
        <v>0</v>
      </c>
      <c r="L852" t="n">
        <v>0</v>
      </c>
      <c r="M852" t="n">
        <v>0</v>
      </c>
      <c r="N852" t="n">
        <v>0</v>
      </c>
      <c r="O852" t="n">
        <v>0</v>
      </c>
      <c r="P852" t="n">
        <v>0</v>
      </c>
      <c r="Q852" t="n">
        <v>0</v>
      </c>
      <c r="R852" s="2" t="inlineStr"/>
    </row>
    <row r="853" ht="15" customHeight="1">
      <c r="A853" t="inlineStr">
        <is>
          <t>A 4359-2025</t>
        </is>
      </c>
      <c r="B853" s="1" t="n">
        <v>45686.33072916666</v>
      </c>
      <c r="C853" s="1" t="n">
        <v>45986</v>
      </c>
      <c r="D853" t="inlineStr">
        <is>
          <t>VÄSTERNORRLANDS LÄN</t>
        </is>
      </c>
      <c r="E853" t="inlineStr">
        <is>
          <t>ÅNGE</t>
        </is>
      </c>
      <c r="F853" t="inlineStr">
        <is>
          <t>Holmen skog AB</t>
        </is>
      </c>
      <c r="G853" t="n">
        <v>22</v>
      </c>
      <c r="H853" t="n">
        <v>0</v>
      </c>
      <c r="I853" t="n">
        <v>0</v>
      </c>
      <c r="J853" t="n">
        <v>0</v>
      </c>
      <c r="K853" t="n">
        <v>0</v>
      </c>
      <c r="L853" t="n">
        <v>0</v>
      </c>
      <c r="M853" t="n">
        <v>0</v>
      </c>
      <c r="N853" t="n">
        <v>0</v>
      </c>
      <c r="O853" t="n">
        <v>0</v>
      </c>
      <c r="P853" t="n">
        <v>0</v>
      </c>
      <c r="Q853" t="n">
        <v>0</v>
      </c>
      <c r="R853" s="2" t="inlineStr"/>
    </row>
    <row r="854" ht="15" customHeight="1">
      <c r="A854" t="inlineStr">
        <is>
          <t>A 24797-2024</t>
        </is>
      </c>
      <c r="B854" s="1" t="n">
        <v>45460.95269675926</v>
      </c>
      <c r="C854" s="1" t="n">
        <v>45986</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32069-2023</t>
        </is>
      </c>
      <c r="B855" s="1" t="n">
        <v>45107</v>
      </c>
      <c r="C855" s="1" t="n">
        <v>45986</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26013-2024</t>
        </is>
      </c>
      <c r="B856" s="1" t="n">
        <v>45467</v>
      </c>
      <c r="C856" s="1" t="n">
        <v>45986</v>
      </c>
      <c r="D856" t="inlineStr">
        <is>
          <t>VÄSTERNORRLANDS LÄN</t>
        </is>
      </c>
      <c r="E856" t="inlineStr">
        <is>
          <t>ÅNGE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49562-2025</t>
        </is>
      </c>
      <c r="B857" s="1" t="n">
        <v>45939.46524305556</v>
      </c>
      <c r="C857" s="1" t="n">
        <v>45986</v>
      </c>
      <c r="D857" t="inlineStr">
        <is>
          <t>VÄSTERNORRLANDS LÄN</t>
        </is>
      </c>
      <c r="E857" t="inlineStr">
        <is>
          <t>ÅNGE</t>
        </is>
      </c>
      <c r="G857" t="n">
        <v>4.4</v>
      </c>
      <c r="H857" t="n">
        <v>0</v>
      </c>
      <c r="I857" t="n">
        <v>0</v>
      </c>
      <c r="J857" t="n">
        <v>0</v>
      </c>
      <c r="K857" t="n">
        <v>0</v>
      </c>
      <c r="L857" t="n">
        <v>0</v>
      </c>
      <c r="M857" t="n">
        <v>0</v>
      </c>
      <c r="N857" t="n">
        <v>0</v>
      </c>
      <c r="O857" t="n">
        <v>0</v>
      </c>
      <c r="P857" t="n">
        <v>0</v>
      </c>
      <c r="Q857" t="n">
        <v>0</v>
      </c>
      <c r="R857" s="2" t="inlineStr"/>
    </row>
    <row r="858" ht="15" customHeight="1">
      <c r="A858" t="inlineStr">
        <is>
          <t>A 32847-2025</t>
        </is>
      </c>
      <c r="B858" s="1" t="n">
        <v>45839.57354166666</v>
      </c>
      <c r="C858" s="1" t="n">
        <v>45986</v>
      </c>
      <c r="D858" t="inlineStr">
        <is>
          <t>VÄSTERNORRLANDS LÄN</t>
        </is>
      </c>
      <c r="E858" t="inlineStr">
        <is>
          <t>ÅNGE</t>
        </is>
      </c>
      <c r="F858" t="inlineStr">
        <is>
          <t>SCA</t>
        </is>
      </c>
      <c r="G858" t="n">
        <v>9.4</v>
      </c>
      <c r="H858" t="n">
        <v>0</v>
      </c>
      <c r="I858" t="n">
        <v>0</v>
      </c>
      <c r="J858" t="n">
        <v>0</v>
      </c>
      <c r="K858" t="n">
        <v>0</v>
      </c>
      <c r="L858" t="n">
        <v>0</v>
      </c>
      <c r="M858" t="n">
        <v>0</v>
      </c>
      <c r="N858" t="n">
        <v>0</v>
      </c>
      <c r="O858" t="n">
        <v>0</v>
      </c>
      <c r="P858" t="n">
        <v>0</v>
      </c>
      <c r="Q858" t="n">
        <v>0</v>
      </c>
      <c r="R858" s="2" t="inlineStr"/>
    </row>
    <row r="859" ht="15" customHeight="1">
      <c r="A859" t="inlineStr">
        <is>
          <t>A 49377-2025</t>
        </is>
      </c>
      <c r="B859" s="1" t="n">
        <v>45938.63626157407</v>
      </c>
      <c r="C859" s="1" t="n">
        <v>45986</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16903-2024</t>
        </is>
      </c>
      <c r="B860" s="1" t="n">
        <v>45411.63106481481</v>
      </c>
      <c r="C860" s="1" t="n">
        <v>45986</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32439-2024</t>
        </is>
      </c>
      <c r="B861" s="1" t="n">
        <v>45512</v>
      </c>
      <c r="C861" s="1" t="n">
        <v>45986</v>
      </c>
      <c r="D861" t="inlineStr">
        <is>
          <t>VÄSTERNORRLANDS LÄN</t>
        </is>
      </c>
      <c r="E861" t="inlineStr">
        <is>
          <t>ÅNGE</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16572-2023</t>
        </is>
      </c>
      <c r="B862" s="1" t="n">
        <v>45029.94224537037</v>
      </c>
      <c r="C862" s="1" t="n">
        <v>45986</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49156-2025</t>
        </is>
      </c>
      <c r="B863" s="1" t="n">
        <v>45938.3458912037</v>
      </c>
      <c r="C863" s="1" t="n">
        <v>45986</v>
      </c>
      <c r="D863" t="inlineStr">
        <is>
          <t>VÄSTERNORRLANDS LÄN</t>
        </is>
      </c>
      <c r="E863" t="inlineStr">
        <is>
          <t>ÅNGE</t>
        </is>
      </c>
      <c r="G863" t="n">
        <v>2.3</v>
      </c>
      <c r="H863" t="n">
        <v>0</v>
      </c>
      <c r="I863" t="n">
        <v>0</v>
      </c>
      <c r="J863" t="n">
        <v>0</v>
      </c>
      <c r="K863" t="n">
        <v>0</v>
      </c>
      <c r="L863" t="n">
        <v>0</v>
      </c>
      <c r="M863" t="n">
        <v>0</v>
      </c>
      <c r="N863" t="n">
        <v>0</v>
      </c>
      <c r="O863" t="n">
        <v>0</v>
      </c>
      <c r="P863" t="n">
        <v>0</v>
      </c>
      <c r="Q863" t="n">
        <v>0</v>
      </c>
      <c r="R863" s="2" t="inlineStr"/>
    </row>
    <row r="864" ht="15" customHeight="1">
      <c r="A864" t="inlineStr">
        <is>
          <t>A 57302-2025</t>
        </is>
      </c>
      <c r="B864" s="1" t="n">
        <v>45979.87184027778</v>
      </c>
      <c r="C864" s="1" t="n">
        <v>45986</v>
      </c>
      <c r="D864" t="inlineStr">
        <is>
          <t>VÄSTERNORRLANDS LÄN</t>
        </is>
      </c>
      <c r="E864" t="inlineStr">
        <is>
          <t>ÅNGE</t>
        </is>
      </c>
      <c r="G864" t="n">
        <v>2.3</v>
      </c>
      <c r="H864" t="n">
        <v>0</v>
      </c>
      <c r="I864" t="n">
        <v>0</v>
      </c>
      <c r="J864" t="n">
        <v>0</v>
      </c>
      <c r="K864" t="n">
        <v>0</v>
      </c>
      <c r="L864" t="n">
        <v>0</v>
      </c>
      <c r="M864" t="n">
        <v>0</v>
      </c>
      <c r="N864" t="n">
        <v>0</v>
      </c>
      <c r="O864" t="n">
        <v>0</v>
      </c>
      <c r="P864" t="n">
        <v>0</v>
      </c>
      <c r="Q864" t="n">
        <v>0</v>
      </c>
      <c r="R864" s="2" t="inlineStr"/>
    </row>
    <row r="865" ht="15" customHeight="1">
      <c r="A865" t="inlineStr">
        <is>
          <t>A 57371-2025</t>
        </is>
      </c>
      <c r="B865" s="1" t="n">
        <v>45980.38586805556</v>
      </c>
      <c r="C865" s="1" t="n">
        <v>45986</v>
      </c>
      <c r="D865" t="inlineStr">
        <is>
          <t>VÄSTERNORRLANDS LÄN</t>
        </is>
      </c>
      <c r="E865" t="inlineStr">
        <is>
          <t>ÅNGE</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57283-2025</t>
        </is>
      </c>
      <c r="B866" s="1" t="n">
        <v>45979.71918981482</v>
      </c>
      <c r="C866" s="1" t="n">
        <v>45986</v>
      </c>
      <c r="D866" t="inlineStr">
        <is>
          <t>VÄSTERNORRLANDS LÄN</t>
        </is>
      </c>
      <c r="E866" t="inlineStr">
        <is>
          <t>ÅNGE</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3256-2024</t>
        </is>
      </c>
      <c r="B867" s="1" t="n">
        <v>45316</v>
      </c>
      <c r="C867" s="1" t="n">
        <v>45986</v>
      </c>
      <c r="D867" t="inlineStr">
        <is>
          <t>VÄSTERNORRLANDS LÄN</t>
        </is>
      </c>
      <c r="E867" t="inlineStr">
        <is>
          <t>ÅNGE</t>
        </is>
      </c>
      <c r="G867" t="n">
        <v>3.7</v>
      </c>
      <c r="H867" t="n">
        <v>0</v>
      </c>
      <c r="I867" t="n">
        <v>0</v>
      </c>
      <c r="J867" t="n">
        <v>0</v>
      </c>
      <c r="K867" t="n">
        <v>0</v>
      </c>
      <c r="L867" t="n">
        <v>0</v>
      </c>
      <c r="M867" t="n">
        <v>0</v>
      </c>
      <c r="N867" t="n">
        <v>0</v>
      </c>
      <c r="O867" t="n">
        <v>0</v>
      </c>
      <c r="P867" t="n">
        <v>0</v>
      </c>
      <c r="Q867" t="n">
        <v>0</v>
      </c>
      <c r="R867" s="2" t="inlineStr"/>
    </row>
    <row r="868" ht="15" customHeight="1">
      <c r="A868" t="inlineStr">
        <is>
          <t>A 49487-2024</t>
        </is>
      </c>
      <c r="B868" s="1" t="n">
        <v>45596.35813657408</v>
      </c>
      <c r="C868" s="1" t="n">
        <v>45986</v>
      </c>
      <c r="D868" t="inlineStr">
        <is>
          <t>VÄSTERNORRLANDS LÄN</t>
        </is>
      </c>
      <c r="E868" t="inlineStr">
        <is>
          <t>ÅNGE</t>
        </is>
      </c>
      <c r="G868" t="n">
        <v>4.3</v>
      </c>
      <c r="H868" t="n">
        <v>0</v>
      </c>
      <c r="I868" t="n">
        <v>0</v>
      </c>
      <c r="J868" t="n">
        <v>0</v>
      </c>
      <c r="K868" t="n">
        <v>0</v>
      </c>
      <c r="L868" t="n">
        <v>0</v>
      </c>
      <c r="M868" t="n">
        <v>0</v>
      </c>
      <c r="N868" t="n">
        <v>0</v>
      </c>
      <c r="O868" t="n">
        <v>0</v>
      </c>
      <c r="P868" t="n">
        <v>0</v>
      </c>
      <c r="Q868" t="n">
        <v>0</v>
      </c>
      <c r="R868" s="2" t="inlineStr"/>
    </row>
    <row r="869" ht="15" customHeight="1">
      <c r="A869" t="inlineStr">
        <is>
          <t>A 49179-2025</t>
        </is>
      </c>
      <c r="B869" s="1" t="n">
        <v>45938.38579861111</v>
      </c>
      <c r="C869" s="1" t="n">
        <v>45986</v>
      </c>
      <c r="D869" t="inlineStr">
        <is>
          <t>VÄSTERNORRLANDS LÄN</t>
        </is>
      </c>
      <c r="E869" t="inlineStr">
        <is>
          <t>ÅNGE</t>
        </is>
      </c>
      <c r="G869" t="n">
        <v>2.3</v>
      </c>
      <c r="H869" t="n">
        <v>0</v>
      </c>
      <c r="I869" t="n">
        <v>0</v>
      </c>
      <c r="J869" t="n">
        <v>0</v>
      </c>
      <c r="K869" t="n">
        <v>0</v>
      </c>
      <c r="L869" t="n">
        <v>0</v>
      </c>
      <c r="M869" t="n">
        <v>0</v>
      </c>
      <c r="N869" t="n">
        <v>0</v>
      </c>
      <c r="O869" t="n">
        <v>0</v>
      </c>
      <c r="P869" t="n">
        <v>0</v>
      </c>
      <c r="Q869" t="n">
        <v>0</v>
      </c>
      <c r="R869" s="2" t="inlineStr"/>
    </row>
    <row r="870" ht="15" customHeight="1">
      <c r="A870" t="inlineStr">
        <is>
          <t>A 49669-2025</t>
        </is>
      </c>
      <c r="B870" s="1" t="n">
        <v>45939.63710648148</v>
      </c>
      <c r="C870" s="1" t="n">
        <v>45986</v>
      </c>
      <c r="D870" t="inlineStr">
        <is>
          <t>VÄSTERNORRLANDS LÄN</t>
        </is>
      </c>
      <c r="E870" t="inlineStr">
        <is>
          <t>ÅNGE</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18112-2025</t>
        </is>
      </c>
      <c r="B871" s="1" t="n">
        <v>45761.57350694444</v>
      </c>
      <c r="C871" s="1" t="n">
        <v>45986</v>
      </c>
      <c r="D871" t="inlineStr">
        <is>
          <t>VÄSTERNORRLANDS LÄN</t>
        </is>
      </c>
      <c r="E871" t="inlineStr">
        <is>
          <t>ÅNGE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49603-2025</t>
        </is>
      </c>
      <c r="B872" s="1" t="n">
        <v>45939.5484375</v>
      </c>
      <c r="C872" s="1" t="n">
        <v>45986</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57457-2025</t>
        </is>
      </c>
      <c r="B873" s="1" t="n">
        <v>45980.53001157408</v>
      </c>
      <c r="C873" s="1" t="n">
        <v>45986</v>
      </c>
      <c r="D873" t="inlineStr">
        <is>
          <t>VÄSTERNORRLANDS LÄN</t>
        </is>
      </c>
      <c r="E873" t="inlineStr">
        <is>
          <t>ÅNGE</t>
        </is>
      </c>
      <c r="G873" t="n">
        <v>2.4</v>
      </c>
      <c r="H873" t="n">
        <v>0</v>
      </c>
      <c r="I873" t="n">
        <v>0</v>
      </c>
      <c r="J873" t="n">
        <v>0</v>
      </c>
      <c r="K873" t="n">
        <v>0</v>
      </c>
      <c r="L873" t="n">
        <v>0</v>
      </c>
      <c r="M873" t="n">
        <v>0</v>
      </c>
      <c r="N873" t="n">
        <v>0</v>
      </c>
      <c r="O873" t="n">
        <v>0</v>
      </c>
      <c r="P873" t="n">
        <v>0</v>
      </c>
      <c r="Q873" t="n">
        <v>0</v>
      </c>
      <c r="R873" s="2" t="inlineStr"/>
    </row>
    <row r="874" ht="15" customHeight="1">
      <c r="A874" t="inlineStr">
        <is>
          <t>A 49381-2025</t>
        </is>
      </c>
      <c r="B874" s="1" t="n">
        <v>45938.63694444444</v>
      </c>
      <c r="C874" s="1" t="n">
        <v>45986</v>
      </c>
      <c r="D874" t="inlineStr">
        <is>
          <t>VÄSTERNORRLANDS LÄN</t>
        </is>
      </c>
      <c r="E874" t="inlineStr">
        <is>
          <t>ÅNGE</t>
        </is>
      </c>
      <c r="F874" t="inlineStr">
        <is>
          <t>SCA</t>
        </is>
      </c>
      <c r="G874" t="n">
        <v>20.6</v>
      </c>
      <c r="H874" t="n">
        <v>0</v>
      </c>
      <c r="I874" t="n">
        <v>0</v>
      </c>
      <c r="J874" t="n">
        <v>0</v>
      </c>
      <c r="K874" t="n">
        <v>0</v>
      </c>
      <c r="L874" t="n">
        <v>0</v>
      </c>
      <c r="M874" t="n">
        <v>0</v>
      </c>
      <c r="N874" t="n">
        <v>0</v>
      </c>
      <c r="O874" t="n">
        <v>0</v>
      </c>
      <c r="P874" t="n">
        <v>0</v>
      </c>
      <c r="Q874" t="n">
        <v>0</v>
      </c>
      <c r="R874" s="2" t="inlineStr"/>
    </row>
    <row r="875" ht="15" customHeight="1">
      <c r="A875" t="inlineStr">
        <is>
          <t>A 34031-2025</t>
        </is>
      </c>
      <c r="B875" s="1" t="n">
        <v>45845.36508101852</v>
      </c>
      <c r="C875" s="1" t="n">
        <v>45986</v>
      </c>
      <c r="D875" t="inlineStr">
        <is>
          <t>VÄSTERNORRLANDS LÄN</t>
        </is>
      </c>
      <c r="E875" t="inlineStr">
        <is>
          <t>ÅNGE</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57287-2022</t>
        </is>
      </c>
      <c r="B876" s="1" t="n">
        <v>44895.95</v>
      </c>
      <c r="C876" s="1" t="n">
        <v>45986</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20576-2021</t>
        </is>
      </c>
      <c r="B877" s="1" t="n">
        <v>44316.3290162037</v>
      </c>
      <c r="C877" s="1" t="n">
        <v>45986</v>
      </c>
      <c r="D877" t="inlineStr">
        <is>
          <t>VÄSTERNORRLANDS LÄN</t>
        </is>
      </c>
      <c r="E877" t="inlineStr">
        <is>
          <t>ÅNGE</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49566-2025</t>
        </is>
      </c>
      <c r="B878" s="1" t="n">
        <v>45939.46939814815</v>
      </c>
      <c r="C878" s="1" t="n">
        <v>45986</v>
      </c>
      <c r="D878" t="inlineStr">
        <is>
          <t>VÄSTERNORRLANDS LÄN</t>
        </is>
      </c>
      <c r="E878" t="inlineStr">
        <is>
          <t>ÅNGE</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1090-2023</t>
        </is>
      </c>
      <c r="B879" s="1" t="n">
        <v>44929</v>
      </c>
      <c r="C879" s="1" t="n">
        <v>45986</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1116-2023</t>
        </is>
      </c>
      <c r="B880" s="1" t="n">
        <v>44929</v>
      </c>
      <c r="C880" s="1" t="n">
        <v>45986</v>
      </c>
      <c r="D880" t="inlineStr">
        <is>
          <t>VÄSTERNORRLANDS LÄN</t>
        </is>
      </c>
      <c r="E880" t="inlineStr">
        <is>
          <t>ÅNGE</t>
        </is>
      </c>
      <c r="G880" t="n">
        <v>17.2</v>
      </c>
      <c r="H880" t="n">
        <v>0</v>
      </c>
      <c r="I880" t="n">
        <v>0</v>
      </c>
      <c r="J880" t="n">
        <v>0</v>
      </c>
      <c r="K880" t="n">
        <v>0</v>
      </c>
      <c r="L880" t="n">
        <v>0</v>
      </c>
      <c r="M880" t="n">
        <v>0</v>
      </c>
      <c r="N880" t="n">
        <v>0</v>
      </c>
      <c r="O880" t="n">
        <v>0</v>
      </c>
      <c r="P880" t="n">
        <v>0</v>
      </c>
      <c r="Q880" t="n">
        <v>0</v>
      </c>
      <c r="R880" s="2" t="inlineStr"/>
    </row>
    <row r="881" ht="15" customHeight="1">
      <c r="A881" t="inlineStr">
        <is>
          <t>A 49476-2025</t>
        </is>
      </c>
      <c r="B881" s="1" t="n">
        <v>45939.34506944445</v>
      </c>
      <c r="C881" s="1" t="n">
        <v>45986</v>
      </c>
      <c r="D881" t="inlineStr">
        <is>
          <t>VÄSTERNORRLANDS LÄN</t>
        </is>
      </c>
      <c r="E881" t="inlineStr">
        <is>
          <t>ÅNGE</t>
        </is>
      </c>
      <c r="F881" t="inlineStr">
        <is>
          <t>SCA</t>
        </is>
      </c>
      <c r="G881" t="n">
        <v>11.4</v>
      </c>
      <c r="H881" t="n">
        <v>0</v>
      </c>
      <c r="I881" t="n">
        <v>0</v>
      </c>
      <c r="J881" t="n">
        <v>0</v>
      </c>
      <c r="K881" t="n">
        <v>0</v>
      </c>
      <c r="L881" t="n">
        <v>0</v>
      </c>
      <c r="M881" t="n">
        <v>0</v>
      </c>
      <c r="N881" t="n">
        <v>0</v>
      </c>
      <c r="O881" t="n">
        <v>0</v>
      </c>
      <c r="P881" t="n">
        <v>0</v>
      </c>
      <c r="Q881" t="n">
        <v>0</v>
      </c>
      <c r="R881" s="2" t="inlineStr"/>
    </row>
    <row r="882" ht="15" customHeight="1">
      <c r="A882" t="inlineStr">
        <is>
          <t>A 51609-2023</t>
        </is>
      </c>
      <c r="B882" s="1" t="n">
        <v>45215</v>
      </c>
      <c r="C882" s="1" t="n">
        <v>45986</v>
      </c>
      <c r="D882" t="inlineStr">
        <is>
          <t>VÄSTERNORRLANDS LÄN</t>
        </is>
      </c>
      <c r="E882" t="inlineStr">
        <is>
          <t>ÅNGE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27661-2024</t>
        </is>
      </c>
      <c r="B883" s="1" t="n">
        <v>45474.95365740741</v>
      </c>
      <c r="C883" s="1" t="n">
        <v>45986</v>
      </c>
      <c r="D883" t="inlineStr">
        <is>
          <t>VÄSTERNORRLANDS LÄN</t>
        </is>
      </c>
      <c r="E883" t="inlineStr">
        <is>
          <t>ÅNGE</t>
        </is>
      </c>
      <c r="F883" t="inlineStr">
        <is>
          <t>SCA</t>
        </is>
      </c>
      <c r="G883" t="n">
        <v>19.1</v>
      </c>
      <c r="H883" t="n">
        <v>0</v>
      </c>
      <c r="I883" t="n">
        <v>0</v>
      </c>
      <c r="J883" t="n">
        <v>0</v>
      </c>
      <c r="K883" t="n">
        <v>0</v>
      </c>
      <c r="L883" t="n">
        <v>0</v>
      </c>
      <c r="M883" t="n">
        <v>0</v>
      </c>
      <c r="N883" t="n">
        <v>0</v>
      </c>
      <c r="O883" t="n">
        <v>0</v>
      </c>
      <c r="P883" t="n">
        <v>0</v>
      </c>
      <c r="Q883" t="n">
        <v>0</v>
      </c>
      <c r="R883" s="2" t="inlineStr"/>
    </row>
    <row r="884" ht="15" customHeight="1">
      <c r="A884" t="inlineStr">
        <is>
          <t>A 27668-2024</t>
        </is>
      </c>
      <c r="B884" s="1" t="n">
        <v>45474.95435185185</v>
      </c>
      <c r="C884" s="1" t="n">
        <v>45986</v>
      </c>
      <c r="D884" t="inlineStr">
        <is>
          <t>VÄSTERNORRLANDS LÄN</t>
        </is>
      </c>
      <c r="E884" t="inlineStr">
        <is>
          <t>ÅNGE</t>
        </is>
      </c>
      <c r="F884" t="inlineStr">
        <is>
          <t>SCA</t>
        </is>
      </c>
      <c r="G884" t="n">
        <v>5.5</v>
      </c>
      <c r="H884" t="n">
        <v>0</v>
      </c>
      <c r="I884" t="n">
        <v>0</v>
      </c>
      <c r="J884" t="n">
        <v>0</v>
      </c>
      <c r="K884" t="n">
        <v>0</v>
      </c>
      <c r="L884" t="n">
        <v>0</v>
      </c>
      <c r="M884" t="n">
        <v>0</v>
      </c>
      <c r="N884" t="n">
        <v>0</v>
      </c>
      <c r="O884" t="n">
        <v>0</v>
      </c>
      <c r="P884" t="n">
        <v>0</v>
      </c>
      <c r="Q884" t="n">
        <v>0</v>
      </c>
      <c r="R884" s="2" t="inlineStr"/>
    </row>
    <row r="885" ht="15" customHeight="1">
      <c r="A885" t="inlineStr">
        <is>
          <t>A 57615-2025</t>
        </is>
      </c>
      <c r="B885" s="1" t="n">
        <v>45981.34431712963</v>
      </c>
      <c r="C885" s="1" t="n">
        <v>45986</v>
      </c>
      <c r="D885" t="inlineStr">
        <is>
          <t>VÄSTERNORRLANDS LÄN</t>
        </is>
      </c>
      <c r="E885" t="inlineStr">
        <is>
          <t>ÅNGE</t>
        </is>
      </c>
      <c r="G885" t="n">
        <v>3.4</v>
      </c>
      <c r="H885" t="n">
        <v>0</v>
      </c>
      <c r="I885" t="n">
        <v>0</v>
      </c>
      <c r="J885" t="n">
        <v>0</v>
      </c>
      <c r="K885" t="n">
        <v>0</v>
      </c>
      <c r="L885" t="n">
        <v>0</v>
      </c>
      <c r="M885" t="n">
        <v>0</v>
      </c>
      <c r="N885" t="n">
        <v>0</v>
      </c>
      <c r="O885" t="n">
        <v>0</v>
      </c>
      <c r="P885" t="n">
        <v>0</v>
      </c>
      <c r="Q885" t="n">
        <v>0</v>
      </c>
      <c r="R885" s="2" t="inlineStr"/>
    </row>
    <row r="886" ht="15" customHeight="1">
      <c r="A886" t="inlineStr">
        <is>
          <t>A 12021-2022</t>
        </is>
      </c>
      <c r="B886" s="1" t="n">
        <v>44635</v>
      </c>
      <c r="C886" s="1" t="n">
        <v>45986</v>
      </c>
      <c r="D886" t="inlineStr">
        <is>
          <t>VÄSTERNORRLANDS LÄN</t>
        </is>
      </c>
      <c r="E886" t="inlineStr">
        <is>
          <t>ÅNGE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49600-2025</t>
        </is>
      </c>
      <c r="B887" s="1" t="n">
        <v>45939.54434027777</v>
      </c>
      <c r="C887" s="1" t="n">
        <v>45986</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33738-2025</t>
        </is>
      </c>
      <c r="B888" s="1" t="n">
        <v>45842.33795138889</v>
      </c>
      <c r="C888" s="1" t="n">
        <v>45986</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35399-2024</t>
        </is>
      </c>
      <c r="B889" s="1" t="n">
        <v>45531.40438657408</v>
      </c>
      <c r="C889" s="1" t="n">
        <v>45986</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56849-2025</t>
        </is>
      </c>
      <c r="B890" s="1" t="n">
        <v>45978.48989583334</v>
      </c>
      <c r="C890" s="1" t="n">
        <v>45986</v>
      </c>
      <c r="D890" t="inlineStr">
        <is>
          <t>VÄSTERNORRLANDS LÄN</t>
        </is>
      </c>
      <c r="E890" t="inlineStr">
        <is>
          <t>ÅNGE</t>
        </is>
      </c>
      <c r="G890" t="n">
        <v>0.9</v>
      </c>
      <c r="H890" t="n">
        <v>0</v>
      </c>
      <c r="I890" t="n">
        <v>0</v>
      </c>
      <c r="J890" t="n">
        <v>0</v>
      </c>
      <c r="K890" t="n">
        <v>0</v>
      </c>
      <c r="L890" t="n">
        <v>0</v>
      </c>
      <c r="M890" t="n">
        <v>0</v>
      </c>
      <c r="N890" t="n">
        <v>0</v>
      </c>
      <c r="O890" t="n">
        <v>0</v>
      </c>
      <c r="P890" t="n">
        <v>0</v>
      </c>
      <c r="Q890" t="n">
        <v>0</v>
      </c>
      <c r="R890" s="2" t="inlineStr"/>
    </row>
    <row r="891" ht="15" customHeight="1">
      <c r="A891" t="inlineStr">
        <is>
          <t>A 58366-2025</t>
        </is>
      </c>
      <c r="B891" s="1" t="n">
        <v>45985.52600694444</v>
      </c>
      <c r="C891" s="1" t="n">
        <v>45986</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33782-2025</t>
        </is>
      </c>
      <c r="B892" s="1" t="n">
        <v>45842.40678240741</v>
      </c>
      <c r="C892" s="1" t="n">
        <v>45986</v>
      </c>
      <c r="D892" t="inlineStr">
        <is>
          <t>VÄSTERNORRLANDS LÄN</t>
        </is>
      </c>
      <c r="E892" t="inlineStr">
        <is>
          <t>ÅNGE</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50009-2025</t>
        </is>
      </c>
      <c r="B893" s="1" t="n">
        <v>45943.34527777778</v>
      </c>
      <c r="C893" s="1" t="n">
        <v>45986</v>
      </c>
      <c r="D893" t="inlineStr">
        <is>
          <t>VÄSTERNORRLANDS LÄN</t>
        </is>
      </c>
      <c r="E893" t="inlineStr">
        <is>
          <t>ÅNGE</t>
        </is>
      </c>
      <c r="G893" t="n">
        <v>0.6</v>
      </c>
      <c r="H893" t="n">
        <v>0</v>
      </c>
      <c r="I893" t="n">
        <v>0</v>
      </c>
      <c r="J893" t="n">
        <v>0</v>
      </c>
      <c r="K893" t="n">
        <v>0</v>
      </c>
      <c r="L893" t="n">
        <v>0</v>
      </c>
      <c r="M893" t="n">
        <v>0</v>
      </c>
      <c r="N893" t="n">
        <v>0</v>
      </c>
      <c r="O893" t="n">
        <v>0</v>
      </c>
      <c r="P893" t="n">
        <v>0</v>
      </c>
      <c r="Q893" t="n">
        <v>0</v>
      </c>
      <c r="R893" s="2" t="inlineStr"/>
    </row>
    <row r="894" ht="15" customHeight="1">
      <c r="A894" t="inlineStr">
        <is>
          <t>A 58439-2025</t>
        </is>
      </c>
      <c r="B894" s="1" t="n">
        <v>45985.61518518518</v>
      </c>
      <c r="C894" s="1" t="n">
        <v>45986</v>
      </c>
      <c r="D894" t="inlineStr">
        <is>
          <t>VÄSTERNORRLANDS LÄN</t>
        </is>
      </c>
      <c r="E894" t="inlineStr">
        <is>
          <t>ÅNGE</t>
        </is>
      </c>
      <c r="G894" t="n">
        <v>2.1</v>
      </c>
      <c r="H894" t="n">
        <v>0</v>
      </c>
      <c r="I894" t="n">
        <v>0</v>
      </c>
      <c r="J894" t="n">
        <v>0</v>
      </c>
      <c r="K894" t="n">
        <v>0</v>
      </c>
      <c r="L894" t="n">
        <v>0</v>
      </c>
      <c r="M894" t="n">
        <v>0</v>
      </c>
      <c r="N894" t="n">
        <v>0</v>
      </c>
      <c r="O894" t="n">
        <v>0</v>
      </c>
      <c r="P894" t="n">
        <v>0</v>
      </c>
      <c r="Q894" t="n">
        <v>0</v>
      </c>
      <c r="R894" s="2" t="inlineStr"/>
    </row>
    <row r="895" ht="15" customHeight="1">
      <c r="A895" t="inlineStr">
        <is>
          <t>A 58268-2025</t>
        </is>
      </c>
      <c r="B895" s="1" t="n">
        <v>45985.42450231482</v>
      </c>
      <c r="C895" s="1" t="n">
        <v>45986</v>
      </c>
      <c r="D895" t="inlineStr">
        <is>
          <t>VÄSTERNORRLANDS LÄN</t>
        </is>
      </c>
      <c r="E895" t="inlineStr">
        <is>
          <t>ÅNGE</t>
        </is>
      </c>
      <c r="G895" t="n">
        <v>0.9</v>
      </c>
      <c r="H895" t="n">
        <v>0</v>
      </c>
      <c r="I895" t="n">
        <v>0</v>
      </c>
      <c r="J895" t="n">
        <v>0</v>
      </c>
      <c r="K895" t="n">
        <v>0</v>
      </c>
      <c r="L895" t="n">
        <v>0</v>
      </c>
      <c r="M895" t="n">
        <v>0</v>
      </c>
      <c r="N895" t="n">
        <v>0</v>
      </c>
      <c r="O895" t="n">
        <v>0</v>
      </c>
      <c r="P895" t="n">
        <v>0</v>
      </c>
      <c r="Q895" t="n">
        <v>0</v>
      </c>
      <c r="R895" s="2" t="inlineStr"/>
    </row>
    <row r="896" ht="15" customHeight="1">
      <c r="A896" t="inlineStr">
        <is>
          <t>A 58240-2025</t>
        </is>
      </c>
      <c r="B896" s="1" t="n">
        <v>45985.38796296297</v>
      </c>
      <c r="C896" s="1" t="n">
        <v>45986</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57991-2025</t>
        </is>
      </c>
      <c r="B897" s="1" t="n">
        <v>45982.42438657407</v>
      </c>
      <c r="C897" s="1" t="n">
        <v>45986</v>
      </c>
      <c r="D897" t="inlineStr">
        <is>
          <t>VÄSTERNORRLANDS LÄN</t>
        </is>
      </c>
      <c r="E897" t="inlineStr">
        <is>
          <t>ÅNGE</t>
        </is>
      </c>
      <c r="G897" t="n">
        <v>3.2</v>
      </c>
      <c r="H897" t="n">
        <v>0</v>
      </c>
      <c r="I897" t="n">
        <v>0</v>
      </c>
      <c r="J897" t="n">
        <v>0</v>
      </c>
      <c r="K897" t="n">
        <v>0</v>
      </c>
      <c r="L897" t="n">
        <v>0</v>
      </c>
      <c r="M897" t="n">
        <v>0</v>
      </c>
      <c r="N897" t="n">
        <v>0</v>
      </c>
      <c r="O897" t="n">
        <v>0</v>
      </c>
      <c r="P897" t="n">
        <v>0</v>
      </c>
      <c r="Q897" t="n">
        <v>0</v>
      </c>
      <c r="R897" s="2" t="inlineStr"/>
    </row>
    <row r="898" ht="15" customHeight="1">
      <c r="A898" t="inlineStr">
        <is>
          <t>A 34815-2024</t>
        </is>
      </c>
      <c r="B898" s="1" t="n">
        <v>45526.70732638889</v>
      </c>
      <c r="C898" s="1" t="n">
        <v>45986</v>
      </c>
      <c r="D898" t="inlineStr">
        <is>
          <t>VÄSTERNORRLANDS LÄN</t>
        </is>
      </c>
      <c r="E898" t="inlineStr">
        <is>
          <t>ÅNGE</t>
        </is>
      </c>
      <c r="G898" t="n">
        <v>1.3</v>
      </c>
      <c r="H898" t="n">
        <v>0</v>
      </c>
      <c r="I898" t="n">
        <v>0</v>
      </c>
      <c r="J898" t="n">
        <v>0</v>
      </c>
      <c r="K898" t="n">
        <v>0</v>
      </c>
      <c r="L898" t="n">
        <v>0</v>
      </c>
      <c r="M898" t="n">
        <v>0</v>
      </c>
      <c r="N898" t="n">
        <v>0</v>
      </c>
      <c r="O898" t="n">
        <v>0</v>
      </c>
      <c r="P898" t="n">
        <v>0</v>
      </c>
      <c r="Q898" t="n">
        <v>0</v>
      </c>
      <c r="R898" s="2" t="inlineStr"/>
    </row>
    <row r="899" ht="15" customHeight="1">
      <c r="A899" t="inlineStr">
        <is>
          <t>A 58406-2025</t>
        </is>
      </c>
      <c r="B899" s="1" t="n">
        <v>45985.56913194444</v>
      </c>
      <c r="C899" s="1" t="n">
        <v>45986</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34019-2025</t>
        </is>
      </c>
      <c r="B900" s="1" t="n">
        <v>45845.34416666667</v>
      </c>
      <c r="C900" s="1" t="n">
        <v>45986</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58524-2025</t>
        </is>
      </c>
      <c r="B901" s="1" t="n">
        <v>45985.7190162037</v>
      </c>
      <c r="C901" s="1" t="n">
        <v>45986</v>
      </c>
      <c r="D901" t="inlineStr">
        <is>
          <t>VÄSTERNORRLANDS LÄN</t>
        </is>
      </c>
      <c r="E901" t="inlineStr">
        <is>
          <t>ÅNGE</t>
        </is>
      </c>
      <c r="G901" t="n">
        <v>2.2</v>
      </c>
      <c r="H901" t="n">
        <v>0</v>
      </c>
      <c r="I901" t="n">
        <v>0</v>
      </c>
      <c r="J901" t="n">
        <v>0</v>
      </c>
      <c r="K901" t="n">
        <v>0</v>
      </c>
      <c r="L901" t="n">
        <v>0</v>
      </c>
      <c r="M901" t="n">
        <v>0</v>
      </c>
      <c r="N901" t="n">
        <v>0</v>
      </c>
      <c r="O901" t="n">
        <v>0</v>
      </c>
      <c r="P901" t="n">
        <v>0</v>
      </c>
      <c r="Q901" t="n">
        <v>0</v>
      </c>
      <c r="R901" s="2" t="inlineStr"/>
    </row>
    <row r="902" ht="15" customHeight="1">
      <c r="A902" t="inlineStr">
        <is>
          <t>A 58536-2025</t>
        </is>
      </c>
      <c r="B902" s="1" t="n">
        <v>45985.83274305556</v>
      </c>
      <c r="C902" s="1" t="n">
        <v>45986</v>
      </c>
      <c r="D902" t="inlineStr">
        <is>
          <t>VÄSTERNORRLANDS LÄN</t>
        </is>
      </c>
      <c r="E902" t="inlineStr">
        <is>
          <t>ÅNGE</t>
        </is>
      </c>
      <c r="G902" t="n">
        <v>2</v>
      </c>
      <c r="H902" t="n">
        <v>0</v>
      </c>
      <c r="I902" t="n">
        <v>0</v>
      </c>
      <c r="J902" t="n">
        <v>0</v>
      </c>
      <c r="K902" t="n">
        <v>0</v>
      </c>
      <c r="L902" t="n">
        <v>0</v>
      </c>
      <c r="M902" t="n">
        <v>0</v>
      </c>
      <c r="N902" t="n">
        <v>0</v>
      </c>
      <c r="O902" t="n">
        <v>0</v>
      </c>
      <c r="P902" t="n">
        <v>0</v>
      </c>
      <c r="Q902" t="n">
        <v>0</v>
      </c>
      <c r="R902" s="2" t="inlineStr"/>
    </row>
    <row r="903" ht="15" customHeight="1">
      <c r="A903" t="inlineStr">
        <is>
          <t>A 50210-2025</t>
        </is>
      </c>
      <c r="B903" s="1" t="n">
        <v>45943.67379629629</v>
      </c>
      <c r="C903" s="1" t="n">
        <v>45986</v>
      </c>
      <c r="D903" t="inlineStr">
        <is>
          <t>VÄSTERNORRLANDS LÄN</t>
        </is>
      </c>
      <c r="E903" t="inlineStr">
        <is>
          <t>ÅNGE</t>
        </is>
      </c>
      <c r="G903" t="n">
        <v>2.5</v>
      </c>
      <c r="H903" t="n">
        <v>0</v>
      </c>
      <c r="I903" t="n">
        <v>0</v>
      </c>
      <c r="J903" t="n">
        <v>0</v>
      </c>
      <c r="K903" t="n">
        <v>0</v>
      </c>
      <c r="L903" t="n">
        <v>0</v>
      </c>
      <c r="M903" t="n">
        <v>0</v>
      </c>
      <c r="N903" t="n">
        <v>0</v>
      </c>
      <c r="O903" t="n">
        <v>0</v>
      </c>
      <c r="P903" t="n">
        <v>0</v>
      </c>
      <c r="Q903" t="n">
        <v>0</v>
      </c>
      <c r="R903" s="2" t="inlineStr"/>
    </row>
    <row r="904" ht="15" customHeight="1">
      <c r="A904" t="inlineStr">
        <is>
          <t>A 33717-2025</t>
        </is>
      </c>
      <c r="B904" s="1" t="n">
        <v>45841.89357638889</v>
      </c>
      <c r="C904" s="1" t="n">
        <v>45986</v>
      </c>
      <c r="D904" t="inlineStr">
        <is>
          <t>VÄSTERNORRLANDS LÄN</t>
        </is>
      </c>
      <c r="E904" t="inlineStr">
        <is>
          <t>ÅNGE</t>
        </is>
      </c>
      <c r="G904" t="n">
        <v>14.3</v>
      </c>
      <c r="H904" t="n">
        <v>0</v>
      </c>
      <c r="I904" t="n">
        <v>0</v>
      </c>
      <c r="J904" t="n">
        <v>0</v>
      </c>
      <c r="K904" t="n">
        <v>0</v>
      </c>
      <c r="L904" t="n">
        <v>0</v>
      </c>
      <c r="M904" t="n">
        <v>0</v>
      </c>
      <c r="N904" t="n">
        <v>0</v>
      </c>
      <c r="O904" t="n">
        <v>0</v>
      </c>
      <c r="P904" t="n">
        <v>0</v>
      </c>
      <c r="Q904" t="n">
        <v>0</v>
      </c>
      <c r="R904" s="2" t="inlineStr"/>
    </row>
    <row r="905" ht="15" customHeight="1">
      <c r="A905" t="inlineStr">
        <is>
          <t>A 3977-2025</t>
        </is>
      </c>
      <c r="B905" s="1" t="n">
        <v>45684</v>
      </c>
      <c r="C905" s="1" t="n">
        <v>45986</v>
      </c>
      <c r="D905" t="inlineStr">
        <is>
          <t>VÄSTERNORRLANDS LÄN</t>
        </is>
      </c>
      <c r="E905" t="inlineStr">
        <is>
          <t>ÅNGE</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57950-2025</t>
        </is>
      </c>
      <c r="B906" s="1" t="n">
        <v>45982.34473379629</v>
      </c>
      <c r="C906" s="1" t="n">
        <v>45986</v>
      </c>
      <c r="D906" t="inlineStr">
        <is>
          <t>VÄSTERNORRLANDS LÄN</t>
        </is>
      </c>
      <c r="E906" t="inlineStr">
        <is>
          <t>ÅNGE</t>
        </is>
      </c>
      <c r="G906" t="n">
        <v>0.8</v>
      </c>
      <c r="H906" t="n">
        <v>0</v>
      </c>
      <c r="I906" t="n">
        <v>0</v>
      </c>
      <c r="J906" t="n">
        <v>0</v>
      </c>
      <c r="K906" t="n">
        <v>0</v>
      </c>
      <c r="L906" t="n">
        <v>0</v>
      </c>
      <c r="M906" t="n">
        <v>0</v>
      </c>
      <c r="N906" t="n">
        <v>0</v>
      </c>
      <c r="O906" t="n">
        <v>0</v>
      </c>
      <c r="P906" t="n">
        <v>0</v>
      </c>
      <c r="Q906" t="n">
        <v>0</v>
      </c>
      <c r="R906" s="2" t="inlineStr"/>
    </row>
    <row r="907" ht="15" customHeight="1">
      <c r="A907" t="inlineStr">
        <is>
          <t>A 57960-2025</t>
        </is>
      </c>
      <c r="B907" s="1" t="n">
        <v>45982.36494212963</v>
      </c>
      <c r="C907" s="1" t="n">
        <v>45986</v>
      </c>
      <c r="D907" t="inlineStr">
        <is>
          <t>VÄSTERNORRLANDS LÄN</t>
        </is>
      </c>
      <c r="E907" t="inlineStr">
        <is>
          <t>ÅNGE</t>
        </is>
      </c>
      <c r="F907" t="inlineStr">
        <is>
          <t>SCA</t>
        </is>
      </c>
      <c r="G907" t="n">
        <v>0.2</v>
      </c>
      <c r="H907" t="n">
        <v>0</v>
      </c>
      <c r="I907" t="n">
        <v>0</v>
      </c>
      <c r="J907" t="n">
        <v>0</v>
      </c>
      <c r="K907" t="n">
        <v>0</v>
      </c>
      <c r="L907" t="n">
        <v>0</v>
      </c>
      <c r="M907" t="n">
        <v>0</v>
      </c>
      <c r="N907" t="n">
        <v>0</v>
      </c>
      <c r="O907" t="n">
        <v>0</v>
      </c>
      <c r="P907" t="n">
        <v>0</v>
      </c>
      <c r="Q907" t="n">
        <v>0</v>
      </c>
      <c r="R907" s="2" t="inlineStr"/>
    </row>
    <row r="908" ht="15" customHeight="1">
      <c r="A908" t="inlineStr">
        <is>
          <t>A 58048-2025</t>
        </is>
      </c>
      <c r="B908" s="1" t="n">
        <v>45982.5109837963</v>
      </c>
      <c r="C908" s="1" t="n">
        <v>45986</v>
      </c>
      <c r="D908" t="inlineStr">
        <is>
          <t>VÄSTERNORRLANDS LÄN</t>
        </is>
      </c>
      <c r="E908" t="inlineStr">
        <is>
          <t>ÅNGE</t>
        </is>
      </c>
      <c r="F908" t="inlineStr">
        <is>
          <t>SCA</t>
        </is>
      </c>
      <c r="G908" t="n">
        <v>6.5</v>
      </c>
      <c r="H908" t="n">
        <v>0</v>
      </c>
      <c r="I908" t="n">
        <v>0</v>
      </c>
      <c r="J908" t="n">
        <v>0</v>
      </c>
      <c r="K908" t="n">
        <v>0</v>
      </c>
      <c r="L908" t="n">
        <v>0</v>
      </c>
      <c r="M908" t="n">
        <v>0</v>
      </c>
      <c r="N908" t="n">
        <v>0</v>
      </c>
      <c r="O908" t="n">
        <v>0</v>
      </c>
      <c r="P908" t="n">
        <v>0</v>
      </c>
      <c r="Q908" t="n">
        <v>0</v>
      </c>
      <c r="R908" s="2" t="inlineStr"/>
    </row>
    <row r="909" ht="15" customHeight="1">
      <c r="A909" t="inlineStr">
        <is>
          <t>A 50001-2025</t>
        </is>
      </c>
      <c r="B909" s="1" t="n">
        <v>45943.34421296296</v>
      </c>
      <c r="C909" s="1" t="n">
        <v>45986</v>
      </c>
      <c r="D909" t="inlineStr">
        <is>
          <t>VÄSTERNORRLANDS LÄN</t>
        </is>
      </c>
      <c r="E909" t="inlineStr">
        <is>
          <t>ÅNGE</t>
        </is>
      </c>
      <c r="G909" t="n">
        <v>1.8</v>
      </c>
      <c r="H909" t="n">
        <v>0</v>
      </c>
      <c r="I909" t="n">
        <v>0</v>
      </c>
      <c r="J909" t="n">
        <v>0</v>
      </c>
      <c r="K909" t="n">
        <v>0</v>
      </c>
      <c r="L909" t="n">
        <v>0</v>
      </c>
      <c r="M909" t="n">
        <v>0</v>
      </c>
      <c r="N909" t="n">
        <v>0</v>
      </c>
      <c r="O909" t="n">
        <v>0</v>
      </c>
      <c r="P909" t="n">
        <v>0</v>
      </c>
      <c r="Q909" t="n">
        <v>0</v>
      </c>
      <c r="R909" s="2" t="inlineStr"/>
    </row>
    <row r="910" ht="15" customHeight="1">
      <c r="A910" t="inlineStr">
        <is>
          <t>A 50008-2025</t>
        </is>
      </c>
      <c r="B910" s="1" t="n">
        <v>45943.34515046296</v>
      </c>
      <c r="C910" s="1" t="n">
        <v>45986</v>
      </c>
      <c r="D910" t="inlineStr">
        <is>
          <t>VÄSTERNORRLANDS LÄN</t>
        </is>
      </c>
      <c r="E910" t="inlineStr">
        <is>
          <t>ÅNGE</t>
        </is>
      </c>
      <c r="G910" t="n">
        <v>13.9</v>
      </c>
      <c r="H910" t="n">
        <v>0</v>
      </c>
      <c r="I910" t="n">
        <v>0</v>
      </c>
      <c r="J910" t="n">
        <v>0</v>
      </c>
      <c r="K910" t="n">
        <v>0</v>
      </c>
      <c r="L910" t="n">
        <v>0</v>
      </c>
      <c r="M910" t="n">
        <v>0</v>
      </c>
      <c r="N910" t="n">
        <v>0</v>
      </c>
      <c r="O910" t="n">
        <v>0</v>
      </c>
      <c r="P910" t="n">
        <v>0</v>
      </c>
      <c r="Q910" t="n">
        <v>0</v>
      </c>
      <c r="R910" s="2" t="inlineStr"/>
    </row>
    <row r="911" ht="15" customHeight="1">
      <c r="A911" t="inlineStr">
        <is>
          <t>A 58486-2025</t>
        </is>
      </c>
      <c r="B911" s="1" t="n">
        <v>45985.65660879629</v>
      </c>
      <c r="C911" s="1" t="n">
        <v>45986</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31864-2024</t>
        </is>
      </c>
      <c r="B912" s="1" t="n">
        <v>45509.74791666667</v>
      </c>
      <c r="C912" s="1" t="n">
        <v>45986</v>
      </c>
      <c r="D912" t="inlineStr">
        <is>
          <t>VÄSTERNORRLANDS LÄN</t>
        </is>
      </c>
      <c r="E912" t="inlineStr">
        <is>
          <t>ÅNGE</t>
        </is>
      </c>
      <c r="G912" t="n">
        <v>0.9</v>
      </c>
      <c r="H912" t="n">
        <v>0</v>
      </c>
      <c r="I912" t="n">
        <v>0</v>
      </c>
      <c r="J912" t="n">
        <v>0</v>
      </c>
      <c r="K912" t="n">
        <v>0</v>
      </c>
      <c r="L912" t="n">
        <v>0</v>
      </c>
      <c r="M912" t="n">
        <v>0</v>
      </c>
      <c r="N912" t="n">
        <v>0</v>
      </c>
      <c r="O912" t="n">
        <v>0</v>
      </c>
      <c r="P912" t="n">
        <v>0</v>
      </c>
      <c r="Q912" t="n">
        <v>0</v>
      </c>
      <c r="R912" s="2" t="inlineStr"/>
    </row>
    <row r="913" ht="15" customHeight="1">
      <c r="A913" t="inlineStr">
        <is>
          <t>A 54707-2025</t>
        </is>
      </c>
      <c r="B913" s="1" t="n">
        <v>45966</v>
      </c>
      <c r="C913" s="1" t="n">
        <v>45986</v>
      </c>
      <c r="D913" t="inlineStr">
        <is>
          <t>VÄSTERNORRLANDS LÄN</t>
        </is>
      </c>
      <c r="E913" t="inlineStr">
        <is>
          <t>ÅNGE</t>
        </is>
      </c>
      <c r="G913" t="n">
        <v>3.2</v>
      </c>
      <c r="H913" t="n">
        <v>0</v>
      </c>
      <c r="I913" t="n">
        <v>0</v>
      </c>
      <c r="J913" t="n">
        <v>0</v>
      </c>
      <c r="K913" t="n">
        <v>0</v>
      </c>
      <c r="L913" t="n">
        <v>0</v>
      </c>
      <c r="M913" t="n">
        <v>0</v>
      </c>
      <c r="N913" t="n">
        <v>0</v>
      </c>
      <c r="O913" t="n">
        <v>0</v>
      </c>
      <c r="P913" t="n">
        <v>0</v>
      </c>
      <c r="Q913" t="n">
        <v>0</v>
      </c>
      <c r="R913" s="2" t="inlineStr"/>
    </row>
    <row r="914" ht="15" customHeight="1">
      <c r="A914" t="inlineStr">
        <is>
          <t>A 58270-2025</t>
        </is>
      </c>
      <c r="B914" s="1" t="n">
        <v>45985.42633101852</v>
      </c>
      <c r="C914" s="1" t="n">
        <v>45986</v>
      </c>
      <c r="D914" t="inlineStr">
        <is>
          <t>VÄSTERNORRLANDS LÄN</t>
        </is>
      </c>
      <c r="E914" t="inlineStr">
        <is>
          <t>ÅNGE</t>
        </is>
      </c>
      <c r="G914" t="n">
        <v>5.1</v>
      </c>
      <c r="H914" t="n">
        <v>0</v>
      </c>
      <c r="I914" t="n">
        <v>0</v>
      </c>
      <c r="J914" t="n">
        <v>0</v>
      </c>
      <c r="K914" t="n">
        <v>0</v>
      </c>
      <c r="L914" t="n">
        <v>0</v>
      </c>
      <c r="M914" t="n">
        <v>0</v>
      </c>
      <c r="N914" t="n">
        <v>0</v>
      </c>
      <c r="O914" t="n">
        <v>0</v>
      </c>
      <c r="P914" t="n">
        <v>0</v>
      </c>
      <c r="Q914" t="n">
        <v>0</v>
      </c>
      <c r="R914" s="2" t="inlineStr"/>
    </row>
    <row r="915" ht="15" customHeight="1">
      <c r="A915" t="inlineStr">
        <is>
          <t>A 57961-2025</t>
        </is>
      </c>
      <c r="B915" s="1" t="n">
        <v>45982.36502314815</v>
      </c>
      <c r="C915" s="1" t="n">
        <v>45986</v>
      </c>
      <c r="D915" t="inlineStr">
        <is>
          <t>VÄSTERNORRLANDS LÄN</t>
        </is>
      </c>
      <c r="E915" t="inlineStr">
        <is>
          <t>ÅNGE</t>
        </is>
      </c>
      <c r="G915" t="n">
        <v>1.9</v>
      </c>
      <c r="H915" t="n">
        <v>0</v>
      </c>
      <c r="I915" t="n">
        <v>0</v>
      </c>
      <c r="J915" t="n">
        <v>0</v>
      </c>
      <c r="K915" t="n">
        <v>0</v>
      </c>
      <c r="L915" t="n">
        <v>0</v>
      </c>
      <c r="M915" t="n">
        <v>0</v>
      </c>
      <c r="N915" t="n">
        <v>0</v>
      </c>
      <c r="O915" t="n">
        <v>0</v>
      </c>
      <c r="P915" t="n">
        <v>0</v>
      </c>
      <c r="Q915" t="n">
        <v>0</v>
      </c>
      <c r="R915" s="2" t="inlineStr"/>
    </row>
    <row r="916" ht="15" customHeight="1">
      <c r="A916" t="inlineStr">
        <is>
          <t>A 58388-2025</t>
        </is>
      </c>
      <c r="B916" s="1" t="n">
        <v>45985.54685185185</v>
      </c>
      <c r="C916" s="1" t="n">
        <v>45986</v>
      </c>
      <c r="D916" t="inlineStr">
        <is>
          <t>VÄSTERNORRLANDS LÄN</t>
        </is>
      </c>
      <c r="E916" t="inlineStr">
        <is>
          <t>ÅNGE</t>
        </is>
      </c>
      <c r="G916" t="n">
        <v>1.3</v>
      </c>
      <c r="H916" t="n">
        <v>0</v>
      </c>
      <c r="I916" t="n">
        <v>0</v>
      </c>
      <c r="J916" t="n">
        <v>0</v>
      </c>
      <c r="K916" t="n">
        <v>0</v>
      </c>
      <c r="L916" t="n">
        <v>0</v>
      </c>
      <c r="M916" t="n">
        <v>0</v>
      </c>
      <c r="N916" t="n">
        <v>0</v>
      </c>
      <c r="O916" t="n">
        <v>0</v>
      </c>
      <c r="P916" t="n">
        <v>0</v>
      </c>
      <c r="Q916" t="n">
        <v>0</v>
      </c>
      <c r="R916" s="2" t="inlineStr"/>
    </row>
    <row r="917" ht="15" customHeight="1">
      <c r="A917" t="inlineStr">
        <is>
          <t>A 53512-2023</t>
        </is>
      </c>
      <c r="B917" s="1" t="n">
        <v>45230</v>
      </c>
      <c r="C917" s="1" t="n">
        <v>45986</v>
      </c>
      <c r="D917" t="inlineStr">
        <is>
          <t>VÄSTERNORRLANDS LÄN</t>
        </is>
      </c>
      <c r="E917" t="inlineStr">
        <is>
          <t>ÅNGE</t>
        </is>
      </c>
      <c r="F917" t="inlineStr">
        <is>
          <t>Holmen skog AB</t>
        </is>
      </c>
      <c r="G917" t="n">
        <v>3</v>
      </c>
      <c r="H917" t="n">
        <v>0</v>
      </c>
      <c r="I917" t="n">
        <v>0</v>
      </c>
      <c r="J917" t="n">
        <v>0</v>
      </c>
      <c r="K917" t="n">
        <v>0</v>
      </c>
      <c r="L917" t="n">
        <v>0</v>
      </c>
      <c r="M917" t="n">
        <v>0</v>
      </c>
      <c r="N917" t="n">
        <v>0</v>
      </c>
      <c r="O917" t="n">
        <v>0</v>
      </c>
      <c r="P917" t="n">
        <v>0</v>
      </c>
      <c r="Q917" t="n">
        <v>0</v>
      </c>
      <c r="R917" s="2" t="inlineStr"/>
    </row>
    <row r="918" ht="15" customHeight="1">
      <c r="A918" t="inlineStr">
        <is>
          <t>A 37558-2023</t>
        </is>
      </c>
      <c r="B918" s="1" t="n">
        <v>45159.34511574074</v>
      </c>
      <c r="C918" s="1" t="n">
        <v>45986</v>
      </c>
      <c r="D918" t="inlineStr">
        <is>
          <t>VÄSTERNORRLANDS LÄN</t>
        </is>
      </c>
      <c r="E918" t="inlineStr">
        <is>
          <t>ÅNGE</t>
        </is>
      </c>
      <c r="F918" t="inlineStr">
        <is>
          <t>Kyrkan</t>
        </is>
      </c>
      <c r="G918" t="n">
        <v>5.6</v>
      </c>
      <c r="H918" t="n">
        <v>0</v>
      </c>
      <c r="I918" t="n">
        <v>0</v>
      </c>
      <c r="J918" t="n">
        <v>0</v>
      </c>
      <c r="K918" t="n">
        <v>0</v>
      </c>
      <c r="L918" t="n">
        <v>0</v>
      </c>
      <c r="M918" t="n">
        <v>0</v>
      </c>
      <c r="N918" t="n">
        <v>0</v>
      </c>
      <c r="O918" t="n">
        <v>0</v>
      </c>
      <c r="P918" t="n">
        <v>0</v>
      </c>
      <c r="Q918" t="n">
        <v>0</v>
      </c>
      <c r="R918" s="2" t="inlineStr"/>
    </row>
    <row r="919" ht="15" customHeight="1">
      <c r="A919" t="inlineStr">
        <is>
          <t>A 58242-2025</t>
        </is>
      </c>
      <c r="B919" s="1" t="n">
        <v>45985.38802083334</v>
      </c>
      <c r="C919" s="1" t="n">
        <v>45986</v>
      </c>
      <c r="D919" t="inlineStr">
        <is>
          <t>VÄSTERNORRLANDS LÄN</t>
        </is>
      </c>
      <c r="E919" t="inlineStr">
        <is>
          <t>ÅNGE</t>
        </is>
      </c>
      <c r="G919" t="n">
        <v>2.1</v>
      </c>
      <c r="H919" t="n">
        <v>0</v>
      </c>
      <c r="I919" t="n">
        <v>0</v>
      </c>
      <c r="J919" t="n">
        <v>0</v>
      </c>
      <c r="K919" t="n">
        <v>0</v>
      </c>
      <c r="L919" t="n">
        <v>0</v>
      </c>
      <c r="M919" t="n">
        <v>0</v>
      </c>
      <c r="N919" t="n">
        <v>0</v>
      </c>
      <c r="O919" t="n">
        <v>0</v>
      </c>
      <c r="P919" t="n">
        <v>0</v>
      </c>
      <c r="Q919" t="n">
        <v>0</v>
      </c>
      <c r="R919" s="2" t="inlineStr"/>
    </row>
    <row r="920" ht="15" customHeight="1">
      <c r="A920" t="inlineStr">
        <is>
          <t>A 58774-2023</t>
        </is>
      </c>
      <c r="B920" s="1" t="n">
        <v>45251</v>
      </c>
      <c r="C920" s="1" t="n">
        <v>45986</v>
      </c>
      <c r="D920" t="inlineStr">
        <is>
          <t>VÄSTERNORRLANDS LÄN</t>
        </is>
      </c>
      <c r="E920" t="inlineStr">
        <is>
          <t>ÅNGE</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21089-2024</t>
        </is>
      </c>
      <c r="B921" s="1" t="n">
        <v>45439.94987268518</v>
      </c>
      <c r="C921" s="1" t="n">
        <v>45986</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21151-2024</t>
        </is>
      </c>
      <c r="B922" s="1" t="n">
        <v>45440</v>
      </c>
      <c r="C922" s="1" t="n">
        <v>45986</v>
      </c>
      <c r="D922" t="inlineStr">
        <is>
          <t>VÄSTERNORRLANDS LÄN</t>
        </is>
      </c>
      <c r="E922" t="inlineStr">
        <is>
          <t>ÅNGE</t>
        </is>
      </c>
      <c r="G922" t="n">
        <v>3.7</v>
      </c>
      <c r="H922" t="n">
        <v>0</v>
      </c>
      <c r="I922" t="n">
        <v>0</v>
      </c>
      <c r="J922" t="n">
        <v>0</v>
      </c>
      <c r="K922" t="n">
        <v>0</v>
      </c>
      <c r="L922" t="n">
        <v>0</v>
      </c>
      <c r="M922" t="n">
        <v>0</v>
      </c>
      <c r="N922" t="n">
        <v>0</v>
      </c>
      <c r="O922" t="n">
        <v>0</v>
      </c>
      <c r="P922" t="n">
        <v>0</v>
      </c>
      <c r="Q922" t="n">
        <v>0</v>
      </c>
      <c r="R922" s="2" t="inlineStr"/>
    </row>
    <row r="923" ht="15" customHeight="1">
      <c r="A923" t="inlineStr">
        <is>
          <t>A 17923-2025</t>
        </is>
      </c>
      <c r="B923" s="1" t="n">
        <v>45759.34415509259</v>
      </c>
      <c r="C923" s="1" t="n">
        <v>45986</v>
      </c>
      <c r="D923" t="inlineStr">
        <is>
          <t>VÄSTERNORRLANDS LÄN</t>
        </is>
      </c>
      <c r="E923" t="inlineStr">
        <is>
          <t>ÅNGE</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13164-2022</t>
        </is>
      </c>
      <c r="B924" s="1" t="n">
        <v>44644</v>
      </c>
      <c r="C924" s="1" t="n">
        <v>45986</v>
      </c>
      <c r="D924" t="inlineStr">
        <is>
          <t>VÄSTERNORRLANDS LÄN</t>
        </is>
      </c>
      <c r="E924" t="inlineStr">
        <is>
          <t>ÅNGE</t>
        </is>
      </c>
      <c r="G924" t="n">
        <v>1.8</v>
      </c>
      <c r="H924" t="n">
        <v>0</v>
      </c>
      <c r="I924" t="n">
        <v>0</v>
      </c>
      <c r="J924" t="n">
        <v>0</v>
      </c>
      <c r="K924" t="n">
        <v>0</v>
      </c>
      <c r="L924" t="n">
        <v>0</v>
      </c>
      <c r="M924" t="n">
        <v>0</v>
      </c>
      <c r="N924" t="n">
        <v>0</v>
      </c>
      <c r="O924" t="n">
        <v>0</v>
      </c>
      <c r="P924" t="n">
        <v>0</v>
      </c>
      <c r="Q924" t="n">
        <v>0</v>
      </c>
      <c r="R924" s="2" t="inlineStr"/>
    </row>
    <row r="925" ht="15" customHeight="1">
      <c r="A925" t="inlineStr">
        <is>
          <t>A 34591-2025</t>
        </is>
      </c>
      <c r="B925" s="1" t="n">
        <v>45847.62920138889</v>
      </c>
      <c r="C925" s="1" t="n">
        <v>45986</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34593-2025</t>
        </is>
      </c>
      <c r="B926" s="1" t="n">
        <v>45847.6316087963</v>
      </c>
      <c r="C926" s="1" t="n">
        <v>45986</v>
      </c>
      <c r="D926" t="inlineStr">
        <is>
          <t>VÄSTERNORRLANDS LÄN</t>
        </is>
      </c>
      <c r="E926" t="inlineStr">
        <is>
          <t>ÅNGE</t>
        </is>
      </c>
      <c r="G926" t="n">
        <v>5.3</v>
      </c>
      <c r="H926" t="n">
        <v>0</v>
      </c>
      <c r="I926" t="n">
        <v>0</v>
      </c>
      <c r="J926" t="n">
        <v>0</v>
      </c>
      <c r="K926" t="n">
        <v>0</v>
      </c>
      <c r="L926" t="n">
        <v>0</v>
      </c>
      <c r="M926" t="n">
        <v>0</v>
      </c>
      <c r="N926" t="n">
        <v>0</v>
      </c>
      <c r="O926" t="n">
        <v>0</v>
      </c>
      <c r="P926" t="n">
        <v>0</v>
      </c>
      <c r="Q926" t="n">
        <v>0</v>
      </c>
      <c r="R926" s="2" t="inlineStr"/>
    </row>
    <row r="927" ht="15" customHeight="1">
      <c r="A927" t="inlineStr">
        <is>
          <t>A 20231-2022</t>
        </is>
      </c>
      <c r="B927" s="1" t="n">
        <v>44698</v>
      </c>
      <c r="C927" s="1" t="n">
        <v>45986</v>
      </c>
      <c r="D927" t="inlineStr">
        <is>
          <t>VÄSTERNORRLANDS LÄN</t>
        </is>
      </c>
      <c r="E927" t="inlineStr">
        <is>
          <t>ÅNGE</t>
        </is>
      </c>
      <c r="G927" t="n">
        <v>4.2</v>
      </c>
      <c r="H927" t="n">
        <v>0</v>
      </c>
      <c r="I927" t="n">
        <v>0</v>
      </c>
      <c r="J927" t="n">
        <v>0</v>
      </c>
      <c r="K927" t="n">
        <v>0</v>
      </c>
      <c r="L927" t="n">
        <v>0</v>
      </c>
      <c r="M927" t="n">
        <v>0</v>
      </c>
      <c r="N927" t="n">
        <v>0</v>
      </c>
      <c r="O927" t="n">
        <v>0</v>
      </c>
      <c r="P927" t="n">
        <v>0</v>
      </c>
      <c r="Q927" t="n">
        <v>0</v>
      </c>
      <c r="R927" s="2" t="inlineStr"/>
    </row>
    <row r="928" ht="15" customHeight="1">
      <c r="A928" t="inlineStr">
        <is>
          <t>A 34785-2025</t>
        </is>
      </c>
      <c r="B928" s="1" t="n">
        <v>45848.67771990741</v>
      </c>
      <c r="C928" s="1" t="n">
        <v>45986</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60363-2024</t>
        </is>
      </c>
      <c r="B929" s="1" t="n">
        <v>45643</v>
      </c>
      <c r="C929" s="1" t="n">
        <v>45986</v>
      </c>
      <c r="D929" t="inlineStr">
        <is>
          <t>VÄSTERNORRLANDS LÄN</t>
        </is>
      </c>
      <c r="E929" t="inlineStr">
        <is>
          <t>ÅNGE</t>
        </is>
      </c>
      <c r="G929" t="n">
        <v>1.3</v>
      </c>
      <c r="H929" t="n">
        <v>0</v>
      </c>
      <c r="I929" t="n">
        <v>0</v>
      </c>
      <c r="J929" t="n">
        <v>0</v>
      </c>
      <c r="K929" t="n">
        <v>0</v>
      </c>
      <c r="L929" t="n">
        <v>0</v>
      </c>
      <c r="M929" t="n">
        <v>0</v>
      </c>
      <c r="N929" t="n">
        <v>0</v>
      </c>
      <c r="O929" t="n">
        <v>0</v>
      </c>
      <c r="P929" t="n">
        <v>0</v>
      </c>
      <c r="Q929" t="n">
        <v>0</v>
      </c>
      <c r="R929" s="2" t="inlineStr"/>
    </row>
    <row r="930" ht="15" customHeight="1">
      <c r="A930" t="inlineStr">
        <is>
          <t>A 15369-2024</t>
        </is>
      </c>
      <c r="B930" s="1" t="n">
        <v>45400.92290509259</v>
      </c>
      <c r="C930" s="1" t="n">
        <v>45986</v>
      </c>
      <c r="D930" t="inlineStr">
        <is>
          <t>VÄSTERNORRLANDS LÄN</t>
        </is>
      </c>
      <c r="E930" t="inlineStr">
        <is>
          <t>ÅNGE</t>
        </is>
      </c>
      <c r="G930" t="n">
        <v>0.4</v>
      </c>
      <c r="H930" t="n">
        <v>0</v>
      </c>
      <c r="I930" t="n">
        <v>0</v>
      </c>
      <c r="J930" t="n">
        <v>0</v>
      </c>
      <c r="K930" t="n">
        <v>0</v>
      </c>
      <c r="L930" t="n">
        <v>0</v>
      </c>
      <c r="M930" t="n">
        <v>0</v>
      </c>
      <c r="N930" t="n">
        <v>0</v>
      </c>
      <c r="O930" t="n">
        <v>0</v>
      </c>
      <c r="P930" t="n">
        <v>0</v>
      </c>
      <c r="Q930" t="n">
        <v>0</v>
      </c>
      <c r="R930" s="2" t="inlineStr"/>
    </row>
    <row r="931" ht="15" customHeight="1">
      <c r="A931" t="inlineStr">
        <is>
          <t>A 26010-2024</t>
        </is>
      </c>
      <c r="B931" s="1" t="n">
        <v>45467.95819444444</v>
      </c>
      <c r="C931" s="1" t="n">
        <v>45986</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52785-2024</t>
        </is>
      </c>
      <c r="B932" s="1" t="n">
        <v>45610.55273148148</v>
      </c>
      <c r="C932" s="1" t="n">
        <v>45986</v>
      </c>
      <c r="D932" t="inlineStr">
        <is>
          <t>VÄSTERNORRLANDS LÄN</t>
        </is>
      </c>
      <c r="E932" t="inlineStr">
        <is>
          <t>ÅNGE</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52786-2024</t>
        </is>
      </c>
      <c r="B933" s="1" t="n">
        <v>45610.55283564814</v>
      </c>
      <c r="C933" s="1" t="n">
        <v>45986</v>
      </c>
      <c r="D933" t="inlineStr">
        <is>
          <t>VÄSTERNORRLANDS LÄN</t>
        </is>
      </c>
      <c r="E933" t="inlineStr">
        <is>
          <t>ÅNGE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46254-2023</t>
        </is>
      </c>
      <c r="B934" s="1" t="n">
        <v>45196</v>
      </c>
      <c r="C934" s="1" t="n">
        <v>45986</v>
      </c>
      <c r="D934" t="inlineStr">
        <is>
          <t>VÄSTERNORRLANDS LÄN</t>
        </is>
      </c>
      <c r="E934" t="inlineStr">
        <is>
          <t>ÅNGE</t>
        </is>
      </c>
      <c r="F934" t="inlineStr">
        <is>
          <t>SCA</t>
        </is>
      </c>
      <c r="G934" t="n">
        <v>0.1</v>
      </c>
      <c r="H934" t="n">
        <v>0</v>
      </c>
      <c r="I934" t="n">
        <v>0</v>
      </c>
      <c r="J934" t="n">
        <v>0</v>
      </c>
      <c r="K934" t="n">
        <v>0</v>
      </c>
      <c r="L934" t="n">
        <v>0</v>
      </c>
      <c r="M934" t="n">
        <v>0</v>
      </c>
      <c r="N934" t="n">
        <v>0</v>
      </c>
      <c r="O934" t="n">
        <v>0</v>
      </c>
      <c r="P934" t="n">
        <v>0</v>
      </c>
      <c r="Q934" t="n">
        <v>0</v>
      </c>
      <c r="R934" s="2" t="inlineStr"/>
    </row>
    <row r="935" ht="15" customHeight="1">
      <c r="A935" t="inlineStr">
        <is>
          <t>A 46262-2023</t>
        </is>
      </c>
      <c r="B935" s="1" t="n">
        <v>45196.93855324074</v>
      </c>
      <c r="C935" s="1" t="n">
        <v>45986</v>
      </c>
      <c r="D935" t="inlineStr">
        <is>
          <t>VÄSTERNORRLANDS LÄN</t>
        </is>
      </c>
      <c r="E935" t="inlineStr">
        <is>
          <t>ÅNGE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35143-2025</t>
        </is>
      </c>
      <c r="B936" s="1" t="n">
        <v>45852.65660879629</v>
      </c>
      <c r="C936" s="1" t="n">
        <v>45986</v>
      </c>
      <c r="D936" t="inlineStr">
        <is>
          <t>VÄSTERNORRLANDS LÄN</t>
        </is>
      </c>
      <c r="E936" t="inlineStr">
        <is>
          <t>ÅNGE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48725-2024</t>
        </is>
      </c>
      <c r="B937" s="1" t="n">
        <v>45593.55793981482</v>
      </c>
      <c r="C937" s="1" t="n">
        <v>45986</v>
      </c>
      <c r="D937" t="inlineStr">
        <is>
          <t>VÄSTERNORRLANDS LÄN</t>
        </is>
      </c>
      <c r="E937" t="inlineStr">
        <is>
          <t>ÅNGE</t>
        </is>
      </c>
      <c r="G937" t="n">
        <v>1.4</v>
      </c>
      <c r="H937" t="n">
        <v>0</v>
      </c>
      <c r="I937" t="n">
        <v>0</v>
      </c>
      <c r="J937" t="n">
        <v>0</v>
      </c>
      <c r="K937" t="n">
        <v>0</v>
      </c>
      <c r="L937" t="n">
        <v>0</v>
      </c>
      <c r="M937" t="n">
        <v>0</v>
      </c>
      <c r="N937" t="n">
        <v>0</v>
      </c>
      <c r="O937" t="n">
        <v>0</v>
      </c>
      <c r="P937" t="n">
        <v>0</v>
      </c>
      <c r="Q937" t="n">
        <v>0</v>
      </c>
      <c r="R937" s="2" t="inlineStr"/>
    </row>
    <row r="938" ht="15" customHeight="1">
      <c r="A938" t="inlineStr">
        <is>
          <t>A 35061-2025</t>
        </is>
      </c>
      <c r="B938" s="1" t="n">
        <v>45852</v>
      </c>
      <c r="C938" s="1" t="n">
        <v>45986</v>
      </c>
      <c r="D938" t="inlineStr">
        <is>
          <t>VÄSTERNORRLANDS LÄN</t>
        </is>
      </c>
      <c r="E938" t="inlineStr">
        <is>
          <t>ÅNGE</t>
        </is>
      </c>
      <c r="F938" t="inlineStr">
        <is>
          <t>SCA</t>
        </is>
      </c>
      <c r="G938" t="n">
        <v>5.6</v>
      </c>
      <c r="H938" t="n">
        <v>0</v>
      </c>
      <c r="I938" t="n">
        <v>0</v>
      </c>
      <c r="J938" t="n">
        <v>0</v>
      </c>
      <c r="K938" t="n">
        <v>0</v>
      </c>
      <c r="L938" t="n">
        <v>0</v>
      </c>
      <c r="M938" t="n">
        <v>0</v>
      </c>
      <c r="N938" t="n">
        <v>0</v>
      </c>
      <c r="O938" t="n">
        <v>0</v>
      </c>
      <c r="P938" t="n">
        <v>0</v>
      </c>
      <c r="Q938" t="n">
        <v>0</v>
      </c>
      <c r="R938" s="2" t="inlineStr"/>
    </row>
    <row r="939" ht="15" customHeight="1">
      <c r="A939" t="inlineStr">
        <is>
          <t>A 39619-2024</t>
        </is>
      </c>
      <c r="B939" s="1" t="n">
        <v>45552</v>
      </c>
      <c r="C939" s="1" t="n">
        <v>45986</v>
      </c>
      <c r="D939" t="inlineStr">
        <is>
          <t>VÄSTERNORRLANDS LÄN</t>
        </is>
      </c>
      <c r="E939" t="inlineStr">
        <is>
          <t>ÅNGE</t>
        </is>
      </c>
      <c r="G939" t="n">
        <v>0.5</v>
      </c>
      <c r="H939" t="n">
        <v>0</v>
      </c>
      <c r="I939" t="n">
        <v>0</v>
      </c>
      <c r="J939" t="n">
        <v>0</v>
      </c>
      <c r="K939" t="n">
        <v>0</v>
      </c>
      <c r="L939" t="n">
        <v>0</v>
      </c>
      <c r="M939" t="n">
        <v>0</v>
      </c>
      <c r="N939" t="n">
        <v>0</v>
      </c>
      <c r="O939" t="n">
        <v>0</v>
      </c>
      <c r="P939" t="n">
        <v>0</v>
      </c>
      <c r="Q939" t="n">
        <v>0</v>
      </c>
      <c r="R939" s="2" t="inlineStr"/>
    </row>
    <row r="940" ht="15" customHeight="1">
      <c r="A940" t="inlineStr">
        <is>
          <t>A 37051-2021</t>
        </is>
      </c>
      <c r="B940" s="1" t="n">
        <v>44393</v>
      </c>
      <c r="C940" s="1" t="n">
        <v>45986</v>
      </c>
      <c r="D940" t="inlineStr">
        <is>
          <t>VÄSTERNORRLANDS LÄN</t>
        </is>
      </c>
      <c r="E940" t="inlineStr">
        <is>
          <t>ÅNGE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5613-2024</t>
        </is>
      </c>
      <c r="B941" s="1" t="n">
        <v>45334</v>
      </c>
      <c r="C941" s="1" t="n">
        <v>45986</v>
      </c>
      <c r="D941" t="inlineStr">
        <is>
          <t>VÄSTERNORRLANDS LÄN</t>
        </is>
      </c>
      <c r="E941" t="inlineStr">
        <is>
          <t>ÅNGE</t>
        </is>
      </c>
      <c r="G941" t="n">
        <v>0.4</v>
      </c>
      <c r="H941" t="n">
        <v>0</v>
      </c>
      <c r="I941" t="n">
        <v>0</v>
      </c>
      <c r="J941" t="n">
        <v>0</v>
      </c>
      <c r="K941" t="n">
        <v>0</v>
      </c>
      <c r="L941" t="n">
        <v>0</v>
      </c>
      <c r="M941" t="n">
        <v>0</v>
      </c>
      <c r="N941" t="n">
        <v>0</v>
      </c>
      <c r="O941" t="n">
        <v>0</v>
      </c>
      <c r="P941" t="n">
        <v>0</v>
      </c>
      <c r="Q941" t="n">
        <v>0</v>
      </c>
      <c r="R941" s="2" t="inlineStr"/>
    </row>
    <row r="942" ht="15" customHeight="1">
      <c r="A942" t="inlineStr">
        <is>
          <t>A 35432-2025</t>
        </is>
      </c>
      <c r="B942" s="1" t="n">
        <v>45855.44831018519</v>
      </c>
      <c r="C942" s="1" t="n">
        <v>45986</v>
      </c>
      <c r="D942" t="inlineStr">
        <is>
          <t>VÄSTERNORRLANDS LÄN</t>
        </is>
      </c>
      <c r="E942" t="inlineStr">
        <is>
          <t>ÅNGE</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61928-2021</t>
        </is>
      </c>
      <c r="B943" s="1" t="n">
        <v>44502.38475694445</v>
      </c>
      <c r="C943" s="1" t="n">
        <v>45986</v>
      </c>
      <c r="D943" t="inlineStr">
        <is>
          <t>VÄSTERNORRLANDS LÄN</t>
        </is>
      </c>
      <c r="E943" t="inlineStr">
        <is>
          <t>ÅNGE</t>
        </is>
      </c>
      <c r="G943" t="n">
        <v>1</v>
      </c>
      <c r="H943" t="n">
        <v>0</v>
      </c>
      <c r="I943" t="n">
        <v>0</v>
      </c>
      <c r="J943" t="n">
        <v>0</v>
      </c>
      <c r="K943" t="n">
        <v>0</v>
      </c>
      <c r="L943" t="n">
        <v>0</v>
      </c>
      <c r="M943" t="n">
        <v>0</v>
      </c>
      <c r="N943" t="n">
        <v>0</v>
      </c>
      <c r="O943" t="n">
        <v>0</v>
      </c>
      <c r="P943" t="n">
        <v>0</v>
      </c>
      <c r="Q943" t="n">
        <v>0</v>
      </c>
      <c r="R943" s="2" t="inlineStr"/>
    </row>
    <row r="944" ht="15" customHeight="1">
      <c r="A944" t="inlineStr">
        <is>
          <t>A 5367-2022</t>
        </is>
      </c>
      <c r="B944" s="1" t="n">
        <v>44594.92111111111</v>
      </c>
      <c r="C944" s="1" t="n">
        <v>45986</v>
      </c>
      <c r="D944" t="inlineStr">
        <is>
          <t>VÄSTERNORRLANDS LÄN</t>
        </is>
      </c>
      <c r="E944" t="inlineStr">
        <is>
          <t>ÅNGE</t>
        </is>
      </c>
      <c r="G944" t="n">
        <v>1.4</v>
      </c>
      <c r="H944" t="n">
        <v>0</v>
      </c>
      <c r="I944" t="n">
        <v>0</v>
      </c>
      <c r="J944" t="n">
        <v>0</v>
      </c>
      <c r="K944" t="n">
        <v>0</v>
      </c>
      <c r="L944" t="n">
        <v>0</v>
      </c>
      <c r="M944" t="n">
        <v>0</v>
      </c>
      <c r="N944" t="n">
        <v>0</v>
      </c>
      <c r="O944" t="n">
        <v>0</v>
      </c>
      <c r="P944" t="n">
        <v>0</v>
      </c>
      <c r="Q944" t="n">
        <v>0</v>
      </c>
      <c r="R944" s="2" t="inlineStr"/>
    </row>
    <row r="945" ht="15" customHeight="1">
      <c r="A945" t="inlineStr">
        <is>
          <t>A 54429-2024</t>
        </is>
      </c>
      <c r="B945" s="1" t="n">
        <v>45617.49087962963</v>
      </c>
      <c r="C945" s="1" t="n">
        <v>45986</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24293-2023</t>
        </is>
      </c>
      <c r="B946" s="1" t="n">
        <v>45079.92756944444</v>
      </c>
      <c r="C946" s="1" t="n">
        <v>45986</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361-2025</t>
        </is>
      </c>
      <c r="B947" s="1" t="n">
        <v>45660</v>
      </c>
      <c r="C947" s="1" t="n">
        <v>45986</v>
      </c>
      <c r="D947" t="inlineStr">
        <is>
          <t>VÄSTERNORRLANDS LÄN</t>
        </is>
      </c>
      <c r="E947" t="inlineStr">
        <is>
          <t>ÅNGE</t>
        </is>
      </c>
      <c r="G947" t="n">
        <v>4.2</v>
      </c>
      <c r="H947" t="n">
        <v>0</v>
      </c>
      <c r="I947" t="n">
        <v>0</v>
      </c>
      <c r="J947" t="n">
        <v>0</v>
      </c>
      <c r="K947" t="n">
        <v>0</v>
      </c>
      <c r="L947" t="n">
        <v>0</v>
      </c>
      <c r="M947" t="n">
        <v>0</v>
      </c>
      <c r="N947" t="n">
        <v>0</v>
      </c>
      <c r="O947" t="n">
        <v>0</v>
      </c>
      <c r="P947" t="n">
        <v>0</v>
      </c>
      <c r="Q947" t="n">
        <v>0</v>
      </c>
      <c r="R947" s="2" t="inlineStr"/>
    </row>
    <row r="948" ht="15" customHeight="1">
      <c r="A948" t="inlineStr">
        <is>
          <t>A 35497-2025</t>
        </is>
      </c>
      <c r="B948" s="1" t="n">
        <v>45856.29752314815</v>
      </c>
      <c r="C948" s="1" t="n">
        <v>45986</v>
      </c>
      <c r="D948" t="inlineStr">
        <is>
          <t>VÄSTERNORRLANDS LÄN</t>
        </is>
      </c>
      <c r="E948" t="inlineStr">
        <is>
          <t>ÅNGE</t>
        </is>
      </c>
      <c r="G948" t="n">
        <v>0.7</v>
      </c>
      <c r="H948" t="n">
        <v>0</v>
      </c>
      <c r="I948" t="n">
        <v>0</v>
      </c>
      <c r="J948" t="n">
        <v>0</v>
      </c>
      <c r="K948" t="n">
        <v>0</v>
      </c>
      <c r="L948" t="n">
        <v>0</v>
      </c>
      <c r="M948" t="n">
        <v>0</v>
      </c>
      <c r="N948" t="n">
        <v>0</v>
      </c>
      <c r="O948" t="n">
        <v>0</v>
      </c>
      <c r="P948" t="n">
        <v>0</v>
      </c>
      <c r="Q948" t="n">
        <v>0</v>
      </c>
      <c r="R948" s="2" t="inlineStr"/>
    </row>
    <row r="949" ht="15" customHeight="1">
      <c r="A949" t="inlineStr">
        <is>
          <t>A 39985-2023</t>
        </is>
      </c>
      <c r="B949" s="1" t="n">
        <v>45168</v>
      </c>
      <c r="C949" s="1" t="n">
        <v>45986</v>
      </c>
      <c r="D949" t="inlineStr">
        <is>
          <t>VÄSTERNORRLANDS LÄN</t>
        </is>
      </c>
      <c r="E949" t="inlineStr">
        <is>
          <t>ÅNGE</t>
        </is>
      </c>
      <c r="G949" t="n">
        <v>0.1</v>
      </c>
      <c r="H949" t="n">
        <v>0</v>
      </c>
      <c r="I949" t="n">
        <v>0</v>
      </c>
      <c r="J949" t="n">
        <v>0</v>
      </c>
      <c r="K949" t="n">
        <v>0</v>
      </c>
      <c r="L949" t="n">
        <v>0</v>
      </c>
      <c r="M949" t="n">
        <v>0</v>
      </c>
      <c r="N949" t="n">
        <v>0</v>
      </c>
      <c r="O949" t="n">
        <v>0</v>
      </c>
      <c r="P949" t="n">
        <v>0</v>
      </c>
      <c r="Q949" t="n">
        <v>0</v>
      </c>
      <c r="R949" s="2" t="inlineStr"/>
    </row>
    <row r="950" ht="15" customHeight="1">
      <c r="A950" t="inlineStr">
        <is>
          <t>A 35577-2025</t>
        </is>
      </c>
      <c r="B950" s="1" t="n">
        <v>45856.67762731481</v>
      </c>
      <c r="C950" s="1" t="n">
        <v>45986</v>
      </c>
      <c r="D950" t="inlineStr">
        <is>
          <t>VÄSTERNORRLANDS LÄN</t>
        </is>
      </c>
      <c r="E950" t="inlineStr">
        <is>
          <t>ÅNGE</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35548-2025</t>
        </is>
      </c>
      <c r="B951" s="1" t="n">
        <v>45856.48995370371</v>
      </c>
      <c r="C951" s="1" t="n">
        <v>45986</v>
      </c>
      <c r="D951" t="inlineStr">
        <is>
          <t>VÄSTERNORRLANDS LÄN</t>
        </is>
      </c>
      <c r="E951" t="inlineStr">
        <is>
          <t>ÅNGE</t>
        </is>
      </c>
      <c r="F951" t="inlineStr">
        <is>
          <t>SCA</t>
        </is>
      </c>
      <c r="G951" t="n">
        <v>14.6</v>
      </c>
      <c r="H951" t="n">
        <v>0</v>
      </c>
      <c r="I951" t="n">
        <v>0</v>
      </c>
      <c r="J951" t="n">
        <v>0</v>
      </c>
      <c r="K951" t="n">
        <v>0</v>
      </c>
      <c r="L951" t="n">
        <v>0</v>
      </c>
      <c r="M951" t="n">
        <v>0</v>
      </c>
      <c r="N951" t="n">
        <v>0</v>
      </c>
      <c r="O951" t="n">
        <v>0</v>
      </c>
      <c r="P951" t="n">
        <v>0</v>
      </c>
      <c r="Q951" t="n">
        <v>0</v>
      </c>
      <c r="R951" s="2" t="inlineStr"/>
    </row>
    <row r="952" ht="15" customHeight="1">
      <c r="A952" t="inlineStr">
        <is>
          <t>A 35575-2025</t>
        </is>
      </c>
      <c r="B952" s="1" t="n">
        <v>45856.63591435185</v>
      </c>
      <c r="C952" s="1" t="n">
        <v>45986</v>
      </c>
      <c r="D952" t="inlineStr">
        <is>
          <t>VÄSTERNORRLANDS LÄN</t>
        </is>
      </c>
      <c r="E952" t="inlineStr">
        <is>
          <t>ÅNGE</t>
        </is>
      </c>
      <c r="F952" t="inlineStr">
        <is>
          <t>SCA</t>
        </is>
      </c>
      <c r="G952" t="n">
        <v>5</v>
      </c>
      <c r="H952" t="n">
        <v>0</v>
      </c>
      <c r="I952" t="n">
        <v>0</v>
      </c>
      <c r="J952" t="n">
        <v>0</v>
      </c>
      <c r="K952" t="n">
        <v>0</v>
      </c>
      <c r="L952" t="n">
        <v>0</v>
      </c>
      <c r="M952" t="n">
        <v>0</v>
      </c>
      <c r="N952" t="n">
        <v>0</v>
      </c>
      <c r="O952" t="n">
        <v>0</v>
      </c>
      <c r="P952" t="n">
        <v>0</v>
      </c>
      <c r="Q952" t="n">
        <v>0</v>
      </c>
      <c r="R952" s="2" t="inlineStr"/>
    </row>
    <row r="953" ht="15" customHeight="1">
      <c r="A953" t="inlineStr">
        <is>
          <t>A 35503-2025</t>
        </is>
      </c>
      <c r="B953" s="1" t="n">
        <v>45856</v>
      </c>
      <c r="C953" s="1" t="n">
        <v>45986</v>
      </c>
      <c r="D953" t="inlineStr">
        <is>
          <t>VÄSTERNORRLANDS LÄN</t>
        </is>
      </c>
      <c r="E953" t="inlineStr">
        <is>
          <t>ÅNGE</t>
        </is>
      </c>
      <c r="G953" t="n">
        <v>5.2</v>
      </c>
      <c r="H953" t="n">
        <v>0</v>
      </c>
      <c r="I953" t="n">
        <v>0</v>
      </c>
      <c r="J953" t="n">
        <v>0</v>
      </c>
      <c r="K953" t="n">
        <v>0</v>
      </c>
      <c r="L953" t="n">
        <v>0</v>
      </c>
      <c r="M953" t="n">
        <v>0</v>
      </c>
      <c r="N953" t="n">
        <v>0</v>
      </c>
      <c r="O953" t="n">
        <v>0</v>
      </c>
      <c r="P953" t="n">
        <v>0</v>
      </c>
      <c r="Q953" t="n">
        <v>0</v>
      </c>
      <c r="R953" s="2" t="inlineStr"/>
    </row>
    <row r="954" ht="15" customHeight="1">
      <c r="A954" t="inlineStr">
        <is>
          <t>A 35540-2025</t>
        </is>
      </c>
      <c r="B954" s="1" t="n">
        <v>45856.46912037037</v>
      </c>
      <c r="C954" s="1" t="n">
        <v>45986</v>
      </c>
      <c r="D954" t="inlineStr">
        <is>
          <t>VÄSTERNORRLANDS LÄN</t>
        </is>
      </c>
      <c r="E954" t="inlineStr">
        <is>
          <t>ÅNGE</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49945-2023</t>
        </is>
      </c>
      <c r="B955" s="1" t="n">
        <v>45215.3625462963</v>
      </c>
      <c r="C955" s="1" t="n">
        <v>45986</v>
      </c>
      <c r="D955" t="inlineStr">
        <is>
          <t>VÄSTERNORRLANDS LÄN</t>
        </is>
      </c>
      <c r="E955" t="inlineStr">
        <is>
          <t>ÅNGE</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1420-2023</t>
        </is>
      </c>
      <c r="B956" s="1" t="n">
        <v>44936.92762731481</v>
      </c>
      <c r="C956" s="1" t="n">
        <v>45986</v>
      </c>
      <c r="D956" t="inlineStr">
        <is>
          <t>VÄSTERNORRLANDS LÄN</t>
        </is>
      </c>
      <c r="E956" t="inlineStr">
        <is>
          <t>ÅNGE</t>
        </is>
      </c>
      <c r="G956" t="n">
        <v>3.7</v>
      </c>
      <c r="H956" t="n">
        <v>0</v>
      </c>
      <c r="I956" t="n">
        <v>0</v>
      </c>
      <c r="J956" t="n">
        <v>0</v>
      </c>
      <c r="K956" t="n">
        <v>0</v>
      </c>
      <c r="L956" t="n">
        <v>0</v>
      </c>
      <c r="M956" t="n">
        <v>0</v>
      </c>
      <c r="N956" t="n">
        <v>0</v>
      </c>
      <c r="O956" t="n">
        <v>0</v>
      </c>
      <c r="P956" t="n">
        <v>0</v>
      </c>
      <c r="Q956" t="n">
        <v>0</v>
      </c>
      <c r="R956" s="2" t="inlineStr"/>
    </row>
    <row r="957" ht="15" customHeight="1">
      <c r="A957" t="inlineStr">
        <is>
          <t>A 35838-2025</t>
        </is>
      </c>
      <c r="B957" s="1" t="n">
        <v>45861.53829861111</v>
      </c>
      <c r="C957" s="1" t="n">
        <v>45986</v>
      </c>
      <c r="D957" t="inlineStr">
        <is>
          <t>VÄSTERNORRLANDS LÄN</t>
        </is>
      </c>
      <c r="E957" t="inlineStr">
        <is>
          <t>ÅNGE</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34691-2024</t>
        </is>
      </c>
      <c r="B958" s="1" t="n">
        <v>45526.54516203704</v>
      </c>
      <c r="C958" s="1" t="n">
        <v>45986</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30683-2024</t>
        </is>
      </c>
      <c r="B959" s="1" t="n">
        <v>45495</v>
      </c>
      <c r="C959" s="1" t="n">
        <v>45986</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35781-2025</t>
        </is>
      </c>
      <c r="B960" s="1" t="n">
        <v>45860.70613425926</v>
      </c>
      <c r="C960" s="1" t="n">
        <v>45986</v>
      </c>
      <c r="D960" t="inlineStr">
        <is>
          <t>VÄSTERNORRLANDS LÄN</t>
        </is>
      </c>
      <c r="E960" t="inlineStr">
        <is>
          <t>ÅNGE</t>
        </is>
      </c>
      <c r="G960" t="n">
        <v>2.2</v>
      </c>
      <c r="H960" t="n">
        <v>0</v>
      </c>
      <c r="I960" t="n">
        <v>0</v>
      </c>
      <c r="J960" t="n">
        <v>0</v>
      </c>
      <c r="K960" t="n">
        <v>0</v>
      </c>
      <c r="L960" t="n">
        <v>0</v>
      </c>
      <c r="M960" t="n">
        <v>0</v>
      </c>
      <c r="N960" t="n">
        <v>0</v>
      </c>
      <c r="O960" t="n">
        <v>0</v>
      </c>
      <c r="P960" t="n">
        <v>0</v>
      </c>
      <c r="Q960" t="n">
        <v>0</v>
      </c>
      <c r="R960" s="2" t="inlineStr"/>
    </row>
    <row r="961" ht="15" customHeight="1">
      <c r="A961" t="inlineStr">
        <is>
          <t>A 15791-2025</t>
        </is>
      </c>
      <c r="B961" s="1" t="n">
        <v>45748.631875</v>
      </c>
      <c r="C961" s="1" t="n">
        <v>45986</v>
      </c>
      <c r="D961" t="inlineStr">
        <is>
          <t>VÄSTERNORRLANDS LÄN</t>
        </is>
      </c>
      <c r="E961" t="inlineStr">
        <is>
          <t>ÅNGE</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54585-2024</t>
        </is>
      </c>
      <c r="B962" s="1" t="n">
        <v>45617.65762731482</v>
      </c>
      <c r="C962" s="1" t="n">
        <v>45986</v>
      </c>
      <c r="D962" t="inlineStr">
        <is>
          <t>VÄSTERNORRLANDS LÄN</t>
        </is>
      </c>
      <c r="E962" t="inlineStr">
        <is>
          <t>ÅNGE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35826-2025</t>
        </is>
      </c>
      <c r="B963" s="1" t="n">
        <v>45861.48997685185</v>
      </c>
      <c r="C963" s="1" t="n">
        <v>45986</v>
      </c>
      <c r="D963" t="inlineStr">
        <is>
          <t>VÄSTERNORRLANDS LÄN</t>
        </is>
      </c>
      <c r="E963" t="inlineStr">
        <is>
          <t>ÅNGE</t>
        </is>
      </c>
      <c r="G963" t="n">
        <v>2.5</v>
      </c>
      <c r="H963" t="n">
        <v>0</v>
      </c>
      <c r="I963" t="n">
        <v>0</v>
      </c>
      <c r="J963" t="n">
        <v>0</v>
      </c>
      <c r="K963" t="n">
        <v>0</v>
      </c>
      <c r="L963" t="n">
        <v>0</v>
      </c>
      <c r="M963" t="n">
        <v>0</v>
      </c>
      <c r="N963" t="n">
        <v>0</v>
      </c>
      <c r="O963" t="n">
        <v>0</v>
      </c>
      <c r="P963" t="n">
        <v>0</v>
      </c>
      <c r="Q963" t="n">
        <v>0</v>
      </c>
      <c r="R963" s="2" t="inlineStr"/>
    </row>
    <row r="964" ht="15" customHeight="1">
      <c r="A964" t="inlineStr">
        <is>
          <t>A 17452-2025</t>
        </is>
      </c>
      <c r="B964" s="1" t="n">
        <v>45757.44842592593</v>
      </c>
      <c r="C964" s="1" t="n">
        <v>45986</v>
      </c>
      <c r="D964" t="inlineStr">
        <is>
          <t>VÄSTERNORRLANDS LÄN</t>
        </is>
      </c>
      <c r="E964" t="inlineStr">
        <is>
          <t>ÅNGE</t>
        </is>
      </c>
      <c r="F964" t="inlineStr">
        <is>
          <t>SCA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35827-2025</t>
        </is>
      </c>
      <c r="B965" s="1" t="n">
        <v>45861.49017361111</v>
      </c>
      <c r="C965" s="1" t="n">
        <v>45986</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35690-2025</t>
        </is>
      </c>
      <c r="B966" s="1" t="n">
        <v>45860.34421296296</v>
      </c>
      <c r="C966" s="1" t="n">
        <v>45986</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35766-2025</t>
        </is>
      </c>
      <c r="B967" s="1" t="n">
        <v>45860.63077546296</v>
      </c>
      <c r="C967" s="1" t="n">
        <v>45986</v>
      </c>
      <c r="D967" t="inlineStr">
        <is>
          <t>VÄSTERNORRLANDS LÄN</t>
        </is>
      </c>
      <c r="E967" t="inlineStr">
        <is>
          <t>ÅNGE</t>
        </is>
      </c>
      <c r="G967" t="n">
        <v>10.7</v>
      </c>
      <c r="H967" t="n">
        <v>0</v>
      </c>
      <c r="I967" t="n">
        <v>0</v>
      </c>
      <c r="J967" t="n">
        <v>0</v>
      </c>
      <c r="K967" t="n">
        <v>0</v>
      </c>
      <c r="L967" t="n">
        <v>0</v>
      </c>
      <c r="M967" t="n">
        <v>0</v>
      </c>
      <c r="N967" t="n">
        <v>0</v>
      </c>
      <c r="O967" t="n">
        <v>0</v>
      </c>
      <c r="P967" t="n">
        <v>0</v>
      </c>
      <c r="Q967" t="n">
        <v>0</v>
      </c>
      <c r="R967" s="2" t="inlineStr"/>
    </row>
    <row r="968" ht="15" customHeight="1">
      <c r="A968" t="inlineStr">
        <is>
          <t>A 3966-2025</t>
        </is>
      </c>
      <c r="B968" s="1" t="n">
        <v>45684.51072916666</v>
      </c>
      <c r="C968" s="1" t="n">
        <v>45986</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57526-2024</t>
        </is>
      </c>
      <c r="B969" s="1" t="n">
        <v>45630</v>
      </c>
      <c r="C969" s="1" t="n">
        <v>45986</v>
      </c>
      <c r="D969" t="inlineStr">
        <is>
          <t>VÄSTERNORRLANDS LÄN</t>
        </is>
      </c>
      <c r="E969" t="inlineStr">
        <is>
          <t>ÅNGE</t>
        </is>
      </c>
      <c r="G969" t="n">
        <v>3.2</v>
      </c>
      <c r="H969" t="n">
        <v>0</v>
      </c>
      <c r="I969" t="n">
        <v>0</v>
      </c>
      <c r="J969" t="n">
        <v>0</v>
      </c>
      <c r="K969" t="n">
        <v>0</v>
      </c>
      <c r="L969" t="n">
        <v>0</v>
      </c>
      <c r="M969" t="n">
        <v>0</v>
      </c>
      <c r="N969" t="n">
        <v>0</v>
      </c>
      <c r="O969" t="n">
        <v>0</v>
      </c>
      <c r="P969" t="n">
        <v>0</v>
      </c>
      <c r="Q969" t="n">
        <v>0</v>
      </c>
      <c r="R969" s="2" t="inlineStr"/>
    </row>
    <row r="970" ht="15" customHeight="1">
      <c r="A970" t="inlineStr">
        <is>
          <t>A 36237-2025</t>
        </is>
      </c>
      <c r="B970" s="1" t="n">
        <v>45867.55263888889</v>
      </c>
      <c r="C970" s="1" t="n">
        <v>45986</v>
      </c>
      <c r="D970" t="inlineStr">
        <is>
          <t>VÄSTERNORRLANDS LÄN</t>
        </is>
      </c>
      <c r="E970" t="inlineStr">
        <is>
          <t>ÅNGE</t>
        </is>
      </c>
      <c r="F970" t="inlineStr">
        <is>
          <t>SCA</t>
        </is>
      </c>
      <c r="G970" t="n">
        <v>4.8</v>
      </c>
      <c r="H970" t="n">
        <v>0</v>
      </c>
      <c r="I970" t="n">
        <v>0</v>
      </c>
      <c r="J970" t="n">
        <v>0</v>
      </c>
      <c r="K970" t="n">
        <v>0</v>
      </c>
      <c r="L970" t="n">
        <v>0</v>
      </c>
      <c r="M970" t="n">
        <v>0</v>
      </c>
      <c r="N970" t="n">
        <v>0</v>
      </c>
      <c r="O970" t="n">
        <v>0</v>
      </c>
      <c r="P970" t="n">
        <v>0</v>
      </c>
      <c r="Q970" t="n">
        <v>0</v>
      </c>
      <c r="R970" s="2" t="inlineStr"/>
    </row>
    <row r="971" ht="15" customHeight="1">
      <c r="A971" t="inlineStr">
        <is>
          <t>A 36240-2025</t>
        </is>
      </c>
      <c r="B971" s="1" t="n">
        <v>45867.55298611111</v>
      </c>
      <c r="C971" s="1" t="n">
        <v>45986</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36210-2025</t>
        </is>
      </c>
      <c r="B972" s="1" t="n">
        <v>45867.46930555555</v>
      </c>
      <c r="C972" s="1" t="n">
        <v>45986</v>
      </c>
      <c r="D972" t="inlineStr">
        <is>
          <t>VÄSTERNORRLANDS LÄN</t>
        </is>
      </c>
      <c r="E972" t="inlineStr">
        <is>
          <t>ÅNGE</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5999-2025</t>
        </is>
      </c>
      <c r="B973" s="1" t="n">
        <v>45695</v>
      </c>
      <c r="C973" s="1" t="n">
        <v>45986</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35593-2024</t>
        </is>
      </c>
      <c r="B974" s="1" t="n">
        <v>45531</v>
      </c>
      <c r="C974" s="1" t="n">
        <v>45986</v>
      </c>
      <c r="D974" t="inlineStr">
        <is>
          <t>VÄSTERNORRLANDS LÄN</t>
        </is>
      </c>
      <c r="E974" t="inlineStr">
        <is>
          <t>ÅNGE</t>
        </is>
      </c>
      <c r="G974" t="n">
        <v>17.6</v>
      </c>
      <c r="H974" t="n">
        <v>0</v>
      </c>
      <c r="I974" t="n">
        <v>0</v>
      </c>
      <c r="J974" t="n">
        <v>0</v>
      </c>
      <c r="K974" t="n">
        <v>0</v>
      </c>
      <c r="L974" t="n">
        <v>0</v>
      </c>
      <c r="M974" t="n">
        <v>0</v>
      </c>
      <c r="N974" t="n">
        <v>0</v>
      </c>
      <c r="O974" t="n">
        <v>0</v>
      </c>
      <c r="P974" t="n">
        <v>0</v>
      </c>
      <c r="Q974" t="n">
        <v>0</v>
      </c>
      <c r="R974" s="2" t="inlineStr"/>
    </row>
    <row r="975" ht="15" customHeight="1">
      <c r="A975" t="inlineStr">
        <is>
          <t>A 36236-2025</t>
        </is>
      </c>
      <c r="B975" s="1" t="n">
        <v>45867.55245370371</v>
      </c>
      <c r="C975" s="1" t="n">
        <v>45986</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36248-2025</t>
        </is>
      </c>
      <c r="B976" s="1" t="n">
        <v>45867.57326388889</v>
      </c>
      <c r="C976" s="1" t="n">
        <v>45986</v>
      </c>
      <c r="D976" t="inlineStr">
        <is>
          <t>VÄSTERNORRLANDS LÄN</t>
        </is>
      </c>
      <c r="E976" t="inlineStr">
        <is>
          <t>ÅNGE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36193-2025</t>
        </is>
      </c>
      <c r="B977" s="1" t="n">
        <v>45867.42741898148</v>
      </c>
      <c r="C977" s="1" t="n">
        <v>45986</v>
      </c>
      <c r="D977" t="inlineStr">
        <is>
          <t>VÄSTERNORRLANDS LÄN</t>
        </is>
      </c>
      <c r="E977" t="inlineStr">
        <is>
          <t>ÅNGE</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36786-2024</t>
        </is>
      </c>
      <c r="B978" s="1" t="n">
        <v>45538</v>
      </c>
      <c r="C978" s="1" t="n">
        <v>45986</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36205-2025</t>
        </is>
      </c>
      <c r="B979" s="1" t="n">
        <v>45867.44855324074</v>
      </c>
      <c r="C979" s="1" t="n">
        <v>45986</v>
      </c>
      <c r="D979" t="inlineStr">
        <is>
          <t>VÄSTERNORRLANDS LÄN</t>
        </is>
      </c>
      <c r="E979" t="inlineStr">
        <is>
          <t>ÅNGE</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36491-2025</t>
        </is>
      </c>
      <c r="B980" s="1" t="n">
        <v>45869.53173611111</v>
      </c>
      <c r="C980" s="1" t="n">
        <v>45986</v>
      </c>
      <c r="D980" t="inlineStr">
        <is>
          <t>VÄSTERNORRLANDS LÄN</t>
        </is>
      </c>
      <c r="E980" t="inlineStr">
        <is>
          <t>ÅNGE</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36336-2025</t>
        </is>
      </c>
      <c r="B981" s="1" t="n">
        <v>45868.44751157407</v>
      </c>
      <c r="C981" s="1" t="n">
        <v>45986</v>
      </c>
      <c r="D981" t="inlineStr">
        <is>
          <t>VÄSTERNORRLANDS LÄN</t>
        </is>
      </c>
      <c r="E981" t="inlineStr">
        <is>
          <t>ÅNGE</t>
        </is>
      </c>
      <c r="G981" t="n">
        <v>7.3</v>
      </c>
      <c r="H981" t="n">
        <v>0</v>
      </c>
      <c r="I981" t="n">
        <v>0</v>
      </c>
      <c r="J981" t="n">
        <v>0</v>
      </c>
      <c r="K981" t="n">
        <v>0</v>
      </c>
      <c r="L981" t="n">
        <v>0</v>
      </c>
      <c r="M981" t="n">
        <v>0</v>
      </c>
      <c r="N981" t="n">
        <v>0</v>
      </c>
      <c r="O981" t="n">
        <v>0</v>
      </c>
      <c r="P981" t="n">
        <v>0</v>
      </c>
      <c r="Q981" t="n">
        <v>0</v>
      </c>
      <c r="R981" s="2" t="inlineStr"/>
    </row>
    <row r="982" ht="15" customHeight="1">
      <c r="A982" t="inlineStr">
        <is>
          <t>A 36457-2025</t>
        </is>
      </c>
      <c r="B982" s="1" t="n">
        <v>45869.44842592593</v>
      </c>
      <c r="C982" s="1" t="n">
        <v>45986</v>
      </c>
      <c r="D982" t="inlineStr">
        <is>
          <t>VÄSTERNORRLANDS LÄN</t>
        </is>
      </c>
      <c r="E982" t="inlineStr">
        <is>
          <t>ÅNGE</t>
        </is>
      </c>
      <c r="F982" t="inlineStr">
        <is>
          <t>SCA</t>
        </is>
      </c>
      <c r="G982" t="n">
        <v>6.3</v>
      </c>
      <c r="H982" t="n">
        <v>0</v>
      </c>
      <c r="I982" t="n">
        <v>0</v>
      </c>
      <c r="J982" t="n">
        <v>0</v>
      </c>
      <c r="K982" t="n">
        <v>0</v>
      </c>
      <c r="L982" t="n">
        <v>0</v>
      </c>
      <c r="M982" t="n">
        <v>0</v>
      </c>
      <c r="N982" t="n">
        <v>0</v>
      </c>
      <c r="O982" t="n">
        <v>0</v>
      </c>
      <c r="P982" t="n">
        <v>0</v>
      </c>
      <c r="Q982" t="n">
        <v>0</v>
      </c>
      <c r="R982" s="2" t="inlineStr"/>
    </row>
    <row r="983" ht="15" customHeight="1">
      <c r="A983" t="inlineStr">
        <is>
          <t>A 6487-2021</t>
        </is>
      </c>
      <c r="B983" s="1" t="n">
        <v>44235</v>
      </c>
      <c r="C983" s="1" t="n">
        <v>45986</v>
      </c>
      <c r="D983" t="inlineStr">
        <is>
          <t>VÄSTERNORRLANDS LÄN</t>
        </is>
      </c>
      <c r="E983" t="inlineStr">
        <is>
          <t>ÅNGE</t>
        </is>
      </c>
      <c r="G983" t="n">
        <v>2.1</v>
      </c>
      <c r="H983" t="n">
        <v>0</v>
      </c>
      <c r="I983" t="n">
        <v>0</v>
      </c>
      <c r="J983" t="n">
        <v>0</v>
      </c>
      <c r="K983" t="n">
        <v>0</v>
      </c>
      <c r="L983" t="n">
        <v>0</v>
      </c>
      <c r="M983" t="n">
        <v>0</v>
      </c>
      <c r="N983" t="n">
        <v>0</v>
      </c>
      <c r="O983" t="n">
        <v>0</v>
      </c>
      <c r="P983" t="n">
        <v>0</v>
      </c>
      <c r="Q983" t="n">
        <v>0</v>
      </c>
      <c r="R983" s="2" t="inlineStr"/>
    </row>
    <row r="984" ht="15" customHeight="1">
      <c r="A984" t="inlineStr">
        <is>
          <t>A 54908-2021</t>
        </is>
      </c>
      <c r="B984" s="1" t="n">
        <v>44474.39769675926</v>
      </c>
      <c r="C984" s="1" t="n">
        <v>45986</v>
      </c>
      <c r="D984" t="inlineStr">
        <is>
          <t>VÄSTERNORRLANDS LÄN</t>
        </is>
      </c>
      <c r="E984" t="inlineStr">
        <is>
          <t>ÅNGE</t>
        </is>
      </c>
      <c r="G984" t="n">
        <v>7.8</v>
      </c>
      <c r="H984" t="n">
        <v>0</v>
      </c>
      <c r="I984" t="n">
        <v>0</v>
      </c>
      <c r="J984" t="n">
        <v>0</v>
      </c>
      <c r="K984" t="n">
        <v>0</v>
      </c>
      <c r="L984" t="n">
        <v>0</v>
      </c>
      <c r="M984" t="n">
        <v>0</v>
      </c>
      <c r="N984" t="n">
        <v>0</v>
      </c>
      <c r="O984" t="n">
        <v>0</v>
      </c>
      <c r="P984" t="n">
        <v>0</v>
      </c>
      <c r="Q984" t="n">
        <v>0</v>
      </c>
      <c r="R984" s="2" t="inlineStr"/>
    </row>
    <row r="985" ht="15" customHeight="1">
      <c r="A985" t="inlineStr">
        <is>
          <t>A 45933-2023</t>
        </is>
      </c>
      <c r="B985" s="1" t="n">
        <v>45195</v>
      </c>
      <c r="C985" s="1" t="n">
        <v>45986</v>
      </c>
      <c r="D985" t="inlineStr">
        <is>
          <t>VÄSTERNORRLANDS LÄN</t>
        </is>
      </c>
      <c r="E985" t="inlineStr">
        <is>
          <t>ÅNGE</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36723-2025</t>
        </is>
      </c>
      <c r="B986" s="1" t="n">
        <v>45873.47770833333</v>
      </c>
      <c r="C986" s="1" t="n">
        <v>45986</v>
      </c>
      <c r="D986" t="inlineStr">
        <is>
          <t>VÄSTERNORRLANDS LÄN</t>
        </is>
      </c>
      <c r="E986" t="inlineStr">
        <is>
          <t>ÅNGE</t>
        </is>
      </c>
      <c r="G986" t="n">
        <v>2.8</v>
      </c>
      <c r="H986" t="n">
        <v>0</v>
      </c>
      <c r="I986" t="n">
        <v>0</v>
      </c>
      <c r="J986" t="n">
        <v>0</v>
      </c>
      <c r="K986" t="n">
        <v>0</v>
      </c>
      <c r="L986" t="n">
        <v>0</v>
      </c>
      <c r="M986" t="n">
        <v>0</v>
      </c>
      <c r="N986" t="n">
        <v>0</v>
      </c>
      <c r="O986" t="n">
        <v>0</v>
      </c>
      <c r="P986" t="n">
        <v>0</v>
      </c>
      <c r="Q986" t="n">
        <v>0</v>
      </c>
      <c r="R986" s="2" t="inlineStr"/>
    </row>
    <row r="987" ht="15" customHeight="1">
      <c r="A987" t="inlineStr">
        <is>
          <t>A 36674-2025</t>
        </is>
      </c>
      <c r="B987" s="1" t="n">
        <v>45873.3930787037</v>
      </c>
      <c r="C987" s="1" t="n">
        <v>45986</v>
      </c>
      <c r="D987" t="inlineStr">
        <is>
          <t>VÄSTERNORRLANDS LÄN</t>
        </is>
      </c>
      <c r="E987" t="inlineStr">
        <is>
          <t>ÅNGE</t>
        </is>
      </c>
      <c r="G987" t="n">
        <v>0.5</v>
      </c>
      <c r="H987" t="n">
        <v>0</v>
      </c>
      <c r="I987" t="n">
        <v>0</v>
      </c>
      <c r="J987" t="n">
        <v>0</v>
      </c>
      <c r="K987" t="n">
        <v>0</v>
      </c>
      <c r="L987" t="n">
        <v>0</v>
      </c>
      <c r="M987" t="n">
        <v>0</v>
      </c>
      <c r="N987" t="n">
        <v>0</v>
      </c>
      <c r="O987" t="n">
        <v>0</v>
      </c>
      <c r="P987" t="n">
        <v>0</v>
      </c>
      <c r="Q987" t="n">
        <v>0</v>
      </c>
      <c r="R987" s="2" t="inlineStr"/>
    </row>
    <row r="988" ht="15" customHeight="1">
      <c r="A988" t="inlineStr">
        <is>
          <t>A 46015-2024</t>
        </is>
      </c>
      <c r="B988" s="1" t="n">
        <v>45580.67760416667</v>
      </c>
      <c r="C988" s="1" t="n">
        <v>45986</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58613-2023</t>
        </is>
      </c>
      <c r="B989" s="1" t="n">
        <v>45251.50709490741</v>
      </c>
      <c r="C989" s="1" t="n">
        <v>45986</v>
      </c>
      <c r="D989" t="inlineStr">
        <is>
          <t>VÄSTERNORRLANDS LÄN</t>
        </is>
      </c>
      <c r="E989" t="inlineStr">
        <is>
          <t>ÅNGE</t>
        </is>
      </c>
      <c r="F989" t="inlineStr">
        <is>
          <t>Övriga Aktiebolag</t>
        </is>
      </c>
      <c r="G989" t="n">
        <v>1.9</v>
      </c>
      <c r="H989" t="n">
        <v>0</v>
      </c>
      <c r="I989" t="n">
        <v>0</v>
      </c>
      <c r="J989" t="n">
        <v>0</v>
      </c>
      <c r="K989" t="n">
        <v>0</v>
      </c>
      <c r="L989" t="n">
        <v>0</v>
      </c>
      <c r="M989" t="n">
        <v>0</v>
      </c>
      <c r="N989" t="n">
        <v>0</v>
      </c>
      <c r="O989" t="n">
        <v>0</v>
      </c>
      <c r="P989" t="n">
        <v>0</v>
      </c>
      <c r="Q989" t="n">
        <v>0</v>
      </c>
      <c r="R989" s="2" t="inlineStr"/>
    </row>
    <row r="990" ht="15" customHeight="1">
      <c r="A990" t="inlineStr">
        <is>
          <t>A 36740-2025</t>
        </is>
      </c>
      <c r="B990" s="1" t="n">
        <v>45873.53237268519</v>
      </c>
      <c r="C990" s="1" t="n">
        <v>45986</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44636-2024</t>
        </is>
      </c>
      <c r="B991" s="1" t="n">
        <v>45574.51491898148</v>
      </c>
      <c r="C991" s="1" t="n">
        <v>45986</v>
      </c>
      <c r="D991" t="inlineStr">
        <is>
          <t>VÄSTERNORRLANDS LÄN</t>
        </is>
      </c>
      <c r="E991" t="inlineStr">
        <is>
          <t>ÅNGE</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44979-2023</t>
        </is>
      </c>
      <c r="B992" s="1" t="n">
        <v>45190.95752314815</v>
      </c>
      <c r="C992" s="1" t="n">
        <v>45986</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1582-2025</t>
        </is>
      </c>
      <c r="B993" s="1" t="n">
        <v>45670</v>
      </c>
      <c r="C993" s="1" t="n">
        <v>45986</v>
      </c>
      <c r="D993" t="inlineStr">
        <is>
          <t>VÄSTERNORRLANDS LÄN</t>
        </is>
      </c>
      <c r="E993" t="inlineStr">
        <is>
          <t>ÅNGE</t>
        </is>
      </c>
      <c r="G993" t="n">
        <v>7.3</v>
      </c>
      <c r="H993" t="n">
        <v>0</v>
      </c>
      <c r="I993" t="n">
        <v>0</v>
      </c>
      <c r="J993" t="n">
        <v>0</v>
      </c>
      <c r="K993" t="n">
        <v>0</v>
      </c>
      <c r="L993" t="n">
        <v>0</v>
      </c>
      <c r="M993" t="n">
        <v>0</v>
      </c>
      <c r="N993" t="n">
        <v>0</v>
      </c>
      <c r="O993" t="n">
        <v>0</v>
      </c>
      <c r="P993" t="n">
        <v>0</v>
      </c>
      <c r="Q993" t="n">
        <v>0</v>
      </c>
      <c r="R993" s="2" t="inlineStr"/>
      <c r="U993">
        <f>HYPERLINK("https://klasma.github.io/Logging_2260/knärot/A 1582-2025 karta knärot.png", "A 1582-2025")</f>
        <v/>
      </c>
      <c r="V993">
        <f>HYPERLINK("https://klasma.github.io/Logging_2260/klagomål/A 1582-2025 FSC-klagomål.docx", "A 1582-2025")</f>
        <v/>
      </c>
      <c r="W993">
        <f>HYPERLINK("https://klasma.github.io/Logging_2260/klagomålsmail/A 1582-2025 FSC-klagomål mail.docx", "A 1582-2025")</f>
        <v/>
      </c>
      <c r="X993">
        <f>HYPERLINK("https://klasma.github.io/Logging_2260/tillsyn/A 1582-2025 tillsynsbegäran.docx", "A 1582-2025")</f>
        <v/>
      </c>
      <c r="Y993">
        <f>HYPERLINK("https://klasma.github.io/Logging_2260/tillsynsmail/A 1582-2025 tillsynsbegäran mail.docx", "A 1582-2025")</f>
        <v/>
      </c>
    </row>
    <row r="994" ht="15" customHeight="1">
      <c r="A994" t="inlineStr">
        <is>
          <t>A 25377-2024</t>
        </is>
      </c>
      <c r="B994" s="1" t="n">
        <v>45462.96211805556</v>
      </c>
      <c r="C994" s="1" t="n">
        <v>45986</v>
      </c>
      <c r="D994" t="inlineStr">
        <is>
          <t>VÄSTERNORRLANDS LÄN</t>
        </is>
      </c>
      <c r="E994" t="inlineStr">
        <is>
          <t>ÅNGE</t>
        </is>
      </c>
      <c r="F994" t="inlineStr">
        <is>
          <t>SCA</t>
        </is>
      </c>
      <c r="G994" t="n">
        <v>20.7</v>
      </c>
      <c r="H994" t="n">
        <v>0</v>
      </c>
      <c r="I994" t="n">
        <v>0</v>
      </c>
      <c r="J994" t="n">
        <v>0</v>
      </c>
      <c r="K994" t="n">
        <v>0</v>
      </c>
      <c r="L994" t="n">
        <v>0</v>
      </c>
      <c r="M994" t="n">
        <v>0</v>
      </c>
      <c r="N994" t="n">
        <v>0</v>
      </c>
      <c r="O994" t="n">
        <v>0</v>
      </c>
      <c r="P994" t="n">
        <v>0</v>
      </c>
      <c r="Q994" t="n">
        <v>0</v>
      </c>
      <c r="R994" s="2" t="inlineStr"/>
    </row>
    <row r="995" ht="15" customHeight="1">
      <c r="A995" t="inlineStr">
        <is>
          <t>A 36456-2025</t>
        </is>
      </c>
      <c r="B995" s="1" t="n">
        <v>45869.44827546296</v>
      </c>
      <c r="C995" s="1" t="n">
        <v>45986</v>
      </c>
      <c r="D995" t="inlineStr">
        <is>
          <t>VÄSTERNORRLANDS LÄN</t>
        </is>
      </c>
      <c r="E995" t="inlineStr">
        <is>
          <t>ÅNGE</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36873-2025</t>
        </is>
      </c>
      <c r="B996" s="1" t="n">
        <v>45874.42935185185</v>
      </c>
      <c r="C996" s="1" t="n">
        <v>45986</v>
      </c>
      <c r="D996" t="inlineStr">
        <is>
          <t>VÄSTERNORRLANDS LÄN</t>
        </is>
      </c>
      <c r="E996" t="inlineStr">
        <is>
          <t>ÅNGE</t>
        </is>
      </c>
      <c r="F996" t="inlineStr">
        <is>
          <t>SCA</t>
        </is>
      </c>
      <c r="G996" t="n">
        <v>16.9</v>
      </c>
      <c r="H996" t="n">
        <v>0</v>
      </c>
      <c r="I996" t="n">
        <v>0</v>
      </c>
      <c r="J996" t="n">
        <v>0</v>
      </c>
      <c r="K996" t="n">
        <v>0</v>
      </c>
      <c r="L996" t="n">
        <v>0</v>
      </c>
      <c r="M996" t="n">
        <v>0</v>
      </c>
      <c r="N996" t="n">
        <v>0</v>
      </c>
      <c r="O996" t="n">
        <v>0</v>
      </c>
      <c r="P996" t="n">
        <v>0</v>
      </c>
      <c r="Q996" t="n">
        <v>0</v>
      </c>
      <c r="R996" s="2" t="inlineStr"/>
    </row>
    <row r="997" ht="15" customHeight="1">
      <c r="A997" t="inlineStr">
        <is>
          <t>A 37045-2025</t>
        </is>
      </c>
      <c r="B997" s="1" t="n">
        <v>45875.34451388889</v>
      </c>
      <c r="C997" s="1" t="n">
        <v>45986</v>
      </c>
      <c r="D997" t="inlineStr">
        <is>
          <t>VÄSTERNORRLANDS LÄN</t>
        </is>
      </c>
      <c r="E997" t="inlineStr">
        <is>
          <t>ÅNGE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37047-2025</t>
        </is>
      </c>
      <c r="B998" s="1" t="n">
        <v>45875.34489583333</v>
      </c>
      <c r="C998" s="1" t="n">
        <v>45986</v>
      </c>
      <c r="D998" t="inlineStr">
        <is>
          <t>VÄSTERNORRLANDS LÄN</t>
        </is>
      </c>
      <c r="E998" t="inlineStr">
        <is>
          <t>ÅNGE</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37108-2025</t>
        </is>
      </c>
      <c r="B999" s="1" t="n">
        <v>45875</v>
      </c>
      <c r="C999" s="1" t="n">
        <v>45986</v>
      </c>
      <c r="D999" t="inlineStr">
        <is>
          <t>VÄSTERNORRLANDS LÄN</t>
        </is>
      </c>
      <c r="E999" t="inlineStr">
        <is>
          <t>ÅNGE</t>
        </is>
      </c>
      <c r="G999" t="n">
        <v>4</v>
      </c>
      <c r="H999" t="n">
        <v>0</v>
      </c>
      <c r="I999" t="n">
        <v>0</v>
      </c>
      <c r="J999" t="n">
        <v>0</v>
      </c>
      <c r="K999" t="n">
        <v>0</v>
      </c>
      <c r="L999" t="n">
        <v>0</v>
      </c>
      <c r="M999" t="n">
        <v>0</v>
      </c>
      <c r="N999" t="n">
        <v>0</v>
      </c>
      <c r="O999" t="n">
        <v>0</v>
      </c>
      <c r="P999" t="n">
        <v>0</v>
      </c>
      <c r="Q999" t="n">
        <v>0</v>
      </c>
      <c r="R999" s="2" t="inlineStr"/>
    </row>
    <row r="1000" ht="15" customHeight="1">
      <c r="A1000" t="inlineStr">
        <is>
          <t>A 39975-2023</t>
        </is>
      </c>
      <c r="B1000" s="1" t="n">
        <v>45168.58844907407</v>
      </c>
      <c r="C1000" s="1" t="n">
        <v>45986</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36249-2025</t>
        </is>
      </c>
      <c r="B1001" s="1" t="n">
        <v>45867</v>
      </c>
      <c r="C1001" s="1" t="n">
        <v>45986</v>
      </c>
      <c r="D1001" t="inlineStr">
        <is>
          <t>VÄSTERNORRLANDS LÄN</t>
        </is>
      </c>
      <c r="E1001" t="inlineStr">
        <is>
          <t>ÅNGE</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53970-2021</t>
        </is>
      </c>
      <c r="B1002" s="1" t="n">
        <v>44469</v>
      </c>
      <c r="C1002" s="1" t="n">
        <v>45986</v>
      </c>
      <c r="D1002" t="inlineStr">
        <is>
          <t>VÄSTERNORRLANDS LÄN</t>
        </is>
      </c>
      <c r="E1002" t="inlineStr">
        <is>
          <t>ÅNGE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37177-2025</t>
        </is>
      </c>
      <c r="B1003" s="1" t="n">
        <v>45875.61539351852</v>
      </c>
      <c r="C1003" s="1" t="n">
        <v>45986</v>
      </c>
      <c r="D1003" t="inlineStr">
        <is>
          <t>VÄSTERNORRLANDS LÄN</t>
        </is>
      </c>
      <c r="E1003" t="inlineStr">
        <is>
          <t>ÅNGE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37275-2025</t>
        </is>
      </c>
      <c r="B1004" s="1" t="n">
        <v>45876.49003472222</v>
      </c>
      <c r="C1004" s="1" t="n">
        <v>45986</v>
      </c>
      <c r="D1004" t="inlineStr">
        <is>
          <t>VÄSTERNORRLANDS LÄN</t>
        </is>
      </c>
      <c r="E1004" t="inlineStr">
        <is>
          <t>ÅNGE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37303-2025</t>
        </is>
      </c>
      <c r="B1005" s="1" t="n">
        <v>45876.59445601852</v>
      </c>
      <c r="C1005" s="1" t="n">
        <v>45986</v>
      </c>
      <c r="D1005" t="inlineStr">
        <is>
          <t>VÄSTERNORRLANDS LÄN</t>
        </is>
      </c>
      <c r="E1005" t="inlineStr">
        <is>
          <t>ÅNGE</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13491-2023</t>
        </is>
      </c>
      <c r="B1006" s="1" t="n">
        <v>45005.93929398148</v>
      </c>
      <c r="C1006" s="1" t="n">
        <v>45986</v>
      </c>
      <c r="D1006" t="inlineStr">
        <is>
          <t>VÄSTERNORRLANDS LÄN</t>
        </is>
      </c>
      <c r="E1006" t="inlineStr">
        <is>
          <t>ÅNGE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33062-2022</t>
        </is>
      </c>
      <c r="B1007" s="1" t="n">
        <v>44785</v>
      </c>
      <c r="C1007" s="1" t="n">
        <v>45986</v>
      </c>
      <c r="D1007" t="inlineStr">
        <is>
          <t>VÄSTERNORRLANDS LÄN</t>
        </is>
      </c>
      <c r="E1007" t="inlineStr">
        <is>
          <t>ÅNGE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37233-2025</t>
        </is>
      </c>
      <c r="B1008" s="1" t="n">
        <v>45876.34474537037</v>
      </c>
      <c r="C1008" s="1" t="n">
        <v>45986</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30347-2024</t>
        </is>
      </c>
      <c r="B1009" s="1" t="n">
        <v>45490.95515046296</v>
      </c>
      <c r="C1009" s="1" t="n">
        <v>45986</v>
      </c>
      <c r="D1009" t="inlineStr">
        <is>
          <t>VÄSTERNORRLANDS LÄN</t>
        </is>
      </c>
      <c r="E1009" t="inlineStr">
        <is>
          <t>ÅNGE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37384-2025</t>
        </is>
      </c>
      <c r="B1010" s="1" t="n">
        <v>45877.3859837963</v>
      </c>
      <c r="C1010" s="1" t="n">
        <v>45986</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45128-2022</t>
        </is>
      </c>
      <c r="B1011" s="1" t="n">
        <v>44844.3146412037</v>
      </c>
      <c r="C1011" s="1" t="n">
        <v>45986</v>
      </c>
      <c r="D1011" t="inlineStr">
        <is>
          <t>VÄSTERNORRLANDS LÄN</t>
        </is>
      </c>
      <c r="E1011" t="inlineStr">
        <is>
          <t>ÅNGE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42040-2024</t>
        </is>
      </c>
      <c r="B1012" s="1" t="n">
        <v>45561.80983796297</v>
      </c>
      <c r="C1012" s="1" t="n">
        <v>45986</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37371-2025</t>
        </is>
      </c>
      <c r="B1013" s="1" t="n">
        <v>45877.34472222222</v>
      </c>
      <c r="C1013" s="1" t="n">
        <v>45986</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37383-2025</t>
        </is>
      </c>
      <c r="B1014" s="1" t="n">
        <v>45877.38581018519</v>
      </c>
      <c r="C1014" s="1" t="n">
        <v>45986</v>
      </c>
      <c r="D1014" t="inlineStr">
        <is>
          <t>VÄSTERNORRLANDS LÄN</t>
        </is>
      </c>
      <c r="E1014" t="inlineStr">
        <is>
          <t>ÅNGE</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37719-2025</t>
        </is>
      </c>
      <c r="B1015" s="1" t="n">
        <v>45880.61505787037</v>
      </c>
      <c r="C1015" s="1" t="n">
        <v>45986</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37663-2025</t>
        </is>
      </c>
      <c r="B1016" s="1" t="n">
        <v>45880.51079861111</v>
      </c>
      <c r="C1016" s="1" t="n">
        <v>45986</v>
      </c>
      <c r="D1016" t="inlineStr">
        <is>
          <t>VÄSTERNORRLANDS LÄN</t>
        </is>
      </c>
      <c r="E1016" t="inlineStr">
        <is>
          <t>ÅNGE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5433-2024</t>
        </is>
      </c>
      <c r="B1017" s="1" t="n">
        <v>45331</v>
      </c>
      <c r="C1017" s="1" t="n">
        <v>45986</v>
      </c>
      <c r="D1017" t="inlineStr">
        <is>
          <t>VÄSTERNORRLANDS LÄN</t>
        </is>
      </c>
      <c r="E1017" t="inlineStr">
        <is>
          <t>ÅNGE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5456-2024</t>
        </is>
      </c>
      <c r="B1018" s="1" t="n">
        <v>45331</v>
      </c>
      <c r="C1018" s="1" t="n">
        <v>45986</v>
      </c>
      <c r="D1018" t="inlineStr">
        <is>
          <t>VÄSTERNORRLANDS LÄN</t>
        </is>
      </c>
      <c r="E1018" t="inlineStr">
        <is>
          <t>ÅNGE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3357-2024</t>
        </is>
      </c>
      <c r="B1019" s="1" t="n">
        <v>45317</v>
      </c>
      <c r="C1019" s="1" t="n">
        <v>45986</v>
      </c>
      <c r="D1019" t="inlineStr">
        <is>
          <t>VÄSTERNORRLANDS LÄN</t>
        </is>
      </c>
      <c r="E1019" t="inlineStr">
        <is>
          <t>ÅNGE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37723-2025</t>
        </is>
      </c>
      <c r="B1020" s="1" t="n">
        <v>45880.61528935185</v>
      </c>
      <c r="C1020" s="1" t="n">
        <v>45986</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34726-2024</t>
        </is>
      </c>
      <c r="B1021" s="1" t="n">
        <v>45526.5733912037</v>
      </c>
      <c r="C1021" s="1" t="n">
        <v>45986</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4095-2023</t>
        </is>
      </c>
      <c r="B1022" s="1" t="n">
        <v>44952</v>
      </c>
      <c r="C1022" s="1" t="n">
        <v>45986</v>
      </c>
      <c r="D1022" t="inlineStr">
        <is>
          <t>VÄSTERNORRLANDS LÄN</t>
        </is>
      </c>
      <c r="E1022" t="inlineStr">
        <is>
          <t>ÅNGE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22752-2023</t>
        </is>
      </c>
      <c r="B1023" s="1" t="n">
        <v>45071.94104166667</v>
      </c>
      <c r="C1023" s="1" t="n">
        <v>45986</v>
      </c>
      <c r="D1023" t="inlineStr">
        <is>
          <t>VÄSTERNORRLANDS LÄN</t>
        </is>
      </c>
      <c r="E1023" t="inlineStr">
        <is>
          <t>ÅNGE</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11032-2025</t>
        </is>
      </c>
      <c r="B1024" s="1" t="n">
        <v>45723.47601851852</v>
      </c>
      <c r="C1024" s="1" t="n">
        <v>45986</v>
      </c>
      <c r="D1024" t="inlineStr">
        <is>
          <t>VÄSTERNORRLANDS LÄN</t>
        </is>
      </c>
      <c r="E1024" t="inlineStr">
        <is>
          <t>ÅNGE</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20110-2023</t>
        </is>
      </c>
      <c r="B1025" s="1" t="n">
        <v>45051</v>
      </c>
      <c r="C1025" s="1" t="n">
        <v>45986</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38078-2025</t>
        </is>
      </c>
      <c r="B1026" s="1" t="n">
        <v>45882.46918981482</v>
      </c>
      <c r="C1026" s="1" t="n">
        <v>45986</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60779-2024</t>
        </is>
      </c>
      <c r="B1027" s="1" t="n">
        <v>45644</v>
      </c>
      <c r="C1027" s="1" t="n">
        <v>45986</v>
      </c>
      <c r="D1027" t="inlineStr">
        <is>
          <t>VÄSTERNORRLANDS LÄN</t>
        </is>
      </c>
      <c r="E1027" t="inlineStr">
        <is>
          <t>ÅNGE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50651-2021</t>
        </is>
      </c>
      <c r="B1028" s="1" t="n">
        <v>44459</v>
      </c>
      <c r="C1028" s="1" t="n">
        <v>45986</v>
      </c>
      <c r="D1028" t="inlineStr">
        <is>
          <t>VÄSTERNORRLANDS LÄN</t>
        </is>
      </c>
      <c r="E1028" t="inlineStr">
        <is>
          <t>ÅNGE</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38332-2025</t>
        </is>
      </c>
      <c r="B1029" s="1" t="n">
        <v>45883.49151620371</v>
      </c>
      <c r="C1029" s="1" t="n">
        <v>45986</v>
      </c>
      <c r="D1029" t="inlineStr">
        <is>
          <t>VÄSTERNORRLANDS LÄN</t>
        </is>
      </c>
      <c r="E1029" t="inlineStr">
        <is>
          <t>ÅNGE</t>
        </is>
      </c>
      <c r="F1029" t="inlineStr">
        <is>
          <t>SCA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38386-2025</t>
        </is>
      </c>
      <c r="B1030" s="1" t="n">
        <v>45883.57430555556</v>
      </c>
      <c r="C1030" s="1" t="n">
        <v>45986</v>
      </c>
      <c r="D1030" t="inlineStr">
        <is>
          <t>VÄSTERNORRLANDS LÄN</t>
        </is>
      </c>
      <c r="E1030" t="inlineStr">
        <is>
          <t>ÅNGE</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38283-2025</t>
        </is>
      </c>
      <c r="B1031" s="1" t="n">
        <v>45883.42740740741</v>
      </c>
      <c r="C1031" s="1" t="n">
        <v>45986</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60003-2023</t>
        </is>
      </c>
      <c r="B1032" s="1" t="n">
        <v>45257</v>
      </c>
      <c r="C1032" s="1" t="n">
        <v>45986</v>
      </c>
      <c r="D1032" t="inlineStr">
        <is>
          <t>VÄSTERNORRLANDS LÄN</t>
        </is>
      </c>
      <c r="E1032" t="inlineStr">
        <is>
          <t>ÅNGE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4876-2023</t>
        </is>
      </c>
      <c r="B1033" s="1" t="n">
        <v>44957.94023148148</v>
      </c>
      <c r="C1033" s="1" t="n">
        <v>45986</v>
      </c>
      <c r="D1033" t="inlineStr">
        <is>
          <t>VÄSTERNORRLANDS LÄN</t>
        </is>
      </c>
      <c r="E1033" t="inlineStr">
        <is>
          <t>ÅNGE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55751-2024</t>
        </is>
      </c>
      <c r="B1034" s="1" t="n">
        <v>45623.34409722222</v>
      </c>
      <c r="C1034" s="1" t="n">
        <v>45986</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44896.97834490741</v>
      </c>
      <c r="C1035" s="1" t="n">
        <v>45986</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25034-2023</t>
        </is>
      </c>
      <c r="B1036" s="1" t="n">
        <v>45085</v>
      </c>
      <c r="C1036" s="1" t="n">
        <v>45986</v>
      </c>
      <c r="D1036" t="inlineStr">
        <is>
          <t>VÄSTERNORRLANDS LÄN</t>
        </is>
      </c>
      <c r="E1036" t="inlineStr">
        <is>
          <t>ÅNGE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13875-2022</t>
        </is>
      </c>
      <c r="B1037" s="1" t="n">
        <v>44649</v>
      </c>
      <c r="C1037" s="1" t="n">
        <v>45986</v>
      </c>
      <c r="D1037" t="inlineStr">
        <is>
          <t>VÄSTERNORRLANDS LÄN</t>
        </is>
      </c>
      <c r="E1037" t="inlineStr">
        <is>
          <t>ÅNGE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37919-2025</t>
        </is>
      </c>
      <c r="B1038" s="1" t="n">
        <v>45881.57478009259</v>
      </c>
      <c r="C1038" s="1" t="n">
        <v>45986</v>
      </c>
      <c r="D1038" t="inlineStr">
        <is>
          <t>VÄSTERNORRLANDS LÄN</t>
        </is>
      </c>
      <c r="E1038" t="inlineStr">
        <is>
          <t>ÅNGE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9605-2025</t>
        </is>
      </c>
      <c r="B1039" s="1" t="n">
        <v>45715.65657407408</v>
      </c>
      <c r="C1039" s="1" t="n">
        <v>45986</v>
      </c>
      <c r="D1039" t="inlineStr">
        <is>
          <t>VÄSTERNORRLANDS LÄN</t>
        </is>
      </c>
      <c r="E1039" t="inlineStr">
        <is>
          <t>ÅNGE</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37802-2025</t>
        </is>
      </c>
      <c r="B1040" s="1" t="n">
        <v>45881.34447916667</v>
      </c>
      <c r="C1040" s="1" t="n">
        <v>45986</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38273-2025</t>
        </is>
      </c>
      <c r="B1041" s="1" t="n">
        <v>45883.40740740741</v>
      </c>
      <c r="C1041" s="1" t="n">
        <v>45986</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16563-2025</t>
        </is>
      </c>
      <c r="B1042" s="1" t="n">
        <v>45752.34430555555</v>
      </c>
      <c r="C1042" s="1" t="n">
        <v>45986</v>
      </c>
      <c r="D1042" t="inlineStr">
        <is>
          <t>VÄSTERNORRLANDS LÄN</t>
        </is>
      </c>
      <c r="E1042" t="inlineStr">
        <is>
          <t>ÅNGE</t>
        </is>
      </c>
      <c r="F1042" t="inlineStr">
        <is>
          <t>SCA</t>
        </is>
      </c>
      <c r="G1042" t="n">
        <v>24.7</v>
      </c>
      <c r="H1042" t="n">
        <v>0</v>
      </c>
      <c r="I1042" t="n">
        <v>0</v>
      </c>
      <c r="J1042" t="n">
        <v>0</v>
      </c>
      <c r="K1042" t="n">
        <v>0</v>
      </c>
      <c r="L1042" t="n">
        <v>0</v>
      </c>
      <c r="M1042" t="n">
        <v>0</v>
      </c>
      <c r="N1042" t="n">
        <v>0</v>
      </c>
      <c r="O1042" t="n">
        <v>0</v>
      </c>
      <c r="P1042" t="n">
        <v>0</v>
      </c>
      <c r="Q1042" t="n">
        <v>0</v>
      </c>
      <c r="R1042" s="2" t="inlineStr"/>
    </row>
    <row r="1043" ht="15" customHeight="1">
      <c r="A1043" t="inlineStr">
        <is>
          <t>A 42881-2024</t>
        </is>
      </c>
      <c r="B1043" s="1" t="n">
        <v>45566.70916666667</v>
      </c>
      <c r="C1043" s="1" t="n">
        <v>45986</v>
      </c>
      <c r="D1043" t="inlineStr">
        <is>
          <t>VÄSTERNORRLANDS LÄN</t>
        </is>
      </c>
      <c r="E1043" t="inlineStr">
        <is>
          <t>ÅNGE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54316-2024</t>
        </is>
      </c>
      <c r="B1044" s="1" t="n">
        <v>45617.34443287037</v>
      </c>
      <c r="C1044" s="1" t="n">
        <v>45986</v>
      </c>
      <c r="D1044" t="inlineStr">
        <is>
          <t>VÄSTERNORRLANDS LÄN</t>
        </is>
      </c>
      <c r="E1044" t="inlineStr">
        <is>
          <t>ÅNGE</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17718-2025</t>
        </is>
      </c>
      <c r="B1045" s="1" t="n">
        <v>45758.44815972223</v>
      </c>
      <c r="C1045" s="1" t="n">
        <v>45986</v>
      </c>
      <c r="D1045" t="inlineStr">
        <is>
          <t>VÄSTERNORRLANDS LÄN</t>
        </is>
      </c>
      <c r="E1045" t="inlineStr">
        <is>
          <t>ÅNGE</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8650-2024</t>
        </is>
      </c>
      <c r="B1046" s="1" t="n">
        <v>45356</v>
      </c>
      <c r="C1046" s="1" t="n">
        <v>45986</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45631-2021</t>
        </is>
      </c>
      <c r="B1047" s="1" t="n">
        <v>44440.98045138889</v>
      </c>
      <c r="C1047" s="1" t="n">
        <v>45986</v>
      </c>
      <c r="D1047" t="inlineStr">
        <is>
          <t>VÄSTERNORRLANDS LÄN</t>
        </is>
      </c>
      <c r="E1047" t="inlineStr">
        <is>
          <t>ÅNGE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10878-2024</t>
        </is>
      </c>
      <c r="B1048" s="1" t="n">
        <v>45370</v>
      </c>
      <c r="C1048" s="1" t="n">
        <v>45986</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4006-2022</t>
        </is>
      </c>
      <c r="B1049" s="1" t="n">
        <v>44587.92019675926</v>
      </c>
      <c r="C1049" s="1" t="n">
        <v>45986</v>
      </c>
      <c r="D1049" t="inlineStr">
        <is>
          <t>VÄSTERNORRLANDS LÄN</t>
        </is>
      </c>
      <c r="E1049" t="inlineStr">
        <is>
          <t>ÅNGE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61781-2023</t>
        </is>
      </c>
      <c r="B1050" s="1" t="n">
        <v>45265.95708333333</v>
      </c>
      <c r="C1050" s="1" t="n">
        <v>45986</v>
      </c>
      <c r="D1050" t="inlineStr">
        <is>
          <t>VÄSTERNORRLANDS LÄN</t>
        </is>
      </c>
      <c r="E1050" t="inlineStr">
        <is>
          <t>ÅNGE</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17744-2025</t>
        </is>
      </c>
      <c r="B1051" s="1" t="n">
        <v>45758</v>
      </c>
      <c r="C1051" s="1" t="n">
        <v>45986</v>
      </c>
      <c r="D1051" t="inlineStr">
        <is>
          <t>VÄSTERNORRLANDS LÄN</t>
        </is>
      </c>
      <c r="E1051" t="inlineStr">
        <is>
          <t>ÅNGE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33783-2024</t>
        </is>
      </c>
      <c r="B1052" s="1" t="n">
        <v>45520</v>
      </c>
      <c r="C1052" s="1" t="n">
        <v>45986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63170-2023</t>
        </is>
      </c>
      <c r="B1053" s="1" t="n">
        <v>45273.57087962963</v>
      </c>
      <c r="C1053" s="1" t="n">
        <v>45986</v>
      </c>
      <c r="D1053" t="inlineStr">
        <is>
          <t>VÄSTERNORRLANDS LÄN</t>
        </is>
      </c>
      <c r="E1053" t="inlineStr">
        <is>
          <t>ÅNGE</t>
        </is>
      </c>
      <c r="F1053" t="inlineStr">
        <is>
          <t>Holmen skog AB</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47792-2022</t>
        </is>
      </c>
      <c r="B1054" s="1" t="n">
        <v>44854.95238425926</v>
      </c>
      <c r="C1054" s="1" t="n">
        <v>45986</v>
      </c>
      <c r="D1054" t="inlineStr">
        <is>
          <t>VÄSTERNORRLANDS LÄN</t>
        </is>
      </c>
      <c r="E1054" t="inlineStr">
        <is>
          <t>ÅNGE</t>
        </is>
      </c>
      <c r="F1054" t="inlineStr">
        <is>
          <t>SCA</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1975-2025</t>
        </is>
      </c>
      <c r="B1055" s="1" t="n">
        <v>45672.39332175926</v>
      </c>
      <c r="C1055" s="1" t="n">
        <v>45986</v>
      </c>
      <c r="D1055" t="inlineStr">
        <is>
          <t>VÄSTERNORRLANDS LÄN</t>
        </is>
      </c>
      <c r="E1055" t="inlineStr">
        <is>
          <t>ÅNGE</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15404-2025</t>
        </is>
      </c>
      <c r="B1056" s="1" t="n">
        <v>45747.44665509259</v>
      </c>
      <c r="C1056" s="1" t="n">
        <v>45986</v>
      </c>
      <c r="D1056" t="inlineStr">
        <is>
          <t>VÄSTERNORRLANDS LÄN</t>
        </is>
      </c>
      <c r="E1056" t="inlineStr">
        <is>
          <t>ÅNGE</t>
        </is>
      </c>
      <c r="G1056" t="n">
        <v>11.8</v>
      </c>
      <c r="H1056" t="n">
        <v>0</v>
      </c>
      <c r="I1056" t="n">
        <v>0</v>
      </c>
      <c r="J1056" t="n">
        <v>0</v>
      </c>
      <c r="K1056" t="n">
        <v>0</v>
      </c>
      <c r="L1056" t="n">
        <v>0</v>
      </c>
      <c r="M1056" t="n">
        <v>0</v>
      </c>
      <c r="N1056" t="n">
        <v>0</v>
      </c>
      <c r="O1056" t="n">
        <v>0</v>
      </c>
      <c r="P1056" t="n">
        <v>0</v>
      </c>
      <c r="Q1056" t="n">
        <v>0</v>
      </c>
      <c r="R1056" s="2" t="inlineStr"/>
    </row>
    <row r="1057" ht="15" customHeight="1">
      <c r="A1057" t="inlineStr">
        <is>
          <t>A 38099-2024</t>
        </is>
      </c>
      <c r="B1057" s="1" t="n">
        <v>45545.35920138889</v>
      </c>
      <c r="C1057" s="1" t="n">
        <v>45986</v>
      </c>
      <c r="D1057" t="inlineStr">
        <is>
          <t>VÄSTERNORRLANDS LÄN</t>
        </is>
      </c>
      <c r="E1057" t="inlineStr">
        <is>
          <t>ÅNGE</t>
        </is>
      </c>
      <c r="F1057" t="inlineStr">
        <is>
          <t>Holmen skog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1403-2025</t>
        </is>
      </c>
      <c r="B1058" s="1" t="n">
        <v>45667.70548611111</v>
      </c>
      <c r="C1058" s="1" t="n">
        <v>45986</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60365-2024</t>
        </is>
      </c>
      <c r="B1059" s="1" t="n">
        <v>45643</v>
      </c>
      <c r="C1059" s="1" t="n">
        <v>45986</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20393-2022</t>
        </is>
      </c>
      <c r="B1060" s="1" t="n">
        <v>44699</v>
      </c>
      <c r="C1060" s="1" t="n">
        <v>45986</v>
      </c>
      <c r="D1060" t="inlineStr">
        <is>
          <t>VÄSTERNORRLANDS LÄN</t>
        </is>
      </c>
      <c r="E1060" t="inlineStr">
        <is>
          <t>ÅNGE</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25320-2023</t>
        </is>
      </c>
      <c r="B1061" s="1" t="n">
        <v>45086.93929398148</v>
      </c>
      <c r="C1061" s="1" t="n">
        <v>45986</v>
      </c>
      <c r="D1061" t="inlineStr">
        <is>
          <t>VÄSTERNORRLANDS LÄN</t>
        </is>
      </c>
      <c r="E1061" t="inlineStr">
        <is>
          <t>ÅNGE</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59626-2022</t>
        </is>
      </c>
      <c r="B1062" s="1" t="n">
        <v>44907.92354166666</v>
      </c>
      <c r="C1062" s="1" t="n">
        <v>45986</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34852-2023</t>
        </is>
      </c>
      <c r="B1063" s="1" t="n">
        <v>45141</v>
      </c>
      <c r="C1063" s="1" t="n">
        <v>45986</v>
      </c>
      <c r="D1063" t="inlineStr">
        <is>
          <t>VÄSTERNORRLANDS LÄN</t>
        </is>
      </c>
      <c r="E1063" t="inlineStr">
        <is>
          <t>ÅNGE</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15032-2025</t>
        </is>
      </c>
      <c r="B1064" s="1" t="n">
        <v>45743.67748842593</v>
      </c>
      <c r="C1064" s="1" t="n">
        <v>45986</v>
      </c>
      <c r="D1064" t="inlineStr">
        <is>
          <t>VÄSTERNORRLANDS LÄN</t>
        </is>
      </c>
      <c r="E1064" t="inlineStr">
        <is>
          <t>ÅNGE</t>
        </is>
      </c>
      <c r="F1064" t="inlineStr">
        <is>
          <t>SCA</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44415-2021</t>
        </is>
      </c>
      <c r="B1065" s="1" t="n">
        <v>44435</v>
      </c>
      <c r="C1065" s="1" t="n">
        <v>45986</v>
      </c>
      <c r="D1065" t="inlineStr">
        <is>
          <t>VÄSTERNORRLANDS LÄN</t>
        </is>
      </c>
      <c r="E1065" t="inlineStr">
        <is>
          <t>ÅNGE</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40788-2024</t>
        </is>
      </c>
      <c r="B1066" s="1" t="n">
        <v>45558.50974537037</v>
      </c>
      <c r="C1066" s="1" t="n">
        <v>45986</v>
      </c>
      <c r="D1066" t="inlineStr">
        <is>
          <t>VÄSTERNORRLANDS LÄN</t>
        </is>
      </c>
      <c r="E1066" t="inlineStr">
        <is>
          <t>ÅNGE</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27306-2024</t>
        </is>
      </c>
      <c r="B1067" s="1" t="n">
        <v>45471.94454861111</v>
      </c>
      <c r="C1067" s="1" t="n">
        <v>45986</v>
      </c>
      <c r="D1067" t="inlineStr">
        <is>
          <t>VÄSTERNORRLANDS LÄN</t>
        </is>
      </c>
      <c r="E1067" t="inlineStr">
        <is>
          <t>ÅNGE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59818-2024</t>
        </is>
      </c>
      <c r="B1068" s="1" t="n">
        <v>45639.63572916666</v>
      </c>
      <c r="C1068" s="1" t="n">
        <v>45986</v>
      </c>
      <c r="D1068" t="inlineStr">
        <is>
          <t>VÄSTERNORRLANDS LÄN</t>
        </is>
      </c>
      <c r="E1068" t="inlineStr">
        <is>
          <t>ÅNGE</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16978-2024</t>
        </is>
      </c>
      <c r="B1069" s="1" t="n">
        <v>45412.02416666667</v>
      </c>
      <c r="C1069" s="1" t="n">
        <v>45986</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44895.94991898148</v>
      </c>
      <c r="C1070" s="1" t="n">
        <v>45986</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65149-2020</t>
        </is>
      </c>
      <c r="B1071" s="1" t="n">
        <v>44172</v>
      </c>
      <c r="C1071" s="1" t="n">
        <v>45986</v>
      </c>
      <c r="D1071" t="inlineStr">
        <is>
          <t>VÄSTERNORRLANDS LÄN</t>
        </is>
      </c>
      <c r="E1071" t="inlineStr">
        <is>
          <t>ÅNGE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41766-2024</t>
        </is>
      </c>
      <c r="B1072" s="1" t="n">
        <v>45561.34594907407</v>
      </c>
      <c r="C1072" s="1" t="n">
        <v>45986</v>
      </c>
      <c r="D1072" t="inlineStr">
        <is>
          <t>VÄSTERNORRLANDS LÄN</t>
        </is>
      </c>
      <c r="E1072" t="inlineStr">
        <is>
          <t>ÅNGE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39178-2024</t>
        </is>
      </c>
      <c r="B1073" s="1" t="n">
        <v>45548.65692129629</v>
      </c>
      <c r="C1073" s="1" t="n">
        <v>45986</v>
      </c>
      <c r="D1073" t="inlineStr">
        <is>
          <t>VÄSTERNORRLANDS LÄN</t>
        </is>
      </c>
      <c r="E1073" t="inlineStr">
        <is>
          <t>ÅNGE</t>
        </is>
      </c>
      <c r="F1073" t="inlineStr">
        <is>
          <t>SCA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51383-2022</t>
        </is>
      </c>
      <c r="B1074" s="1" t="n">
        <v>44866</v>
      </c>
      <c r="C1074" s="1" t="n">
        <v>45986</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51393-2022</t>
        </is>
      </c>
      <c r="B1075" s="1" t="n">
        <v>44869.43277777778</v>
      </c>
      <c r="C1075" s="1" t="n">
        <v>45986</v>
      </c>
      <c r="D1075" t="inlineStr">
        <is>
          <t>VÄSTERNORRLANDS LÄN</t>
        </is>
      </c>
      <c r="E1075" t="inlineStr">
        <is>
          <t>ÅNGE</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4236-2025</t>
        </is>
      </c>
      <c r="B1076" s="1" t="n">
        <v>45685.56534722223</v>
      </c>
      <c r="C1076" s="1" t="n">
        <v>45986</v>
      </c>
      <c r="D1076" t="inlineStr">
        <is>
          <t>VÄSTERNORRLANDS LÄN</t>
        </is>
      </c>
      <c r="E1076" t="inlineStr">
        <is>
          <t>ÅNGE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2415-2024</t>
        </is>
      </c>
      <c r="B1077" s="1" t="n">
        <v>45310</v>
      </c>
      <c r="C1077" s="1" t="n">
        <v>45986</v>
      </c>
      <c r="D1077" t="inlineStr">
        <is>
          <t>VÄSTERNORRLANDS LÄN</t>
        </is>
      </c>
      <c r="E1077" t="inlineStr">
        <is>
          <t>ÅNGE</t>
        </is>
      </c>
      <c r="F1077" t="inlineStr">
        <is>
          <t>Kyrkan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4361-2024</t>
        </is>
      </c>
      <c r="B1078" s="1" t="n">
        <v>45325.65047453704</v>
      </c>
      <c r="C1078" s="1" t="n">
        <v>45986</v>
      </c>
      <c r="D1078" t="inlineStr">
        <is>
          <t>VÄSTERNORRLANDS LÄN</t>
        </is>
      </c>
      <c r="E1078" t="inlineStr">
        <is>
          <t>ÅNGE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26490-2024</t>
        </is>
      </c>
      <c r="B1079" s="1" t="n">
        <v>45469</v>
      </c>
      <c r="C1079" s="1" t="n">
        <v>45986</v>
      </c>
      <c r="D1079" t="inlineStr">
        <is>
          <t>VÄSTERNORRLANDS LÄN</t>
        </is>
      </c>
      <c r="E1079" t="inlineStr">
        <is>
          <t>ÅNGE</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47779-2023</t>
        </is>
      </c>
      <c r="B1080" s="1" t="n">
        <v>45203.92232638889</v>
      </c>
      <c r="C1080" s="1" t="n">
        <v>45986</v>
      </c>
      <c r="D1080" t="inlineStr">
        <is>
          <t>VÄSTERNORRLANDS LÄN</t>
        </is>
      </c>
      <c r="E1080" t="inlineStr">
        <is>
          <t>ÅNGE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38246-2024</t>
        </is>
      </c>
      <c r="B1081" s="1" t="n">
        <v>45545.57327546296</v>
      </c>
      <c r="C1081" s="1" t="n">
        <v>45986</v>
      </c>
      <c r="D1081" t="inlineStr">
        <is>
          <t>VÄSTERNORRLANDS LÄN</t>
        </is>
      </c>
      <c r="E1081" t="inlineStr">
        <is>
          <t>ÅNGE</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64946-2023</t>
        </is>
      </c>
      <c r="B1082" s="1" t="n">
        <v>45282.94678240741</v>
      </c>
      <c r="C1082" s="1" t="n">
        <v>45986</v>
      </c>
      <c r="D1082" t="inlineStr">
        <is>
          <t>VÄSTERNORRLANDS LÄN</t>
        </is>
      </c>
      <c r="E1082" t="inlineStr">
        <is>
          <t>ÅNGE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61585-2022</t>
        </is>
      </c>
      <c r="B1083" s="1" t="n">
        <v>44916.63380787037</v>
      </c>
      <c r="C1083" s="1" t="n">
        <v>45986</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16365-2023</t>
        </is>
      </c>
      <c r="B1084" s="1" t="n">
        <v>45028</v>
      </c>
      <c r="C1084" s="1" t="n">
        <v>45986</v>
      </c>
      <c r="D1084" t="inlineStr">
        <is>
          <t>VÄSTERNORRLANDS LÄN</t>
        </is>
      </c>
      <c r="E1084" t="inlineStr">
        <is>
          <t>ÅNGE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69790-2021</t>
        </is>
      </c>
      <c r="B1085" s="1" t="n">
        <v>44532.605625</v>
      </c>
      <c r="C1085" s="1" t="n">
        <v>45986</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53209-2024</t>
        </is>
      </c>
      <c r="B1086" s="1" t="n">
        <v>45612.51079861111</v>
      </c>
      <c r="C1086" s="1" t="n">
        <v>45986</v>
      </c>
      <c r="D1086" t="inlineStr">
        <is>
          <t>VÄSTERNORRLANDS LÄN</t>
        </is>
      </c>
      <c r="E1086" t="inlineStr">
        <is>
          <t>ÅNGE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3574-2025</t>
        </is>
      </c>
      <c r="B1087" s="1" t="n">
        <v>45680.71916666667</v>
      </c>
      <c r="C1087" s="1" t="n">
        <v>45986</v>
      </c>
      <c r="D1087" t="inlineStr">
        <is>
          <t>VÄSTERNORRLANDS LÄN</t>
        </is>
      </c>
      <c r="E1087" t="inlineStr">
        <is>
          <t>ÅNGE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30803-2022</t>
        </is>
      </c>
      <c r="B1088" s="1" t="n">
        <v>44764</v>
      </c>
      <c r="C1088" s="1" t="n">
        <v>45986</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34750-2023</t>
        </is>
      </c>
      <c r="B1089" s="1" t="n">
        <v>45139</v>
      </c>
      <c r="C1089" s="1" t="n">
        <v>45986</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44180-2023</t>
        </is>
      </c>
      <c r="B1090" s="1" t="n">
        <v>45183</v>
      </c>
      <c r="C1090" s="1" t="n">
        <v>45986</v>
      </c>
      <c r="D1090" t="inlineStr">
        <is>
          <t>VÄSTERNORRLANDS LÄN</t>
        </is>
      </c>
      <c r="E1090" t="inlineStr">
        <is>
          <t>ÅNGE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14888-2022</t>
        </is>
      </c>
      <c r="B1091" s="1" t="n">
        <v>44656</v>
      </c>
      <c r="C1091" s="1" t="n">
        <v>45986</v>
      </c>
      <c r="D1091" t="inlineStr">
        <is>
          <t>VÄSTERNORRLANDS LÄN</t>
        </is>
      </c>
      <c r="E1091" t="inlineStr">
        <is>
          <t>ÅNGE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22990-2024</t>
        </is>
      </c>
      <c r="B1092" s="1" t="n">
        <v>45449.94548611111</v>
      </c>
      <c r="C1092" s="1" t="n">
        <v>45986</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27260-2023</t>
        </is>
      </c>
      <c r="B1093" s="1" t="n">
        <v>45092</v>
      </c>
      <c r="C1093" s="1" t="n">
        <v>45986</v>
      </c>
      <c r="D1093" t="inlineStr">
        <is>
          <t>VÄSTERNORRLANDS LÄN</t>
        </is>
      </c>
      <c r="E1093" t="inlineStr">
        <is>
          <t>ÅNGE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58637-2023</t>
        </is>
      </c>
      <c r="B1094" s="1" t="n">
        <v>45251</v>
      </c>
      <c r="C1094" s="1" t="n">
        <v>45986</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30753-2024</t>
        </is>
      </c>
      <c r="B1095" s="1" t="n">
        <v>45496</v>
      </c>
      <c r="C1095" s="1" t="n">
        <v>45986</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30754-2024</t>
        </is>
      </c>
      <c r="B1096" s="1" t="n">
        <v>45496</v>
      </c>
      <c r="C1096" s="1" t="n">
        <v>45986</v>
      </c>
      <c r="D1096" t="inlineStr">
        <is>
          <t>VÄSTERNORRLANDS LÄN</t>
        </is>
      </c>
      <c r="E1096" t="inlineStr">
        <is>
          <t>ÅNGE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57271-2024</t>
        </is>
      </c>
      <c r="B1097" s="1" t="n">
        <v>45629.57364583333</v>
      </c>
      <c r="C1097" s="1" t="n">
        <v>45986</v>
      </c>
      <c r="D1097" t="inlineStr">
        <is>
          <t>VÄSTERNORRLANDS LÄN</t>
        </is>
      </c>
      <c r="E1097" t="inlineStr">
        <is>
          <t>ÅNGE</t>
        </is>
      </c>
      <c r="F1097" t="inlineStr">
        <is>
          <t>SCA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9480-2022</t>
        </is>
      </c>
      <c r="B1098" s="1" t="n">
        <v>44616</v>
      </c>
      <c r="C1098" s="1" t="n">
        <v>45986</v>
      </c>
      <c r="D1098" t="inlineStr">
        <is>
          <t>VÄSTERNORRLANDS LÄN</t>
        </is>
      </c>
      <c r="E1098" t="inlineStr">
        <is>
          <t>ÅNGE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37503-2023</t>
        </is>
      </c>
      <c r="B1099" s="1" t="n">
        <v>45157.5796875</v>
      </c>
      <c r="C1099" s="1" t="n">
        <v>45986</v>
      </c>
      <c r="D1099" t="inlineStr">
        <is>
          <t>VÄSTERNORRLANDS LÄN</t>
        </is>
      </c>
      <c r="E1099" t="inlineStr">
        <is>
          <t>ÅNGE</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51124-2024</t>
        </is>
      </c>
      <c r="B1100" s="1" t="n">
        <v>45603.50716435185</v>
      </c>
      <c r="C1100" s="1" t="n">
        <v>45986</v>
      </c>
      <c r="D1100" t="inlineStr">
        <is>
          <t>VÄSTERNORRLANDS LÄN</t>
        </is>
      </c>
      <c r="E1100" t="inlineStr">
        <is>
          <t>ÅNGE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51377-2024</t>
        </is>
      </c>
      <c r="B1101" s="1" t="n">
        <v>45604.38142361111</v>
      </c>
      <c r="C1101" s="1" t="n">
        <v>45986</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44876-2024</t>
        </is>
      </c>
      <c r="B1102" s="1" t="n">
        <v>45575.34474537037</v>
      </c>
      <c r="C1102" s="1" t="n">
        <v>45986</v>
      </c>
      <c r="D1102" t="inlineStr">
        <is>
          <t>VÄSTERNORRLANDS LÄN</t>
        </is>
      </c>
      <c r="E1102" t="inlineStr">
        <is>
          <t>ÅNGE</t>
        </is>
      </c>
      <c r="F1102" t="inlineStr">
        <is>
          <t>SCA</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20229-2022</t>
        </is>
      </c>
      <c r="B1103" s="1" t="n">
        <v>44698.61150462963</v>
      </c>
      <c r="C1103" s="1" t="n">
        <v>45986</v>
      </c>
      <c r="D1103" t="inlineStr">
        <is>
          <t>VÄSTERNORRLANDS LÄN</t>
        </is>
      </c>
      <c r="E1103" t="inlineStr">
        <is>
          <t>ÅNGE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14097-2022</t>
        </is>
      </c>
      <c r="B1104" s="1" t="n">
        <v>44651</v>
      </c>
      <c r="C1104" s="1" t="n">
        <v>45986</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32901-2023</t>
        </is>
      </c>
      <c r="B1105" s="1" t="n">
        <v>45124.95063657407</v>
      </c>
      <c r="C1105" s="1" t="n">
        <v>45986</v>
      </c>
      <c r="D1105" t="inlineStr">
        <is>
          <t>VÄSTERNORRLANDS LÄN</t>
        </is>
      </c>
      <c r="E1105" t="inlineStr">
        <is>
          <t>ÅNGE</t>
        </is>
      </c>
      <c r="F1105" t="inlineStr">
        <is>
          <t>SCA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15603-2024</t>
        </is>
      </c>
      <c r="B1106" s="1" t="n">
        <v>45401.92501157407</v>
      </c>
      <c r="C1106" s="1" t="n">
        <v>45986</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11310-2023</t>
        </is>
      </c>
      <c r="B1107" s="1" t="n">
        <v>44993.01190972222</v>
      </c>
      <c r="C1107" s="1" t="n">
        <v>45986</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21409-2022</t>
        </is>
      </c>
      <c r="B1108" s="1" t="n">
        <v>44705.9406712963</v>
      </c>
      <c r="C1108" s="1" t="n">
        <v>45986</v>
      </c>
      <c r="D1108" t="inlineStr">
        <is>
          <t>VÄSTERNORRLANDS LÄN</t>
        </is>
      </c>
      <c r="E1108" t="inlineStr">
        <is>
          <t>ÅNGE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48632-2023</t>
        </is>
      </c>
      <c r="B1109" s="1" t="n">
        <v>45208.57944444445</v>
      </c>
      <c r="C1109" s="1" t="n">
        <v>45986</v>
      </c>
      <c r="D1109" t="inlineStr">
        <is>
          <t>VÄSTERNORRLANDS LÄN</t>
        </is>
      </c>
      <c r="E1109" t="inlineStr">
        <is>
          <t>ÅNGE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20761-2024</t>
        </is>
      </c>
      <c r="B1110" s="1" t="n">
        <v>45436</v>
      </c>
      <c r="C1110" s="1" t="n">
        <v>45986</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6619-2025</t>
        </is>
      </c>
      <c r="B1111" s="1" t="n">
        <v>45700.36541666667</v>
      </c>
      <c r="C1111" s="1" t="n">
        <v>45986</v>
      </c>
      <c r="D1111" t="inlineStr">
        <is>
          <t>VÄSTERNORRLANDS LÄN</t>
        </is>
      </c>
      <c r="E1111" t="inlineStr">
        <is>
          <t>ÅNGE</t>
        </is>
      </c>
      <c r="F1111" t="inlineStr">
        <is>
          <t>SCA</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10339-2025</t>
        </is>
      </c>
      <c r="B1112" s="1" t="n">
        <v>45720</v>
      </c>
      <c r="C1112" s="1" t="n">
        <v>45986</v>
      </c>
      <c r="D1112" t="inlineStr">
        <is>
          <t>VÄSTERNORRLANDS LÄN</t>
        </is>
      </c>
      <c r="E1112" t="inlineStr">
        <is>
          <t>ÅNGE</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12581-2024</t>
        </is>
      </c>
      <c r="B1113" s="1" t="n">
        <v>45379</v>
      </c>
      <c r="C1113" s="1" t="n">
        <v>45986</v>
      </c>
      <c r="D1113" t="inlineStr">
        <is>
          <t>VÄSTERNORRLANDS LÄN</t>
        </is>
      </c>
      <c r="E1113" t="inlineStr">
        <is>
          <t>ÅNGE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55558-2024</t>
        </is>
      </c>
      <c r="B1114" s="1" t="n">
        <v>45622.52586805556</v>
      </c>
      <c r="C1114" s="1" t="n">
        <v>45986</v>
      </c>
      <c r="D1114" t="inlineStr">
        <is>
          <t>VÄSTERNORRLANDS LÄN</t>
        </is>
      </c>
      <c r="E1114" t="inlineStr">
        <is>
          <t>ÅNGE</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52665-2024</t>
        </is>
      </c>
      <c r="B1115" s="1" t="n">
        <v>45610.36549768518</v>
      </c>
      <c r="C1115" s="1" t="n">
        <v>45986</v>
      </c>
      <c r="D1115" t="inlineStr">
        <is>
          <t>VÄSTERNORRLANDS LÄN</t>
        </is>
      </c>
      <c r="E1115" t="inlineStr">
        <is>
          <t>ÅNGE</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20338-2025</t>
        </is>
      </c>
      <c r="B1116" s="1" t="n">
        <v>45775</v>
      </c>
      <c r="C1116" s="1" t="n">
        <v>45986</v>
      </c>
      <c r="D1116" t="inlineStr">
        <is>
          <t>VÄSTERNORRLANDS LÄN</t>
        </is>
      </c>
      <c r="E1116" t="inlineStr">
        <is>
          <t>ÅNGE</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14751-2025</t>
        </is>
      </c>
      <c r="B1117" s="1" t="n">
        <v>45742.65863425926</v>
      </c>
      <c r="C1117" s="1" t="n">
        <v>45986</v>
      </c>
      <c r="D1117" t="inlineStr">
        <is>
          <t>VÄSTERNORRLANDS LÄN</t>
        </is>
      </c>
      <c r="E1117" t="inlineStr">
        <is>
          <t>ÅNGE</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54342-2023</t>
        </is>
      </c>
      <c r="B1118" s="1" t="n">
        <v>45232</v>
      </c>
      <c r="C1118" s="1" t="n">
        <v>45986</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34091-2022</t>
        </is>
      </c>
      <c r="B1119" s="1" t="n">
        <v>44791</v>
      </c>
      <c r="C1119" s="1" t="n">
        <v>45986</v>
      </c>
      <c r="D1119" t="inlineStr">
        <is>
          <t>VÄSTERNORRLANDS LÄN</t>
        </is>
      </c>
      <c r="E1119" t="inlineStr">
        <is>
          <t>ÅNGE</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19066-2024</t>
        </is>
      </c>
      <c r="B1120" s="1" t="n">
        <v>45427</v>
      </c>
      <c r="C1120" s="1" t="n">
        <v>45986</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14976-2025</t>
        </is>
      </c>
      <c r="B1121" s="1" t="n">
        <v>45743</v>
      </c>
      <c r="C1121" s="1" t="n">
        <v>45986</v>
      </c>
      <c r="D1121" t="inlineStr">
        <is>
          <t>VÄSTERNORRLANDS LÄN</t>
        </is>
      </c>
      <c r="E1121" t="inlineStr">
        <is>
          <t>ÅNGE</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8070-2022</t>
        </is>
      </c>
      <c r="B1122" s="1" t="n">
        <v>44609.48665509259</v>
      </c>
      <c r="C1122" s="1" t="n">
        <v>45986</v>
      </c>
      <c r="D1122" t="inlineStr">
        <is>
          <t>VÄSTERNORRLANDS LÄN</t>
        </is>
      </c>
      <c r="E1122" t="inlineStr">
        <is>
          <t>ÅNGE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52805-2024</t>
        </is>
      </c>
      <c r="B1123" s="1" t="n">
        <v>45610.57344907407</v>
      </c>
      <c r="C1123" s="1" t="n">
        <v>45986</v>
      </c>
      <c r="D1123" t="inlineStr">
        <is>
          <t>VÄSTERNORRLANDS LÄN</t>
        </is>
      </c>
      <c r="E1123" t="inlineStr">
        <is>
          <t>ÅNGE</t>
        </is>
      </c>
      <c r="F1123" t="inlineStr">
        <is>
          <t>SCA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4651-2022</t>
        </is>
      </c>
      <c r="B1124" s="1" t="n">
        <v>44592</v>
      </c>
      <c r="C1124" s="1" t="n">
        <v>45986</v>
      </c>
      <c r="D1124" t="inlineStr">
        <is>
          <t>VÄSTERNORRLANDS LÄN</t>
        </is>
      </c>
      <c r="E1124" t="inlineStr">
        <is>
          <t>ÅNGE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19342-2024</t>
        </is>
      </c>
      <c r="B1125" s="1" t="n">
        <v>45428</v>
      </c>
      <c r="C1125" s="1" t="n">
        <v>45986</v>
      </c>
      <c r="D1125" t="inlineStr">
        <is>
          <t>VÄSTERNORRLANDS LÄN</t>
        </is>
      </c>
      <c r="E1125" t="inlineStr">
        <is>
          <t>ÅNGE</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24977-2021</t>
        </is>
      </c>
      <c r="B1126" s="1" t="n">
        <v>44341.51386574074</v>
      </c>
      <c r="C1126" s="1" t="n">
        <v>45986</v>
      </c>
      <c r="D1126" t="inlineStr">
        <is>
          <t>VÄSTERNORRLANDS LÄN</t>
        </is>
      </c>
      <c r="E1126" t="inlineStr">
        <is>
          <t>ÅNGE</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5246-2025</t>
        </is>
      </c>
      <c r="B1127" s="1" t="n">
        <v>45692.34427083333</v>
      </c>
      <c r="C1127" s="1" t="n">
        <v>45986</v>
      </c>
      <c r="D1127" t="inlineStr">
        <is>
          <t>VÄSTERNORRLANDS LÄN</t>
        </is>
      </c>
      <c r="E1127" t="inlineStr">
        <is>
          <t>ÅNGE</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16973-2025</t>
        </is>
      </c>
      <c r="B1128" s="1" t="n">
        <v>45755.46967592592</v>
      </c>
      <c r="C1128" s="1" t="n">
        <v>45986</v>
      </c>
      <c r="D1128" t="inlineStr">
        <is>
          <t>VÄSTERNORRLANDS LÄN</t>
        </is>
      </c>
      <c r="E1128" t="inlineStr">
        <is>
          <t>ÅNGE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34679-2024</t>
        </is>
      </c>
      <c r="B1129" s="1" t="n">
        <v>45526</v>
      </c>
      <c r="C1129" s="1" t="n">
        <v>45986</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43096-2023</t>
        </is>
      </c>
      <c r="B1130" s="1" t="n">
        <v>45182</v>
      </c>
      <c r="C1130" s="1" t="n">
        <v>45986</v>
      </c>
      <c r="D1130" t="inlineStr">
        <is>
          <t>VÄSTERNORRLANDS LÄN</t>
        </is>
      </c>
      <c r="E1130" t="inlineStr">
        <is>
          <t>ÅNGE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60296-2021</t>
        </is>
      </c>
      <c r="B1131" s="1" t="n">
        <v>44495</v>
      </c>
      <c r="C1131" s="1" t="n">
        <v>45986</v>
      </c>
      <c r="D1131" t="inlineStr">
        <is>
          <t>VÄSTERNORRLANDS LÄN</t>
        </is>
      </c>
      <c r="E1131" t="inlineStr">
        <is>
          <t>ÅNGE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25023-2022</t>
        </is>
      </c>
      <c r="B1132" s="1" t="n">
        <v>44728</v>
      </c>
      <c r="C1132" s="1" t="n">
        <v>45986</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31545-2024</t>
        </is>
      </c>
      <c r="B1133" s="1" t="n">
        <v>45505</v>
      </c>
      <c r="C1133" s="1" t="n">
        <v>45986</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5197-2025</t>
        </is>
      </c>
      <c r="B1134" s="1" t="n">
        <v>45691.65701388889</v>
      </c>
      <c r="C1134" s="1" t="n">
        <v>45986</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50179-2024</t>
        </is>
      </c>
      <c r="B1135" s="1" t="n">
        <v>45600</v>
      </c>
      <c r="C1135" s="1" t="n">
        <v>45986</v>
      </c>
      <c r="D1135" t="inlineStr">
        <is>
          <t>VÄSTERNORRLANDS LÄN</t>
        </is>
      </c>
      <c r="E1135" t="inlineStr">
        <is>
          <t>ÅNGE</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44565-2024</t>
        </is>
      </c>
      <c r="B1136" s="1" t="n">
        <v>45574.47518518518</v>
      </c>
      <c r="C1136" s="1" t="n">
        <v>45986</v>
      </c>
      <c r="D1136" t="inlineStr">
        <is>
          <t>VÄSTERNORRLANDS LÄN</t>
        </is>
      </c>
      <c r="E1136" t="inlineStr">
        <is>
          <t>ÅNGE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40755-2023</t>
        </is>
      </c>
      <c r="B1137" s="1" t="n">
        <v>45170</v>
      </c>
      <c r="C1137" s="1" t="n">
        <v>45986</v>
      </c>
      <c r="D1137" t="inlineStr">
        <is>
          <t>VÄSTERNORRLANDS LÄN</t>
        </is>
      </c>
      <c r="E1137" t="inlineStr">
        <is>
          <t>ÅNGE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31696-2022</t>
        </is>
      </c>
      <c r="B1138" s="1" t="n">
        <v>44776</v>
      </c>
      <c r="C1138" s="1" t="n">
        <v>45986</v>
      </c>
      <c r="D1138" t="inlineStr">
        <is>
          <t>VÄSTERNORRLANDS LÄN</t>
        </is>
      </c>
      <c r="E1138" t="inlineStr">
        <is>
          <t>ÅNGE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10084-2023</t>
        </is>
      </c>
      <c r="B1139" s="1" t="n">
        <v>44985.94465277778</v>
      </c>
      <c r="C1139" s="1" t="n">
        <v>45986</v>
      </c>
      <c r="D1139" t="inlineStr">
        <is>
          <t>VÄSTERNORRLANDS LÄN</t>
        </is>
      </c>
      <c r="E1139" t="inlineStr">
        <is>
          <t>ÅNGE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37038-2024</t>
        </is>
      </c>
      <c r="B1140" s="1" t="n">
        <v>45539.40881944444</v>
      </c>
      <c r="C1140" s="1" t="n">
        <v>45986</v>
      </c>
      <c r="D1140" t="inlineStr">
        <is>
          <t>VÄSTERNORRLANDS LÄN</t>
        </is>
      </c>
      <c r="E1140" t="inlineStr">
        <is>
          <t>ÅNGE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60860-2022</t>
        </is>
      </c>
      <c r="B1141" s="1" t="n">
        <v>44914</v>
      </c>
      <c r="C1141" s="1" t="n">
        <v>45986</v>
      </c>
      <c r="D1141" t="inlineStr">
        <is>
          <t>VÄSTERNORRLANDS LÄN</t>
        </is>
      </c>
      <c r="E1141" t="inlineStr">
        <is>
          <t>ÅNGE</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17668-2023</t>
        </is>
      </c>
      <c r="B1142" s="1" t="n">
        <v>45036</v>
      </c>
      <c r="C1142" s="1" t="n">
        <v>45986</v>
      </c>
      <c r="D1142" t="inlineStr">
        <is>
          <t>VÄSTERNORRLANDS LÄN</t>
        </is>
      </c>
      <c r="E1142" t="inlineStr">
        <is>
          <t>ÅNGE</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41284-2024</t>
        </is>
      </c>
      <c r="B1143" s="1" t="n">
        <v>45559.59520833333</v>
      </c>
      <c r="C1143" s="1" t="n">
        <v>45986</v>
      </c>
      <c r="D1143" t="inlineStr">
        <is>
          <t>VÄSTERNORRLANDS LÄN</t>
        </is>
      </c>
      <c r="E1143" t="inlineStr">
        <is>
          <t>ÅNGE</t>
        </is>
      </c>
      <c r="F1143" t="inlineStr">
        <is>
          <t>SCA</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39682-2024</t>
        </is>
      </c>
      <c r="B1144" s="1" t="n">
        <v>45552</v>
      </c>
      <c r="C1144" s="1" t="n">
        <v>45986</v>
      </c>
      <c r="D1144" t="inlineStr">
        <is>
          <t>VÄSTERNORRLANDS LÄN</t>
        </is>
      </c>
      <c r="E1144" t="inlineStr">
        <is>
          <t>ÅNGE</t>
        </is>
      </c>
      <c r="G1144" t="n">
        <v>35.4</v>
      </c>
      <c r="H1144" t="n">
        <v>0</v>
      </c>
      <c r="I1144" t="n">
        <v>0</v>
      </c>
      <c r="J1144" t="n">
        <v>0</v>
      </c>
      <c r="K1144" t="n">
        <v>0</v>
      </c>
      <c r="L1144" t="n">
        <v>0</v>
      </c>
      <c r="M1144" t="n">
        <v>0</v>
      </c>
      <c r="N1144" t="n">
        <v>0</v>
      </c>
      <c r="O1144" t="n">
        <v>0</v>
      </c>
      <c r="P1144" t="n">
        <v>0</v>
      </c>
      <c r="Q1144" t="n">
        <v>0</v>
      </c>
      <c r="R1144" s="2" t="inlineStr"/>
    </row>
    <row r="1145" ht="15" customHeight="1">
      <c r="A1145" t="inlineStr">
        <is>
          <t>A 19798-2025</t>
        </is>
      </c>
      <c r="B1145" s="1" t="n">
        <v>45771.44824074074</v>
      </c>
      <c r="C1145" s="1" t="n">
        <v>45986</v>
      </c>
      <c r="D1145" t="inlineStr">
        <is>
          <t>VÄSTERNORRLANDS LÄN</t>
        </is>
      </c>
      <c r="E1145" t="inlineStr">
        <is>
          <t>ÅNGE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2984-2025</t>
        </is>
      </c>
      <c r="B1146" s="1" t="n">
        <v>45678.51094907407</v>
      </c>
      <c r="C1146" s="1" t="n">
        <v>45986</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3133-2024</t>
        </is>
      </c>
      <c r="B1147" s="1" t="n">
        <v>45316.55885416667</v>
      </c>
      <c r="C1147" s="1" t="n">
        <v>45986</v>
      </c>
      <c r="D1147" t="inlineStr">
        <is>
          <t>VÄSTERNORRLANDS LÄN</t>
        </is>
      </c>
      <c r="E1147" t="inlineStr">
        <is>
          <t>ÅNGE</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56569-2024</t>
        </is>
      </c>
      <c r="B1148" s="1" t="n">
        <v>45625</v>
      </c>
      <c r="C1148" s="1" t="n">
        <v>45986</v>
      </c>
      <c r="D1148" t="inlineStr">
        <is>
          <t>VÄSTERNORRLANDS LÄN</t>
        </is>
      </c>
      <c r="E1148" t="inlineStr">
        <is>
          <t>ÅNGE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53663-2022</t>
        </is>
      </c>
      <c r="B1149" s="1" t="n">
        <v>44879</v>
      </c>
      <c r="C1149" s="1" t="n">
        <v>45986</v>
      </c>
      <c r="D1149" t="inlineStr">
        <is>
          <t>VÄSTERNORRLANDS LÄN</t>
        </is>
      </c>
      <c r="E1149" t="inlineStr">
        <is>
          <t>ÅNGE</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10089-2023</t>
        </is>
      </c>
      <c r="B1150" s="1" t="n">
        <v>44985</v>
      </c>
      <c r="C1150" s="1" t="n">
        <v>45986</v>
      </c>
      <c r="D1150" t="inlineStr">
        <is>
          <t>VÄSTERNORRLANDS LÄN</t>
        </is>
      </c>
      <c r="E1150" t="inlineStr">
        <is>
          <t>ÅNGE</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10090-2023</t>
        </is>
      </c>
      <c r="B1151" s="1" t="n">
        <v>44985.94511574074</v>
      </c>
      <c r="C1151" s="1" t="n">
        <v>45986</v>
      </c>
      <c r="D1151" t="inlineStr">
        <is>
          <t>VÄSTERNORRLANDS LÄN</t>
        </is>
      </c>
      <c r="E1151" t="inlineStr">
        <is>
          <t>ÅNGE</t>
        </is>
      </c>
      <c r="F1151" t="inlineStr">
        <is>
          <t>SCA</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19997-2023</t>
        </is>
      </c>
      <c r="B1152" s="1" t="n">
        <v>45054</v>
      </c>
      <c r="C1152" s="1" t="n">
        <v>45986</v>
      </c>
      <c r="D1152" t="inlineStr">
        <is>
          <t>VÄSTERNORRLANDS LÄN</t>
        </is>
      </c>
      <c r="E1152" t="inlineStr">
        <is>
          <t>ÅNGE</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38284-2022</t>
        </is>
      </c>
      <c r="B1153" s="1" t="n">
        <v>44812.55149305556</v>
      </c>
      <c r="C1153" s="1" t="n">
        <v>45986</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5393-2025</t>
        </is>
      </c>
      <c r="B1154" s="1" t="n">
        <v>45692.63574074074</v>
      </c>
      <c r="C1154" s="1" t="n">
        <v>45986</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57529-2024</t>
        </is>
      </c>
      <c r="B1155" s="1" t="n">
        <v>45630</v>
      </c>
      <c r="C1155" s="1" t="n">
        <v>45986</v>
      </c>
      <c r="D1155" t="inlineStr">
        <is>
          <t>VÄSTERNORRLANDS LÄN</t>
        </is>
      </c>
      <c r="E1155" t="inlineStr">
        <is>
          <t>ÅNGE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1769-2023</t>
        </is>
      </c>
      <c r="B1156" s="1" t="n">
        <v>44938.58025462963</v>
      </c>
      <c r="C1156" s="1" t="n">
        <v>45986</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32776-2022</t>
        </is>
      </c>
      <c r="B1157" s="1" t="n">
        <v>44783.94607638889</v>
      </c>
      <c r="C1157" s="1" t="n">
        <v>45986</v>
      </c>
      <c r="D1157" t="inlineStr">
        <is>
          <t>VÄSTERNORRLANDS LÄN</t>
        </is>
      </c>
      <c r="E1157" t="inlineStr">
        <is>
          <t>ÅNGE</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25779-2023</t>
        </is>
      </c>
      <c r="B1158" s="1" t="n">
        <v>45090.47439814815</v>
      </c>
      <c r="C1158" s="1" t="n">
        <v>45986</v>
      </c>
      <c r="D1158" t="inlineStr">
        <is>
          <t>VÄSTERNORRLANDS LÄN</t>
        </is>
      </c>
      <c r="E1158" t="inlineStr">
        <is>
          <t>ÅNGE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23225-2024</t>
        </is>
      </c>
      <c r="B1159" s="1" t="n">
        <v>45452.9490162037</v>
      </c>
      <c r="C1159" s="1" t="n">
        <v>45986</v>
      </c>
      <c r="D1159" t="inlineStr">
        <is>
          <t>VÄSTERNORRLANDS LÄN</t>
        </is>
      </c>
      <c r="E1159" t="inlineStr">
        <is>
          <t>ÅNGE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29696-2024</t>
        </is>
      </c>
      <c r="B1160" s="1" t="n">
        <v>45484.94524305555</v>
      </c>
      <c r="C1160" s="1" t="n">
        <v>45986</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6462-2024</t>
        </is>
      </c>
      <c r="B1161" s="1" t="n">
        <v>45338</v>
      </c>
      <c r="C1161" s="1" t="n">
        <v>45986</v>
      </c>
      <c r="D1161" t="inlineStr">
        <is>
          <t>VÄSTERNORRLANDS LÄN</t>
        </is>
      </c>
      <c r="E1161" t="inlineStr">
        <is>
          <t>ÅNGE</t>
        </is>
      </c>
      <c r="F1161" t="inlineStr">
        <is>
          <t>Kyrkan</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26018-2024</t>
        </is>
      </c>
      <c r="B1162" s="1" t="n">
        <v>45467.95998842592</v>
      </c>
      <c r="C1162" s="1" t="n">
        <v>45986</v>
      </c>
      <c r="D1162" t="inlineStr">
        <is>
          <t>VÄSTERNORRLANDS LÄN</t>
        </is>
      </c>
      <c r="E1162" t="inlineStr">
        <is>
          <t>ÅNGE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26021-2024</t>
        </is>
      </c>
      <c r="B1163" s="1" t="n">
        <v>45467</v>
      </c>
      <c r="C1163" s="1" t="n">
        <v>45986</v>
      </c>
      <c r="D1163" t="inlineStr">
        <is>
          <t>VÄSTERNORRLANDS LÄN</t>
        </is>
      </c>
      <c r="E1163" t="inlineStr">
        <is>
          <t>ÅNGE</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29673-2024</t>
        </is>
      </c>
      <c r="B1164" s="1" t="n">
        <v>45484.94210648148</v>
      </c>
      <c r="C1164" s="1" t="n">
        <v>45986</v>
      </c>
      <c r="D1164" t="inlineStr">
        <is>
          <t>VÄSTERNORRLANDS LÄN</t>
        </is>
      </c>
      <c r="E1164" t="inlineStr">
        <is>
          <t>ÅNGE</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48690-2024</t>
        </is>
      </c>
      <c r="B1165" s="1" t="n">
        <v>45593.50704861111</v>
      </c>
      <c r="C1165" s="1" t="n">
        <v>45986</v>
      </c>
      <c r="D1165" t="inlineStr">
        <is>
          <t>VÄSTERNORRLANDS LÄN</t>
        </is>
      </c>
      <c r="E1165" t="inlineStr">
        <is>
          <t>ÅNGE</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11399-2025</t>
        </is>
      </c>
      <c r="B1166" s="1" t="n">
        <v>45726.57364583333</v>
      </c>
      <c r="C1166" s="1" t="n">
        <v>45986</v>
      </c>
      <c r="D1166" t="inlineStr">
        <is>
          <t>VÄSTERNORRLANDS LÄN</t>
        </is>
      </c>
      <c r="E1166" t="inlineStr">
        <is>
          <t>ÅNGE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39021-2024</t>
        </is>
      </c>
      <c r="B1167" s="1" t="n">
        <v>45548</v>
      </c>
      <c r="C1167" s="1" t="n">
        <v>45986</v>
      </c>
      <c r="D1167" t="inlineStr">
        <is>
          <t>VÄSTERNORRLANDS LÄN</t>
        </is>
      </c>
      <c r="E1167" t="inlineStr">
        <is>
          <t>ÅNGE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27915-2024</t>
        </is>
      </c>
      <c r="B1168" s="1" t="n">
        <v>45475</v>
      </c>
      <c r="C1168" s="1" t="n">
        <v>45986</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2433-2024</t>
        </is>
      </c>
      <c r="B1169" s="1" t="n">
        <v>45310</v>
      </c>
      <c r="C1169" s="1" t="n">
        <v>45986</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57846-2022</t>
        </is>
      </c>
      <c r="B1170" s="1" t="n">
        <v>44897.95008101852</v>
      </c>
      <c r="C1170" s="1" t="n">
        <v>45986</v>
      </c>
      <c r="D1170" t="inlineStr">
        <is>
          <t>VÄSTERNORRLANDS LÄN</t>
        </is>
      </c>
      <c r="E1170" t="inlineStr">
        <is>
          <t>ÅNGE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46249-2024</t>
        </is>
      </c>
      <c r="B1171" s="1" t="n">
        <v>45581.59409722222</v>
      </c>
      <c r="C1171" s="1" t="n">
        <v>45986</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8868-2023</t>
        </is>
      </c>
      <c r="B1172" s="1" t="n">
        <v>44978</v>
      </c>
      <c r="C1172" s="1" t="n">
        <v>45986</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65229-2021</t>
        </is>
      </c>
      <c r="B1173" s="1" t="n">
        <v>44515</v>
      </c>
      <c r="C1173" s="1" t="n">
        <v>45986</v>
      </c>
      <c r="D1173" t="inlineStr">
        <is>
          <t>VÄSTERNORRLANDS LÄN</t>
        </is>
      </c>
      <c r="E1173" t="inlineStr">
        <is>
          <t>ÅNGE</t>
        </is>
      </c>
      <c r="G1173" t="n">
        <v>12.1</v>
      </c>
      <c r="H1173" t="n">
        <v>0</v>
      </c>
      <c r="I1173" t="n">
        <v>0</v>
      </c>
      <c r="J1173" t="n">
        <v>0</v>
      </c>
      <c r="K1173" t="n">
        <v>0</v>
      </c>
      <c r="L1173" t="n">
        <v>0</v>
      </c>
      <c r="M1173" t="n">
        <v>0</v>
      </c>
      <c r="N1173" t="n">
        <v>0</v>
      </c>
      <c r="O1173" t="n">
        <v>0</v>
      </c>
      <c r="P1173" t="n">
        <v>0</v>
      </c>
      <c r="Q1173" t="n">
        <v>0</v>
      </c>
      <c r="R1173" s="2" t="inlineStr"/>
    </row>
    <row r="1174" ht="15" customHeight="1">
      <c r="A1174" t="inlineStr">
        <is>
          <t>A 57291-2022</t>
        </is>
      </c>
      <c r="B1174" s="1" t="n">
        <v>44895</v>
      </c>
      <c r="C1174" s="1" t="n">
        <v>45986</v>
      </c>
      <c r="D1174" t="inlineStr">
        <is>
          <t>VÄSTERNORRLANDS LÄN</t>
        </is>
      </c>
      <c r="E1174" t="inlineStr">
        <is>
          <t>ÅNGE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4883-2023</t>
        </is>
      </c>
      <c r="B1175" s="1" t="n">
        <v>44957</v>
      </c>
      <c r="C1175" s="1" t="n">
        <v>45986</v>
      </c>
      <c r="D1175" t="inlineStr">
        <is>
          <t>VÄSTERNORRLANDS LÄN</t>
        </is>
      </c>
      <c r="E1175" t="inlineStr">
        <is>
          <t>ÅNGE</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64945-2023</t>
        </is>
      </c>
      <c r="B1176" s="1" t="n">
        <v>45282.94668981482</v>
      </c>
      <c r="C1176" s="1" t="n">
        <v>45986</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26951-2024</t>
        </is>
      </c>
      <c r="B1177" s="1" t="n">
        <v>45470.96991898148</v>
      </c>
      <c r="C1177" s="1" t="n">
        <v>45986</v>
      </c>
      <c r="D1177" t="inlineStr">
        <is>
          <t>VÄSTERNORRLANDS LÄN</t>
        </is>
      </c>
      <c r="E1177" t="inlineStr">
        <is>
          <t>ÅNGE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26952-2024</t>
        </is>
      </c>
      <c r="B1178" s="1" t="n">
        <v>45470</v>
      </c>
      <c r="C1178" s="1" t="n">
        <v>45986</v>
      </c>
      <c r="D1178" t="inlineStr">
        <is>
          <t>VÄSTERNORRLANDS LÄN</t>
        </is>
      </c>
      <c r="E1178" t="inlineStr">
        <is>
          <t>ÅNGE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56399-2022</t>
        </is>
      </c>
      <c r="B1179" s="1" t="n">
        <v>44890</v>
      </c>
      <c r="C1179" s="1" t="n">
        <v>45986</v>
      </c>
      <c r="D1179" t="inlineStr">
        <is>
          <t>VÄSTERNORRLANDS LÄN</t>
        </is>
      </c>
      <c r="E1179" t="inlineStr">
        <is>
          <t>ÅNGE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23058-2024</t>
        </is>
      </c>
      <c r="B1180" s="1" t="n">
        <v>45450.44020833333</v>
      </c>
      <c r="C1180" s="1" t="n">
        <v>45986</v>
      </c>
      <c r="D1180" t="inlineStr">
        <is>
          <t>VÄSTERNORRLANDS LÄN</t>
        </is>
      </c>
      <c r="E1180" t="inlineStr">
        <is>
          <t>ÅNGE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35979-2023</t>
        </is>
      </c>
      <c r="B1181" s="1" t="n">
        <v>45148</v>
      </c>
      <c r="C1181" s="1" t="n">
        <v>45986</v>
      </c>
      <c r="D1181" t="inlineStr">
        <is>
          <t>VÄSTERNORRLANDS LÄN</t>
        </is>
      </c>
      <c r="E1181" t="inlineStr">
        <is>
          <t>ÅNGE</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3986-2025</t>
        </is>
      </c>
      <c r="B1182" s="1" t="n">
        <v>45684.55262731481</v>
      </c>
      <c r="C1182" s="1" t="n">
        <v>45986</v>
      </c>
      <c r="D1182" t="inlineStr">
        <is>
          <t>VÄSTERNORRLANDS LÄN</t>
        </is>
      </c>
      <c r="E1182" t="inlineStr">
        <is>
          <t>ÅNGE</t>
        </is>
      </c>
      <c r="F1182" t="inlineStr">
        <is>
          <t>SCA</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50674-2024</t>
        </is>
      </c>
      <c r="B1183" s="1" t="n">
        <v>45601.85402777778</v>
      </c>
      <c r="C1183" s="1" t="n">
        <v>45986</v>
      </c>
      <c r="D1183" t="inlineStr">
        <is>
          <t>VÄSTERNORRLANDS LÄN</t>
        </is>
      </c>
      <c r="E1183" t="inlineStr">
        <is>
          <t>ÅNGE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3322-2025</t>
        </is>
      </c>
      <c r="B1184" s="1" t="n">
        <v>45679.6989699074</v>
      </c>
      <c r="C1184" s="1" t="n">
        <v>45986</v>
      </c>
      <c r="D1184" t="inlineStr">
        <is>
          <t>VÄSTERNORRLANDS LÄN</t>
        </is>
      </c>
      <c r="E1184" t="inlineStr">
        <is>
          <t>ÅNGE</t>
        </is>
      </c>
      <c r="F1184" t="inlineStr">
        <is>
          <t>SCA</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3327-2025</t>
        </is>
      </c>
      <c r="B1185" s="1" t="n">
        <v>45679.69967592593</v>
      </c>
      <c r="C1185" s="1" t="n">
        <v>45986</v>
      </c>
      <c r="D1185" t="inlineStr">
        <is>
          <t>VÄSTERNORRLANDS LÄN</t>
        </is>
      </c>
      <c r="E1185" t="inlineStr">
        <is>
          <t>ÅNGE</t>
        </is>
      </c>
      <c r="F1185" t="inlineStr">
        <is>
          <t>SCA</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31729-2024</t>
        </is>
      </c>
      <c r="B1186" s="1" t="n">
        <v>45509.35844907408</v>
      </c>
      <c r="C1186" s="1" t="n">
        <v>45986</v>
      </c>
      <c r="D1186" t="inlineStr">
        <is>
          <t>VÄSTERNORRLANDS LÄN</t>
        </is>
      </c>
      <c r="E1186" t="inlineStr">
        <is>
          <t>ÅNGE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4071-2025</t>
        </is>
      </c>
      <c r="B1187" s="1" t="n">
        <v>45684.63579861111</v>
      </c>
      <c r="C1187" s="1" t="n">
        <v>45986</v>
      </c>
      <c r="D1187" t="inlineStr">
        <is>
          <t>VÄSTERNORRLANDS LÄN</t>
        </is>
      </c>
      <c r="E1187" t="inlineStr">
        <is>
          <t>ÅNGE</t>
        </is>
      </c>
      <c r="F1187" t="inlineStr">
        <is>
          <t>SCA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44606-2024</t>
        </is>
      </c>
      <c r="B1188" s="1" t="n">
        <v>45574.51195601852</v>
      </c>
      <c r="C1188" s="1" t="n">
        <v>45986</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44626-2024</t>
        </is>
      </c>
      <c r="B1189" s="1" t="n">
        <v>45574.51378472222</v>
      </c>
      <c r="C1189" s="1" t="n">
        <v>45986</v>
      </c>
      <c r="D1189" t="inlineStr">
        <is>
          <t>VÄSTERNORRLANDS LÄN</t>
        </is>
      </c>
      <c r="E1189" t="inlineStr">
        <is>
          <t>ÅNGE</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18668-2023</t>
        </is>
      </c>
      <c r="B1190" s="1" t="n">
        <v>45043.57108796296</v>
      </c>
      <c r="C1190" s="1" t="n">
        <v>45986</v>
      </c>
      <c r="D1190" t="inlineStr">
        <is>
          <t>VÄSTERNORRLANDS LÄN</t>
        </is>
      </c>
      <c r="E1190" t="inlineStr">
        <is>
          <t>ÅNGE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1964-2022</t>
        </is>
      </c>
      <c r="B1191" s="1" t="n">
        <v>44575.5050462963</v>
      </c>
      <c r="C1191" s="1" t="n">
        <v>45986</v>
      </c>
      <c r="D1191" t="inlineStr">
        <is>
          <t>VÄSTERNORRLANDS LÄN</t>
        </is>
      </c>
      <c r="E1191" t="inlineStr">
        <is>
          <t>ÅNGE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18880-2024</t>
        </is>
      </c>
      <c r="B1192" s="1" t="n">
        <v>45426</v>
      </c>
      <c r="C1192" s="1" t="n">
        <v>45986</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48787-2024</t>
        </is>
      </c>
      <c r="B1193" s="1" t="n">
        <v>45593.63888888889</v>
      </c>
      <c r="C1193" s="1" t="n">
        <v>45986</v>
      </c>
      <c r="D1193" t="inlineStr">
        <is>
          <t>VÄSTERNORRLANDS LÄN</t>
        </is>
      </c>
      <c r="E1193" t="inlineStr">
        <is>
          <t>ÅNGE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1886-2024</t>
        </is>
      </c>
      <c r="B1194" s="1" t="n">
        <v>45307.96335648148</v>
      </c>
      <c r="C1194" s="1" t="n">
        <v>45986</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41370-2023</t>
        </is>
      </c>
      <c r="B1195" s="1" t="n">
        <v>45174.85951388889</v>
      </c>
      <c r="C1195" s="1" t="n">
        <v>45986</v>
      </c>
      <c r="D1195" t="inlineStr">
        <is>
          <t>VÄSTERNORRLANDS LÄN</t>
        </is>
      </c>
      <c r="E1195" t="inlineStr">
        <is>
          <t>ÅNGE</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30235-2024</t>
        </is>
      </c>
      <c r="B1196" s="1" t="n">
        <v>45490.49040509259</v>
      </c>
      <c r="C1196" s="1" t="n">
        <v>45986</v>
      </c>
      <c r="D1196" t="inlineStr">
        <is>
          <t>VÄSTERNORRLANDS LÄN</t>
        </is>
      </c>
      <c r="E1196" t="inlineStr">
        <is>
          <t>ÅNGE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60817-2024</t>
        </is>
      </c>
      <c r="B1197" s="1" t="n">
        <v>45644</v>
      </c>
      <c r="C1197" s="1" t="n">
        <v>45986</v>
      </c>
      <c r="D1197" t="inlineStr">
        <is>
          <t>VÄSTERNORRLANDS LÄN</t>
        </is>
      </c>
      <c r="E1197" t="inlineStr">
        <is>
          <t>ÅNGE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18456-2024</t>
        </is>
      </c>
      <c r="B1198" s="1" t="n">
        <v>45425.46831018518</v>
      </c>
      <c r="C1198" s="1" t="n">
        <v>45986</v>
      </c>
      <c r="D1198" t="inlineStr">
        <is>
          <t>VÄSTERNORRLANDS LÄN</t>
        </is>
      </c>
      <c r="E1198" t="inlineStr">
        <is>
          <t>ÅNGE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25047-2023</t>
        </is>
      </c>
      <c r="B1199" s="1" t="n">
        <v>45085.94569444445</v>
      </c>
      <c r="C1199" s="1" t="n">
        <v>45986</v>
      </c>
      <c r="D1199" t="inlineStr">
        <is>
          <t>VÄSTERNORRLANDS LÄN</t>
        </is>
      </c>
      <c r="E1199" t="inlineStr">
        <is>
          <t>ÅNGE</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57815-2024</t>
        </is>
      </c>
      <c r="B1200" s="1" t="n">
        <v>45631.37068287037</v>
      </c>
      <c r="C1200" s="1" t="n">
        <v>45986</v>
      </c>
      <c r="D1200" t="inlineStr">
        <is>
          <t>VÄSTERNORRLANDS LÄN</t>
        </is>
      </c>
      <c r="E1200" t="inlineStr">
        <is>
          <t>ÅNGE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42044-2024</t>
        </is>
      </c>
      <c r="B1201" s="1" t="n">
        <v>45561</v>
      </c>
      <c r="C1201" s="1" t="n">
        <v>45986</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42090-2024</t>
        </is>
      </c>
      <c r="B1202" s="1" t="n">
        <v>45562</v>
      </c>
      <c r="C1202" s="1" t="n">
        <v>45986</v>
      </c>
      <c r="D1202" t="inlineStr">
        <is>
          <t>VÄSTERNORRLANDS LÄN</t>
        </is>
      </c>
      <c r="E1202" t="inlineStr">
        <is>
          <t>ÅNGE</t>
        </is>
      </c>
      <c r="F1202" t="inlineStr">
        <is>
          <t>SCA</t>
        </is>
      </c>
      <c r="G1202" t="n">
        <v>20.2</v>
      </c>
      <c r="H1202" t="n">
        <v>0</v>
      </c>
      <c r="I1202" t="n">
        <v>0</v>
      </c>
      <c r="J1202" t="n">
        <v>0</v>
      </c>
      <c r="K1202" t="n">
        <v>0</v>
      </c>
      <c r="L1202" t="n">
        <v>0</v>
      </c>
      <c r="M1202" t="n">
        <v>0</v>
      </c>
      <c r="N1202" t="n">
        <v>0</v>
      </c>
      <c r="O1202" t="n">
        <v>0</v>
      </c>
      <c r="P1202" t="n">
        <v>0</v>
      </c>
      <c r="Q1202" t="n">
        <v>0</v>
      </c>
      <c r="R1202" s="2" t="inlineStr"/>
    </row>
    <row r="1203" ht="15" customHeight="1">
      <c r="A1203" t="inlineStr">
        <is>
          <t>A 11764-2024</t>
        </is>
      </c>
      <c r="B1203" s="1" t="n">
        <v>45373.94837962963</v>
      </c>
      <c r="C1203" s="1" t="n">
        <v>45986</v>
      </c>
      <c r="D1203" t="inlineStr">
        <is>
          <t>VÄSTERNORRLANDS LÄN</t>
        </is>
      </c>
      <c r="E1203" t="inlineStr">
        <is>
          <t>ÅNGE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25035-2023</t>
        </is>
      </c>
      <c r="B1204" s="1" t="n">
        <v>45085</v>
      </c>
      <c r="C1204" s="1" t="n">
        <v>45986</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10195-2024</t>
        </is>
      </c>
      <c r="B1205" s="1" t="n">
        <v>45364</v>
      </c>
      <c r="C1205" s="1" t="n">
        <v>45986</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42488-2024</t>
        </is>
      </c>
      <c r="B1206" s="1" t="n">
        <v>45565.49420138889</v>
      </c>
      <c r="C1206" s="1" t="n">
        <v>45986</v>
      </c>
      <c r="D1206" t="inlineStr">
        <is>
          <t>VÄSTERNORRLANDS LÄN</t>
        </is>
      </c>
      <c r="E1206" t="inlineStr">
        <is>
          <t>ÅNGE</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42529-2024</t>
        </is>
      </c>
      <c r="B1207" s="1" t="n">
        <v>45565.57324074074</v>
      </c>
      <c r="C1207" s="1" t="n">
        <v>45986</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9211-2023</t>
        </is>
      </c>
      <c r="B1208" s="1" t="n">
        <v>44980</v>
      </c>
      <c r="C1208" s="1" t="n">
        <v>45986</v>
      </c>
      <c r="D1208" t="inlineStr">
        <is>
          <t>VÄSTERNORRLANDS LÄN</t>
        </is>
      </c>
      <c r="E1208" t="inlineStr">
        <is>
          <t>ÅNGE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29193-2024</t>
        </is>
      </c>
      <c r="B1209" s="1" t="n">
        <v>45482.56510416666</v>
      </c>
      <c r="C1209" s="1" t="n">
        <v>45986</v>
      </c>
      <c r="D1209" t="inlineStr">
        <is>
          <t>VÄSTERNORRLANDS LÄN</t>
        </is>
      </c>
      <c r="E1209" t="inlineStr">
        <is>
          <t>ÅNGE</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3023-2023</t>
        </is>
      </c>
      <c r="B1210" s="1" t="n">
        <v>44945</v>
      </c>
      <c r="C1210" s="1" t="n">
        <v>45986</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3025-2023</t>
        </is>
      </c>
      <c r="B1211" s="1" t="n">
        <v>44945</v>
      </c>
      <c r="C1211" s="1" t="n">
        <v>45986</v>
      </c>
      <c r="D1211" t="inlineStr">
        <is>
          <t>VÄSTERNORRLANDS LÄN</t>
        </is>
      </c>
      <c r="E1211" t="inlineStr">
        <is>
          <t>ÅNGE</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56232-2024</t>
        </is>
      </c>
      <c r="B1212" s="1" t="n">
        <v>45624</v>
      </c>
      <c r="C1212" s="1" t="n">
        <v>45986</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16853-2023</t>
        </is>
      </c>
      <c r="B1213" s="1" t="n">
        <v>45033</v>
      </c>
      <c r="C1213" s="1" t="n">
        <v>45986</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7528-2023</t>
        </is>
      </c>
      <c r="B1214" s="1" t="n">
        <v>44971.97662037037</v>
      </c>
      <c r="C1214" s="1" t="n">
        <v>45986</v>
      </c>
      <c r="D1214" t="inlineStr">
        <is>
          <t>VÄSTERNORRLANDS LÄN</t>
        </is>
      </c>
      <c r="E1214" t="inlineStr">
        <is>
          <t>ÅNGE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53988-2024</t>
        </is>
      </c>
      <c r="B1215" s="1" t="n">
        <v>45616.34408564815</v>
      </c>
      <c r="C1215" s="1" t="n">
        <v>45986</v>
      </c>
      <c r="D1215" t="inlineStr">
        <is>
          <t>VÄSTERNORRLANDS LÄN</t>
        </is>
      </c>
      <c r="E1215" t="inlineStr">
        <is>
          <t>ÅNGE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54002-2024</t>
        </is>
      </c>
      <c r="B1216" s="1" t="n">
        <v>45616.36491898148</v>
      </c>
      <c r="C1216" s="1" t="n">
        <v>45986</v>
      </c>
      <c r="D1216" t="inlineStr">
        <is>
          <t>VÄSTERNORRLANDS LÄN</t>
        </is>
      </c>
      <c r="E1216" t="inlineStr">
        <is>
          <t>ÅNGE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54059-2024</t>
        </is>
      </c>
      <c r="B1217" s="1" t="n">
        <v>45616.46943287037</v>
      </c>
      <c r="C1217" s="1" t="n">
        <v>45986</v>
      </c>
      <c r="D1217" t="inlineStr">
        <is>
          <t>VÄSTERNORRLANDS LÄN</t>
        </is>
      </c>
      <c r="E1217" t="inlineStr">
        <is>
          <t>ÅNGE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50235-2021</t>
        </is>
      </c>
      <c r="B1218" s="1" t="n">
        <v>44457</v>
      </c>
      <c r="C1218" s="1" t="n">
        <v>45986</v>
      </c>
      <c r="D1218" t="inlineStr">
        <is>
          <t>VÄSTERNORRLANDS LÄN</t>
        </is>
      </c>
      <c r="E1218" t="inlineStr">
        <is>
          <t>ÅNGE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44600-2024</t>
        </is>
      </c>
      <c r="B1219" s="1" t="n">
        <v>45574.51113425926</v>
      </c>
      <c r="C1219" s="1" t="n">
        <v>45986</v>
      </c>
      <c r="D1219" t="inlineStr">
        <is>
          <t>VÄSTERNORRLANDS LÄN</t>
        </is>
      </c>
      <c r="E1219" t="inlineStr">
        <is>
          <t>ÅNGE</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12806-2025</t>
        </is>
      </c>
      <c r="B1220" s="1" t="n">
        <v>45733.61518518518</v>
      </c>
      <c r="C1220" s="1" t="n">
        <v>45986</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45890-2021</t>
        </is>
      </c>
      <c r="B1221" s="1" t="n">
        <v>44441</v>
      </c>
      <c r="C1221" s="1" t="n">
        <v>45986</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1869-2022</t>
        </is>
      </c>
      <c r="B1222" s="1" t="n">
        <v>44574</v>
      </c>
      <c r="C1222" s="1" t="n">
        <v>45986</v>
      </c>
      <c r="D1222" t="inlineStr">
        <is>
          <t>VÄSTERNORRLANDS LÄN</t>
        </is>
      </c>
      <c r="E1222" t="inlineStr">
        <is>
          <t>ÅNGE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48988-2021</t>
        </is>
      </c>
      <c r="B1223" s="1" t="n">
        <v>44453.43</v>
      </c>
      <c r="C1223" s="1" t="n">
        <v>45986</v>
      </c>
      <c r="D1223" t="inlineStr">
        <is>
          <t>VÄSTERNORRLANDS LÄN</t>
        </is>
      </c>
      <c r="E1223" t="inlineStr">
        <is>
          <t>ÅNGE</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60812-2024</t>
        </is>
      </c>
      <c r="B1224" s="1" t="n">
        <v>45644</v>
      </c>
      <c r="C1224" s="1" t="n">
        <v>45986</v>
      </c>
      <c r="D1224" t="inlineStr">
        <is>
          <t>VÄSTERNORRLANDS LÄN</t>
        </is>
      </c>
      <c r="E1224" t="inlineStr">
        <is>
          <t>ÅNGE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54611-2023</t>
        </is>
      </c>
      <c r="B1225" s="1" t="n">
        <v>45233</v>
      </c>
      <c r="C1225" s="1" t="n">
        <v>45986</v>
      </c>
      <c r="D1225" t="inlineStr">
        <is>
          <t>VÄSTERNORRLANDS LÄN</t>
        </is>
      </c>
      <c r="E1225" t="inlineStr">
        <is>
          <t>ÅNGE</t>
        </is>
      </c>
      <c r="F1225" t="inlineStr">
        <is>
          <t>SCA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49187-2024</t>
        </is>
      </c>
      <c r="B1226" s="1" t="n">
        <v>45595.34490740741</v>
      </c>
      <c r="C1226" s="1" t="n">
        <v>45986</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51810-2023</t>
        </is>
      </c>
      <c r="B1227" s="1" t="n">
        <v>45222.96583333334</v>
      </c>
      <c r="C1227" s="1" t="n">
        <v>45986</v>
      </c>
      <c r="D1227" t="inlineStr">
        <is>
          <t>VÄSTERNORRLANDS LÄN</t>
        </is>
      </c>
      <c r="E1227" t="inlineStr">
        <is>
          <t>ÅNGE</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5520-2022</t>
        </is>
      </c>
      <c r="B1228" s="1" t="n">
        <v>44595</v>
      </c>
      <c r="C1228" s="1" t="n">
        <v>45986</v>
      </c>
      <c r="D1228" t="inlineStr">
        <is>
          <t>VÄSTERNORRLANDS LÄN</t>
        </is>
      </c>
      <c r="E1228" t="inlineStr">
        <is>
          <t>ÅNGE</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58469-2023</t>
        </is>
      </c>
      <c r="B1229" s="1" t="n">
        <v>45250</v>
      </c>
      <c r="C1229" s="1" t="n">
        <v>45986</v>
      </c>
      <c r="D1229" t="inlineStr">
        <is>
          <t>VÄSTERNORRLANDS LÄN</t>
        </is>
      </c>
      <c r="E1229" t="inlineStr">
        <is>
          <t>ÅNGE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31177-2024</t>
        </is>
      </c>
      <c r="B1230" s="1" t="n">
        <v>45503</v>
      </c>
      <c r="C1230" s="1" t="n">
        <v>45986</v>
      </c>
      <c r="D1230" t="inlineStr">
        <is>
          <t>VÄSTERNORRLANDS LÄN</t>
        </is>
      </c>
      <c r="E1230" t="inlineStr">
        <is>
          <t>ÅNGE</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29063-2023</t>
        </is>
      </c>
      <c r="B1231" s="1" t="n">
        <v>45104.94068287037</v>
      </c>
      <c r="C1231" s="1" t="n">
        <v>45986</v>
      </c>
      <c r="D1231" t="inlineStr">
        <is>
          <t>VÄSTERNORRLANDS LÄN</t>
        </is>
      </c>
      <c r="E1231" t="inlineStr">
        <is>
          <t>ÅNGE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59412-2024</t>
        </is>
      </c>
      <c r="B1232" s="1" t="n">
        <v>45638</v>
      </c>
      <c r="C1232" s="1" t="n">
        <v>45986</v>
      </c>
      <c r="D1232" t="inlineStr">
        <is>
          <t>VÄSTERNORRLANDS LÄN</t>
        </is>
      </c>
      <c r="E1232" t="inlineStr">
        <is>
          <t>ÅNGE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9567-2024</t>
        </is>
      </c>
      <c r="B1233" s="1" t="n">
        <v>45360.03635416667</v>
      </c>
      <c r="C1233" s="1" t="n">
        <v>45986</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22988-2024</t>
        </is>
      </c>
      <c r="B1234" s="1" t="n">
        <v>45449.94530092592</v>
      </c>
      <c r="C1234" s="1" t="n">
        <v>45986</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56908-2021</t>
        </is>
      </c>
      <c r="B1235" s="1" t="n">
        <v>44481.93844907408</v>
      </c>
      <c r="C1235" s="1" t="n">
        <v>45986</v>
      </c>
      <c r="D1235" t="inlineStr">
        <is>
          <t>VÄSTERNORRLANDS LÄN</t>
        </is>
      </c>
      <c r="E1235" t="inlineStr">
        <is>
          <t>ÅNGE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17210-2022</t>
        </is>
      </c>
      <c r="B1236" s="1" t="n">
        <v>44677.92701388889</v>
      </c>
      <c r="C1236" s="1" t="n">
        <v>45986</v>
      </c>
      <c r="D1236" t="inlineStr">
        <is>
          <t>VÄSTERNORRLANDS LÄN</t>
        </is>
      </c>
      <c r="E1236" t="inlineStr">
        <is>
          <t>ÅNGE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56574-2024</t>
        </is>
      </c>
      <c r="B1237" s="1" t="n">
        <v>45625.59616898148</v>
      </c>
      <c r="C1237" s="1" t="n">
        <v>45986</v>
      </c>
      <c r="D1237" t="inlineStr">
        <is>
          <t>VÄSTERNORRLANDS LÄN</t>
        </is>
      </c>
      <c r="E1237" t="inlineStr">
        <is>
          <t>ÅNGE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31568-2024</t>
        </is>
      </c>
      <c r="B1238" s="1" t="n">
        <v>45505.96721064814</v>
      </c>
      <c r="C1238" s="1" t="n">
        <v>45986</v>
      </c>
      <c r="D1238" t="inlineStr">
        <is>
          <t>VÄSTERNORRLANDS LÄN</t>
        </is>
      </c>
      <c r="E1238" t="inlineStr">
        <is>
          <t>ÅNGE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27468-2024</t>
        </is>
      </c>
      <c r="B1239" s="1" t="n">
        <v>45474</v>
      </c>
      <c r="C1239" s="1" t="n">
        <v>45986</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12123-2024</t>
        </is>
      </c>
      <c r="B1240" s="1" t="n">
        <v>45377</v>
      </c>
      <c r="C1240" s="1" t="n">
        <v>45986</v>
      </c>
      <c r="D1240" t="inlineStr">
        <is>
          <t>VÄSTERNORRLANDS LÄN</t>
        </is>
      </c>
      <c r="E1240" t="inlineStr">
        <is>
          <t>ÅNGE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11299-2023</t>
        </is>
      </c>
      <c r="B1241" s="1" t="n">
        <v>44993.01074074074</v>
      </c>
      <c r="C1241" s="1" t="n">
        <v>45986</v>
      </c>
      <c r="D1241" t="inlineStr">
        <is>
          <t>VÄSTERNORRLANDS LÄN</t>
        </is>
      </c>
      <c r="E1241" t="inlineStr">
        <is>
          <t>ÅNGE</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11309-2023</t>
        </is>
      </c>
      <c r="B1242" s="1" t="n">
        <v>44993.0118287037</v>
      </c>
      <c r="C1242" s="1" t="n">
        <v>45986</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45932-2023</t>
        </is>
      </c>
      <c r="B1243" s="1" t="n">
        <v>45195</v>
      </c>
      <c r="C1243" s="1" t="n">
        <v>45986</v>
      </c>
      <c r="D1243" t="inlineStr">
        <is>
          <t>VÄSTERNORRLANDS LÄN</t>
        </is>
      </c>
      <c r="E1243" t="inlineStr">
        <is>
          <t>ÅNGE</t>
        </is>
      </c>
      <c r="F1243" t="inlineStr">
        <is>
          <t>SCA</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8648-2025</t>
        </is>
      </c>
      <c r="B1244" s="1" t="n">
        <v>45712.34501157407</v>
      </c>
      <c r="C1244" s="1" t="n">
        <v>45986</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24541-2023</t>
        </is>
      </c>
      <c r="B1245" s="1" t="n">
        <v>45082.94135416667</v>
      </c>
      <c r="C1245" s="1" t="n">
        <v>45986</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51131-2022</t>
        </is>
      </c>
      <c r="B1246" s="1" t="n">
        <v>44868</v>
      </c>
      <c r="C1246" s="1" t="n">
        <v>45986</v>
      </c>
      <c r="D1246" t="inlineStr">
        <is>
          <t>VÄSTERNORRLANDS LÄN</t>
        </is>
      </c>
      <c r="E1246" t="inlineStr">
        <is>
          <t>ÅNGE</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33631-2024</t>
        </is>
      </c>
      <c r="B1247" s="1" t="n">
        <v>45520</v>
      </c>
      <c r="C1247" s="1" t="n">
        <v>45986</v>
      </c>
      <c r="D1247" t="inlineStr">
        <is>
          <t>VÄSTERNORRLANDS LÄN</t>
        </is>
      </c>
      <c r="E1247" t="inlineStr">
        <is>
          <t>ÅNGE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63522-2021</t>
        </is>
      </c>
      <c r="B1248" s="1" t="n">
        <v>44508</v>
      </c>
      <c r="C1248" s="1" t="n">
        <v>45986</v>
      </c>
      <c r="D1248" t="inlineStr">
        <is>
          <t>VÄSTERNORRLANDS LÄN</t>
        </is>
      </c>
      <c r="E1248" t="inlineStr">
        <is>
          <t>ÅNGE</t>
        </is>
      </c>
      <c r="F1248" t="inlineStr">
        <is>
          <t>Övriga Aktiebolag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51411-2023</t>
        </is>
      </c>
      <c r="B1249" s="1" t="n">
        <v>45219</v>
      </c>
      <c r="C1249" s="1" t="n">
        <v>45986</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31229-2023</t>
        </is>
      </c>
      <c r="B1250" s="1" t="n">
        <v>45114</v>
      </c>
      <c r="C1250" s="1" t="n">
        <v>45986</v>
      </c>
      <c r="D1250" t="inlineStr">
        <is>
          <t>VÄSTERNORRLANDS LÄN</t>
        </is>
      </c>
      <c r="E1250" t="inlineStr">
        <is>
          <t>ÅNGE</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53336-2024</t>
        </is>
      </c>
      <c r="B1251" s="1" t="n">
        <v>45614.42753472222</v>
      </c>
      <c r="C1251" s="1" t="n">
        <v>45986</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7692-2024</t>
        </is>
      </c>
      <c r="B1252" s="1" t="n">
        <v>45349</v>
      </c>
      <c r="C1252" s="1" t="n">
        <v>45986</v>
      </c>
      <c r="D1252" t="inlineStr">
        <is>
          <t>VÄSTERNORRLANDS LÄN</t>
        </is>
      </c>
      <c r="E1252" t="inlineStr">
        <is>
          <t>ÅNGE</t>
        </is>
      </c>
      <c r="F1252" t="inlineStr">
        <is>
          <t>SCA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47950-2024</t>
        </is>
      </c>
      <c r="B1253" s="1" t="n">
        <v>45589.36511574074</v>
      </c>
      <c r="C1253" s="1" t="n">
        <v>45986</v>
      </c>
      <c r="D1253" t="inlineStr">
        <is>
          <t>VÄSTERNORRLANDS LÄN</t>
        </is>
      </c>
      <c r="E1253" t="inlineStr">
        <is>
          <t>ÅNGE</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39589-2022</t>
        </is>
      </c>
      <c r="B1254" s="1" t="n">
        <v>44818</v>
      </c>
      <c r="C1254" s="1" t="n">
        <v>45986</v>
      </c>
      <c r="D1254" t="inlineStr">
        <is>
          <t>VÄSTERNORRLANDS LÄN</t>
        </is>
      </c>
      <c r="E1254" t="inlineStr">
        <is>
          <t>ÅNGE</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42098-2024</t>
        </is>
      </c>
      <c r="B1255" s="1" t="n">
        <v>45562.34532407407</v>
      </c>
      <c r="C1255" s="1" t="n">
        <v>45986</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10071-2023</t>
        </is>
      </c>
      <c r="B1256" s="1" t="n">
        <v>44985.92418981482</v>
      </c>
      <c r="C1256" s="1" t="n">
        <v>45986</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44518-2024</t>
        </is>
      </c>
      <c r="B1257" s="1" t="n">
        <v>45574.43376157407</v>
      </c>
      <c r="C1257" s="1" t="n">
        <v>45986</v>
      </c>
      <c r="D1257" t="inlineStr">
        <is>
          <t>VÄSTERNORRLANDS LÄN</t>
        </is>
      </c>
      <c r="E1257" t="inlineStr">
        <is>
          <t>ÅNGE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15822-2025</t>
        </is>
      </c>
      <c r="B1258" s="1" t="n">
        <v>45748.70172453704</v>
      </c>
      <c r="C1258" s="1" t="n">
        <v>45986</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41083-2024</t>
        </is>
      </c>
      <c r="B1259" s="1" t="n">
        <v>45559.40684027778</v>
      </c>
      <c r="C1259" s="1" t="n">
        <v>45986</v>
      </c>
      <c r="D1259" t="inlineStr">
        <is>
          <t>VÄSTERNORRLANDS LÄN</t>
        </is>
      </c>
      <c r="E1259" t="inlineStr">
        <is>
          <t>ÅNGE</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4094-2025</t>
        </is>
      </c>
      <c r="B1260" s="1" t="n">
        <v>45684.6778125</v>
      </c>
      <c r="C1260" s="1" t="n">
        <v>45986</v>
      </c>
      <c r="D1260" t="inlineStr">
        <is>
          <t>VÄSTERNORRLANDS LÄN</t>
        </is>
      </c>
      <c r="E1260" t="inlineStr">
        <is>
          <t>ÅNGE</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41507-2024</t>
        </is>
      </c>
      <c r="B1261" s="1" t="n">
        <v>45560</v>
      </c>
      <c r="C1261" s="1" t="n">
        <v>45986</v>
      </c>
      <c r="D1261" t="inlineStr">
        <is>
          <t>VÄSTERNORRLANDS LÄN</t>
        </is>
      </c>
      <c r="E1261" t="inlineStr">
        <is>
          <t>ÅNGE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26019-2024</t>
        </is>
      </c>
      <c r="B1262" s="1" t="n">
        <v>45467.96015046296</v>
      </c>
      <c r="C1262" s="1" t="n">
        <v>45986</v>
      </c>
      <c r="D1262" t="inlineStr">
        <is>
          <t>VÄSTERNORRLANDS LÄN</t>
        </is>
      </c>
      <c r="E1262" t="inlineStr">
        <is>
          <t>ÅNGE</t>
        </is>
      </c>
      <c r="F1262" t="inlineStr">
        <is>
          <t>SCA</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8747-2022</t>
        </is>
      </c>
      <c r="B1263" s="1" t="n">
        <v>44614.33912037037</v>
      </c>
      <c r="C1263" s="1" t="n">
        <v>45986</v>
      </c>
      <c r="D1263" t="inlineStr">
        <is>
          <t>VÄSTERNORRLANDS LÄN</t>
        </is>
      </c>
      <c r="E1263" t="inlineStr">
        <is>
          <t>ÅNGE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8755-2022</t>
        </is>
      </c>
      <c r="B1264" s="1" t="n">
        <v>44614</v>
      </c>
      <c r="C1264" s="1" t="n">
        <v>45986</v>
      </c>
      <c r="D1264" t="inlineStr">
        <is>
          <t>VÄSTERNORRLANDS LÄN</t>
        </is>
      </c>
      <c r="E1264" t="inlineStr">
        <is>
          <t>ÅNGE</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6690-2024</t>
        </is>
      </c>
      <c r="B1265" s="1" t="n">
        <v>45341</v>
      </c>
      <c r="C1265" s="1" t="n">
        <v>45986</v>
      </c>
      <c r="D1265" t="inlineStr">
        <is>
          <t>VÄSTERNORRLANDS LÄN</t>
        </is>
      </c>
      <c r="E1265" t="inlineStr">
        <is>
          <t>ÅNGE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64375-2023</t>
        </is>
      </c>
      <c r="B1266" s="1" t="n">
        <v>45280</v>
      </c>
      <c r="C1266" s="1" t="n">
        <v>45986</v>
      </c>
      <c r="D1266" t="inlineStr">
        <is>
          <t>VÄSTERNORRLANDS LÄN</t>
        </is>
      </c>
      <c r="E1266" t="inlineStr">
        <is>
          <t>ÅNGE</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1235-2023</t>
        </is>
      </c>
      <c r="B1267" s="1" t="n">
        <v>44935</v>
      </c>
      <c r="C1267" s="1" t="n">
        <v>45986</v>
      </c>
      <c r="D1267" t="inlineStr">
        <is>
          <t>VÄSTERNORRLANDS LÄN</t>
        </is>
      </c>
      <c r="E1267" t="inlineStr">
        <is>
          <t>ÅNGE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62261-2022</t>
        </is>
      </c>
      <c r="B1268" s="1" t="n">
        <v>44922.94378472222</v>
      </c>
      <c r="C1268" s="1" t="n">
        <v>45986</v>
      </c>
      <c r="D1268" t="inlineStr">
        <is>
          <t>VÄSTERNORRLANDS LÄN</t>
        </is>
      </c>
      <c r="E1268" t="inlineStr">
        <is>
          <t>ÅNGE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41302-2024</t>
        </is>
      </c>
      <c r="B1269" s="1" t="n">
        <v>45559.62077546296</v>
      </c>
      <c r="C1269" s="1" t="n">
        <v>45986</v>
      </c>
      <c r="D1269" t="inlineStr">
        <is>
          <t>VÄSTERNORRLANDS LÄN</t>
        </is>
      </c>
      <c r="E1269" t="inlineStr">
        <is>
          <t>ÅNGE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5249-2025</t>
        </is>
      </c>
      <c r="B1270" s="1" t="n">
        <v>45692.34465277778</v>
      </c>
      <c r="C1270" s="1" t="n">
        <v>45986</v>
      </c>
      <c r="D1270" t="inlineStr">
        <is>
          <t>VÄSTERNORRLANDS LÄN</t>
        </is>
      </c>
      <c r="E1270" t="inlineStr">
        <is>
          <t>ÅNGE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43366-2024</t>
        </is>
      </c>
      <c r="B1271" s="1" t="n">
        <v>45568</v>
      </c>
      <c r="C1271" s="1" t="n">
        <v>45986</v>
      </c>
      <c r="D1271" t="inlineStr">
        <is>
          <t>VÄSTERNORRLANDS LÄN</t>
        </is>
      </c>
      <c r="E1271" t="inlineStr">
        <is>
          <t>ÅNGE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35577-2024</t>
        </is>
      </c>
      <c r="B1272" s="1" t="n">
        <v>45531</v>
      </c>
      <c r="C1272" s="1" t="n">
        <v>45986</v>
      </c>
      <c r="D1272" t="inlineStr">
        <is>
          <t>VÄSTERNORRLANDS LÄN</t>
        </is>
      </c>
      <c r="E1272" t="inlineStr">
        <is>
          <t>ÅNGE</t>
        </is>
      </c>
      <c r="F1272" t="inlineStr">
        <is>
          <t>SCA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35580-2024</t>
        </is>
      </c>
      <c r="B1273" s="1" t="n">
        <v>45531</v>
      </c>
      <c r="C1273" s="1" t="n">
        <v>45986</v>
      </c>
      <c r="D1273" t="inlineStr">
        <is>
          <t>VÄSTERNORRLANDS LÄN</t>
        </is>
      </c>
      <c r="E1273" t="inlineStr">
        <is>
          <t>ÅNGE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28428-2023</t>
        </is>
      </c>
      <c r="B1274" s="1" t="n">
        <v>45102</v>
      </c>
      <c r="C1274" s="1" t="n">
        <v>45986</v>
      </c>
      <c r="D1274" t="inlineStr">
        <is>
          <t>VÄSTERNORRLANDS LÄN</t>
        </is>
      </c>
      <c r="E1274" t="inlineStr">
        <is>
          <t>ÅNGE</t>
        </is>
      </c>
      <c r="F1274" t="inlineStr">
        <is>
          <t>Kyrkan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72239-2021</t>
        </is>
      </c>
      <c r="B1275" s="1" t="n">
        <v>44544.9203587963</v>
      </c>
      <c r="C1275" s="1" t="n">
        <v>45986</v>
      </c>
      <c r="D1275" t="inlineStr">
        <is>
          <t>VÄSTERNORRLANDS LÄN</t>
        </is>
      </c>
      <c r="E1275" t="inlineStr">
        <is>
          <t>ÅNGE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59986-2021</t>
        </is>
      </c>
      <c r="B1276" s="1" t="n">
        <v>44494</v>
      </c>
      <c r="C1276" s="1" t="n">
        <v>45986</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30556-2023</t>
        </is>
      </c>
      <c r="B1277" s="1" t="n">
        <v>45111.87935185185</v>
      </c>
      <c r="C1277" s="1" t="n">
        <v>45986</v>
      </c>
      <c r="D1277" t="inlineStr">
        <is>
          <t>VÄSTERNORRLANDS LÄN</t>
        </is>
      </c>
      <c r="E1277" t="inlineStr">
        <is>
          <t>ÅNGE</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53549-2023</t>
        </is>
      </c>
      <c r="B1278" s="1" t="n">
        <v>45230</v>
      </c>
      <c r="C1278" s="1" t="n">
        <v>45986</v>
      </c>
      <c r="D1278" t="inlineStr">
        <is>
          <t>VÄSTERNORRLANDS LÄN</t>
        </is>
      </c>
      <c r="E1278" t="inlineStr">
        <is>
          <t>ÅNGE</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34705-2023</t>
        </is>
      </c>
      <c r="B1279" s="1" t="n">
        <v>45140.96452546296</v>
      </c>
      <c r="C1279" s="1" t="n">
        <v>45986</v>
      </c>
      <c r="D1279" t="inlineStr">
        <is>
          <t>VÄSTERNORRLANDS LÄN</t>
        </is>
      </c>
      <c r="E1279" t="inlineStr">
        <is>
          <t>ÅNGE</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50186-2021</t>
        </is>
      </c>
      <c r="B1280" s="1" t="n">
        <v>44456</v>
      </c>
      <c r="C1280" s="1" t="n">
        <v>45986</v>
      </c>
      <c r="D1280" t="inlineStr">
        <is>
          <t>VÄSTERNORRLANDS LÄN</t>
        </is>
      </c>
      <c r="E1280" t="inlineStr">
        <is>
          <t>ÅNGE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35392-2024</t>
        </is>
      </c>
      <c r="B1281" s="1" t="n">
        <v>45531.4025462963</v>
      </c>
      <c r="C1281" s="1" t="n">
        <v>45986</v>
      </c>
      <c r="D1281" t="inlineStr">
        <is>
          <t>VÄSTERNORRLANDS LÄN</t>
        </is>
      </c>
      <c r="E1281" t="inlineStr">
        <is>
          <t>ÅNGE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27952-2024</t>
        </is>
      </c>
      <c r="B1282" s="1" t="n">
        <v>45476.33063657407</v>
      </c>
      <c r="C1282" s="1" t="n">
        <v>45986</v>
      </c>
      <c r="D1282" t="inlineStr">
        <is>
          <t>VÄSTERNORRLANDS LÄN</t>
        </is>
      </c>
      <c r="E1282" t="inlineStr">
        <is>
          <t>ÅNGE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58634-2023</t>
        </is>
      </c>
      <c r="B1283" s="1" t="n">
        <v>45251</v>
      </c>
      <c r="C1283" s="1" t="n">
        <v>45986</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41825-2022</t>
        </is>
      </c>
      <c r="B1284" s="1" t="n">
        <v>44827</v>
      </c>
      <c r="C1284" s="1" t="n">
        <v>45986</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c r="U1284">
        <f>HYPERLINK("https://klasma.github.io/Logging_2260/knärot/A 41825-2022 karta knärot.png", "A 41825-2022")</f>
        <v/>
      </c>
      <c r="V1284">
        <f>HYPERLINK("https://klasma.github.io/Logging_2260/klagomål/A 41825-2022 FSC-klagomål.docx", "A 41825-2022")</f>
        <v/>
      </c>
      <c r="W1284">
        <f>HYPERLINK("https://klasma.github.io/Logging_2260/klagomålsmail/A 41825-2022 FSC-klagomål mail.docx", "A 41825-2022")</f>
        <v/>
      </c>
      <c r="X1284">
        <f>HYPERLINK("https://klasma.github.io/Logging_2260/tillsyn/A 41825-2022 tillsynsbegäran.docx", "A 41825-2022")</f>
        <v/>
      </c>
      <c r="Y1284">
        <f>HYPERLINK("https://klasma.github.io/Logging_2260/tillsynsmail/A 41825-2022 tillsynsbegäran mail.docx", "A 41825-2022")</f>
        <v/>
      </c>
    </row>
    <row r="1285" ht="15" customHeight="1">
      <c r="A1285" t="inlineStr">
        <is>
          <t>A 35581-2024</t>
        </is>
      </c>
      <c r="B1285" s="1" t="n">
        <v>45531</v>
      </c>
      <c r="C1285" s="1" t="n">
        <v>45986</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35582-2024</t>
        </is>
      </c>
      <c r="B1286" s="1" t="n">
        <v>45531.64800925926</v>
      </c>
      <c r="C1286" s="1" t="n">
        <v>45986</v>
      </c>
      <c r="D1286" t="inlineStr">
        <is>
          <t>VÄSTERNORRLANDS LÄN</t>
        </is>
      </c>
      <c r="E1286" t="inlineStr">
        <is>
          <t>ÅNGE</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4904-2024</t>
        </is>
      </c>
      <c r="B1287" s="1" t="n">
        <v>45329.47856481482</v>
      </c>
      <c r="C1287" s="1" t="n">
        <v>45986</v>
      </c>
      <c r="D1287" t="inlineStr">
        <is>
          <t>VÄSTERNORRLANDS LÄN</t>
        </is>
      </c>
      <c r="E1287" t="inlineStr">
        <is>
          <t>ÅNGE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57592-2022</t>
        </is>
      </c>
      <c r="B1288" s="1" t="n">
        <v>44896.97841435186</v>
      </c>
      <c r="C1288" s="1" t="n">
        <v>45986</v>
      </c>
      <c r="D1288" t="inlineStr">
        <is>
          <t>VÄSTERNORRLANDS LÄN</t>
        </is>
      </c>
      <c r="E1288" t="inlineStr">
        <is>
          <t>ÅNGE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57602-2022</t>
        </is>
      </c>
      <c r="B1289" s="1" t="n">
        <v>44896</v>
      </c>
      <c r="C1289" s="1" t="n">
        <v>45986</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22680-2024</t>
        </is>
      </c>
      <c r="B1290" s="1" t="n">
        <v>45447.94548611111</v>
      </c>
      <c r="C1290" s="1" t="n">
        <v>45986</v>
      </c>
      <c r="D1290" t="inlineStr">
        <is>
          <t>VÄSTERNORRLANDS LÄN</t>
        </is>
      </c>
      <c r="E1290" t="inlineStr">
        <is>
          <t>ÅNGE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18430-2025</t>
        </is>
      </c>
      <c r="B1291" s="1" t="n">
        <v>45762.63576388889</v>
      </c>
      <c r="C1291" s="1" t="n">
        <v>45986</v>
      </c>
      <c r="D1291" t="inlineStr">
        <is>
          <t>VÄSTERNORRLANDS LÄN</t>
        </is>
      </c>
      <c r="E1291" t="inlineStr">
        <is>
          <t>ÅNGE</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13501-2021</t>
        </is>
      </c>
      <c r="B1292" s="1" t="n">
        <v>44273</v>
      </c>
      <c r="C1292" s="1" t="n">
        <v>45986</v>
      </c>
      <c r="D1292" t="inlineStr">
        <is>
          <t>VÄSTERNORRLANDS LÄN</t>
        </is>
      </c>
      <c r="E1292" t="inlineStr">
        <is>
          <t>ÅNGE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3624-2024</t>
        </is>
      </c>
      <c r="B1293" s="1" t="n">
        <v>45320.95305555555</v>
      </c>
      <c r="C1293" s="1" t="n">
        <v>45986</v>
      </c>
      <c r="D1293" t="inlineStr">
        <is>
          <t>VÄSTERNORRLANDS LÄN</t>
        </is>
      </c>
      <c r="E1293" t="inlineStr">
        <is>
          <t>ÅNGE</t>
        </is>
      </c>
      <c r="F1293" t="inlineStr">
        <is>
          <t>SCA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10922-2024</t>
        </is>
      </c>
      <c r="B1294" s="1" t="n">
        <v>45370</v>
      </c>
      <c r="C1294" s="1" t="n">
        <v>45986</v>
      </c>
      <c r="D1294" t="inlineStr">
        <is>
          <t>VÄSTERNORRLANDS LÄN</t>
        </is>
      </c>
      <c r="E1294" t="inlineStr">
        <is>
          <t>ÅNGE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46681-2023</t>
        </is>
      </c>
      <c r="B1295" s="1" t="n">
        <v>45198</v>
      </c>
      <c r="C1295" s="1" t="n">
        <v>45986</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46255-2023</t>
        </is>
      </c>
      <c r="B1296" s="1" t="n">
        <v>45196</v>
      </c>
      <c r="C1296" s="1" t="n">
        <v>45986</v>
      </c>
      <c r="D1296" t="inlineStr">
        <is>
          <t>VÄSTERNORRLANDS LÄN</t>
        </is>
      </c>
      <c r="E1296" t="inlineStr">
        <is>
          <t>ÅNGE</t>
        </is>
      </c>
      <c r="F1296" t="inlineStr">
        <is>
          <t>SCA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55197-2022</t>
        </is>
      </c>
      <c r="B1297" s="1" t="n">
        <v>44886.93714120371</v>
      </c>
      <c r="C1297" s="1" t="n">
        <v>45986</v>
      </c>
      <c r="D1297" t="inlineStr">
        <is>
          <t>VÄSTERNORRLANDS LÄN</t>
        </is>
      </c>
      <c r="E1297" t="inlineStr">
        <is>
          <t>ÅNGE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18617-2024</t>
        </is>
      </c>
      <c r="B1298" s="1" t="n">
        <v>45425</v>
      </c>
      <c r="C1298" s="1" t="n">
        <v>45986</v>
      </c>
      <c r="D1298" t="inlineStr">
        <is>
          <t>VÄSTERNORRLANDS LÄN</t>
        </is>
      </c>
      <c r="E1298" t="inlineStr">
        <is>
          <t>ÅNGE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18869-2024</t>
        </is>
      </c>
      <c r="B1299" s="1" t="n">
        <v>45426</v>
      </c>
      <c r="C1299" s="1" t="n">
        <v>45986</v>
      </c>
      <c r="D1299" t="inlineStr">
        <is>
          <t>VÄSTERNORRLANDS LÄN</t>
        </is>
      </c>
      <c r="E1299" t="inlineStr">
        <is>
          <t>ÅNGE</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37540-2024</t>
        </is>
      </c>
      <c r="B1300" s="1" t="n">
        <v>45541.42111111111</v>
      </c>
      <c r="C1300" s="1" t="n">
        <v>45986</v>
      </c>
      <c r="D1300" t="inlineStr">
        <is>
          <t>VÄSTERNORRLANDS LÄN</t>
        </is>
      </c>
      <c r="E1300" t="inlineStr">
        <is>
          <t>ÅNGE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42958-2024</t>
        </is>
      </c>
      <c r="B1301" s="1" t="n">
        <v>45567.37131944444</v>
      </c>
      <c r="C1301" s="1" t="n">
        <v>45986</v>
      </c>
      <c r="D1301" t="inlineStr">
        <is>
          <t>VÄSTERNORRLANDS LÄN</t>
        </is>
      </c>
      <c r="E1301" t="inlineStr">
        <is>
          <t>ÅNGE</t>
        </is>
      </c>
      <c r="F1301" t="inlineStr">
        <is>
          <t>SCA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42969-2024</t>
        </is>
      </c>
      <c r="B1302" s="1" t="n">
        <v>45567.37300925926</v>
      </c>
      <c r="C1302" s="1" t="n">
        <v>45986</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49502-2022</t>
        </is>
      </c>
      <c r="B1303" s="1" t="n">
        <v>44861.92613425926</v>
      </c>
      <c r="C1303" s="1" t="n">
        <v>45986</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38795-2023</t>
        </is>
      </c>
      <c r="B1304" s="1" t="n">
        <v>45162</v>
      </c>
      <c r="C1304" s="1" t="n">
        <v>45986</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17601-2024</t>
        </is>
      </c>
      <c r="B1305" s="1" t="n">
        <v>45415</v>
      </c>
      <c r="C1305" s="1" t="n">
        <v>45986</v>
      </c>
      <c r="D1305" t="inlineStr">
        <is>
          <t>VÄSTERNORRLANDS LÄN</t>
        </is>
      </c>
      <c r="E1305" t="inlineStr">
        <is>
          <t>ÅNGE</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34649-2024</t>
        </is>
      </c>
      <c r="B1306" s="1" t="n">
        <v>45526.48325231481</v>
      </c>
      <c r="C1306" s="1" t="n">
        <v>45986</v>
      </c>
      <c r="D1306" t="inlineStr">
        <is>
          <t>VÄSTERNORRLANDS LÄN</t>
        </is>
      </c>
      <c r="E1306" t="inlineStr">
        <is>
          <t>ÅNGE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13091-2024</t>
        </is>
      </c>
      <c r="B1307" s="1" t="n">
        <v>45385</v>
      </c>
      <c r="C1307" s="1" t="n">
        <v>45986</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20108-2025</t>
        </is>
      </c>
      <c r="B1308" s="1" t="n">
        <v>45772.47006944445</v>
      </c>
      <c r="C1308" s="1" t="n">
        <v>45986</v>
      </c>
      <c r="D1308" t="inlineStr">
        <is>
          <t>VÄSTERNORRLANDS LÄN</t>
        </is>
      </c>
      <c r="E1308" t="inlineStr">
        <is>
          <t>ÅNGE</t>
        </is>
      </c>
      <c r="F1308" t="inlineStr">
        <is>
          <t>Naturvårdsverket</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50419-2022</t>
        </is>
      </c>
      <c r="B1309" s="1" t="n">
        <v>44861</v>
      </c>
      <c r="C1309" s="1" t="n">
        <v>45986</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8627-2023</t>
        </is>
      </c>
      <c r="B1310" s="1" t="n">
        <v>44977</v>
      </c>
      <c r="C1310" s="1" t="n">
        <v>45986</v>
      </c>
      <c r="D1310" t="inlineStr">
        <is>
          <t>VÄSTERNORRLANDS LÄN</t>
        </is>
      </c>
      <c r="E1310" t="inlineStr">
        <is>
          <t>ÅNGE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49532-2024</t>
        </is>
      </c>
      <c r="B1311" s="1" t="n">
        <v>45596.41797453703</v>
      </c>
      <c r="C1311" s="1" t="n">
        <v>45986</v>
      </c>
      <c r="D1311" t="inlineStr">
        <is>
          <t>VÄSTERNORRLANDS LÄN</t>
        </is>
      </c>
      <c r="E1311" t="inlineStr">
        <is>
          <t>ÅNGE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11088-2024</t>
        </is>
      </c>
      <c r="B1312" s="1" t="n">
        <v>45370</v>
      </c>
      <c r="C1312" s="1" t="n">
        <v>45986</v>
      </c>
      <c r="D1312" t="inlineStr">
        <is>
          <t>VÄSTERNORRLANDS LÄN</t>
        </is>
      </c>
      <c r="E1312" t="inlineStr">
        <is>
          <t>ÅNGE</t>
        </is>
      </c>
      <c r="F1312" t="inlineStr">
        <is>
          <t>SCA</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13773-2024</t>
        </is>
      </c>
      <c r="B1313" s="1" t="n">
        <v>45390.95297453704</v>
      </c>
      <c r="C1313" s="1" t="n">
        <v>45986</v>
      </c>
      <c r="D1313" t="inlineStr">
        <is>
          <t>VÄSTERNORRLANDS LÄN</t>
        </is>
      </c>
      <c r="E1313" t="inlineStr">
        <is>
          <t>ÅNGE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30348-2024</t>
        </is>
      </c>
      <c r="B1314" s="1" t="n">
        <v>45490.95524305556</v>
      </c>
      <c r="C1314" s="1" t="n">
        <v>45986</v>
      </c>
      <c r="D1314" t="inlineStr">
        <is>
          <t>VÄSTERNORRLANDS LÄN</t>
        </is>
      </c>
      <c r="E1314" t="inlineStr">
        <is>
          <t>ÅNGE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54210-2024</t>
        </is>
      </c>
      <c r="B1315" s="1" t="n">
        <v>45616.65662037037</v>
      </c>
      <c r="C1315" s="1" t="n">
        <v>45986</v>
      </c>
      <c r="D1315" t="inlineStr">
        <is>
          <t>VÄSTERNORRLANDS LÄN</t>
        </is>
      </c>
      <c r="E1315" t="inlineStr">
        <is>
          <t>ÅNGE</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12807-2025</t>
        </is>
      </c>
      <c r="B1316" s="1" t="n">
        <v>45733.61537037037</v>
      </c>
      <c r="C1316" s="1" t="n">
        <v>45986</v>
      </c>
      <c r="D1316" t="inlineStr">
        <is>
          <t>VÄSTERNORRLANDS LÄN</t>
        </is>
      </c>
      <c r="E1316" t="inlineStr">
        <is>
          <t>ÅNGE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5602-2025</t>
        </is>
      </c>
      <c r="B1317" s="1" t="n">
        <v>45693</v>
      </c>
      <c r="C1317" s="1" t="n">
        <v>45986</v>
      </c>
      <c r="D1317" t="inlineStr">
        <is>
          <t>VÄSTERNORRLANDS LÄN</t>
        </is>
      </c>
      <c r="E1317" t="inlineStr">
        <is>
          <t>ÅNGE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60578-2024</t>
        </is>
      </c>
      <c r="B1318" s="1" t="n">
        <v>45644.34434027778</v>
      </c>
      <c r="C1318" s="1" t="n">
        <v>45986</v>
      </c>
      <c r="D1318" t="inlineStr">
        <is>
          <t>VÄSTERNORRLANDS LÄN</t>
        </is>
      </c>
      <c r="E1318" t="inlineStr">
        <is>
          <t>ÅNGE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33302-2024</t>
        </is>
      </c>
      <c r="B1319" s="1" t="n">
        <v>45518.96967592592</v>
      </c>
      <c r="C1319" s="1" t="n">
        <v>45986</v>
      </c>
      <c r="D1319" t="inlineStr">
        <is>
          <t>VÄSTERNORRLANDS LÄN</t>
        </is>
      </c>
      <c r="E1319" t="inlineStr">
        <is>
          <t>ÅNGE</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16593-2023</t>
        </is>
      </c>
      <c r="B1320" s="1" t="n">
        <v>45030</v>
      </c>
      <c r="C1320" s="1" t="n">
        <v>45986</v>
      </c>
      <c r="D1320" t="inlineStr">
        <is>
          <t>VÄSTERNORRLANDS LÄN</t>
        </is>
      </c>
      <c r="E1320" t="inlineStr">
        <is>
          <t>ÅNGE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16600-2023</t>
        </is>
      </c>
      <c r="B1321" s="1" t="n">
        <v>45030</v>
      </c>
      <c r="C1321" s="1" t="n">
        <v>45986</v>
      </c>
      <c r="D1321" t="inlineStr">
        <is>
          <t>VÄSTERNORRLANDS LÄN</t>
        </is>
      </c>
      <c r="E1321" t="inlineStr">
        <is>
          <t>ÅNGE</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10917-2024</t>
        </is>
      </c>
      <c r="B1322" s="1" t="n">
        <v>45370</v>
      </c>
      <c r="C1322" s="1" t="n">
        <v>45986</v>
      </c>
      <c r="D1322" t="inlineStr">
        <is>
          <t>VÄSTERNORRLANDS LÄN</t>
        </is>
      </c>
      <c r="E1322" t="inlineStr">
        <is>
          <t>ÅNGE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3022-2023</t>
        </is>
      </c>
      <c r="B1323" s="1" t="n">
        <v>44945</v>
      </c>
      <c r="C1323" s="1" t="n">
        <v>45986</v>
      </c>
      <c r="D1323" t="inlineStr">
        <is>
          <t>VÄSTERNORRLANDS LÄN</t>
        </is>
      </c>
      <c r="E1323" t="inlineStr">
        <is>
          <t>ÅNGE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34491-2023</t>
        </is>
      </c>
      <c r="B1324" s="1" t="n">
        <v>45139.94775462963</v>
      </c>
      <c r="C1324" s="1" t="n">
        <v>45986</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3947-2025</t>
        </is>
      </c>
      <c r="B1325" s="1" t="n">
        <v>45684.49001157407</v>
      </c>
      <c r="C1325" s="1" t="n">
        <v>45986</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65633-2021</t>
        </is>
      </c>
      <c r="B1326" s="1" t="n">
        <v>44516.56181712963</v>
      </c>
      <c r="C1326" s="1" t="n">
        <v>45986</v>
      </c>
      <c r="D1326" t="inlineStr">
        <is>
          <t>VÄSTERNORRLANDS LÄN</t>
        </is>
      </c>
      <c r="E1326" t="inlineStr">
        <is>
          <t>ÅNGE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36457-2021</t>
        </is>
      </c>
      <c r="B1327" s="1" t="n">
        <v>44390.93858796296</v>
      </c>
      <c r="C1327" s="1" t="n">
        <v>45986</v>
      </c>
      <c r="D1327" t="inlineStr">
        <is>
          <t>VÄSTERNORRLANDS LÄN</t>
        </is>
      </c>
      <c r="E1327" t="inlineStr">
        <is>
          <t>ÅNGE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14927-2025</t>
        </is>
      </c>
      <c r="B1328" s="1" t="n">
        <v>45743</v>
      </c>
      <c r="C1328" s="1" t="n">
        <v>45986</v>
      </c>
      <c r="D1328" t="inlineStr">
        <is>
          <t>VÄSTERNORRLANDS LÄN</t>
        </is>
      </c>
      <c r="E1328" t="inlineStr">
        <is>
          <t>ÅNGE</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15167-2025</t>
        </is>
      </c>
      <c r="B1329" s="1" t="n">
        <v>45744.49009259259</v>
      </c>
      <c r="C1329" s="1" t="n">
        <v>45986</v>
      </c>
      <c r="D1329" t="inlineStr">
        <is>
          <t>VÄSTERNORRLANDS LÄN</t>
        </is>
      </c>
      <c r="E1329" t="inlineStr">
        <is>
          <t>ÅNGE</t>
        </is>
      </c>
      <c r="F1329" t="inlineStr">
        <is>
          <t>SCA</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64950-2023</t>
        </is>
      </c>
      <c r="B1330" s="1" t="n">
        <v>45282</v>
      </c>
      <c r="C1330" s="1" t="n">
        <v>45986</v>
      </c>
      <c r="D1330" t="inlineStr">
        <is>
          <t>VÄSTERNORRLANDS LÄN</t>
        </is>
      </c>
      <c r="E1330" t="inlineStr">
        <is>
          <t>ÅNGE</t>
        </is>
      </c>
      <c r="F1330" t="inlineStr">
        <is>
          <t>SCA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24063-2023</t>
        </is>
      </c>
      <c r="B1331" s="1" t="n">
        <v>45078.94140046297</v>
      </c>
      <c r="C1331" s="1" t="n">
        <v>45986</v>
      </c>
      <c r="D1331" t="inlineStr">
        <is>
          <t>VÄSTERNORRLANDS LÄN</t>
        </is>
      </c>
      <c r="E1331" t="inlineStr">
        <is>
          <t>ÅNGE</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49711-2024</t>
        </is>
      </c>
      <c r="B1332" s="1" t="n">
        <v>45596.69891203703</v>
      </c>
      <c r="C1332" s="1" t="n">
        <v>45986</v>
      </c>
      <c r="D1332" t="inlineStr">
        <is>
          <t>VÄSTERNORRLANDS LÄN</t>
        </is>
      </c>
      <c r="E1332" t="inlineStr">
        <is>
          <t>ÅNGE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3323-2023</t>
        </is>
      </c>
      <c r="B1333" s="1" t="n">
        <v>44945</v>
      </c>
      <c r="C1333" s="1" t="n">
        <v>45986</v>
      </c>
      <c r="D1333" t="inlineStr">
        <is>
          <t>VÄSTERNORRLANDS LÄN</t>
        </is>
      </c>
      <c r="E1333" t="inlineStr">
        <is>
          <t>ÅNGE</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1711-2025</t>
        </is>
      </c>
      <c r="B1334" s="1" t="n">
        <v>45671.31184027778</v>
      </c>
      <c r="C1334" s="1" t="n">
        <v>45986</v>
      </c>
      <c r="D1334" t="inlineStr">
        <is>
          <t>VÄSTERNORRLANDS LÄN</t>
        </is>
      </c>
      <c r="E1334" t="inlineStr">
        <is>
          <t>ÅNGE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1714-2025</t>
        </is>
      </c>
      <c r="B1335" s="1" t="n">
        <v>45671.32474537037</v>
      </c>
      <c r="C1335" s="1" t="n">
        <v>45986</v>
      </c>
      <c r="D1335" t="inlineStr">
        <is>
          <t>VÄSTERNORRLANDS LÄN</t>
        </is>
      </c>
      <c r="E1335" t="inlineStr">
        <is>
          <t>ÅNGE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31866-2024</t>
        </is>
      </c>
      <c r="B1336" s="1" t="n">
        <v>45509</v>
      </c>
      <c r="C1336" s="1" t="n">
        <v>45986</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31867-2024</t>
        </is>
      </c>
      <c r="B1337" s="1" t="n">
        <v>45509</v>
      </c>
      <c r="C1337" s="1" t="n">
        <v>45986</v>
      </c>
      <c r="D1337" t="inlineStr">
        <is>
          <t>VÄSTERNORRLANDS LÄN</t>
        </is>
      </c>
      <c r="E1337" t="inlineStr">
        <is>
          <t>ÅNGE</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33428-2023</t>
        </is>
      </c>
      <c r="B1338" s="1" t="n">
        <v>45128.94976851852</v>
      </c>
      <c r="C1338" s="1" t="n">
        <v>45986</v>
      </c>
      <c r="D1338" t="inlineStr">
        <is>
          <t>VÄSTERNORRLANDS LÄN</t>
        </is>
      </c>
      <c r="E1338" t="inlineStr">
        <is>
          <t>ÅNGE</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10557-2023</t>
        </is>
      </c>
      <c r="B1339" s="1" t="n">
        <v>44987</v>
      </c>
      <c r="C1339" s="1" t="n">
        <v>45986</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19926-2025</t>
        </is>
      </c>
      <c r="B1340" s="1" t="n">
        <v>45771.6357175926</v>
      </c>
      <c r="C1340" s="1" t="n">
        <v>45986</v>
      </c>
      <c r="D1340" t="inlineStr">
        <is>
          <t>VÄSTERNORRLANDS LÄN</t>
        </is>
      </c>
      <c r="E1340" t="inlineStr">
        <is>
          <t>ÅNGE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6610-2025</t>
        </is>
      </c>
      <c r="B1341" s="1" t="n">
        <v>45700</v>
      </c>
      <c r="C1341" s="1" t="n">
        <v>45986</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58997-2023</t>
        </is>
      </c>
      <c r="B1342" s="1" t="n">
        <v>45252.6352662037</v>
      </c>
      <c r="C1342" s="1" t="n">
        <v>45986</v>
      </c>
      <c r="D1342" t="inlineStr">
        <is>
          <t>VÄSTERNORRLANDS LÄN</t>
        </is>
      </c>
      <c r="E1342" t="inlineStr">
        <is>
          <t>ÅNGE</t>
        </is>
      </c>
      <c r="F1342" t="inlineStr">
        <is>
          <t>Övriga Aktiebolag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44639-2023</t>
        </is>
      </c>
      <c r="B1343" s="1" t="n">
        <v>45184</v>
      </c>
      <c r="C1343" s="1" t="n">
        <v>45986</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43552-2023</t>
        </is>
      </c>
      <c r="B1344" s="1" t="n">
        <v>45181</v>
      </c>
      <c r="C1344" s="1" t="n">
        <v>45986</v>
      </c>
      <c r="D1344" t="inlineStr">
        <is>
          <t>VÄSTERNORRLANDS LÄN</t>
        </is>
      </c>
      <c r="E1344" t="inlineStr">
        <is>
          <t>ÅNGE</t>
        </is>
      </c>
      <c r="F1344" t="inlineStr">
        <is>
          <t>SCA</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1735-2025</t>
        </is>
      </c>
      <c r="B1345" s="1" t="n">
        <v>45671.38594907407</v>
      </c>
      <c r="C1345" s="1" t="n">
        <v>45986</v>
      </c>
      <c r="D1345" t="inlineStr">
        <is>
          <t>VÄSTERNORRLANDS LÄN</t>
        </is>
      </c>
      <c r="E1345" t="inlineStr">
        <is>
          <t>ÅNGE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23018-2021</t>
        </is>
      </c>
      <c r="B1346" s="1" t="n">
        <v>44328</v>
      </c>
      <c r="C1346" s="1" t="n">
        <v>45986</v>
      </c>
      <c r="D1346" t="inlineStr">
        <is>
          <t>VÄSTERNORRLANDS LÄN</t>
        </is>
      </c>
      <c r="E1346" t="inlineStr">
        <is>
          <t>ÅNGE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50231-2024</t>
        </is>
      </c>
      <c r="B1347" s="1" t="n">
        <v>45600.55251157407</v>
      </c>
      <c r="C1347" s="1" t="n">
        <v>45986</v>
      </c>
      <c r="D1347" t="inlineStr">
        <is>
          <t>VÄSTERNORRLANDS LÄN</t>
        </is>
      </c>
      <c r="E1347" t="inlineStr">
        <is>
          <t>ÅNGE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60205-2023</t>
        </is>
      </c>
      <c r="B1348" s="1" t="n">
        <v>45257</v>
      </c>
      <c r="C1348" s="1" t="n">
        <v>45986</v>
      </c>
      <c r="D1348" t="inlineStr">
        <is>
          <t>VÄSTERNORRLANDS LÄN</t>
        </is>
      </c>
      <c r="E1348" t="inlineStr">
        <is>
          <t>ÅNGE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15287-2025</t>
        </is>
      </c>
      <c r="B1349" s="1" t="n">
        <v>45745</v>
      </c>
      <c r="C1349" s="1" t="n">
        <v>45986</v>
      </c>
      <c r="D1349" t="inlineStr">
        <is>
          <t>VÄSTERNORRLANDS LÄN</t>
        </is>
      </c>
      <c r="E1349" t="inlineStr">
        <is>
          <t>ÅNGE</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4186-2025</t>
        </is>
      </c>
      <c r="B1350" s="1" t="n">
        <v>45685.44827546296</v>
      </c>
      <c r="C1350" s="1" t="n">
        <v>45986</v>
      </c>
      <c r="D1350" t="inlineStr">
        <is>
          <t>VÄSTERNORRLANDS LÄN</t>
        </is>
      </c>
      <c r="E1350" t="inlineStr">
        <is>
          <t>ÅNGE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45168.6043287037</v>
      </c>
      <c r="C1351" s="1" t="n">
        <v>45986</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1775-2023</t>
        </is>
      </c>
      <c r="B1352" s="1" t="n">
        <v>44938</v>
      </c>
      <c r="C1352" s="1" t="n">
        <v>45986</v>
      </c>
      <c r="D1352" t="inlineStr">
        <is>
          <t>VÄSTERNORRLANDS LÄN</t>
        </is>
      </c>
      <c r="E1352" t="inlineStr">
        <is>
          <t>ÅNGE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31182-2024</t>
        </is>
      </c>
      <c r="B1353" s="1" t="n">
        <v>45503</v>
      </c>
      <c r="C1353" s="1" t="n">
        <v>45986</v>
      </c>
      <c r="D1353" t="inlineStr">
        <is>
          <t>VÄSTERNORRLANDS LÄN</t>
        </is>
      </c>
      <c r="E1353" t="inlineStr">
        <is>
          <t>ÅNGE</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56956-2022</t>
        </is>
      </c>
      <c r="B1354" s="1" t="n">
        <v>44894</v>
      </c>
      <c r="C1354" s="1" t="n">
        <v>45986</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27321-2024</t>
        </is>
      </c>
      <c r="B1355" s="1" t="n">
        <v>45471</v>
      </c>
      <c r="C1355" s="1" t="n">
        <v>45986</v>
      </c>
      <c r="D1355" t="inlineStr">
        <is>
          <t>VÄSTERNORRLANDS LÄN</t>
        </is>
      </c>
      <c r="E1355" t="inlineStr">
        <is>
          <t>ÅNGE</t>
        </is>
      </c>
      <c r="F1355" t="inlineStr">
        <is>
          <t>SCA</t>
        </is>
      </c>
      <c r="G1355" t="n">
        <v>14.1</v>
      </c>
      <c r="H1355" t="n">
        <v>0</v>
      </c>
      <c r="I1355" t="n">
        <v>0</v>
      </c>
      <c r="J1355" t="n">
        <v>0</v>
      </c>
      <c r="K1355" t="n">
        <v>0</v>
      </c>
      <c r="L1355" t="n">
        <v>0</v>
      </c>
      <c r="M1355" t="n">
        <v>0</v>
      </c>
      <c r="N1355" t="n">
        <v>0</v>
      </c>
      <c r="O1355" t="n">
        <v>0</v>
      </c>
      <c r="P1355" t="n">
        <v>0</v>
      </c>
      <c r="Q1355" t="n">
        <v>0</v>
      </c>
      <c r="R1355" s="2" t="inlineStr"/>
    </row>
    <row r="1356" ht="15" customHeight="1">
      <c r="A1356" t="inlineStr">
        <is>
          <t>A 29667-2024</t>
        </is>
      </c>
      <c r="B1356" s="1" t="n">
        <v>45484.94041666666</v>
      </c>
      <c r="C1356" s="1" t="n">
        <v>45986</v>
      </c>
      <c r="D1356" t="inlineStr">
        <is>
          <t>VÄSTERNORRLANDS LÄN</t>
        </is>
      </c>
      <c r="E1356" t="inlineStr">
        <is>
          <t>ÅNGE</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8418-2023</t>
        </is>
      </c>
      <c r="B1357" s="1" t="n">
        <v>44971</v>
      </c>
      <c r="C1357" s="1" t="n">
        <v>45986</v>
      </c>
      <c r="D1357" t="inlineStr">
        <is>
          <t>VÄSTERNORRLANDS LÄN</t>
        </is>
      </c>
      <c r="E1357" t="inlineStr">
        <is>
          <t>ÅNGE</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20024-2023</t>
        </is>
      </c>
      <c r="B1358" s="1" t="n">
        <v>45051</v>
      </c>
      <c r="C1358" s="1" t="n">
        <v>45986</v>
      </c>
      <c r="D1358" t="inlineStr">
        <is>
          <t>VÄSTERNORRLANDS LÄN</t>
        </is>
      </c>
      <c r="E1358" t="inlineStr">
        <is>
          <t>ÅNGE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54982-2023</t>
        </is>
      </c>
      <c r="B1359" s="1" t="n">
        <v>45236</v>
      </c>
      <c r="C1359" s="1" t="n">
        <v>45986</v>
      </c>
      <c r="D1359" t="inlineStr">
        <is>
          <t>VÄSTERNORRLANDS LÄN</t>
        </is>
      </c>
      <c r="E1359" t="inlineStr">
        <is>
          <t>ÅNGE</t>
        </is>
      </c>
      <c r="F1359" t="inlineStr">
        <is>
          <t>SCA</t>
        </is>
      </c>
      <c r="G1359" t="n">
        <v>26.2</v>
      </c>
      <c r="H1359" t="n">
        <v>0</v>
      </c>
      <c r="I1359" t="n">
        <v>0</v>
      </c>
      <c r="J1359" t="n">
        <v>0</v>
      </c>
      <c r="K1359" t="n">
        <v>0</v>
      </c>
      <c r="L1359" t="n">
        <v>0</v>
      </c>
      <c r="M1359" t="n">
        <v>0</v>
      </c>
      <c r="N1359" t="n">
        <v>0</v>
      </c>
      <c r="O1359" t="n">
        <v>0</v>
      </c>
      <c r="P1359" t="n">
        <v>0</v>
      </c>
      <c r="Q1359" t="n">
        <v>0</v>
      </c>
      <c r="R1359" s="2" t="inlineStr"/>
    </row>
    <row r="1360" ht="15" customHeight="1">
      <c r="A1360" t="inlineStr">
        <is>
          <t>A 45939-2023</t>
        </is>
      </c>
      <c r="B1360" s="1" t="n">
        <v>45195.94578703704</v>
      </c>
      <c r="C1360" s="1" t="n">
        <v>45986</v>
      </c>
      <c r="D1360" t="inlineStr">
        <is>
          <t>VÄSTERNORRLANDS LÄN</t>
        </is>
      </c>
      <c r="E1360" t="inlineStr">
        <is>
          <t>ÅNGE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51311-2022</t>
        </is>
      </c>
      <c r="B1361" s="1" t="n">
        <v>44868</v>
      </c>
      <c r="C1361" s="1" t="n">
        <v>45986</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63216-2023</t>
        </is>
      </c>
      <c r="B1362" s="1" t="n">
        <v>45273.62721064815</v>
      </c>
      <c r="C1362" s="1" t="n">
        <v>45986</v>
      </c>
      <c r="D1362" t="inlineStr">
        <is>
          <t>VÄSTERNORRLANDS LÄN</t>
        </is>
      </c>
      <c r="E1362" t="inlineStr">
        <is>
          <t>ÅNGE</t>
        </is>
      </c>
      <c r="F1362" t="inlineStr">
        <is>
          <t>Holmen skog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43916-2023</t>
        </is>
      </c>
      <c r="B1363" s="1" t="n">
        <v>45187.72152777778</v>
      </c>
      <c r="C1363" s="1" t="n">
        <v>45986</v>
      </c>
      <c r="D1363" t="inlineStr">
        <is>
          <t>VÄSTERNORRLANDS LÄN</t>
        </is>
      </c>
      <c r="E1363" t="inlineStr">
        <is>
          <t>ÅNGE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19065-2025</t>
        </is>
      </c>
      <c r="B1364" s="1" t="n">
        <v>45765</v>
      </c>
      <c r="C1364" s="1" t="n">
        <v>45986</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36492-2023</t>
        </is>
      </c>
      <c r="B1365" s="1" t="n">
        <v>45152.92479166666</v>
      </c>
      <c r="C1365" s="1" t="n">
        <v>45986</v>
      </c>
      <c r="D1365" t="inlineStr">
        <is>
          <t>VÄSTERNORRLANDS LÄN</t>
        </is>
      </c>
      <c r="E1365" t="inlineStr">
        <is>
          <t>ÅNGE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46332-2023</t>
        </is>
      </c>
      <c r="B1366" s="1" t="n">
        <v>45196</v>
      </c>
      <c r="C1366" s="1" t="n">
        <v>45986</v>
      </c>
      <c r="D1366" t="inlineStr">
        <is>
          <t>VÄSTERNORRLANDS LÄN</t>
        </is>
      </c>
      <c r="E1366" t="inlineStr">
        <is>
          <t>ÅNGE</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26943-2024</t>
        </is>
      </c>
      <c r="B1367" s="1" t="n">
        <v>45470</v>
      </c>
      <c r="C1367" s="1" t="n">
        <v>45986</v>
      </c>
      <c r="D1367" t="inlineStr">
        <is>
          <t>VÄSTERNORRLANDS LÄN</t>
        </is>
      </c>
      <c r="E1367" t="inlineStr">
        <is>
          <t>ÅNGE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55882-2022</t>
        </is>
      </c>
      <c r="B1368" s="1" t="n">
        <v>44888</v>
      </c>
      <c r="C1368" s="1" t="n">
        <v>45986</v>
      </c>
      <c r="D1368" t="inlineStr">
        <is>
          <t>VÄSTERNORRLANDS LÄN</t>
        </is>
      </c>
      <c r="E1368" t="inlineStr">
        <is>
          <t>ÅNGE</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6686-2024</t>
        </is>
      </c>
      <c r="B1369" s="1" t="n">
        <v>45341</v>
      </c>
      <c r="C1369" s="1" t="n">
        <v>45986</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63556-2021</t>
        </is>
      </c>
      <c r="B1370" s="1" t="n">
        <v>44508.70231481481</v>
      </c>
      <c r="C1370" s="1" t="n">
        <v>45986</v>
      </c>
      <c r="D1370" t="inlineStr">
        <is>
          <t>VÄSTERNORRLANDS LÄN</t>
        </is>
      </c>
      <c r="E1370" t="inlineStr">
        <is>
          <t>ÅNGE</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6608-2025</t>
        </is>
      </c>
      <c r="B1371" s="1" t="n">
        <v>45700.34415509259</v>
      </c>
      <c r="C1371" s="1" t="n">
        <v>45986</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30682-2024</t>
        </is>
      </c>
      <c r="B1372" s="1" t="n">
        <v>45495.95109953704</v>
      </c>
      <c r="C1372" s="1" t="n">
        <v>45986</v>
      </c>
      <c r="D1372" t="inlineStr">
        <is>
          <t>VÄSTERNORRLANDS LÄN</t>
        </is>
      </c>
      <c r="E1372" t="inlineStr">
        <is>
          <t>ÅNGE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2451-2024</t>
        </is>
      </c>
      <c r="B1373" s="1" t="n">
        <v>45312.58627314815</v>
      </c>
      <c r="C1373" s="1" t="n">
        <v>45986</v>
      </c>
      <c r="D1373" t="inlineStr">
        <is>
          <t>VÄSTERNORRLANDS LÄN</t>
        </is>
      </c>
      <c r="E1373" t="inlineStr">
        <is>
          <t>ÅNGE</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3352-2021</t>
        </is>
      </c>
      <c r="B1374" s="1" t="n">
        <v>44217</v>
      </c>
      <c r="C1374" s="1" t="n">
        <v>45986</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3253-2024</t>
        </is>
      </c>
      <c r="B1375" s="1" t="n">
        <v>45316</v>
      </c>
      <c r="C1375" s="1" t="n">
        <v>45986</v>
      </c>
      <c r="D1375" t="inlineStr">
        <is>
          <t>VÄSTERNORRLANDS LÄN</t>
        </is>
      </c>
      <c r="E1375" t="inlineStr">
        <is>
          <t>ÅNGE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34783-2021</t>
        </is>
      </c>
      <c r="B1376" s="1" t="n">
        <v>44382</v>
      </c>
      <c r="C1376" s="1" t="n">
        <v>45986</v>
      </c>
      <c r="D1376" t="inlineStr">
        <is>
          <t>VÄSTERNORRLANDS LÄN</t>
        </is>
      </c>
      <c r="E1376" t="inlineStr">
        <is>
          <t>ÅNGE</t>
        </is>
      </c>
      <c r="F1376" t="inlineStr">
        <is>
          <t>SCA</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58748-2023</t>
        </is>
      </c>
      <c r="B1377" s="1" t="n">
        <v>45251.92936342592</v>
      </c>
      <c r="C1377" s="1" t="n">
        <v>45986</v>
      </c>
      <c r="D1377" t="inlineStr">
        <is>
          <t>VÄSTERNORRLANDS LÄN</t>
        </is>
      </c>
      <c r="E1377" t="inlineStr">
        <is>
          <t>ÅNGE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51070-2024</t>
        </is>
      </c>
      <c r="B1378" s="1" t="n">
        <v>45603</v>
      </c>
      <c r="C1378" s="1" t="n">
        <v>45986</v>
      </c>
      <c r="D1378" t="inlineStr">
        <is>
          <t>VÄSTERNORRLANDS LÄN</t>
        </is>
      </c>
      <c r="E1378" t="inlineStr">
        <is>
          <t>ÅNGE</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51871-2024</t>
        </is>
      </c>
      <c r="B1379" s="1" t="n">
        <v>45607</v>
      </c>
      <c r="C1379" s="1" t="n">
        <v>45986</v>
      </c>
      <c r="D1379" t="inlineStr">
        <is>
          <t>VÄSTERNORRLANDS LÄN</t>
        </is>
      </c>
      <c r="E1379" t="inlineStr">
        <is>
          <t>ÅNGE</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57636-2022</t>
        </is>
      </c>
      <c r="B1380" s="1" t="n">
        <v>44897</v>
      </c>
      <c r="C1380" s="1" t="n">
        <v>45986</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34971-2023</t>
        </is>
      </c>
      <c r="B1381" s="1" t="n">
        <v>45142.61635416667</v>
      </c>
      <c r="C1381" s="1" t="n">
        <v>45986</v>
      </c>
      <c r="D1381" t="inlineStr">
        <is>
          <t>VÄSTERNORRLANDS LÄN</t>
        </is>
      </c>
      <c r="E1381" t="inlineStr">
        <is>
          <t>ÅNGE</t>
        </is>
      </c>
      <c r="F1381" t="inlineStr">
        <is>
          <t>Sveaskog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55329-2023</t>
        </is>
      </c>
      <c r="B1382" s="1" t="n">
        <v>45237</v>
      </c>
      <c r="C1382" s="1" t="n">
        <v>45986</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44178-2023</t>
        </is>
      </c>
      <c r="B1383" s="1" t="n">
        <v>45183</v>
      </c>
      <c r="C1383" s="1" t="n">
        <v>45986</v>
      </c>
      <c r="D1383" t="inlineStr">
        <is>
          <t>VÄSTERNORRLANDS LÄN</t>
        </is>
      </c>
      <c r="E1383" t="inlineStr">
        <is>
          <t>ÅNGE</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52804-2024</t>
        </is>
      </c>
      <c r="B1384" s="1" t="n">
        <v>45610.57322916666</v>
      </c>
      <c r="C1384" s="1" t="n">
        <v>45986</v>
      </c>
      <c r="D1384" t="inlineStr">
        <is>
          <t>VÄSTERNORRLANDS LÄN</t>
        </is>
      </c>
      <c r="E1384" t="inlineStr">
        <is>
          <t>ÅNGE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30055-2024</t>
        </is>
      </c>
      <c r="B1385" s="1" t="n">
        <v>45488.94767361111</v>
      </c>
      <c r="C1385" s="1" t="n">
        <v>45986</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42346-2023</t>
        </is>
      </c>
      <c r="B1386" s="1" t="n">
        <v>45180</v>
      </c>
      <c r="C1386" s="1" t="n">
        <v>45986</v>
      </c>
      <c r="D1386" t="inlineStr">
        <is>
          <t>VÄSTERNORRLANDS LÄN</t>
        </is>
      </c>
      <c r="E1386" t="inlineStr">
        <is>
          <t>ÅNGE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137-2025</t>
        </is>
      </c>
      <c r="B1387" s="1" t="n">
        <v>45659.57684027778</v>
      </c>
      <c r="C1387" s="1" t="n">
        <v>45986</v>
      </c>
      <c r="D1387" t="inlineStr">
        <is>
          <t>VÄSTERNORRLANDS LÄN</t>
        </is>
      </c>
      <c r="E1387" t="inlineStr">
        <is>
          <t>ÅNGE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55380-2024</t>
        </is>
      </c>
      <c r="B1388" s="1" t="n">
        <v>45622.28810185185</v>
      </c>
      <c r="C1388" s="1" t="n">
        <v>45986</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56615-2023</t>
        </is>
      </c>
      <c r="B1389" s="1" t="n">
        <v>45243</v>
      </c>
      <c r="C1389" s="1" t="n">
        <v>45986</v>
      </c>
      <c r="D1389" t="inlineStr">
        <is>
          <t>VÄSTERNORRLANDS LÄN</t>
        </is>
      </c>
      <c r="E1389" t="inlineStr">
        <is>
          <t>ÅNGE</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57601-2022</t>
        </is>
      </c>
      <c r="B1390" s="1" t="n">
        <v>44896</v>
      </c>
      <c r="C1390" s="1" t="n">
        <v>45986</v>
      </c>
      <c r="D1390" t="inlineStr">
        <is>
          <t>VÄSTERNORRLANDS LÄN</t>
        </is>
      </c>
      <c r="E1390" t="inlineStr">
        <is>
          <t>ÅNGE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22678-2024</t>
        </is>
      </c>
      <c r="B1391" s="1" t="n">
        <v>45447.94533564815</v>
      </c>
      <c r="C1391" s="1" t="n">
        <v>45986</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64121-2021</t>
        </is>
      </c>
      <c r="B1392" s="1" t="n">
        <v>44510.4730787037</v>
      </c>
      <c r="C1392" s="1" t="n">
        <v>45986</v>
      </c>
      <c r="D1392" t="inlineStr">
        <is>
          <t>VÄSTERNORRLANDS LÄN</t>
        </is>
      </c>
      <c r="E1392" t="inlineStr">
        <is>
          <t>ÅNGE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71965-2021</t>
        </is>
      </c>
      <c r="B1393" s="1" t="n">
        <v>44544.32483796297</v>
      </c>
      <c r="C1393" s="1" t="n">
        <v>45986</v>
      </c>
      <c r="D1393" t="inlineStr">
        <is>
          <t>VÄSTERNORRLANDS LÄN</t>
        </is>
      </c>
      <c r="E1393" t="inlineStr">
        <is>
          <t>ÅNGE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62834-2021</t>
        </is>
      </c>
      <c r="B1394" s="1" t="n">
        <v>44503</v>
      </c>
      <c r="C1394" s="1" t="n">
        <v>45986</v>
      </c>
      <c r="D1394" t="inlineStr">
        <is>
          <t>VÄSTERNORRLANDS LÄN</t>
        </is>
      </c>
      <c r="E1394" t="inlineStr">
        <is>
          <t>ÅNGE</t>
        </is>
      </c>
      <c r="F1394" t="inlineStr">
        <is>
          <t>Övriga statliga verk och myndigheter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7535-2023</t>
        </is>
      </c>
      <c r="B1395" s="1" t="n">
        <v>44971</v>
      </c>
      <c r="C1395" s="1" t="n">
        <v>45986</v>
      </c>
      <c r="D1395" t="inlineStr">
        <is>
          <t>VÄSTERNORRLANDS LÄN</t>
        </is>
      </c>
      <c r="E1395" t="inlineStr">
        <is>
          <t>ÅNGE</t>
        </is>
      </c>
      <c r="F1395" t="inlineStr">
        <is>
          <t>SCA</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41586-2024</t>
        </is>
      </c>
      <c r="B1396" s="1" t="n">
        <v>45560.56089120371</v>
      </c>
      <c r="C1396" s="1" t="n">
        <v>45986</v>
      </c>
      <c r="D1396" t="inlineStr">
        <is>
          <t>VÄSTERNORRLANDS LÄN</t>
        </is>
      </c>
      <c r="E1396" t="inlineStr">
        <is>
          <t>ÅNGE</t>
        </is>
      </c>
      <c r="F1396" t="inlineStr">
        <is>
          <t>Holmen skog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48946-2024</t>
        </is>
      </c>
      <c r="B1397" s="1" t="n">
        <v>45594.42736111111</v>
      </c>
      <c r="C1397" s="1" t="n">
        <v>45986</v>
      </c>
      <c r="D1397" t="inlineStr">
        <is>
          <t>VÄSTERNORRLANDS LÄN</t>
        </is>
      </c>
      <c r="E1397" t="inlineStr">
        <is>
          <t>ÅNGE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33429-2023</t>
        </is>
      </c>
      <c r="B1398" s="1" t="n">
        <v>45128.94983796297</v>
      </c>
      <c r="C1398" s="1" t="n">
        <v>45986</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22597-2021</t>
        </is>
      </c>
      <c r="B1399" s="1" t="n">
        <v>44326</v>
      </c>
      <c r="C1399" s="1" t="n">
        <v>45986</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20255-2023</t>
        </is>
      </c>
      <c r="B1400" s="1" t="n">
        <v>45055</v>
      </c>
      <c r="C1400" s="1" t="n">
        <v>45986</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11871-2025</t>
        </is>
      </c>
      <c r="B1401" s="1" t="n">
        <v>45728.42740740741</v>
      </c>
      <c r="C1401" s="1" t="n">
        <v>45986</v>
      </c>
      <c r="D1401" t="inlineStr">
        <is>
          <t>VÄSTERNORRLANDS LÄN</t>
        </is>
      </c>
      <c r="E1401" t="inlineStr">
        <is>
          <t>ÅNGE</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16934-2025</t>
        </is>
      </c>
      <c r="B1402" s="1" t="n">
        <v>45755.40671296296</v>
      </c>
      <c r="C1402" s="1" t="n">
        <v>45986</v>
      </c>
      <c r="D1402" t="inlineStr">
        <is>
          <t>VÄSTERNORRLANDS LÄN</t>
        </is>
      </c>
      <c r="E1402" t="inlineStr">
        <is>
          <t>ÅNGE</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16281-2023</t>
        </is>
      </c>
      <c r="B1403" s="1" t="n">
        <v>45028</v>
      </c>
      <c r="C1403" s="1" t="n">
        <v>45986</v>
      </c>
      <c r="D1403" t="inlineStr">
        <is>
          <t>VÄSTERNORRLANDS LÄN</t>
        </is>
      </c>
      <c r="E1403" t="inlineStr">
        <is>
          <t>ÅNGE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26012-2024</t>
        </is>
      </c>
      <c r="B1404" s="1" t="n">
        <v>45467</v>
      </c>
      <c r="C1404" s="1" t="n">
        <v>45986</v>
      </c>
      <c r="D1404" t="inlineStr">
        <is>
          <t>VÄSTERNORRLANDS LÄN</t>
        </is>
      </c>
      <c r="E1404" t="inlineStr">
        <is>
          <t>ÅNGE</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26015-2024</t>
        </is>
      </c>
      <c r="B1405" s="1" t="n">
        <v>45467.95872685185</v>
      </c>
      <c r="C1405" s="1" t="n">
        <v>45986</v>
      </c>
      <c r="D1405" t="inlineStr">
        <is>
          <t>VÄSTERNORRLANDS LÄN</t>
        </is>
      </c>
      <c r="E1405" t="inlineStr">
        <is>
          <t>ÅNGE</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48697-2024</t>
        </is>
      </c>
      <c r="B1406" s="1" t="n">
        <v>45593.51136574074</v>
      </c>
      <c r="C1406" s="1" t="n">
        <v>45986</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1095-2023</t>
        </is>
      </c>
      <c r="B1407" s="1" t="n">
        <v>44929</v>
      </c>
      <c r="C1407" s="1" t="n">
        <v>45986</v>
      </c>
      <c r="D1407" t="inlineStr">
        <is>
          <t>VÄSTERNORRLANDS LÄN</t>
        </is>
      </c>
      <c r="E1407" t="inlineStr">
        <is>
          <t>ÅNGE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46795-2023</t>
        </is>
      </c>
      <c r="B1408" s="1" t="n">
        <v>45198</v>
      </c>
      <c r="C1408" s="1" t="n">
        <v>45986</v>
      </c>
      <c r="D1408" t="inlineStr">
        <is>
          <t>VÄSTERNORRLANDS LÄN</t>
        </is>
      </c>
      <c r="E1408" t="inlineStr">
        <is>
          <t>ÅNGE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16657-2025</t>
        </is>
      </c>
      <c r="B1409" s="1" t="n">
        <v>45754.40700231482</v>
      </c>
      <c r="C1409" s="1" t="n">
        <v>45986</v>
      </c>
      <c r="D1409" t="inlineStr">
        <is>
          <t>VÄSTERNORRLANDS LÄN</t>
        </is>
      </c>
      <c r="E1409" t="inlineStr">
        <is>
          <t>ÅNGE</t>
        </is>
      </c>
      <c r="F1409" t="inlineStr">
        <is>
          <t>SCA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63709-2023</t>
        </is>
      </c>
      <c r="B1410" s="1" t="n">
        <v>45275.95069444444</v>
      </c>
      <c r="C1410" s="1" t="n">
        <v>45986</v>
      </c>
      <c r="D1410" t="inlineStr">
        <is>
          <t>VÄSTERNORRLANDS LÄN</t>
        </is>
      </c>
      <c r="E1410" t="inlineStr">
        <is>
          <t>ÅNGE</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30353-2024</t>
        </is>
      </c>
      <c r="B1411" s="1" t="n">
        <v>45490.95567129629</v>
      </c>
      <c r="C1411" s="1" t="n">
        <v>45986</v>
      </c>
      <c r="D1411" t="inlineStr">
        <is>
          <t>VÄSTERNORRLANDS LÄN</t>
        </is>
      </c>
      <c r="E1411" t="inlineStr">
        <is>
          <t>ÅNGE</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4187-2025</t>
        </is>
      </c>
      <c r="B1412" s="1" t="n">
        <v>45685.44842592593</v>
      </c>
      <c r="C1412" s="1" t="n">
        <v>45986</v>
      </c>
      <c r="D1412" t="inlineStr">
        <is>
          <t>VÄSTERNORRLANDS LÄN</t>
        </is>
      </c>
      <c r="E1412" t="inlineStr">
        <is>
          <t>ÅNGE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58929-2024</t>
        </is>
      </c>
      <c r="B1413" s="1" t="n">
        <v>45636.51090277778</v>
      </c>
      <c r="C1413" s="1" t="n">
        <v>45986</v>
      </c>
      <c r="D1413" t="inlineStr">
        <is>
          <t>VÄSTERNORRLANDS LÄN</t>
        </is>
      </c>
      <c r="E1413" t="inlineStr">
        <is>
          <t>ÅNGE</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42100-2023</t>
        </is>
      </c>
      <c r="B1414" s="1" t="n">
        <v>45174</v>
      </c>
      <c r="C1414" s="1" t="n">
        <v>45986</v>
      </c>
      <c r="D1414" t="inlineStr">
        <is>
          <t>VÄSTERNORRLANDS LÄN</t>
        </is>
      </c>
      <c r="E1414" t="inlineStr">
        <is>
          <t>ÅNGE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2365-2024</t>
        </is>
      </c>
      <c r="B1415" s="1" t="n">
        <v>45310.59778935185</v>
      </c>
      <c r="C1415" s="1" t="n">
        <v>45986</v>
      </c>
      <c r="D1415" t="inlineStr">
        <is>
          <t>VÄSTERNORRLANDS LÄN</t>
        </is>
      </c>
      <c r="E1415" t="inlineStr">
        <is>
          <t>ÅNGE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2372-2024</t>
        </is>
      </c>
      <c r="B1416" s="1" t="n">
        <v>45310.6115625</v>
      </c>
      <c r="C1416" s="1" t="n">
        <v>45986</v>
      </c>
      <c r="D1416" t="inlineStr">
        <is>
          <t>VÄSTERNORRLANDS LÄN</t>
        </is>
      </c>
      <c r="E1416" t="inlineStr">
        <is>
          <t>ÅNGE</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21068-2025</t>
        </is>
      </c>
      <c r="B1417" s="1" t="n">
        <v>45777.59413194445</v>
      </c>
      <c r="C1417" s="1" t="n">
        <v>45986</v>
      </c>
      <c r="D1417" t="inlineStr">
        <is>
          <t>VÄSTERNORRLANDS LÄN</t>
        </is>
      </c>
      <c r="E1417" t="inlineStr">
        <is>
          <t>ÅNGE</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20864-2025</t>
        </is>
      </c>
      <c r="B1418" s="1" t="n">
        <v>45777.34417824074</v>
      </c>
      <c r="C1418" s="1" t="n">
        <v>45986</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20868-2025</t>
        </is>
      </c>
      <c r="B1419" s="1" t="n">
        <v>45777.34483796296</v>
      </c>
      <c r="C1419" s="1" t="n">
        <v>45986</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20718-2025</t>
        </is>
      </c>
      <c r="B1420" s="1" t="n">
        <v>45776.49047453704</v>
      </c>
      <c r="C1420" s="1" t="n">
        <v>45986</v>
      </c>
      <c r="D1420" t="inlineStr">
        <is>
          <t>VÄSTERNORRLANDS LÄN</t>
        </is>
      </c>
      <c r="E1420" t="inlineStr">
        <is>
          <t>ÅNGE</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20776-2025</t>
        </is>
      </c>
      <c r="B1421" s="1" t="n">
        <v>45776.59410879629</v>
      </c>
      <c r="C1421" s="1" t="n">
        <v>45986</v>
      </c>
      <c r="D1421" t="inlineStr">
        <is>
          <t>VÄSTERNORRLANDS LÄN</t>
        </is>
      </c>
      <c r="E1421" t="inlineStr">
        <is>
          <t>ÅNGE</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21174-2025</t>
        </is>
      </c>
      <c r="B1422" s="1" t="n">
        <v>45779.42746527777</v>
      </c>
      <c r="C1422" s="1" t="n">
        <v>45986</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21197-2025</t>
        </is>
      </c>
      <c r="B1423" s="1" t="n">
        <v>45779.46949074074</v>
      </c>
      <c r="C1423" s="1" t="n">
        <v>45986</v>
      </c>
      <c r="D1423" t="inlineStr">
        <is>
          <t>VÄSTERNORRLANDS LÄN</t>
        </is>
      </c>
      <c r="E1423" t="inlineStr">
        <is>
          <t>ÅNGE</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45030-2024</t>
        </is>
      </c>
      <c r="B1424" s="1" t="n">
        <v>45575.52089120371</v>
      </c>
      <c r="C1424" s="1" t="n">
        <v>45986</v>
      </c>
      <c r="D1424" t="inlineStr">
        <is>
          <t>VÄSTERNORRLANDS LÄN</t>
        </is>
      </c>
      <c r="E1424" t="inlineStr">
        <is>
          <t>ÅNGE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21263-2025</t>
        </is>
      </c>
      <c r="B1425" s="1" t="n">
        <v>45779.61233796296</v>
      </c>
      <c r="C1425" s="1" t="n">
        <v>45986</v>
      </c>
      <c r="D1425" t="inlineStr">
        <is>
          <t>VÄSTERNORRLANDS LÄN</t>
        </is>
      </c>
      <c r="E1425" t="inlineStr">
        <is>
          <t>ÅNGE</t>
        </is>
      </c>
      <c r="F1425" t="inlineStr">
        <is>
          <t>Sveaskog</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21251-2025</t>
        </is>
      </c>
      <c r="B1426" s="1" t="n">
        <v>45779.57417824074</v>
      </c>
      <c r="C1426" s="1" t="n">
        <v>45986</v>
      </c>
      <c r="D1426" t="inlineStr">
        <is>
          <t>VÄSTERNORRLANDS LÄN</t>
        </is>
      </c>
      <c r="E1426" t="inlineStr">
        <is>
          <t>ÅNGE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21176-2025</t>
        </is>
      </c>
      <c r="B1427" s="1" t="n">
        <v>45779.42798611111</v>
      </c>
      <c r="C1427" s="1" t="n">
        <v>45986</v>
      </c>
      <c r="D1427" t="inlineStr">
        <is>
          <t>VÄSTERNORRLANDS LÄN</t>
        </is>
      </c>
      <c r="E1427" t="inlineStr">
        <is>
          <t>ÅNGE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21741-2025</t>
        </is>
      </c>
      <c r="B1428" s="1" t="n">
        <v>45783.59415509259</v>
      </c>
      <c r="C1428" s="1" t="n">
        <v>45986</v>
      </c>
      <c r="D1428" t="inlineStr">
        <is>
          <t>VÄSTERNORRLANDS LÄN</t>
        </is>
      </c>
      <c r="E1428" t="inlineStr">
        <is>
          <t>ÅNGE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21685-2025</t>
        </is>
      </c>
      <c r="B1429" s="1" t="n">
        <v>45783.49050925926</v>
      </c>
      <c r="C1429" s="1" t="n">
        <v>45986</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21597-2025</t>
        </is>
      </c>
      <c r="B1430" s="1" t="n">
        <v>45783.34493055556</v>
      </c>
      <c r="C1430" s="1" t="n">
        <v>45986</v>
      </c>
      <c r="D1430" t="inlineStr">
        <is>
          <t>VÄSTERNORRLANDS LÄN</t>
        </is>
      </c>
      <c r="E1430" t="inlineStr">
        <is>
          <t>ÅNGE</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17669-2023</t>
        </is>
      </c>
      <c r="B1431" s="1" t="n">
        <v>45036.94457175926</v>
      </c>
      <c r="C1431" s="1" t="n">
        <v>45986</v>
      </c>
      <c r="D1431" t="inlineStr">
        <is>
          <t>VÄSTERNORRLANDS LÄN</t>
        </is>
      </c>
      <c r="E1431" t="inlineStr">
        <is>
          <t>ÅNGE</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25867-2024</t>
        </is>
      </c>
      <c r="B1432" s="1" t="n">
        <v>45463</v>
      </c>
      <c r="C1432" s="1" t="n">
        <v>45986</v>
      </c>
      <c r="D1432" t="inlineStr">
        <is>
          <t>VÄSTERNORRLANDS LÄN</t>
        </is>
      </c>
      <c r="E1432" t="inlineStr">
        <is>
          <t>ÅNGE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2539-2025</t>
        </is>
      </c>
      <c r="B1433" s="1" t="n">
        <v>45674.61581018518</v>
      </c>
      <c r="C1433" s="1" t="n">
        <v>45986</v>
      </c>
      <c r="D1433" t="inlineStr">
        <is>
          <t>VÄSTERNORRLANDS LÄN</t>
        </is>
      </c>
      <c r="E1433" t="inlineStr">
        <is>
          <t>ÅNGE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21686-2025</t>
        </is>
      </c>
      <c r="B1434" s="1" t="n">
        <v>45783.490625</v>
      </c>
      <c r="C1434" s="1" t="n">
        <v>45986</v>
      </c>
      <c r="D1434" t="inlineStr">
        <is>
          <t>VÄSTERNORRLANDS LÄN</t>
        </is>
      </c>
      <c r="E1434" t="inlineStr">
        <is>
          <t>ÅNGE</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54295-2024</t>
        </is>
      </c>
      <c r="B1435" s="1" t="n">
        <v>45617</v>
      </c>
      <c r="C1435" s="1" t="n">
        <v>45986</v>
      </c>
      <c r="D1435" t="inlineStr">
        <is>
          <t>VÄSTERNORRLANDS LÄN</t>
        </is>
      </c>
      <c r="E1435" t="inlineStr">
        <is>
          <t>ÅNGE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21563-2025</t>
        </is>
      </c>
      <c r="B1436" s="1" t="n">
        <v>45782.69822916666</v>
      </c>
      <c r="C1436" s="1" t="n">
        <v>45986</v>
      </c>
      <c r="D1436" t="inlineStr">
        <is>
          <t>VÄSTERNORRLANDS LÄN</t>
        </is>
      </c>
      <c r="E1436" t="inlineStr">
        <is>
          <t>ÅNGE</t>
        </is>
      </c>
      <c r="F1436" t="inlineStr">
        <is>
          <t>SCA</t>
        </is>
      </c>
      <c r="G1436" t="n">
        <v>2.4</v>
      </c>
      <c r="H1436" t="n">
        <v>0</v>
      </c>
      <c r="I1436" t="n">
        <v>0</v>
      </c>
      <c r="J1436" t="n">
        <v>0</v>
      </c>
      <c r="K1436" t="n">
        <v>0</v>
      </c>
      <c r="L1436" t="n">
        <v>0</v>
      </c>
      <c r="M1436" t="n">
        <v>0</v>
      </c>
      <c r="N1436" t="n">
        <v>0</v>
      </c>
      <c r="O1436" t="n">
        <v>0</v>
      </c>
      <c r="P1436" t="n">
        <v>0</v>
      </c>
      <c r="Q1436" t="n">
        <v>0</v>
      </c>
      <c r="R1436" s="2" t="inlineStr"/>
    </row>
    <row r="1437">
      <c r="A1437" t="inlineStr">
        <is>
          <t>A 21712-2025</t>
        </is>
      </c>
      <c r="B1437" s="1" t="n">
        <v>45783.53210648148</v>
      </c>
      <c r="C1437" s="1" t="n">
        <v>45986</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2025-11-25T10:20:04Z</dcterms:created>
  <dcterms:modified xmlns:dcterms="http://purl.org/dc/terms/" xmlns:xsi="http://www.w3.org/2001/XMLSchema-instance" xsi:type="dcterms:W3CDTF">2025-11-25T10:20:05Z</dcterms:modified>
</cp:coreProperties>
</file>